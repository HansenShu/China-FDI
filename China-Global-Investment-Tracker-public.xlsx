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senshu/Python/China FDI Analysis/"/>
    </mc:Choice>
  </mc:AlternateContent>
  <xr:revisionPtr revIDLastSave="0" documentId="13_ncr:1_{20AA8A8C-4F19-7146-8FBC-AF858CFA1E2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Dataset 1" sheetId="1" r:id="rId1"/>
    <sheet name="Dataset 2" sheetId="2" r:id="rId2"/>
    <sheet name="Dataset 3" sheetId="3" r:id="rId3"/>
    <sheet name="Dataset 1+2" sheetId="4" r:id="rId4"/>
    <sheet name="FDI Stock Analysis" sheetId="5" r:id="rId5"/>
  </sheets>
  <definedNames>
    <definedName name="_xlnm._FilterDatabase" localSheetId="0" hidden="1">'Dataset 1'!$A$6:$M$2561</definedName>
    <definedName name="_xlnm._FilterDatabase" localSheetId="3" hidden="1">'Dataset 1+2'!$A$5:$L$5055</definedName>
    <definedName name="_xlnm._FilterDatabase" localSheetId="1" hidden="1">'Dataset 2'!$A$6:$L$2501</definedName>
    <definedName name="_xlnm._FilterDatabase" localSheetId="2" hidden="1">'Dataset 3'!$A$6:$L$435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8574" i="3" l="1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O96" i="5"/>
  <c r="N96" i="5"/>
  <c r="Q152" i="5" s="1"/>
  <c r="M96" i="5"/>
  <c r="Y152" i="5" s="1"/>
  <c r="L96" i="5"/>
  <c r="V152" i="5" s="1"/>
  <c r="K96" i="5"/>
  <c r="S152" i="5" s="1"/>
  <c r="J96" i="5"/>
  <c r="W152" i="5" s="1"/>
  <c r="I96" i="5"/>
  <c r="R152" i="5" s="1"/>
  <c r="H96" i="5"/>
  <c r="G96" i="5"/>
  <c r="F96" i="5"/>
  <c r="T152" i="5" s="1"/>
  <c r="E96" i="5"/>
  <c r="X152" i="5" s="1"/>
  <c r="D96" i="5"/>
  <c r="P152" i="5" s="1"/>
  <c r="C96" i="5"/>
  <c r="B96" i="5"/>
  <c r="O95" i="5"/>
  <c r="N95" i="5"/>
  <c r="Q151" i="5" s="1"/>
  <c r="M95" i="5"/>
  <c r="Y151" i="5" s="1"/>
  <c r="L95" i="5"/>
  <c r="V151" i="5" s="1"/>
  <c r="K95" i="5"/>
  <c r="S151" i="5" s="1"/>
  <c r="J95" i="5"/>
  <c r="W151" i="5" s="1"/>
  <c r="I95" i="5"/>
  <c r="R151" i="5" s="1"/>
  <c r="H95" i="5"/>
  <c r="G95" i="5"/>
  <c r="F95" i="5"/>
  <c r="T151" i="5" s="1"/>
  <c r="E95" i="5"/>
  <c r="X151" i="5" s="1"/>
  <c r="D95" i="5"/>
  <c r="P151" i="5" s="1"/>
  <c r="C95" i="5"/>
  <c r="B95" i="5"/>
  <c r="U151" i="5" s="1"/>
  <c r="O94" i="5"/>
  <c r="N94" i="5"/>
  <c r="Q150" i="5" s="1"/>
  <c r="M94" i="5"/>
  <c r="Y150" i="5" s="1"/>
  <c r="L94" i="5"/>
  <c r="V150" i="5" s="1"/>
  <c r="K94" i="5"/>
  <c r="S150" i="5" s="1"/>
  <c r="J94" i="5"/>
  <c r="W150" i="5" s="1"/>
  <c r="I94" i="5"/>
  <c r="R150" i="5" s="1"/>
  <c r="H94" i="5"/>
  <c r="G94" i="5"/>
  <c r="F94" i="5"/>
  <c r="T150" i="5" s="1"/>
  <c r="E94" i="5"/>
  <c r="X150" i="5" s="1"/>
  <c r="D94" i="5"/>
  <c r="P150" i="5" s="1"/>
  <c r="C94" i="5"/>
  <c r="B94" i="5"/>
  <c r="U150" i="5" s="1"/>
  <c r="O93" i="5"/>
  <c r="N93" i="5"/>
  <c r="Q149" i="5" s="1"/>
  <c r="M93" i="5"/>
  <c r="Y149" i="5" s="1"/>
  <c r="L93" i="5"/>
  <c r="V149" i="5" s="1"/>
  <c r="K93" i="5"/>
  <c r="S149" i="5" s="1"/>
  <c r="J93" i="5"/>
  <c r="W149" i="5" s="1"/>
  <c r="I93" i="5"/>
  <c r="R149" i="5" s="1"/>
  <c r="H93" i="5"/>
  <c r="G93" i="5"/>
  <c r="F93" i="5"/>
  <c r="T149" i="5" s="1"/>
  <c r="E93" i="5"/>
  <c r="X149" i="5" s="1"/>
  <c r="D93" i="5"/>
  <c r="P149" i="5" s="1"/>
  <c r="C93" i="5"/>
  <c r="B93" i="5"/>
  <c r="U149" i="5" s="1"/>
  <c r="O92" i="5"/>
  <c r="N92" i="5"/>
  <c r="Q148" i="5" s="1"/>
  <c r="M92" i="5"/>
  <c r="Y148" i="5" s="1"/>
  <c r="L92" i="5"/>
  <c r="V148" i="5" s="1"/>
  <c r="K92" i="5"/>
  <c r="S148" i="5" s="1"/>
  <c r="J92" i="5"/>
  <c r="W148" i="5" s="1"/>
  <c r="I92" i="5"/>
  <c r="R148" i="5" s="1"/>
  <c r="H92" i="5"/>
  <c r="G92" i="5"/>
  <c r="F92" i="5"/>
  <c r="T148" i="5" s="1"/>
  <c r="E92" i="5"/>
  <c r="X148" i="5" s="1"/>
  <c r="D92" i="5"/>
  <c r="P148" i="5" s="1"/>
  <c r="C92" i="5"/>
  <c r="B92" i="5"/>
  <c r="O91" i="5"/>
  <c r="N91" i="5"/>
  <c r="Q147" i="5" s="1"/>
  <c r="M91" i="5"/>
  <c r="Y147" i="5" s="1"/>
  <c r="L91" i="5"/>
  <c r="V147" i="5" s="1"/>
  <c r="K91" i="5"/>
  <c r="S147" i="5" s="1"/>
  <c r="J91" i="5"/>
  <c r="W147" i="5" s="1"/>
  <c r="I91" i="5"/>
  <c r="R147" i="5" s="1"/>
  <c r="H91" i="5"/>
  <c r="G91" i="5"/>
  <c r="F91" i="5"/>
  <c r="T147" i="5" s="1"/>
  <c r="E91" i="5"/>
  <c r="X147" i="5" s="1"/>
  <c r="D91" i="5"/>
  <c r="P147" i="5" s="1"/>
  <c r="C91" i="5"/>
  <c r="B91" i="5"/>
  <c r="O90" i="5"/>
  <c r="N90" i="5"/>
  <c r="Q146" i="5" s="1"/>
  <c r="M90" i="5"/>
  <c r="Y146" i="5" s="1"/>
  <c r="L90" i="5"/>
  <c r="V146" i="5" s="1"/>
  <c r="K90" i="5"/>
  <c r="S146" i="5" s="1"/>
  <c r="J90" i="5"/>
  <c r="W146" i="5" s="1"/>
  <c r="I90" i="5"/>
  <c r="R146" i="5" s="1"/>
  <c r="H90" i="5"/>
  <c r="G90" i="5"/>
  <c r="F90" i="5"/>
  <c r="T146" i="5" s="1"/>
  <c r="E90" i="5"/>
  <c r="X146" i="5" s="1"/>
  <c r="D90" i="5"/>
  <c r="P146" i="5" s="1"/>
  <c r="C90" i="5"/>
  <c r="B90" i="5"/>
  <c r="U146" i="5" s="1"/>
  <c r="O89" i="5"/>
  <c r="N89" i="5"/>
  <c r="Q145" i="5" s="1"/>
  <c r="M89" i="5"/>
  <c r="Y145" i="5" s="1"/>
  <c r="L89" i="5"/>
  <c r="V145" i="5" s="1"/>
  <c r="K89" i="5"/>
  <c r="S145" i="5" s="1"/>
  <c r="J89" i="5"/>
  <c r="W145" i="5" s="1"/>
  <c r="I89" i="5"/>
  <c r="R145" i="5" s="1"/>
  <c r="H89" i="5"/>
  <c r="G89" i="5"/>
  <c r="F89" i="5"/>
  <c r="T145" i="5" s="1"/>
  <c r="E89" i="5"/>
  <c r="X145" i="5" s="1"/>
  <c r="D89" i="5"/>
  <c r="P145" i="5" s="1"/>
  <c r="C89" i="5"/>
  <c r="B89" i="5"/>
  <c r="U145" i="5" s="1"/>
  <c r="O88" i="5"/>
  <c r="N88" i="5"/>
  <c r="Q144" i="5" s="1"/>
  <c r="M88" i="5"/>
  <c r="Y144" i="5" s="1"/>
  <c r="L88" i="5"/>
  <c r="V144" i="5" s="1"/>
  <c r="K88" i="5"/>
  <c r="S144" i="5" s="1"/>
  <c r="J88" i="5"/>
  <c r="W144" i="5" s="1"/>
  <c r="I88" i="5"/>
  <c r="R144" i="5" s="1"/>
  <c r="H88" i="5"/>
  <c r="G88" i="5"/>
  <c r="F88" i="5"/>
  <c r="T144" i="5" s="1"/>
  <c r="E88" i="5"/>
  <c r="X144" i="5" s="1"/>
  <c r="D88" i="5"/>
  <c r="P144" i="5" s="1"/>
  <c r="C88" i="5"/>
  <c r="B88" i="5"/>
  <c r="U144" i="5" s="1"/>
  <c r="O87" i="5"/>
  <c r="N87" i="5"/>
  <c r="Q143" i="5" s="1"/>
  <c r="M87" i="5"/>
  <c r="Y143" i="5" s="1"/>
  <c r="L87" i="5"/>
  <c r="V143" i="5" s="1"/>
  <c r="K87" i="5"/>
  <c r="S143" i="5" s="1"/>
  <c r="J87" i="5"/>
  <c r="W143" i="5" s="1"/>
  <c r="I87" i="5"/>
  <c r="R143" i="5" s="1"/>
  <c r="H87" i="5"/>
  <c r="G87" i="5"/>
  <c r="F87" i="5"/>
  <c r="T143" i="5" s="1"/>
  <c r="E87" i="5"/>
  <c r="X143" i="5" s="1"/>
  <c r="D87" i="5"/>
  <c r="P143" i="5" s="1"/>
  <c r="C87" i="5"/>
  <c r="B87" i="5"/>
  <c r="O86" i="5"/>
  <c r="N86" i="5"/>
  <c r="Q142" i="5" s="1"/>
  <c r="M86" i="5"/>
  <c r="Y142" i="5" s="1"/>
  <c r="L86" i="5"/>
  <c r="V142" i="5" s="1"/>
  <c r="K86" i="5"/>
  <c r="S142" i="5" s="1"/>
  <c r="J86" i="5"/>
  <c r="W142" i="5" s="1"/>
  <c r="I86" i="5"/>
  <c r="R142" i="5" s="1"/>
  <c r="H86" i="5"/>
  <c r="G86" i="5"/>
  <c r="F86" i="5"/>
  <c r="T142" i="5" s="1"/>
  <c r="E86" i="5"/>
  <c r="X142" i="5" s="1"/>
  <c r="D86" i="5"/>
  <c r="P142" i="5" s="1"/>
  <c r="C86" i="5"/>
  <c r="B86" i="5"/>
  <c r="O85" i="5"/>
  <c r="N85" i="5"/>
  <c r="Q141" i="5" s="1"/>
  <c r="M85" i="5"/>
  <c r="Y141" i="5" s="1"/>
  <c r="L85" i="5"/>
  <c r="V141" i="5" s="1"/>
  <c r="K85" i="5"/>
  <c r="S141" i="5" s="1"/>
  <c r="J85" i="5"/>
  <c r="W141" i="5" s="1"/>
  <c r="I85" i="5"/>
  <c r="R141" i="5" s="1"/>
  <c r="H85" i="5"/>
  <c r="G85" i="5"/>
  <c r="F85" i="5"/>
  <c r="T141" i="5" s="1"/>
  <c r="E85" i="5"/>
  <c r="X141" i="5" s="1"/>
  <c r="D85" i="5"/>
  <c r="P141" i="5" s="1"/>
  <c r="C85" i="5"/>
  <c r="B85" i="5"/>
  <c r="U141" i="5" s="1"/>
  <c r="O84" i="5"/>
  <c r="N84" i="5"/>
  <c r="Q140" i="5" s="1"/>
  <c r="M84" i="5"/>
  <c r="Y140" i="5" s="1"/>
  <c r="L84" i="5"/>
  <c r="V140" i="5" s="1"/>
  <c r="K84" i="5"/>
  <c r="S140" i="5" s="1"/>
  <c r="J84" i="5"/>
  <c r="W140" i="5" s="1"/>
  <c r="I84" i="5"/>
  <c r="R140" i="5" s="1"/>
  <c r="H84" i="5"/>
  <c r="G84" i="5"/>
  <c r="F84" i="5"/>
  <c r="T140" i="5" s="1"/>
  <c r="E84" i="5"/>
  <c r="X140" i="5" s="1"/>
  <c r="D84" i="5"/>
  <c r="P140" i="5" s="1"/>
  <c r="C84" i="5"/>
  <c r="B84" i="5"/>
  <c r="U140" i="5" s="1"/>
  <c r="O83" i="5"/>
  <c r="N83" i="5"/>
  <c r="Q139" i="5" s="1"/>
  <c r="M83" i="5"/>
  <c r="Y139" i="5" s="1"/>
  <c r="L83" i="5"/>
  <c r="V139" i="5" s="1"/>
  <c r="K83" i="5"/>
  <c r="S139" i="5" s="1"/>
  <c r="J83" i="5"/>
  <c r="W139" i="5" s="1"/>
  <c r="I83" i="5"/>
  <c r="R139" i="5" s="1"/>
  <c r="H83" i="5"/>
  <c r="G83" i="5"/>
  <c r="F83" i="5"/>
  <c r="T139" i="5" s="1"/>
  <c r="E83" i="5"/>
  <c r="X139" i="5" s="1"/>
  <c r="D83" i="5"/>
  <c r="P139" i="5" s="1"/>
  <c r="C83" i="5"/>
  <c r="B83" i="5"/>
  <c r="U139" i="5" s="1"/>
  <c r="O82" i="5"/>
  <c r="N82" i="5"/>
  <c r="Q138" i="5" s="1"/>
  <c r="M82" i="5"/>
  <c r="Y138" i="5" s="1"/>
  <c r="L82" i="5"/>
  <c r="V138" i="5" s="1"/>
  <c r="K82" i="5"/>
  <c r="S138" i="5" s="1"/>
  <c r="J82" i="5"/>
  <c r="W138" i="5" s="1"/>
  <c r="I82" i="5"/>
  <c r="R138" i="5" s="1"/>
  <c r="H82" i="5"/>
  <c r="G82" i="5"/>
  <c r="F82" i="5"/>
  <c r="T138" i="5" s="1"/>
  <c r="E82" i="5"/>
  <c r="X138" i="5" s="1"/>
  <c r="D82" i="5"/>
  <c r="P138" i="5" s="1"/>
  <c r="C82" i="5"/>
  <c r="B82" i="5"/>
  <c r="O81" i="5"/>
  <c r="N81" i="5"/>
  <c r="Q137" i="5" s="1"/>
  <c r="M81" i="5"/>
  <c r="Y137" i="5" s="1"/>
  <c r="L81" i="5"/>
  <c r="V137" i="5" s="1"/>
  <c r="K81" i="5"/>
  <c r="S137" i="5" s="1"/>
  <c r="J81" i="5"/>
  <c r="W137" i="5" s="1"/>
  <c r="I81" i="5"/>
  <c r="R137" i="5" s="1"/>
  <c r="H81" i="5"/>
  <c r="G81" i="5"/>
  <c r="F81" i="5"/>
  <c r="T137" i="5" s="1"/>
  <c r="E81" i="5"/>
  <c r="X137" i="5" s="1"/>
  <c r="D81" i="5"/>
  <c r="P137" i="5" s="1"/>
  <c r="C81" i="5"/>
  <c r="B81" i="5"/>
  <c r="O80" i="5"/>
  <c r="N80" i="5"/>
  <c r="Q136" i="5" s="1"/>
  <c r="M80" i="5"/>
  <c r="Y136" i="5" s="1"/>
  <c r="L80" i="5"/>
  <c r="V136" i="5" s="1"/>
  <c r="K80" i="5"/>
  <c r="S136" i="5" s="1"/>
  <c r="J80" i="5"/>
  <c r="W136" i="5" s="1"/>
  <c r="I80" i="5"/>
  <c r="R136" i="5" s="1"/>
  <c r="H80" i="5"/>
  <c r="G80" i="5"/>
  <c r="F80" i="5"/>
  <c r="T136" i="5" s="1"/>
  <c r="E80" i="5"/>
  <c r="X136" i="5" s="1"/>
  <c r="D80" i="5"/>
  <c r="P136" i="5" s="1"/>
  <c r="C80" i="5"/>
  <c r="B80" i="5"/>
  <c r="U136" i="5" s="1"/>
  <c r="O79" i="5"/>
  <c r="N79" i="5"/>
  <c r="Q135" i="5" s="1"/>
  <c r="M79" i="5"/>
  <c r="Y135" i="5" s="1"/>
  <c r="L79" i="5"/>
  <c r="V135" i="5" s="1"/>
  <c r="K79" i="5"/>
  <c r="S135" i="5" s="1"/>
  <c r="J79" i="5"/>
  <c r="W135" i="5" s="1"/>
  <c r="I79" i="5"/>
  <c r="R135" i="5" s="1"/>
  <c r="H79" i="5"/>
  <c r="G79" i="5"/>
  <c r="F79" i="5"/>
  <c r="T135" i="5" s="1"/>
  <c r="E79" i="5"/>
  <c r="X135" i="5" s="1"/>
  <c r="D79" i="5"/>
  <c r="P135" i="5" s="1"/>
  <c r="C79" i="5"/>
  <c r="B79" i="5"/>
  <c r="U135" i="5" s="1"/>
  <c r="O78" i="5"/>
  <c r="N78" i="5"/>
  <c r="Q134" i="5" s="1"/>
  <c r="M78" i="5"/>
  <c r="Y134" i="5" s="1"/>
  <c r="L78" i="5"/>
  <c r="V134" i="5" s="1"/>
  <c r="K78" i="5"/>
  <c r="S134" i="5" s="1"/>
  <c r="J78" i="5"/>
  <c r="W134" i="5" s="1"/>
  <c r="I78" i="5"/>
  <c r="R134" i="5" s="1"/>
  <c r="H78" i="5"/>
  <c r="G78" i="5"/>
  <c r="F78" i="5"/>
  <c r="T134" i="5" s="1"/>
  <c r="E78" i="5"/>
  <c r="X134" i="5" s="1"/>
  <c r="D78" i="5"/>
  <c r="P134" i="5" s="1"/>
  <c r="C78" i="5"/>
  <c r="B78" i="5"/>
  <c r="U134" i="5" s="1"/>
  <c r="O77" i="5"/>
  <c r="N77" i="5"/>
  <c r="Q133" i="5" s="1"/>
  <c r="M77" i="5"/>
  <c r="Y133" i="5" s="1"/>
  <c r="L77" i="5"/>
  <c r="V133" i="5" s="1"/>
  <c r="K77" i="5"/>
  <c r="S133" i="5" s="1"/>
  <c r="J77" i="5"/>
  <c r="W133" i="5" s="1"/>
  <c r="I77" i="5"/>
  <c r="R133" i="5" s="1"/>
  <c r="H77" i="5"/>
  <c r="G77" i="5"/>
  <c r="F77" i="5"/>
  <c r="T133" i="5" s="1"/>
  <c r="E77" i="5"/>
  <c r="X133" i="5" s="1"/>
  <c r="D77" i="5"/>
  <c r="P133" i="5" s="1"/>
  <c r="C77" i="5"/>
  <c r="B77" i="5"/>
  <c r="O76" i="5"/>
  <c r="N76" i="5"/>
  <c r="Q132" i="5" s="1"/>
  <c r="M76" i="5"/>
  <c r="Y132" i="5" s="1"/>
  <c r="L76" i="5"/>
  <c r="V132" i="5" s="1"/>
  <c r="K76" i="5"/>
  <c r="S132" i="5" s="1"/>
  <c r="J76" i="5"/>
  <c r="W132" i="5" s="1"/>
  <c r="I76" i="5"/>
  <c r="R132" i="5" s="1"/>
  <c r="H76" i="5"/>
  <c r="G76" i="5"/>
  <c r="F76" i="5"/>
  <c r="T132" i="5" s="1"/>
  <c r="E76" i="5"/>
  <c r="X132" i="5" s="1"/>
  <c r="D76" i="5"/>
  <c r="P132" i="5" s="1"/>
  <c r="C76" i="5"/>
  <c r="B76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EG49" i="5"/>
  <c r="EF49" i="5"/>
  <c r="EE49" i="5"/>
  <c r="ED49" i="5"/>
  <c r="EC49" i="5"/>
  <c r="EB49" i="5"/>
  <c r="EA49" i="5"/>
  <c r="DZ49" i="5"/>
  <c r="DY49" i="5"/>
  <c r="B152" i="5" s="1"/>
  <c r="DX49" i="5"/>
  <c r="DW49" i="5"/>
  <c r="DV49" i="5"/>
  <c r="DU49" i="5"/>
  <c r="DT49" i="5"/>
  <c r="DS49" i="5"/>
  <c r="DR49" i="5"/>
  <c r="DQ49" i="5"/>
  <c r="DP49" i="5"/>
  <c r="DO49" i="5"/>
  <c r="DN49" i="5"/>
  <c r="DM49" i="5"/>
  <c r="F152" i="5" s="1"/>
  <c r="DL49" i="5"/>
  <c r="DK49" i="5"/>
  <c r="DJ49" i="5"/>
  <c r="DI49" i="5"/>
  <c r="DH49" i="5"/>
  <c r="DG49" i="5"/>
  <c r="DF49" i="5"/>
  <c r="DE49" i="5"/>
  <c r="DD49" i="5"/>
  <c r="DC49" i="5"/>
  <c r="DB49" i="5"/>
  <c r="J152" i="5" s="1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I152" i="5" s="1"/>
  <c r="AX49" i="5"/>
  <c r="AW49" i="5"/>
  <c r="AV49" i="5"/>
  <c r="AU49" i="5"/>
  <c r="AT49" i="5"/>
  <c r="AS49" i="5"/>
  <c r="AR49" i="5"/>
  <c r="AQ49" i="5"/>
  <c r="H152" i="5" s="1"/>
  <c r="AP49" i="5"/>
  <c r="AO49" i="5"/>
  <c r="AN49" i="5"/>
  <c r="K152" i="5" s="1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G152" i="5" s="1"/>
  <c r="V49" i="5"/>
  <c r="U49" i="5"/>
  <c r="T49" i="5"/>
  <c r="S49" i="5"/>
  <c r="R49" i="5"/>
  <c r="D152" i="5" s="1"/>
  <c r="Q49" i="5"/>
  <c r="E152" i="5" s="1"/>
  <c r="P49" i="5"/>
  <c r="O49" i="5"/>
  <c r="N49" i="5"/>
  <c r="M49" i="5"/>
  <c r="L49" i="5"/>
  <c r="K49" i="5"/>
  <c r="J49" i="5"/>
  <c r="I49" i="5"/>
  <c r="H49" i="5"/>
  <c r="G49" i="5"/>
  <c r="C152" i="5" s="1"/>
  <c r="F49" i="5"/>
  <c r="E49" i="5"/>
  <c r="D49" i="5"/>
  <c r="C49" i="5"/>
  <c r="B49" i="5"/>
  <c r="EG48" i="5"/>
  <c r="EF48" i="5"/>
  <c r="EE48" i="5"/>
  <c r="ED48" i="5"/>
  <c r="EC48" i="5"/>
  <c r="EB48" i="5"/>
  <c r="EA48" i="5"/>
  <c r="DZ48" i="5"/>
  <c r="DY48" i="5"/>
  <c r="B151" i="5" s="1"/>
  <c r="DX48" i="5"/>
  <c r="DW48" i="5"/>
  <c r="DV48" i="5"/>
  <c r="DU48" i="5"/>
  <c r="DT48" i="5"/>
  <c r="DS48" i="5"/>
  <c r="DR48" i="5"/>
  <c r="DQ48" i="5"/>
  <c r="DP48" i="5"/>
  <c r="DO48" i="5"/>
  <c r="DN48" i="5"/>
  <c r="DM48" i="5"/>
  <c r="F151" i="5" s="1"/>
  <c r="DL48" i="5"/>
  <c r="DK48" i="5"/>
  <c r="DJ48" i="5"/>
  <c r="DI48" i="5"/>
  <c r="DH48" i="5"/>
  <c r="DG48" i="5"/>
  <c r="DF48" i="5"/>
  <c r="DE48" i="5"/>
  <c r="DD48" i="5"/>
  <c r="DC48" i="5"/>
  <c r="DB48" i="5"/>
  <c r="J151" i="5" s="1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CF48" i="5"/>
  <c r="CE48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I151" i="5" s="1"/>
  <c r="AX48" i="5"/>
  <c r="AW48" i="5"/>
  <c r="AV48" i="5"/>
  <c r="AU48" i="5"/>
  <c r="AT48" i="5"/>
  <c r="AS48" i="5"/>
  <c r="AR48" i="5"/>
  <c r="AQ48" i="5"/>
  <c r="H151" i="5" s="1"/>
  <c r="AP48" i="5"/>
  <c r="AO48" i="5"/>
  <c r="AN48" i="5"/>
  <c r="K151" i="5" s="1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G151" i="5" s="1"/>
  <c r="V48" i="5"/>
  <c r="U48" i="5"/>
  <c r="T48" i="5"/>
  <c r="S48" i="5"/>
  <c r="R48" i="5"/>
  <c r="D151" i="5" s="1"/>
  <c r="Q48" i="5"/>
  <c r="E151" i="5" s="1"/>
  <c r="P48" i="5"/>
  <c r="O48" i="5"/>
  <c r="N48" i="5"/>
  <c r="M48" i="5"/>
  <c r="L48" i="5"/>
  <c r="K48" i="5"/>
  <c r="J48" i="5"/>
  <c r="I48" i="5"/>
  <c r="H48" i="5"/>
  <c r="G48" i="5"/>
  <c r="C151" i="5" s="1"/>
  <c r="F48" i="5"/>
  <c r="E48" i="5"/>
  <c r="D48" i="5"/>
  <c r="C48" i="5"/>
  <c r="B48" i="5"/>
  <c r="EG47" i="5"/>
  <c r="EF47" i="5"/>
  <c r="EE47" i="5"/>
  <c r="ED47" i="5"/>
  <c r="EC47" i="5"/>
  <c r="EB47" i="5"/>
  <c r="EA47" i="5"/>
  <c r="DZ47" i="5"/>
  <c r="DY47" i="5"/>
  <c r="B150" i="5" s="1"/>
  <c r="DX47" i="5"/>
  <c r="DW47" i="5"/>
  <c r="DV47" i="5"/>
  <c r="DU47" i="5"/>
  <c r="DT47" i="5"/>
  <c r="DS47" i="5"/>
  <c r="DR47" i="5"/>
  <c r="DQ47" i="5"/>
  <c r="DP47" i="5"/>
  <c r="DO47" i="5"/>
  <c r="DN47" i="5"/>
  <c r="DM47" i="5"/>
  <c r="F150" i="5" s="1"/>
  <c r="DL47" i="5"/>
  <c r="DK47" i="5"/>
  <c r="DJ47" i="5"/>
  <c r="DI47" i="5"/>
  <c r="DH47" i="5"/>
  <c r="DG47" i="5"/>
  <c r="DF47" i="5"/>
  <c r="DE47" i="5"/>
  <c r="DD47" i="5"/>
  <c r="DC47" i="5"/>
  <c r="DB47" i="5"/>
  <c r="J150" i="5" s="1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I150" i="5" s="1"/>
  <c r="AX47" i="5"/>
  <c r="AW47" i="5"/>
  <c r="AV47" i="5"/>
  <c r="AU47" i="5"/>
  <c r="AT47" i="5"/>
  <c r="AS47" i="5"/>
  <c r="AR47" i="5"/>
  <c r="AQ47" i="5"/>
  <c r="H150" i="5" s="1"/>
  <c r="AP47" i="5"/>
  <c r="AO47" i="5"/>
  <c r="AN47" i="5"/>
  <c r="K150" i="5" s="1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G150" i="5" s="1"/>
  <c r="V47" i="5"/>
  <c r="U47" i="5"/>
  <c r="T47" i="5"/>
  <c r="S47" i="5"/>
  <c r="R47" i="5"/>
  <c r="D150" i="5" s="1"/>
  <c r="Q47" i="5"/>
  <c r="E150" i="5" s="1"/>
  <c r="P47" i="5"/>
  <c r="O47" i="5"/>
  <c r="N47" i="5"/>
  <c r="M47" i="5"/>
  <c r="L47" i="5"/>
  <c r="K47" i="5"/>
  <c r="J47" i="5"/>
  <c r="I47" i="5"/>
  <c r="H47" i="5"/>
  <c r="G47" i="5"/>
  <c r="C150" i="5" s="1"/>
  <c r="F47" i="5"/>
  <c r="E47" i="5"/>
  <c r="D47" i="5"/>
  <c r="C47" i="5"/>
  <c r="B47" i="5"/>
  <c r="EG46" i="5"/>
  <c r="EF46" i="5"/>
  <c r="EE46" i="5"/>
  <c r="ED46" i="5"/>
  <c r="EC46" i="5"/>
  <c r="EB46" i="5"/>
  <c r="EA46" i="5"/>
  <c r="DZ46" i="5"/>
  <c r="DY46" i="5"/>
  <c r="B149" i="5" s="1"/>
  <c r="DX46" i="5"/>
  <c r="DW46" i="5"/>
  <c r="DV46" i="5"/>
  <c r="DU46" i="5"/>
  <c r="DT46" i="5"/>
  <c r="DS46" i="5"/>
  <c r="DR46" i="5"/>
  <c r="DQ46" i="5"/>
  <c r="DP46" i="5"/>
  <c r="DO46" i="5"/>
  <c r="DN46" i="5"/>
  <c r="DM46" i="5"/>
  <c r="F149" i="5" s="1"/>
  <c r="DL46" i="5"/>
  <c r="DK46" i="5"/>
  <c r="DJ46" i="5"/>
  <c r="DI46" i="5"/>
  <c r="DH46" i="5"/>
  <c r="DG46" i="5"/>
  <c r="DF46" i="5"/>
  <c r="DE46" i="5"/>
  <c r="DD46" i="5"/>
  <c r="DC46" i="5"/>
  <c r="DB46" i="5"/>
  <c r="J149" i="5" s="1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I149" i="5" s="1"/>
  <c r="AX46" i="5"/>
  <c r="AW46" i="5"/>
  <c r="AV46" i="5"/>
  <c r="AU46" i="5"/>
  <c r="AT46" i="5"/>
  <c r="AS46" i="5"/>
  <c r="AR46" i="5"/>
  <c r="AQ46" i="5"/>
  <c r="H149" i="5" s="1"/>
  <c r="AP46" i="5"/>
  <c r="AO46" i="5"/>
  <c r="AN46" i="5"/>
  <c r="K149" i="5" s="1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G149" i="5" s="1"/>
  <c r="V46" i="5"/>
  <c r="U46" i="5"/>
  <c r="T46" i="5"/>
  <c r="S46" i="5"/>
  <c r="R46" i="5"/>
  <c r="D149" i="5" s="1"/>
  <c r="Q46" i="5"/>
  <c r="E149" i="5" s="1"/>
  <c r="P46" i="5"/>
  <c r="O46" i="5"/>
  <c r="N46" i="5"/>
  <c r="M46" i="5"/>
  <c r="L46" i="5"/>
  <c r="K46" i="5"/>
  <c r="J46" i="5"/>
  <c r="I46" i="5"/>
  <c r="H46" i="5"/>
  <c r="G46" i="5"/>
  <c r="C149" i="5" s="1"/>
  <c r="F46" i="5"/>
  <c r="E46" i="5"/>
  <c r="D46" i="5"/>
  <c r="C46" i="5"/>
  <c r="B46" i="5"/>
  <c r="EG45" i="5"/>
  <c r="EF45" i="5"/>
  <c r="EE45" i="5"/>
  <c r="ED45" i="5"/>
  <c r="EC45" i="5"/>
  <c r="EB45" i="5"/>
  <c r="EA45" i="5"/>
  <c r="DZ45" i="5"/>
  <c r="DY45" i="5"/>
  <c r="B148" i="5" s="1"/>
  <c r="DX45" i="5"/>
  <c r="DW45" i="5"/>
  <c r="DV45" i="5"/>
  <c r="DU45" i="5"/>
  <c r="DT45" i="5"/>
  <c r="DS45" i="5"/>
  <c r="DR45" i="5"/>
  <c r="DQ45" i="5"/>
  <c r="DP45" i="5"/>
  <c r="DO45" i="5"/>
  <c r="DN45" i="5"/>
  <c r="DM45" i="5"/>
  <c r="F148" i="5" s="1"/>
  <c r="DL45" i="5"/>
  <c r="DK45" i="5"/>
  <c r="DJ45" i="5"/>
  <c r="DI45" i="5"/>
  <c r="DH45" i="5"/>
  <c r="DG45" i="5"/>
  <c r="DF45" i="5"/>
  <c r="DE45" i="5"/>
  <c r="DD45" i="5"/>
  <c r="DC45" i="5"/>
  <c r="DB45" i="5"/>
  <c r="J148" i="5" s="1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I148" i="5" s="1"/>
  <c r="AX45" i="5"/>
  <c r="AW45" i="5"/>
  <c r="AV45" i="5"/>
  <c r="AU45" i="5"/>
  <c r="AT45" i="5"/>
  <c r="AS45" i="5"/>
  <c r="AR45" i="5"/>
  <c r="AQ45" i="5"/>
  <c r="H148" i="5" s="1"/>
  <c r="AP45" i="5"/>
  <c r="AO45" i="5"/>
  <c r="AN45" i="5"/>
  <c r="K148" i="5" s="1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G148" i="5" s="1"/>
  <c r="V45" i="5"/>
  <c r="U45" i="5"/>
  <c r="T45" i="5"/>
  <c r="S45" i="5"/>
  <c r="R45" i="5"/>
  <c r="D148" i="5" s="1"/>
  <c r="Q45" i="5"/>
  <c r="E148" i="5" s="1"/>
  <c r="P45" i="5"/>
  <c r="O45" i="5"/>
  <c r="N45" i="5"/>
  <c r="M45" i="5"/>
  <c r="L45" i="5"/>
  <c r="K45" i="5"/>
  <c r="J45" i="5"/>
  <c r="I45" i="5"/>
  <c r="H45" i="5"/>
  <c r="G45" i="5"/>
  <c r="C148" i="5" s="1"/>
  <c r="F45" i="5"/>
  <c r="E45" i="5"/>
  <c r="D45" i="5"/>
  <c r="C45" i="5"/>
  <c r="B45" i="5"/>
  <c r="EG44" i="5"/>
  <c r="EF44" i="5"/>
  <c r="EE44" i="5"/>
  <c r="ED44" i="5"/>
  <c r="EC44" i="5"/>
  <c r="EB44" i="5"/>
  <c r="EA44" i="5"/>
  <c r="DZ44" i="5"/>
  <c r="DY44" i="5"/>
  <c r="B147" i="5" s="1"/>
  <c r="DX44" i="5"/>
  <c r="DW44" i="5"/>
  <c r="DV44" i="5"/>
  <c r="DU44" i="5"/>
  <c r="DT44" i="5"/>
  <c r="DS44" i="5"/>
  <c r="DR44" i="5"/>
  <c r="DQ44" i="5"/>
  <c r="DP44" i="5"/>
  <c r="DO44" i="5"/>
  <c r="DN44" i="5"/>
  <c r="DM44" i="5"/>
  <c r="F147" i="5" s="1"/>
  <c r="DL44" i="5"/>
  <c r="DK44" i="5"/>
  <c r="DJ44" i="5"/>
  <c r="DI44" i="5"/>
  <c r="DH44" i="5"/>
  <c r="DG44" i="5"/>
  <c r="DF44" i="5"/>
  <c r="DE44" i="5"/>
  <c r="DD44" i="5"/>
  <c r="DC44" i="5"/>
  <c r="DB44" i="5"/>
  <c r="J147" i="5" s="1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I147" i="5" s="1"/>
  <c r="AX44" i="5"/>
  <c r="AW44" i="5"/>
  <c r="AV44" i="5"/>
  <c r="AU44" i="5"/>
  <c r="AT44" i="5"/>
  <c r="AS44" i="5"/>
  <c r="AR44" i="5"/>
  <c r="AQ44" i="5"/>
  <c r="H147" i="5" s="1"/>
  <c r="AP44" i="5"/>
  <c r="AO44" i="5"/>
  <c r="AN44" i="5"/>
  <c r="K147" i="5" s="1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G147" i="5" s="1"/>
  <c r="V44" i="5"/>
  <c r="U44" i="5"/>
  <c r="T44" i="5"/>
  <c r="S44" i="5"/>
  <c r="R44" i="5"/>
  <c r="D147" i="5" s="1"/>
  <c r="Q44" i="5"/>
  <c r="E147" i="5" s="1"/>
  <c r="P44" i="5"/>
  <c r="O44" i="5"/>
  <c r="N44" i="5"/>
  <c r="M44" i="5"/>
  <c r="L44" i="5"/>
  <c r="K44" i="5"/>
  <c r="J44" i="5"/>
  <c r="I44" i="5"/>
  <c r="H44" i="5"/>
  <c r="G44" i="5"/>
  <c r="C147" i="5" s="1"/>
  <c r="F44" i="5"/>
  <c r="E44" i="5"/>
  <c r="D44" i="5"/>
  <c r="C44" i="5"/>
  <c r="B44" i="5"/>
  <c r="EG43" i="5"/>
  <c r="EF43" i="5"/>
  <c r="EE43" i="5"/>
  <c r="ED43" i="5"/>
  <c r="EC43" i="5"/>
  <c r="EB43" i="5"/>
  <c r="EA43" i="5"/>
  <c r="DZ43" i="5"/>
  <c r="DY43" i="5"/>
  <c r="B146" i="5" s="1"/>
  <c r="DX43" i="5"/>
  <c r="DW43" i="5"/>
  <c r="DV43" i="5"/>
  <c r="DU43" i="5"/>
  <c r="DT43" i="5"/>
  <c r="DS43" i="5"/>
  <c r="DR43" i="5"/>
  <c r="DQ43" i="5"/>
  <c r="DP43" i="5"/>
  <c r="DO43" i="5"/>
  <c r="DN43" i="5"/>
  <c r="DM43" i="5"/>
  <c r="F146" i="5" s="1"/>
  <c r="DL43" i="5"/>
  <c r="DK43" i="5"/>
  <c r="DJ43" i="5"/>
  <c r="DI43" i="5"/>
  <c r="DH43" i="5"/>
  <c r="DG43" i="5"/>
  <c r="DF43" i="5"/>
  <c r="DE43" i="5"/>
  <c r="DD43" i="5"/>
  <c r="DC43" i="5"/>
  <c r="DB43" i="5"/>
  <c r="J146" i="5" s="1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I146" i="5" s="1"/>
  <c r="AX43" i="5"/>
  <c r="AW43" i="5"/>
  <c r="AV43" i="5"/>
  <c r="AU43" i="5"/>
  <c r="AT43" i="5"/>
  <c r="AS43" i="5"/>
  <c r="AR43" i="5"/>
  <c r="AQ43" i="5"/>
  <c r="H146" i="5" s="1"/>
  <c r="AP43" i="5"/>
  <c r="AO43" i="5"/>
  <c r="AN43" i="5"/>
  <c r="K146" i="5" s="1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G146" i="5" s="1"/>
  <c r="V43" i="5"/>
  <c r="U43" i="5"/>
  <c r="T43" i="5"/>
  <c r="S43" i="5"/>
  <c r="R43" i="5"/>
  <c r="D146" i="5" s="1"/>
  <c r="Q43" i="5"/>
  <c r="E146" i="5" s="1"/>
  <c r="P43" i="5"/>
  <c r="O43" i="5"/>
  <c r="N43" i="5"/>
  <c r="M43" i="5"/>
  <c r="L43" i="5"/>
  <c r="K43" i="5"/>
  <c r="J43" i="5"/>
  <c r="I43" i="5"/>
  <c r="H43" i="5"/>
  <c r="G43" i="5"/>
  <c r="C146" i="5" s="1"/>
  <c r="F43" i="5"/>
  <c r="E43" i="5"/>
  <c r="D43" i="5"/>
  <c r="C43" i="5"/>
  <c r="B43" i="5"/>
  <c r="EG42" i="5"/>
  <c r="EF42" i="5"/>
  <c r="EE42" i="5"/>
  <c r="ED42" i="5"/>
  <c r="EC42" i="5"/>
  <c r="EB42" i="5"/>
  <c r="EA42" i="5"/>
  <c r="DZ42" i="5"/>
  <c r="DY42" i="5"/>
  <c r="B145" i="5" s="1"/>
  <c r="DX42" i="5"/>
  <c r="DW42" i="5"/>
  <c r="DV42" i="5"/>
  <c r="DU42" i="5"/>
  <c r="DT42" i="5"/>
  <c r="DS42" i="5"/>
  <c r="DR42" i="5"/>
  <c r="DQ42" i="5"/>
  <c r="DP42" i="5"/>
  <c r="DO42" i="5"/>
  <c r="DN42" i="5"/>
  <c r="DM42" i="5"/>
  <c r="F145" i="5" s="1"/>
  <c r="DL42" i="5"/>
  <c r="DK42" i="5"/>
  <c r="DJ42" i="5"/>
  <c r="DI42" i="5"/>
  <c r="DH42" i="5"/>
  <c r="DG42" i="5"/>
  <c r="DF42" i="5"/>
  <c r="DE42" i="5"/>
  <c r="DD42" i="5"/>
  <c r="DC42" i="5"/>
  <c r="DB42" i="5"/>
  <c r="J145" i="5" s="1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I145" i="5" s="1"/>
  <c r="AX42" i="5"/>
  <c r="AW42" i="5"/>
  <c r="AV42" i="5"/>
  <c r="AU42" i="5"/>
  <c r="AT42" i="5"/>
  <c r="AS42" i="5"/>
  <c r="AR42" i="5"/>
  <c r="AQ42" i="5"/>
  <c r="H145" i="5" s="1"/>
  <c r="AP42" i="5"/>
  <c r="AO42" i="5"/>
  <c r="AN42" i="5"/>
  <c r="K145" i="5" s="1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G145" i="5" s="1"/>
  <c r="V42" i="5"/>
  <c r="U42" i="5"/>
  <c r="T42" i="5"/>
  <c r="S42" i="5"/>
  <c r="R42" i="5"/>
  <c r="D145" i="5" s="1"/>
  <c r="Q42" i="5"/>
  <c r="E145" i="5" s="1"/>
  <c r="P42" i="5"/>
  <c r="O42" i="5"/>
  <c r="N42" i="5"/>
  <c r="M42" i="5"/>
  <c r="L42" i="5"/>
  <c r="K42" i="5"/>
  <c r="J42" i="5"/>
  <c r="I42" i="5"/>
  <c r="H42" i="5"/>
  <c r="G42" i="5"/>
  <c r="C145" i="5" s="1"/>
  <c r="F42" i="5"/>
  <c r="E42" i="5"/>
  <c r="D42" i="5"/>
  <c r="C42" i="5"/>
  <c r="B42" i="5"/>
  <c r="EG41" i="5"/>
  <c r="EF41" i="5"/>
  <c r="EE41" i="5"/>
  <c r="ED41" i="5"/>
  <c r="EC41" i="5"/>
  <c r="EB41" i="5"/>
  <c r="EA41" i="5"/>
  <c r="DZ41" i="5"/>
  <c r="DY41" i="5"/>
  <c r="B144" i="5" s="1"/>
  <c r="DX41" i="5"/>
  <c r="DW41" i="5"/>
  <c r="DV41" i="5"/>
  <c r="DU41" i="5"/>
  <c r="DT41" i="5"/>
  <c r="DS41" i="5"/>
  <c r="DR41" i="5"/>
  <c r="DQ41" i="5"/>
  <c r="DP41" i="5"/>
  <c r="DO41" i="5"/>
  <c r="DN41" i="5"/>
  <c r="DM41" i="5"/>
  <c r="F144" i="5" s="1"/>
  <c r="DL41" i="5"/>
  <c r="DK41" i="5"/>
  <c r="DJ41" i="5"/>
  <c r="DI41" i="5"/>
  <c r="DH41" i="5"/>
  <c r="DG41" i="5"/>
  <c r="DF41" i="5"/>
  <c r="DE41" i="5"/>
  <c r="DD41" i="5"/>
  <c r="DC41" i="5"/>
  <c r="DB41" i="5"/>
  <c r="J144" i="5" s="1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I144" i="5" s="1"/>
  <c r="AX41" i="5"/>
  <c r="AW41" i="5"/>
  <c r="AV41" i="5"/>
  <c r="AU41" i="5"/>
  <c r="AT41" i="5"/>
  <c r="AS41" i="5"/>
  <c r="AR41" i="5"/>
  <c r="AQ41" i="5"/>
  <c r="H144" i="5" s="1"/>
  <c r="AP41" i="5"/>
  <c r="AO41" i="5"/>
  <c r="AN41" i="5"/>
  <c r="K144" i="5" s="1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G144" i="5" s="1"/>
  <c r="V41" i="5"/>
  <c r="U41" i="5"/>
  <c r="T41" i="5"/>
  <c r="S41" i="5"/>
  <c r="R41" i="5"/>
  <c r="D144" i="5" s="1"/>
  <c r="Q41" i="5"/>
  <c r="E144" i="5" s="1"/>
  <c r="P41" i="5"/>
  <c r="O41" i="5"/>
  <c r="N41" i="5"/>
  <c r="M41" i="5"/>
  <c r="L41" i="5"/>
  <c r="K41" i="5"/>
  <c r="J41" i="5"/>
  <c r="I41" i="5"/>
  <c r="H41" i="5"/>
  <c r="G41" i="5"/>
  <c r="C144" i="5" s="1"/>
  <c r="F41" i="5"/>
  <c r="E41" i="5"/>
  <c r="D41" i="5"/>
  <c r="C41" i="5"/>
  <c r="B41" i="5"/>
  <c r="EG40" i="5"/>
  <c r="EF40" i="5"/>
  <c r="EE40" i="5"/>
  <c r="ED40" i="5"/>
  <c r="EC40" i="5"/>
  <c r="EB40" i="5"/>
  <c r="EA40" i="5"/>
  <c r="DZ40" i="5"/>
  <c r="DY40" i="5"/>
  <c r="B143" i="5" s="1"/>
  <c r="DX40" i="5"/>
  <c r="DW40" i="5"/>
  <c r="DV40" i="5"/>
  <c r="DU40" i="5"/>
  <c r="DT40" i="5"/>
  <c r="DS40" i="5"/>
  <c r="DR40" i="5"/>
  <c r="DQ40" i="5"/>
  <c r="DP40" i="5"/>
  <c r="DO40" i="5"/>
  <c r="DN40" i="5"/>
  <c r="DM40" i="5"/>
  <c r="F143" i="5" s="1"/>
  <c r="DL40" i="5"/>
  <c r="DK40" i="5"/>
  <c r="DJ40" i="5"/>
  <c r="DI40" i="5"/>
  <c r="DH40" i="5"/>
  <c r="DG40" i="5"/>
  <c r="DF40" i="5"/>
  <c r="DE40" i="5"/>
  <c r="DD40" i="5"/>
  <c r="DC40" i="5"/>
  <c r="DB40" i="5"/>
  <c r="J143" i="5" s="1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I143" i="5" s="1"/>
  <c r="AX40" i="5"/>
  <c r="AW40" i="5"/>
  <c r="AV40" i="5"/>
  <c r="AU40" i="5"/>
  <c r="AT40" i="5"/>
  <c r="AS40" i="5"/>
  <c r="AR40" i="5"/>
  <c r="AQ40" i="5"/>
  <c r="H143" i="5" s="1"/>
  <c r="AP40" i="5"/>
  <c r="AO40" i="5"/>
  <c r="AN40" i="5"/>
  <c r="K143" i="5" s="1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G143" i="5" s="1"/>
  <c r="V40" i="5"/>
  <c r="U40" i="5"/>
  <c r="T40" i="5"/>
  <c r="S40" i="5"/>
  <c r="R40" i="5"/>
  <c r="D143" i="5" s="1"/>
  <c r="Q40" i="5"/>
  <c r="E143" i="5" s="1"/>
  <c r="P40" i="5"/>
  <c r="O40" i="5"/>
  <c r="N40" i="5"/>
  <c r="M40" i="5"/>
  <c r="L40" i="5"/>
  <c r="K40" i="5"/>
  <c r="J40" i="5"/>
  <c r="I40" i="5"/>
  <c r="H40" i="5"/>
  <c r="G40" i="5"/>
  <c r="C143" i="5" s="1"/>
  <c r="F40" i="5"/>
  <c r="E40" i="5"/>
  <c r="D40" i="5"/>
  <c r="C40" i="5"/>
  <c r="B40" i="5"/>
  <c r="EG39" i="5"/>
  <c r="EF39" i="5"/>
  <c r="EE39" i="5"/>
  <c r="ED39" i="5"/>
  <c r="EC39" i="5"/>
  <c r="EB39" i="5"/>
  <c r="EA39" i="5"/>
  <c r="DZ39" i="5"/>
  <c r="DY39" i="5"/>
  <c r="B142" i="5" s="1"/>
  <c r="DX39" i="5"/>
  <c r="DW39" i="5"/>
  <c r="DV39" i="5"/>
  <c r="DU39" i="5"/>
  <c r="DT39" i="5"/>
  <c r="DS39" i="5"/>
  <c r="DR39" i="5"/>
  <c r="DQ39" i="5"/>
  <c r="DP39" i="5"/>
  <c r="DO39" i="5"/>
  <c r="DN39" i="5"/>
  <c r="DM39" i="5"/>
  <c r="F142" i="5" s="1"/>
  <c r="DL39" i="5"/>
  <c r="DK39" i="5"/>
  <c r="DJ39" i="5"/>
  <c r="DI39" i="5"/>
  <c r="DH39" i="5"/>
  <c r="DG39" i="5"/>
  <c r="DF39" i="5"/>
  <c r="DE39" i="5"/>
  <c r="DD39" i="5"/>
  <c r="DC39" i="5"/>
  <c r="DB39" i="5"/>
  <c r="J142" i="5" s="1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I142" i="5" s="1"/>
  <c r="AX39" i="5"/>
  <c r="AW39" i="5"/>
  <c r="AV39" i="5"/>
  <c r="AU39" i="5"/>
  <c r="AT39" i="5"/>
  <c r="AS39" i="5"/>
  <c r="AR39" i="5"/>
  <c r="AQ39" i="5"/>
  <c r="H142" i="5" s="1"/>
  <c r="AP39" i="5"/>
  <c r="AO39" i="5"/>
  <c r="AN39" i="5"/>
  <c r="K142" i="5" s="1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G142" i="5" s="1"/>
  <c r="V39" i="5"/>
  <c r="U39" i="5"/>
  <c r="T39" i="5"/>
  <c r="S39" i="5"/>
  <c r="R39" i="5"/>
  <c r="D142" i="5" s="1"/>
  <c r="Q39" i="5"/>
  <c r="E142" i="5" s="1"/>
  <c r="P39" i="5"/>
  <c r="O39" i="5"/>
  <c r="N39" i="5"/>
  <c r="M39" i="5"/>
  <c r="L39" i="5"/>
  <c r="K39" i="5"/>
  <c r="J39" i="5"/>
  <c r="I39" i="5"/>
  <c r="H39" i="5"/>
  <c r="G39" i="5"/>
  <c r="C142" i="5" s="1"/>
  <c r="F39" i="5"/>
  <c r="E39" i="5"/>
  <c r="D39" i="5"/>
  <c r="C39" i="5"/>
  <c r="B39" i="5"/>
  <c r="EG38" i="5"/>
  <c r="EF38" i="5"/>
  <c r="EE38" i="5"/>
  <c r="ED38" i="5"/>
  <c r="EC38" i="5"/>
  <c r="EB38" i="5"/>
  <c r="EA38" i="5"/>
  <c r="DZ38" i="5"/>
  <c r="DY38" i="5"/>
  <c r="B141" i="5" s="1"/>
  <c r="DX38" i="5"/>
  <c r="DW38" i="5"/>
  <c r="DV38" i="5"/>
  <c r="DU38" i="5"/>
  <c r="DT38" i="5"/>
  <c r="DS38" i="5"/>
  <c r="DR38" i="5"/>
  <c r="DQ38" i="5"/>
  <c r="DP38" i="5"/>
  <c r="DO38" i="5"/>
  <c r="DN38" i="5"/>
  <c r="DM38" i="5"/>
  <c r="F141" i="5" s="1"/>
  <c r="DL38" i="5"/>
  <c r="DK38" i="5"/>
  <c r="DJ38" i="5"/>
  <c r="DI38" i="5"/>
  <c r="DH38" i="5"/>
  <c r="DG38" i="5"/>
  <c r="DF38" i="5"/>
  <c r="DE38" i="5"/>
  <c r="DD38" i="5"/>
  <c r="DC38" i="5"/>
  <c r="DB38" i="5"/>
  <c r="J141" i="5" s="1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I141" i="5" s="1"/>
  <c r="AX38" i="5"/>
  <c r="AW38" i="5"/>
  <c r="AV38" i="5"/>
  <c r="AU38" i="5"/>
  <c r="AT38" i="5"/>
  <c r="AS38" i="5"/>
  <c r="AR38" i="5"/>
  <c r="AQ38" i="5"/>
  <c r="H141" i="5" s="1"/>
  <c r="AP38" i="5"/>
  <c r="AO38" i="5"/>
  <c r="AN38" i="5"/>
  <c r="K141" i="5" s="1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G141" i="5" s="1"/>
  <c r="V38" i="5"/>
  <c r="U38" i="5"/>
  <c r="T38" i="5"/>
  <c r="S38" i="5"/>
  <c r="R38" i="5"/>
  <c r="D141" i="5" s="1"/>
  <c r="Q38" i="5"/>
  <c r="E141" i="5" s="1"/>
  <c r="P38" i="5"/>
  <c r="O38" i="5"/>
  <c r="N38" i="5"/>
  <c r="M38" i="5"/>
  <c r="L38" i="5"/>
  <c r="K38" i="5"/>
  <c r="J38" i="5"/>
  <c r="I38" i="5"/>
  <c r="H38" i="5"/>
  <c r="G38" i="5"/>
  <c r="C141" i="5" s="1"/>
  <c r="F38" i="5"/>
  <c r="E38" i="5"/>
  <c r="D38" i="5"/>
  <c r="C38" i="5"/>
  <c r="B38" i="5"/>
  <c r="EG37" i="5"/>
  <c r="EF37" i="5"/>
  <c r="EE37" i="5"/>
  <c r="ED37" i="5"/>
  <c r="EC37" i="5"/>
  <c r="EB37" i="5"/>
  <c r="EA37" i="5"/>
  <c r="DZ37" i="5"/>
  <c r="DY37" i="5"/>
  <c r="B140" i="5" s="1"/>
  <c r="DX37" i="5"/>
  <c r="DW37" i="5"/>
  <c r="DV37" i="5"/>
  <c r="DU37" i="5"/>
  <c r="DT37" i="5"/>
  <c r="DS37" i="5"/>
  <c r="DR37" i="5"/>
  <c r="DQ37" i="5"/>
  <c r="DP37" i="5"/>
  <c r="DO37" i="5"/>
  <c r="DN37" i="5"/>
  <c r="DM37" i="5"/>
  <c r="F140" i="5" s="1"/>
  <c r="DL37" i="5"/>
  <c r="DK37" i="5"/>
  <c r="DJ37" i="5"/>
  <c r="DI37" i="5"/>
  <c r="DH37" i="5"/>
  <c r="DG37" i="5"/>
  <c r="DF37" i="5"/>
  <c r="DE37" i="5"/>
  <c r="DD37" i="5"/>
  <c r="DC37" i="5"/>
  <c r="DB37" i="5"/>
  <c r="J140" i="5" s="1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I140" i="5" s="1"/>
  <c r="AX37" i="5"/>
  <c r="AW37" i="5"/>
  <c r="AV37" i="5"/>
  <c r="AU37" i="5"/>
  <c r="AT37" i="5"/>
  <c r="AS37" i="5"/>
  <c r="AR37" i="5"/>
  <c r="AQ37" i="5"/>
  <c r="H140" i="5" s="1"/>
  <c r="AP37" i="5"/>
  <c r="AO37" i="5"/>
  <c r="AN37" i="5"/>
  <c r="K140" i="5" s="1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G140" i="5" s="1"/>
  <c r="V37" i="5"/>
  <c r="U37" i="5"/>
  <c r="T37" i="5"/>
  <c r="S37" i="5"/>
  <c r="R37" i="5"/>
  <c r="D140" i="5" s="1"/>
  <c r="Q37" i="5"/>
  <c r="E140" i="5" s="1"/>
  <c r="P37" i="5"/>
  <c r="O37" i="5"/>
  <c r="N37" i="5"/>
  <c r="M37" i="5"/>
  <c r="L37" i="5"/>
  <c r="K37" i="5"/>
  <c r="J37" i="5"/>
  <c r="I37" i="5"/>
  <c r="H37" i="5"/>
  <c r="G37" i="5"/>
  <c r="C140" i="5" s="1"/>
  <c r="F37" i="5"/>
  <c r="E37" i="5"/>
  <c r="D37" i="5"/>
  <c r="C37" i="5"/>
  <c r="B37" i="5"/>
  <c r="EG36" i="5"/>
  <c r="EF36" i="5"/>
  <c r="EE36" i="5"/>
  <c r="ED36" i="5"/>
  <c r="EC36" i="5"/>
  <c r="EB36" i="5"/>
  <c r="EA36" i="5"/>
  <c r="DZ36" i="5"/>
  <c r="DY36" i="5"/>
  <c r="B139" i="5" s="1"/>
  <c r="DX36" i="5"/>
  <c r="DW36" i="5"/>
  <c r="DV36" i="5"/>
  <c r="DU36" i="5"/>
  <c r="DT36" i="5"/>
  <c r="DS36" i="5"/>
  <c r="DR36" i="5"/>
  <c r="DQ36" i="5"/>
  <c r="DP36" i="5"/>
  <c r="DO36" i="5"/>
  <c r="DN36" i="5"/>
  <c r="DM36" i="5"/>
  <c r="F139" i="5" s="1"/>
  <c r="DL36" i="5"/>
  <c r="DK36" i="5"/>
  <c r="DJ36" i="5"/>
  <c r="DI36" i="5"/>
  <c r="DH36" i="5"/>
  <c r="DG36" i="5"/>
  <c r="DF36" i="5"/>
  <c r="DE36" i="5"/>
  <c r="DD36" i="5"/>
  <c r="DC36" i="5"/>
  <c r="DB36" i="5"/>
  <c r="J139" i="5" s="1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I139" i="5" s="1"/>
  <c r="AX36" i="5"/>
  <c r="AW36" i="5"/>
  <c r="AV36" i="5"/>
  <c r="AU36" i="5"/>
  <c r="AT36" i="5"/>
  <c r="AS36" i="5"/>
  <c r="AR36" i="5"/>
  <c r="AQ36" i="5"/>
  <c r="H139" i="5" s="1"/>
  <c r="AP36" i="5"/>
  <c r="AO36" i="5"/>
  <c r="AN36" i="5"/>
  <c r="K139" i="5" s="1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G139" i="5" s="1"/>
  <c r="V36" i="5"/>
  <c r="U36" i="5"/>
  <c r="T36" i="5"/>
  <c r="S36" i="5"/>
  <c r="R36" i="5"/>
  <c r="D139" i="5" s="1"/>
  <c r="Q36" i="5"/>
  <c r="E139" i="5" s="1"/>
  <c r="P36" i="5"/>
  <c r="O36" i="5"/>
  <c r="N36" i="5"/>
  <c r="M36" i="5"/>
  <c r="L36" i="5"/>
  <c r="K36" i="5"/>
  <c r="J36" i="5"/>
  <c r="I36" i="5"/>
  <c r="H36" i="5"/>
  <c r="G36" i="5"/>
  <c r="C139" i="5" s="1"/>
  <c r="F36" i="5"/>
  <c r="E36" i="5"/>
  <c r="D36" i="5"/>
  <c r="C36" i="5"/>
  <c r="B36" i="5"/>
  <c r="EG35" i="5"/>
  <c r="EF35" i="5"/>
  <c r="EE35" i="5"/>
  <c r="ED35" i="5"/>
  <c r="EC35" i="5"/>
  <c r="EB35" i="5"/>
  <c r="EA35" i="5"/>
  <c r="DZ35" i="5"/>
  <c r="DY35" i="5"/>
  <c r="B138" i="5" s="1"/>
  <c r="DX35" i="5"/>
  <c r="DW35" i="5"/>
  <c r="DV35" i="5"/>
  <c r="DU35" i="5"/>
  <c r="DT35" i="5"/>
  <c r="DS35" i="5"/>
  <c r="DR35" i="5"/>
  <c r="DQ35" i="5"/>
  <c r="DP35" i="5"/>
  <c r="DO35" i="5"/>
  <c r="DN35" i="5"/>
  <c r="DM35" i="5"/>
  <c r="F138" i="5" s="1"/>
  <c r="DL35" i="5"/>
  <c r="DK35" i="5"/>
  <c r="DJ35" i="5"/>
  <c r="DI35" i="5"/>
  <c r="DH35" i="5"/>
  <c r="DG35" i="5"/>
  <c r="DF35" i="5"/>
  <c r="DE35" i="5"/>
  <c r="DD35" i="5"/>
  <c r="DC35" i="5"/>
  <c r="DB35" i="5"/>
  <c r="J138" i="5" s="1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I138" i="5" s="1"/>
  <c r="AX35" i="5"/>
  <c r="AW35" i="5"/>
  <c r="AV35" i="5"/>
  <c r="AU35" i="5"/>
  <c r="AT35" i="5"/>
  <c r="AS35" i="5"/>
  <c r="AR35" i="5"/>
  <c r="AQ35" i="5"/>
  <c r="H138" i="5" s="1"/>
  <c r="AP35" i="5"/>
  <c r="AO35" i="5"/>
  <c r="AN35" i="5"/>
  <c r="K138" i="5" s="1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G138" i="5" s="1"/>
  <c r="V35" i="5"/>
  <c r="U35" i="5"/>
  <c r="T35" i="5"/>
  <c r="S35" i="5"/>
  <c r="R35" i="5"/>
  <c r="D138" i="5" s="1"/>
  <c r="Q35" i="5"/>
  <c r="E138" i="5" s="1"/>
  <c r="P35" i="5"/>
  <c r="O35" i="5"/>
  <c r="N35" i="5"/>
  <c r="M35" i="5"/>
  <c r="L35" i="5"/>
  <c r="K35" i="5"/>
  <c r="J35" i="5"/>
  <c r="I35" i="5"/>
  <c r="H35" i="5"/>
  <c r="G35" i="5"/>
  <c r="C138" i="5" s="1"/>
  <c r="F35" i="5"/>
  <c r="E35" i="5"/>
  <c r="D35" i="5"/>
  <c r="C35" i="5"/>
  <c r="B35" i="5"/>
  <c r="EG34" i="5"/>
  <c r="EF34" i="5"/>
  <c r="EE34" i="5"/>
  <c r="ED34" i="5"/>
  <c r="EC34" i="5"/>
  <c r="EB34" i="5"/>
  <c r="EA34" i="5"/>
  <c r="DZ34" i="5"/>
  <c r="DY34" i="5"/>
  <c r="B137" i="5" s="1"/>
  <c r="DX34" i="5"/>
  <c r="DW34" i="5"/>
  <c r="DV34" i="5"/>
  <c r="DU34" i="5"/>
  <c r="DT34" i="5"/>
  <c r="DS34" i="5"/>
  <c r="DR34" i="5"/>
  <c r="DQ34" i="5"/>
  <c r="DP34" i="5"/>
  <c r="DO34" i="5"/>
  <c r="DN34" i="5"/>
  <c r="DM34" i="5"/>
  <c r="F137" i="5" s="1"/>
  <c r="DL34" i="5"/>
  <c r="DK34" i="5"/>
  <c r="DJ34" i="5"/>
  <c r="DI34" i="5"/>
  <c r="DH34" i="5"/>
  <c r="DG34" i="5"/>
  <c r="DF34" i="5"/>
  <c r="DE34" i="5"/>
  <c r="DD34" i="5"/>
  <c r="DC34" i="5"/>
  <c r="DB34" i="5"/>
  <c r="J137" i="5" s="1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I137" i="5" s="1"/>
  <c r="AX34" i="5"/>
  <c r="AW34" i="5"/>
  <c r="AV34" i="5"/>
  <c r="AU34" i="5"/>
  <c r="AT34" i="5"/>
  <c r="AS34" i="5"/>
  <c r="AR34" i="5"/>
  <c r="AQ34" i="5"/>
  <c r="H137" i="5" s="1"/>
  <c r="AP34" i="5"/>
  <c r="AO34" i="5"/>
  <c r="AN34" i="5"/>
  <c r="K137" i="5" s="1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G137" i="5" s="1"/>
  <c r="V34" i="5"/>
  <c r="U34" i="5"/>
  <c r="T34" i="5"/>
  <c r="S34" i="5"/>
  <c r="R34" i="5"/>
  <c r="D137" i="5" s="1"/>
  <c r="Q34" i="5"/>
  <c r="E137" i="5" s="1"/>
  <c r="P34" i="5"/>
  <c r="O34" i="5"/>
  <c r="N34" i="5"/>
  <c r="M34" i="5"/>
  <c r="L34" i="5"/>
  <c r="K34" i="5"/>
  <c r="J34" i="5"/>
  <c r="I34" i="5"/>
  <c r="H34" i="5"/>
  <c r="G34" i="5"/>
  <c r="C137" i="5" s="1"/>
  <c r="F34" i="5"/>
  <c r="E34" i="5"/>
  <c r="D34" i="5"/>
  <c r="C34" i="5"/>
  <c r="B34" i="5"/>
  <c r="EG33" i="5"/>
  <c r="EF33" i="5"/>
  <c r="EE33" i="5"/>
  <c r="ED33" i="5"/>
  <c r="EC33" i="5"/>
  <c r="EB33" i="5"/>
  <c r="EA33" i="5"/>
  <c r="DZ33" i="5"/>
  <c r="DY33" i="5"/>
  <c r="B136" i="5" s="1"/>
  <c r="DX33" i="5"/>
  <c r="DW33" i="5"/>
  <c r="DV33" i="5"/>
  <c r="DU33" i="5"/>
  <c r="DT33" i="5"/>
  <c r="DS33" i="5"/>
  <c r="DR33" i="5"/>
  <c r="DQ33" i="5"/>
  <c r="DP33" i="5"/>
  <c r="DO33" i="5"/>
  <c r="DN33" i="5"/>
  <c r="DM33" i="5"/>
  <c r="F136" i="5" s="1"/>
  <c r="DL33" i="5"/>
  <c r="DK33" i="5"/>
  <c r="DJ33" i="5"/>
  <c r="DI33" i="5"/>
  <c r="DH33" i="5"/>
  <c r="DG33" i="5"/>
  <c r="DF33" i="5"/>
  <c r="DE33" i="5"/>
  <c r="DD33" i="5"/>
  <c r="DC33" i="5"/>
  <c r="DB33" i="5"/>
  <c r="J136" i="5" s="1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I136" i="5" s="1"/>
  <c r="AX33" i="5"/>
  <c r="AW33" i="5"/>
  <c r="AV33" i="5"/>
  <c r="AU33" i="5"/>
  <c r="AT33" i="5"/>
  <c r="AS33" i="5"/>
  <c r="AR33" i="5"/>
  <c r="AQ33" i="5"/>
  <c r="H136" i="5" s="1"/>
  <c r="AP33" i="5"/>
  <c r="AO33" i="5"/>
  <c r="AN33" i="5"/>
  <c r="K136" i="5" s="1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G136" i="5" s="1"/>
  <c r="V33" i="5"/>
  <c r="U33" i="5"/>
  <c r="T33" i="5"/>
  <c r="S33" i="5"/>
  <c r="R33" i="5"/>
  <c r="D136" i="5" s="1"/>
  <c r="Q33" i="5"/>
  <c r="E136" i="5" s="1"/>
  <c r="P33" i="5"/>
  <c r="O33" i="5"/>
  <c r="N33" i="5"/>
  <c r="M33" i="5"/>
  <c r="L33" i="5"/>
  <c r="K33" i="5"/>
  <c r="J33" i="5"/>
  <c r="I33" i="5"/>
  <c r="H33" i="5"/>
  <c r="G33" i="5"/>
  <c r="C136" i="5" s="1"/>
  <c r="F33" i="5"/>
  <c r="E33" i="5"/>
  <c r="D33" i="5"/>
  <c r="C33" i="5"/>
  <c r="B33" i="5"/>
  <c r="EG32" i="5"/>
  <c r="EF32" i="5"/>
  <c r="EE32" i="5"/>
  <c r="ED32" i="5"/>
  <c r="EC32" i="5"/>
  <c r="EB32" i="5"/>
  <c r="EA32" i="5"/>
  <c r="DZ32" i="5"/>
  <c r="DY32" i="5"/>
  <c r="B135" i="5" s="1"/>
  <c r="DX32" i="5"/>
  <c r="DW32" i="5"/>
  <c r="DV32" i="5"/>
  <c r="DU32" i="5"/>
  <c r="DT32" i="5"/>
  <c r="DS32" i="5"/>
  <c r="DR32" i="5"/>
  <c r="DQ32" i="5"/>
  <c r="DP32" i="5"/>
  <c r="DO32" i="5"/>
  <c r="DN32" i="5"/>
  <c r="DM32" i="5"/>
  <c r="F135" i="5" s="1"/>
  <c r="DL32" i="5"/>
  <c r="DK32" i="5"/>
  <c r="DJ32" i="5"/>
  <c r="DI32" i="5"/>
  <c r="DH32" i="5"/>
  <c r="DG32" i="5"/>
  <c r="DF32" i="5"/>
  <c r="DE32" i="5"/>
  <c r="DD32" i="5"/>
  <c r="DC32" i="5"/>
  <c r="DB32" i="5"/>
  <c r="J135" i="5" s="1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I135" i="5" s="1"/>
  <c r="AX32" i="5"/>
  <c r="AW32" i="5"/>
  <c r="AV32" i="5"/>
  <c r="AU32" i="5"/>
  <c r="AT32" i="5"/>
  <c r="AS32" i="5"/>
  <c r="AR32" i="5"/>
  <c r="AQ32" i="5"/>
  <c r="H135" i="5" s="1"/>
  <c r="AP32" i="5"/>
  <c r="AO32" i="5"/>
  <c r="AN32" i="5"/>
  <c r="K135" i="5" s="1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G135" i="5" s="1"/>
  <c r="V32" i="5"/>
  <c r="U32" i="5"/>
  <c r="T32" i="5"/>
  <c r="S32" i="5"/>
  <c r="R32" i="5"/>
  <c r="D135" i="5" s="1"/>
  <c r="Q32" i="5"/>
  <c r="E135" i="5" s="1"/>
  <c r="P32" i="5"/>
  <c r="O32" i="5"/>
  <c r="N32" i="5"/>
  <c r="M32" i="5"/>
  <c r="L32" i="5"/>
  <c r="K32" i="5"/>
  <c r="J32" i="5"/>
  <c r="I32" i="5"/>
  <c r="H32" i="5"/>
  <c r="G32" i="5"/>
  <c r="C135" i="5" s="1"/>
  <c r="F32" i="5"/>
  <c r="E32" i="5"/>
  <c r="D32" i="5"/>
  <c r="C32" i="5"/>
  <c r="B32" i="5"/>
  <c r="EG31" i="5"/>
  <c r="EF31" i="5"/>
  <c r="EE31" i="5"/>
  <c r="ED31" i="5"/>
  <c r="EC31" i="5"/>
  <c r="EB31" i="5"/>
  <c r="EA31" i="5"/>
  <c r="DZ31" i="5"/>
  <c r="DY31" i="5"/>
  <c r="B134" i="5" s="1"/>
  <c r="DX31" i="5"/>
  <c r="DW31" i="5"/>
  <c r="DV31" i="5"/>
  <c r="DU31" i="5"/>
  <c r="DT31" i="5"/>
  <c r="DS31" i="5"/>
  <c r="DR31" i="5"/>
  <c r="DQ31" i="5"/>
  <c r="DP31" i="5"/>
  <c r="DO31" i="5"/>
  <c r="DN31" i="5"/>
  <c r="DM31" i="5"/>
  <c r="F134" i="5" s="1"/>
  <c r="DL31" i="5"/>
  <c r="DK31" i="5"/>
  <c r="DJ31" i="5"/>
  <c r="DI31" i="5"/>
  <c r="DH31" i="5"/>
  <c r="DG31" i="5"/>
  <c r="DF31" i="5"/>
  <c r="DE31" i="5"/>
  <c r="DD31" i="5"/>
  <c r="DC31" i="5"/>
  <c r="DB31" i="5"/>
  <c r="J134" i="5" s="1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I134" i="5" s="1"/>
  <c r="AX31" i="5"/>
  <c r="AW31" i="5"/>
  <c r="AV31" i="5"/>
  <c r="AU31" i="5"/>
  <c r="AT31" i="5"/>
  <c r="AS31" i="5"/>
  <c r="AR31" i="5"/>
  <c r="AQ31" i="5"/>
  <c r="H134" i="5" s="1"/>
  <c r="AP31" i="5"/>
  <c r="AO31" i="5"/>
  <c r="AN31" i="5"/>
  <c r="K134" i="5" s="1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G134" i="5" s="1"/>
  <c r="V31" i="5"/>
  <c r="U31" i="5"/>
  <c r="T31" i="5"/>
  <c r="S31" i="5"/>
  <c r="R31" i="5"/>
  <c r="D134" i="5" s="1"/>
  <c r="Q31" i="5"/>
  <c r="E134" i="5" s="1"/>
  <c r="P31" i="5"/>
  <c r="O31" i="5"/>
  <c r="N31" i="5"/>
  <c r="M31" i="5"/>
  <c r="L31" i="5"/>
  <c r="K31" i="5"/>
  <c r="J31" i="5"/>
  <c r="I31" i="5"/>
  <c r="H31" i="5"/>
  <c r="G31" i="5"/>
  <c r="C134" i="5" s="1"/>
  <c r="F31" i="5"/>
  <c r="E31" i="5"/>
  <c r="D31" i="5"/>
  <c r="C31" i="5"/>
  <c r="B31" i="5"/>
  <c r="EG30" i="5"/>
  <c r="EF30" i="5"/>
  <c r="EE30" i="5"/>
  <c r="ED30" i="5"/>
  <c r="EC30" i="5"/>
  <c r="EB30" i="5"/>
  <c r="EA30" i="5"/>
  <c r="DZ30" i="5"/>
  <c r="DY30" i="5"/>
  <c r="B133" i="5" s="1"/>
  <c r="DX30" i="5"/>
  <c r="DW30" i="5"/>
  <c r="DV30" i="5"/>
  <c r="DU30" i="5"/>
  <c r="DT30" i="5"/>
  <c r="DS30" i="5"/>
  <c r="DR30" i="5"/>
  <c r="DQ30" i="5"/>
  <c r="DP30" i="5"/>
  <c r="DO30" i="5"/>
  <c r="DN30" i="5"/>
  <c r="DM30" i="5"/>
  <c r="F133" i="5" s="1"/>
  <c r="DL30" i="5"/>
  <c r="DK30" i="5"/>
  <c r="DJ30" i="5"/>
  <c r="DI30" i="5"/>
  <c r="DH30" i="5"/>
  <c r="DG30" i="5"/>
  <c r="DF30" i="5"/>
  <c r="DE30" i="5"/>
  <c r="DD30" i="5"/>
  <c r="DC30" i="5"/>
  <c r="DB30" i="5"/>
  <c r="J133" i="5" s="1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I133" i="5" s="1"/>
  <c r="AX30" i="5"/>
  <c r="AW30" i="5"/>
  <c r="AV30" i="5"/>
  <c r="AU30" i="5"/>
  <c r="AT30" i="5"/>
  <c r="AS30" i="5"/>
  <c r="AR30" i="5"/>
  <c r="AQ30" i="5"/>
  <c r="H133" i="5" s="1"/>
  <c r="AP30" i="5"/>
  <c r="AO30" i="5"/>
  <c r="AN30" i="5"/>
  <c r="K133" i="5" s="1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G133" i="5" s="1"/>
  <c r="V30" i="5"/>
  <c r="U30" i="5"/>
  <c r="T30" i="5"/>
  <c r="S30" i="5"/>
  <c r="R30" i="5"/>
  <c r="D133" i="5" s="1"/>
  <c r="Q30" i="5"/>
  <c r="E133" i="5" s="1"/>
  <c r="P30" i="5"/>
  <c r="O30" i="5"/>
  <c r="N30" i="5"/>
  <c r="M30" i="5"/>
  <c r="L30" i="5"/>
  <c r="K30" i="5"/>
  <c r="J30" i="5"/>
  <c r="I30" i="5"/>
  <c r="H30" i="5"/>
  <c r="G30" i="5"/>
  <c r="C133" i="5" s="1"/>
  <c r="F30" i="5"/>
  <c r="E30" i="5"/>
  <c r="D30" i="5"/>
  <c r="C30" i="5"/>
  <c r="B30" i="5"/>
  <c r="EG29" i="5"/>
  <c r="EF29" i="5"/>
  <c r="EE29" i="5"/>
  <c r="ED29" i="5"/>
  <c r="EC29" i="5"/>
  <c r="EB29" i="5"/>
  <c r="EA29" i="5"/>
  <c r="DZ29" i="5"/>
  <c r="DY29" i="5"/>
  <c r="B132" i="5" s="1"/>
  <c r="DX29" i="5"/>
  <c r="DW29" i="5"/>
  <c r="DV29" i="5"/>
  <c r="DU29" i="5"/>
  <c r="DT29" i="5"/>
  <c r="DS29" i="5"/>
  <c r="DR29" i="5"/>
  <c r="DQ29" i="5"/>
  <c r="DP29" i="5"/>
  <c r="DO29" i="5"/>
  <c r="DN29" i="5"/>
  <c r="DM29" i="5"/>
  <c r="F132" i="5" s="1"/>
  <c r="DL29" i="5"/>
  <c r="DK29" i="5"/>
  <c r="DJ29" i="5"/>
  <c r="DI29" i="5"/>
  <c r="DH29" i="5"/>
  <c r="DG29" i="5"/>
  <c r="DF29" i="5"/>
  <c r="DE29" i="5"/>
  <c r="DD29" i="5"/>
  <c r="DC29" i="5"/>
  <c r="DB29" i="5"/>
  <c r="J132" i="5" s="1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I132" i="5" s="1"/>
  <c r="AX29" i="5"/>
  <c r="AW29" i="5"/>
  <c r="AV29" i="5"/>
  <c r="AU29" i="5"/>
  <c r="AT29" i="5"/>
  <c r="AS29" i="5"/>
  <c r="AR29" i="5"/>
  <c r="AQ29" i="5"/>
  <c r="H132" i="5" s="1"/>
  <c r="AP29" i="5"/>
  <c r="AO29" i="5"/>
  <c r="AN29" i="5"/>
  <c r="K132" i="5" s="1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G132" i="5" s="1"/>
  <c r="V29" i="5"/>
  <c r="U29" i="5"/>
  <c r="T29" i="5"/>
  <c r="S29" i="5"/>
  <c r="R29" i="5"/>
  <c r="D132" i="5" s="1"/>
  <c r="Q29" i="5"/>
  <c r="E132" i="5" s="1"/>
  <c r="P29" i="5"/>
  <c r="O29" i="5"/>
  <c r="N29" i="5"/>
  <c r="M29" i="5"/>
  <c r="L29" i="5"/>
  <c r="K29" i="5"/>
  <c r="J29" i="5"/>
  <c r="I29" i="5"/>
  <c r="H29" i="5"/>
  <c r="G29" i="5"/>
  <c r="C132" i="5" s="1"/>
  <c r="F29" i="5"/>
  <c r="E29" i="5"/>
  <c r="D29" i="5"/>
  <c r="C29" i="5"/>
  <c r="B29" i="5"/>
  <c r="EG26" i="5"/>
  <c r="EF26" i="5"/>
  <c r="EE26" i="5"/>
  <c r="ED26" i="5"/>
  <c r="EC26" i="5"/>
  <c r="EB26" i="5"/>
  <c r="EA26" i="5"/>
  <c r="DZ26" i="5"/>
  <c r="DY26" i="5"/>
  <c r="DX26" i="5"/>
  <c r="DW26" i="5"/>
  <c r="DV26" i="5"/>
  <c r="DU26" i="5"/>
  <c r="DT26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EG25" i="5"/>
  <c r="EF25" i="5"/>
  <c r="EE25" i="5"/>
  <c r="ED25" i="5"/>
  <c r="EC25" i="5"/>
  <c r="EB25" i="5"/>
  <c r="EA25" i="5"/>
  <c r="DZ25" i="5"/>
  <c r="DY25" i="5"/>
  <c r="DX25" i="5"/>
  <c r="DW25" i="5"/>
  <c r="DV25" i="5"/>
  <c r="DU25" i="5"/>
  <c r="DT25" i="5"/>
  <c r="DS25" i="5"/>
  <c r="DR25" i="5"/>
  <c r="DQ25" i="5"/>
  <c r="DP25" i="5"/>
  <c r="DO25" i="5"/>
  <c r="DN25" i="5"/>
  <c r="DM25" i="5"/>
  <c r="DL25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EG24" i="5"/>
  <c r="EF24" i="5"/>
  <c r="EE24" i="5"/>
  <c r="ED24" i="5"/>
  <c r="EC24" i="5"/>
  <c r="EB24" i="5"/>
  <c r="EA24" i="5"/>
  <c r="DZ24" i="5"/>
  <c r="DY24" i="5"/>
  <c r="DX24" i="5"/>
  <c r="DW24" i="5"/>
  <c r="DV24" i="5"/>
  <c r="DU24" i="5"/>
  <c r="DT24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EG23" i="5"/>
  <c r="EF23" i="5"/>
  <c r="EE23" i="5"/>
  <c r="ED23" i="5"/>
  <c r="EC23" i="5"/>
  <c r="EB23" i="5"/>
  <c r="EA23" i="5"/>
  <c r="DZ23" i="5"/>
  <c r="DY23" i="5"/>
  <c r="DX23" i="5"/>
  <c r="DW23" i="5"/>
  <c r="DV23" i="5"/>
  <c r="DU23" i="5"/>
  <c r="DT23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EG22" i="5"/>
  <c r="EF22" i="5"/>
  <c r="EE22" i="5"/>
  <c r="ED22" i="5"/>
  <c r="EC22" i="5"/>
  <c r="EB22" i="5"/>
  <c r="EA22" i="5"/>
  <c r="DZ22" i="5"/>
  <c r="DY22" i="5"/>
  <c r="DX22" i="5"/>
  <c r="DW22" i="5"/>
  <c r="DV22" i="5"/>
  <c r="DU22" i="5"/>
  <c r="DT22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EG21" i="5"/>
  <c r="EF21" i="5"/>
  <c r="EE21" i="5"/>
  <c r="ED21" i="5"/>
  <c r="EC21" i="5"/>
  <c r="EB21" i="5"/>
  <c r="EA21" i="5"/>
  <c r="DZ21" i="5"/>
  <c r="DY21" i="5"/>
  <c r="DX21" i="5"/>
  <c r="DW21" i="5"/>
  <c r="DV21" i="5"/>
  <c r="DU21" i="5"/>
  <c r="DT21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EG20" i="5"/>
  <c r="EF20" i="5"/>
  <c r="EE20" i="5"/>
  <c r="ED20" i="5"/>
  <c r="EC20" i="5"/>
  <c r="EB20" i="5"/>
  <c r="EA20" i="5"/>
  <c r="DZ20" i="5"/>
  <c r="DY20" i="5"/>
  <c r="DX20" i="5"/>
  <c r="DW20" i="5"/>
  <c r="DV20" i="5"/>
  <c r="DU20" i="5"/>
  <c r="DT20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EG19" i="5"/>
  <c r="EF19" i="5"/>
  <c r="EE19" i="5"/>
  <c r="ED19" i="5"/>
  <c r="EC19" i="5"/>
  <c r="EB19" i="5"/>
  <c r="EA19" i="5"/>
  <c r="DZ19" i="5"/>
  <c r="DY19" i="5"/>
  <c r="DX19" i="5"/>
  <c r="DW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EG18" i="5"/>
  <c r="EF18" i="5"/>
  <c r="EE18" i="5"/>
  <c r="ED18" i="5"/>
  <c r="EC18" i="5"/>
  <c r="EB18" i="5"/>
  <c r="EA18" i="5"/>
  <c r="DZ18" i="5"/>
  <c r="DY18" i="5"/>
  <c r="DX18" i="5"/>
  <c r="DW18" i="5"/>
  <c r="DV18" i="5"/>
  <c r="DU18" i="5"/>
  <c r="DT18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EG17" i="5"/>
  <c r="EF17" i="5"/>
  <c r="EE17" i="5"/>
  <c r="ED17" i="5"/>
  <c r="EC17" i="5"/>
  <c r="EB17" i="5"/>
  <c r="EA17" i="5"/>
  <c r="DZ17" i="5"/>
  <c r="DY17" i="5"/>
  <c r="DX17" i="5"/>
  <c r="DW17" i="5"/>
  <c r="DV17" i="5"/>
  <c r="DU17" i="5"/>
  <c r="DT17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EG16" i="5"/>
  <c r="EF16" i="5"/>
  <c r="EE16" i="5"/>
  <c r="ED16" i="5"/>
  <c r="EC16" i="5"/>
  <c r="EB16" i="5"/>
  <c r="EA16" i="5"/>
  <c r="DZ16" i="5"/>
  <c r="DY16" i="5"/>
  <c r="DX16" i="5"/>
  <c r="DW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EG15" i="5"/>
  <c r="EF15" i="5"/>
  <c r="EE15" i="5"/>
  <c r="ED15" i="5"/>
  <c r="EC15" i="5"/>
  <c r="EB15" i="5"/>
  <c r="EA15" i="5"/>
  <c r="DZ15" i="5"/>
  <c r="DY15" i="5"/>
  <c r="DX15" i="5"/>
  <c r="DW15" i="5"/>
  <c r="DV15" i="5"/>
  <c r="DU15" i="5"/>
  <c r="DT15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EG14" i="5"/>
  <c r="EF14" i="5"/>
  <c r="EE14" i="5"/>
  <c r="ED14" i="5"/>
  <c r="EC14" i="5"/>
  <c r="EB14" i="5"/>
  <c r="EA14" i="5"/>
  <c r="DZ14" i="5"/>
  <c r="DY14" i="5"/>
  <c r="DX14" i="5"/>
  <c r="DW14" i="5"/>
  <c r="DV14" i="5"/>
  <c r="DU14" i="5"/>
  <c r="DT14" i="5"/>
  <c r="DS14" i="5"/>
  <c r="DR14" i="5"/>
  <c r="DQ14" i="5"/>
  <c r="DP14" i="5"/>
  <c r="DO14" i="5"/>
  <c r="DN14" i="5"/>
  <c r="DM14" i="5"/>
  <c r="DL14" i="5"/>
  <c r="DK14" i="5"/>
  <c r="DJ14" i="5"/>
  <c r="DI14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EG13" i="5"/>
  <c r="EF13" i="5"/>
  <c r="EE13" i="5"/>
  <c r="ED13" i="5"/>
  <c r="EC13" i="5"/>
  <c r="EB13" i="5"/>
  <c r="EA13" i="5"/>
  <c r="DZ13" i="5"/>
  <c r="DY13" i="5"/>
  <c r="DX13" i="5"/>
  <c r="DW13" i="5"/>
  <c r="DV13" i="5"/>
  <c r="DU13" i="5"/>
  <c r="DT13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EG12" i="5"/>
  <c r="EF12" i="5"/>
  <c r="EE12" i="5"/>
  <c r="ED12" i="5"/>
  <c r="EC12" i="5"/>
  <c r="EB12" i="5"/>
  <c r="EA12" i="5"/>
  <c r="DZ12" i="5"/>
  <c r="DY12" i="5"/>
  <c r="DX12" i="5"/>
  <c r="DW12" i="5"/>
  <c r="DV12" i="5"/>
  <c r="DU12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EG11" i="5"/>
  <c r="EF11" i="5"/>
  <c r="EE11" i="5"/>
  <c r="ED11" i="5"/>
  <c r="EC11" i="5"/>
  <c r="EB11" i="5"/>
  <c r="EA11" i="5"/>
  <c r="DZ11" i="5"/>
  <c r="DY11" i="5"/>
  <c r="DX11" i="5"/>
  <c r="DW11" i="5"/>
  <c r="DV11" i="5"/>
  <c r="DU11" i="5"/>
  <c r="DT11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EG10" i="5"/>
  <c r="EF10" i="5"/>
  <c r="EE10" i="5"/>
  <c r="ED10" i="5"/>
  <c r="EC10" i="5"/>
  <c r="EB10" i="5"/>
  <c r="EA10" i="5"/>
  <c r="DZ10" i="5"/>
  <c r="DY10" i="5"/>
  <c r="DX10" i="5"/>
  <c r="DW10" i="5"/>
  <c r="DV10" i="5"/>
  <c r="DU10" i="5"/>
  <c r="DT10" i="5"/>
  <c r="DS10" i="5"/>
  <c r="DR10" i="5"/>
  <c r="DQ10" i="5"/>
  <c r="DP10" i="5"/>
  <c r="DO10" i="5"/>
  <c r="DN10" i="5"/>
  <c r="DM10" i="5"/>
  <c r="DL10" i="5"/>
  <c r="DK10" i="5"/>
  <c r="DJ10" i="5"/>
  <c r="DI10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J10" i="5"/>
  <c r="CI10" i="5"/>
  <c r="CH10" i="5"/>
  <c r="CG10" i="5"/>
  <c r="CF10" i="5"/>
  <c r="CE10" i="5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EG9" i="5"/>
  <c r="EF9" i="5"/>
  <c r="EE9" i="5"/>
  <c r="ED9" i="5"/>
  <c r="EC9" i="5"/>
  <c r="EB9" i="5"/>
  <c r="EA9" i="5"/>
  <c r="DZ9" i="5"/>
  <c r="DY9" i="5"/>
  <c r="DX9" i="5"/>
  <c r="DW9" i="5"/>
  <c r="DV9" i="5"/>
  <c r="DU9" i="5"/>
  <c r="DT9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EG8" i="5"/>
  <c r="EF8" i="5"/>
  <c r="EE8" i="5"/>
  <c r="ED8" i="5"/>
  <c r="EC8" i="5"/>
  <c r="EB8" i="5"/>
  <c r="EA8" i="5"/>
  <c r="DZ8" i="5"/>
  <c r="DY8" i="5"/>
  <c r="DX8" i="5"/>
  <c r="DW8" i="5"/>
  <c r="DV8" i="5"/>
  <c r="DU8" i="5"/>
  <c r="DT8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EG7" i="5"/>
  <c r="EF7" i="5"/>
  <c r="EE7" i="5"/>
  <c r="ED7" i="5"/>
  <c r="EC7" i="5"/>
  <c r="EB7" i="5"/>
  <c r="EA7" i="5"/>
  <c r="DZ7" i="5"/>
  <c r="DY7" i="5"/>
  <c r="DX7" i="5"/>
  <c r="DW7" i="5"/>
  <c r="DV7" i="5"/>
  <c r="DU7" i="5"/>
  <c r="DT7" i="5"/>
  <c r="DS7" i="5"/>
  <c r="DR7" i="5"/>
  <c r="DQ7" i="5"/>
  <c r="DP7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EG6" i="5"/>
  <c r="EF6" i="5"/>
  <c r="EE6" i="5"/>
  <c r="ED6" i="5"/>
  <c r="EC6" i="5"/>
  <c r="EB6" i="5"/>
  <c r="EA6" i="5"/>
  <c r="DZ6" i="5"/>
  <c r="DY6" i="5"/>
  <c r="DX6" i="5"/>
  <c r="DW6" i="5"/>
  <c r="DV6" i="5"/>
  <c r="DU6" i="5"/>
  <c r="DT6" i="5"/>
  <c r="DS6" i="5"/>
  <c r="DR6" i="5"/>
  <c r="DQ6" i="5"/>
  <c r="DP6" i="5"/>
  <c r="DO6" i="5"/>
  <c r="DN6" i="5"/>
  <c r="DM6" i="5"/>
  <c r="DL6" i="5"/>
  <c r="DK6" i="5"/>
  <c r="DJ6" i="5"/>
  <c r="DI6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L140" i="5" l="1"/>
  <c r="L145" i="5"/>
  <c r="L150" i="5"/>
  <c r="L135" i="5"/>
  <c r="L149" i="5"/>
  <c r="L132" i="5"/>
  <c r="L137" i="5"/>
  <c r="L142" i="5"/>
  <c r="L147" i="5"/>
  <c r="L152" i="5"/>
  <c r="L134" i="5"/>
  <c r="L139" i="5"/>
  <c r="L136" i="5"/>
  <c r="L141" i="5"/>
  <c r="L146" i="5"/>
  <c r="L151" i="5"/>
  <c r="L144" i="5"/>
  <c r="L133" i="5"/>
  <c r="L138" i="5"/>
  <c r="L143" i="5"/>
  <c r="L148" i="5"/>
  <c r="Z134" i="5"/>
  <c r="Z139" i="5"/>
  <c r="Z144" i="5"/>
  <c r="Z149" i="5"/>
  <c r="U132" i="5"/>
  <c r="Z132" i="5" s="1"/>
  <c r="U137" i="5"/>
  <c r="Z137" i="5" s="1"/>
  <c r="U142" i="5"/>
  <c r="Z142" i="5" s="1"/>
  <c r="U147" i="5"/>
  <c r="Z147" i="5" s="1"/>
  <c r="U152" i="5"/>
  <c r="Z152" i="5" s="1"/>
  <c r="Z135" i="5"/>
  <c r="Z140" i="5"/>
  <c r="Z145" i="5"/>
  <c r="Z150" i="5"/>
  <c r="U133" i="5"/>
  <c r="Z133" i="5" s="1"/>
  <c r="U138" i="5"/>
  <c r="Z138" i="5" s="1"/>
  <c r="U143" i="5"/>
  <c r="Z143" i="5" s="1"/>
  <c r="U148" i="5"/>
  <c r="Z148" i="5" s="1"/>
  <c r="Z136" i="5"/>
  <c r="Z141" i="5"/>
  <c r="Z146" i="5"/>
  <c r="Z1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A58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Dell:
Not on internal doc.
</t>
        </r>
      </text>
    </comment>
  </commentList>
</comments>
</file>

<file path=xl/sharedStrings.xml><?xml version="1.0" encoding="utf-8"?>
<sst xmlns="http://schemas.openxmlformats.org/spreadsheetml/2006/main" count="66367" uniqueCount="3429">
  <si>
    <t>China FDI annual analysis from Dataset 1</t>
  </si>
  <si>
    <t>Flows are annual sums of Quantity in Millions. Stock is a gross cumulative recorded-investment proxy, not an official FDI position measure.</t>
  </si>
  <si>
    <t>By destination country</t>
  </si>
  <si>
    <t>Annual flow (USD millions)</t>
  </si>
  <si>
    <t>Afghanistan</t>
  </si>
  <si>
    <t>Algeria</t>
  </si>
  <si>
    <t>Angola</t>
  </si>
  <si>
    <t>Antigua and Barbuda</t>
  </si>
  <si>
    <t>Argentina</t>
  </si>
  <si>
    <t>Australia</t>
  </si>
  <si>
    <t>Austria</t>
  </si>
  <si>
    <t>Azerbaijan</t>
  </si>
  <si>
    <t>Bahamas</t>
  </si>
  <si>
    <t>Bangladesh</t>
  </si>
  <si>
    <t>Belarus</t>
  </si>
  <si>
    <t>Belgium</t>
  </si>
  <si>
    <t>Bolivia</t>
  </si>
  <si>
    <t>Bosnia</t>
  </si>
  <si>
    <t>Botswana</t>
  </si>
  <si>
    <t>Brazil</t>
  </si>
  <si>
    <t>Britain</t>
  </si>
  <si>
    <t>Brunei</t>
  </si>
  <si>
    <t>Bulgaria</t>
  </si>
  <si>
    <t>Cambodia</t>
  </si>
  <si>
    <t>Cameroon</t>
  </si>
  <si>
    <t>Canada</t>
  </si>
  <si>
    <t>Chad</t>
  </si>
  <si>
    <t>Chile</t>
  </si>
  <si>
    <t>Colombia</t>
  </si>
  <si>
    <t>Congo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</si>
  <si>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</si>
  <si>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</si>
  <si>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</si>
  <si>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</si>
  <si>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</si>
  <si>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</si>
  <si>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</si>
  <si>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Ecuador</t>
  </si>
  <si>
    <t>Egypt</t>
  </si>
  <si>
    <t>Eritrea</t>
  </si>
  <si>
    <t>Ethiopia</t>
  </si>
  <si>
    <t>Finland</t>
  </si>
  <si>
    <t>France</t>
  </si>
  <si>
    <t>Gabon</t>
  </si>
  <si>
    <t>Georgia</t>
  </si>
  <si>
    <t>Germany</t>
  </si>
  <si>
    <t>Ghana</t>
  </si>
  <si>
    <t>Greece</t>
  </si>
  <si>
    <t>Guinea</t>
  </si>
  <si>
    <t>Guinea-Bissau</t>
  </si>
  <si>
    <t>Guyana</t>
  </si>
  <si>
    <t>Hungary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</si>
  <si>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</si>
  <si>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</si>
  <si>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</si>
  <si>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</si>
  <si>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</si>
  <si>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</si>
  <si>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</si>
  <si>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</si>
  <si>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</si>
  <si>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</si>
  <si>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</si>
  <si>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</si>
  <si>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</si>
  <si>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</si>
  <si>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</si>
  <si>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</si>
  <si>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Liberia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</si>
  <si>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</si>
  <si>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</si>
  <si>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</si>
  <si>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</si>
  <si>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</si>
  <si>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</si>
  <si>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</si>
  <si>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</si>
  <si>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</si>
  <si>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</si>
  <si>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</si>
  <si>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</si>
  <si>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</si>
  <si>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</si>
  <si>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</si>
  <si>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</si>
  <si>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</si>
  <si>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</si>
  <si>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</si>
  <si>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</si>
  <si>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</si>
  <si>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</si>
  <si>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</si>
  <si>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</si>
  <si>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</si>
  <si>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Panama</t>
  </si>
  <si>
    <t>Papua New Guinea</t>
  </si>
  <si>
    <t>Peru</t>
  </si>
  <si>
    <t>Philippines</t>
  </si>
  <si>
    <t>Poland</t>
  </si>
  <si>
    <t>Portugal</t>
  </si>
  <si>
    <t>Qatar</t>
  </si>
  <si>
    <t>Russian Federation</t>
  </si>
  <si>
    <t>Rwanda</t>
  </si>
  <si>
    <t>Samoa</t>
  </si>
  <si>
    <t>Sao Tome</t>
  </si>
  <si>
    <t>Saudi Arabia</t>
  </si>
  <si>
    <t>Serbia</t>
  </si>
  <si>
    <t>Sierra Leone</t>
  </si>
  <si>
    <t>Singapore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</si>
  <si>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</si>
  <si>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</si>
  <si>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</si>
  <si>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</si>
  <si>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</si>
  <si>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</si>
  <si>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</si>
  <si>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</si>
  <si>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</si>
  <si>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</si>
  <si>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</si>
  <si>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</si>
  <si>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</si>
  <si>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</si>
  <si>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</si>
  <si>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</si>
  <si>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</si>
  <si>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Trinidad-Tobago</t>
  </si>
  <si>
    <t>Tunisia</t>
  </si>
  <si>
    <t>Turkey</t>
  </si>
  <si>
    <t>Turkmenistan</t>
  </si>
  <si>
    <t>UAE</t>
  </si>
  <si>
    <t>USA</t>
  </si>
  <si>
    <t>Uganda</t>
  </si>
  <si>
    <t>Ukraine</t>
  </si>
  <si>
    <t>Uzbekistan</t>
  </si>
  <si>
    <t>Venezuela</t>
  </si>
  <si>
    <t>Vietnam</t>
  </si>
  <si>
    <t>Yemen</t>
  </si>
  <si>
    <t>Zambia</t>
  </si>
  <si>
    <t>Zimbabwe</t>
  </si>
  <si>
    <t>Cumulative stock proxy (USD millions)</t>
  </si>
  <si>
    <t>By investment sector</t>
  </si>
  <si>
    <t>Agriculture</t>
  </si>
  <si>
    <t>Chemicals</t>
  </si>
  <si>
    <t>Energy</t>
  </si>
  <si>
    <t>Entertainment</t>
  </si>
  <si>
    <t>Finance</t>
  </si>
  <si>
    <t>Health</t>
  </si>
  <si>
    <t>Logistics</t>
  </si>
  <si>
    <t>Metals</t>
  </si>
  <si>
    <t>Other</t>
  </si>
  <si>
    <t>Real estate</t>
  </si>
  <si>
    <t>Technology</t>
  </si>
  <si>
    <t>Tourism</t>
  </si>
  <si>
    <t>Transport</t>
  </si>
  <si>
    <t>Utilities</t>
  </si>
  <si>
    <t>100% stacked area chart data</t>
  </si>
  <si>
    <t>China Global Investment Tracker</t>
  </si>
  <si>
    <t>© Data compiled by The American Enterprise Institute and The Heritage Foundation. All rights reserved.</t>
  </si>
  <si>
    <t>Dataset 1 Investments</t>
  </si>
  <si>
    <t>Year</t>
  </si>
  <si>
    <t>Month</t>
  </si>
  <si>
    <t>Investor</t>
  </si>
  <si>
    <t>Quantity in Millions</t>
  </si>
  <si>
    <t>Share Size</t>
  </si>
  <si>
    <t>Transaction Party</t>
  </si>
  <si>
    <t>Sector</t>
  </si>
  <si>
    <t>Subsector</t>
  </si>
  <si>
    <t>Country</t>
  </si>
  <si>
    <t>Region</t>
  </si>
  <si>
    <t>BRI</t>
  </si>
  <si>
    <t>Greenfield</t>
  </si>
  <si>
    <t>January</t>
  </si>
  <si>
    <t>Chinese Academy of Sciences</t>
  </si>
  <si>
    <t>IBM</t>
  </si>
  <si>
    <t>Minmetals</t>
  </si>
  <si>
    <t>Cubapetroleo</t>
  </si>
  <si>
    <t>North America</t>
  </si>
  <si>
    <t>G</t>
  </si>
  <si>
    <t>March</t>
  </si>
  <si>
    <t>MCC</t>
  </si>
  <si>
    <t>Highlands Pacific</t>
  </si>
  <si>
    <t>Steel</t>
  </si>
  <si>
    <t>East Asia</t>
  </si>
  <si>
    <t>April</t>
  </si>
  <si>
    <t>China National Off-shore Oil (CNOOC)</t>
  </si>
  <si>
    <t>MEG Energy</t>
  </si>
  <si>
    <t>Oil</t>
  </si>
  <si>
    <t>June</t>
  </si>
  <si>
    <t>China Petroleum and Chemical (Sinopec)</t>
  </si>
  <si>
    <t>Synenco</t>
  </si>
  <si>
    <t>July</t>
  </si>
  <si>
    <t>Jiangsu Yuejin</t>
  </si>
  <si>
    <t>MG</t>
  </si>
  <si>
    <t>Autos</t>
  </si>
  <si>
    <t>Europe</t>
  </si>
  <si>
    <t>Sinohydro</t>
  </si>
  <si>
    <t>Hydro</t>
  </si>
  <si>
    <t>August</t>
  </si>
  <si>
    <t>China National Petroleum Corp. (CNPC)</t>
  </si>
  <si>
    <t>PetroKazakhstan</t>
  </si>
  <si>
    <t>West Asia</t>
  </si>
  <si>
    <t>September</t>
  </si>
  <si>
    <t>China National Petroleum Corp. (CNPC), China Petroleum and Chemical (Sinopec)</t>
  </si>
  <si>
    <t>EnCana</t>
  </si>
  <si>
    <t>South America</t>
  </si>
  <si>
    <t>China Investment Corporation (CIC), Beijing Jingdeshun</t>
  </si>
  <si>
    <t>October</t>
  </si>
  <si>
    <t>Sinosteel</t>
  </si>
  <si>
    <t>Midwest</t>
  </si>
  <si>
    <t>China National Chemical (ChemChina)</t>
  </si>
  <si>
    <t>Qenos</t>
  </si>
  <si>
    <t>December</t>
  </si>
  <si>
    <t>Petro-Canada</t>
  </si>
  <si>
    <t>Arab Middle East and North Africa</t>
  </si>
  <si>
    <t>Zhejiang Holley</t>
  </si>
  <si>
    <t>Amata</t>
  </si>
  <si>
    <t>Industry</t>
  </si>
  <si>
    <t>South African Petroleum</t>
  </si>
  <si>
    <t>Sub-Saharan Africa</t>
  </si>
  <si>
    <t>Adisseo</t>
  </si>
  <si>
    <t>China International Trust and Investment (CITIC)</t>
  </si>
  <si>
    <t>Mineralogy</t>
  </si>
  <si>
    <t>Shanghai Municipal Government</t>
  </si>
  <si>
    <t>Property</t>
  </si>
  <si>
    <t>May</t>
  </si>
  <si>
    <t>Timber</t>
  </si>
  <si>
    <t>Sonangol</t>
  </si>
  <si>
    <t>Rosneft</t>
  </si>
  <si>
    <t>Kuwait Petroleum</t>
  </si>
  <si>
    <t>Wuxi Suntech</t>
  </si>
  <si>
    <t>MSK</t>
  </si>
  <si>
    <t>Alternative</t>
  </si>
  <si>
    <t>Omimex</t>
  </si>
  <si>
    <t>Jiangxi Copper</t>
  </si>
  <si>
    <t>bcMetals</t>
  </si>
  <si>
    <t>Copper</t>
  </si>
  <si>
    <t>China International Trust and Investment (CITIC), Aluminum Corporation of China (Chinalco)</t>
  </si>
  <si>
    <t>Aluminum</t>
  </si>
  <si>
    <t>Nations Energy</t>
  </si>
  <si>
    <t>November</t>
  </si>
  <si>
    <t>China Development Bank</t>
  </si>
  <si>
    <t>Anglo-American</t>
  </si>
  <si>
    <t>Samancor Chrome</t>
  </si>
  <si>
    <t>China Nonferrous</t>
  </si>
  <si>
    <t>Ex-Im Bank</t>
  </si>
  <si>
    <t>Three Gorges</t>
  </si>
  <si>
    <t>EDL</t>
  </si>
  <si>
    <t>Bank of China</t>
  </si>
  <si>
    <t>WestLB, Singapore Air, local government</t>
  </si>
  <si>
    <t>Aviation</t>
  </si>
  <si>
    <t>Sichuan Changhong</t>
  </si>
  <si>
    <t>Sterope investments</t>
  </si>
  <si>
    <t>Investment</t>
  </si>
  <si>
    <t>Rhodia</t>
  </si>
  <si>
    <t>China Mobile</t>
  </si>
  <si>
    <t>Millicom</t>
  </si>
  <si>
    <t>Telecom</t>
  </si>
  <si>
    <t>February</t>
  </si>
  <si>
    <t>Zijin Mining, China Nonferrous, Xiamen C&amp;D</t>
  </si>
  <si>
    <t>45%, 35%, 20%</t>
  </si>
  <si>
    <t>Monterrico</t>
  </si>
  <si>
    <t>Syntroleum</t>
  </si>
  <si>
    <t>China Investment Corporation (CIC)</t>
  </si>
  <si>
    <t>Blackstone</t>
  </si>
  <si>
    <t>LinkGlobal Logistics</t>
  </si>
  <si>
    <t>Paktel</t>
  </si>
  <si>
    <t>Aluminum Corporation of China (Chinalco)</t>
  </si>
  <si>
    <t>Peru Copper</t>
  </si>
  <si>
    <t>China Ocean Shipping (COSCO)</t>
  </si>
  <si>
    <t>Burg Industries</t>
  </si>
  <si>
    <t>Shipping</t>
  </si>
  <si>
    <t>Macarthur Coal</t>
  </si>
  <si>
    <t>Coal</t>
  </si>
  <si>
    <t>Barclays</t>
  </si>
  <si>
    <t>Banking</t>
  </si>
  <si>
    <t>Golden Dragon</t>
  </si>
  <si>
    <t>Datang</t>
  </si>
  <si>
    <t>Sany Heavy Industry</t>
  </si>
  <si>
    <t>Construction</t>
  </si>
  <si>
    <t>Ansteel</t>
  </si>
  <si>
    <t>Gindalbie Metals</t>
  </si>
  <si>
    <t>Suez Container Terminal</t>
  </si>
  <si>
    <t>Industrial and Commercial Bank of China</t>
  </si>
  <si>
    <t>Standard Bank</t>
  </si>
  <si>
    <t>Southern Power Grid</t>
  </si>
  <si>
    <t>Ping An</t>
  </si>
  <si>
    <t>Fortis</t>
  </si>
  <si>
    <t>Binladin, MMC</t>
  </si>
  <si>
    <t>MCC, Jiangxi Copper</t>
  </si>
  <si>
    <t>Youngor</t>
  </si>
  <si>
    <t>Kellwood Co</t>
  </si>
  <si>
    <t>Textiles</t>
  </si>
  <si>
    <t>Morgan Stanley</t>
  </si>
  <si>
    <t>Minmetals, Jiangxi Copper</t>
  </si>
  <si>
    <t>Northern Peru Copper</t>
  </si>
  <si>
    <t>Zimasco</t>
  </si>
  <si>
    <t>National Iranian Oil</t>
  </si>
  <si>
    <t>Shenzhen Energy, China Development Bank</t>
  </si>
  <si>
    <t>Gas</t>
  </si>
  <si>
    <t>State Administration of Foreign Exchange (SAFE)</t>
  </si>
  <si>
    <t>1%, 1%</t>
  </si>
  <si>
    <t>Australia and New Zealand Banking, Commonwealth Bank of Australia, National Australia Bank</t>
  </si>
  <si>
    <t>WuXi Pharma</t>
  </si>
  <si>
    <t>AppTec Lab Services</t>
  </si>
  <si>
    <t>Jinchuan Group</t>
  </si>
  <si>
    <t>Tyler Resources</t>
  </si>
  <si>
    <t>State Grid</t>
  </si>
  <si>
    <t>Monto Oro Grid</t>
  </si>
  <si>
    <t>Minmetals, Xinxing Iron</t>
  </si>
  <si>
    <t>20%, 35%</t>
  </si>
  <si>
    <t>Kelachandra and Manasara</t>
  </si>
  <si>
    <t>Cape Lambert Iron</t>
  </si>
  <si>
    <t>Sinochem</t>
  </si>
  <si>
    <t>Soco</t>
  </si>
  <si>
    <t>Rio Tinto</t>
  </si>
  <si>
    <t>AED</t>
  </si>
  <si>
    <t>Huaneng Power</t>
  </si>
  <si>
    <t>Temasek</t>
  </si>
  <si>
    <t>China Life</t>
  </si>
  <si>
    <t>Visa</t>
  </si>
  <si>
    <t>Mindray Medical</t>
  </si>
  <si>
    <t>Datascope</t>
  </si>
  <si>
    <t>Husky Energy</t>
  </si>
  <si>
    <t>JC Flowers</t>
  </si>
  <si>
    <t>Total</t>
  </si>
  <si>
    <t>BP</t>
  </si>
  <si>
    <t>Hopu Investment</t>
  </si>
  <si>
    <t>Lung Ming</t>
  </si>
  <si>
    <t>Royal Dutch Shell</t>
  </si>
  <si>
    <t>OGX</t>
  </si>
  <si>
    <t>Zoomlion</t>
  </si>
  <si>
    <t>Compagnia Italiana Forme Acciaio</t>
  </si>
  <si>
    <t>TPG</t>
  </si>
  <si>
    <t>China National Cereal, Oil and Foodstuffs (COFCO)</t>
  </si>
  <si>
    <t>Smithfield Foods</t>
  </si>
  <si>
    <t>China National Nuclear</t>
  </si>
  <si>
    <t>Huadian</t>
  </si>
  <si>
    <t>GMG Global</t>
  </si>
  <si>
    <t>Awilco Offshore</t>
  </si>
  <si>
    <t>Tagaung Taung</t>
  </si>
  <si>
    <t>China Railway Engineering</t>
  </si>
  <si>
    <t>Congo Simco</t>
  </si>
  <si>
    <t>MCC, Sinohydro</t>
  </si>
  <si>
    <t>20%, 20%</t>
  </si>
  <si>
    <t>Tanganyika Oil</t>
  </si>
  <si>
    <t>Yantai Raffles Shipyard</t>
  </si>
  <si>
    <t>Jiangsu Shagang, RGL Group</t>
  </si>
  <si>
    <t>Grange Resources</t>
  </si>
  <si>
    <t>BHP Billiton</t>
  </si>
  <si>
    <t>Datong</t>
  </si>
  <si>
    <t>Hema Enerji</t>
  </si>
  <si>
    <t>Shenhua</t>
  </si>
  <si>
    <t>Wuhan Iron and Steel, China Development Bank</t>
  </si>
  <si>
    <t>Xinjiang Guanghui</t>
  </si>
  <si>
    <t>Tarbagatay Munay</t>
  </si>
  <si>
    <t>Union Development</t>
  </si>
  <si>
    <t>Hunan Valin</t>
  </si>
  <si>
    <t>Fortescue Metals</t>
  </si>
  <si>
    <t>Shougang Group</t>
  </si>
  <si>
    <t>Wuhan Iron and Steel</t>
  </si>
  <si>
    <t>20%, 25%</t>
  </si>
  <si>
    <t>Consolidated Thompson</t>
  </si>
  <si>
    <t>Central Asia Petroleum</t>
  </si>
  <si>
    <t>Tianjin Pipe</t>
  </si>
  <si>
    <t>Jiangsu Taihu</t>
  </si>
  <si>
    <t>China National Off-shore Oil (CNOOC), China Petroleum and Chemical (Sinopec)</t>
  </si>
  <si>
    <t>Talisman Energy</t>
  </si>
  <si>
    <t>Nanjinzhao</t>
  </si>
  <si>
    <t>Cardero</t>
  </si>
  <si>
    <t>Guangdong Rising Asset Management</t>
  </si>
  <si>
    <t>PanAust</t>
  </si>
  <si>
    <t>Keppel</t>
  </si>
  <si>
    <t>HNA</t>
  </si>
  <si>
    <t>Allco Finance</t>
  </si>
  <si>
    <t>Oz Minerals</t>
  </si>
  <si>
    <t>Addax Petroleum</t>
  </si>
  <si>
    <t>Blackrock</t>
  </si>
  <si>
    <t>Tianjin Economic Development</t>
  </si>
  <si>
    <t>Teck Resources</t>
  </si>
  <si>
    <t>Haicheng Xiyang Group</t>
  </si>
  <si>
    <t>Energi Musi Makmur</t>
  </si>
  <si>
    <t>Diageo</t>
  </si>
  <si>
    <t>Taiyuan Iron, China Development Bank, Shanxi Coking Coal, and Tianli Enterprises</t>
  </si>
  <si>
    <t>34%, 33%, 21%, 12%</t>
  </si>
  <si>
    <t>Songbird Estates</t>
  </si>
  <si>
    <t>Athabasca Oil Corp</t>
  </si>
  <si>
    <t>Qatar Petroleum</t>
  </si>
  <si>
    <t>Emerald Energy</t>
  </si>
  <si>
    <t>Yankuang</t>
  </si>
  <si>
    <t>Felix Resources</t>
  </si>
  <si>
    <t>Goodman Group</t>
  </si>
  <si>
    <t>Unicom</t>
  </si>
  <si>
    <t>Telefonica</t>
  </si>
  <si>
    <t>Singapore Petroleum</t>
  </si>
  <si>
    <t>JSC KazMunaiGas E&amp;P</t>
  </si>
  <si>
    <t>Goldman Sachs, Oaktree Capital Management</t>
  </si>
  <si>
    <t>State Construction Engineering</t>
  </si>
  <si>
    <t>Baha Mar Resort</t>
  </si>
  <si>
    <t>Shanghai Electric</t>
  </si>
  <si>
    <t>Goss International</t>
  </si>
  <si>
    <t>ACL Bank</t>
  </si>
  <si>
    <t>South Gobi Energy</t>
  </si>
  <si>
    <t>Nobel Holdings</t>
  </si>
  <si>
    <t>BP, Iraq South Oil</t>
  </si>
  <si>
    <t>BaoWu Steel (Baosteel)</t>
  </si>
  <si>
    <t>Aquila Resources</t>
  </si>
  <si>
    <t>AES</t>
  </si>
  <si>
    <t>Delphi</t>
  </si>
  <si>
    <t>MMX Mineracao</t>
  </si>
  <si>
    <t>Great Wall</t>
  </si>
  <si>
    <t>Litex Motors</t>
  </si>
  <si>
    <t>Centrex Metals</t>
  </si>
  <si>
    <t>Statoil</t>
  </si>
  <si>
    <t>Beijing Auto (BAIC)</t>
  </si>
  <si>
    <t>Saab US</t>
  </si>
  <si>
    <t>SAIC Motor (Shanghai Auto)</t>
  </si>
  <si>
    <t>GM India</t>
  </si>
  <si>
    <t>Jin Jiang International</t>
  </si>
  <si>
    <t>Interstate Hotel and Resorts</t>
  </si>
  <si>
    <t>CVRD (Vale)</t>
  </si>
  <si>
    <t>Aviation Industry Corp. (AVIC)</t>
  </si>
  <si>
    <t>Future Advanced Composite Components</t>
  </si>
  <si>
    <t>Jinsheng Trading</t>
  </si>
  <si>
    <t>Shandong Sun Paper</t>
  </si>
  <si>
    <t>Baiyin Nonferrous, China International Trust and Investment (CITIC), Chang Xin</t>
  </si>
  <si>
    <t>Oxus</t>
  </si>
  <si>
    <t>China Railway Construction, Tongling Nonferrous</t>
  </si>
  <si>
    <t>50%,50%</t>
  </si>
  <si>
    <t>Corriente Resources</t>
  </si>
  <si>
    <t>Shunde Rixin, Minmetals</t>
  </si>
  <si>
    <t>GIIG</t>
  </si>
  <si>
    <t>Apax Finance</t>
  </si>
  <si>
    <t>Lexington Partners, Pantheon Ventures, Goldman Sachs</t>
  </si>
  <si>
    <t>Wanhua Industrial</t>
  </si>
  <si>
    <t>BorsodChem</t>
  </si>
  <si>
    <t>Brookfield</t>
  </si>
  <si>
    <t>ION Geophysical Equipment</t>
  </si>
  <si>
    <t>Geely</t>
  </si>
  <si>
    <t>Ford</t>
  </si>
  <si>
    <t>East China Mineral Exploration and Development Bureau (Jiangsu)</t>
  </si>
  <si>
    <t>Bernardo de Mello Itaminas</t>
  </si>
  <si>
    <t>Arrow Energy</t>
  </si>
  <si>
    <t>First Auto Works, China Development Bank</t>
  </si>
  <si>
    <t>China National Machinery Industry (Sinomach)</t>
  </si>
  <si>
    <t>Bridas</t>
  </si>
  <si>
    <t>Honbridge Capital</t>
  </si>
  <si>
    <t>VNN</t>
  </si>
  <si>
    <t>Kazakhmys</t>
  </si>
  <si>
    <t>China Railway Construction</t>
  </si>
  <si>
    <t>African Minerals</t>
  </si>
  <si>
    <t>ConocoPhillip</t>
  </si>
  <si>
    <t>BG</t>
  </si>
  <si>
    <t>PDVSA</t>
  </si>
  <si>
    <t>Tencent</t>
  </si>
  <si>
    <t>Digital Sky Technologies</t>
  </si>
  <si>
    <t>Sichuan Hanlong</t>
  </si>
  <si>
    <t>Moly Mines</t>
  </si>
  <si>
    <t>Tangshan Jidong Cement, China Development Bank</t>
  </si>
  <si>
    <t>Women Investment Portfolio Holdings</t>
  </si>
  <si>
    <t>Jiangsu Qiyuan</t>
  </si>
  <si>
    <t>Jiangsu Zongyi</t>
  </si>
  <si>
    <t>Shell</t>
  </si>
  <si>
    <t>Chesapeake Energy</t>
  </si>
  <si>
    <t>5%, 45%</t>
  </si>
  <si>
    <t>Penn West, Penn West Energy</t>
  </si>
  <si>
    <t>Plena Transmissoras</t>
  </si>
  <si>
    <t>Jinchuan Group, China Development Bank</t>
  </si>
  <si>
    <t>Wesizwe Platinum</t>
  </si>
  <si>
    <t>Tianyu Group</t>
  </si>
  <si>
    <t>Lippo Incheon Development</t>
  </si>
  <si>
    <t>Yunnan Metallurgical</t>
  </si>
  <si>
    <t>Selwyn Resources</t>
  </si>
  <si>
    <t>Shaanxi Coal and Chemical</t>
  </si>
  <si>
    <t>State Development and Investment Corp.</t>
  </si>
  <si>
    <t>Tempo Group, Beijing Municipal Government</t>
  </si>
  <si>
    <t>GM</t>
  </si>
  <si>
    <t>China Merchants</t>
  </si>
  <si>
    <t>Loscam</t>
  </si>
  <si>
    <t>China Communications Construction</t>
  </si>
  <si>
    <t>Friede Goldman United</t>
  </si>
  <si>
    <t>Inner Mongolia Hongjun</t>
  </si>
  <si>
    <t>Cambodia International Investment Development</t>
  </si>
  <si>
    <t>China North Industries (Norinco)</t>
  </si>
  <si>
    <t>Myanmar Economic Holdings</t>
  </si>
  <si>
    <t>Bosai Minerals</t>
  </si>
  <si>
    <t>Ghana Bauxite</t>
  </si>
  <si>
    <t>Continental Metals</t>
  </si>
  <si>
    <t>Shanda Group</t>
  </si>
  <si>
    <t>Eyedentity Games</t>
  </si>
  <si>
    <t>JSC Territorial</t>
  </si>
  <si>
    <t>KazMunayGas</t>
  </si>
  <si>
    <t>Repsol</t>
  </si>
  <si>
    <t>Makhteshim-Agan Industries</t>
  </si>
  <si>
    <t>General Growth Properties</t>
  </si>
  <si>
    <t>GMR Infrastructure</t>
  </si>
  <si>
    <t>Caledon Resources</t>
  </si>
  <si>
    <t>China Merchants, China Development Bank</t>
  </si>
  <si>
    <t>ZIM Integrated Shipping</t>
  </si>
  <si>
    <t>Chongqing Chonggang</t>
  </si>
  <si>
    <t>AsiaIron</t>
  </si>
  <si>
    <t>Offshore Heavy Transport</t>
  </si>
  <si>
    <t>Taiyuan Heavy</t>
  </si>
  <si>
    <t>Valley Longwall</t>
  </si>
  <si>
    <t>DSM</t>
  </si>
  <si>
    <t>Occidental Petroleum</t>
  </si>
  <si>
    <t>EN+</t>
  </si>
  <si>
    <t>BTG Pactual</t>
  </si>
  <si>
    <t>Chevron</t>
  </si>
  <si>
    <t>Teledyne Technologies</t>
  </si>
  <si>
    <t>Ashima Cultural Industry</t>
  </si>
  <si>
    <t>Xinjiang Hualing, Shanghai Boda</t>
  </si>
  <si>
    <t>China Railway Construction, Nanjing Government, China Development Bank, Guangdong Xinguang</t>
  </si>
  <si>
    <t>Reignwood</t>
  </si>
  <si>
    <t>Ten Trinity Square</t>
  </si>
  <si>
    <t>China National Machinery Industry (Sinomach)-led consortium</t>
  </si>
  <si>
    <t>Jiangsu Jinsheng</t>
  </si>
  <si>
    <t>EMAG</t>
  </si>
  <si>
    <t>Yancoal</t>
  </si>
  <si>
    <t>Adriana Resources</t>
  </si>
  <si>
    <t>Lenovo</t>
  </si>
  <si>
    <t>NEC</t>
  </si>
  <si>
    <t>INEOS France</t>
  </si>
  <si>
    <t>INEOS Britain</t>
  </si>
  <si>
    <t>Orkla</t>
  </si>
  <si>
    <t>Bank of East Asia</t>
  </si>
  <si>
    <t>Sagarmatha Power</t>
  </si>
  <si>
    <t>Shangdi Guanqun Investment</t>
  </si>
  <si>
    <t>Pyongyang Investment and Development</t>
  </si>
  <si>
    <t>Rail</t>
  </si>
  <si>
    <t>Huawei</t>
  </si>
  <si>
    <t>Fulida Group</t>
  </si>
  <si>
    <t>Neucel Specialty</t>
  </si>
  <si>
    <t>Cirrus</t>
  </si>
  <si>
    <t>Riot Games</t>
  </si>
  <si>
    <t>VTB Group</t>
  </si>
  <si>
    <t>Origin Energy-ConocoPhillips</t>
  </si>
  <si>
    <t>ExxonMobil</t>
  </si>
  <si>
    <t>Nanshan Group</t>
  </si>
  <si>
    <t>Talbot Group</t>
  </si>
  <si>
    <t>Chongqing Grain</t>
  </si>
  <si>
    <t>Evergreen</t>
  </si>
  <si>
    <t>MagIndustries</t>
  </si>
  <si>
    <t>ZTE (Zhongxing Telecommunications Equipment)</t>
  </si>
  <si>
    <t>Datang Power, China South Industries</t>
  </si>
  <si>
    <t>CBD Energy</t>
  </si>
  <si>
    <t>Smelter Asia</t>
  </si>
  <si>
    <t>Ningbo Joyson</t>
  </si>
  <si>
    <t>Preh</t>
  </si>
  <si>
    <t>China Chengtong</t>
  </si>
  <si>
    <t>Shandong Iron</t>
  </si>
  <si>
    <t>Chery Auto</t>
  </si>
  <si>
    <t>China International Trust and Investment (CITIC), China Development Bank, Long March Capital</t>
  </si>
  <si>
    <t>Gold One</t>
  </si>
  <si>
    <t>Fosun</t>
  </si>
  <si>
    <t>Folli Follie</t>
  </si>
  <si>
    <t>Consumer</t>
  </si>
  <si>
    <t>China National Building Material</t>
  </si>
  <si>
    <t>PT Semen Grobogan Semarang</t>
  </si>
  <si>
    <t>Zijin Mining</t>
  </si>
  <si>
    <t>Glencore</t>
  </si>
  <si>
    <t>Inalfa Roof Systems</t>
  </si>
  <si>
    <t>Dreal</t>
  </si>
  <si>
    <t>Mar Grandioso</t>
  </si>
  <si>
    <t>Fuyao Glass</t>
  </si>
  <si>
    <t>Suning</t>
  </si>
  <si>
    <t>Laox</t>
  </si>
  <si>
    <t>Medion</t>
  </si>
  <si>
    <t>Carlyle</t>
  </si>
  <si>
    <t>Rand Uranium</t>
  </si>
  <si>
    <t>Jilin Nonferrous</t>
  </si>
  <si>
    <t>KSM Castings</t>
  </si>
  <si>
    <t>Guodian</t>
  </si>
  <si>
    <t>Farm Owned Power</t>
  </si>
  <si>
    <t>Socma</t>
  </si>
  <si>
    <t>Opti Canada</t>
  </si>
  <si>
    <t>Mitsui and Peabody</t>
  </si>
  <si>
    <t>Haier</t>
  </si>
  <si>
    <t>Panasonic</t>
  </si>
  <si>
    <t>Tully Sugar</t>
  </si>
  <si>
    <t>Metorex</t>
  </si>
  <si>
    <t>Midea</t>
  </si>
  <si>
    <t>Carrier</t>
  </si>
  <si>
    <t>GDF Suez</t>
  </si>
  <si>
    <t>GE SeaCo</t>
  </si>
  <si>
    <t>JAC Motors</t>
  </si>
  <si>
    <t>SHC</t>
  </si>
  <si>
    <t>Munich Re</t>
  </si>
  <si>
    <t>Bright Foods</t>
  </si>
  <si>
    <t>Manassen Foods</t>
  </si>
  <si>
    <t>AES, POSCO</t>
  </si>
  <si>
    <t>Taiyuan Iron, China International Trust and Investment (CITIC), BaoWu Steel (Baosteel)</t>
  </si>
  <si>
    <t>CBMM</t>
  </si>
  <si>
    <t>Syntech</t>
  </si>
  <si>
    <t>Qingdao Tianzhong</t>
  </si>
  <si>
    <t>Aitken Spence</t>
  </si>
  <si>
    <t>Xinjiang Goldwind</t>
  </si>
  <si>
    <t>Anvil Mining</t>
  </si>
  <si>
    <t>Wesfarmers</t>
  </si>
  <si>
    <t>North Atlantic Potash</t>
  </si>
  <si>
    <t>United Energy</t>
  </si>
  <si>
    <t>Soho China</t>
  </si>
  <si>
    <t>Rockpoint</t>
  </si>
  <si>
    <t>Daylight Energy</t>
  </si>
  <si>
    <t>Tsingtao Beer</t>
  </si>
  <si>
    <t>Namyong</t>
  </si>
  <si>
    <t>Wolong</t>
  </si>
  <si>
    <t>ATB Group</t>
  </si>
  <si>
    <t>China Nickel Resources</t>
  </si>
  <si>
    <t>PT Yiwan Mining</t>
  </si>
  <si>
    <t>Watan</t>
  </si>
  <si>
    <t>Zhouda Real Estate</t>
  </si>
  <si>
    <t>Anhui Foreign Economic Construction</t>
  </si>
  <si>
    <t>Zimbabwe Mining Development</t>
  </si>
  <si>
    <t>Galp Energia</t>
  </si>
  <si>
    <t>Guangxi Nonferrous</t>
  </si>
  <si>
    <t>Transpacific, Bukit Asam</t>
  </si>
  <si>
    <t>Hiap Teck Venture Berhad</t>
  </si>
  <si>
    <t>Australia Pacific Liquefied Natural Gas</t>
  </si>
  <si>
    <t>LaSalle Investment</t>
  </si>
  <si>
    <t>Energias de Portugal</t>
  </si>
  <si>
    <t>Gloucester</t>
  </si>
  <si>
    <t>Shanduka Group</t>
  </si>
  <si>
    <t>Varun Industries</t>
  </si>
  <si>
    <t>Hydro Tasmania</t>
  </si>
  <si>
    <t>SABIC</t>
  </si>
  <si>
    <t>Bow Energy</t>
  </si>
  <si>
    <t>Shanghai Wanfeng Auto</t>
  </si>
  <si>
    <t>Devon Energy</t>
  </si>
  <si>
    <t>Athabasca Oil Sands</t>
  </si>
  <si>
    <t>Shandong Heavy</t>
  </si>
  <si>
    <t>Ferretti</t>
  </si>
  <si>
    <t>Sany Heavy Industry, China International Trust and Investment (CITIC)</t>
  </si>
  <si>
    <t>Putzmeister</t>
  </si>
  <si>
    <t>Thames Water</t>
  </si>
  <si>
    <t>Goldbrook Ventures</t>
  </si>
  <si>
    <t>Assa Properties</t>
  </si>
  <si>
    <t>Guangxi Liugong Machinery</t>
  </si>
  <si>
    <t>Huta Stalowa Wola</t>
  </si>
  <si>
    <t>REN</t>
  </si>
  <si>
    <t>China Investment Corporation (CIC), China Petroleum and Chemical (Sinopec)</t>
  </si>
  <si>
    <t>Sunshine Oilsands</t>
  </si>
  <si>
    <t>China Shipping</t>
  </si>
  <si>
    <t>Mainstream Renewable Power</t>
  </si>
  <si>
    <t>Siat</t>
  </si>
  <si>
    <t>Guangdong Nuclear Power, China Development Bank</t>
  </si>
  <si>
    <t>Kalahari Minerals</t>
  </si>
  <si>
    <t>Extract Resources</t>
  </si>
  <si>
    <t>Basic Element</t>
  </si>
  <si>
    <t>Xuzhou Construction Machinery</t>
  </si>
  <si>
    <t>Schwing</t>
  </si>
  <si>
    <t>Hebei Steel</t>
  </si>
  <si>
    <t>Alderon Iron Ore</t>
  </si>
  <si>
    <t>Shanghai Pengxin</t>
  </si>
  <si>
    <t>Crafar Farms</t>
  </si>
  <si>
    <t>Drapers Garden</t>
  </si>
  <si>
    <t>Procon</t>
  </si>
  <si>
    <t>Wanxiang</t>
  </si>
  <si>
    <t>Great Point Energy</t>
  </si>
  <si>
    <t>Weetabix</t>
  </si>
  <si>
    <t>Polyus</t>
  </si>
  <si>
    <t>Dalian Wanda</t>
  </si>
  <si>
    <t>AMC Entertainment</t>
  </si>
  <si>
    <t>ACS</t>
  </si>
  <si>
    <t>China Construction Bank</t>
  </si>
  <si>
    <t>WestLB</t>
  </si>
  <si>
    <t>China Architecture Design and Research</t>
  </si>
  <si>
    <t>CPG</t>
  </si>
  <si>
    <t>Tebian Electric Apparatus (TBEA)</t>
  </si>
  <si>
    <t>Epic Games</t>
  </si>
  <si>
    <t>Hanergy</t>
  </si>
  <si>
    <t>Q-Cells</t>
  </si>
  <si>
    <t>Norton Gold</t>
  </si>
  <si>
    <t>PT Jhonlinto</t>
  </si>
  <si>
    <t>Eutelsat</t>
  </si>
  <si>
    <t>Xinjiang Hualing</t>
  </si>
  <si>
    <t>Basisbank</t>
  </si>
  <si>
    <t>Veolia Water</t>
  </si>
  <si>
    <t>RCIF</t>
  </si>
  <si>
    <t>TGC-S</t>
  </si>
  <si>
    <t>Sichuan Bohong</t>
  </si>
  <si>
    <t>Wescast Industries</t>
  </si>
  <si>
    <t>China South Locomotive</t>
  </si>
  <si>
    <t>China Copper Mines</t>
  </si>
  <si>
    <t>China Electric Equipment</t>
  </si>
  <si>
    <t>Thesar Maritime</t>
  </si>
  <si>
    <t>Cheniere Energy</t>
  </si>
  <si>
    <t>Wanbao Grain</t>
  </si>
  <si>
    <t>BGI</t>
  </si>
  <si>
    <t>Complete Genomics</t>
  </si>
  <si>
    <t>Xinwei</t>
  </si>
  <si>
    <t>Kion</t>
  </si>
  <si>
    <t>China Power Investment</t>
  </si>
  <si>
    <t>Digibras, Dual</t>
  </si>
  <si>
    <t>Shandong Gold</t>
  </si>
  <si>
    <t>Focus Minerals</t>
  </si>
  <si>
    <t>Shandong Energy</t>
  </si>
  <si>
    <t>Rocklands Richfield</t>
  </si>
  <si>
    <t>Shandong Ruyi</t>
  </si>
  <si>
    <t>Lempriere Property</t>
  </si>
  <si>
    <t>ThyssenKrupp</t>
  </si>
  <si>
    <t>Synutra</t>
  </si>
  <si>
    <t>Sodiaal</t>
  </si>
  <si>
    <t>Harbin Electric</t>
  </si>
  <si>
    <t>Hattat</t>
  </si>
  <si>
    <t>Shanghai Greenland</t>
  </si>
  <si>
    <t>Shandong Linglong Tire</t>
  </si>
  <si>
    <t>Fisher and Paykel</t>
  </si>
  <si>
    <t>TransCanada</t>
  </si>
  <si>
    <t>Mercuria</t>
  </si>
  <si>
    <t>Ferrovial</t>
  </si>
  <si>
    <t>CP Group</t>
  </si>
  <si>
    <t>Beijing Jingmei</t>
  </si>
  <si>
    <t>Coal of Africa</t>
  </si>
  <si>
    <t>Sailun Tire</t>
  </si>
  <si>
    <t>Tajik Aluminum</t>
  </si>
  <si>
    <t>Deutsche Bank</t>
  </si>
  <si>
    <t>Brookefield</t>
  </si>
  <si>
    <t>Shanghai Zhongfu</t>
  </si>
  <si>
    <t>Prosperitas</t>
  </si>
  <si>
    <t>ElectraNet</t>
  </si>
  <si>
    <t>Chengdu Tianqi, China Investment Corporation (CIC)</t>
  </si>
  <si>
    <t>65%, 35%</t>
  </si>
  <si>
    <t>Talison Lithium</t>
  </si>
  <si>
    <t>Country Garden</t>
  </si>
  <si>
    <t>A123</t>
  </si>
  <si>
    <t>Encana</t>
  </si>
  <si>
    <t>Hebei Steel, General Development, Tewoo</t>
  </si>
  <si>
    <t>35%,25%,20%</t>
  </si>
  <si>
    <t>Rio Tinto, AngloAmerican</t>
  </si>
  <si>
    <t>China Shipping, China Ocean Shipping (COSCO), China Merchants</t>
  </si>
  <si>
    <t>10%,10%,10%</t>
  </si>
  <si>
    <t>Yang Ming Marine</t>
  </si>
  <si>
    <t>Oerlikon</t>
  </si>
  <si>
    <t>Yili Industrial</t>
  </si>
  <si>
    <t>Oceania Dairy</t>
  </si>
  <si>
    <t>Nexen</t>
  </si>
  <si>
    <t>EDP</t>
  </si>
  <si>
    <t>KazMunaiGas</t>
  </si>
  <si>
    <t>Anhui Conch</t>
  </si>
  <si>
    <t>Port de Djibouti S.A.</t>
  </si>
  <si>
    <t>CMA CGM</t>
  </si>
  <si>
    <t>Pioneer Natural Resouces</t>
  </si>
  <si>
    <t>Xiamen University</t>
  </si>
  <si>
    <t>Education</t>
  </si>
  <si>
    <t>China National Chemical Engineering</t>
  </si>
  <si>
    <t>Ciner</t>
  </si>
  <si>
    <t>One Angel Square</t>
  </si>
  <si>
    <t>Manganese Bronze</t>
  </si>
  <si>
    <t>Alumina Ltd.</t>
  </si>
  <si>
    <t>NH Hoteles</t>
  </si>
  <si>
    <t>Vanke</t>
  </si>
  <si>
    <t>Tishman Speyer</t>
  </si>
  <si>
    <t>Moscow Stock Exchange</t>
  </si>
  <si>
    <t>Guangxi Beibu</t>
  </si>
  <si>
    <t>IJM Corporation</t>
  </si>
  <si>
    <t>Beijing Enterprises (BEHL)</t>
  </si>
  <si>
    <t>Veolia</t>
  </si>
  <si>
    <t>Eni</t>
  </si>
  <si>
    <t>Sintez</t>
  </si>
  <si>
    <t>Shandong Bright Ruby</t>
  </si>
  <si>
    <t>Investa</t>
  </si>
  <si>
    <t>Hanwha, AXA</t>
  </si>
  <si>
    <t>Hisense Group, China Development Bank</t>
  </si>
  <si>
    <t>Sisram Medical</t>
  </si>
  <si>
    <t>China National Aviation Fuel</t>
  </si>
  <si>
    <t>East Siberian Metals</t>
  </si>
  <si>
    <t>Hongye Investment</t>
  </si>
  <si>
    <t>Singpoli</t>
  </si>
  <si>
    <t>Russia Forest Products</t>
  </si>
  <si>
    <t>Singapore Power</t>
  </si>
  <si>
    <t>Shuanghui</t>
  </si>
  <si>
    <t>Club Med</t>
  </si>
  <si>
    <t>Shandong Qixing</t>
  </si>
  <si>
    <t>Stonewall Resources</t>
  </si>
  <si>
    <t>VTB Bank</t>
  </si>
  <si>
    <t>CDH</t>
  </si>
  <si>
    <t>Mobile World</t>
  </si>
  <si>
    <t>Keep Glory</t>
  </si>
  <si>
    <t>Gunung Gahapi Sakti</t>
  </si>
  <si>
    <t>Sunseeker</t>
  </si>
  <si>
    <t>ZONARE</t>
  </si>
  <si>
    <t>Marathon</t>
  </si>
  <si>
    <t>Shanghai MicroPort</t>
  </si>
  <si>
    <t>Wright Medical</t>
  </si>
  <si>
    <t>Comtec Solar</t>
  </si>
  <si>
    <t>Zarsion</t>
  </si>
  <si>
    <t>Signature Development</t>
  </si>
  <si>
    <t>Viceroy Palm</t>
  </si>
  <si>
    <t>Activision</t>
  </si>
  <si>
    <t>Commerz Real</t>
  </si>
  <si>
    <t>Melia Hotels</t>
  </si>
  <si>
    <t>Yunnan Copper-led consortium</t>
  </si>
  <si>
    <t>KazMunaiGas National</t>
  </si>
  <si>
    <t>Meidu</t>
  </si>
  <si>
    <t>Woodbine</t>
  </si>
  <si>
    <t>California State Teachers' Retirement System</t>
  </si>
  <si>
    <t>China Molybdenum</t>
  </si>
  <si>
    <t>Tsingshan</t>
  </si>
  <si>
    <t>Bintang Delpan</t>
  </si>
  <si>
    <t>Belle International, CDH</t>
  </si>
  <si>
    <t>Baroque Japan</t>
  </si>
  <si>
    <t>Apache</t>
  </si>
  <si>
    <t>Shanxi Coking Coal</t>
  </si>
  <si>
    <t>Inova</t>
  </si>
  <si>
    <t>Park Hotel</t>
  </si>
  <si>
    <t xml:space="preserve">China Railway Rolling Stock Corp. (CRR) </t>
  </si>
  <si>
    <t>China Petroleum and Chemical (Sinopec), China National Petroleum Corp. (CNPC)</t>
  </si>
  <si>
    <t>85%, 15%</t>
  </si>
  <si>
    <t>Kayo</t>
  </si>
  <si>
    <t>Shaanxi Yanchang Petroleum</t>
  </si>
  <si>
    <t>Novus Energy</t>
  </si>
  <si>
    <t>Shenzhen Zhongjin Lingnan</t>
  </si>
  <si>
    <t>Perilya</t>
  </si>
  <si>
    <t>Uralkali</t>
  </si>
  <si>
    <t>Sinoma</t>
  </si>
  <si>
    <t>Schmidt, Kranz &amp; Co.</t>
  </si>
  <si>
    <t>Total and Wintershall</t>
  </si>
  <si>
    <t>China National Petroleum Corp. (CNPC), China National Off-shore Oil (CNOOC)</t>
  </si>
  <si>
    <t>10%, 10%</t>
  </si>
  <si>
    <t>Petrobras, Shell, and Total</t>
  </si>
  <si>
    <t>JPMorgan</t>
  </si>
  <si>
    <t>Alibaba</t>
  </si>
  <si>
    <t>Shoprunner</t>
  </si>
  <si>
    <t>Henan Meijing</t>
  </si>
  <si>
    <t>Mooney Aviation</t>
  </si>
  <si>
    <t>Banco Industrial e Comerical</t>
  </si>
  <si>
    <t>Zongshen Industrial</t>
  </si>
  <si>
    <t>GE</t>
  </si>
  <si>
    <t>Lotto</t>
  </si>
  <si>
    <t>Petrobras</t>
  </si>
  <si>
    <t>Shanghai Zendai</t>
  </si>
  <si>
    <t>AECI</t>
  </si>
  <si>
    <t>ZF Friedrichshafen</t>
  </si>
  <si>
    <t>Bintang Delapan</t>
  </si>
  <si>
    <t>En+</t>
  </si>
  <si>
    <t>KHD</t>
  </si>
  <si>
    <t>Oceanwide Holdings</t>
  </si>
  <si>
    <t>Shenzhen Hazens</t>
  </si>
  <si>
    <t>Keer Group</t>
  </si>
  <si>
    <t>Guangzhou R&amp;F Properties</t>
  </si>
  <si>
    <t>Henan Civil Aviation</t>
  </si>
  <si>
    <t>Cargolux Airlines</t>
  </si>
  <si>
    <t>Cachoeira-caldeirao</t>
  </si>
  <si>
    <t>Jari</t>
  </si>
  <si>
    <t>Shenzhen Hepalink</t>
  </si>
  <si>
    <t>Scientific Protein Laboratories</t>
  </si>
  <si>
    <t>China South Industries</t>
  </si>
  <si>
    <t>Energy Corporation of America</t>
  </si>
  <si>
    <t>Electricite du Laos</t>
  </si>
  <si>
    <t>Meridian</t>
  </si>
  <si>
    <t>Minerva</t>
  </si>
  <si>
    <t>Royal Group</t>
  </si>
  <si>
    <t>Mexican Petroleum</t>
  </si>
  <si>
    <t>Google</t>
  </si>
  <si>
    <t>Caixa Geral</t>
  </si>
  <si>
    <t>Paladin</t>
  </si>
  <si>
    <t>Goodbaby</t>
  </si>
  <si>
    <t>Columbus Holding</t>
  </si>
  <si>
    <t>Addax</t>
  </si>
  <si>
    <t>China Aerospace Science and Industry</t>
  </si>
  <si>
    <t>Nidera</t>
  </si>
  <si>
    <t>Goldleaf Jewelry</t>
  </si>
  <si>
    <t>ERG Resources</t>
  </si>
  <si>
    <t>Dongfeng</t>
  </si>
  <si>
    <t>Puegeot</t>
  </si>
  <si>
    <t>Fisker Automotive</t>
  </si>
  <si>
    <t>Huaxin Post and Telecom</t>
  </si>
  <si>
    <t>Alcatel-Lucent</t>
  </si>
  <si>
    <t>Beijing Capital</t>
  </si>
  <si>
    <t>Silverstone</t>
  </si>
  <si>
    <t>Bank of China, China Life, Hopu Investment</t>
  </si>
  <si>
    <t>Global Logistics Properties</t>
  </si>
  <si>
    <t>Anhui Landing</t>
  </si>
  <si>
    <t>Genting Singapore</t>
  </si>
  <si>
    <t>China Energy Engineering</t>
  </si>
  <si>
    <t>One 97</t>
  </si>
  <si>
    <t>Geo-Jade Petroleum</t>
  </si>
  <si>
    <t>Maten Petroleum</t>
  </si>
  <si>
    <t>CJ Games</t>
  </si>
  <si>
    <t>Cinda</t>
  </si>
  <si>
    <t>Zeller Realty</t>
  </si>
  <si>
    <t>2%, 3%</t>
  </si>
  <si>
    <t>Eni, Enel</t>
  </si>
  <si>
    <t>Transpacific</t>
  </si>
  <si>
    <t>Emerald Automotive</t>
  </si>
  <si>
    <t>Commercial Estates Group</t>
  </si>
  <si>
    <t>TangoMe</t>
  </si>
  <si>
    <t>Zhenfa New Energy</t>
  </si>
  <si>
    <t>EneMalta</t>
  </si>
  <si>
    <t>Minmetals, Suzhou Guoxin, China International Trust and Investment (CITIC)</t>
  </si>
  <si>
    <t>63%, 22%, 15%</t>
  </si>
  <si>
    <t>Lukoil</t>
  </si>
  <si>
    <t>Spectrum</t>
  </si>
  <si>
    <t>Tekstil Bankasi</t>
  </si>
  <si>
    <t>Sanpower</t>
  </si>
  <si>
    <t>House of Fraser</t>
  </si>
  <si>
    <t>Hastings</t>
  </si>
  <si>
    <t>Hubei Fuxing Science</t>
  </si>
  <si>
    <t>Zhejiang Rongsheng, Shanghai Zhongrong, Legend</t>
  </si>
  <si>
    <t>China National Cereal, Oil and Foodstuffs (COFCO), Hopu Investment</t>
  </si>
  <si>
    <t>Noble Agri Limited</t>
  </si>
  <si>
    <t>China Petroleum and Chemical (Sinopec), Huadian</t>
  </si>
  <si>
    <t>10%, 5%</t>
  </si>
  <si>
    <t>Petronas</t>
  </si>
  <si>
    <t>Singapore Post</t>
  </si>
  <si>
    <t>Apax and Mivtach Shamir</t>
  </si>
  <si>
    <t>Fondo Strategico Italiano</t>
  </si>
  <si>
    <t>Shandong Weiqiao</t>
  </si>
  <si>
    <t>Shenzhen Genzon</t>
  </si>
  <si>
    <t>Baidu</t>
  </si>
  <si>
    <t>Intesa Sanpaolo</t>
  </si>
  <si>
    <t>3i</t>
  </si>
  <si>
    <t>LeEco</t>
  </si>
  <si>
    <t>Yida</t>
  </si>
  <si>
    <t>Santander</t>
  </si>
  <si>
    <t>True Corp</t>
  </si>
  <si>
    <t>Shanghai International Group, Sanpower</t>
  </si>
  <si>
    <t>Brookstone Holdings</t>
  </si>
  <si>
    <t>Songbird</t>
  </si>
  <si>
    <t>KBC</t>
  </si>
  <si>
    <t>Evenflo</t>
  </si>
  <si>
    <t>Heilongjiang Grand Farm</t>
  </si>
  <si>
    <t>V&amp;V Walsh</t>
  </si>
  <si>
    <t>China Railway Construction, China Nonferrous</t>
  </si>
  <si>
    <t>Huapont</t>
  </si>
  <si>
    <t>Albaugh</t>
  </si>
  <si>
    <t>Legend</t>
  </si>
  <si>
    <t>Cinven</t>
  </si>
  <si>
    <t>Shandong Daiyin</t>
  </si>
  <si>
    <t>Kabam</t>
  </si>
  <si>
    <t>Bakrie</t>
  </si>
  <si>
    <t>Huajian</t>
  </si>
  <si>
    <t>Telecom Italia</t>
  </si>
  <si>
    <t>Prysiam</t>
  </si>
  <si>
    <t>Fiat</t>
  </si>
  <si>
    <t>Statkraft</t>
  </si>
  <si>
    <t>State Development and Investment Corp., Anhui Conch</t>
  </si>
  <si>
    <t>Tom Tailor</t>
  </si>
  <si>
    <t>PPG</t>
  </si>
  <si>
    <t>Solargiga</t>
  </si>
  <si>
    <t>Kelso</t>
  </si>
  <si>
    <t>Sichuan Department of Agriculture</t>
  </si>
  <si>
    <t>China General Nuclear</t>
  </si>
  <si>
    <t>Generali</t>
  </si>
  <si>
    <t>Athabasca</t>
  </si>
  <si>
    <t>Dalian Wanda, Ridong</t>
  </si>
  <si>
    <t>Crown Estate</t>
  </si>
  <si>
    <t>Rongsheng Heavy Industries</t>
  </si>
  <si>
    <t>New Continental Oil &amp; Gas</t>
  </si>
  <si>
    <t>Roc Oil</t>
  </si>
  <si>
    <t>Ironshore</t>
  </si>
  <si>
    <t>Well Harvest</t>
  </si>
  <si>
    <t>Shanghai Shenglong</t>
  </si>
  <si>
    <t>Anton Capital</t>
  </si>
  <si>
    <t>Joint Treasure</t>
  </si>
  <si>
    <t>Duferco</t>
  </si>
  <si>
    <t>Huayi Brothers</t>
  </si>
  <si>
    <t>Studio 8</t>
  </si>
  <si>
    <t>Challenger Life</t>
  </si>
  <si>
    <t>Caprice Group</t>
  </si>
  <si>
    <t>Espirito Santo Saude</t>
  </si>
  <si>
    <t>Anbang</t>
  </si>
  <si>
    <t>Hilton Worldwide</t>
  </si>
  <si>
    <t>Mediobanca</t>
  </si>
  <si>
    <t>HIH and RFR</t>
  </si>
  <si>
    <t>J.C. Flowers</t>
  </si>
  <si>
    <t>Hannover Leasing</t>
  </si>
  <si>
    <t>Baidu, Ping An, Qihoo</t>
  </si>
  <si>
    <t>Viola Group</t>
  </si>
  <si>
    <t>United Energy, Ningbo Orient</t>
  </si>
  <si>
    <t>Louvre Group</t>
  </si>
  <si>
    <t>Sunshine Insurance</t>
  </si>
  <si>
    <t>Starwood</t>
  </si>
  <si>
    <t>CDP Reti</t>
  </si>
  <si>
    <t>REC Solar ASA</t>
  </si>
  <si>
    <t>Hebei Zhongbo Platinum</t>
  </si>
  <si>
    <t>Eastern Platinum</t>
  </si>
  <si>
    <t>Vision Investment</t>
  </si>
  <si>
    <t>Texhong Textile</t>
  </si>
  <si>
    <t>Shandong Landbridge</t>
  </si>
  <si>
    <t>Westside Corp</t>
  </si>
  <si>
    <t>Xinyi Glass</t>
  </si>
  <si>
    <t>Forest City Ratner</t>
  </si>
  <si>
    <t>BlueFocus Communications</t>
  </si>
  <si>
    <t>Vision 7</t>
  </si>
  <si>
    <t>Delta Lloyd</t>
  </si>
  <si>
    <t>Pacific Equity Partners</t>
  </si>
  <si>
    <t>Actividades de Construccion y Servicios</t>
  </si>
  <si>
    <t>Shandong Gaosu, China Aircraft Leasing</t>
  </si>
  <si>
    <t>Haitong Securities</t>
  </si>
  <si>
    <t>Novo Banco</t>
  </si>
  <si>
    <t>Electricite du France</t>
  </si>
  <si>
    <t>Saipem</t>
  </si>
  <si>
    <t>Uber</t>
  </si>
  <si>
    <t>Sichuan Xinglida</t>
  </si>
  <si>
    <t>Guangzhou Dongsong</t>
  </si>
  <si>
    <t>Taikang Life</t>
  </si>
  <si>
    <t>AGC</t>
  </si>
  <si>
    <t>Trip.com (formerly Ctrip.com)</t>
  </si>
  <si>
    <t>Travelfusion</t>
  </si>
  <si>
    <t>EP Energy</t>
  </si>
  <si>
    <t>Zhejiang Hengyi</t>
  </si>
  <si>
    <t>Novatek</t>
  </si>
  <si>
    <t>Tencent, Renren</t>
  </si>
  <si>
    <t>Singulariteam</t>
  </si>
  <si>
    <t>Quin GmbH</t>
  </si>
  <si>
    <t>Gansu Tianqing</t>
  </si>
  <si>
    <t>Jiangsu Changjiang, Semiconductor Manufacturing International, National IC Fund</t>
  </si>
  <si>
    <t>Kyrgyzaltyn</t>
  </si>
  <si>
    <t>Petroamazonas</t>
  </si>
  <si>
    <t>Zhejiang Huayou Cobalt</t>
  </si>
  <si>
    <t>Infront Sports &amp; Media</t>
  </si>
  <si>
    <t>Baccarat Hotel</t>
  </si>
  <si>
    <t>Mori Trust</t>
  </si>
  <si>
    <t>Vogo</t>
  </si>
  <si>
    <t>SNS Reaal</t>
  </si>
  <si>
    <t>China Launch and Tracking Control General</t>
  </si>
  <si>
    <t>Zhongding International Construction</t>
  </si>
  <si>
    <t>Wegu Holding</t>
  </si>
  <si>
    <t>OEDAS and OEPSAS</t>
  </si>
  <si>
    <t>PT. Suluh Cemerlang</t>
  </si>
  <si>
    <t>SAIC Motor (Shanghai Auto), Wuling</t>
  </si>
  <si>
    <t>Qingdao Sentury</t>
  </si>
  <si>
    <t>KoZhan</t>
  </si>
  <si>
    <t>Gold Investment</t>
  </si>
  <si>
    <t>United Envirotech</t>
  </si>
  <si>
    <t>Thomas Cook Group</t>
  </si>
  <si>
    <t>Snapchat</t>
  </si>
  <si>
    <t>Jinko Solar</t>
  </si>
  <si>
    <t>Hunan TV</t>
  </si>
  <si>
    <t>Lionsgate</t>
  </si>
  <si>
    <t>Bukit Asam</t>
  </si>
  <si>
    <t>China Life, Ping An</t>
  </si>
  <si>
    <t>Specialist Machine Developments</t>
  </si>
  <si>
    <t>Power Construction Corp. (PowerChina)</t>
  </si>
  <si>
    <t>Al Mirqab Capital</t>
  </si>
  <si>
    <t>Bush Tower</t>
  </si>
  <si>
    <t>Cirque de Soliel</t>
  </si>
  <si>
    <t>Glu Mobile</t>
  </si>
  <si>
    <t>Tsinghua Holdings, China International Trust and Investment (CITIC)</t>
  </si>
  <si>
    <t>OmniVision Technologies</t>
  </si>
  <si>
    <t>Cybernaut</t>
  </si>
  <si>
    <t>Skolkovo Foundation</t>
  </si>
  <si>
    <t>EG Fund</t>
  </si>
  <si>
    <t>Madrilena Red de Gas</t>
  </si>
  <si>
    <t>Yantai Xinchao</t>
  </si>
  <si>
    <t>Juno Energy</t>
  </si>
  <si>
    <t>Align Aerospace</t>
  </si>
  <si>
    <t>Semisbay</t>
  </si>
  <si>
    <t>Panaust</t>
  </si>
  <si>
    <t>Weststar Maxus</t>
  </si>
  <si>
    <t>Citta</t>
  </si>
  <si>
    <t>China Communications Bank</t>
  </si>
  <si>
    <t>Banco BBM SA</t>
  </si>
  <si>
    <t>Barrick Niugini</t>
  </si>
  <si>
    <t>Ivanhoe Kamoa</t>
  </si>
  <si>
    <t>Trina Solar</t>
  </si>
  <si>
    <t>JAC Motors, Wise Road</t>
  </si>
  <si>
    <t>NXP Semiconductors</t>
  </si>
  <si>
    <t>International Finance Corporation</t>
  </si>
  <si>
    <t>BYD</t>
  </si>
  <si>
    <t>Volvo</t>
  </si>
  <si>
    <t>Zhongrun Resources</t>
  </si>
  <si>
    <t>Jumei</t>
  </si>
  <si>
    <t>It's Skin</t>
  </si>
  <si>
    <t>CEFC</t>
  </si>
  <si>
    <t>J&amp;T Finance</t>
  </si>
  <si>
    <t>BELGEE</t>
  </si>
  <si>
    <t>China National Chemical (ChemChina), State Administration of Foreign Exchange (SAFE)</t>
  </si>
  <si>
    <t>Pirelli</t>
  </si>
  <si>
    <t>China Minsheng Investment</t>
  </si>
  <si>
    <t>Royal Bank of Scotland</t>
  </si>
  <si>
    <t>Uphill Investment</t>
  </si>
  <si>
    <t>Integrated Silicon Solution Inc.</t>
  </si>
  <si>
    <t>Aviation Industry Corp. (AVIC), Bank of China</t>
  </si>
  <si>
    <t>Henniges</t>
  </si>
  <si>
    <t>Accor Hotels</t>
  </si>
  <si>
    <t>ZOJE Resources</t>
  </si>
  <si>
    <t>Unicredit</t>
  </si>
  <si>
    <t>Hauck &amp; Aufhaeuser</t>
  </si>
  <si>
    <t>CBRE Global Investors</t>
  </si>
  <si>
    <t>Taiping Life</t>
  </si>
  <si>
    <t>Witkoff Fisher Brothers and Howard Lorber</t>
  </si>
  <si>
    <t>White Mountain</t>
  </si>
  <si>
    <t>PAI Partners</t>
  </si>
  <si>
    <t>NetDragon</t>
  </si>
  <si>
    <t>Promethean World</t>
  </si>
  <si>
    <t>JAKS Resources</t>
  </si>
  <si>
    <t>Sinoenergy</t>
  </si>
  <si>
    <t>New Star Energy</t>
  </si>
  <si>
    <t>Hongshi</t>
  </si>
  <si>
    <t>Shiva Cement</t>
  </si>
  <si>
    <t>Shanghai Construction</t>
  </si>
  <si>
    <t>Kuafu</t>
  </si>
  <si>
    <t>Power Construction Corp. (PowerChina), HTG</t>
  </si>
  <si>
    <t>S.Alam</t>
  </si>
  <si>
    <t>Power Construction Corp. (PowerChina), China Railway Construction</t>
  </si>
  <si>
    <t>Southern Power Grid, State Power Investment</t>
  </si>
  <si>
    <t>55%, 40%</t>
  </si>
  <si>
    <t>Vinacomin</t>
  </si>
  <si>
    <t>Meadowbrook Insurance</t>
  </si>
  <si>
    <t>Jiangnan Mould and Plastic</t>
  </si>
  <si>
    <t>Shimao</t>
  </si>
  <si>
    <t>Howard Hughes</t>
  </si>
  <si>
    <t>Phicomm</t>
  </si>
  <si>
    <t>Providence Equity Partners</t>
  </si>
  <si>
    <t>Snapdeal</t>
  </si>
  <si>
    <t>Triunfo Participacoes</t>
  </si>
  <si>
    <t>Cytovance Biologics</t>
  </si>
  <si>
    <t>Jangho</t>
  </si>
  <si>
    <t>Vision Eye</t>
  </si>
  <si>
    <t>Kuka</t>
  </si>
  <si>
    <t>Shanghai Municipal Investment</t>
  </si>
  <si>
    <t>Ceruzzi Properties</t>
  </si>
  <si>
    <t>Tank &amp; Rast</t>
  </si>
  <si>
    <t>Reuters</t>
  </si>
  <si>
    <t>CMA CGM, Bollore</t>
  </si>
  <si>
    <t>Avolon</t>
  </si>
  <si>
    <t>Bright Foods, JIC, Shenzhen Donghuatong</t>
  </si>
  <si>
    <t>Miquel Alimentacio</t>
  </si>
  <si>
    <t>China Merchants, China Investment Corporation (CIC), China Ocean Shipping (COSCO)</t>
  </si>
  <si>
    <t>Fina Liman</t>
  </si>
  <si>
    <t>Biostime</t>
  </si>
  <si>
    <t>Swisse Wellness</t>
  </si>
  <si>
    <t>Silver Fern Farms</t>
  </si>
  <si>
    <t>Didi Kuaidi</t>
  </si>
  <si>
    <t>Lyft</t>
  </si>
  <si>
    <t>Shenzhen Government</t>
  </si>
  <si>
    <t>LONGi Green Energy</t>
  </si>
  <si>
    <t>One97 Communications</t>
  </si>
  <si>
    <t>Fujian Thai Hot</t>
  </si>
  <si>
    <t>Alliance HealthCare</t>
  </si>
  <si>
    <t>Genimous Investment</t>
  </si>
  <si>
    <t>Spigot</t>
  </si>
  <si>
    <t>Firebird</t>
  </si>
  <si>
    <t>Angel Yeast</t>
  </si>
  <si>
    <t>C Banner International</t>
  </si>
  <si>
    <t>Hamleys</t>
  </si>
  <si>
    <t>ABP</t>
  </si>
  <si>
    <t>Moon Lake Investments</t>
  </si>
  <si>
    <t>New Plymouth District Council</t>
  </si>
  <si>
    <t>China Investment Corporation (CIC), Didi Kuaidi</t>
  </si>
  <si>
    <t>Grab Taxi</t>
  </si>
  <si>
    <t>Tall City and Plymouth Petroleum</t>
  </si>
  <si>
    <t>Sinocare</t>
  </si>
  <si>
    <t>Nipro Diagnostics</t>
  </si>
  <si>
    <t>KT Net</t>
  </si>
  <si>
    <t>Luxaviation</t>
  </si>
  <si>
    <t>China Poly</t>
  </si>
  <si>
    <t>21st Century Fox</t>
  </si>
  <si>
    <t>Nantong Fujitsu</t>
  </si>
  <si>
    <t>AMD</t>
  </si>
  <si>
    <t>Engo</t>
  </si>
  <si>
    <t>Poste Italiane</t>
  </si>
  <si>
    <t>Renren</t>
  </si>
  <si>
    <t>Sofi</t>
  </si>
  <si>
    <t>Shanxi Building Material, Asian and African Business Management</t>
  </si>
  <si>
    <t>Borgward</t>
  </si>
  <si>
    <t>Hyatt</t>
  </si>
  <si>
    <t>Zhejiang Holley, Futong Group</t>
  </si>
  <si>
    <t>GLP</t>
  </si>
  <si>
    <t>Welspun Energy</t>
  </si>
  <si>
    <t>Shanghai Yuyuan Tourist Mart</t>
  </si>
  <si>
    <t>Hoshino Resorts Group</t>
  </si>
  <si>
    <t>Azul Linhas Aereas Brasileiras</t>
  </si>
  <si>
    <t>China General Nuclear, Southern Power Grid</t>
  </si>
  <si>
    <t>1MDB</t>
  </si>
  <si>
    <t>GR Investment, China International Trust and Investment (CITIC)</t>
  </si>
  <si>
    <t>TowerBrook</t>
  </si>
  <si>
    <t>China Media Capital, China International Trust and Investment (CITIC)</t>
  </si>
  <si>
    <t>City Football Group</t>
  </si>
  <si>
    <t>Zhuhai Port Holdings, State Construction Engineering</t>
  </si>
  <si>
    <t>Landsea</t>
  </si>
  <si>
    <t>Leyard Optoelectronics</t>
  </si>
  <si>
    <t>Planar</t>
  </si>
  <si>
    <t>Sibur</t>
  </si>
  <si>
    <t>Qingdao Hengshun</t>
  </si>
  <si>
    <t>Luye Life Sciences</t>
  </si>
  <si>
    <t>Archer Capital</t>
  </si>
  <si>
    <t>State Power Investment</t>
  </si>
  <si>
    <t>IFM Investors</t>
  </si>
  <si>
    <t>Highland Fund</t>
  </si>
  <si>
    <t>Norilsk Nickel</t>
  </si>
  <si>
    <t>Yunnan Construction Investment</t>
  </si>
  <si>
    <t>Saysettha Development Zone</t>
  </si>
  <si>
    <t>Liuhe</t>
  </si>
  <si>
    <t>Lansing Trade Group</t>
  </si>
  <si>
    <t>PLN</t>
  </si>
  <si>
    <t>Shanghai Inesa</t>
  </si>
  <si>
    <t>Havells</t>
  </si>
  <si>
    <t>State Administration of Foreign Exchange (SAFE), China Reform Holdings</t>
  </si>
  <si>
    <t>Accor</t>
  </si>
  <si>
    <t>Zhongli</t>
  </si>
  <si>
    <t>Beijing Municipal Government</t>
  </si>
  <si>
    <t>Mattson Technology</t>
  </si>
  <si>
    <t>MakeMyTrip</t>
  </si>
  <si>
    <t>Inspur Group</t>
  </si>
  <si>
    <t>China Lilongwe Grand</t>
  </si>
  <si>
    <t>Legendary Entertainment</t>
  </si>
  <si>
    <t>KraussMaffei</t>
  </si>
  <si>
    <t>Voss</t>
  </si>
  <si>
    <t>General Electric</t>
  </si>
  <si>
    <t>Zhuzhou Kibing</t>
  </si>
  <si>
    <t>Suki Kinari</t>
  </si>
  <si>
    <t>Key Safety Systems</t>
  </si>
  <si>
    <t>TechniSat Digital</t>
  </si>
  <si>
    <t>EQT</t>
  </si>
  <si>
    <t>Chengdu Techcent</t>
  </si>
  <si>
    <t>Bilfinger</t>
  </si>
  <si>
    <t>Groupon</t>
  </si>
  <si>
    <t>Perfect World Pictures</t>
  </si>
  <si>
    <t>Universal Pictures</t>
  </si>
  <si>
    <t>Ingram Micro</t>
  </si>
  <si>
    <t>Long Run Exploration</t>
  </si>
  <si>
    <t>Visual China</t>
  </si>
  <si>
    <t>Caryle Group</t>
  </si>
  <si>
    <t>Repsol Nuevas Energias UK</t>
  </si>
  <si>
    <t>Magic Leap</t>
  </si>
  <si>
    <t>Lifan</t>
  </si>
  <si>
    <t>Hersha Hospitality</t>
  </si>
  <si>
    <t>Toshiba Lifestyle Products</t>
  </si>
  <si>
    <t>Shorenstein</t>
  </si>
  <si>
    <t>Film Carnival</t>
  </si>
  <si>
    <t>Dick Cook Studios</t>
  </si>
  <si>
    <t>Bankers Petroleum</t>
  </si>
  <si>
    <t>KKR</t>
  </si>
  <si>
    <t>Primary Health</t>
  </si>
  <si>
    <t>Kailis Bros</t>
  </si>
  <si>
    <t>Securecorp and eWitness Nominees</t>
  </si>
  <si>
    <t>Banco Santander</t>
  </si>
  <si>
    <t>ENN Energy</t>
  </si>
  <si>
    <t>Santos</t>
  </si>
  <si>
    <t>Asciano</t>
  </si>
  <si>
    <t>China General Technology (Genertec)</t>
  </si>
  <si>
    <t>North-West Power Generation</t>
  </si>
  <si>
    <t>Humanwell Healthcare</t>
  </si>
  <si>
    <t>Epic Pharma</t>
  </si>
  <si>
    <t>Halcyon Agri</t>
  </si>
  <si>
    <t>Zhuhai Zhenrong</t>
  </si>
  <si>
    <t>China National Silicon (consortium of Shanghai state firms)</t>
  </si>
  <si>
    <t>Okmetic</t>
  </si>
  <si>
    <t>Jiangsu Sunshine</t>
  </si>
  <si>
    <t>Lazada</t>
  </si>
  <si>
    <t>Gategroup</t>
  </si>
  <si>
    <t>Anglo American</t>
  </si>
  <si>
    <t>Harbin Electric, State Administration of Foreign Exchange (SAFE)</t>
  </si>
  <si>
    <t>ACWA</t>
  </si>
  <si>
    <t>Caisse</t>
  </si>
  <si>
    <t>Trian Partners</t>
  </si>
  <si>
    <t>China Orient Asset Management</t>
  </si>
  <si>
    <t>RXR Realty</t>
  </si>
  <si>
    <t>Huatai Securities</t>
  </si>
  <si>
    <t>AssetMark Financial</t>
  </si>
  <si>
    <t>Ninestar, Legend</t>
  </si>
  <si>
    <t>Lexmark</t>
  </si>
  <si>
    <t>Paslin</t>
  </si>
  <si>
    <t>HNA, Jin Jiang International</t>
  </si>
  <si>
    <t>Carlson Hotels</t>
  </si>
  <si>
    <t>Guangdong Heng Fu</t>
  </si>
  <si>
    <t>Pteris</t>
  </si>
  <si>
    <t>Aviation Industry Corp. (AVIC), Han's Laser</t>
  </si>
  <si>
    <t>Aritex</t>
  </si>
  <si>
    <t>Zhejiang Kaishan</t>
  </si>
  <si>
    <t>Sorik</t>
  </si>
  <si>
    <t>Freeport-McMoran</t>
  </si>
  <si>
    <t>Fiagril Participaçõe</t>
  </si>
  <si>
    <t>Shanghai Zhongji</t>
  </si>
  <si>
    <t>Jagex</t>
  </si>
  <si>
    <t>Burra Foods</t>
  </si>
  <si>
    <t>Tsinghua Holdings</t>
  </si>
  <si>
    <t>Marvell Technology Group</t>
  </si>
  <si>
    <t>China Ocean Shipping (COSCO), State Administration of Foreign Exchange (SAFE)</t>
  </si>
  <si>
    <t>Hutchison</t>
  </si>
  <si>
    <t>Qianhai Zone Authority</t>
  </si>
  <si>
    <t>Recon Group</t>
  </si>
  <si>
    <t>Aston Villa</t>
  </si>
  <si>
    <t>Brookfield Property Partners</t>
  </si>
  <si>
    <t>China Everbright, Baofeng</t>
  </si>
  <si>
    <t>MP&amp;Silva</t>
  </si>
  <si>
    <t>LendingClub</t>
  </si>
  <si>
    <t>Virgin Australia</t>
  </si>
  <si>
    <t>Pension Insurance Corporation</t>
  </si>
  <si>
    <t>Guangdong Province, Huaneng Power</t>
  </si>
  <si>
    <t>Guangxi Investment</t>
  </si>
  <si>
    <t>Great-West Life</t>
  </si>
  <si>
    <t>DyStar</t>
  </si>
  <si>
    <t>Envision Group</t>
  </si>
  <si>
    <t>Vive Energia</t>
  </si>
  <si>
    <t>Guotsing</t>
  </si>
  <si>
    <t>Xinjiang Goldwind, China Energy Conservation</t>
  </si>
  <si>
    <t>White Rock Wind Farm</t>
  </si>
  <si>
    <t>China Energy Conservation</t>
  </si>
  <si>
    <t>MP Biomedicals</t>
  </si>
  <si>
    <t>Creat</t>
  </si>
  <si>
    <t>Bio Products Laboratory</t>
  </si>
  <si>
    <t>Inter Milan</t>
  </si>
  <si>
    <t>Spearhead</t>
  </si>
  <si>
    <t>Smaato</t>
  </si>
  <si>
    <t>China Investment Corporation (CIC), Wise Road Capital</t>
  </si>
  <si>
    <t>NXP Semi</t>
  </si>
  <si>
    <t>Nu Skin</t>
  </si>
  <si>
    <t>WindMW</t>
  </si>
  <si>
    <t>DH Services</t>
  </si>
  <si>
    <t>China Everbright</t>
  </si>
  <si>
    <t>Novago</t>
  </si>
  <si>
    <t>Battambang Cement</t>
  </si>
  <si>
    <t>Tencent-led consortium</t>
  </si>
  <si>
    <t>Supercell</t>
  </si>
  <si>
    <t>Xiwang Group, Primavera Capital</t>
  </si>
  <si>
    <t>60%, 20%</t>
  </si>
  <si>
    <t>Kerr Investments</t>
  </si>
  <si>
    <t>AMK Holding</t>
  </si>
  <si>
    <t>Goldman Sachs</t>
  </si>
  <si>
    <t>Qihoo, Beijing Kunlun</t>
  </si>
  <si>
    <t>Opera Software</t>
  </si>
  <si>
    <t>Odeon and UCI Cinemas</t>
  </si>
  <si>
    <t>Sotheby's</t>
  </si>
  <si>
    <t>China Resources</t>
  </si>
  <si>
    <t>Genesiscare</t>
  </si>
  <si>
    <t>Acino</t>
  </si>
  <si>
    <t>China Animal Husbandry</t>
  </si>
  <si>
    <t>Mataura Valley Milk</t>
  </si>
  <si>
    <t>Adama Agricultural Solutions</t>
  </si>
  <si>
    <t>Jiquan Iron and Steel</t>
  </si>
  <si>
    <t>Rusal</t>
  </si>
  <si>
    <t>Carmike Cinemas</t>
  </si>
  <si>
    <t>IDG Capital, MLS, Yiwu State-Owned Assets</t>
  </si>
  <si>
    <t>Osram</t>
  </si>
  <si>
    <t>Hailiang</t>
  </si>
  <si>
    <t>Zhonghong Zhuoye</t>
  </si>
  <si>
    <t>Abercrombie &amp; Kent</t>
  </si>
  <si>
    <t>Wuhan Zhengtang</t>
  </si>
  <si>
    <t>Mubadala</t>
  </si>
  <si>
    <t>Giant Network-led consortium</t>
  </si>
  <si>
    <t>Playtika</t>
  </si>
  <si>
    <t>Retlan</t>
  </si>
  <si>
    <t>Suzhou Dongshan Precision</t>
  </si>
  <si>
    <t>Multi-Fineline Electronix</t>
  </si>
  <si>
    <t>Tidfore Heavy Equipment</t>
  </si>
  <si>
    <t>Uttam Galva Metallics</t>
  </si>
  <si>
    <t>Shanghai Industrial Holdings, Primavera Capital</t>
  </si>
  <si>
    <t>Vitaco</t>
  </si>
  <si>
    <t>RocketSpace</t>
  </si>
  <si>
    <t>Didi Chuxing</t>
  </si>
  <si>
    <t>Uber Global</t>
  </si>
  <si>
    <t>Shanghai Greenland-led consortium</t>
  </si>
  <si>
    <t>Golden Concord</t>
  </si>
  <si>
    <t>SunEdison</t>
  </si>
  <si>
    <t>Community Health Systems</t>
  </si>
  <si>
    <t>Kaufman Organization</t>
  </si>
  <si>
    <t>Yunyi Guokai Shanghai</t>
  </si>
  <si>
    <t>West Bromwich</t>
  </si>
  <si>
    <t>Guangdong Midea</t>
  </si>
  <si>
    <t>Industrial Development Co</t>
  </si>
  <si>
    <t>Deutsche Beteiligung and Frankfurt am Main</t>
  </si>
  <si>
    <t>Fujian Construction Engineering</t>
  </si>
  <si>
    <t>Jiangsu Longze</t>
  </si>
  <si>
    <t>Diamond Power Infrastructure</t>
  </si>
  <si>
    <t>IDG Capital</t>
  </si>
  <si>
    <t>Olympique Lyonnais</t>
  </si>
  <si>
    <t>Darnak</t>
  </si>
  <si>
    <t>Shenyang Blue Silver</t>
  </si>
  <si>
    <t>Durr Ecoclean</t>
  </si>
  <si>
    <t>Tencent, Legend</t>
  </si>
  <si>
    <t>STX Entertainment</t>
  </si>
  <si>
    <t>Power Construction Corp. (PowerChina), China Railway Engineering</t>
  </si>
  <si>
    <t>Chengdu Tianqi</t>
  </si>
  <si>
    <t>Sociedad Quimica y Minera</t>
  </si>
  <si>
    <t>Societe Generale</t>
  </si>
  <si>
    <t>Henderson Global</t>
  </si>
  <si>
    <t>Taiwan Petroleum Corp</t>
  </si>
  <si>
    <t>Chongqing USUM</t>
  </si>
  <si>
    <t>Scholz Holding</t>
  </si>
  <si>
    <t>Hangzhou Lianluo Interactive</t>
  </si>
  <si>
    <t>Newegg</t>
  </si>
  <si>
    <t>Beijing Miteno</t>
  </si>
  <si>
    <t>Media.net</t>
  </si>
  <si>
    <t>Eolfi</t>
  </si>
  <si>
    <t>China Energy Conservation, Jiangsu Dagang, China Tianying</t>
  </si>
  <si>
    <t>Beijing Shanhai Capital, National IC Fund</t>
  </si>
  <si>
    <t>Analogix</t>
  </si>
  <si>
    <t>Sequoia Resources</t>
  </si>
  <si>
    <t>Perpetual</t>
  </si>
  <si>
    <t>Dare Group</t>
  </si>
  <si>
    <t>AlpInvest Partners</t>
  </si>
  <si>
    <t>Sizewell C</t>
  </si>
  <si>
    <t>ACR Capital</t>
  </si>
  <si>
    <t>Three Gorges, China Development Bank</t>
  </si>
  <si>
    <t>Duke</t>
  </si>
  <si>
    <t>Alba</t>
  </si>
  <si>
    <t>Public Power</t>
  </si>
  <si>
    <t>BGP</t>
  </si>
  <si>
    <t>Kidman</t>
  </si>
  <si>
    <t>WeWork</t>
  </si>
  <si>
    <t>Shenzhen Yuhu</t>
  </si>
  <si>
    <t>Maersk</t>
  </si>
  <si>
    <t>Cultural Investment</t>
  </si>
  <si>
    <t>Framestore</t>
  </si>
  <si>
    <t>Penta</t>
  </si>
  <si>
    <t>Skyscanner</t>
  </si>
  <si>
    <t>Banco Comercial Portugues</t>
  </si>
  <si>
    <t>NorthStar Realty</t>
  </si>
  <si>
    <t>Activ Solar</t>
  </si>
  <si>
    <t>Cinda, Union Life</t>
  </si>
  <si>
    <t>Welltower</t>
  </si>
  <si>
    <t>Changsheng China</t>
  </si>
  <si>
    <t>Woori Bank</t>
  </si>
  <si>
    <t>Shaanxi Ligeance</t>
  </si>
  <si>
    <t>Gardner Aerospace</t>
  </si>
  <si>
    <t>Bavaria Industries</t>
  </si>
  <si>
    <t>Oatly</t>
  </si>
  <si>
    <t>Sumsel</t>
  </si>
  <si>
    <t>Netas</t>
  </si>
  <si>
    <t>Gaelectric</t>
  </si>
  <si>
    <t>Dahua Group</t>
  </si>
  <si>
    <t>Jiangsu Shagang-led consortium</t>
  </si>
  <si>
    <t>Global Switch</t>
  </si>
  <si>
    <t>Gansu Gangtai</t>
  </si>
  <si>
    <t>Buccellati</t>
  </si>
  <si>
    <t>Feihe International</t>
  </si>
  <si>
    <t>CPFL</t>
  </si>
  <si>
    <t>Lennar</t>
  </si>
  <si>
    <t>Invesco</t>
  </si>
  <si>
    <t>99Taxis</t>
  </si>
  <si>
    <t>Lamda</t>
  </si>
  <si>
    <t>Bina Puri</t>
  </si>
  <si>
    <t>WH Group (formerly Shuanghui)</t>
  </si>
  <si>
    <t>Campofrio</t>
  </si>
  <si>
    <t>Toga Networks</t>
  </si>
  <si>
    <t>Aquascutum</t>
  </si>
  <si>
    <t>Luxshare</t>
  </si>
  <si>
    <t xml:space="preserve">China Aerospace Science </t>
  </si>
  <si>
    <t>Valeant</t>
  </si>
  <si>
    <t>Nordic Cinema</t>
  </si>
  <si>
    <t>Yonghui Superstores Co.</t>
  </si>
  <si>
    <t>Daymong Worldwide</t>
  </si>
  <si>
    <t>CBRE Global</t>
  </si>
  <si>
    <t>Oceanwide Holdings, IDG Capital</t>
  </si>
  <si>
    <t>International Data Group</t>
  </si>
  <si>
    <t>Zhejiang Jinke</t>
  </si>
  <si>
    <t>Outfit7</t>
  </si>
  <si>
    <t>Concremat</t>
  </si>
  <si>
    <t>Invitel Group</t>
  </si>
  <si>
    <t>Ming Yuan Silu</t>
  </si>
  <si>
    <t>Lundin Mining</t>
  </si>
  <si>
    <t>Orient Securities</t>
  </si>
  <si>
    <t>AppLovin</t>
  </si>
  <si>
    <t>Jiangxi Ganfeng</t>
  </si>
  <si>
    <t>Lithium Americas</t>
  </si>
  <si>
    <t>KME</t>
  </si>
  <si>
    <t>Servotronix</t>
  </si>
  <si>
    <t>ChinaNetCenter</t>
  </si>
  <si>
    <t>CDNetworks</t>
  </si>
  <si>
    <t>Kakao</t>
  </si>
  <si>
    <t>Giant Motors</t>
  </si>
  <si>
    <t>Retirement Concepts</t>
  </si>
  <si>
    <t>Shenyang Lan Sa</t>
  </si>
  <si>
    <t>Aviation Industry Corp. (AVIC), Jiangxi Water</t>
  </si>
  <si>
    <t>Wangsu S&amp;T</t>
  </si>
  <si>
    <t>KDDI</t>
  </si>
  <si>
    <t>Shandong Tianye</t>
  </si>
  <si>
    <t>Hanking</t>
  </si>
  <si>
    <t>Mynt</t>
  </si>
  <si>
    <t>China Youth Travel Services</t>
  </si>
  <si>
    <t>CC Land</t>
  </si>
  <si>
    <t>Fullshare</t>
  </si>
  <si>
    <t>Plaza Ventures</t>
  </si>
  <si>
    <t>Sea World</t>
  </si>
  <si>
    <t>Tesla</t>
  </si>
  <si>
    <t>Old Mutual</t>
  </si>
  <si>
    <t>Sino-Europe Sports</t>
  </si>
  <si>
    <t>AC Milan</t>
  </si>
  <si>
    <t>British Land and Oxford Properties</t>
  </si>
  <si>
    <t>Paytm Mall</t>
  </si>
  <si>
    <t>Airbnb</t>
  </si>
  <si>
    <t>Konsalnet</t>
  </si>
  <si>
    <t>Qingdao Lu Haifeng</t>
  </si>
  <si>
    <t>HUBCO</t>
  </si>
  <si>
    <t>China Fortune</t>
  </si>
  <si>
    <t>Yunnan Energy Investment</t>
  </si>
  <si>
    <t>Hierro</t>
  </si>
  <si>
    <t>Jiangsu Lianhe</t>
  </si>
  <si>
    <t>Fine Industries</t>
  </si>
  <si>
    <t>Barrick</t>
  </si>
  <si>
    <t>Aier Eye Hospital</t>
  </si>
  <si>
    <t>Clinica Baviera</t>
  </si>
  <si>
    <t>Flipkart</t>
  </si>
  <si>
    <t>Dufry</t>
  </si>
  <si>
    <t>CIT Group</t>
  </si>
  <si>
    <t>Magna</t>
  </si>
  <si>
    <t>ThalNova</t>
  </si>
  <si>
    <t>C-Quadrat Investment</t>
  </si>
  <si>
    <t>Zhengzhou Coal, China Renaissance Capital</t>
  </si>
  <si>
    <t>Robert Bosch</t>
  </si>
  <si>
    <t>Saxo</t>
  </si>
  <si>
    <t>Elm Tree</t>
  </si>
  <si>
    <t>Humanwell Healthcare, China International Trust and Investment (CITIC)</t>
  </si>
  <si>
    <t>Ansell</t>
  </si>
  <si>
    <t>Shanghai United Real Estate</t>
  </si>
  <si>
    <t>InterContinental</t>
  </si>
  <si>
    <t>Logan Property, Nanshan Group</t>
  </si>
  <si>
    <t>Origin</t>
  </si>
  <si>
    <t>Truking Group</t>
  </si>
  <si>
    <t>Romaco</t>
  </si>
  <si>
    <t>Hangzhou GreatStar</t>
  </si>
  <si>
    <t>Masco</t>
  </si>
  <si>
    <t>Pagoda Investments</t>
  </si>
  <si>
    <t>Icon Group</t>
  </si>
  <si>
    <t>Beijing Zhonghuan</t>
  </si>
  <si>
    <t>Shanghai Gongbao, KaiXinRong</t>
  </si>
  <si>
    <t>Forthnet</t>
  </si>
  <si>
    <t>Twin Butte Energy</t>
  </si>
  <si>
    <t>Pulse Health</t>
  </si>
  <si>
    <t>Competitor Group</t>
  </si>
  <si>
    <t>Fortune Fountain Capital</t>
  </si>
  <si>
    <t>Starwood and L Catterton</t>
  </si>
  <si>
    <t>Galaxy Financial</t>
  </si>
  <si>
    <t>CIMB</t>
  </si>
  <si>
    <t>Halyk Bank</t>
  </si>
  <si>
    <t>JD.com</t>
  </si>
  <si>
    <t>Farfetch</t>
  </si>
  <si>
    <t>DRB</t>
  </si>
  <si>
    <t>Mitsubishi</t>
  </si>
  <si>
    <t>China Reform Holdings, China National Chemical (ChemChina)</t>
  </si>
  <si>
    <t>Syngenta</t>
  </si>
  <si>
    <t>Guangzhou R&amp;F Properties, CC Land</t>
  </si>
  <si>
    <t>Chongqing Sokon</t>
  </si>
  <si>
    <t>AM General</t>
  </si>
  <si>
    <t>Ritedose</t>
  </si>
  <si>
    <t>SciClone</t>
  </si>
  <si>
    <t>DKBA</t>
  </si>
  <si>
    <t>Huarong</t>
  </si>
  <si>
    <t>China International Trust and Investment (CITIC)-led fund</t>
  </si>
  <si>
    <t>Dow</t>
  </si>
  <si>
    <t>Sanyuan Foods, Fosun</t>
  </si>
  <si>
    <t>Montagu</t>
  </si>
  <si>
    <t>China Eastern</t>
  </si>
  <si>
    <t>Air France-KLM</t>
  </si>
  <si>
    <t>Go-Jek</t>
  </si>
  <si>
    <t>Jiangsu Nantong</t>
  </si>
  <si>
    <t>Golden Gate Properties</t>
  </si>
  <si>
    <t>Jiangsu Overseas Cooperation and Investment-led consortium</t>
  </si>
  <si>
    <t>Hengkang Medical</t>
  </si>
  <si>
    <t>PRP</t>
  </si>
  <si>
    <t>Shanghai Taison</t>
  </si>
  <si>
    <t>Nordic Paper</t>
  </si>
  <si>
    <t>iCarbonX</t>
  </si>
  <si>
    <t>SomaLogic</t>
  </si>
  <si>
    <t>Hemisferio Sul Investimentos</t>
  </si>
  <si>
    <t>Qatar royal family</t>
  </si>
  <si>
    <t>Yanlord-led consortium</t>
  </si>
  <si>
    <t>United Engineers</t>
  </si>
  <si>
    <t>GoTo</t>
  </si>
  <si>
    <t>Lander Sports</t>
  </si>
  <si>
    <t>Southampton</t>
  </si>
  <si>
    <t>ZF TRW</t>
  </si>
  <si>
    <t>Hongbo Group</t>
  </si>
  <si>
    <t>Western Water Corporation</t>
  </si>
  <si>
    <t>Hubei Province Investment Arm</t>
  </si>
  <si>
    <t>Yunnan Dongyan</t>
  </si>
  <si>
    <t>Lao State Fuel Company, Lao-China Joint Investment</t>
  </si>
  <si>
    <t>Essential Products</t>
  </si>
  <si>
    <t>Warkworth</t>
  </si>
  <si>
    <t>CWT</t>
  </si>
  <si>
    <t>TCP</t>
  </si>
  <si>
    <t>Tsumura</t>
  </si>
  <si>
    <t>Shandong Weigao</t>
  </si>
  <si>
    <t>Argon Medical Devices</t>
  </si>
  <si>
    <t>China Investment Corporation (CIC), China Life</t>
  </si>
  <si>
    <t>Interpark</t>
  </si>
  <si>
    <t>Qhotels</t>
  </si>
  <si>
    <t>3SBio, China International Trust and Investment (CITIC)</t>
  </si>
  <si>
    <t>Therapure</t>
  </si>
  <si>
    <t>Central Group, Provident</t>
  </si>
  <si>
    <t>Zhongwang</t>
  </si>
  <si>
    <t>Aluminiumwerk</t>
  </si>
  <si>
    <t>China Reform Holdings</t>
  </si>
  <si>
    <t>Imagination Technologies</t>
  </si>
  <si>
    <t>Rezidor</t>
  </si>
  <si>
    <t>Sunlon, China International Trust and Investment (CITIC)</t>
  </si>
  <si>
    <t>China Aerospace Science and Technology</t>
  </si>
  <si>
    <t>Arae Auto</t>
  </si>
  <si>
    <t>China Iron and Steel Research Institute</t>
  </si>
  <si>
    <t>Cotesa</t>
  </si>
  <si>
    <t>Perla on Broadway</t>
  </si>
  <si>
    <t>Ningxia Wangfang</t>
  </si>
  <si>
    <t>Ageas</t>
  </si>
  <si>
    <t>Equis Energy</t>
  </si>
  <si>
    <t>Saxo Bank</t>
  </si>
  <si>
    <t>Gland Pharma</t>
  </si>
  <si>
    <t>Ola</t>
  </si>
  <si>
    <t>Hosen Capital, China New Hope</t>
  </si>
  <si>
    <t>The Real Pet Food Company</t>
  </si>
  <si>
    <t>MIE, Can-China Global Resources</t>
  </si>
  <si>
    <t>CQ Energy</t>
  </si>
  <si>
    <t>Sea</t>
  </si>
  <si>
    <t>Xin Zhong Yuan</t>
  </si>
  <si>
    <t>Fujitsu</t>
  </si>
  <si>
    <t>Vanke, Hopu Investment, Hillhouse Capital, Bank of China</t>
  </si>
  <si>
    <t>Global Logistics Property</t>
  </si>
  <si>
    <t>Takata</t>
  </si>
  <si>
    <t>Hisense Group</t>
  </si>
  <si>
    <t>Toshiba</t>
  </si>
  <si>
    <t>China Energy Investment</t>
  </si>
  <si>
    <t>Copelouzos</t>
  </si>
  <si>
    <t>Dialog Semiconductor</t>
  </si>
  <si>
    <t>Primavera Capital</t>
  </si>
  <si>
    <t>WorldStrides</t>
  </si>
  <si>
    <t>Eurasia Drilling</t>
  </si>
  <si>
    <t>Uzbekneftegaz</t>
  </si>
  <si>
    <t>Dudgeon Holdings</t>
  </si>
  <si>
    <t>HSBC</t>
  </si>
  <si>
    <t>Lloyd</t>
  </si>
  <si>
    <t>Shanghai-based consortium</t>
  </si>
  <si>
    <t>Esaote</t>
  </si>
  <si>
    <t>BioVision</t>
  </si>
  <si>
    <t>Shuifa Group</t>
  </si>
  <si>
    <t>Hambantota</t>
  </si>
  <si>
    <t>ETC Transmission (Transelec)</t>
  </si>
  <si>
    <t>Louis Dreyfus</t>
  </si>
  <si>
    <t>Skydance</t>
  </si>
  <si>
    <t>Biotest</t>
  </si>
  <si>
    <t>Oaktree</t>
  </si>
  <si>
    <t>Huaxin Cement</t>
  </si>
  <si>
    <t>Risen Energy</t>
  </si>
  <si>
    <t>Volvo Trucks</t>
  </si>
  <si>
    <t>Stratford School</t>
  </si>
  <si>
    <t>Eramet</t>
  </si>
  <si>
    <t>Wanda</t>
  </si>
  <si>
    <t>Mediapro</t>
  </si>
  <si>
    <t>BigBasket</t>
  </si>
  <si>
    <t>Zomato</t>
  </si>
  <si>
    <t>By-Health</t>
  </si>
  <si>
    <t>Life-Space</t>
  </si>
  <si>
    <t>Caixin, China International Trust and Investment (CITIC)</t>
  </si>
  <si>
    <t>Euromoney Institutional Investor</t>
  </si>
  <si>
    <t>Lanvin</t>
  </si>
  <si>
    <t>GNC</t>
  </si>
  <si>
    <t>Shanghai Stock Exchange, Shenzhen Stock Exchange</t>
  </si>
  <si>
    <t>Daimler</t>
  </si>
  <si>
    <t xml:space="preserve">Hanrui Cobalt, Qingyuan Keweike Mineral </t>
  </si>
  <si>
    <t>Hillhouse Capital-led consortium</t>
  </si>
  <si>
    <t>Viela Bio</t>
  </si>
  <si>
    <t>Shandong Yuhuang Chemical</t>
  </si>
  <si>
    <t>Hebei Construction and Investment</t>
  </si>
  <si>
    <t>DCP Captial</t>
  </si>
  <si>
    <t>MFS</t>
  </si>
  <si>
    <t>Telenor Microfinance</t>
  </si>
  <si>
    <t>GSR Capital</t>
  </si>
  <si>
    <t>NEVS</t>
  </si>
  <si>
    <t>Vivendi</t>
  </si>
  <si>
    <t>Qingdao Doublestar</t>
  </si>
  <si>
    <t>Kumho Tire</t>
  </si>
  <si>
    <t>Anhui Shanying</t>
  </si>
  <si>
    <t>Kunming Iron</t>
  </si>
  <si>
    <t>Songcheng Performance</t>
  </si>
  <si>
    <t>NMS</t>
  </si>
  <si>
    <t>Zhefu Holdings</t>
  </si>
  <si>
    <t>Old Mutual Latin America</t>
  </si>
  <si>
    <t>TT Work</t>
  </si>
  <si>
    <t>Trilogy International</t>
  </si>
  <si>
    <t>Tempus</t>
  </si>
  <si>
    <t>Trans Maldivian Airways</t>
  </si>
  <si>
    <t>Tibet Summit</t>
  </si>
  <si>
    <t>Lithium X</t>
  </si>
  <si>
    <t>China International Trust and Investment (CITIC), China Investment Corporation (CIC)</t>
  </si>
  <si>
    <t>Nature's Care</t>
  </si>
  <si>
    <t>Edmodo</t>
  </si>
  <si>
    <t>Rocket Internet</t>
  </si>
  <si>
    <t>Trility</t>
  </si>
  <si>
    <t>Yu Kuo</t>
  </si>
  <si>
    <t>WuXi AppTec</t>
  </si>
  <si>
    <t>LivaNova</t>
  </si>
  <si>
    <t>Nigcomsat</t>
  </si>
  <si>
    <t>Softbank</t>
  </si>
  <si>
    <t>Barishal</t>
  </si>
  <si>
    <t>Xinjiang Goldwind, Power Construction Corp. (PowerChina)</t>
  </si>
  <si>
    <t>Cattle Hill</t>
  </si>
  <si>
    <t>Alisa Wharf</t>
  </si>
  <si>
    <t>Spotify</t>
  </si>
  <si>
    <t>AstroZeneca</t>
  </si>
  <si>
    <t>Gorenje</t>
  </si>
  <si>
    <t>Qumei Home Furnishing, Huatai Securities</t>
  </si>
  <si>
    <t>Ekornes</t>
  </si>
  <si>
    <t>China Grand</t>
  </si>
  <si>
    <t>GL Saino</t>
  </si>
  <si>
    <t>Nine Dragons</t>
  </si>
  <si>
    <t>Catalyst Paper</t>
  </si>
  <si>
    <t>Highsun</t>
  </si>
  <si>
    <t>Huazhu Hotels</t>
  </si>
  <si>
    <t>J&amp;T</t>
  </si>
  <si>
    <t>Sistema Produtor</t>
  </si>
  <si>
    <t>Grail</t>
  </si>
  <si>
    <t>Shenzhen Invengo</t>
  </si>
  <si>
    <t>OEP</t>
  </si>
  <si>
    <t>Zhejiang Semir</t>
  </si>
  <si>
    <t>Sofiza</t>
  </si>
  <si>
    <t>Nutrien</t>
  </si>
  <si>
    <t>China Jinjiang Environment</t>
  </si>
  <si>
    <t>Indo Green Power</t>
  </si>
  <si>
    <t>Ningbo Jifeng</t>
  </si>
  <si>
    <t>Grammer</t>
  </si>
  <si>
    <t>Exxon</t>
  </si>
  <si>
    <t>Cornelio Brennand</t>
  </si>
  <si>
    <t>Evergrande Group</t>
  </si>
  <si>
    <t>Faraday Future</t>
  </si>
  <si>
    <t>Ivanhoe Mines</t>
  </si>
  <si>
    <t>CDH, China Grand</t>
  </si>
  <si>
    <t>Sirtex</t>
  </si>
  <si>
    <t>NetEase</t>
  </si>
  <si>
    <t>Bungie</t>
  </si>
  <si>
    <t>YuanMing Capital-led consortium</t>
  </si>
  <si>
    <t>Mevion Medical</t>
  </si>
  <si>
    <t>Capvis</t>
  </si>
  <si>
    <t>Aton</t>
  </si>
  <si>
    <t>Chifeng Jilong</t>
  </si>
  <si>
    <t>YY</t>
  </si>
  <si>
    <t>Bigo</t>
  </si>
  <si>
    <t>Healthpeak</t>
  </si>
  <si>
    <t>Telit</t>
  </si>
  <si>
    <t>Linxens</t>
  </si>
  <si>
    <t>Aviation Industry Corp. (AVIC)-led consortium</t>
  </si>
  <si>
    <t>AXA Private Equity</t>
  </si>
  <si>
    <t>Macquarie &amp; GE</t>
  </si>
  <si>
    <t>Qifeng New Material</t>
  </si>
  <si>
    <t>Cushman &amp; Wakefield</t>
  </si>
  <si>
    <t>Generate Capital</t>
  </si>
  <si>
    <t>Zoox</t>
  </si>
  <si>
    <t>JiaHe JianAn</t>
  </si>
  <si>
    <t>Agile Property</t>
  </si>
  <si>
    <t>Heineken</t>
  </si>
  <si>
    <t>RTB Bor</t>
  </si>
  <si>
    <t>Sinclair Pharma</t>
  </si>
  <si>
    <t>Ballard Power Systems</t>
  </si>
  <si>
    <t>Nissan</t>
  </si>
  <si>
    <t>Jiangxi Holitech</t>
  </si>
  <si>
    <t>Odebrecht</t>
  </si>
  <si>
    <t>Trendyol</t>
  </si>
  <si>
    <t>Nevsun</t>
  </si>
  <si>
    <t>China Reinsurance</t>
  </si>
  <si>
    <t>Hanover Insurance</t>
  </si>
  <si>
    <t>International Gemological Institute</t>
  </si>
  <si>
    <t>Mail.Ru</t>
  </si>
  <si>
    <t>Tianshui Huatian</t>
  </si>
  <si>
    <t>Unisem</t>
  </si>
  <si>
    <t>Venus Medtech</t>
  </si>
  <si>
    <t>Keystone Heart</t>
  </si>
  <si>
    <t>Kuwait Energy</t>
  </si>
  <si>
    <t>Boyd</t>
  </si>
  <si>
    <t>Hongdou Group</t>
  </si>
  <si>
    <t>Liaoning Port</t>
  </si>
  <si>
    <t>RZD</t>
  </si>
  <si>
    <t>F&amp;T</t>
  </si>
  <si>
    <t>StarTimes</t>
  </si>
  <si>
    <t>ZNBC</t>
  </si>
  <si>
    <t>Nubank</t>
  </si>
  <si>
    <t>StoneCo</t>
  </si>
  <si>
    <t>Candy</t>
  </si>
  <si>
    <t>InfraRed</t>
  </si>
  <si>
    <t>China Railway Corp., China Railway Engineering</t>
  </si>
  <si>
    <t>Shandong Hengyuan</t>
  </si>
  <si>
    <t>Australis Seafoods</t>
  </si>
  <si>
    <t>Chequers Capital</t>
  </si>
  <si>
    <t>Jiangxi investors</t>
  </si>
  <si>
    <t>Wendel</t>
  </si>
  <si>
    <t>Site Centers</t>
  </si>
  <si>
    <t>Redstone Alumina</t>
  </si>
  <si>
    <t>Central African Cement</t>
  </si>
  <si>
    <t>Wingtech</t>
  </si>
  <si>
    <t>CIC</t>
  </si>
  <si>
    <t>BBK Electronics</t>
  </si>
  <si>
    <t>Contemporary Amperex Tech</t>
  </si>
  <si>
    <t>Invista</t>
  </si>
  <si>
    <t>National Grid</t>
  </si>
  <si>
    <t>Sunny Yi Feng</t>
  </si>
  <si>
    <t>Tencent, Hillhouse Capital, Meituan Dianping</t>
  </si>
  <si>
    <t>Swiggy</t>
  </si>
  <si>
    <t>Shenzhen Huafu</t>
  </si>
  <si>
    <t>Giant Network</t>
  </si>
  <si>
    <t>Wooga</t>
  </si>
  <si>
    <t>Cooper Tire and Rubber</t>
  </si>
  <si>
    <t>La Positiva Seguros y Reaseguros</t>
  </si>
  <si>
    <t>Guizhou Tyre</t>
  </si>
  <si>
    <t>Artisans</t>
  </si>
  <si>
    <t>Enel</t>
  </si>
  <si>
    <t>Koenigsegg</t>
  </si>
  <si>
    <t>Tata Steel</t>
  </si>
  <si>
    <t>Volcan</t>
  </si>
  <si>
    <t>GoerTek</t>
  </si>
  <si>
    <t>Tencent, JD.Com</t>
  </si>
  <si>
    <t>Cabot</t>
  </si>
  <si>
    <t>Lendlease</t>
  </si>
  <si>
    <t>Sichuan Railway Industry Investment</t>
  </si>
  <si>
    <t>China Tianying</t>
  </si>
  <si>
    <t>Soc Son, Perfect Wave</t>
  </si>
  <si>
    <t>Reddit</t>
  </si>
  <si>
    <t>WorldFirst</t>
  </si>
  <si>
    <t>Prairie Solar</t>
  </si>
  <si>
    <t>Wuxi No. 1 Cotton Mill</t>
  </si>
  <si>
    <t>Jiangsu Delong</t>
  </si>
  <si>
    <t>Aoyuan</t>
  </si>
  <si>
    <t>Jiangsu Jinchuang</t>
  </si>
  <si>
    <t>Grifols</t>
  </si>
  <si>
    <t>Onexim</t>
  </si>
  <si>
    <t>Westland Cooperative Dairy</t>
  </si>
  <si>
    <t>Chuwa Bussan</t>
  </si>
  <si>
    <t xml:space="preserve">Anta Sports-led consortium </t>
  </si>
  <si>
    <t>Amer Sports</t>
  </si>
  <si>
    <t>Xiaomi</t>
  </si>
  <si>
    <t>HDFC</t>
  </si>
  <si>
    <t>Bacanora Lithium</t>
  </si>
  <si>
    <t>Ivanhoe</t>
  </si>
  <si>
    <t>China New Hope</t>
  </si>
  <si>
    <t>Fortescue</t>
  </si>
  <si>
    <t>Rural Power</t>
  </si>
  <si>
    <t>Capital Bluestone</t>
  </si>
  <si>
    <t>Minth</t>
  </si>
  <si>
    <t>Chengshan Group</t>
  </si>
  <si>
    <t>Xtep International</t>
  </si>
  <si>
    <t>E-land Footwear</t>
  </si>
  <si>
    <t>Allur Group</t>
  </si>
  <si>
    <t>VMate</t>
  </si>
  <si>
    <t>Jiangsu Lianfa</t>
  </si>
  <si>
    <t>PT Ungaran Sari Garments</t>
  </si>
  <si>
    <t>Bison Holding</t>
  </si>
  <si>
    <t>Xynomic Pharmaceuticals</t>
  </si>
  <si>
    <t>China Small and Medium Enterprise Investment</t>
  </si>
  <si>
    <t>Gujarat Government</t>
  </si>
  <si>
    <t>Hillhouse Capital</t>
  </si>
  <si>
    <t>Exponent Private Equity</t>
  </si>
  <si>
    <t>ACWA Power</t>
  </si>
  <si>
    <t>Lingsheng Investment</t>
  </si>
  <si>
    <t>Salcomp</t>
  </si>
  <si>
    <t>Hebei Rujiang</t>
  </si>
  <si>
    <t>Sombwe</t>
  </si>
  <si>
    <t>Hinkley Point C</t>
  </si>
  <si>
    <t>CATS Colleges</t>
  </si>
  <si>
    <t>Mivtach Shamir Holdings, Rapac Energy</t>
  </si>
  <si>
    <t>YPF Luz</t>
  </si>
  <si>
    <t>iTutorGroup</t>
  </si>
  <si>
    <t>Chematur Technologies</t>
  </si>
  <si>
    <t>Kingho Energy</t>
  </si>
  <si>
    <t>Chengtun Mining</t>
  </si>
  <si>
    <t>Seriously</t>
  </si>
  <si>
    <t>Jiangsu Shagang</t>
  </si>
  <si>
    <t>Konfoong Materials</t>
  </si>
  <si>
    <t>Soleras Advance Coatings</t>
  </si>
  <si>
    <t>Universal Energy</t>
  </si>
  <si>
    <t>BKK Electronics</t>
  </si>
  <si>
    <t>Luz del Sur</t>
  </si>
  <si>
    <t>State Power Investment, Aviation Industry Corp. (AVIC)</t>
  </si>
  <si>
    <t>TCL</t>
  </si>
  <si>
    <t>Actis</t>
  </si>
  <si>
    <t>Yifan Pharmaceuticals</t>
  </si>
  <si>
    <t>Bioton</t>
  </si>
  <si>
    <t>KLG Europe</t>
  </si>
  <si>
    <t>ARM</t>
  </si>
  <si>
    <t>Ahuja</t>
  </si>
  <si>
    <t>China Telecom</t>
  </si>
  <si>
    <t>Mislatel</t>
  </si>
  <si>
    <t>GEM-led consortium</t>
  </si>
  <si>
    <t>Shandong Blue Sail</t>
  </si>
  <si>
    <t>TAVR</t>
  </si>
  <si>
    <t>Bellamy</t>
  </si>
  <si>
    <t>Sempra</t>
  </si>
  <si>
    <t>Jasamarga</t>
  </si>
  <si>
    <t>Crosslands Resources</t>
  </si>
  <si>
    <t>Redco</t>
  </si>
  <si>
    <t>Infradev</t>
  </si>
  <si>
    <t>Rumford and Biron</t>
  </si>
  <si>
    <t>Roadbot Tyre</t>
  </si>
  <si>
    <t>One97</t>
  </si>
  <si>
    <t>Freeport McMoran</t>
  </si>
  <si>
    <t>Deutsche Hospitality</t>
  </si>
  <si>
    <t>Zhejiang Huayou Cobalt, China Molybdenum, Tsingshan</t>
  </si>
  <si>
    <t>Meituan Dianping-led consortium</t>
  </si>
  <si>
    <t>Opera</t>
  </si>
  <si>
    <t>Jiangxi Wanguo, AXF</t>
  </si>
  <si>
    <t>Yanlord</t>
  </si>
  <si>
    <t>Tianjin Zhonghuan Semi</t>
  </si>
  <si>
    <t>Maxeon Solar</t>
  </si>
  <si>
    <t>Warburg Pincus</t>
  </si>
  <si>
    <t>Policybazaar</t>
  </si>
  <si>
    <t>Jingxing Paper</t>
  </si>
  <si>
    <t>Yuetai</t>
  </si>
  <si>
    <t>Raban Al Safina</t>
  </si>
  <si>
    <t>First Quantum Minerals</t>
  </si>
  <si>
    <t>Continental Gold</t>
  </si>
  <si>
    <t>Skyworth</t>
  </si>
  <si>
    <t>Goodix Technology</t>
  </si>
  <si>
    <t>NXP</t>
  </si>
  <si>
    <t>Synaptics Inc.</t>
  </si>
  <si>
    <t>Oman Electricity Transmission</t>
  </si>
  <si>
    <t>Euroclear</t>
  </si>
  <si>
    <t>Exxon and Hess</t>
  </si>
  <si>
    <t>Aldesa</t>
  </si>
  <si>
    <t>Guangdong Wencan</t>
  </si>
  <si>
    <t>Le Belier</t>
  </si>
  <si>
    <t>Zhejiang Xinshengda</t>
  </si>
  <si>
    <t>Jason Furniture</t>
  </si>
  <si>
    <t>Shenzhou International</t>
  </si>
  <si>
    <t>Funcom</t>
  </si>
  <si>
    <t>Stemcor</t>
  </si>
  <si>
    <t>Global Blue</t>
  </si>
  <si>
    <t>West China Cement</t>
  </si>
  <si>
    <t>Ohorongo Cement</t>
  </si>
  <si>
    <t>Sun Share Investments</t>
  </si>
  <si>
    <t>Kambove</t>
  </si>
  <si>
    <t>Shandong Gaosu, Power Construction Corp. (PowerChina)</t>
  </si>
  <si>
    <t>Xiamen Xiangyu</t>
  </si>
  <si>
    <t>Nexperia</t>
  </si>
  <si>
    <t>BioNTech</t>
  </si>
  <si>
    <t>Laureate</t>
  </si>
  <si>
    <t>Shionogi</t>
  </si>
  <si>
    <t>Tolaram</t>
  </si>
  <si>
    <t>Zhejiang Lygend</t>
  </si>
  <si>
    <t>Lilium</t>
  </si>
  <si>
    <t>Sojitz</t>
  </si>
  <si>
    <t>Afterpay</t>
  </si>
  <si>
    <t>China National Machinery Industry (Sinomach), China Nonferrous</t>
  </si>
  <si>
    <t>M.T. Abraham</t>
  </si>
  <si>
    <t>Norwegian Air</t>
  </si>
  <si>
    <t>Guyana Goldfields</t>
  </si>
  <si>
    <t>JOLED</t>
  </si>
  <si>
    <t>Warner Music</t>
  </si>
  <si>
    <t>China Maple Leaf Educational</t>
  </si>
  <si>
    <t>Southern Capital and HPEF Capital</t>
  </si>
  <si>
    <t>Ningbo Shanshan</t>
  </si>
  <si>
    <t>LG</t>
  </si>
  <si>
    <t>Huaxin Cement, Vantone Neo Development</t>
  </si>
  <si>
    <t>Vantone Neo Development</t>
  </si>
  <si>
    <t>Laraib</t>
  </si>
  <si>
    <t>Al Dhafra</t>
  </si>
  <si>
    <t>Lizhong</t>
  </si>
  <si>
    <t>Brookfield, KKR</t>
  </si>
  <si>
    <t>Voodoo</t>
  </si>
  <si>
    <t>Sheffield Resources</t>
  </si>
  <si>
    <t>Clarke Creek</t>
  </si>
  <si>
    <t>Jiangsu Yabang</t>
  </si>
  <si>
    <t>Central Walk</t>
  </si>
  <si>
    <t>China Electronics</t>
  </si>
  <si>
    <t>Kalyon</t>
  </si>
  <si>
    <t>SEA Logistics Partners</t>
  </si>
  <si>
    <t>Valagro</t>
  </si>
  <si>
    <t>Shanghai Lingang</t>
  </si>
  <si>
    <t>Shanghai Huafon</t>
  </si>
  <si>
    <t>DuPont</t>
  </si>
  <si>
    <t>Zhejiang Yongjin</t>
  </si>
  <si>
    <t>Liaoning Tire</t>
  </si>
  <si>
    <t>Services Industries</t>
  </si>
  <si>
    <t>JA Solar</t>
  </si>
  <si>
    <t>Naturgy</t>
  </si>
  <si>
    <t>Pharmaron Beijing</t>
  </si>
  <si>
    <t>Absorption Systems</t>
  </si>
  <si>
    <t>Shandong Haohua</t>
  </si>
  <si>
    <t>Dexus</t>
  </si>
  <si>
    <t>Cambodian Royal</t>
  </si>
  <si>
    <t>Yinniu Microelectronics-led consortium</t>
  </si>
  <si>
    <t>Inuitive</t>
  </si>
  <si>
    <t>Mota-Engil</t>
  </si>
  <si>
    <t>Health and Happiness</t>
  </si>
  <si>
    <t>Solid Gold Pet</t>
  </si>
  <si>
    <t>Zuma</t>
  </si>
  <si>
    <t>Ningbo Ronbay</t>
  </si>
  <si>
    <t>Cardinal Resources</t>
  </si>
  <si>
    <t>Hefei Ray Capital Management</t>
  </si>
  <si>
    <t>Takeda</t>
  </si>
  <si>
    <t>China Molybdenum, Contemporary Amperex Tech</t>
  </si>
  <si>
    <t>Sinarmas</t>
  </si>
  <si>
    <t>Bayer</t>
  </si>
  <si>
    <t>Universal Scientific Industrial</t>
  </si>
  <si>
    <t>Asteelflash</t>
  </si>
  <si>
    <t>Xinghai Group</t>
  </si>
  <si>
    <t>China International Trust and Investment (CITIC)-led consortium</t>
  </si>
  <si>
    <t>SIBUR</t>
  </si>
  <si>
    <t>Sentuo Group</t>
  </si>
  <si>
    <t>Corporacion Masaveu</t>
  </si>
  <si>
    <t>Grenadier Energy Partners</t>
  </si>
  <si>
    <t>RSGT</t>
  </si>
  <si>
    <t>AbbVie</t>
  </si>
  <si>
    <t>Asia Green Fund</t>
  </si>
  <si>
    <t>Dupont Clean Technologies</t>
  </si>
  <si>
    <t>Philips</t>
  </si>
  <si>
    <t>Sanden</t>
  </si>
  <si>
    <t>Rakuten</t>
  </si>
  <si>
    <t>PatSnap</t>
  </si>
  <si>
    <t>Oxgene</t>
  </si>
  <si>
    <t>Yatsen</t>
  </si>
  <si>
    <t>Manzanita</t>
  </si>
  <si>
    <t>Shenzhen Xingyuan</t>
  </si>
  <si>
    <t>East African Holding</t>
  </si>
  <si>
    <t>Wise Road Capital</t>
  </si>
  <si>
    <t>Alphawave</t>
  </si>
  <si>
    <t>Dalian Jiayou</t>
  </si>
  <si>
    <t>Boyu Capital, Hillhouse Capital</t>
  </si>
  <si>
    <t>J&amp;T Express</t>
  </si>
  <si>
    <t>Masan</t>
  </si>
  <si>
    <t>Hytest</t>
  </si>
  <si>
    <t>Sichuan Railway Industry Investment (Road and Bridge)</t>
  </si>
  <si>
    <t>Qinfa</t>
  </si>
  <si>
    <t>Sumber Daya</t>
  </si>
  <si>
    <t>Aramco</t>
  </si>
  <si>
    <t>Lafarge</t>
  </si>
  <si>
    <t>Northvolt</t>
  </si>
  <si>
    <t>CEEE</t>
  </si>
  <si>
    <t>Quanergy</t>
  </si>
  <si>
    <t>China Risun-led consortium</t>
  </si>
  <si>
    <t>Viridor</t>
  </si>
  <si>
    <t>Paraxel</t>
  </si>
  <si>
    <t>Newport Wafer</t>
  </si>
  <si>
    <t>Bacanora</t>
  </si>
  <si>
    <t>Uala</t>
  </si>
  <si>
    <t>Alcazar</t>
  </si>
  <si>
    <t>Kazatomprom</t>
  </si>
  <si>
    <t>China Communications Construction-led consortium</t>
  </si>
  <si>
    <t>Tenke</t>
  </si>
  <si>
    <t>Asia Potash International</t>
  </si>
  <si>
    <t>AVZ Minerals</t>
  </si>
  <si>
    <t>Shanghai International Port Group</t>
  </si>
  <si>
    <t>Ninja Van</t>
  </si>
  <si>
    <t>Tsingshan, Shanghai Huafon</t>
  </si>
  <si>
    <t>Everest Medicines</t>
  </si>
  <si>
    <t>Providence Therapeutics</t>
  </si>
  <si>
    <t>Semcorp</t>
  </si>
  <si>
    <t>Reworks</t>
  </si>
  <si>
    <t>China General Technology (Genertec), Power Construction Corp (PowerChina)</t>
  </si>
  <si>
    <t>Ivovik</t>
  </si>
  <si>
    <t>Neo Lithium</t>
  </si>
  <si>
    <t>Bankhaus Lampe</t>
  </si>
  <si>
    <t>Kadokawa</t>
  </si>
  <si>
    <t>Gorillas</t>
  </si>
  <si>
    <t>Zesty Paws</t>
  </si>
  <si>
    <t>MIG Capital</t>
  </si>
  <si>
    <t>Sungrow Power</t>
  </si>
  <si>
    <t>BeiGene</t>
  </si>
  <si>
    <t>Golden Star</t>
  </si>
  <si>
    <t>Gulf Energy</t>
  </si>
  <si>
    <t>Primavera Capital, Tencent</t>
  </si>
  <si>
    <t>Balmoral</t>
  </si>
  <si>
    <t>Nanjing Chervon</t>
  </si>
  <si>
    <t>Nanjing Iron-led consortium</t>
  </si>
  <si>
    <t>Monzo</t>
  </si>
  <si>
    <t>Prospect Lithium</t>
  </si>
  <si>
    <t>Cardiovalve</t>
  </si>
  <si>
    <t>Extension</t>
  </si>
  <si>
    <t>Sumo</t>
  </si>
  <si>
    <t>Bytedance</t>
  </si>
  <si>
    <t xml:space="preserve">JAC Capital </t>
  </si>
  <si>
    <t>FTDI</t>
  </si>
  <si>
    <t>Hanover Family Builders</t>
  </si>
  <si>
    <t>Zhejiang Weiming</t>
  </si>
  <si>
    <t>Indigo</t>
  </si>
  <si>
    <t xml:space="preserve">Jianlong Investment </t>
  </si>
  <si>
    <t>Unitas</t>
  </si>
  <si>
    <t>African Minerals, AmZim minerals</t>
  </si>
  <si>
    <t>Heidelberg Pharma</t>
  </si>
  <si>
    <t>Saad</t>
  </si>
  <si>
    <t>Jeeves</t>
  </si>
  <si>
    <t>State Administration of Foreign Exchange (SAFE), China Merchants</t>
  </si>
  <si>
    <t>Primavera Capital, Fosun</t>
  </si>
  <si>
    <t>Chengtun Mining, Tsingshan</t>
  </si>
  <si>
    <t>Stellar</t>
  </si>
  <si>
    <t>Hengli</t>
  </si>
  <si>
    <t>Wallaby Medical</t>
  </si>
  <si>
    <t>Phenox</t>
  </si>
  <si>
    <t>Hungary State Oil</t>
  </si>
  <si>
    <t>Hunan Zhongwei</t>
  </si>
  <si>
    <t>Rigqueza</t>
  </si>
  <si>
    <t>Renault</t>
  </si>
  <si>
    <t>SONATRACH</t>
  </si>
  <si>
    <t>China National Silicon</t>
  </si>
  <si>
    <t>Sinovac</t>
  </si>
  <si>
    <t>Finnish Minerals</t>
  </si>
  <si>
    <t>Saudi Telecom</t>
  </si>
  <si>
    <t>Walmart</t>
  </si>
  <si>
    <t>Nexwell</t>
  </si>
  <si>
    <t>Canadian Solar</t>
  </si>
  <si>
    <t>Jingye Steel Group</t>
  </si>
  <si>
    <t>Indonesian Investment Authority</t>
  </si>
  <si>
    <t>LSC</t>
  </si>
  <si>
    <t>Singhaiyi</t>
  </si>
  <si>
    <t>Sirio Pharma</t>
  </si>
  <si>
    <t>Best Formulations</t>
  </si>
  <si>
    <t>Touch ‘n Go</t>
  </si>
  <si>
    <t>Sinar Mas</t>
  </si>
  <si>
    <t>DANA</t>
  </si>
  <si>
    <t>Quantic Dream</t>
  </si>
  <si>
    <t>Ubisoft</t>
  </si>
  <si>
    <t>JL Mag Rare-Earth</t>
  </si>
  <si>
    <t>China Communications Construction, Yanlord</t>
  </si>
  <si>
    <t>Soilbuild</t>
  </si>
  <si>
    <t>Shudao Investment</t>
  </si>
  <si>
    <t>Danakali</t>
  </si>
  <si>
    <t>IAMGOLD</t>
  </si>
  <si>
    <t>WHF</t>
  </si>
  <si>
    <t>Guoxuan</t>
  </si>
  <si>
    <t>VinGroup</t>
  </si>
  <si>
    <t>Cenexi</t>
  </si>
  <si>
    <t>Sichuan Yahua Industrial</t>
  </si>
  <si>
    <t>Búzios</t>
  </si>
  <si>
    <t>Viva China</t>
  </si>
  <si>
    <t>Clarks</t>
  </si>
  <si>
    <t>JCHX Mining</t>
  </si>
  <si>
    <t>Zhejiang Xinao</t>
  </si>
  <si>
    <t>Bangchak</t>
  </si>
  <si>
    <t>Sichuan consortium</t>
  </si>
  <si>
    <t>Kodal Minerals</t>
  </si>
  <si>
    <t>Zanyu Technology</t>
  </si>
  <si>
    <t>Beijing Energy</t>
  </si>
  <si>
    <t>Moorabol</t>
  </si>
  <si>
    <t>Zhongrong Xinda</t>
  </si>
  <si>
    <t>Lotus</t>
  </si>
  <si>
    <t>Shandong Xinhai, BaoWu Steel (Baosteel)</t>
  </si>
  <si>
    <t>Vale</t>
  </si>
  <si>
    <t>Napier and Kiroro</t>
  </si>
  <si>
    <t>UBE</t>
  </si>
  <si>
    <t>Feishang Group</t>
  </si>
  <si>
    <t>Guangdong Xinbao</t>
  </si>
  <si>
    <t>Glen Dimplex</t>
  </si>
  <si>
    <t>Ningbo Daye Garden</t>
  </si>
  <si>
    <t>Oman Cement</t>
  </si>
  <si>
    <t>Loctek Ergonomic</t>
  </si>
  <si>
    <t>Sino Biopharm</t>
  </si>
  <si>
    <t>F-star Therapeutics</t>
  </si>
  <si>
    <t>Dalian Jiayou, Zijin Mining</t>
  </si>
  <si>
    <t>GEM</t>
  </si>
  <si>
    <t>SK On, EcoPro Materials</t>
  </si>
  <si>
    <t>Invenergy</t>
  </si>
  <si>
    <t>Yangzijiang Shipbuilding</t>
  </si>
  <si>
    <t>Biem.L.Fdlkk</t>
  </si>
  <si>
    <t>Cerruti 1881, Kent &amp; Curwen</t>
  </si>
  <si>
    <t>Vetrozelena</t>
  </si>
  <si>
    <t>China Communications Construction, Guangxi Beibu</t>
  </si>
  <si>
    <t>51%, 20%</t>
  </si>
  <si>
    <t>Ningbo Tuopu</t>
  </si>
  <si>
    <t>Transelect, Colombia National Power</t>
  </si>
  <si>
    <t>Qingdao East Steel Tower</t>
  </si>
  <si>
    <t>GDS</t>
  </si>
  <si>
    <t>Ningbo Haitian</t>
  </si>
  <si>
    <t>Aston Martin</t>
  </si>
  <si>
    <t>GEM, Zhejiang Weiming</t>
  </si>
  <si>
    <t>Cahaya</t>
  </si>
  <si>
    <t>Ningbo Xusheng</t>
  </si>
  <si>
    <t>Jiangsu Lopal</t>
  </si>
  <si>
    <t>Baoan (BTR)</t>
  </si>
  <si>
    <t>Xingyao</t>
  </si>
  <si>
    <t>Hunan Zhongwei (CNGR)</t>
  </si>
  <si>
    <t>POSCO</t>
  </si>
  <si>
    <t>Wuxi Jones Technology</t>
  </si>
  <si>
    <t>George Clinical</t>
  </si>
  <si>
    <t>Acciona</t>
  </si>
  <si>
    <t>Shenzhen Longsys</t>
  </si>
  <si>
    <t>Smart Modular</t>
  </si>
  <si>
    <t>Victory Giant</t>
  </si>
  <si>
    <t>YLB</t>
  </si>
  <si>
    <t>Perlux</t>
  </si>
  <si>
    <t>Hunan Construction Investment</t>
  </si>
  <si>
    <t>Renault, Aramco</t>
  </si>
  <si>
    <t>Beijing Easpring Material</t>
  </si>
  <si>
    <t>Techland</t>
  </si>
  <si>
    <t>Sunwoda Electronics</t>
  </si>
  <si>
    <t>DiaSys Diagnostic</t>
  </si>
  <si>
    <t>AAC</t>
  </si>
  <si>
    <t>Premium Sound</t>
  </si>
  <si>
    <t>Zhejiang Hezhong</t>
  </si>
  <si>
    <t>Beijing Electronics</t>
  </si>
  <si>
    <t>SPI</t>
  </si>
  <si>
    <t>Weihai International Economic, Wangkang</t>
  </si>
  <si>
    <t>Nanjing Lingtian</t>
  </si>
  <si>
    <t>Sparc</t>
  </si>
  <si>
    <t>Vinfast</t>
  </si>
  <si>
    <t>Leo</t>
  </si>
  <si>
    <t>Change Capital Partners</t>
  </si>
  <si>
    <t>xFusion</t>
  </si>
  <si>
    <t>NationGate</t>
  </si>
  <si>
    <t>Zhuhai Huafa</t>
  </si>
  <si>
    <t>Shenzhen Kinwong</t>
  </si>
  <si>
    <t>Hefei Xinmei Materials</t>
  </si>
  <si>
    <t>Sunbird Quarry</t>
  </si>
  <si>
    <t>Sunny Optical</t>
  </si>
  <si>
    <t>ESR-Logos</t>
  </si>
  <si>
    <t>Inventronics</t>
  </si>
  <si>
    <t>Jiangsu Azure</t>
  </si>
  <si>
    <t>Weihai Huatan</t>
  </si>
  <si>
    <t>MBMA</t>
  </si>
  <si>
    <t>Minmetals, China Reform Holdings</t>
  </si>
  <si>
    <t>Cuprous Capital</t>
  </si>
  <si>
    <t>Ningbo Boway</t>
  </si>
  <si>
    <t>Shuanghuan Driveline</t>
  </si>
  <si>
    <t>MCL</t>
  </si>
  <si>
    <t>Worg Pharmaceuticals</t>
  </si>
  <si>
    <t>Nazca</t>
  </si>
  <si>
    <t>CAOA</t>
  </si>
  <si>
    <t>Aneka Tambang</t>
  </si>
  <si>
    <t>Aramco, Public Investment Fund</t>
  </si>
  <si>
    <t>Tibet Yiwei</t>
  </si>
  <si>
    <t>Datang Power</t>
  </si>
  <si>
    <t>MBK Partners</t>
  </si>
  <si>
    <t>Hahn and Co</t>
  </si>
  <si>
    <t>Yadea Group</t>
  </si>
  <si>
    <t>Golden Home</t>
  </si>
  <si>
    <t>Anta Sports</t>
  </si>
  <si>
    <t>Hebei Xinwu'an</t>
  </si>
  <si>
    <t>State Power Investment, China Railway Construction</t>
  </si>
  <si>
    <t>Aeolon Technology</t>
  </si>
  <si>
    <t>Al Mada</t>
  </si>
  <si>
    <t>Guotsing, China Communications Construction</t>
  </si>
  <si>
    <t>Quebradas</t>
  </si>
  <si>
    <t>Antares Homes</t>
  </si>
  <si>
    <t>Osino</t>
  </si>
  <si>
    <t>Hillhouse Capital, Boyu Capital</t>
  </si>
  <si>
    <t>Xinxing Iron</t>
  </si>
  <si>
    <t>Hunan Junxin Environmental Protection</t>
  </si>
  <si>
    <t>Weifang Shunfuchang</t>
  </si>
  <si>
    <t>TPC</t>
  </si>
  <si>
    <t>Shennan Circuits</t>
  </si>
  <si>
    <t>Flat Glass Group</t>
  </si>
  <si>
    <t>Zhaojin</t>
  </si>
  <si>
    <t>Uaru</t>
  </si>
  <si>
    <t>Hebei Baidoujia</t>
  </si>
  <si>
    <t>Lubambe</t>
  </si>
  <si>
    <t>Hebei Huatong</t>
  </si>
  <si>
    <t>MultiSafePay</t>
  </si>
  <si>
    <t>Inobat</t>
  </si>
  <si>
    <t>Hainan Drinda</t>
  </si>
  <si>
    <t>Source Photonics</t>
  </si>
  <si>
    <t>Zhejiang Energy</t>
  </si>
  <si>
    <t>Shandong Gaosu</t>
  </si>
  <si>
    <t>Electrolux</t>
  </si>
  <si>
    <t>Titan Group</t>
  </si>
  <si>
    <t>Global New Material</t>
  </si>
  <si>
    <t>Merck</t>
  </si>
  <si>
    <t>Synlait</t>
  </si>
  <si>
    <t>Q-Sun</t>
  </si>
  <si>
    <t>Bakarat Investment</t>
  </si>
  <si>
    <t>Jbel Oust</t>
  </si>
  <si>
    <t>Hunan Sinoboom</t>
  </si>
  <si>
    <t>Zhuhai CosMX</t>
  </si>
  <si>
    <t>Education in Motion</t>
  </si>
  <si>
    <t>Comporte</t>
  </si>
  <si>
    <t>Panhua</t>
  </si>
  <si>
    <t>Guangxi Beibu Port</t>
  </si>
  <si>
    <t>Hengmei Optoelectronic, Nuoyuan Capital</t>
  </si>
  <si>
    <t>Shandong Energy, Beijing Energy</t>
  </si>
  <si>
    <t>Yigit Aku</t>
  </si>
  <si>
    <t>Guangxi Yuchai</t>
  </si>
  <si>
    <t>Kim Long Motor</t>
  </si>
  <si>
    <t>Superplay</t>
  </si>
  <si>
    <t>Deli Group</t>
  </si>
  <si>
    <t>Grantral Group</t>
  </si>
  <si>
    <t>Aykem</t>
  </si>
  <si>
    <t>Leoni</t>
  </si>
  <si>
    <t>Meituan Dianping</t>
  </si>
  <si>
    <t>Shanxi Jinnan</t>
  </si>
  <si>
    <t>HNG Capital</t>
  </si>
  <si>
    <t>Tethys</t>
  </si>
  <si>
    <t>Asia-Pacific Potash</t>
  </si>
  <si>
    <t>Geleximco</t>
  </si>
  <si>
    <t>Ori Group</t>
  </si>
  <si>
    <t>Minsur</t>
  </si>
  <si>
    <t>Pan American Silver</t>
  </si>
  <si>
    <t>LUSTER</t>
  </si>
  <si>
    <t>JAI Group</t>
  </si>
  <si>
    <t>Shengyi Electronics</t>
  </si>
  <si>
    <t>PDV Metals</t>
  </si>
  <si>
    <t>Ariadne Interconnection</t>
  </si>
  <si>
    <t>Hubei Wanrun</t>
  </si>
  <si>
    <t>ESB</t>
  </si>
  <si>
    <t>Samty Holdings</t>
  </si>
  <si>
    <t>Holcim</t>
  </si>
  <si>
    <t>Baiyin Nonferrous</t>
  </si>
  <si>
    <t>Appian</t>
  </si>
  <si>
    <t>Northleaf, Qualitas</t>
  </si>
  <si>
    <t>Embracer</t>
  </si>
  <si>
    <t>Fiocruz</t>
  </si>
  <si>
    <t>First Auto Works</t>
  </si>
  <si>
    <t>Hongshan</t>
  </si>
  <si>
    <t>Marshall</t>
  </si>
  <si>
    <t>Guangdong Industrial Investment</t>
  </si>
  <si>
    <t>Bonpoint</t>
  </si>
  <si>
    <t>China Railway Engineering, Power Construction Corp. (PowerChina)</t>
  </si>
  <si>
    <t>SICOMINES</t>
  </si>
  <si>
    <t>Embu</t>
  </si>
  <si>
    <t>GAC Motor</t>
  </si>
  <si>
    <t>BaoWu Steel (Baosteel), Shandong Weiqiao</t>
  </si>
  <si>
    <t>Ministry of Finance</t>
  </si>
  <si>
    <t>Hoyinn Technologies</t>
  </si>
  <si>
    <t>Bohai Leasing</t>
  </si>
  <si>
    <t>Castlelake Aviation</t>
  </si>
  <si>
    <t>Xiamen Hithium</t>
  </si>
  <si>
    <t>Kamoa</t>
  </si>
  <si>
    <t>DAS Solar</t>
  </si>
  <si>
    <t>Prumo</t>
  </si>
  <si>
    <t>Bluewater</t>
  </si>
  <si>
    <t>Canmax</t>
  </si>
  <si>
    <t>Trisun</t>
  </si>
  <si>
    <t>Shanghai Pret</t>
  </si>
  <si>
    <t>EDF</t>
  </si>
  <si>
    <t>Shanxi Xinganglian</t>
  </si>
  <si>
    <t>Sonatrach</t>
  </si>
  <si>
    <t>Wu'an Xinfeng</t>
  </si>
  <si>
    <t>Zhejiang Yongjin, Hainan Fuxinhui</t>
  </si>
  <si>
    <t>Eastroc</t>
  </si>
  <si>
    <t>Befar</t>
  </si>
  <si>
    <t>Fufeng</t>
  </si>
  <si>
    <t xml:space="preserve">China Molybdenum </t>
  </si>
  <si>
    <t>Lumina Gold</t>
  </si>
  <si>
    <t>TopGolf Callaway</t>
  </si>
  <si>
    <t>China Communications Construction, China Railway Construction</t>
  </si>
  <si>
    <t>Xiamen Tungsten</t>
  </si>
  <si>
    <t>Orano</t>
  </si>
  <si>
    <t>SM Entertainment</t>
  </si>
  <si>
    <t>Livzon Pharmaceutical</t>
  </si>
  <si>
    <t>Imexpharm</t>
  </si>
  <si>
    <t>Zhejiang Longsheng</t>
  </si>
  <si>
    <t>Dyestar</t>
  </si>
  <si>
    <t>Zhongda Chemical</t>
  </si>
  <si>
    <t>Wonderful</t>
  </si>
  <si>
    <t>Rosebel</t>
  </si>
  <si>
    <t>Aurora</t>
  </si>
  <si>
    <t>Tal Education</t>
  </si>
  <si>
    <t>Epic!</t>
  </si>
  <si>
    <t>GMD</t>
  </si>
  <si>
    <t>Polestar</t>
  </si>
  <si>
    <t>Contemporary Amperex Tech, Zhejiang Lygend</t>
  </si>
  <si>
    <t>Hunan Hualian</t>
  </si>
  <si>
    <t>Olympic Country</t>
  </si>
  <si>
    <t>China Aviation Lithiumn</t>
  </si>
  <si>
    <t>Zhongman Petroleum</t>
  </si>
  <si>
    <t>Oriental Yuhong</t>
  </si>
  <si>
    <t>Construmart</t>
  </si>
  <si>
    <t>Shenghe Resources</t>
  </si>
  <si>
    <t>Peak Rare Earths</t>
  </si>
  <si>
    <t>Sunrey Solar</t>
  </si>
  <si>
    <t>Shuntai Investments</t>
  </si>
  <si>
    <t>Leapmotor</t>
  </si>
  <si>
    <t>Rianlon</t>
  </si>
  <si>
    <t>Shenzhen Vijim</t>
  </si>
  <si>
    <t>Joby</t>
  </si>
  <si>
    <t>Whiptail</t>
  </si>
  <si>
    <t>Infore Group</t>
  </si>
  <si>
    <t>Suntak Technology</t>
  </si>
  <si>
    <t>Guangdong Dowstone</t>
  </si>
  <si>
    <t>CMOC Group</t>
  </si>
  <si>
    <t>Loncor Gold</t>
  </si>
  <si>
    <t>Kiewa Valley BESS</t>
  </si>
  <si>
    <t>Shenzhen Hongfuhan, China Nonferrous</t>
  </si>
  <si>
    <t>SARL</t>
  </si>
  <si>
    <t>CNISP Group</t>
  </si>
  <si>
    <t>Kunming Chuan Jin Nuo</t>
  </si>
  <si>
    <t>Zhejiang FreeNow, China National Building Material</t>
  </si>
  <si>
    <t>Samruk</t>
  </si>
  <si>
    <t>Kaishan Group</t>
  </si>
  <si>
    <t>Stellantis</t>
  </si>
  <si>
    <t>Zhejiang Sunrise</t>
  </si>
  <si>
    <t>UniLodge</t>
  </si>
  <si>
    <t>Shenzhen Picea</t>
  </si>
  <si>
    <t>iRobot</t>
  </si>
  <si>
    <t>HongShan</t>
  </si>
  <si>
    <t>Golden Goose</t>
  </si>
  <si>
    <t>China Union</t>
  </si>
  <si>
    <t>Lithium Chile</t>
  </si>
  <si>
    <t>Equinox Gold</t>
  </si>
  <si>
    <t>Lingbao Gold</t>
  </si>
  <si>
    <t>SM Minerals</t>
  </si>
  <si>
    <t>Ceconomy</t>
  </si>
  <si>
    <t>Longyan Zhuoyue</t>
  </si>
  <si>
    <t>Dataset 2 Construction</t>
  </si>
  <si>
    <t>Contractor</t>
  </si>
  <si>
    <t>Oman Wastewater Services</t>
  </si>
  <si>
    <t>Riyadh Cement</t>
  </si>
  <si>
    <t>Minmetals, MCC</t>
  </si>
  <si>
    <t>China Railway Construction, China General Technology (Genertec)</t>
  </si>
  <si>
    <t>Cengiz and IC Ictas</t>
  </si>
  <si>
    <t>China National Machinery Industry (Sinomach), Sinohydro</t>
  </si>
  <si>
    <t>Mauritania</t>
  </si>
  <si>
    <t>China International Trust and Investment (CITIC), Sinohydro</t>
  </si>
  <si>
    <t>Aker Kvaerner</t>
  </si>
  <si>
    <t>Kazakhstan Aluminum</t>
  </si>
  <si>
    <t>South Iran Aluminum</t>
  </si>
  <si>
    <t>Saudi Cement</t>
  </si>
  <si>
    <t>Brazil Power</t>
  </si>
  <si>
    <t>Dubai Properties</t>
  </si>
  <si>
    <t>Tehran Rail</t>
  </si>
  <si>
    <t>China International Trust and Investment (CITIC), China Railway Construction</t>
  </si>
  <si>
    <t>Shandong Electric Power Construction III</t>
  </si>
  <si>
    <t>Vedanta</t>
  </si>
  <si>
    <t>China Power Engineering Consulting</t>
  </si>
  <si>
    <t>Weihai International Economic</t>
  </si>
  <si>
    <t>Arab Yemen Cement</t>
  </si>
  <si>
    <t>Jiangsu International Cooperation Corp</t>
  </si>
  <si>
    <t>Dongfang Electric</t>
  </si>
  <si>
    <t>Marubeni</t>
  </si>
  <si>
    <t>ZTE (Zhongxing Telecommunications Equipment), Huawei, China Communications Construction</t>
  </si>
  <si>
    <t>Ethiopia Telecom</t>
  </si>
  <si>
    <t>Ufone</t>
  </si>
  <si>
    <t>Bosowa</t>
  </si>
  <si>
    <t>Truba Alam Manunggal</t>
  </si>
  <si>
    <t>Mugher Cement</t>
  </si>
  <si>
    <t>Shandong Electric Power Construction</t>
  </si>
  <si>
    <t>CITIC</t>
  </si>
  <si>
    <t>Gezhouba</t>
  </si>
  <si>
    <t>Shanghai Shengong, Shanghai Foreign Economic and Technological Cooperation</t>
  </si>
  <si>
    <t>Sinohydro, China Communications Construction</t>
  </si>
  <si>
    <t>Dangote</t>
  </si>
  <si>
    <t>Equatorial Guinea</t>
  </si>
  <si>
    <t>Western Way</t>
  </si>
  <si>
    <t>Al Essayi</t>
  </si>
  <si>
    <t>Dongfang Electric, Shanghai Electric</t>
  </si>
  <si>
    <t>Bharti Airtel</t>
  </si>
  <si>
    <t>Iran Water and Power</t>
  </si>
  <si>
    <t>Jahad Tahghighat</t>
  </si>
  <si>
    <t>Tanzanian Power</t>
  </si>
  <si>
    <t>China Electronics Corporation</t>
  </si>
  <si>
    <t>Pakistan Infrastructure</t>
  </si>
  <si>
    <t>Eren Power</t>
  </si>
  <si>
    <t>Guizhou Hongfu</t>
  </si>
  <si>
    <t>SOMINA</t>
  </si>
  <si>
    <t>Saigon International Terminals</t>
  </si>
  <si>
    <t>Loyal Capital</t>
  </si>
  <si>
    <t>Libya</t>
  </si>
  <si>
    <t>Ma'aden</t>
  </si>
  <si>
    <t>Sinohydro, Three Gorges</t>
  </si>
  <si>
    <t>China National Chemical Engineering, China General Technology (Genertec)</t>
  </si>
  <si>
    <t>PVN</t>
  </si>
  <si>
    <t>Vicat and Kazkommerts</t>
  </si>
  <si>
    <t>Sarawak Energy</t>
  </si>
  <si>
    <t>SASAN</t>
  </si>
  <si>
    <t>African Finance Corporation</t>
  </si>
  <si>
    <t>Genting</t>
  </si>
  <si>
    <t>Guangdong Overseas Construction</t>
  </si>
  <si>
    <t>King Khalid University</t>
  </si>
  <si>
    <t>Greater Nile Petroleum</t>
  </si>
  <si>
    <t>Shanghai Tunnel Engineering</t>
  </si>
  <si>
    <t>Zesco</t>
  </si>
  <si>
    <t>Aircel</t>
  </si>
  <si>
    <t>Three Gorges-led consortium</t>
  </si>
  <si>
    <t>Jiangxi Zhongmei</t>
  </si>
  <si>
    <t>International Petroleum Investment</t>
  </si>
  <si>
    <t>African Development Bank</t>
  </si>
  <si>
    <t>Sheikh Khalifa Hospital</t>
  </si>
  <si>
    <t>Al Tamouh Investment</t>
  </si>
  <si>
    <t>European Nickel</t>
  </si>
  <si>
    <t>Costa Rican Electricity</t>
  </si>
  <si>
    <t>Costa Rica</t>
  </si>
  <si>
    <t>George Forrest Congo</t>
  </si>
  <si>
    <t>GuySuCo</t>
  </si>
  <si>
    <t>Kuwait Oil</t>
  </si>
  <si>
    <t>Fiji</t>
  </si>
  <si>
    <t>Palmer's Mineralology</t>
  </si>
  <si>
    <t>Unitech</t>
  </si>
  <si>
    <t>Diar Real Estate</t>
  </si>
  <si>
    <t>Shandong Electric Power Construction III, Dongfang Electric</t>
  </si>
  <si>
    <t>Saudi Electricity Company</t>
  </si>
  <si>
    <t>Les Ciments de Bizerte</t>
  </si>
  <si>
    <t>MIZU</t>
  </si>
  <si>
    <t>Yanbu Cement</t>
  </si>
  <si>
    <t>Ethiopian Electric Power Corporation</t>
  </si>
  <si>
    <t>China Light and Power</t>
  </si>
  <si>
    <t>Nucleus Connect</t>
  </si>
  <si>
    <t>Electricite de Vietnam</t>
  </si>
  <si>
    <t>Senegal</t>
  </si>
  <si>
    <t>Telenor</t>
  </si>
  <si>
    <t>Zhejiang Construction Investment</t>
  </si>
  <si>
    <t>Cell C</t>
  </si>
  <si>
    <t>Philippine Green Energy</t>
  </si>
  <si>
    <t>Daghestan Public Aviation Parts</t>
  </si>
  <si>
    <t>Wuhan Kaidi Electric</t>
  </si>
  <si>
    <t>Vietnam National Coal</t>
  </si>
  <si>
    <t>Surati Construction</t>
  </si>
  <si>
    <t>Gezhouba, Xinjiang International Cooperation Corp</t>
  </si>
  <si>
    <t>Kazakhstan Natural Gas</t>
  </si>
  <si>
    <t>Mobitel</t>
  </si>
  <si>
    <t>China National Machinery Industry (Sinomach), Gezhouba</t>
  </si>
  <si>
    <t>Kazakhstan Petrochemical</t>
  </si>
  <si>
    <t>Hon Done Pelagic Fishery</t>
  </si>
  <si>
    <t>ARICOM</t>
  </si>
  <si>
    <t>Vietnam Development Bank</t>
  </si>
  <si>
    <t>Guangdong Power Engineering</t>
  </si>
  <si>
    <t>Eren Group</t>
  </si>
  <si>
    <t>Rongsheng Holding, China National Chemical Engineering</t>
  </si>
  <si>
    <t>Zesa</t>
  </si>
  <si>
    <t>Hail</t>
  </si>
  <si>
    <t>Jurong Shipyard</t>
  </si>
  <si>
    <t>Unique Engineering</t>
  </si>
  <si>
    <t>Beijing Construction Engineering</t>
  </si>
  <si>
    <t>CocaSinclair</t>
  </si>
  <si>
    <t>Banpu Power and Ratchaburi Electricity</t>
  </si>
  <si>
    <t>Energy Financing</t>
  </si>
  <si>
    <t>China Machine New Energy</t>
  </si>
  <si>
    <t>Ashmore Energy</t>
  </si>
  <si>
    <t>Guatemala</t>
  </si>
  <si>
    <t>Hidropaute</t>
  </si>
  <si>
    <t>Hume Cement</t>
  </si>
  <si>
    <t>Al-Doh</t>
  </si>
  <si>
    <t>Venezuela National Electric Power Company</t>
  </si>
  <si>
    <t>China Communications Construction, MCC</t>
  </si>
  <si>
    <t>Zanjan Regional Water</t>
  </si>
  <si>
    <t>Vodafone Italia</t>
  </si>
  <si>
    <t>MAK Group</t>
  </si>
  <si>
    <t>Three Gorges, Sinohydro</t>
  </si>
  <si>
    <t>Guangxi Road and Bridge</t>
  </si>
  <si>
    <t>Ammoni</t>
  </si>
  <si>
    <t>Nagarjuna Construction</t>
  </si>
  <si>
    <t>Hydrochina</t>
  </si>
  <si>
    <t>Alstom</t>
  </si>
  <si>
    <t>Thang Long Thermoelectric</t>
  </si>
  <si>
    <t>Mass Iraq</t>
  </si>
  <si>
    <t>Lion Group</t>
  </si>
  <si>
    <t>Teletalk</t>
  </si>
  <si>
    <t>Tenaga</t>
  </si>
  <si>
    <t>Spice Energy</t>
  </si>
  <si>
    <t>DP World</t>
  </si>
  <si>
    <t>Abu Dhabi Services</t>
  </si>
  <si>
    <t>Guangdong Changda Highway Engineering</t>
  </si>
  <si>
    <t>Camtel</t>
  </si>
  <si>
    <t>China State Shipbuilding</t>
  </si>
  <si>
    <t>KAK</t>
  </si>
  <si>
    <t>LaFarge and Strabag</t>
  </si>
  <si>
    <t>Chelyabinsk Steelworks</t>
  </si>
  <si>
    <t>Norm</t>
  </si>
  <si>
    <t>Tamil Nadu Power</t>
  </si>
  <si>
    <t>Shengli Engineering-led consortium</t>
  </si>
  <si>
    <t>GEG Iron</t>
  </si>
  <si>
    <t>Jiangxi Provincial Investment</t>
  </si>
  <si>
    <t>Janakuasa</t>
  </si>
  <si>
    <t>PT Semen</t>
  </si>
  <si>
    <t>National Iranian Steel</t>
  </si>
  <si>
    <t>Dalian International Cooperation Corp</t>
  </si>
  <si>
    <t>Electricity Development Corp</t>
  </si>
  <si>
    <t>Maysan Oil</t>
  </si>
  <si>
    <t>Kyrgyz National Grid</t>
  </si>
  <si>
    <t>MMK</t>
  </si>
  <si>
    <t>Bangladesh Railway</t>
  </si>
  <si>
    <t>China National Chemical Engineering, Dongfang Electric, China Energy Engineering</t>
  </si>
  <si>
    <t>Areva</t>
  </si>
  <si>
    <t>Platinum Victory</t>
  </si>
  <si>
    <t>Jiangxi International Cooperation Corp</t>
  </si>
  <si>
    <t>Henan Guoju</t>
  </si>
  <si>
    <t>Ferrominera Orinoco</t>
  </si>
  <si>
    <t>International Container Terminal Services</t>
  </si>
  <si>
    <t>Tanzania Petroleum Development</t>
  </si>
  <si>
    <t>Celec</t>
  </si>
  <si>
    <t>Bolivarian Ports</t>
  </si>
  <si>
    <t>Siemens</t>
  </si>
  <si>
    <t>CapitaLand</t>
  </si>
  <si>
    <t>Beijing Urban Construction</t>
  </si>
  <si>
    <t>Sinosteel, Power Construction Corp. (PowerChina)</t>
  </si>
  <si>
    <t>OM Holdings</t>
  </si>
  <si>
    <t>Petroquimica de Venezuela</t>
  </si>
  <si>
    <t>Mazaya Qatar Real Estate Development</t>
  </si>
  <si>
    <t>Palanca Cimentos</t>
  </si>
  <si>
    <t>MIDROC</t>
  </si>
  <si>
    <t>South Sudan</t>
  </si>
  <si>
    <t xml:space="preserve">Chongqing Foreign Trade and Economic Cooperation </t>
  </si>
  <si>
    <t>Globe Telecom</t>
  </si>
  <si>
    <t>Benin</t>
  </si>
  <si>
    <t>SIDA</t>
  </si>
  <si>
    <t>Dalian Shipbuilding</t>
  </si>
  <si>
    <t>Sino Tharwa</t>
  </si>
  <si>
    <t>Radiant Starfish</t>
  </si>
  <si>
    <t>Copel</t>
  </si>
  <si>
    <t>San Buenaventura Sugar</t>
  </si>
  <si>
    <t>Italcementi</t>
  </si>
  <si>
    <t>Energia Azul</t>
  </si>
  <si>
    <t>Ethiopia Sugar</t>
  </si>
  <si>
    <t>Albanisa</t>
  </si>
  <si>
    <t>Ghana National Gas</t>
  </si>
  <si>
    <t>Danya Cebus</t>
  </si>
  <si>
    <t>Complexul Energetic Rovinari</t>
  </si>
  <si>
    <t>Romania</t>
  </si>
  <si>
    <t>Tehran Urban &amp; Suburban Rail</t>
  </si>
  <si>
    <t>Hotel Investment Company</t>
  </si>
  <si>
    <t>Wison Engineering</t>
  </si>
  <si>
    <t>HZL</t>
  </si>
  <si>
    <t>Venezuela National Electric</t>
  </si>
  <si>
    <t>Beijing Shenwu</t>
  </si>
  <si>
    <t>Titan Mineral</t>
  </si>
  <si>
    <t>Balinton Resources</t>
  </si>
  <si>
    <t>KenGen</t>
  </si>
  <si>
    <t>Laotian Electric Power Company</t>
  </si>
  <si>
    <t>Sithe Global</t>
  </si>
  <si>
    <t>Saudi Global Ports</t>
  </si>
  <si>
    <t>Southern Province Cement</t>
  </si>
  <si>
    <t>Utico</t>
  </si>
  <si>
    <t>Formosa Plastics</t>
  </si>
  <si>
    <t>SUMMIT</t>
  </si>
  <si>
    <t>Yuanda</t>
  </si>
  <si>
    <t>Vimpelcom</t>
  </si>
  <si>
    <t>Bosawa</t>
  </si>
  <si>
    <t>Saline Water</t>
  </si>
  <si>
    <t>Tebian Electric Apparatus (TBEA), Power Construction Corp. (PowerChina)</t>
  </si>
  <si>
    <t>Gazprom</t>
  </si>
  <si>
    <t>Ciner Holding</t>
  </si>
  <si>
    <t>JD Development</t>
  </si>
  <si>
    <t>Henan International Cooperation Corp</t>
  </si>
  <si>
    <t>Honduras</t>
  </si>
  <si>
    <t>Aksa Enerji</t>
  </si>
  <si>
    <t>Tunggal Prakarsa</t>
  </si>
  <si>
    <t>Ethiopian Sugar</t>
  </si>
  <si>
    <t>Shenyang International Cooperation Corp</t>
  </si>
  <si>
    <t>Globacom</t>
  </si>
  <si>
    <t>VimpelCom</t>
  </si>
  <si>
    <t>Filinvest</t>
  </si>
  <si>
    <t>Hattat Holding</t>
  </si>
  <si>
    <t>Donetsksteel</t>
  </si>
  <si>
    <t>Cudeco</t>
  </si>
  <si>
    <t>Power Construction Corp. (PowerChina), China Petroleum and Chemical (Sinopec)</t>
  </si>
  <si>
    <t>Ethiopian Electric Power</t>
  </si>
  <si>
    <t>Eurafric</t>
  </si>
  <si>
    <t>KTG</t>
  </si>
  <si>
    <t>Sarawak Cable</t>
  </si>
  <si>
    <t>Al-Lajjun Oil Shale</t>
  </si>
  <si>
    <t>SALCO</t>
  </si>
  <si>
    <t>Tupac Katari</t>
  </si>
  <si>
    <t>TDC</t>
  </si>
  <si>
    <t>GWCL</t>
  </si>
  <si>
    <t>Daya Bumindo</t>
  </si>
  <si>
    <t>Manchester Airport, Carillion</t>
  </si>
  <si>
    <t>Tanzania Electric Supply</t>
  </si>
  <si>
    <t>United Cement</t>
  </si>
  <si>
    <t>Sichuan Railway Investment</t>
  </si>
  <si>
    <t>Power Construction Corp. (PowerChina), Yingli Green Energy</t>
  </si>
  <si>
    <t>SKTM</t>
  </si>
  <si>
    <t>Harbin Electric, China Energy Engineering</t>
  </si>
  <si>
    <t>CLP</t>
  </si>
  <si>
    <t>Faruk</t>
  </si>
  <si>
    <t>Macedonia</t>
  </si>
  <si>
    <t>Ming Yan</t>
  </si>
  <si>
    <t>Speranta &amp; Succesul</t>
  </si>
  <si>
    <t>NHC</t>
  </si>
  <si>
    <t>Pacific Bangladesh Telecom</t>
  </si>
  <si>
    <t>Siam Cement</t>
  </si>
  <si>
    <t>Boska</t>
  </si>
  <si>
    <t>China Railway Construction, China Railway Engineering</t>
  </si>
  <si>
    <t>SMI</t>
  </si>
  <si>
    <t>Power Construction Corp. (PowerChina), China National Machinery Industry (Sinomach)</t>
  </si>
  <si>
    <t>Shandong Electric Power Construction II</t>
  </si>
  <si>
    <t>Al-Arrab</t>
  </si>
  <si>
    <t>Ghana Water</t>
  </si>
  <si>
    <t>Hewa</t>
  </si>
  <si>
    <t>Kuwait National Petroleum</t>
  </si>
  <si>
    <t>Power Construction Corp. (PowerChina), Shanghai Construction</t>
  </si>
  <si>
    <t>Electrobras</t>
  </si>
  <si>
    <t>Camargo Correa</t>
  </si>
  <si>
    <t>Hidorequinoccio</t>
  </si>
  <si>
    <t>Tidfore Heavy</t>
  </si>
  <si>
    <t>North-West Power</t>
  </si>
  <si>
    <t>BTN</t>
  </si>
  <si>
    <t>Ciment Lafarge Souakri</t>
  </si>
  <si>
    <t>Venalum</t>
  </si>
  <si>
    <t>SAPTA and EVSM</t>
  </si>
  <si>
    <t>Grodnoernergo</t>
  </si>
  <si>
    <t>Ayala and Power Partners</t>
  </si>
  <si>
    <t>Shanghai Shentong</t>
  </si>
  <si>
    <t>Eurocement</t>
  </si>
  <si>
    <t>PPC</t>
  </si>
  <si>
    <t>ENDE</t>
  </si>
  <si>
    <t>Sembcorp</t>
  </si>
  <si>
    <t>Sino Great Wall</t>
  </si>
  <si>
    <t>NRL</t>
  </si>
  <si>
    <t>China National Machinery Industry (Sinomach), China National Chemical Engineering</t>
  </si>
  <si>
    <t>Uzkhimprom</t>
  </si>
  <si>
    <t>Skai</t>
  </si>
  <si>
    <t>Corpoelec</t>
  </si>
  <si>
    <t>Kazakhmys Aktoga</t>
  </si>
  <si>
    <t>Power Construction Corp. (PowerChina), China Energy Engineering</t>
  </si>
  <si>
    <t>SUR</t>
  </si>
  <si>
    <t>Sindh Engro</t>
  </si>
  <si>
    <t>ONEE</t>
  </si>
  <si>
    <t>SIH</t>
  </si>
  <si>
    <t>PTTEP</t>
  </si>
  <si>
    <t>JSW Iron</t>
  </si>
  <si>
    <t>Esai</t>
  </si>
  <si>
    <t>Cemindo Gemilang</t>
  </si>
  <si>
    <t>Win Win Net</t>
  </si>
  <si>
    <t>Zarand</t>
  </si>
  <si>
    <t>Kazakhstan Potash Corporation</t>
  </si>
  <si>
    <t>PKG</t>
  </si>
  <si>
    <t>Gansu Construction Investment</t>
  </si>
  <si>
    <t>Beijing Uni-Construction</t>
  </si>
  <si>
    <t>ZESCO</t>
  </si>
  <si>
    <t>Arenco</t>
  </si>
  <si>
    <t>Timor-Leste</t>
  </si>
  <si>
    <t>China Railway Construction, China Energy Engineering</t>
  </si>
  <si>
    <t>Egypt Rail</t>
  </si>
  <si>
    <t>State Construction Engineering, Anhui Foreign Economic Construction</t>
  </si>
  <si>
    <t>Arabian Cement</t>
  </si>
  <si>
    <t>ADNOC</t>
  </si>
  <si>
    <t>Limak Holdings</t>
  </si>
  <si>
    <t>Chek-Su. VK.</t>
  </si>
  <si>
    <t>H. E. Power</t>
  </si>
  <si>
    <t>DBM</t>
  </si>
  <si>
    <t>IRPC</t>
  </si>
  <si>
    <t>Aperture Green Power</t>
  </si>
  <si>
    <t>Votorantim Cimento</t>
  </si>
  <si>
    <t>Oman Sugar</t>
  </si>
  <si>
    <t>JSC Russian Railways</t>
  </si>
  <si>
    <t>Samsung and ACS</t>
  </si>
  <si>
    <t>SARL Biskra Ciment</t>
  </si>
  <si>
    <t>China Railway Corp, China North Industries (Norinco)</t>
  </si>
  <si>
    <t>Tosyali</t>
  </si>
  <si>
    <t>Damac Crescent</t>
  </si>
  <si>
    <t>China Western Power Industrial</t>
  </si>
  <si>
    <t>Sermsappaisal</t>
  </si>
  <si>
    <t>Anton Oilfield Services</t>
  </si>
  <si>
    <t>Bollore and CMA-CGM</t>
  </si>
  <si>
    <t>WIKA and PP</t>
  </si>
  <si>
    <t>Africa Energy</t>
  </si>
  <si>
    <t>Zhejiang Chint</t>
  </si>
  <si>
    <t>Donald Mineral Sands</t>
  </si>
  <si>
    <t>Scarborough</t>
  </si>
  <si>
    <t>Mega First Corp</t>
  </si>
  <si>
    <t>E&amp;O</t>
  </si>
  <si>
    <t>Sudar</t>
  </si>
  <si>
    <t>Ibeto Cement</t>
  </si>
  <si>
    <t>Siberian Wood</t>
  </si>
  <si>
    <t xml:space="preserve">Ossiomo Power </t>
  </si>
  <si>
    <t>China Petroleum and Chemical (Sinopec), Jiangxi Water</t>
  </si>
  <si>
    <t>Pt CPS Indonesia Medan</t>
  </si>
  <si>
    <t>Copri Construction</t>
  </si>
  <si>
    <t>Chip Mong Insee</t>
  </si>
  <si>
    <t>Zahir Khan and Brothers Engineers and Constructors</t>
  </si>
  <si>
    <t>PT Bantaeng Sigma Energi</t>
  </si>
  <si>
    <t>Fairbrother</t>
  </si>
  <si>
    <t>PDI Global</t>
  </si>
  <si>
    <t>Bafgh Kasra</t>
  </si>
  <si>
    <t>Golbahar New Town Development</t>
  </si>
  <si>
    <t>China North Industries (Norinco), Shandong Taikai Group</t>
  </si>
  <si>
    <t>Nakheel</t>
  </si>
  <si>
    <t>State Construction Engineering, China Communications Construction</t>
  </si>
  <si>
    <t>Algeria Harbour Group</t>
  </si>
  <si>
    <t>Maha Land</t>
  </si>
  <si>
    <t>China Communications Construction, China National Petroleum Corp. (CNPC)</t>
  </si>
  <si>
    <t>Phosphate Mines</t>
  </si>
  <si>
    <t>Riga Commercial Port</t>
  </si>
  <si>
    <t>Latvia</t>
  </si>
  <si>
    <t>Kipeto</t>
  </si>
  <si>
    <t>Caio Porto</t>
  </si>
  <si>
    <t>Genertec and North-West Power Generation</t>
  </si>
  <si>
    <t>State Grid, Power Construction Corp. (PowerChina)</t>
  </si>
  <si>
    <t>Tigray Rehabilitation Fund</t>
  </si>
  <si>
    <t>Jiangsu Yongding, China National Machinery Industry (Sinomach)</t>
  </si>
  <si>
    <t>Electricity du Laos</t>
  </si>
  <si>
    <t>Advanced Tyre</t>
  </si>
  <si>
    <t>Jiangxi Jianglian</t>
  </si>
  <si>
    <t>Union</t>
  </si>
  <si>
    <t>Zahana</t>
  </si>
  <si>
    <t>Mitsui, ACWA, DIDIC</t>
  </si>
  <si>
    <t>CIMIC</t>
  </si>
  <si>
    <t>PRINSIP HASIL</t>
  </si>
  <si>
    <t>BOSOWA</t>
  </si>
  <si>
    <t>DEWA</t>
  </si>
  <si>
    <t>Century Peak</t>
  </si>
  <si>
    <t>Barbados</t>
  </si>
  <si>
    <t>EDA RANU</t>
  </si>
  <si>
    <t>KAPCO</t>
  </si>
  <si>
    <t>Banque Congolaise de l'Habitat</t>
  </si>
  <si>
    <t>Sarahnlom</t>
  </si>
  <si>
    <t>Eurasian Resources</t>
  </si>
  <si>
    <t>AQS</t>
  </si>
  <si>
    <t>Starenergie 2073</t>
  </si>
  <si>
    <t>PT Wanxiang Nickel</t>
  </si>
  <si>
    <t>Gharibal</t>
  </si>
  <si>
    <t>Georgian Oil and Gas</t>
  </si>
  <si>
    <t>Thaicom</t>
  </si>
  <si>
    <t>Telekom Srbija</t>
  </si>
  <si>
    <t>Tebian Electric Apparatus (TBEA)-led consortium</t>
  </si>
  <si>
    <t>Dhaka Power</t>
  </si>
  <si>
    <t>Kar Electrical</t>
  </si>
  <si>
    <t>PETRONAS</t>
  </si>
  <si>
    <t>Jiangsu Yongding, China National Machinery Industry (Sinomach), Power Construction Corp. (PowerChina)</t>
  </si>
  <si>
    <t>Cape Verde</t>
  </si>
  <si>
    <t>Kar Group</t>
  </si>
  <si>
    <t>Tahal</t>
  </si>
  <si>
    <t>Damac</t>
  </si>
  <si>
    <t>HBK Contracting</t>
  </si>
  <si>
    <t>A Brown</t>
  </si>
  <si>
    <t>Energy Logics</t>
  </si>
  <si>
    <t>Sumber Segara Primadaya</t>
  </si>
  <si>
    <t>Belarusian National Biotech</t>
  </si>
  <si>
    <t>Eurasia Mining</t>
  </si>
  <si>
    <t>Garnet</t>
  </si>
  <si>
    <t>Portugal Solara4 Vaqueiros</t>
  </si>
  <si>
    <t>Parramatta</t>
  </si>
  <si>
    <t>Rybinsk Power</t>
  </si>
  <si>
    <t>HEI</t>
  </si>
  <si>
    <t>Win Win House</t>
  </si>
  <si>
    <t>Malaysia's YTL</t>
  </si>
  <si>
    <t>China Communications Construction, State Construction Engineering</t>
  </si>
  <si>
    <t>PT Semen Baturaja Persero</t>
  </si>
  <si>
    <t>Sembcorp, North West Power</t>
  </si>
  <si>
    <t>Woh Hup</t>
  </si>
  <si>
    <t>Lucky Electric</t>
  </si>
  <si>
    <t>Shandong Dejian</t>
  </si>
  <si>
    <t>China Energy Engineering, Jiangsu Provincial Transport</t>
  </si>
  <si>
    <t>ACG</t>
  </si>
  <si>
    <t>Shenzhen Energy, Power Construction Corp. (PowerChina)</t>
  </si>
  <si>
    <t>Indoserena Dwimakmur</t>
  </si>
  <si>
    <t>Newcastle University</t>
  </si>
  <si>
    <t>Cheret Cement</t>
  </si>
  <si>
    <t>HAWA</t>
  </si>
  <si>
    <t>Pioneer</t>
  </si>
  <si>
    <t>Indola</t>
  </si>
  <si>
    <t>Phong Sub Thavy</t>
  </si>
  <si>
    <t>Henan International Cooperation Corp, China City Construction</t>
  </si>
  <si>
    <t>China Communications Construction, Power Construction Corp. (PowerChina)</t>
  </si>
  <si>
    <t>Chelm</t>
  </si>
  <si>
    <t>Bestway</t>
  </si>
  <si>
    <t>Boreal Bioref</t>
  </si>
  <si>
    <t>Cambodia Petrochemical</t>
  </si>
  <si>
    <t>Mosinzhproekt</t>
  </si>
  <si>
    <t>Nantong Sanjian</t>
  </si>
  <si>
    <t>Power Construction Corp. (PowerChina), Jiangsu Zhongli</t>
  </si>
  <si>
    <t>CIMIC, Ghella</t>
  </si>
  <si>
    <t>Jabal Bazian</t>
  </si>
  <si>
    <t>Boreal Investments</t>
  </si>
  <si>
    <t>SNEL</t>
  </si>
  <si>
    <t>Reliable Energy Solution</t>
  </si>
  <si>
    <t>Jan de Nul</t>
  </si>
  <si>
    <t>Guangdong New South</t>
  </si>
  <si>
    <t>Tian Tang</t>
  </si>
  <si>
    <t>Nantong Sanjian, China Railway Construction</t>
  </si>
  <si>
    <t>Aviation Industry Corp. (AVIC), China Railway Engineering</t>
  </si>
  <si>
    <t>Loma Negra</t>
  </si>
  <si>
    <t>Toma's Construction</t>
  </si>
  <si>
    <t>Electro Ingeniería</t>
  </si>
  <si>
    <t>EISA</t>
  </si>
  <si>
    <t>Sepakat</t>
  </si>
  <si>
    <t>KNM</t>
  </si>
  <si>
    <t xml:space="preserve">Sokhna Refinery and Petrochemicals </t>
  </si>
  <si>
    <t>VINCI</t>
  </si>
  <si>
    <t>Xinjiang Communications Construction</t>
  </si>
  <si>
    <t>MPC Group, TRILITY Wentworth</t>
  </si>
  <si>
    <t>Shenzhen Metro, China Railway Construction</t>
  </si>
  <si>
    <t>Eged</t>
  </si>
  <si>
    <t>Power Construction Corp. (PowerChina), State Grid</t>
  </si>
  <si>
    <t>Teyo</t>
  </si>
  <si>
    <t>Daman</t>
  </si>
  <si>
    <t>Hengtong Group</t>
  </si>
  <si>
    <t>Inner Renewable Energy</t>
  </si>
  <si>
    <t>M101</t>
  </si>
  <si>
    <t>Melbourne Authority</t>
  </si>
  <si>
    <t>GNPD</t>
  </si>
  <si>
    <t>Nerin, China Petroleum and Chemical (Sinopec)</t>
  </si>
  <si>
    <t>A1 Group</t>
  </si>
  <si>
    <t>China National Machinery Industry (Sinomach), Shanghai Electric</t>
  </si>
  <si>
    <t>Eco Friendly Tower Company</t>
  </si>
  <si>
    <t>Hoa Phat Company</t>
  </si>
  <si>
    <t>Meghna</t>
  </si>
  <si>
    <t>Sagamu</t>
  </si>
  <si>
    <t>Moldova</t>
  </si>
  <si>
    <t>Hefa</t>
  </si>
  <si>
    <t>China Communications Construction, China Railway Engineering</t>
  </si>
  <si>
    <t>180 Flinders</t>
  </si>
  <si>
    <t>Shanghai Safbon</t>
  </si>
  <si>
    <t>Shandong Kerui</t>
  </si>
  <si>
    <t>Metedo Potencial</t>
  </si>
  <si>
    <t>SPL</t>
  </si>
  <si>
    <t>Max Infrastructure</t>
  </si>
  <si>
    <t>Henan International Cooperation Corp, China Railway Engineering, China Energy Conservation, Fujian Construction Engineering</t>
  </si>
  <si>
    <t>DTEK</t>
  </si>
  <si>
    <t>Xinjiang Beiken Energy Engineering</t>
  </si>
  <si>
    <t>UkrGas</t>
  </si>
  <si>
    <t>Petrofac</t>
  </si>
  <si>
    <t>Henan Senyuan</t>
  </si>
  <si>
    <t>Prominvest</t>
  </si>
  <si>
    <t>China Railway Construction, China Railway Engineering, China Communications Construction</t>
  </si>
  <si>
    <t xml:space="preserve">Soma Daya </t>
  </si>
  <si>
    <t>COPISA</t>
  </si>
  <si>
    <t>Tampines</t>
  </si>
  <si>
    <t>China Railway Engineering, Zhongyun International Engineering</t>
  </si>
  <si>
    <t>B Grimm, Xuan Cau</t>
  </si>
  <si>
    <t>Gerald Group</t>
  </si>
  <si>
    <t>CMIC</t>
  </si>
  <si>
    <t>Emaar</t>
  </si>
  <si>
    <t>Oman Oil</t>
  </si>
  <si>
    <t>Brentex</t>
  </si>
  <si>
    <t>SWT</t>
  </si>
  <si>
    <t>Toba</t>
  </si>
  <si>
    <t>Aviation Industry Corp. (AVIC), Shanghai Construction</t>
  </si>
  <si>
    <t xml:space="preserve">CEMINDO GEMILANG </t>
  </si>
  <si>
    <t>China Communications Construction, China State Shipbuilding</t>
  </si>
  <si>
    <t>NBT</t>
  </si>
  <si>
    <t>Heilongjiang Construction</t>
  </si>
  <si>
    <t>MEP</t>
  </si>
  <si>
    <t>Bollore</t>
  </si>
  <si>
    <t>Mitsubishi Heavy</t>
  </si>
  <si>
    <t>Yacimientos de Litio</t>
  </si>
  <si>
    <t>Limay</t>
  </si>
  <si>
    <t>Lotte</t>
  </si>
  <si>
    <t>Shanghai Construction, China National Machinery Industry (Sinomach)</t>
  </si>
  <si>
    <t>Mytilineous</t>
  </si>
  <si>
    <t>China Oil HBP</t>
  </si>
  <si>
    <t>China Petroleum (Taiwan)</t>
  </si>
  <si>
    <t>Aramco-led consortium</t>
  </si>
  <si>
    <t>BRT</t>
  </si>
  <si>
    <t>Sinoma-ZCCM</t>
  </si>
  <si>
    <t>Donbasenergo</t>
  </si>
  <si>
    <t>China Railway Construction-led consortium</t>
  </si>
  <si>
    <t>Lesotho</t>
  </si>
  <si>
    <t>Magnitogorsk Iron and Steel Works</t>
  </si>
  <si>
    <t>Unique</t>
  </si>
  <si>
    <t>Tanesco</t>
  </si>
  <si>
    <t>El Mutun</t>
  </si>
  <si>
    <t>Satellogic</t>
  </si>
  <si>
    <t>Shanxi Construction Investment</t>
  </si>
  <si>
    <t>Minmetals (MCC)</t>
  </si>
  <si>
    <t>China Energy Engineering, Zhejiang Supcon</t>
  </si>
  <si>
    <t>MINOS</t>
  </si>
  <si>
    <t>China Railway Engineering, Beijing Construction Engineering</t>
  </si>
  <si>
    <t>Neoen</t>
  </si>
  <si>
    <t>ZTE (Zhongxing Telecommunications Equipment), China Telecom</t>
  </si>
  <si>
    <t>Adani</t>
  </si>
  <si>
    <t>SK Engineering</t>
  </si>
  <si>
    <t>Basra Gas</t>
  </si>
  <si>
    <t>BUA</t>
  </si>
  <si>
    <t>Grupo Diavaz</t>
  </si>
  <si>
    <t>Talco</t>
  </si>
  <si>
    <t>Descon</t>
  </si>
  <si>
    <t>Hokasa</t>
  </si>
  <si>
    <t>Sinosteel, China Energy Engineering</t>
  </si>
  <si>
    <t>Tsetsens</t>
  </si>
  <si>
    <t>Limak</t>
  </si>
  <si>
    <t>TRI-ZEN</t>
  </si>
  <si>
    <t>Tee Yih Jia Food</t>
  </si>
  <si>
    <t>Jiangsu Yongding, Harbin Electric</t>
  </si>
  <si>
    <t>Genertec</t>
  </si>
  <si>
    <t>Bahrain</t>
  </si>
  <si>
    <t>Opus Global</t>
  </si>
  <si>
    <t>State Construction Engineering, Power Construction Corp. (PowerChina), China Communications Construction</t>
  </si>
  <si>
    <t>Autoceste</t>
  </si>
  <si>
    <t>Deira</t>
  </si>
  <si>
    <t>Berkowitz</t>
  </si>
  <si>
    <t>Ghantoot</t>
  </si>
  <si>
    <t>Scatec</t>
  </si>
  <si>
    <t>State Development and Investment Corp., Gansu Construction Investment</t>
  </si>
  <si>
    <t>Afi Development</t>
  </si>
  <si>
    <t>Singapore Institute of Technology</t>
  </si>
  <si>
    <t>Bomesc Offshore Engineering</t>
  </si>
  <si>
    <t>Technip</t>
  </si>
  <si>
    <t>Proton Energy</t>
  </si>
  <si>
    <t>MAG</t>
  </si>
  <si>
    <t>Prioritas Gading</t>
  </si>
  <si>
    <t>JTC</t>
  </si>
  <si>
    <t>Lacour</t>
  </si>
  <si>
    <t>Linde</t>
  </si>
  <si>
    <t>Dubai PortWorld</t>
  </si>
  <si>
    <t>Sastobe</t>
  </si>
  <si>
    <t>Royal Caribbean</t>
  </si>
  <si>
    <t>Talcher Fertilizers</t>
  </si>
  <si>
    <t xml:space="preserve">Mwalimu Nyerere Foundation </t>
  </si>
  <si>
    <t>China Energy Engineering, China National Machinery Industry (Sinomach)</t>
  </si>
  <si>
    <t>MAN, Wartsila</t>
  </si>
  <si>
    <t>Fujian Construction Engineering, China Communications Construction, Minmetals</t>
  </si>
  <si>
    <t>China Electronics Technology</t>
  </si>
  <si>
    <t>Kaylon</t>
  </si>
  <si>
    <t>Saudi Electricity</t>
  </si>
  <si>
    <t>Mirvac</t>
  </si>
  <si>
    <t>China Railway Signal and Communication</t>
  </si>
  <si>
    <t>Magnis</t>
  </si>
  <si>
    <t>K-Electric</t>
  </si>
  <si>
    <t>China Nonferrous, China Railway Construction</t>
  </si>
  <si>
    <t>Dongbei Steel</t>
  </si>
  <si>
    <t>KEC</t>
  </si>
  <si>
    <t>Jiangxi Transportation Engineering, Fujian Construction Engineering</t>
  </si>
  <si>
    <t>Yanjian</t>
  </si>
  <si>
    <t>Guizhou Highway Engineering</t>
  </si>
  <si>
    <t>Wai Fong</t>
  </si>
  <si>
    <t>Larsen and Toubro</t>
  </si>
  <si>
    <t>Marubeni and Total</t>
  </si>
  <si>
    <t>Ictas</t>
  </si>
  <si>
    <t>Cindrigo</t>
  </si>
  <si>
    <t>PowerPac</t>
  </si>
  <si>
    <t>Hunan Construction Investment, China Energy Conservation</t>
  </si>
  <si>
    <t>ACWA and Taekwang</t>
  </si>
  <si>
    <t>Panasolar</t>
  </si>
  <si>
    <t>EPBiH</t>
  </si>
  <si>
    <t>North West</t>
  </si>
  <si>
    <t>Beijing Urban Construction, China National Machinery Industry (Sinomach)</t>
  </si>
  <si>
    <t>China Railway Construction, Aviation Industry Corp. (AVIC)</t>
  </si>
  <si>
    <t xml:space="preserve">China Railway Rolling Stock Corp. (CRRC) </t>
  </si>
  <si>
    <t>Chongqing Foreign Trade and Economic Cooperation</t>
  </si>
  <si>
    <t>MMC</t>
  </si>
  <si>
    <t>Abadi</t>
  </si>
  <si>
    <t>Sohar Asphalt</t>
  </si>
  <si>
    <t>Les Ciments Du Sahel</t>
  </si>
  <si>
    <t>Taisei</t>
  </si>
  <si>
    <t>Royal Progress</t>
  </si>
  <si>
    <t>Bamboo Capital</t>
  </si>
  <si>
    <t>McConnell Dowell</t>
  </si>
  <si>
    <t>Fiva</t>
  </si>
  <si>
    <t>RusGasDobycha</t>
  </si>
  <si>
    <t>SHCHEKINOAZOT</t>
  </si>
  <si>
    <t>Hutchinson</t>
  </si>
  <si>
    <t>Grimm</t>
  </si>
  <si>
    <t>Seymour Whyte</t>
  </si>
  <si>
    <t>China General Technology (Genertec), Huawei</t>
  </si>
  <si>
    <t>Power Construction Corp. (PowerChina), Three Gorges</t>
  </si>
  <si>
    <t>SEE Civil</t>
  </si>
  <si>
    <t>Power Construction Corp. (PowerChina), Minmetals</t>
  </si>
  <si>
    <t>Aneka Tambang, Asahan</t>
  </si>
  <si>
    <t>Zhejiang Communications</t>
  </si>
  <si>
    <t>Asonha Energie</t>
  </si>
  <si>
    <t>Ghulam Rasool</t>
  </si>
  <si>
    <t>Genex</t>
  </si>
  <si>
    <t>Parkview</t>
  </si>
  <si>
    <t>Uruguay</t>
  </si>
  <si>
    <t>China Poly, State Construction Engineering</t>
  </si>
  <si>
    <t>Pertamina</t>
  </si>
  <si>
    <t>China Energy Engineering, China Minmetals</t>
  </si>
  <si>
    <t>China National Machinery Industry (Sinomach), Dongfang Electric</t>
  </si>
  <si>
    <t>JCHX Mining, China Railway Construction</t>
  </si>
  <si>
    <t>Falcore</t>
  </si>
  <si>
    <t>UES</t>
  </si>
  <si>
    <t>IBS</t>
  </si>
  <si>
    <t>KIS</t>
  </si>
  <si>
    <t>Intercor</t>
  </si>
  <si>
    <t xml:space="preserve">EDF and AME </t>
  </si>
  <si>
    <t>Shanghai Greenland, China General Technology (Genertec)</t>
  </si>
  <si>
    <t>Nanchang Engineering</t>
  </si>
  <si>
    <t>China Railway Construction, Changjiang Yichang Waterway</t>
  </si>
  <si>
    <t>DOMICEM</t>
  </si>
  <si>
    <t>Dominican Republic</t>
  </si>
  <si>
    <t>Harlow</t>
  </si>
  <si>
    <t>Yantai Jereh</t>
  </si>
  <si>
    <t>Shandong Gaosu, China Communications Construction</t>
  </si>
  <si>
    <t>China North Industries (Norinco)-led consortium</t>
  </si>
  <si>
    <t>China Railway Engineering, China General Technology (Genertec)</t>
  </si>
  <si>
    <t>LT Sambo</t>
  </si>
  <si>
    <t>Burkina Faso</t>
  </si>
  <si>
    <t>Navoiyazot</t>
  </si>
  <si>
    <t>Amman Mineral</t>
  </si>
  <si>
    <t>Select</t>
  </si>
  <si>
    <t>SM Prime</t>
  </si>
  <si>
    <t>Skikda</t>
  </si>
  <si>
    <t>BBR</t>
  </si>
  <si>
    <t>ISHPINGO</t>
  </si>
  <si>
    <t>Delong</t>
  </si>
  <si>
    <t>Daewoo</t>
  </si>
  <si>
    <t>Técnicas Reunidas</t>
  </si>
  <si>
    <t>Beijing Construction Engineering, Jiangxi International Cooperation Corp, Power Construction Corp. (PowerChina)</t>
  </si>
  <si>
    <t>Enertech</t>
  </si>
  <si>
    <t>Phongsab</t>
  </si>
  <si>
    <t>China Petroleum and Chemical (Sinopec), China General Technology (Genertec)</t>
  </si>
  <si>
    <t>Al-Fajr</t>
  </si>
  <si>
    <t>PTT</t>
  </si>
  <si>
    <t>Eskom</t>
  </si>
  <si>
    <t>Jiangxi International Cooperation Corp, Henan International Cooperation Corp</t>
  </si>
  <si>
    <t>Qatar Vinal</t>
  </si>
  <si>
    <t>AL-Fajr</t>
  </si>
  <si>
    <t>China National Machinery Industry (Sinomach), Sinopharm</t>
  </si>
  <si>
    <t>Lygend and Harita</t>
  </si>
  <si>
    <t>Abyssinia Bank</t>
  </si>
  <si>
    <t>Cemig</t>
  </si>
  <si>
    <t>ISA and Transelec</t>
  </si>
  <si>
    <t>Dominica</t>
  </si>
  <si>
    <t>Vicinity and Gandel</t>
  </si>
  <si>
    <t>Bolloré and CMA CGM</t>
  </si>
  <si>
    <t>FCC and SAJCO</t>
  </si>
  <si>
    <t xml:space="preserve">Savannah Cement </t>
  </si>
  <si>
    <t>Yamama</t>
  </si>
  <si>
    <t>Equity Bank</t>
  </si>
  <si>
    <t>TR</t>
  </si>
  <si>
    <t>CIMC unit and Ghella</t>
  </si>
  <si>
    <t>Aldar</t>
  </si>
  <si>
    <t>Chengtun, Tsingshan</t>
  </si>
  <si>
    <t>China International Trust and Investment (CITIC), China National Petroleum Corp. (CNPC)</t>
  </si>
  <si>
    <t>Obayashi</t>
  </si>
  <si>
    <t>United Capital Fertilizer</t>
  </si>
  <si>
    <t>Shanghai Supezet</t>
  </si>
  <si>
    <t>Canacol</t>
  </si>
  <si>
    <t>TCM, Itengchu</t>
  </si>
  <si>
    <t>SMB Winning</t>
  </si>
  <si>
    <t>SPHP</t>
  </si>
  <si>
    <t>AMEA</t>
  </si>
  <si>
    <t>Tiisa</t>
  </si>
  <si>
    <t>Power Construction Corp. (PowerChina)-led consortium</t>
  </si>
  <si>
    <t>AT&amp;S</t>
  </si>
  <si>
    <t>Eren</t>
  </si>
  <si>
    <t>Baimskaya</t>
  </si>
  <si>
    <t>Armenia</t>
  </si>
  <si>
    <t>Base Major</t>
  </si>
  <si>
    <t>Aramco, Total</t>
  </si>
  <si>
    <t>AEON</t>
  </si>
  <si>
    <t>Masdar</t>
  </si>
  <si>
    <t>Midrock</t>
  </si>
  <si>
    <t>EMR</t>
  </si>
  <si>
    <t>Sozak</t>
  </si>
  <si>
    <t>Hua Hong Construction</t>
  </si>
  <si>
    <t>NMC</t>
  </si>
  <si>
    <t>Derba MIDROC</t>
  </si>
  <si>
    <t>Minmetals, Fujian Construction Engineering</t>
  </si>
  <si>
    <t>Al-Diyar</t>
  </si>
  <si>
    <t>Mota Engil</t>
  </si>
  <si>
    <t>Mitra Murni</t>
  </si>
  <si>
    <t>Power Construction Corp. (Sinohydro)</t>
  </si>
  <si>
    <t>South Gobi</t>
  </si>
  <si>
    <t>Anwar</t>
  </si>
  <si>
    <t>PEMEX</t>
  </si>
  <si>
    <t>Power Construction Corp. (PowerChina), Dongfang Electric</t>
  </si>
  <si>
    <t>EPM</t>
  </si>
  <si>
    <t>Mangal</t>
  </si>
  <si>
    <t>Malatex</t>
  </si>
  <si>
    <t>Pupuk</t>
  </si>
  <si>
    <t>Nakhodka</t>
  </si>
  <si>
    <t>Yildirim</t>
  </si>
  <si>
    <t>Three Gorges, China National Nuclear</t>
  </si>
  <si>
    <t>Cosider</t>
  </si>
  <si>
    <t>Kontrolmatik</t>
  </si>
  <si>
    <t>China Railway Engineering, China National Chemical Engineering</t>
  </si>
  <si>
    <t>Fujian Construction Engineering, Three Gorges</t>
  </si>
  <si>
    <t>Vincente Lao</t>
  </si>
  <si>
    <t>Eswatini</t>
  </si>
  <si>
    <t>Minmetals, China Railway Construction</t>
  </si>
  <si>
    <t>China Railway Construction, Power Construction Corp. (PowerChina)</t>
  </si>
  <si>
    <t>MMP</t>
  </si>
  <si>
    <t>Wuxi Taiji Industry</t>
  </si>
  <si>
    <t>Hyper Partners (Next Solar)</t>
  </si>
  <si>
    <t>Llyod's Metals</t>
  </si>
  <si>
    <t>Nasr</t>
  </si>
  <si>
    <t>L&amp;T Hydrocarbon</t>
  </si>
  <si>
    <t>Semarak</t>
  </si>
  <si>
    <t>Crystal Lagoon</t>
  </si>
  <si>
    <t>Stantec, KBR</t>
  </si>
  <si>
    <t>China Energy Engineering, Sungrow</t>
  </si>
  <si>
    <t>Zen Energy</t>
  </si>
  <si>
    <t>Chandra</t>
  </si>
  <si>
    <t>United Solar</t>
  </si>
  <si>
    <t>Trina Solar, China Energy Engineering</t>
  </si>
  <si>
    <t xml:space="preserve">Bahrain </t>
  </si>
  <si>
    <t>Hyundai</t>
  </si>
  <si>
    <t>Erdenes</t>
  </si>
  <si>
    <t>China Communications Construction, China Energy Engineering</t>
  </si>
  <si>
    <t>Seriti Green</t>
  </si>
  <si>
    <t>Al-Shaheen</t>
  </si>
  <si>
    <t>Amman</t>
  </si>
  <si>
    <t>PIF</t>
  </si>
  <si>
    <t>China North Industries (Norinco), China Communications Construction</t>
  </si>
  <si>
    <t>Geo Energy</t>
  </si>
  <si>
    <t>Tecnicas</t>
  </si>
  <si>
    <t>OQ</t>
  </si>
  <si>
    <t>Luxe</t>
  </si>
  <si>
    <t>China General Technology (Genertec), Shandong Kerui</t>
  </si>
  <si>
    <t>Shanghai SUS Environment, Power Construction Corp. (PowerChina)</t>
  </si>
  <si>
    <t>YTL</t>
  </si>
  <si>
    <t>MASS</t>
  </si>
  <si>
    <t>Gaw</t>
  </si>
  <si>
    <t>Phu My</t>
  </si>
  <si>
    <t>China Communications Construction, China North Industries (Norinco)</t>
  </si>
  <si>
    <t>Africa Export-Import Bank</t>
  </si>
  <si>
    <t>Worldwide</t>
  </si>
  <si>
    <t>Anhui Coal Mine Construction</t>
  </si>
  <si>
    <t>Kali</t>
  </si>
  <si>
    <t>Yishun Neighborhood</t>
  </si>
  <si>
    <t>Oasis</t>
  </si>
  <si>
    <t>VASE</t>
  </si>
  <si>
    <t>China Energy Engineering, Power Construction Corp. (PowerChina)</t>
  </si>
  <si>
    <t>TT</t>
  </si>
  <si>
    <t>Jiangxi International Cooperation Corp, Guizhou Highway Engineering</t>
  </si>
  <si>
    <t>Pacific Green</t>
  </si>
  <si>
    <t>Maire</t>
  </si>
  <si>
    <t>EDF, Korea Western Power</t>
  </si>
  <si>
    <t>TransDev</t>
  </si>
  <si>
    <t>Shanghai SUS Environment</t>
  </si>
  <si>
    <t>Doosan</t>
  </si>
  <si>
    <t>AMUFERT</t>
  </si>
  <si>
    <t>Qarmet</t>
  </si>
  <si>
    <t>Jiangsu Zhenhuai</t>
  </si>
  <si>
    <t>Pacific Construction</t>
  </si>
  <si>
    <t>Tropicana</t>
  </si>
  <si>
    <t>British International Investment</t>
  </si>
  <si>
    <t>Red Rocket</t>
  </si>
  <si>
    <t>Arada</t>
  </si>
  <si>
    <t>Qassim Cement</t>
  </si>
  <si>
    <t>Sichuan Railway Investment, China Railway Construction</t>
  </si>
  <si>
    <t>China Western Power, Bengbu International</t>
  </si>
  <si>
    <t>Al-Nukhba</t>
  </si>
  <si>
    <t>Covenant Engineering</t>
  </si>
  <si>
    <t>China National Machinery Industry (Sinomach), China National Petroleum Corp. (CNPC)</t>
  </si>
  <si>
    <t>Centurion Properties</t>
  </si>
  <si>
    <t>Pacific Construction, China Railway Engineering</t>
  </si>
  <si>
    <t>Jiangsu Jinggong</t>
  </si>
  <si>
    <t>Nesma</t>
  </si>
  <si>
    <t>Sanli Environmental</t>
  </si>
  <si>
    <t>Sacharises</t>
  </si>
  <si>
    <t>Tran Hong Quan</t>
  </si>
  <si>
    <t>Burundi</t>
  </si>
  <si>
    <t>Meeras</t>
  </si>
  <si>
    <t>BBP</t>
  </si>
  <si>
    <t>Masdar-led consortium</t>
  </si>
  <si>
    <t>Vena</t>
  </si>
  <si>
    <t>Amsons</t>
  </si>
  <si>
    <t>Dataset 3 Troubled Transactions</t>
  </si>
  <si>
    <t>Chinese Entity</t>
  </si>
  <si>
    <t>Unocal</t>
  </si>
  <si>
    <t>KazMunaiGaz</t>
  </si>
  <si>
    <t>Burg</t>
  </si>
  <si>
    <t>Vietnam National Coal-Mineral Industries</t>
  </si>
  <si>
    <t>Philnico</t>
  </si>
  <si>
    <t>Uzbekneftegas</t>
  </si>
  <si>
    <t>Thomson</t>
  </si>
  <si>
    <t>China Development Bank, Jilin Fuhua Agricultural Science and Technology Development</t>
  </si>
  <si>
    <t>Tianye Auto, Chamco</t>
  </si>
  <si>
    <t>Perfect Field</t>
  </si>
  <si>
    <t>Rowsley</t>
  </si>
  <si>
    <t>Nufarm</t>
  </si>
  <si>
    <t>Citigroup</t>
  </si>
  <si>
    <t>3Com</t>
  </si>
  <si>
    <t>Bear Stearns</t>
  </si>
  <si>
    <t>Great Wall Technology</t>
  </si>
  <si>
    <t>Iomega</t>
  </si>
  <si>
    <t>Mt. Gibson</t>
  </si>
  <si>
    <t>Dresdner Bank</t>
  </si>
  <si>
    <t>Codelco</t>
  </si>
  <si>
    <t>Linc Energy</t>
  </si>
  <si>
    <t>Insurance</t>
  </si>
  <si>
    <t>CVRD</t>
  </si>
  <si>
    <t>Property consortium</t>
  </si>
  <si>
    <t>Pacific Holdings</t>
  </si>
  <si>
    <t>CSR</t>
  </si>
  <si>
    <t>Verenex Energy</t>
  </si>
  <si>
    <t>Lynas</t>
  </si>
  <si>
    <t>Minsheng Bank</t>
  </si>
  <si>
    <t>UCB</t>
  </si>
  <si>
    <t>A-Power</t>
  </si>
  <si>
    <t>Renewable Energy Group</t>
  </si>
  <si>
    <t>Sichuan Tengzhong</t>
  </si>
  <si>
    <t>Hummer</t>
  </si>
  <si>
    <t>Tonghua Iron and Steel</t>
  </si>
  <si>
    <t>Penn West</t>
  </si>
  <si>
    <t>Quadra Mining</t>
  </si>
  <si>
    <t>Indophil Resoures</t>
  </si>
  <si>
    <t>2Wire</t>
  </si>
  <si>
    <t>Motorola</t>
  </si>
  <si>
    <t>Cape Lambert</t>
  </si>
  <si>
    <t>PT Bumi Resources</t>
  </si>
  <si>
    <t>Copperbelt Minerals</t>
  </si>
  <si>
    <t>Offshore Heavy Transports</t>
  </si>
  <si>
    <t>Riversdale Mining</t>
  </si>
  <si>
    <t>Huawei, ZTE (Zhongxing Telecommunications Equipment)</t>
  </si>
  <si>
    <t>Sprint</t>
  </si>
  <si>
    <t>Hawtai Motor</t>
  </si>
  <si>
    <t>Spyker</t>
  </si>
  <si>
    <t>China Railway Engineering, MCC</t>
  </si>
  <si>
    <t>Resourcehouse</t>
  </si>
  <si>
    <t>Decoma</t>
  </si>
  <si>
    <t>Anshan Steel</t>
  </si>
  <si>
    <t>Gindalbie</t>
  </si>
  <si>
    <t>Asia World Company</t>
  </si>
  <si>
    <t>Steel Development</t>
  </si>
  <si>
    <t>Bannerman</t>
  </si>
  <si>
    <t>Zhongkun</t>
  </si>
  <si>
    <t>Iceland</t>
  </si>
  <si>
    <t>Pang Da, Youngman</t>
  </si>
  <si>
    <t>NH Hotel Group</t>
  </si>
  <si>
    <t>Jiangling Motors, Jiangxi Coal</t>
  </si>
  <si>
    <t>China Metallurgical</t>
  </si>
  <si>
    <t>HRL</t>
  </si>
  <si>
    <t>Arrow</t>
  </si>
  <si>
    <t>Ming Yang</t>
  </si>
  <si>
    <t>South Pars</t>
  </si>
  <si>
    <t>Power Construction Corp. (PowerChina), China National Machinery Industry (Sinomach), Harbin Electric</t>
  </si>
  <si>
    <t>Zhonghui</t>
  </si>
  <si>
    <t>Winsway</t>
  </si>
  <si>
    <t>Beijing Superior Aviation</t>
  </si>
  <si>
    <t>Hawker Beechcraft</t>
  </si>
  <si>
    <t>Sundance</t>
  </si>
  <si>
    <t>Terna Energy</t>
  </si>
  <si>
    <t>FarEasTone</t>
  </si>
  <si>
    <t>Recope</t>
  </si>
  <si>
    <t>New China Trust, China Aviation Industrial Fund, P3</t>
  </si>
  <si>
    <t>AIG</t>
  </si>
  <si>
    <t>Cathay Fortune</t>
  </si>
  <si>
    <t>Discovery Metals</t>
  </si>
  <si>
    <t>DKRW</t>
  </si>
  <si>
    <t>New Times Trust-led group</t>
  </si>
  <si>
    <t>Clal Insurance</t>
  </si>
  <si>
    <t>Jiangxi International Cooperation Corp.</t>
  </si>
  <si>
    <t>CCTV</t>
  </si>
  <si>
    <t>Tianjin Materials</t>
  </si>
  <si>
    <t>Shandong Electric Power</t>
  </si>
  <si>
    <t>GMR</t>
  </si>
  <si>
    <t>Ericsson</t>
  </si>
  <si>
    <t>Ministry of Commerce</t>
  </si>
  <si>
    <t>China National Machinery Industry (Sinomach), China Energy Engineering</t>
  </si>
  <si>
    <t>Caspian Investment Resources</t>
  </si>
  <si>
    <t>China Railway Engineering, China National Machinery Industry (Sinomach)</t>
  </si>
  <si>
    <t>Baha Mar</t>
  </si>
  <si>
    <t>SinoPac Financial</t>
  </si>
  <si>
    <t>LSE</t>
  </si>
  <si>
    <t>SouthGobi</t>
  </si>
  <si>
    <t>Xinjiang Beixin</t>
  </si>
  <si>
    <t>BHF</t>
  </si>
  <si>
    <t>Tianan Insurance</t>
  </si>
  <si>
    <t>Shandong Taishan Sunlight</t>
  </si>
  <si>
    <t>Old Stone Investment</t>
  </si>
  <si>
    <t>GSR Ventures</t>
  </si>
  <si>
    <t>Liaoning Fortone</t>
  </si>
  <si>
    <t>Sinolinks, Orthios</t>
  </si>
  <si>
    <t>Western Digital Corp</t>
  </si>
  <si>
    <t>Delek</t>
  </si>
  <si>
    <t>Siliconware Precision Industries</t>
  </si>
  <si>
    <t>Kidman &amp; Co</t>
  </si>
  <si>
    <t>Sichuan Guodong Construction</t>
  </si>
  <si>
    <t>Guangdong Rising Assets Management</t>
  </si>
  <si>
    <t>Frieda River</t>
  </si>
  <si>
    <t>Terex</t>
  </si>
  <si>
    <t>Everbright-led Consortium</t>
  </si>
  <si>
    <t>MP &amp; Silva</t>
  </si>
  <si>
    <t>Swansea Power</t>
  </si>
  <si>
    <t>Luxshare Precision</t>
  </si>
  <si>
    <t>Merry Electronics</t>
  </si>
  <si>
    <t>Ausgrid</t>
  </si>
  <si>
    <t>CTBC</t>
  </si>
  <si>
    <t>San'an Optoelectronics</t>
  </si>
  <si>
    <t>Global Communication Semiconductors</t>
  </si>
  <si>
    <t>Shandong Delisi</t>
  </si>
  <si>
    <t>Yolarno</t>
  </si>
  <si>
    <t>Communications</t>
  </si>
  <si>
    <t>Anbang Insurance</t>
  </si>
  <si>
    <t>Sub-Sahran Africa</t>
  </si>
  <si>
    <t>Fujian Grand Chip</t>
  </si>
  <si>
    <t>Aixtron</t>
  </si>
  <si>
    <t>Eandis</t>
  </si>
  <si>
    <t>ChipMOS</t>
  </si>
  <si>
    <t>Anhui Xinke New Materials</t>
  </si>
  <si>
    <t>Midnight Investments</t>
  </si>
  <si>
    <t>PDC Capital</t>
  </si>
  <si>
    <t>Powertech</t>
  </si>
  <si>
    <t>Skybridge</t>
  </si>
  <si>
    <t>Dick Clark Productions</t>
  </si>
  <si>
    <t>Cowen</t>
  </si>
  <si>
    <t>Vizio</t>
  </si>
  <si>
    <t xml:space="preserve">Fidelity &amp; Guarantee </t>
  </si>
  <si>
    <t xml:space="preserve">Beijing Urban Construction </t>
  </si>
  <si>
    <t>Zenith Sdn</t>
  </si>
  <si>
    <t>Iskandar Waterfront</t>
  </si>
  <si>
    <t>Binex</t>
  </si>
  <si>
    <t>Fujian Yango</t>
  </si>
  <si>
    <t>Global Eagle</t>
  </si>
  <si>
    <t>Genworth</t>
  </si>
  <si>
    <t>Shenzhen Grandland</t>
  </si>
  <si>
    <t>LIXIL</t>
  </si>
  <si>
    <t xml:space="preserve">Beijing Xinwei Technology </t>
  </si>
  <si>
    <t>Spacecom</t>
  </si>
  <si>
    <t>Gland Pharm</t>
  </si>
  <si>
    <t>Lattice Semiconductor</t>
  </si>
  <si>
    <t>NavInfo, Tencent</t>
  </si>
  <si>
    <t>HERE</t>
  </si>
  <si>
    <t>BlueFocus</t>
  </si>
  <si>
    <t>Cogint</t>
  </si>
  <si>
    <t>Automotive Holdings</t>
  </si>
  <si>
    <t>Chery</t>
  </si>
  <si>
    <t>Grupo Caoa</t>
  </si>
  <si>
    <t>Aleris</t>
  </si>
  <si>
    <t>ANZ</t>
  </si>
  <si>
    <t>Moneygram</t>
  </si>
  <si>
    <t>China IC Fund</t>
  </si>
  <si>
    <t>Xcerra</t>
  </si>
  <si>
    <t>Bally</t>
  </si>
  <si>
    <t>Guizhou Transportation Planning</t>
  </si>
  <si>
    <t xml:space="preserve">Yihai Investment </t>
  </si>
  <si>
    <t>CFE</t>
  </si>
  <si>
    <t>Aecon</t>
  </si>
  <si>
    <t>KMG</t>
  </si>
  <si>
    <t>Shenzhen Energy</t>
  </si>
  <si>
    <t>GlobalIP</t>
  </si>
  <si>
    <t>AMC</t>
  </si>
  <si>
    <t>Hertsmere</t>
  </si>
  <si>
    <t>Beijing Kunlun</t>
  </si>
  <si>
    <t>Grindr</t>
  </si>
  <si>
    <t>Evergrande</t>
  </si>
  <si>
    <t xml:space="preserve">iCarbonX </t>
  </si>
  <si>
    <t>PatientsLikeMe, HealthTell</t>
  </si>
  <si>
    <t>UPL Lao</t>
  </si>
  <si>
    <t xml:space="preserve">Shanghai Giant-led consortium </t>
  </si>
  <si>
    <t>Shandong BaoMa</t>
  </si>
  <si>
    <t>Tullow</t>
  </si>
  <si>
    <t>Thomas Cook</t>
  </si>
  <si>
    <t>China Light, Jianglian</t>
  </si>
  <si>
    <t>Oxley</t>
  </si>
  <si>
    <t>Reliance</t>
  </si>
  <si>
    <t>Jiangsu Hagong</t>
  </si>
  <si>
    <t>Nimak</t>
  </si>
  <si>
    <t>Sun Paper</t>
  </si>
  <si>
    <t>SQM</t>
  </si>
  <si>
    <t>HNA, Nanshan</t>
  </si>
  <si>
    <t>Motor Sich</t>
  </si>
  <si>
    <t>Fexco</t>
  </si>
  <si>
    <t>Cirque du Soleil</t>
  </si>
  <si>
    <t>PizzaExpress</t>
  </si>
  <si>
    <t>Kirin</t>
  </si>
  <si>
    <t>Sirius Insurance</t>
  </si>
  <si>
    <t>Swissport</t>
  </si>
  <si>
    <t>Power Construction Corp. (PowerChina), Shenzhen Yantian, Rizhao Port</t>
  </si>
  <si>
    <t>KAJ Development</t>
  </si>
  <si>
    <t>Fortune Fountain</t>
  </si>
  <si>
    <t>Baccarat</t>
  </si>
  <si>
    <t>Probuild</t>
  </si>
  <si>
    <t>Ningbo Zhoushan</t>
  </si>
  <si>
    <t>Resolute</t>
  </si>
  <si>
    <t>Magnachip</t>
  </si>
  <si>
    <t>Verisem</t>
  </si>
  <si>
    <t>Advanced Business Parks</t>
  </si>
  <si>
    <t>Guangzhou R&amp;F</t>
  </si>
  <si>
    <t>Triangle Tyre</t>
  </si>
  <si>
    <t>Paytm</t>
  </si>
  <si>
    <t>General Motors</t>
  </si>
  <si>
    <t>Lyrca</t>
  </si>
  <si>
    <t>Jiangxi International Cooperation Corp., Power Construction Corp. (PowerChina)</t>
  </si>
  <si>
    <t xml:space="preserve">China Ocean Shipping </t>
  </si>
  <si>
    <t>China Energy Engineering, Jiangsu Provincial Transportation</t>
  </si>
  <si>
    <t>Svolt</t>
  </si>
  <si>
    <t>Northland</t>
  </si>
  <si>
    <t>Consumer goods</t>
  </si>
  <si>
    <t>Jingye</t>
  </si>
  <si>
    <t>Country Gardens</t>
  </si>
  <si>
    <t>Baosteel</t>
  </si>
  <si>
    <t xml:space="preserve">Jiangxi Ganfeng </t>
  </si>
  <si>
    <t>Wuxi AppTec</t>
  </si>
  <si>
    <t>China National Petroleum Corp. (CNPC), China State Shipbuilding</t>
  </si>
  <si>
    <t>Shanghai Putailai</t>
  </si>
  <si>
    <t>PetroRio</t>
  </si>
  <si>
    <t>JAC Capital</t>
  </si>
  <si>
    <t>Chemaf</t>
  </si>
  <si>
    <t>Dataset 1 and 2 combined</t>
  </si>
  <si>
    <t>Investor/Contractor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</si>
</sst>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0"/>
    <numFmt numFmtId="166" formatCode="#,##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313132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sz val="11"/>
      <color rgb="FFFF0000"/>
      <name val="Arial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/>
    <xf numFmtId="44" fontId="1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9" fontId="2" fillId="0" borderId="0" xfId="1" applyFont="1" applyAlignment="1">
      <alignment horizontal="right"/>
    </xf>
    <xf numFmtId="9" fontId="4" fillId="0" borderId="0" xfId="1" applyFont="1" applyAlignment="1">
      <alignment horizontal="right"/>
    </xf>
    <xf numFmtId="42" fontId="3" fillId="0" borderId="0" xfId="0" applyNumberFormat="1" applyFont="1"/>
    <xf numFmtId="42" fontId="4" fillId="0" borderId="0" xfId="0" applyNumberFormat="1" applyFont="1"/>
    <xf numFmtId="164" fontId="4" fillId="0" borderId="0" xfId="2" applyNumberFormat="1" applyFont="1"/>
    <xf numFmtId="1" fontId="2" fillId="0" borderId="0" xfId="0" applyNumberFormat="1" applyFont="1"/>
    <xf numFmtId="0" fontId="2" fillId="0" borderId="0" xfId="0" applyFont="1" applyAlignment="1">
      <alignment horizontal="left" wrapText="1"/>
    </xf>
    <xf numFmtId="9" fontId="3" fillId="0" borderId="0" xfId="1" applyFont="1"/>
    <xf numFmtId="9" fontId="2" fillId="0" borderId="0" xfId="1" applyFont="1"/>
    <xf numFmtId="9" fontId="2" fillId="0" borderId="0" xfId="1" applyFont="1" applyAlignment="1">
      <alignment horizontal="center" wrapText="1"/>
    </xf>
    <xf numFmtId="9" fontId="0" fillId="0" borderId="0" xfId="1" applyFont="1"/>
    <xf numFmtId="0" fontId="7" fillId="0" borderId="0" xfId="0" applyFont="1"/>
    <xf numFmtId="9" fontId="7" fillId="0" borderId="0" xfId="1" applyFont="1"/>
    <xf numFmtId="165" fontId="2" fillId="0" borderId="0" xfId="2" applyNumberFormat="1" applyFont="1"/>
    <xf numFmtId="165" fontId="4" fillId="0" borderId="0" xfId="2" applyNumberFormat="1" applyFont="1"/>
    <xf numFmtId="165" fontId="3" fillId="0" borderId="0" xfId="2" applyNumberFormat="1" applyFont="1"/>
    <xf numFmtId="164" fontId="0" fillId="0" borderId="0" xfId="2" applyNumberFormat="1" applyFont="1" applyAlignment="1">
      <alignment horizontal="right"/>
    </xf>
    <xf numFmtId="164" fontId="2" fillId="0" borderId="0" xfId="2" applyNumberFormat="1" applyFont="1" applyAlignment="1">
      <alignment horizontal="right" wrapText="1"/>
    </xf>
    <xf numFmtId="164" fontId="7" fillId="0" borderId="0" xfId="2" applyNumberFormat="1" applyFont="1" applyAlignment="1">
      <alignment horizontal="right"/>
    </xf>
    <xf numFmtId="0" fontId="5" fillId="0" borderId="0" xfId="0" applyFont="1"/>
    <xf numFmtId="165" fontId="0" fillId="0" borderId="0" xfId="2" applyNumberFormat="1" applyFont="1"/>
    <xf numFmtId="164" fontId="0" fillId="0" borderId="0" xfId="1" applyNumberFormat="1" applyFont="1"/>
    <xf numFmtId="0" fontId="0" fillId="0" borderId="0" xfId="0" applyAlignment="1">
      <alignment horizontal="left"/>
    </xf>
    <xf numFmtId="42" fontId="4" fillId="0" borderId="0" xfId="2" applyNumberFormat="1" applyFont="1" applyAlignment="1">
      <alignment horizontal="right"/>
    </xf>
    <xf numFmtId="42" fontId="3" fillId="0" borderId="0" xfId="2" applyNumberFormat="1" applyFont="1" applyAlignment="1">
      <alignment horizontal="right"/>
    </xf>
    <xf numFmtId="42" fontId="2" fillId="0" borderId="0" xfId="2" applyNumberFormat="1" applyFont="1" applyAlignment="1">
      <alignment horizontal="right" wrapText="1"/>
    </xf>
    <xf numFmtId="9" fontId="2" fillId="0" borderId="0" xfId="1" applyFont="1" applyAlignment="1">
      <alignment horizontal="left" wrapText="1"/>
    </xf>
    <xf numFmtId="9" fontId="0" fillId="0" borderId="0" xfId="1" applyFont="1" applyAlignment="1">
      <alignment horizontal="right"/>
    </xf>
    <xf numFmtId="42" fontId="10" fillId="0" borderId="0" xfId="2" applyNumberFormat="1" applyFont="1" applyAlignment="1">
      <alignment horizontal="right"/>
    </xf>
    <xf numFmtId="42" fontId="9" fillId="0" borderId="0" xfId="2" applyNumberFormat="1" applyFont="1" applyAlignment="1">
      <alignment horizontal="right"/>
    </xf>
    <xf numFmtId="0" fontId="12" fillId="0" borderId="0" xfId="0" applyFont="1"/>
    <xf numFmtId="9" fontId="7" fillId="0" borderId="0" xfId="1" applyFont="1" applyAlignment="1">
      <alignment horizontal="right"/>
    </xf>
    <xf numFmtId="164" fontId="2" fillId="0" borderId="0" xfId="2" applyNumberFormat="1" applyFont="1" applyAlignment="1">
      <alignment horizontal="right" vertical="center" wrapText="1"/>
    </xf>
    <xf numFmtId="165" fontId="7" fillId="0" borderId="0" xfId="2" applyNumberFormat="1" applyFont="1"/>
    <xf numFmtId="9" fontId="0" fillId="0" borderId="0" xfId="1" applyFont="1" applyAlignment="1">
      <alignment horizontal="left"/>
    </xf>
    <xf numFmtId="0" fontId="13" fillId="0" borderId="0" xfId="0" applyFont="1"/>
    <xf numFmtId="165" fontId="14" fillId="0" borderId="0" xfId="2" applyNumberFormat="1" applyFont="1"/>
    <xf numFmtId="165" fontId="13" fillId="0" borderId="0" xfId="2" applyNumberFormat="1" applyFont="1"/>
    <xf numFmtId="0" fontId="15" fillId="0" borderId="0" xfId="0" applyFont="1"/>
    <xf numFmtId="164" fontId="4" fillId="0" borderId="0" xfId="2" applyNumberFormat="1" applyFont="1" applyAlignment="1">
      <alignment horizontal="center"/>
    </xf>
    <xf numFmtId="9" fontId="4" fillId="0" borderId="0" xfId="1" applyFont="1"/>
    <xf numFmtId="164" fontId="2" fillId="0" borderId="0" xfId="2" applyNumberFormat="1" applyFont="1" applyAlignment="1">
      <alignment horizontal="center" vertical="center"/>
    </xf>
    <xf numFmtId="164" fontId="3" fillId="0" borderId="0" xfId="2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/>
    <xf numFmtId="0" fontId="10" fillId="0" borderId="0" xfId="0" applyFont="1"/>
    <xf numFmtId="6" fontId="3" fillId="0" borderId="0" xfId="0" applyNumberFormat="1" applyFont="1"/>
    <xf numFmtId="1" fontId="0" fillId="0" borderId="0" xfId="0" applyNumberFormat="1"/>
    <xf numFmtId="0" fontId="4" fillId="0" borderId="0" xfId="0" applyFont="1" applyAlignment="1">
      <alignment horizontal="right"/>
    </xf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164" fontId="2" fillId="0" borderId="0" xfId="2" applyNumberFormat="1" applyFont="1" applyAlignment="1">
      <alignment horizontal="left"/>
    </xf>
    <xf numFmtId="164" fontId="4" fillId="0" borderId="0" xfId="2" applyNumberFormat="1" applyFont="1" applyAlignment="1">
      <alignment horizontal="left"/>
    </xf>
    <xf numFmtId="164" fontId="2" fillId="0" borderId="0" xfId="2" applyNumberFormat="1" applyFont="1" applyAlignment="1">
      <alignment horizontal="left" vertical="center" wrapText="1"/>
    </xf>
    <xf numFmtId="164" fontId="0" fillId="0" borderId="0" xfId="2" applyNumberFormat="1" applyFont="1" applyAlignment="1">
      <alignment horizontal="left"/>
    </xf>
    <xf numFmtId="164" fontId="7" fillId="0" borderId="0" xfId="2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1" fontId="2" fillId="0" borderId="0" xfId="0" applyNumberFormat="1" applyFont="1" applyAlignment="1">
      <alignment wrapText="1"/>
    </xf>
    <xf numFmtId="164" fontId="0" fillId="0" borderId="0" xfId="0" applyNumberFormat="1"/>
    <xf numFmtId="1" fontId="7" fillId="0" borderId="0" xfId="0" applyNumberFormat="1" applyFont="1"/>
    <xf numFmtId="0" fontId="6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6" fontId="10" fillId="0" borderId="0" xfId="0" applyNumberFormat="1" applyFont="1"/>
    <xf numFmtId="0" fontId="14" fillId="0" borderId="0" xfId="0" applyFont="1" applyAlignment="1">
      <alignment wrapText="1"/>
    </xf>
    <xf numFmtId="0" fontId="14" fillId="0" borderId="0" xfId="0" applyFont="1"/>
    <xf numFmtId="164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164" fontId="3" fillId="0" borderId="0" xfId="0" applyNumberFormat="1" applyFont="1"/>
    <xf numFmtId="164" fontId="13" fillId="0" borderId="0" xfId="0" applyNumberFormat="1" applyFont="1"/>
    <xf numFmtId="166" fontId="0" fillId="0" borderId="0" xfId="0" applyNumberFormat="1"/>
    <xf numFmtId="0" fontId="16" fillId="0" borderId="0" xfId="0" applyFont="1"/>
    <xf numFmtId="0" fontId="17" fillId="0" borderId="0" xfId="0" applyFont="1"/>
    <xf numFmtId="0" fontId="18" fillId="2" borderId="0" xfId="0" applyFont="1" applyFill="1"/>
    <xf numFmtId="166" fontId="0" fillId="2" borderId="0" xfId="0" applyNumberFormat="1" applyFill="1"/>
    <xf numFmtId="0" fontId="0" fillId="2" borderId="0" xfId="0" applyFill="1"/>
    <xf numFmtId="0" fontId="0" fillId="0" borderId="0" xfId="0" applyAlignment="1">
      <alignment wrapText="1"/>
    </xf>
    <xf numFmtId="0" fontId="0" fillId="0" borderId="0" xfId="0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China's cumulative recorded investment by top destination countries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'FDI Stock Analysis'!$DY$28</c:f>
              <c:strCache>
                <c:ptCount val="1"/>
                <c:pt idx="0">
                  <c:v>USA</c:v>
                </c:pt>
              </c:strCache>
            </c:strRef>
          </c:tx>
          <c:spPr>
            <a:ln w="2400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Analysis'!$DY$29:$DY$49</c:f>
              <c:numCache>
                <c:formatCode>#,##0.0</c:formatCode>
                <c:ptCount val="21"/>
                <c:pt idx="0">
                  <c:v>1740</c:v>
                </c:pt>
                <c:pt idx="1">
                  <c:v>1740</c:v>
                </c:pt>
                <c:pt idx="2">
                  <c:v>10140</c:v>
                </c:pt>
                <c:pt idx="3">
                  <c:v>15110</c:v>
                </c:pt>
                <c:pt idx="4">
                  <c:v>23310</c:v>
                </c:pt>
                <c:pt idx="5">
                  <c:v>32130</c:v>
                </c:pt>
                <c:pt idx="6">
                  <c:v>34300</c:v>
                </c:pt>
                <c:pt idx="7">
                  <c:v>43280</c:v>
                </c:pt>
                <c:pt idx="8">
                  <c:v>59400</c:v>
                </c:pt>
                <c:pt idx="9">
                  <c:v>77020</c:v>
                </c:pt>
                <c:pt idx="10">
                  <c:v>96050</c:v>
                </c:pt>
                <c:pt idx="11">
                  <c:v>151620</c:v>
                </c:pt>
                <c:pt idx="12">
                  <c:v>175020</c:v>
                </c:pt>
                <c:pt idx="13">
                  <c:v>183940</c:v>
                </c:pt>
                <c:pt idx="14">
                  <c:v>187580</c:v>
                </c:pt>
                <c:pt idx="15">
                  <c:v>189500</c:v>
                </c:pt>
                <c:pt idx="16">
                  <c:v>193900</c:v>
                </c:pt>
                <c:pt idx="17">
                  <c:v>196490</c:v>
                </c:pt>
                <c:pt idx="18">
                  <c:v>199170</c:v>
                </c:pt>
                <c:pt idx="19">
                  <c:v>200800</c:v>
                </c:pt>
                <c:pt idx="20">
                  <c:v>204880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7F-5E41-AEB4-F1A92877FDE6}"/>
            </c:ext>
          </c:extLst>
        </c:ser>
        <c:ser>
          <c:idx val="1"/>
          <c:order val="1"/>
          <c:tx>
            <c:strRef>
              <c:f>'FDI Stock Analysis'!$G$28</c:f>
              <c:strCache>
                <c:ptCount val="1"/>
                <c:pt idx="0">
                  <c:v>Australia</c:v>
                </c:pt>
              </c:strCache>
            </c:strRef>
          </c:tx>
          <c:spPr>
            <a:ln w="24000">
              <a:solidFill>
                <a:srgbClr val="FF7F0E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Analysis'!$G$29:$G$49</c:f>
              <c:numCache>
                <c:formatCode>#,##0.0</c:formatCode>
                <c:ptCount val="21"/>
                <c:pt idx="0">
                  <c:v>320</c:v>
                </c:pt>
                <c:pt idx="1">
                  <c:v>3240</c:v>
                </c:pt>
                <c:pt idx="2">
                  <c:v>3670</c:v>
                </c:pt>
                <c:pt idx="3">
                  <c:v>19920</c:v>
                </c:pt>
                <c:pt idx="4">
                  <c:v>29050</c:v>
                </c:pt>
                <c:pt idx="5">
                  <c:v>32390</c:v>
                </c:pt>
                <c:pt idx="6">
                  <c:v>42270</c:v>
                </c:pt>
                <c:pt idx="7">
                  <c:v>51350</c:v>
                </c:pt>
                <c:pt idx="8">
                  <c:v>60410</c:v>
                </c:pt>
                <c:pt idx="9">
                  <c:v>70470</c:v>
                </c:pt>
                <c:pt idx="10">
                  <c:v>81460</c:v>
                </c:pt>
                <c:pt idx="11">
                  <c:v>88300</c:v>
                </c:pt>
                <c:pt idx="12">
                  <c:v>93340</c:v>
                </c:pt>
                <c:pt idx="13">
                  <c:v>99080</c:v>
                </c:pt>
                <c:pt idx="14">
                  <c:v>102630</c:v>
                </c:pt>
                <c:pt idx="15">
                  <c:v>105520</c:v>
                </c:pt>
                <c:pt idx="16">
                  <c:v>105660</c:v>
                </c:pt>
                <c:pt idx="17">
                  <c:v>106920</c:v>
                </c:pt>
                <c:pt idx="18">
                  <c:v>107390</c:v>
                </c:pt>
                <c:pt idx="19">
                  <c:v>107500</c:v>
                </c:pt>
                <c:pt idx="20">
                  <c:v>108180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7F-5E41-AEB4-F1A92877FDE6}"/>
            </c:ext>
          </c:extLst>
        </c:ser>
        <c:ser>
          <c:idx val="2"/>
          <c:order val="2"/>
          <c:tx>
            <c:strRef>
              <c:f>'FDI Stock Analysis'!$R$28</c:f>
              <c:strCache>
                <c:ptCount val="1"/>
                <c:pt idx="0">
                  <c:v>Britain</c:v>
                </c:pt>
              </c:strCache>
            </c:strRef>
          </c:tx>
          <c:spPr>
            <a:ln w="24000">
              <a:solidFill>
                <a:srgbClr val="2CA02C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Analysis'!$R$29:$R$49</c:f>
              <c:numCache>
                <c:formatCode>#,##0.0</c:formatCode>
                <c:ptCount val="21"/>
                <c:pt idx="0">
                  <c:v>100</c:v>
                </c:pt>
                <c:pt idx="1">
                  <c:v>900</c:v>
                </c:pt>
                <c:pt idx="2">
                  <c:v>3940</c:v>
                </c:pt>
                <c:pt idx="3">
                  <c:v>5950</c:v>
                </c:pt>
                <c:pt idx="4">
                  <c:v>7650</c:v>
                </c:pt>
                <c:pt idx="5">
                  <c:v>8780</c:v>
                </c:pt>
                <c:pt idx="6">
                  <c:v>9290</c:v>
                </c:pt>
                <c:pt idx="7">
                  <c:v>16410</c:v>
                </c:pt>
                <c:pt idx="8">
                  <c:v>22740</c:v>
                </c:pt>
                <c:pt idx="9">
                  <c:v>29660</c:v>
                </c:pt>
                <c:pt idx="10">
                  <c:v>33490</c:v>
                </c:pt>
                <c:pt idx="11">
                  <c:v>44790</c:v>
                </c:pt>
                <c:pt idx="12">
                  <c:v>74270</c:v>
                </c:pt>
                <c:pt idx="13">
                  <c:v>83290</c:v>
                </c:pt>
                <c:pt idx="14">
                  <c:v>94810</c:v>
                </c:pt>
                <c:pt idx="15">
                  <c:v>96580</c:v>
                </c:pt>
                <c:pt idx="16">
                  <c:v>99150</c:v>
                </c:pt>
                <c:pt idx="17">
                  <c:v>100560</c:v>
                </c:pt>
                <c:pt idx="18">
                  <c:v>101710</c:v>
                </c:pt>
                <c:pt idx="19">
                  <c:v>106950</c:v>
                </c:pt>
                <c:pt idx="20">
                  <c:v>107050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07F-5E41-AEB4-F1A92877FDE6}"/>
            </c:ext>
          </c:extLst>
        </c:ser>
        <c:ser>
          <c:idx val="3"/>
          <c:order val="3"/>
          <c:tx>
            <c:strRef>
              <c:f>'FDI Stock Analysis'!$Q$28</c:f>
              <c:strCache>
                <c:ptCount val="1"/>
                <c:pt idx="0">
                  <c:v>Brazil</c:v>
                </c:pt>
              </c:strCache>
            </c:strRef>
          </c:tx>
          <c:spPr>
            <a:ln w="24000">
              <a:solidFill>
                <a:srgbClr val="D62728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Analysis'!$Q$29:$Q$49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</c:v>
                </c:pt>
                <c:pt idx="4">
                  <c:v>1010</c:v>
                </c:pt>
                <c:pt idx="5">
                  <c:v>14890</c:v>
                </c:pt>
                <c:pt idx="6">
                  <c:v>23110</c:v>
                </c:pt>
                <c:pt idx="7">
                  <c:v>24860</c:v>
                </c:pt>
                <c:pt idx="8">
                  <c:v>27880</c:v>
                </c:pt>
                <c:pt idx="9">
                  <c:v>29460</c:v>
                </c:pt>
                <c:pt idx="10">
                  <c:v>32680</c:v>
                </c:pt>
                <c:pt idx="11">
                  <c:v>46090</c:v>
                </c:pt>
                <c:pt idx="12">
                  <c:v>54660</c:v>
                </c:pt>
                <c:pt idx="13">
                  <c:v>56940</c:v>
                </c:pt>
                <c:pt idx="14">
                  <c:v>58970</c:v>
                </c:pt>
                <c:pt idx="15">
                  <c:v>59230</c:v>
                </c:pt>
                <c:pt idx="16">
                  <c:v>64910</c:v>
                </c:pt>
                <c:pt idx="17">
                  <c:v>67480</c:v>
                </c:pt>
                <c:pt idx="18">
                  <c:v>70240</c:v>
                </c:pt>
                <c:pt idx="19">
                  <c:v>71850</c:v>
                </c:pt>
                <c:pt idx="20">
                  <c:v>80550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07F-5E41-AEB4-F1A92877FDE6}"/>
            </c:ext>
          </c:extLst>
        </c:ser>
        <c:ser>
          <c:idx val="4"/>
          <c:order val="4"/>
          <c:tx>
            <c:strRef>
              <c:f>'FDI Stock Analysis'!$DM$28</c:f>
              <c:strCache>
                <c:ptCount val="1"/>
                <c:pt idx="0">
                  <c:v>Switzerland</c:v>
                </c:pt>
              </c:strCache>
            </c:strRef>
          </c:tx>
          <c:spPr>
            <a:ln w="24000">
              <a:solidFill>
                <a:srgbClr val="9467BD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Analysis'!$DM$29:$DM$49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7200</c:v>
                </c:pt>
                <c:pt idx="5">
                  <c:v>7200</c:v>
                </c:pt>
                <c:pt idx="6">
                  <c:v>7300</c:v>
                </c:pt>
                <c:pt idx="7">
                  <c:v>8170</c:v>
                </c:pt>
                <c:pt idx="8">
                  <c:v>8170</c:v>
                </c:pt>
                <c:pt idx="9">
                  <c:v>8570</c:v>
                </c:pt>
                <c:pt idx="10">
                  <c:v>12930</c:v>
                </c:pt>
                <c:pt idx="11">
                  <c:v>15340</c:v>
                </c:pt>
                <c:pt idx="12">
                  <c:v>60710</c:v>
                </c:pt>
                <c:pt idx="13">
                  <c:v>60900</c:v>
                </c:pt>
                <c:pt idx="14">
                  <c:v>61060</c:v>
                </c:pt>
                <c:pt idx="15">
                  <c:v>61370</c:v>
                </c:pt>
                <c:pt idx="16">
                  <c:v>61370</c:v>
                </c:pt>
                <c:pt idx="17">
                  <c:v>61960</c:v>
                </c:pt>
                <c:pt idx="18">
                  <c:v>62060</c:v>
                </c:pt>
                <c:pt idx="19">
                  <c:v>62870</c:v>
                </c:pt>
                <c:pt idx="20">
                  <c:v>62870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07F-5E41-AEB4-F1A92877FDE6}"/>
            </c:ext>
          </c:extLst>
        </c:ser>
        <c:ser>
          <c:idx val="5"/>
          <c:order val="5"/>
          <c:tx>
            <c:strRef>
              <c:f>'FDI Stock Analysis'!$W$28</c:f>
              <c:strCache>
                <c:ptCount val="1"/>
                <c:pt idx="0">
                  <c:v>Canada</c:v>
                </c:pt>
              </c:strCache>
            </c:strRef>
          </c:tx>
          <c:spPr>
            <a:ln w="24000">
              <a:solidFill>
                <a:srgbClr val="8C564B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Analysis'!$W$29:$W$49</c:f>
              <c:numCache>
                <c:formatCode>#,##0.0</c:formatCode>
                <c:ptCount val="21"/>
                <c:pt idx="0">
                  <c:v>250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3840</c:v>
                </c:pt>
                <c:pt idx="5">
                  <c:v>10920</c:v>
                </c:pt>
                <c:pt idx="6">
                  <c:v>16380</c:v>
                </c:pt>
                <c:pt idx="7">
                  <c:v>37950</c:v>
                </c:pt>
                <c:pt idx="8">
                  <c:v>38420</c:v>
                </c:pt>
                <c:pt idx="9">
                  <c:v>42020</c:v>
                </c:pt>
                <c:pt idx="10">
                  <c:v>43360</c:v>
                </c:pt>
                <c:pt idx="11">
                  <c:v>46110</c:v>
                </c:pt>
                <c:pt idx="12">
                  <c:v>48720</c:v>
                </c:pt>
                <c:pt idx="13">
                  <c:v>54120</c:v>
                </c:pt>
                <c:pt idx="14">
                  <c:v>55980</c:v>
                </c:pt>
                <c:pt idx="15">
                  <c:v>56130</c:v>
                </c:pt>
                <c:pt idx="16">
                  <c:v>56430</c:v>
                </c:pt>
                <c:pt idx="17">
                  <c:v>56750</c:v>
                </c:pt>
                <c:pt idx="18">
                  <c:v>56880</c:v>
                </c:pt>
                <c:pt idx="19">
                  <c:v>57090</c:v>
                </c:pt>
                <c:pt idx="20">
                  <c:v>57280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07F-5E41-AEB4-F1A92877FDE6}"/>
            </c:ext>
          </c:extLst>
        </c:ser>
        <c:ser>
          <c:idx val="6"/>
          <c:order val="6"/>
          <c:tx>
            <c:strRef>
              <c:f>'FDI Stock Analysis'!$AQ$28</c:f>
              <c:strCache>
                <c:ptCount val="1"/>
                <c:pt idx="0">
                  <c:v>Germany</c:v>
                </c:pt>
              </c:strCache>
            </c:strRef>
          </c:tx>
          <c:spPr>
            <a:ln w="24000">
              <a:solidFill>
                <a:srgbClr val="E377C2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Analysis'!$AQ$29:$AQ$49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130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2310</c:v>
                </c:pt>
                <c:pt idx="7">
                  <c:v>5010</c:v>
                </c:pt>
                <c:pt idx="8">
                  <c:v>5810</c:v>
                </c:pt>
                <c:pt idx="9">
                  <c:v>7430</c:v>
                </c:pt>
                <c:pt idx="10">
                  <c:v>9120</c:v>
                </c:pt>
                <c:pt idx="11">
                  <c:v>21700</c:v>
                </c:pt>
                <c:pt idx="12">
                  <c:v>28930</c:v>
                </c:pt>
                <c:pt idx="13">
                  <c:v>41580</c:v>
                </c:pt>
                <c:pt idx="14">
                  <c:v>48090</c:v>
                </c:pt>
                <c:pt idx="15">
                  <c:v>48510</c:v>
                </c:pt>
                <c:pt idx="16">
                  <c:v>51070</c:v>
                </c:pt>
                <c:pt idx="17">
                  <c:v>52200</c:v>
                </c:pt>
                <c:pt idx="18">
                  <c:v>52350</c:v>
                </c:pt>
                <c:pt idx="19">
                  <c:v>54160</c:v>
                </c:pt>
                <c:pt idx="20">
                  <c:v>56340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07F-5E41-AEB4-F1A92877FDE6}"/>
            </c:ext>
          </c:extLst>
        </c:ser>
        <c:ser>
          <c:idx val="7"/>
          <c:order val="7"/>
          <c:tx>
            <c:strRef>
              <c:f>'FDI Stock Analysis'!$AY$28</c:f>
              <c:strCache>
                <c:ptCount val="1"/>
                <c:pt idx="0">
                  <c:v>Indonesia</c:v>
                </c:pt>
              </c:strCache>
            </c:strRef>
          </c:tx>
          <c:spPr>
            <a:ln w="24000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Analysis'!$AY$29:$AY$49</c:f>
              <c:numCache>
                <c:formatCode>#,##0.0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230</c:v>
                </c:pt>
                <c:pt idx="4">
                  <c:v>460</c:v>
                </c:pt>
                <c:pt idx="5">
                  <c:v>1290</c:v>
                </c:pt>
                <c:pt idx="6">
                  <c:v>3160</c:v>
                </c:pt>
                <c:pt idx="7">
                  <c:v>5260</c:v>
                </c:pt>
                <c:pt idx="8">
                  <c:v>5780</c:v>
                </c:pt>
                <c:pt idx="9">
                  <c:v>8370</c:v>
                </c:pt>
                <c:pt idx="10">
                  <c:v>11560</c:v>
                </c:pt>
                <c:pt idx="11">
                  <c:v>13980</c:v>
                </c:pt>
                <c:pt idx="12">
                  <c:v>16380</c:v>
                </c:pt>
                <c:pt idx="13">
                  <c:v>21370</c:v>
                </c:pt>
                <c:pt idx="14">
                  <c:v>27330</c:v>
                </c:pt>
                <c:pt idx="15">
                  <c:v>29800</c:v>
                </c:pt>
                <c:pt idx="16">
                  <c:v>32820</c:v>
                </c:pt>
                <c:pt idx="17">
                  <c:v>36960</c:v>
                </c:pt>
                <c:pt idx="18">
                  <c:v>43190</c:v>
                </c:pt>
                <c:pt idx="19">
                  <c:v>46370</c:v>
                </c:pt>
                <c:pt idx="20">
                  <c:v>49350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07F-5E41-AEB4-F1A92877FDE6}"/>
            </c:ext>
          </c:extLst>
        </c:ser>
        <c:ser>
          <c:idx val="8"/>
          <c:order val="8"/>
          <c:tx>
            <c:strRef>
              <c:f>'FDI Stock Analysis'!$DB$28</c:f>
              <c:strCache>
                <c:ptCount val="1"/>
                <c:pt idx="0">
                  <c:v>Singapore</c:v>
                </c:pt>
              </c:strCache>
            </c:strRef>
          </c:tx>
          <c:spPr>
            <a:ln w="24000">
              <a:solidFill>
                <a:srgbClr val="BCBD22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Analysis'!$DB$29:$DB$49</c:f>
              <c:numCache>
                <c:formatCode>#,##0.0</c:formatCode>
                <c:ptCount val="21"/>
                <c:pt idx="0">
                  <c:v>0</c:v>
                </c:pt>
                <c:pt idx="1">
                  <c:v>970</c:v>
                </c:pt>
                <c:pt idx="2">
                  <c:v>970</c:v>
                </c:pt>
                <c:pt idx="3">
                  <c:v>4540</c:v>
                </c:pt>
                <c:pt idx="4">
                  <c:v>6720</c:v>
                </c:pt>
                <c:pt idx="5">
                  <c:v>6720</c:v>
                </c:pt>
                <c:pt idx="6">
                  <c:v>7980</c:v>
                </c:pt>
                <c:pt idx="7">
                  <c:v>8130</c:v>
                </c:pt>
                <c:pt idx="8">
                  <c:v>9500</c:v>
                </c:pt>
                <c:pt idx="9">
                  <c:v>10250</c:v>
                </c:pt>
                <c:pt idx="10">
                  <c:v>14720</c:v>
                </c:pt>
                <c:pt idx="11">
                  <c:v>17760</c:v>
                </c:pt>
                <c:pt idx="12">
                  <c:v>32000</c:v>
                </c:pt>
                <c:pt idx="13">
                  <c:v>35220</c:v>
                </c:pt>
                <c:pt idx="14">
                  <c:v>37470</c:v>
                </c:pt>
                <c:pt idx="15">
                  <c:v>38830</c:v>
                </c:pt>
                <c:pt idx="16">
                  <c:v>39170</c:v>
                </c:pt>
                <c:pt idx="17">
                  <c:v>41760</c:v>
                </c:pt>
                <c:pt idx="18">
                  <c:v>44310</c:v>
                </c:pt>
                <c:pt idx="19">
                  <c:v>45450</c:v>
                </c:pt>
                <c:pt idx="20">
                  <c:v>46830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07F-5E41-AEB4-F1A92877FDE6}"/>
            </c:ext>
          </c:extLst>
        </c:ser>
        <c:ser>
          <c:idx val="9"/>
          <c:order val="9"/>
          <c:tx>
            <c:strRef>
              <c:f>'FDI Stock Analysis'!$AN$28</c:f>
              <c:strCache>
                <c:ptCount val="1"/>
                <c:pt idx="0">
                  <c:v>France</c:v>
                </c:pt>
              </c:strCache>
            </c:strRef>
          </c:tx>
          <c:spPr>
            <a:ln w="24000">
              <a:solidFill>
                <a:srgbClr val="17BECF"/>
              </a:solidFill>
              <a:prstDash val="solid"/>
            </a:ln>
          </c:spPr>
          <c:marker>
            <c:symbol val="none"/>
          </c:marker>
          <c:cat>
            <c:numRef>
              <c:f>'FDI Stock Analysis'!$A$29:$A$49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Analysis'!$AN$29:$AN$49</c:f>
              <c:numCache>
                <c:formatCode>#,##0.0</c:formatCode>
                <c:ptCount val="21"/>
                <c:pt idx="0">
                  <c:v>0</c:v>
                </c:pt>
                <c:pt idx="1">
                  <c:v>480</c:v>
                </c:pt>
                <c:pt idx="2">
                  <c:v>1180</c:v>
                </c:pt>
                <c:pt idx="3">
                  <c:v>3980</c:v>
                </c:pt>
                <c:pt idx="4">
                  <c:v>3980</c:v>
                </c:pt>
                <c:pt idx="5">
                  <c:v>3980</c:v>
                </c:pt>
                <c:pt idx="6">
                  <c:v>7730</c:v>
                </c:pt>
                <c:pt idx="7">
                  <c:v>8340</c:v>
                </c:pt>
                <c:pt idx="8">
                  <c:v>9230</c:v>
                </c:pt>
                <c:pt idx="9">
                  <c:v>12320</c:v>
                </c:pt>
                <c:pt idx="10">
                  <c:v>15310</c:v>
                </c:pt>
                <c:pt idx="11">
                  <c:v>18010</c:v>
                </c:pt>
                <c:pt idx="12">
                  <c:v>19360</c:v>
                </c:pt>
                <c:pt idx="13">
                  <c:v>24230</c:v>
                </c:pt>
                <c:pt idx="14">
                  <c:v>28680</c:v>
                </c:pt>
                <c:pt idx="15">
                  <c:v>32880</c:v>
                </c:pt>
                <c:pt idx="16">
                  <c:v>33070</c:v>
                </c:pt>
                <c:pt idx="17">
                  <c:v>35070</c:v>
                </c:pt>
                <c:pt idx="18">
                  <c:v>35070</c:v>
                </c:pt>
                <c:pt idx="19">
                  <c:v>35070</c:v>
                </c:pt>
                <c:pt idx="20">
                  <c:v>37130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07F-5E41-AEB4-F1A92877F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Year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Cumulative recorded investment (USD millions)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China's cumulative recorded investment by sector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'FDI Stock Analysis'!$D$75</c:f>
              <c:strCache>
                <c:ptCount val="1"/>
                <c:pt idx="0">
                  <c:v>Energy</c:v>
                </c:pt>
              </c:strCache>
            </c:strRef>
          </c:tx>
          <c:spPr>
            <a:ln w="24000">
              <a:solidFill>
                <a:srgbClr val="1F77B4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Analysis'!$D$76:$D$96</c:f>
              <c:numCache>
                <c:formatCode>#,##0.0</c:formatCode>
                <c:ptCount val="21"/>
                <c:pt idx="0">
                  <c:v>6640</c:v>
                </c:pt>
                <c:pt idx="1">
                  <c:v>16810</c:v>
                </c:pt>
                <c:pt idx="2">
                  <c:v>20010</c:v>
                </c:pt>
                <c:pt idx="3">
                  <c:v>35540</c:v>
                </c:pt>
                <c:pt idx="4">
                  <c:v>71210</c:v>
                </c:pt>
                <c:pt idx="5">
                  <c:v>112400</c:v>
                </c:pt>
                <c:pt idx="6">
                  <c:v>150060</c:v>
                </c:pt>
                <c:pt idx="7">
                  <c:v>190450</c:v>
                </c:pt>
                <c:pt idx="8">
                  <c:v>226210</c:v>
                </c:pt>
                <c:pt idx="9">
                  <c:v>255480</c:v>
                </c:pt>
                <c:pt idx="10">
                  <c:v>286880</c:v>
                </c:pt>
                <c:pt idx="11">
                  <c:v>324160</c:v>
                </c:pt>
                <c:pt idx="12">
                  <c:v>345140</c:v>
                </c:pt>
                <c:pt idx="13">
                  <c:v>368210</c:v>
                </c:pt>
                <c:pt idx="14">
                  <c:v>398160</c:v>
                </c:pt>
                <c:pt idx="15">
                  <c:v>413460</c:v>
                </c:pt>
                <c:pt idx="16">
                  <c:v>428610</c:v>
                </c:pt>
                <c:pt idx="17">
                  <c:v>444570</c:v>
                </c:pt>
                <c:pt idx="18">
                  <c:v>457680</c:v>
                </c:pt>
                <c:pt idx="19">
                  <c:v>469810</c:v>
                </c:pt>
                <c:pt idx="20">
                  <c:v>485700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58C-6A49-A001-96A0A093586D}"/>
            </c:ext>
          </c:extLst>
        </c:ser>
        <c:ser>
          <c:idx val="1"/>
          <c:order val="1"/>
          <c:tx>
            <c:strRef>
              <c:f>'FDI Stock Analysis'!$N$75</c:f>
              <c:strCache>
                <c:ptCount val="1"/>
                <c:pt idx="0">
                  <c:v>Transport</c:v>
                </c:pt>
              </c:strCache>
            </c:strRef>
          </c:tx>
          <c:spPr>
            <a:ln w="24000">
              <a:solidFill>
                <a:srgbClr val="FF7F0E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Analysis'!$N$76:$N$96</c:f>
              <c:numCache>
                <c:formatCode>#,##0.0</c:formatCode>
                <c:ptCount val="21"/>
                <c:pt idx="0">
                  <c:v>100</c:v>
                </c:pt>
                <c:pt idx="1">
                  <c:v>1070</c:v>
                </c:pt>
                <c:pt idx="2">
                  <c:v>1340</c:v>
                </c:pt>
                <c:pt idx="3">
                  <c:v>7460</c:v>
                </c:pt>
                <c:pt idx="4">
                  <c:v>8370</c:v>
                </c:pt>
                <c:pt idx="5">
                  <c:v>13880</c:v>
                </c:pt>
                <c:pt idx="6">
                  <c:v>18620</c:v>
                </c:pt>
                <c:pt idx="7">
                  <c:v>21090</c:v>
                </c:pt>
                <c:pt idx="8">
                  <c:v>23870</c:v>
                </c:pt>
                <c:pt idx="9">
                  <c:v>30170</c:v>
                </c:pt>
                <c:pt idx="10">
                  <c:v>51470</c:v>
                </c:pt>
                <c:pt idx="11">
                  <c:v>62710</c:v>
                </c:pt>
                <c:pt idx="12">
                  <c:v>83500</c:v>
                </c:pt>
                <c:pt idx="13">
                  <c:v>113270</c:v>
                </c:pt>
                <c:pt idx="14">
                  <c:v>131150</c:v>
                </c:pt>
                <c:pt idx="15">
                  <c:v>137880</c:v>
                </c:pt>
                <c:pt idx="16">
                  <c:v>148200</c:v>
                </c:pt>
                <c:pt idx="17">
                  <c:v>153060</c:v>
                </c:pt>
                <c:pt idx="18">
                  <c:v>168600</c:v>
                </c:pt>
                <c:pt idx="19">
                  <c:v>185790</c:v>
                </c:pt>
                <c:pt idx="20">
                  <c:v>203400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58C-6A49-A001-96A0A093586D}"/>
            </c:ext>
          </c:extLst>
        </c:ser>
        <c:ser>
          <c:idx val="2"/>
          <c:order val="2"/>
          <c:tx>
            <c:strRef>
              <c:f>'FDI Stock Analysis'!$I$75</c:f>
              <c:strCache>
                <c:ptCount val="1"/>
                <c:pt idx="0">
                  <c:v>Metals</c:v>
                </c:pt>
              </c:strCache>
            </c:strRef>
          </c:tx>
          <c:spPr>
            <a:ln w="24000">
              <a:solidFill>
                <a:srgbClr val="2CA02C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Analysis'!$I$76:$I$96</c:f>
              <c:numCache>
                <c:formatCode>#,##0.0</c:formatCode>
                <c:ptCount val="21"/>
                <c:pt idx="0">
                  <c:v>1310</c:v>
                </c:pt>
                <c:pt idx="1">
                  <c:v>7780</c:v>
                </c:pt>
                <c:pt idx="2">
                  <c:v>13710</c:v>
                </c:pt>
                <c:pt idx="3">
                  <c:v>36510</c:v>
                </c:pt>
                <c:pt idx="4">
                  <c:v>46810</c:v>
                </c:pt>
                <c:pt idx="5">
                  <c:v>55720</c:v>
                </c:pt>
                <c:pt idx="6">
                  <c:v>66720</c:v>
                </c:pt>
                <c:pt idx="7">
                  <c:v>79390</c:v>
                </c:pt>
                <c:pt idx="8">
                  <c:v>85570</c:v>
                </c:pt>
                <c:pt idx="9">
                  <c:v>100060</c:v>
                </c:pt>
                <c:pt idx="10">
                  <c:v>105390</c:v>
                </c:pt>
                <c:pt idx="11">
                  <c:v>109990</c:v>
                </c:pt>
                <c:pt idx="12">
                  <c:v>114200</c:v>
                </c:pt>
                <c:pt idx="13">
                  <c:v>129480</c:v>
                </c:pt>
                <c:pt idx="14">
                  <c:v>141200</c:v>
                </c:pt>
                <c:pt idx="15">
                  <c:v>145310</c:v>
                </c:pt>
                <c:pt idx="16">
                  <c:v>152490</c:v>
                </c:pt>
                <c:pt idx="17">
                  <c:v>161410</c:v>
                </c:pt>
                <c:pt idx="18">
                  <c:v>176740</c:v>
                </c:pt>
                <c:pt idx="19">
                  <c:v>189970</c:v>
                </c:pt>
                <c:pt idx="20">
                  <c:v>202780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58C-6A49-A001-96A0A093586D}"/>
            </c:ext>
          </c:extLst>
        </c:ser>
        <c:ser>
          <c:idx val="3"/>
          <c:order val="3"/>
          <c:tx>
            <c:strRef>
              <c:f>'FDI Stock Analysis'!$K$75</c:f>
              <c:strCache>
                <c:ptCount val="1"/>
                <c:pt idx="0">
                  <c:v>Real estate</c:v>
                </c:pt>
              </c:strCache>
            </c:strRef>
          </c:tx>
          <c:spPr>
            <a:ln w="24000">
              <a:solidFill>
                <a:srgbClr val="D62728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Analysis'!$K$76:$K$96</c:f>
              <c:numCache>
                <c:formatCode>#,##0.0</c:formatCode>
                <c:ptCount val="21"/>
                <c:pt idx="0">
                  <c:v>0</c:v>
                </c:pt>
                <c:pt idx="1">
                  <c:v>1300</c:v>
                </c:pt>
                <c:pt idx="2">
                  <c:v>1450</c:v>
                </c:pt>
                <c:pt idx="3">
                  <c:v>1840</c:v>
                </c:pt>
                <c:pt idx="4">
                  <c:v>6440</c:v>
                </c:pt>
                <c:pt idx="5">
                  <c:v>9780</c:v>
                </c:pt>
                <c:pt idx="6">
                  <c:v>13500</c:v>
                </c:pt>
                <c:pt idx="7">
                  <c:v>18600</c:v>
                </c:pt>
                <c:pt idx="8">
                  <c:v>31850</c:v>
                </c:pt>
                <c:pt idx="9">
                  <c:v>47350</c:v>
                </c:pt>
                <c:pt idx="10">
                  <c:v>62920</c:v>
                </c:pt>
                <c:pt idx="11">
                  <c:v>79780</c:v>
                </c:pt>
                <c:pt idx="12">
                  <c:v>95390</c:v>
                </c:pt>
                <c:pt idx="13">
                  <c:v>100550</c:v>
                </c:pt>
                <c:pt idx="14">
                  <c:v>105290</c:v>
                </c:pt>
                <c:pt idx="15">
                  <c:v>109870</c:v>
                </c:pt>
                <c:pt idx="16">
                  <c:v>110830</c:v>
                </c:pt>
                <c:pt idx="17">
                  <c:v>112770</c:v>
                </c:pt>
                <c:pt idx="18">
                  <c:v>114480</c:v>
                </c:pt>
                <c:pt idx="19">
                  <c:v>118900</c:v>
                </c:pt>
                <c:pt idx="20">
                  <c:v>120440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58C-6A49-A001-96A0A093586D}"/>
            </c:ext>
          </c:extLst>
        </c:ser>
        <c:ser>
          <c:idx val="4"/>
          <c:order val="4"/>
          <c:tx>
            <c:strRef>
              <c:f>'FDI Stock Analysis'!$F$75</c:f>
              <c:strCache>
                <c:ptCount val="1"/>
                <c:pt idx="0">
                  <c:v>Finance</c:v>
                </c:pt>
              </c:strCache>
            </c:strRef>
          </c:tx>
          <c:spPr>
            <a:ln w="24000">
              <a:solidFill>
                <a:srgbClr val="9467BD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Analysis'!$F$76:$F$96</c:f>
              <c:numCache>
                <c:formatCode>#,##0.0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19560</c:v>
                </c:pt>
                <c:pt idx="3">
                  <c:v>24210</c:v>
                </c:pt>
                <c:pt idx="4">
                  <c:v>27310</c:v>
                </c:pt>
                <c:pt idx="5">
                  <c:v>30340</c:v>
                </c:pt>
                <c:pt idx="6">
                  <c:v>32620</c:v>
                </c:pt>
                <c:pt idx="7">
                  <c:v>35520</c:v>
                </c:pt>
                <c:pt idx="8">
                  <c:v>36540</c:v>
                </c:pt>
                <c:pt idx="9">
                  <c:v>42510</c:v>
                </c:pt>
                <c:pt idx="10">
                  <c:v>56550</c:v>
                </c:pt>
                <c:pt idx="11">
                  <c:v>59630</c:v>
                </c:pt>
                <c:pt idx="12">
                  <c:v>76250</c:v>
                </c:pt>
                <c:pt idx="13">
                  <c:v>81060</c:v>
                </c:pt>
                <c:pt idx="14">
                  <c:v>83420</c:v>
                </c:pt>
                <c:pt idx="15">
                  <c:v>84820</c:v>
                </c:pt>
                <c:pt idx="16">
                  <c:v>85740</c:v>
                </c:pt>
                <c:pt idx="17">
                  <c:v>88900</c:v>
                </c:pt>
                <c:pt idx="18">
                  <c:v>89440</c:v>
                </c:pt>
                <c:pt idx="19">
                  <c:v>89640</c:v>
                </c:pt>
                <c:pt idx="20">
                  <c:v>89640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58C-6A49-A001-96A0A093586D}"/>
            </c:ext>
          </c:extLst>
        </c:ser>
        <c:ser>
          <c:idx val="5"/>
          <c:order val="5"/>
          <c:tx>
            <c:strRef>
              <c:f>'FDI Stock Analysis'!$B$75</c:f>
              <c:strCache>
                <c:ptCount val="1"/>
                <c:pt idx="0">
                  <c:v>Agriculture</c:v>
                </c:pt>
              </c:strCache>
            </c:strRef>
          </c:tx>
          <c:spPr>
            <a:ln w="24000">
              <a:solidFill>
                <a:srgbClr val="8C564B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Analysis'!$B$76:$B$96</c:f>
              <c:numCache>
                <c:formatCode>#,##0.0</c:formatCode>
                <c:ptCount val="21"/>
                <c:pt idx="0">
                  <c:v>0</c:v>
                </c:pt>
                <c:pt idx="1">
                  <c:v>480</c:v>
                </c:pt>
                <c:pt idx="2">
                  <c:v>480</c:v>
                </c:pt>
                <c:pt idx="3">
                  <c:v>820</c:v>
                </c:pt>
                <c:pt idx="4">
                  <c:v>1190</c:v>
                </c:pt>
                <c:pt idx="5">
                  <c:v>2770</c:v>
                </c:pt>
                <c:pt idx="6">
                  <c:v>4380</c:v>
                </c:pt>
                <c:pt idx="7">
                  <c:v>8130</c:v>
                </c:pt>
                <c:pt idx="8">
                  <c:v>17770</c:v>
                </c:pt>
                <c:pt idx="9">
                  <c:v>25420</c:v>
                </c:pt>
                <c:pt idx="10">
                  <c:v>26610</c:v>
                </c:pt>
                <c:pt idx="11">
                  <c:v>32700</c:v>
                </c:pt>
                <c:pt idx="12">
                  <c:v>78570</c:v>
                </c:pt>
                <c:pt idx="13">
                  <c:v>81510</c:v>
                </c:pt>
                <c:pt idx="14">
                  <c:v>83510</c:v>
                </c:pt>
                <c:pt idx="15">
                  <c:v>84230</c:v>
                </c:pt>
                <c:pt idx="16">
                  <c:v>84770</c:v>
                </c:pt>
                <c:pt idx="17">
                  <c:v>84940</c:v>
                </c:pt>
                <c:pt idx="18">
                  <c:v>86140</c:v>
                </c:pt>
                <c:pt idx="19">
                  <c:v>87050</c:v>
                </c:pt>
                <c:pt idx="20">
                  <c:v>88120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58C-6A49-A001-96A0A093586D}"/>
            </c:ext>
          </c:extLst>
        </c:ser>
        <c:ser>
          <c:idx val="6"/>
          <c:order val="6"/>
          <c:tx>
            <c:strRef>
              <c:f>'FDI Stock Analysis'!$L$75</c:f>
              <c:strCache>
                <c:ptCount val="1"/>
                <c:pt idx="0">
                  <c:v>Technology</c:v>
                </c:pt>
              </c:strCache>
            </c:strRef>
          </c:tx>
          <c:spPr>
            <a:ln w="24000">
              <a:solidFill>
                <a:srgbClr val="E377C2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Analysis'!$L$76:$L$96</c:f>
              <c:numCache>
                <c:formatCode>#,##0.0</c:formatCode>
                <c:ptCount val="21"/>
                <c:pt idx="0">
                  <c:v>1740</c:v>
                </c:pt>
                <c:pt idx="1">
                  <c:v>1740</c:v>
                </c:pt>
                <c:pt idx="2">
                  <c:v>2200</c:v>
                </c:pt>
                <c:pt idx="3">
                  <c:v>2200</c:v>
                </c:pt>
                <c:pt idx="4">
                  <c:v>3700</c:v>
                </c:pt>
                <c:pt idx="5">
                  <c:v>4000</c:v>
                </c:pt>
                <c:pt idx="6">
                  <c:v>5780</c:v>
                </c:pt>
                <c:pt idx="7">
                  <c:v>7920</c:v>
                </c:pt>
                <c:pt idx="8">
                  <c:v>8230</c:v>
                </c:pt>
                <c:pt idx="9">
                  <c:v>16320</c:v>
                </c:pt>
                <c:pt idx="10">
                  <c:v>25010</c:v>
                </c:pt>
                <c:pt idx="11">
                  <c:v>48660</c:v>
                </c:pt>
                <c:pt idx="12">
                  <c:v>52250</c:v>
                </c:pt>
                <c:pt idx="13">
                  <c:v>60890</c:v>
                </c:pt>
                <c:pt idx="14">
                  <c:v>66280</c:v>
                </c:pt>
                <c:pt idx="15">
                  <c:v>68900</c:v>
                </c:pt>
                <c:pt idx="16">
                  <c:v>70930</c:v>
                </c:pt>
                <c:pt idx="17">
                  <c:v>72710</c:v>
                </c:pt>
                <c:pt idx="18">
                  <c:v>77000</c:v>
                </c:pt>
                <c:pt idx="19">
                  <c:v>79640</c:v>
                </c:pt>
                <c:pt idx="20">
                  <c:v>84460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258C-6A49-A001-96A0A093586D}"/>
            </c:ext>
          </c:extLst>
        </c:ser>
        <c:ser>
          <c:idx val="7"/>
          <c:order val="7"/>
          <c:tx>
            <c:strRef>
              <c:f>'FDI Stock Analysis'!$J$75</c:f>
              <c:strCache>
                <c:ptCount val="1"/>
                <c:pt idx="0">
                  <c:v>Other</c:v>
                </c:pt>
              </c:strCache>
            </c:strRef>
          </c:tx>
          <c:spPr>
            <a:ln w="24000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Analysis'!$J$76:$J$96</c:f>
              <c:numCache>
                <c:formatCode>#,##0.0</c:formatCode>
                <c:ptCount val="21"/>
                <c:pt idx="0">
                  <c:v>150</c:v>
                </c:pt>
                <c:pt idx="1">
                  <c:v>270</c:v>
                </c:pt>
                <c:pt idx="2">
                  <c:v>390</c:v>
                </c:pt>
                <c:pt idx="3">
                  <c:v>390</c:v>
                </c:pt>
                <c:pt idx="4">
                  <c:v>1290</c:v>
                </c:pt>
                <c:pt idx="5">
                  <c:v>2850</c:v>
                </c:pt>
                <c:pt idx="6">
                  <c:v>3820</c:v>
                </c:pt>
                <c:pt idx="7">
                  <c:v>5540</c:v>
                </c:pt>
                <c:pt idx="8">
                  <c:v>6690</c:v>
                </c:pt>
                <c:pt idx="9">
                  <c:v>8680</c:v>
                </c:pt>
                <c:pt idx="10">
                  <c:v>10160</c:v>
                </c:pt>
                <c:pt idx="11">
                  <c:v>22630</c:v>
                </c:pt>
                <c:pt idx="12">
                  <c:v>28740</c:v>
                </c:pt>
                <c:pt idx="13">
                  <c:v>42640</c:v>
                </c:pt>
                <c:pt idx="14">
                  <c:v>48610</c:v>
                </c:pt>
                <c:pt idx="15">
                  <c:v>50780</c:v>
                </c:pt>
                <c:pt idx="16">
                  <c:v>59180</c:v>
                </c:pt>
                <c:pt idx="17">
                  <c:v>63810</c:v>
                </c:pt>
                <c:pt idx="18">
                  <c:v>69430</c:v>
                </c:pt>
                <c:pt idx="19">
                  <c:v>71780</c:v>
                </c:pt>
                <c:pt idx="20">
                  <c:v>78310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258C-6A49-A001-96A0A093586D}"/>
            </c:ext>
          </c:extLst>
        </c:ser>
        <c:ser>
          <c:idx val="8"/>
          <c:order val="8"/>
          <c:tx>
            <c:strRef>
              <c:f>'FDI Stock Analysis'!$E$75</c:f>
              <c:strCache>
                <c:ptCount val="1"/>
                <c:pt idx="0">
                  <c:v>Entertainment</c:v>
                </c:pt>
              </c:strCache>
            </c:strRef>
          </c:tx>
          <c:spPr>
            <a:ln w="24000">
              <a:solidFill>
                <a:srgbClr val="BCBD22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Analysis'!$E$76:$E$96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500</c:v>
                </c:pt>
                <c:pt idx="7">
                  <c:v>3670</c:v>
                </c:pt>
                <c:pt idx="8">
                  <c:v>4020</c:v>
                </c:pt>
                <c:pt idx="9">
                  <c:v>6130</c:v>
                </c:pt>
                <c:pt idx="10">
                  <c:v>9870</c:v>
                </c:pt>
                <c:pt idx="11">
                  <c:v>31900</c:v>
                </c:pt>
                <c:pt idx="12">
                  <c:v>38460</c:v>
                </c:pt>
                <c:pt idx="13">
                  <c:v>43170</c:v>
                </c:pt>
                <c:pt idx="14">
                  <c:v>53110</c:v>
                </c:pt>
                <c:pt idx="15">
                  <c:v>57170</c:v>
                </c:pt>
                <c:pt idx="16">
                  <c:v>58980</c:v>
                </c:pt>
                <c:pt idx="17">
                  <c:v>59530</c:v>
                </c:pt>
                <c:pt idx="18">
                  <c:v>61050</c:v>
                </c:pt>
                <c:pt idx="19">
                  <c:v>63270</c:v>
                </c:pt>
                <c:pt idx="20">
                  <c:v>65600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258C-6A49-A001-96A0A093586D}"/>
            </c:ext>
          </c:extLst>
        </c:ser>
        <c:ser>
          <c:idx val="9"/>
          <c:order val="9"/>
          <c:tx>
            <c:strRef>
              <c:f>'FDI Stock Analysis'!$M$75</c:f>
              <c:strCache>
                <c:ptCount val="1"/>
                <c:pt idx="0">
                  <c:v>Tourism</c:v>
                </c:pt>
              </c:strCache>
            </c:strRef>
          </c:tx>
          <c:spPr>
            <a:ln w="24000">
              <a:solidFill>
                <a:srgbClr val="17BECF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Analysis'!$M$76:$M$96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1550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1930</c:v>
                </c:pt>
                <c:pt idx="8">
                  <c:v>5460</c:v>
                </c:pt>
                <c:pt idx="9">
                  <c:v>12070</c:v>
                </c:pt>
                <c:pt idx="10">
                  <c:v>16070</c:v>
                </c:pt>
                <c:pt idx="11">
                  <c:v>38440</c:v>
                </c:pt>
                <c:pt idx="12">
                  <c:v>43240</c:v>
                </c:pt>
                <c:pt idx="13">
                  <c:v>43800</c:v>
                </c:pt>
                <c:pt idx="14">
                  <c:v>45770</c:v>
                </c:pt>
                <c:pt idx="15">
                  <c:v>45950</c:v>
                </c:pt>
                <c:pt idx="16">
                  <c:v>45950</c:v>
                </c:pt>
                <c:pt idx="17">
                  <c:v>45950</c:v>
                </c:pt>
                <c:pt idx="18">
                  <c:v>46070</c:v>
                </c:pt>
                <c:pt idx="19">
                  <c:v>46070</c:v>
                </c:pt>
                <c:pt idx="20">
                  <c:v>48140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258C-6A49-A001-96A0A093586D}"/>
            </c:ext>
          </c:extLst>
        </c:ser>
        <c:ser>
          <c:idx val="10"/>
          <c:order val="10"/>
          <c:tx>
            <c:strRef>
              <c:f>'FDI Stock Analysis'!$H$75</c:f>
              <c:strCache>
                <c:ptCount val="1"/>
                <c:pt idx="0">
                  <c:v>Logistics</c:v>
                </c:pt>
              </c:strCache>
            </c:strRef>
          </c:tx>
          <c:spPr>
            <a:ln w="24000">
              <a:solidFill>
                <a:srgbClr val="393B79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Analysis'!$H$76:$H$96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150</c:v>
                </c:pt>
                <c:pt idx="3">
                  <c:v>150</c:v>
                </c:pt>
                <c:pt idx="4">
                  <c:v>150</c:v>
                </c:pt>
                <c:pt idx="5">
                  <c:v>400</c:v>
                </c:pt>
                <c:pt idx="6">
                  <c:v>2740</c:v>
                </c:pt>
                <c:pt idx="7">
                  <c:v>3680</c:v>
                </c:pt>
                <c:pt idx="8">
                  <c:v>4150</c:v>
                </c:pt>
                <c:pt idx="9">
                  <c:v>5520</c:v>
                </c:pt>
                <c:pt idx="10">
                  <c:v>10950</c:v>
                </c:pt>
                <c:pt idx="11">
                  <c:v>14010</c:v>
                </c:pt>
                <c:pt idx="12">
                  <c:v>37890</c:v>
                </c:pt>
                <c:pt idx="13">
                  <c:v>38360</c:v>
                </c:pt>
                <c:pt idx="14">
                  <c:v>39570</c:v>
                </c:pt>
                <c:pt idx="15">
                  <c:v>41560</c:v>
                </c:pt>
                <c:pt idx="16">
                  <c:v>43710</c:v>
                </c:pt>
                <c:pt idx="17">
                  <c:v>43850</c:v>
                </c:pt>
                <c:pt idx="18">
                  <c:v>45480</c:v>
                </c:pt>
                <c:pt idx="19">
                  <c:v>46040</c:v>
                </c:pt>
                <c:pt idx="20">
                  <c:v>46650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258C-6A49-A001-96A0A093586D}"/>
            </c:ext>
          </c:extLst>
        </c:ser>
        <c:ser>
          <c:idx val="11"/>
          <c:order val="11"/>
          <c:tx>
            <c:strRef>
              <c:f>'FDI Stock Analysis'!$G$75</c:f>
              <c:strCache>
                <c:ptCount val="1"/>
                <c:pt idx="0">
                  <c:v>Health</c:v>
                </c:pt>
              </c:strCache>
            </c:strRef>
          </c:tx>
          <c:spPr>
            <a:ln w="24000">
              <a:solidFill>
                <a:srgbClr val="637939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Analysis'!$G$76:$G$96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360</c:v>
                </c:pt>
                <c:pt idx="4">
                  <c:v>360</c:v>
                </c:pt>
                <c:pt idx="5">
                  <c:v>630</c:v>
                </c:pt>
                <c:pt idx="6">
                  <c:v>630</c:v>
                </c:pt>
                <c:pt idx="7">
                  <c:v>1650</c:v>
                </c:pt>
                <c:pt idx="8">
                  <c:v>2630</c:v>
                </c:pt>
                <c:pt idx="9">
                  <c:v>3220</c:v>
                </c:pt>
                <c:pt idx="10">
                  <c:v>5630</c:v>
                </c:pt>
                <c:pt idx="11">
                  <c:v>8450</c:v>
                </c:pt>
                <c:pt idx="12">
                  <c:v>14280</c:v>
                </c:pt>
                <c:pt idx="13">
                  <c:v>20310</c:v>
                </c:pt>
                <c:pt idx="14">
                  <c:v>23210</c:v>
                </c:pt>
                <c:pt idx="15">
                  <c:v>24540</c:v>
                </c:pt>
                <c:pt idx="16">
                  <c:v>28490</c:v>
                </c:pt>
                <c:pt idx="17">
                  <c:v>30700</c:v>
                </c:pt>
                <c:pt idx="18">
                  <c:v>31760</c:v>
                </c:pt>
                <c:pt idx="19">
                  <c:v>31860</c:v>
                </c:pt>
                <c:pt idx="20">
                  <c:v>32080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58C-6A49-A001-96A0A093586D}"/>
            </c:ext>
          </c:extLst>
        </c:ser>
        <c:ser>
          <c:idx val="12"/>
          <c:order val="12"/>
          <c:tx>
            <c:strRef>
              <c:f>'FDI Stock Analysis'!$C$75</c:f>
              <c:strCache>
                <c:ptCount val="1"/>
                <c:pt idx="0">
                  <c:v>Chemicals</c:v>
                </c:pt>
              </c:strCache>
            </c:strRef>
          </c:tx>
          <c:spPr>
            <a:ln w="24000">
              <a:solidFill>
                <a:srgbClr val="8C6D31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Analysis'!$C$76:$C$96</c:f>
              <c:numCache>
                <c:formatCode>#,##0.0</c:formatCode>
                <c:ptCount val="21"/>
                <c:pt idx="0">
                  <c:v>180</c:v>
                </c:pt>
                <c:pt idx="1">
                  <c:v>180</c:v>
                </c:pt>
                <c:pt idx="2">
                  <c:v>880</c:v>
                </c:pt>
                <c:pt idx="3">
                  <c:v>880</c:v>
                </c:pt>
                <c:pt idx="4">
                  <c:v>880</c:v>
                </c:pt>
                <c:pt idx="5">
                  <c:v>1180</c:v>
                </c:pt>
                <c:pt idx="6">
                  <c:v>5190</c:v>
                </c:pt>
                <c:pt idx="7">
                  <c:v>5190</c:v>
                </c:pt>
                <c:pt idx="8">
                  <c:v>5650</c:v>
                </c:pt>
                <c:pt idx="9">
                  <c:v>5650</c:v>
                </c:pt>
                <c:pt idx="10">
                  <c:v>5650</c:v>
                </c:pt>
                <c:pt idx="11">
                  <c:v>7300</c:v>
                </c:pt>
                <c:pt idx="12">
                  <c:v>7430</c:v>
                </c:pt>
                <c:pt idx="13">
                  <c:v>8510</c:v>
                </c:pt>
                <c:pt idx="14">
                  <c:v>8780</c:v>
                </c:pt>
                <c:pt idx="15">
                  <c:v>8960</c:v>
                </c:pt>
                <c:pt idx="16">
                  <c:v>9480</c:v>
                </c:pt>
                <c:pt idx="17">
                  <c:v>9480</c:v>
                </c:pt>
                <c:pt idx="18">
                  <c:v>11040</c:v>
                </c:pt>
                <c:pt idx="19">
                  <c:v>14360</c:v>
                </c:pt>
                <c:pt idx="20">
                  <c:v>15810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258C-6A49-A001-96A0A093586D}"/>
            </c:ext>
          </c:extLst>
        </c:ser>
        <c:ser>
          <c:idx val="13"/>
          <c:order val="13"/>
          <c:tx>
            <c:strRef>
              <c:f>'FDI Stock Analysis'!$O$75</c:f>
              <c:strCache>
                <c:ptCount val="1"/>
                <c:pt idx="0">
                  <c:v>Utilities</c:v>
                </c:pt>
              </c:strCache>
            </c:strRef>
          </c:tx>
          <c:spPr>
            <a:ln w="24000">
              <a:solidFill>
                <a:srgbClr val="843C39"/>
              </a:solidFill>
              <a:prstDash val="solid"/>
            </a:ln>
          </c:spPr>
          <c:marker>
            <c:symbol val="none"/>
          </c:marker>
          <c:cat>
            <c:numRef>
              <c:f>'FDI Stock Analysis'!$A$76:$A$96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Analysis'!$O$76:$O$96</c:f>
              <c:numCache>
                <c:formatCode>#,##0.0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3040</c:v>
                </c:pt>
                <c:pt idx="4">
                  <c:v>3040</c:v>
                </c:pt>
                <c:pt idx="5">
                  <c:v>3040</c:v>
                </c:pt>
                <c:pt idx="6">
                  <c:v>3040</c:v>
                </c:pt>
                <c:pt idx="7">
                  <c:v>4160</c:v>
                </c:pt>
                <c:pt idx="8">
                  <c:v>4260</c:v>
                </c:pt>
                <c:pt idx="9">
                  <c:v>5060</c:v>
                </c:pt>
                <c:pt idx="10">
                  <c:v>5790</c:v>
                </c:pt>
                <c:pt idx="11">
                  <c:v>7720</c:v>
                </c:pt>
                <c:pt idx="12">
                  <c:v>7830</c:v>
                </c:pt>
                <c:pt idx="13">
                  <c:v>9420</c:v>
                </c:pt>
                <c:pt idx="14">
                  <c:v>9420</c:v>
                </c:pt>
                <c:pt idx="15">
                  <c:v>9420</c:v>
                </c:pt>
                <c:pt idx="16">
                  <c:v>9520</c:v>
                </c:pt>
                <c:pt idx="17">
                  <c:v>9520</c:v>
                </c:pt>
                <c:pt idx="18">
                  <c:v>9850</c:v>
                </c:pt>
                <c:pt idx="19">
                  <c:v>9990</c:v>
                </c:pt>
                <c:pt idx="20">
                  <c:v>10300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258C-6A49-A001-96A0A0935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Year</a:t>
                </a:r>
              </a:p>
            </c:rich>
          </c:tx>
          <c:overlay val="1"/>
        </c:title>
        <c:numFmt formatCode="0" sourceLinked="0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Cumulative recorded investment (USD millions)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Changing country composition of cumulative recorded investment</a:t>
            </a:r>
          </a:p>
        </c:rich>
      </c:tx>
      <c:overlay val="1"/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'FDI Stock Analysis'!$B$131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1F77B4"/>
            </a:solidFill>
            <a:ln>
              <a:solidFill>
                <a:srgbClr val="1F77B4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Analysis'!$B$132:$B$152</c:f>
              <c:numCache>
                <c:formatCode>General</c:formatCode>
                <c:ptCount val="21"/>
                <c:pt idx="0">
                  <c:v>1740</c:v>
                </c:pt>
                <c:pt idx="1">
                  <c:v>1740</c:v>
                </c:pt>
                <c:pt idx="2">
                  <c:v>10140</c:v>
                </c:pt>
                <c:pt idx="3">
                  <c:v>15110</c:v>
                </c:pt>
                <c:pt idx="4">
                  <c:v>23310</c:v>
                </c:pt>
                <c:pt idx="5">
                  <c:v>32130</c:v>
                </c:pt>
                <c:pt idx="6">
                  <c:v>34300</c:v>
                </c:pt>
                <c:pt idx="7">
                  <c:v>43280</c:v>
                </c:pt>
                <c:pt idx="8">
                  <c:v>59400</c:v>
                </c:pt>
                <c:pt idx="9">
                  <c:v>77020</c:v>
                </c:pt>
                <c:pt idx="10">
                  <c:v>96050</c:v>
                </c:pt>
                <c:pt idx="11">
                  <c:v>151620</c:v>
                </c:pt>
                <c:pt idx="12">
                  <c:v>175020</c:v>
                </c:pt>
                <c:pt idx="13">
                  <c:v>183940</c:v>
                </c:pt>
                <c:pt idx="14">
                  <c:v>187580</c:v>
                </c:pt>
                <c:pt idx="15">
                  <c:v>189500</c:v>
                </c:pt>
                <c:pt idx="16">
                  <c:v>193900</c:v>
                </c:pt>
                <c:pt idx="17">
                  <c:v>196490</c:v>
                </c:pt>
                <c:pt idx="18">
                  <c:v>199170</c:v>
                </c:pt>
                <c:pt idx="19">
                  <c:v>200800</c:v>
                </c:pt>
                <c:pt idx="20">
                  <c:v>204880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2-E24B-83FB-D6F713CADC19}"/>
            </c:ext>
          </c:extLst>
        </c:ser>
        <c:ser>
          <c:idx val="1"/>
          <c:order val="1"/>
          <c:tx>
            <c:strRef>
              <c:f>'FDI Stock Analysis'!$C$131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FF7F0E"/>
            </a:solidFill>
            <a:ln>
              <a:solidFill>
                <a:srgbClr val="FF7F0E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Analysis'!$C$132:$C$152</c:f>
              <c:numCache>
                <c:formatCode>General</c:formatCode>
                <c:ptCount val="21"/>
                <c:pt idx="0">
                  <c:v>320</c:v>
                </c:pt>
                <c:pt idx="1">
                  <c:v>3240</c:v>
                </c:pt>
                <c:pt idx="2">
                  <c:v>3670</c:v>
                </c:pt>
                <c:pt idx="3">
                  <c:v>19920</c:v>
                </c:pt>
                <c:pt idx="4">
                  <c:v>29050</c:v>
                </c:pt>
                <c:pt idx="5">
                  <c:v>32390</c:v>
                </c:pt>
                <c:pt idx="6">
                  <c:v>42270</c:v>
                </c:pt>
                <c:pt idx="7">
                  <c:v>51350</c:v>
                </c:pt>
                <c:pt idx="8">
                  <c:v>60410</c:v>
                </c:pt>
                <c:pt idx="9">
                  <c:v>70470</c:v>
                </c:pt>
                <c:pt idx="10">
                  <c:v>81460</c:v>
                </c:pt>
                <c:pt idx="11">
                  <c:v>88300</c:v>
                </c:pt>
                <c:pt idx="12">
                  <c:v>93340</c:v>
                </c:pt>
                <c:pt idx="13">
                  <c:v>99080</c:v>
                </c:pt>
                <c:pt idx="14">
                  <c:v>102630</c:v>
                </c:pt>
                <c:pt idx="15">
                  <c:v>105520</c:v>
                </c:pt>
                <c:pt idx="16">
                  <c:v>105660</c:v>
                </c:pt>
                <c:pt idx="17">
                  <c:v>106920</c:v>
                </c:pt>
                <c:pt idx="18">
                  <c:v>107390</c:v>
                </c:pt>
                <c:pt idx="19">
                  <c:v>107500</c:v>
                </c:pt>
                <c:pt idx="20">
                  <c:v>108180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2-E24B-83FB-D6F713CADC19}"/>
            </c:ext>
          </c:extLst>
        </c:ser>
        <c:ser>
          <c:idx val="2"/>
          <c:order val="2"/>
          <c:tx>
            <c:strRef>
              <c:f>'FDI Stock Analysis'!$D$131</c:f>
              <c:strCache>
                <c:ptCount val="1"/>
                <c:pt idx="0">
                  <c:v>Britain</c:v>
                </c:pt>
              </c:strCache>
            </c:strRef>
          </c:tx>
          <c:spPr>
            <a:solidFill>
              <a:srgbClr val="2CA02C"/>
            </a:solidFill>
            <a:ln>
              <a:solidFill>
                <a:srgbClr val="2CA02C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Analysis'!$D$132:$D$152</c:f>
              <c:numCache>
                <c:formatCode>General</c:formatCode>
                <c:ptCount val="21"/>
                <c:pt idx="0">
                  <c:v>100</c:v>
                </c:pt>
                <c:pt idx="1">
                  <c:v>900</c:v>
                </c:pt>
                <c:pt idx="2">
                  <c:v>3940</c:v>
                </c:pt>
                <c:pt idx="3">
                  <c:v>5950</c:v>
                </c:pt>
                <c:pt idx="4">
                  <c:v>7650</c:v>
                </c:pt>
                <c:pt idx="5">
                  <c:v>8780</c:v>
                </c:pt>
                <c:pt idx="6">
                  <c:v>9290</c:v>
                </c:pt>
                <c:pt idx="7">
                  <c:v>16410</c:v>
                </c:pt>
                <c:pt idx="8">
                  <c:v>22740</c:v>
                </c:pt>
                <c:pt idx="9">
                  <c:v>29660</c:v>
                </c:pt>
                <c:pt idx="10">
                  <c:v>33490</c:v>
                </c:pt>
                <c:pt idx="11">
                  <c:v>44790</c:v>
                </c:pt>
                <c:pt idx="12">
                  <c:v>74270</c:v>
                </c:pt>
                <c:pt idx="13">
                  <c:v>83290</c:v>
                </c:pt>
                <c:pt idx="14">
                  <c:v>94810</c:v>
                </c:pt>
                <c:pt idx="15">
                  <c:v>96580</c:v>
                </c:pt>
                <c:pt idx="16">
                  <c:v>99150</c:v>
                </c:pt>
                <c:pt idx="17">
                  <c:v>100560</c:v>
                </c:pt>
                <c:pt idx="18">
                  <c:v>101710</c:v>
                </c:pt>
                <c:pt idx="19">
                  <c:v>106950</c:v>
                </c:pt>
                <c:pt idx="20">
                  <c:v>107050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E2-E24B-83FB-D6F713CADC19}"/>
            </c:ext>
          </c:extLst>
        </c:ser>
        <c:ser>
          <c:idx val="3"/>
          <c:order val="3"/>
          <c:tx>
            <c:strRef>
              <c:f>'FDI Stock Analysis'!$E$131</c:f>
              <c:strCache>
                <c:ptCount val="1"/>
                <c:pt idx="0">
                  <c:v>Brazil</c:v>
                </c:pt>
              </c:strCache>
            </c:strRef>
          </c:tx>
          <c:spPr>
            <a:solidFill>
              <a:srgbClr val="D62728"/>
            </a:solidFill>
            <a:ln>
              <a:solidFill>
                <a:srgbClr val="D62728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Analysis'!$E$132:$E$152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110</c:v>
                </c:pt>
                <c:pt idx="4">
                  <c:v>1010</c:v>
                </c:pt>
                <c:pt idx="5">
                  <c:v>14890</c:v>
                </c:pt>
                <c:pt idx="6">
                  <c:v>23110</c:v>
                </c:pt>
                <c:pt idx="7">
                  <c:v>24860</c:v>
                </c:pt>
                <c:pt idx="8">
                  <c:v>27880</c:v>
                </c:pt>
                <c:pt idx="9">
                  <c:v>29460</c:v>
                </c:pt>
                <c:pt idx="10">
                  <c:v>32680</c:v>
                </c:pt>
                <c:pt idx="11">
                  <c:v>46090</c:v>
                </c:pt>
                <c:pt idx="12">
                  <c:v>54660</c:v>
                </c:pt>
                <c:pt idx="13">
                  <c:v>56940</c:v>
                </c:pt>
                <c:pt idx="14">
                  <c:v>58970</c:v>
                </c:pt>
                <c:pt idx="15">
                  <c:v>59230</c:v>
                </c:pt>
                <c:pt idx="16">
                  <c:v>64910</c:v>
                </c:pt>
                <c:pt idx="17">
                  <c:v>67480</c:v>
                </c:pt>
                <c:pt idx="18">
                  <c:v>70240</c:v>
                </c:pt>
                <c:pt idx="19">
                  <c:v>71850</c:v>
                </c:pt>
                <c:pt idx="20">
                  <c:v>80550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E2-E24B-83FB-D6F713CADC19}"/>
            </c:ext>
          </c:extLst>
        </c:ser>
        <c:ser>
          <c:idx val="4"/>
          <c:order val="4"/>
          <c:tx>
            <c:strRef>
              <c:f>'FDI Stock Analysis'!$F$131</c:f>
              <c:strCache>
                <c:ptCount val="1"/>
                <c:pt idx="0">
                  <c:v>Switzerland</c:v>
                </c:pt>
              </c:strCache>
            </c:strRef>
          </c:tx>
          <c:spPr>
            <a:solidFill>
              <a:srgbClr val="9467BD"/>
            </a:solidFill>
            <a:ln>
              <a:solidFill>
                <a:srgbClr val="9467BD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Analysis'!$F$132:$F$152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7200</c:v>
                </c:pt>
                <c:pt idx="5">
                  <c:v>7200</c:v>
                </c:pt>
                <c:pt idx="6">
                  <c:v>7300</c:v>
                </c:pt>
                <c:pt idx="7">
                  <c:v>8170</c:v>
                </c:pt>
                <c:pt idx="8">
                  <c:v>8170</c:v>
                </c:pt>
                <c:pt idx="9">
                  <c:v>8570</c:v>
                </c:pt>
                <c:pt idx="10">
                  <c:v>12930</c:v>
                </c:pt>
                <c:pt idx="11">
                  <c:v>15340</c:v>
                </c:pt>
                <c:pt idx="12">
                  <c:v>60710</c:v>
                </c:pt>
                <c:pt idx="13">
                  <c:v>60900</c:v>
                </c:pt>
                <c:pt idx="14">
                  <c:v>61060</c:v>
                </c:pt>
                <c:pt idx="15">
                  <c:v>61370</c:v>
                </c:pt>
                <c:pt idx="16">
                  <c:v>61370</c:v>
                </c:pt>
                <c:pt idx="17">
                  <c:v>61960</c:v>
                </c:pt>
                <c:pt idx="18">
                  <c:v>62060</c:v>
                </c:pt>
                <c:pt idx="19">
                  <c:v>62870</c:v>
                </c:pt>
                <c:pt idx="20">
                  <c:v>62870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2-E24B-83FB-D6F713CADC19}"/>
            </c:ext>
          </c:extLst>
        </c:ser>
        <c:ser>
          <c:idx val="5"/>
          <c:order val="5"/>
          <c:tx>
            <c:strRef>
              <c:f>'FDI Stock Analysis'!$G$131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C564B"/>
            </a:solidFill>
            <a:ln>
              <a:solidFill>
                <a:srgbClr val="8C564B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Analysis'!$G$132:$G$152</c:f>
              <c:numCache>
                <c:formatCode>General</c:formatCode>
                <c:ptCount val="21"/>
                <c:pt idx="0">
                  <c:v>250</c:v>
                </c:pt>
                <c:pt idx="1">
                  <c:v>360</c:v>
                </c:pt>
                <c:pt idx="2">
                  <c:v>360</c:v>
                </c:pt>
                <c:pt idx="3">
                  <c:v>360</c:v>
                </c:pt>
                <c:pt idx="4">
                  <c:v>3840</c:v>
                </c:pt>
                <c:pt idx="5">
                  <c:v>10920</c:v>
                </c:pt>
                <c:pt idx="6">
                  <c:v>16380</c:v>
                </c:pt>
                <c:pt idx="7">
                  <c:v>37950</c:v>
                </c:pt>
                <c:pt idx="8">
                  <c:v>38420</c:v>
                </c:pt>
                <c:pt idx="9">
                  <c:v>42020</c:v>
                </c:pt>
                <c:pt idx="10">
                  <c:v>43360</c:v>
                </c:pt>
                <c:pt idx="11">
                  <c:v>46110</c:v>
                </c:pt>
                <c:pt idx="12">
                  <c:v>48720</c:v>
                </c:pt>
                <c:pt idx="13">
                  <c:v>54120</c:v>
                </c:pt>
                <c:pt idx="14">
                  <c:v>55980</c:v>
                </c:pt>
                <c:pt idx="15">
                  <c:v>56130</c:v>
                </c:pt>
                <c:pt idx="16">
                  <c:v>56430</c:v>
                </c:pt>
                <c:pt idx="17">
                  <c:v>56750</c:v>
                </c:pt>
                <c:pt idx="18">
                  <c:v>56880</c:v>
                </c:pt>
                <c:pt idx="19">
                  <c:v>57090</c:v>
                </c:pt>
                <c:pt idx="20">
                  <c:v>57280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E2-E24B-83FB-D6F713CADC19}"/>
            </c:ext>
          </c:extLst>
        </c:ser>
        <c:ser>
          <c:idx val="6"/>
          <c:order val="6"/>
          <c:tx>
            <c:strRef>
              <c:f>'FDI Stock Analysis'!$H$131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E377C2"/>
            </a:solidFill>
            <a:ln>
              <a:solidFill>
                <a:srgbClr val="E377C2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Analysis'!$H$132:$H$152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130</c:v>
                </c:pt>
                <c:pt idx="3">
                  <c:v>270</c:v>
                </c:pt>
                <c:pt idx="4">
                  <c:v>270</c:v>
                </c:pt>
                <c:pt idx="5">
                  <c:v>270</c:v>
                </c:pt>
                <c:pt idx="6">
                  <c:v>2310</c:v>
                </c:pt>
                <c:pt idx="7">
                  <c:v>5010</c:v>
                </c:pt>
                <c:pt idx="8">
                  <c:v>5810</c:v>
                </c:pt>
                <c:pt idx="9">
                  <c:v>7430</c:v>
                </c:pt>
                <c:pt idx="10">
                  <c:v>9120</c:v>
                </c:pt>
                <c:pt idx="11">
                  <c:v>21700</c:v>
                </c:pt>
                <c:pt idx="12">
                  <c:v>28930</c:v>
                </c:pt>
                <c:pt idx="13">
                  <c:v>41580</c:v>
                </c:pt>
                <c:pt idx="14">
                  <c:v>48090</c:v>
                </c:pt>
                <c:pt idx="15">
                  <c:v>48510</c:v>
                </c:pt>
                <c:pt idx="16">
                  <c:v>51070</c:v>
                </c:pt>
                <c:pt idx="17">
                  <c:v>52200</c:v>
                </c:pt>
                <c:pt idx="18">
                  <c:v>52350</c:v>
                </c:pt>
                <c:pt idx="19">
                  <c:v>54160</c:v>
                </c:pt>
                <c:pt idx="20">
                  <c:v>56340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EE2-E24B-83FB-D6F713CADC19}"/>
            </c:ext>
          </c:extLst>
        </c:ser>
        <c:ser>
          <c:idx val="7"/>
          <c:order val="7"/>
          <c:tx>
            <c:strRef>
              <c:f>'FDI Stock Analysis'!$I$131</c:f>
              <c:strCache>
                <c:ptCount val="1"/>
                <c:pt idx="0">
                  <c:v>Indonesia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Analysis'!$I$132:$I$152</c:f>
              <c:numCache>
                <c:formatCode>General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230</c:v>
                </c:pt>
                <c:pt idx="4">
                  <c:v>460</c:v>
                </c:pt>
                <c:pt idx="5">
                  <c:v>1290</c:v>
                </c:pt>
                <c:pt idx="6">
                  <c:v>3160</c:v>
                </c:pt>
                <c:pt idx="7">
                  <c:v>5260</c:v>
                </c:pt>
                <c:pt idx="8">
                  <c:v>5780</c:v>
                </c:pt>
                <c:pt idx="9">
                  <c:v>8370</c:v>
                </c:pt>
                <c:pt idx="10">
                  <c:v>11560</c:v>
                </c:pt>
                <c:pt idx="11">
                  <c:v>13980</c:v>
                </c:pt>
                <c:pt idx="12">
                  <c:v>16380</c:v>
                </c:pt>
                <c:pt idx="13">
                  <c:v>21370</c:v>
                </c:pt>
                <c:pt idx="14">
                  <c:v>27330</c:v>
                </c:pt>
                <c:pt idx="15">
                  <c:v>29800</c:v>
                </c:pt>
                <c:pt idx="16">
                  <c:v>32820</c:v>
                </c:pt>
                <c:pt idx="17">
                  <c:v>36960</c:v>
                </c:pt>
                <c:pt idx="18">
                  <c:v>43190</c:v>
                </c:pt>
                <c:pt idx="19">
                  <c:v>46370</c:v>
                </c:pt>
                <c:pt idx="20">
                  <c:v>49350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E2-E24B-83FB-D6F713CADC19}"/>
            </c:ext>
          </c:extLst>
        </c:ser>
        <c:ser>
          <c:idx val="8"/>
          <c:order val="8"/>
          <c:tx>
            <c:strRef>
              <c:f>'FDI Stock Analysis'!$J$131</c:f>
              <c:strCache>
                <c:ptCount val="1"/>
                <c:pt idx="0">
                  <c:v>Singapore</c:v>
                </c:pt>
              </c:strCache>
            </c:strRef>
          </c:tx>
          <c:spPr>
            <a:solidFill>
              <a:srgbClr val="BCBD22"/>
            </a:solidFill>
            <a:ln>
              <a:solidFill>
                <a:srgbClr val="BCBD22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Analysis'!$J$132:$J$152</c:f>
              <c:numCache>
                <c:formatCode>General</c:formatCode>
                <c:ptCount val="21"/>
                <c:pt idx="0">
                  <c:v>0</c:v>
                </c:pt>
                <c:pt idx="1">
                  <c:v>970</c:v>
                </c:pt>
                <c:pt idx="2">
                  <c:v>970</c:v>
                </c:pt>
                <c:pt idx="3">
                  <c:v>4540</c:v>
                </c:pt>
                <c:pt idx="4">
                  <c:v>6720</c:v>
                </c:pt>
                <c:pt idx="5">
                  <c:v>6720</c:v>
                </c:pt>
                <c:pt idx="6">
                  <c:v>7980</c:v>
                </c:pt>
                <c:pt idx="7">
                  <c:v>8130</c:v>
                </c:pt>
                <c:pt idx="8">
                  <c:v>9500</c:v>
                </c:pt>
                <c:pt idx="9">
                  <c:v>10250</c:v>
                </c:pt>
                <c:pt idx="10">
                  <c:v>14720</c:v>
                </c:pt>
                <c:pt idx="11">
                  <c:v>17760</c:v>
                </c:pt>
                <c:pt idx="12">
                  <c:v>32000</c:v>
                </c:pt>
                <c:pt idx="13">
                  <c:v>35220</c:v>
                </c:pt>
                <c:pt idx="14">
                  <c:v>37470</c:v>
                </c:pt>
                <c:pt idx="15">
                  <c:v>38830</c:v>
                </c:pt>
                <c:pt idx="16">
                  <c:v>39170</c:v>
                </c:pt>
                <c:pt idx="17">
                  <c:v>41760</c:v>
                </c:pt>
                <c:pt idx="18">
                  <c:v>44310</c:v>
                </c:pt>
                <c:pt idx="19">
                  <c:v>45450</c:v>
                </c:pt>
                <c:pt idx="20">
                  <c:v>46830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EE2-E24B-83FB-D6F713CADC19}"/>
            </c:ext>
          </c:extLst>
        </c:ser>
        <c:ser>
          <c:idx val="9"/>
          <c:order val="9"/>
          <c:tx>
            <c:strRef>
              <c:f>'FDI Stock Analysis'!$K$131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17BECF"/>
            </a:solidFill>
            <a:ln>
              <a:solidFill>
                <a:srgbClr val="17BECF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Analysis'!$K$132:$K$152</c:f>
              <c:numCache>
                <c:formatCode>General</c:formatCode>
                <c:ptCount val="21"/>
                <c:pt idx="0">
                  <c:v>0</c:v>
                </c:pt>
                <c:pt idx="1">
                  <c:v>480</c:v>
                </c:pt>
                <c:pt idx="2">
                  <c:v>1180</c:v>
                </c:pt>
                <c:pt idx="3">
                  <c:v>3980</c:v>
                </c:pt>
                <c:pt idx="4">
                  <c:v>3980</c:v>
                </c:pt>
                <c:pt idx="5">
                  <c:v>3980</c:v>
                </c:pt>
                <c:pt idx="6">
                  <c:v>7730</c:v>
                </c:pt>
                <c:pt idx="7">
                  <c:v>8340</c:v>
                </c:pt>
                <c:pt idx="8">
                  <c:v>9230</c:v>
                </c:pt>
                <c:pt idx="9">
                  <c:v>12320</c:v>
                </c:pt>
                <c:pt idx="10">
                  <c:v>15310</c:v>
                </c:pt>
                <c:pt idx="11">
                  <c:v>18010</c:v>
                </c:pt>
                <c:pt idx="12">
                  <c:v>19360</c:v>
                </c:pt>
                <c:pt idx="13">
                  <c:v>24230</c:v>
                </c:pt>
                <c:pt idx="14">
                  <c:v>28680</c:v>
                </c:pt>
                <c:pt idx="15">
                  <c:v>32880</c:v>
                </c:pt>
                <c:pt idx="16">
                  <c:v>33070</c:v>
                </c:pt>
                <c:pt idx="17">
                  <c:v>35070</c:v>
                </c:pt>
                <c:pt idx="18">
                  <c:v>35070</c:v>
                </c:pt>
                <c:pt idx="19">
                  <c:v>35070</c:v>
                </c:pt>
                <c:pt idx="20">
                  <c:v>37130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E2-E24B-83FB-D6F713CADC19}"/>
            </c:ext>
          </c:extLst>
        </c:ser>
        <c:ser>
          <c:idx val="10"/>
          <c:order val="10"/>
          <c:tx>
            <c:strRef>
              <c:f>'FDI Stock Analysis'!$L$131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393B79"/>
            </a:solidFill>
            <a:ln>
              <a:solidFill>
                <a:srgbClr val="393B79"/>
              </a:solidFill>
              <a:prstDash val="solid"/>
            </a:ln>
          </c:spPr>
          <c:cat>
            <c:numRef>
              <c:f>'FDI Stock Analysis'!$A$132:$A$152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Analysis'!$L$132:$L$152</c:f>
              <c:numCache>
                <c:formatCode>General</c:formatCode>
                <c:ptCount val="21"/>
                <c:pt idx="0">
                  <c:v>7710</c:v>
                </c:pt>
                <c:pt idx="1">
                  <c:v>21940</c:v>
                </c:pt>
                <c:pt idx="2">
                  <c:v>39680</c:v>
                </c:pt>
                <c:pt idx="3">
                  <c:v>64480</c:v>
                </c:pt>
                <c:pt idx="4">
                  <c:v>89060</c:v>
                </c:pt>
                <c:pt idx="5">
                  <c:v>120320</c:v>
                </c:pt>
                <c:pt idx="6">
                  <c:v>155570</c:v>
                </c:pt>
                <c:pt idx="7">
                  <c:v>178160</c:v>
                </c:pt>
                <c:pt idx="8">
                  <c:v>215560</c:v>
                </c:pt>
                <c:pt idx="9">
                  <c:v>268070</c:v>
                </c:pt>
                <c:pt idx="10">
                  <c:v>328270</c:v>
                </c:pt>
                <c:pt idx="11">
                  <c:v>384380</c:v>
                </c:pt>
                <c:pt idx="12">
                  <c:v>419780</c:v>
                </c:pt>
                <c:pt idx="13">
                  <c:v>480510</c:v>
                </c:pt>
                <c:pt idx="14">
                  <c:v>534880</c:v>
                </c:pt>
                <c:pt idx="15">
                  <c:v>564500</c:v>
                </c:pt>
                <c:pt idx="16">
                  <c:v>599330</c:v>
                </c:pt>
                <c:pt idx="17">
                  <c:v>625050</c:v>
                </c:pt>
                <c:pt idx="18">
                  <c:v>672390</c:v>
                </c:pt>
                <c:pt idx="19">
                  <c:v>716060</c:v>
                </c:pt>
                <c:pt idx="20">
                  <c:v>760970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EE2-E24B-83FB-D6F713CAD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Year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Share of cumulative stock (%)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CA"/>
              <a:t>Changing sector composition of cumulative recorded investment</a:t>
            </a:r>
          </a:p>
        </c:rich>
      </c:tx>
      <c:overlay val="1"/>
    </c:title>
    <c:autoTitleDeleted val="0"/>
    <c:plotArea>
      <c:layout/>
      <c:areaChart>
        <c:grouping val="percentStacked"/>
        <c:varyColors val="1"/>
        <c:ser>
          <c:idx val="0"/>
          <c:order val="0"/>
          <c:tx>
            <c:strRef>
              <c:f>'FDI Stock Analysis'!$P$131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1F77B4"/>
            </a:solidFill>
            <a:ln>
              <a:solidFill>
                <a:srgbClr val="1F77B4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Analysis'!$P$132:$P$152</c:f>
              <c:numCache>
                <c:formatCode>General</c:formatCode>
                <c:ptCount val="21"/>
                <c:pt idx="0">
                  <c:v>6640</c:v>
                </c:pt>
                <c:pt idx="1">
                  <c:v>16810</c:v>
                </c:pt>
                <c:pt idx="2">
                  <c:v>20010</c:v>
                </c:pt>
                <c:pt idx="3">
                  <c:v>35540</c:v>
                </c:pt>
                <c:pt idx="4">
                  <c:v>71210</c:v>
                </c:pt>
                <c:pt idx="5">
                  <c:v>112400</c:v>
                </c:pt>
                <c:pt idx="6">
                  <c:v>150060</c:v>
                </c:pt>
                <c:pt idx="7">
                  <c:v>190450</c:v>
                </c:pt>
                <c:pt idx="8">
                  <c:v>226210</c:v>
                </c:pt>
                <c:pt idx="9">
                  <c:v>255480</c:v>
                </c:pt>
                <c:pt idx="10">
                  <c:v>286880</c:v>
                </c:pt>
                <c:pt idx="11">
                  <c:v>324160</c:v>
                </c:pt>
                <c:pt idx="12">
                  <c:v>345140</c:v>
                </c:pt>
                <c:pt idx="13">
                  <c:v>368210</c:v>
                </c:pt>
                <c:pt idx="14">
                  <c:v>398160</c:v>
                </c:pt>
                <c:pt idx="15">
                  <c:v>413460</c:v>
                </c:pt>
                <c:pt idx="16">
                  <c:v>428610</c:v>
                </c:pt>
                <c:pt idx="17">
                  <c:v>444570</c:v>
                </c:pt>
                <c:pt idx="18">
                  <c:v>457680</c:v>
                </c:pt>
                <c:pt idx="19">
                  <c:v>469810</c:v>
                </c:pt>
                <c:pt idx="20">
                  <c:v>485700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8A-F044-899D-01D11A28AA10}"/>
            </c:ext>
          </c:extLst>
        </c:ser>
        <c:ser>
          <c:idx val="1"/>
          <c:order val="1"/>
          <c:tx>
            <c:strRef>
              <c:f>'FDI Stock Analysis'!$Q$131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rgbClr val="FF7F0E"/>
            </a:solidFill>
            <a:ln>
              <a:solidFill>
                <a:srgbClr val="FF7F0E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Analysis'!$Q$132:$Q$152</c:f>
              <c:numCache>
                <c:formatCode>General</c:formatCode>
                <c:ptCount val="21"/>
                <c:pt idx="0">
                  <c:v>100</c:v>
                </c:pt>
                <c:pt idx="1">
                  <c:v>1070</c:v>
                </c:pt>
                <c:pt idx="2">
                  <c:v>1340</c:v>
                </c:pt>
                <c:pt idx="3">
                  <c:v>7460</c:v>
                </c:pt>
                <c:pt idx="4">
                  <c:v>8370</c:v>
                </c:pt>
                <c:pt idx="5">
                  <c:v>13880</c:v>
                </c:pt>
                <c:pt idx="6">
                  <c:v>18620</c:v>
                </c:pt>
                <c:pt idx="7">
                  <c:v>21090</c:v>
                </c:pt>
                <c:pt idx="8">
                  <c:v>23870</c:v>
                </c:pt>
                <c:pt idx="9">
                  <c:v>30170</c:v>
                </c:pt>
                <c:pt idx="10">
                  <c:v>51470</c:v>
                </c:pt>
                <c:pt idx="11">
                  <c:v>62710</c:v>
                </c:pt>
                <c:pt idx="12">
                  <c:v>83500</c:v>
                </c:pt>
                <c:pt idx="13">
                  <c:v>113270</c:v>
                </c:pt>
                <c:pt idx="14">
                  <c:v>131150</c:v>
                </c:pt>
                <c:pt idx="15">
                  <c:v>137880</c:v>
                </c:pt>
                <c:pt idx="16">
                  <c:v>148200</c:v>
                </c:pt>
                <c:pt idx="17">
                  <c:v>153060</c:v>
                </c:pt>
                <c:pt idx="18">
                  <c:v>168600</c:v>
                </c:pt>
                <c:pt idx="19">
                  <c:v>185790</c:v>
                </c:pt>
                <c:pt idx="20">
                  <c:v>203400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8A-F044-899D-01D11A28AA10}"/>
            </c:ext>
          </c:extLst>
        </c:ser>
        <c:ser>
          <c:idx val="2"/>
          <c:order val="2"/>
          <c:tx>
            <c:strRef>
              <c:f>'FDI Stock Analysis'!$R$131</c:f>
              <c:strCache>
                <c:ptCount val="1"/>
                <c:pt idx="0">
                  <c:v>Metals</c:v>
                </c:pt>
              </c:strCache>
            </c:strRef>
          </c:tx>
          <c:spPr>
            <a:solidFill>
              <a:srgbClr val="2CA02C"/>
            </a:solidFill>
            <a:ln>
              <a:solidFill>
                <a:srgbClr val="2CA02C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Analysis'!$R$132:$R$152</c:f>
              <c:numCache>
                <c:formatCode>General</c:formatCode>
                <c:ptCount val="21"/>
                <c:pt idx="0">
                  <c:v>1310</c:v>
                </c:pt>
                <c:pt idx="1">
                  <c:v>7780</c:v>
                </c:pt>
                <c:pt idx="2">
                  <c:v>13710</c:v>
                </c:pt>
                <c:pt idx="3">
                  <c:v>36510</c:v>
                </c:pt>
                <c:pt idx="4">
                  <c:v>46810</c:v>
                </c:pt>
                <c:pt idx="5">
                  <c:v>55720</c:v>
                </c:pt>
                <c:pt idx="6">
                  <c:v>66720</c:v>
                </c:pt>
                <c:pt idx="7">
                  <c:v>79390</c:v>
                </c:pt>
                <c:pt idx="8">
                  <c:v>85570</c:v>
                </c:pt>
                <c:pt idx="9">
                  <c:v>100060</c:v>
                </c:pt>
                <c:pt idx="10">
                  <c:v>105390</c:v>
                </c:pt>
                <c:pt idx="11">
                  <c:v>109990</c:v>
                </c:pt>
                <c:pt idx="12">
                  <c:v>114200</c:v>
                </c:pt>
                <c:pt idx="13">
                  <c:v>129480</c:v>
                </c:pt>
                <c:pt idx="14">
                  <c:v>141200</c:v>
                </c:pt>
                <c:pt idx="15">
                  <c:v>145310</c:v>
                </c:pt>
                <c:pt idx="16">
                  <c:v>152490</c:v>
                </c:pt>
                <c:pt idx="17">
                  <c:v>161410</c:v>
                </c:pt>
                <c:pt idx="18">
                  <c:v>176740</c:v>
                </c:pt>
                <c:pt idx="19">
                  <c:v>189970</c:v>
                </c:pt>
                <c:pt idx="20">
                  <c:v>202780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8A-F044-899D-01D11A28AA10}"/>
            </c:ext>
          </c:extLst>
        </c:ser>
        <c:ser>
          <c:idx val="3"/>
          <c:order val="3"/>
          <c:tx>
            <c:strRef>
              <c:f>'FDI Stock Analysis'!$S$131</c:f>
              <c:strCache>
                <c:ptCount val="1"/>
                <c:pt idx="0">
                  <c:v>Real estate</c:v>
                </c:pt>
              </c:strCache>
            </c:strRef>
          </c:tx>
          <c:spPr>
            <a:solidFill>
              <a:srgbClr val="D62728"/>
            </a:solidFill>
            <a:ln>
              <a:solidFill>
                <a:srgbClr val="D62728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Analysis'!$S$132:$S$152</c:f>
              <c:numCache>
                <c:formatCode>General</c:formatCode>
                <c:ptCount val="21"/>
                <c:pt idx="0">
                  <c:v>0</c:v>
                </c:pt>
                <c:pt idx="1">
                  <c:v>1300</c:v>
                </c:pt>
                <c:pt idx="2">
                  <c:v>1450</c:v>
                </c:pt>
                <c:pt idx="3">
                  <c:v>1840</c:v>
                </c:pt>
                <c:pt idx="4">
                  <c:v>6440</c:v>
                </c:pt>
                <c:pt idx="5">
                  <c:v>9780</c:v>
                </c:pt>
                <c:pt idx="6">
                  <c:v>13500</c:v>
                </c:pt>
                <c:pt idx="7">
                  <c:v>18600</c:v>
                </c:pt>
                <c:pt idx="8">
                  <c:v>31850</c:v>
                </c:pt>
                <c:pt idx="9">
                  <c:v>47350</c:v>
                </c:pt>
                <c:pt idx="10">
                  <c:v>62920</c:v>
                </c:pt>
                <c:pt idx="11">
                  <c:v>79780</c:v>
                </c:pt>
                <c:pt idx="12">
                  <c:v>95390</c:v>
                </c:pt>
                <c:pt idx="13">
                  <c:v>100550</c:v>
                </c:pt>
                <c:pt idx="14">
                  <c:v>105290</c:v>
                </c:pt>
                <c:pt idx="15">
                  <c:v>109870</c:v>
                </c:pt>
                <c:pt idx="16">
                  <c:v>110830</c:v>
                </c:pt>
                <c:pt idx="17">
                  <c:v>112770</c:v>
                </c:pt>
                <c:pt idx="18">
                  <c:v>114480</c:v>
                </c:pt>
                <c:pt idx="19">
                  <c:v>118900</c:v>
                </c:pt>
                <c:pt idx="20">
                  <c:v>120440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8A-F044-899D-01D11A28AA10}"/>
            </c:ext>
          </c:extLst>
        </c:ser>
        <c:ser>
          <c:idx val="4"/>
          <c:order val="4"/>
          <c:tx>
            <c:strRef>
              <c:f>'FDI Stock Analysis'!$T$131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9467BD"/>
            </a:solidFill>
            <a:ln>
              <a:solidFill>
                <a:srgbClr val="9467BD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Analysis'!$T$132:$T$152</c:f>
              <c:numCache>
                <c:formatCode>General</c:formatCode>
                <c:ptCount val="21"/>
                <c:pt idx="0">
                  <c:v>0</c:v>
                </c:pt>
                <c:pt idx="1">
                  <c:v>100</c:v>
                </c:pt>
                <c:pt idx="2">
                  <c:v>19560</c:v>
                </c:pt>
                <c:pt idx="3">
                  <c:v>24210</c:v>
                </c:pt>
                <c:pt idx="4">
                  <c:v>27310</c:v>
                </c:pt>
                <c:pt idx="5">
                  <c:v>30340</c:v>
                </c:pt>
                <c:pt idx="6">
                  <c:v>32620</c:v>
                </c:pt>
                <c:pt idx="7">
                  <c:v>35520</c:v>
                </c:pt>
                <c:pt idx="8">
                  <c:v>36540</c:v>
                </c:pt>
                <c:pt idx="9">
                  <c:v>42510</c:v>
                </c:pt>
                <c:pt idx="10">
                  <c:v>56550</c:v>
                </c:pt>
                <c:pt idx="11">
                  <c:v>59630</c:v>
                </c:pt>
                <c:pt idx="12">
                  <c:v>76250</c:v>
                </c:pt>
                <c:pt idx="13">
                  <c:v>81060</c:v>
                </c:pt>
                <c:pt idx="14">
                  <c:v>83420</c:v>
                </c:pt>
                <c:pt idx="15">
                  <c:v>84820</c:v>
                </c:pt>
                <c:pt idx="16">
                  <c:v>85740</c:v>
                </c:pt>
                <c:pt idx="17">
                  <c:v>88900</c:v>
                </c:pt>
                <c:pt idx="18">
                  <c:v>89440</c:v>
                </c:pt>
                <c:pt idx="19">
                  <c:v>89640</c:v>
                </c:pt>
                <c:pt idx="20">
                  <c:v>89640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8A-F044-899D-01D11A28AA10}"/>
            </c:ext>
          </c:extLst>
        </c:ser>
        <c:ser>
          <c:idx val="5"/>
          <c:order val="5"/>
          <c:tx>
            <c:strRef>
              <c:f>'FDI Stock Analysis'!$U$131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8C564B"/>
            </a:solidFill>
            <a:ln>
              <a:solidFill>
                <a:srgbClr val="8C564B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Analysis'!$U$132:$U$152</c:f>
              <c:numCache>
                <c:formatCode>General</c:formatCode>
                <c:ptCount val="21"/>
                <c:pt idx="0">
                  <c:v>0</c:v>
                </c:pt>
                <c:pt idx="1">
                  <c:v>480</c:v>
                </c:pt>
                <c:pt idx="2">
                  <c:v>480</c:v>
                </c:pt>
                <c:pt idx="3">
                  <c:v>820</c:v>
                </c:pt>
                <c:pt idx="4">
                  <c:v>1190</c:v>
                </c:pt>
                <c:pt idx="5">
                  <c:v>2770</c:v>
                </c:pt>
                <c:pt idx="6">
                  <c:v>4380</c:v>
                </c:pt>
                <c:pt idx="7">
                  <c:v>8130</c:v>
                </c:pt>
                <c:pt idx="8">
                  <c:v>17770</c:v>
                </c:pt>
                <c:pt idx="9">
                  <c:v>25420</c:v>
                </c:pt>
                <c:pt idx="10">
                  <c:v>26610</c:v>
                </c:pt>
                <c:pt idx="11">
                  <c:v>32700</c:v>
                </c:pt>
                <c:pt idx="12">
                  <c:v>78570</c:v>
                </c:pt>
                <c:pt idx="13">
                  <c:v>81510</c:v>
                </c:pt>
                <c:pt idx="14">
                  <c:v>83510</c:v>
                </c:pt>
                <c:pt idx="15">
                  <c:v>84230</c:v>
                </c:pt>
                <c:pt idx="16">
                  <c:v>84770</c:v>
                </c:pt>
                <c:pt idx="17">
                  <c:v>84940</c:v>
                </c:pt>
                <c:pt idx="18">
                  <c:v>86140</c:v>
                </c:pt>
                <c:pt idx="19">
                  <c:v>87050</c:v>
                </c:pt>
                <c:pt idx="20">
                  <c:v>88120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8A-F044-899D-01D11A28AA10}"/>
            </c:ext>
          </c:extLst>
        </c:ser>
        <c:ser>
          <c:idx val="6"/>
          <c:order val="6"/>
          <c:tx>
            <c:strRef>
              <c:f>'FDI Stock Analysis'!$V$131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E377C2"/>
            </a:solidFill>
            <a:ln>
              <a:solidFill>
                <a:srgbClr val="E377C2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Analysis'!$V$132:$V$152</c:f>
              <c:numCache>
                <c:formatCode>General</c:formatCode>
                <c:ptCount val="21"/>
                <c:pt idx="0">
                  <c:v>1740</c:v>
                </c:pt>
                <c:pt idx="1">
                  <c:v>1740</c:v>
                </c:pt>
                <c:pt idx="2">
                  <c:v>2200</c:v>
                </c:pt>
                <c:pt idx="3">
                  <c:v>2200</c:v>
                </c:pt>
                <c:pt idx="4">
                  <c:v>3700</c:v>
                </c:pt>
                <c:pt idx="5">
                  <c:v>4000</c:v>
                </c:pt>
                <c:pt idx="6">
                  <c:v>5780</c:v>
                </c:pt>
                <c:pt idx="7">
                  <c:v>7920</c:v>
                </c:pt>
                <c:pt idx="8">
                  <c:v>8230</c:v>
                </c:pt>
                <c:pt idx="9">
                  <c:v>16320</c:v>
                </c:pt>
                <c:pt idx="10">
                  <c:v>25010</c:v>
                </c:pt>
                <c:pt idx="11">
                  <c:v>48660</c:v>
                </c:pt>
                <c:pt idx="12">
                  <c:v>52250</c:v>
                </c:pt>
                <c:pt idx="13">
                  <c:v>60890</c:v>
                </c:pt>
                <c:pt idx="14">
                  <c:v>66280</c:v>
                </c:pt>
                <c:pt idx="15">
                  <c:v>68900</c:v>
                </c:pt>
                <c:pt idx="16">
                  <c:v>70930</c:v>
                </c:pt>
                <c:pt idx="17">
                  <c:v>72710</c:v>
                </c:pt>
                <c:pt idx="18">
                  <c:v>77000</c:v>
                </c:pt>
                <c:pt idx="19">
                  <c:v>79640</c:v>
                </c:pt>
                <c:pt idx="20">
                  <c:v>84460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48A-F044-899D-01D11A28AA10}"/>
            </c:ext>
          </c:extLst>
        </c:ser>
        <c:ser>
          <c:idx val="7"/>
          <c:order val="7"/>
          <c:tx>
            <c:strRef>
              <c:f>'FDI Stock Analysis'!$W$131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7F7F7F"/>
            </a:solidFill>
            <a:ln>
              <a:solidFill>
                <a:srgbClr val="7F7F7F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Analysis'!$W$132:$W$152</c:f>
              <c:numCache>
                <c:formatCode>General</c:formatCode>
                <c:ptCount val="21"/>
                <c:pt idx="0">
                  <c:v>150</c:v>
                </c:pt>
                <c:pt idx="1">
                  <c:v>270</c:v>
                </c:pt>
                <c:pt idx="2">
                  <c:v>390</c:v>
                </c:pt>
                <c:pt idx="3">
                  <c:v>390</c:v>
                </c:pt>
                <c:pt idx="4">
                  <c:v>1290</c:v>
                </c:pt>
                <c:pt idx="5">
                  <c:v>2850</c:v>
                </c:pt>
                <c:pt idx="6">
                  <c:v>3820</c:v>
                </c:pt>
                <c:pt idx="7">
                  <c:v>5540</c:v>
                </c:pt>
                <c:pt idx="8">
                  <c:v>6690</c:v>
                </c:pt>
                <c:pt idx="9">
                  <c:v>8680</c:v>
                </c:pt>
                <c:pt idx="10">
                  <c:v>10160</c:v>
                </c:pt>
                <c:pt idx="11">
                  <c:v>22630</c:v>
                </c:pt>
                <c:pt idx="12">
                  <c:v>28740</c:v>
                </c:pt>
                <c:pt idx="13">
                  <c:v>42640</c:v>
                </c:pt>
                <c:pt idx="14">
                  <c:v>48610</c:v>
                </c:pt>
                <c:pt idx="15">
                  <c:v>50780</c:v>
                </c:pt>
                <c:pt idx="16">
                  <c:v>59180</c:v>
                </c:pt>
                <c:pt idx="17">
                  <c:v>63810</c:v>
                </c:pt>
                <c:pt idx="18">
                  <c:v>69430</c:v>
                </c:pt>
                <c:pt idx="19">
                  <c:v>71780</c:v>
                </c:pt>
                <c:pt idx="20">
                  <c:v>78310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48A-F044-899D-01D11A28AA10}"/>
            </c:ext>
          </c:extLst>
        </c:ser>
        <c:ser>
          <c:idx val="8"/>
          <c:order val="8"/>
          <c:tx>
            <c:strRef>
              <c:f>'FDI Stock Analysis'!$X$131</c:f>
              <c:strCache>
                <c:ptCount val="1"/>
                <c:pt idx="0">
                  <c:v>Entertainment</c:v>
                </c:pt>
              </c:strCache>
            </c:strRef>
          </c:tx>
          <c:spPr>
            <a:solidFill>
              <a:srgbClr val="BCBD22"/>
            </a:solidFill>
            <a:ln>
              <a:solidFill>
                <a:srgbClr val="BCBD22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Analysis'!$X$132:$X$152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100</c:v>
                </c:pt>
                <c:pt idx="6">
                  <c:v>500</c:v>
                </c:pt>
                <c:pt idx="7">
                  <c:v>3670</c:v>
                </c:pt>
                <c:pt idx="8">
                  <c:v>4020</c:v>
                </c:pt>
                <c:pt idx="9">
                  <c:v>6130</c:v>
                </c:pt>
                <c:pt idx="10">
                  <c:v>9870</c:v>
                </c:pt>
                <c:pt idx="11">
                  <c:v>31900</c:v>
                </c:pt>
                <c:pt idx="12">
                  <c:v>38460</c:v>
                </c:pt>
                <c:pt idx="13">
                  <c:v>43170</c:v>
                </c:pt>
                <c:pt idx="14">
                  <c:v>53110</c:v>
                </c:pt>
                <c:pt idx="15">
                  <c:v>57170</c:v>
                </c:pt>
                <c:pt idx="16">
                  <c:v>58980</c:v>
                </c:pt>
                <c:pt idx="17">
                  <c:v>59530</c:v>
                </c:pt>
                <c:pt idx="18">
                  <c:v>61050</c:v>
                </c:pt>
                <c:pt idx="19">
                  <c:v>63270</c:v>
                </c:pt>
                <c:pt idx="20">
                  <c:v>65600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48A-F044-899D-01D11A28AA10}"/>
            </c:ext>
          </c:extLst>
        </c:ser>
        <c:ser>
          <c:idx val="9"/>
          <c:order val="9"/>
          <c:tx>
            <c:strRef>
              <c:f>'FDI Stock Analysis'!$Y$131</c:f>
              <c:strCache>
                <c:ptCount val="1"/>
                <c:pt idx="0">
                  <c:v>Tourism</c:v>
                </c:pt>
              </c:strCache>
            </c:strRef>
          </c:tx>
          <c:spPr>
            <a:solidFill>
              <a:srgbClr val="17BECF"/>
            </a:solidFill>
            <a:ln>
              <a:solidFill>
                <a:srgbClr val="17BECF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Analysis'!$Y$132:$Y$152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1550</c:v>
                </c:pt>
                <c:pt idx="4">
                  <c:v>1800</c:v>
                </c:pt>
                <c:pt idx="5">
                  <c:v>1800</c:v>
                </c:pt>
                <c:pt idx="6">
                  <c:v>1800</c:v>
                </c:pt>
                <c:pt idx="7">
                  <c:v>1930</c:v>
                </c:pt>
                <c:pt idx="8">
                  <c:v>5460</c:v>
                </c:pt>
                <c:pt idx="9">
                  <c:v>12070</c:v>
                </c:pt>
                <c:pt idx="10">
                  <c:v>16070</c:v>
                </c:pt>
                <c:pt idx="11">
                  <c:v>38440</c:v>
                </c:pt>
                <c:pt idx="12">
                  <c:v>43240</c:v>
                </c:pt>
                <c:pt idx="13">
                  <c:v>43800</c:v>
                </c:pt>
                <c:pt idx="14">
                  <c:v>45770</c:v>
                </c:pt>
                <c:pt idx="15">
                  <c:v>45950</c:v>
                </c:pt>
                <c:pt idx="16">
                  <c:v>45950</c:v>
                </c:pt>
                <c:pt idx="17">
                  <c:v>45950</c:v>
                </c:pt>
                <c:pt idx="18">
                  <c:v>46070</c:v>
                </c:pt>
                <c:pt idx="19">
                  <c:v>46070</c:v>
                </c:pt>
                <c:pt idx="20">
                  <c:v>48140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48A-F044-899D-01D11A28AA10}"/>
            </c:ext>
          </c:extLst>
        </c:ser>
        <c:ser>
          <c:idx val="10"/>
          <c:order val="10"/>
          <c:tx>
            <c:strRef>
              <c:f>'FDI Stock Analysis'!$Z$131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393B79"/>
            </a:solidFill>
            <a:ln>
              <a:solidFill>
                <a:srgbClr val="393B79"/>
              </a:solidFill>
              <a:prstDash val="solid"/>
            </a:ln>
          </c:spPr>
          <c:cat>
            <c:numRef>
              <c:f>'FDI Stock Analysis'!$O$132:$O$152</c:f>
              <c:numCache>
                <c:formatCode>General</c:formatCode>
                <c:ptCount val="21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  <c:pt idx="19">
                  <c:v>2024</c:v>
                </c:pt>
                <c:pt idx="20">
                  <c:v>2025</c:v>
                </c:pt>
              </c:numCache>
            </c:numRef>
          </c:cat>
          <c:val>
            <c:numRef>
              <c:f>'FDI Stock Analysis'!$Z$132:$Z$152</c:f>
              <c:numCache>
                <c:formatCode>General</c:formatCode>
                <c:ptCount val="21"/>
                <c:pt idx="0">
                  <c:v>180</c:v>
                </c:pt>
                <c:pt idx="1">
                  <c:v>180</c:v>
                </c:pt>
                <c:pt idx="2">
                  <c:v>1030</c:v>
                </c:pt>
                <c:pt idx="3">
                  <c:v>4430</c:v>
                </c:pt>
                <c:pt idx="4">
                  <c:v>4430</c:v>
                </c:pt>
                <c:pt idx="5">
                  <c:v>5250</c:v>
                </c:pt>
                <c:pt idx="6">
                  <c:v>11600</c:v>
                </c:pt>
                <c:pt idx="7">
                  <c:v>14680</c:v>
                </c:pt>
                <c:pt idx="8">
                  <c:v>16690</c:v>
                </c:pt>
                <c:pt idx="9">
                  <c:v>19450</c:v>
                </c:pt>
                <c:pt idx="10">
                  <c:v>28020</c:v>
                </c:pt>
                <c:pt idx="11">
                  <c:v>37480</c:v>
                </c:pt>
                <c:pt idx="12">
                  <c:v>67430</c:v>
                </c:pt>
                <c:pt idx="13">
                  <c:v>76600</c:v>
                </c:pt>
                <c:pt idx="14">
                  <c:v>80980</c:v>
                </c:pt>
                <c:pt idx="15">
                  <c:v>84480</c:v>
                </c:pt>
                <c:pt idx="16">
                  <c:v>91200</c:v>
                </c:pt>
                <c:pt idx="17">
                  <c:v>93550</c:v>
                </c:pt>
                <c:pt idx="18">
                  <c:v>98130</c:v>
                </c:pt>
                <c:pt idx="19">
                  <c:v>102250</c:v>
                </c:pt>
                <c:pt idx="20">
                  <c:v>104840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48A-F044-899D-01D11A28A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Year</a:t>
                </a:r>
              </a:p>
            </c:rich>
          </c:tx>
          <c:overlay val="1"/>
        </c:title>
        <c:numFmt formatCode="0" sourceLinked="0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Share of cumulative stock (%)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99</xdr:row>
      <xdr:rowOff>0</xdr:rowOff>
    </xdr:from>
    <xdr:ext cx="576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99</xdr:row>
      <xdr:rowOff>0</xdr:rowOff>
    </xdr:from>
    <xdr:ext cx="5760000" cy="32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164</xdr:row>
      <xdr:rowOff>0</xdr:rowOff>
    </xdr:from>
    <xdr:ext cx="5760000" cy="324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164</xdr:row>
      <xdr:rowOff>0</xdr:rowOff>
    </xdr:from>
    <xdr:ext cx="576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06"/>
  <sheetViews>
    <sheetView tabSelected="1" zoomScaleNormal="100" zoomScaleSheetLayoutView="50" workbookViewId="0">
      <pane ySplit="6" topLeftCell="A1929" activePane="bottomLeft" state="frozen"/>
      <selection pane="bottomLeft"/>
    </sheetView>
  </sheetViews>
  <sheetFormatPr baseColWidth="10" defaultColWidth="9.1640625" defaultRowHeight="15" x14ac:dyDescent="0.2"/>
  <cols>
    <col min="1" max="1" width="9.1640625" customWidth="1"/>
    <col min="3" max="3" width="11.5" customWidth="1"/>
    <col min="4" max="4" width="59.5" customWidth="1"/>
    <col min="5" max="5" width="13.5" style="65" customWidth="1"/>
    <col min="6" max="6" width="20.83203125" style="33" customWidth="1"/>
    <col min="7" max="7" width="23.5" customWidth="1"/>
    <col min="8" max="8" width="14" bestFit="1" customWidth="1"/>
    <col min="9" max="9" width="16.1640625" customWidth="1"/>
    <col min="10" max="10" width="19.5" customWidth="1"/>
    <col min="11" max="11" width="25.1640625" customWidth="1"/>
    <col min="12" max="12" width="9.1640625" customWidth="1"/>
    <col min="13" max="13" width="11.5" style="28" customWidth="1"/>
  </cols>
  <sheetData>
    <row r="1" spans="1:13" s="1" customFormat="1" ht="12.75" customHeight="1" x14ac:dyDescent="0.15">
      <c r="B1" s="11" t="s">
        <v>157</v>
      </c>
      <c r="E1" s="62"/>
      <c r="F1" s="6"/>
      <c r="M1" s="49"/>
    </row>
    <row r="2" spans="1:13" s="5" customFormat="1" ht="12.75" customHeight="1" x14ac:dyDescent="0.15">
      <c r="B2" s="11" t="s">
        <v>158</v>
      </c>
      <c r="E2" s="63"/>
      <c r="F2" s="7"/>
      <c r="M2" s="50"/>
    </row>
    <row r="3" spans="1:13" s="5" customFormat="1" ht="12.75" customHeight="1" x14ac:dyDescent="0.15">
      <c r="B3" s="51"/>
      <c r="E3" s="63"/>
      <c r="F3" s="7"/>
      <c r="I3" s="9"/>
      <c r="M3" s="50"/>
    </row>
    <row r="4" spans="1:13" s="5" customFormat="1" ht="12.75" customHeight="1" x14ac:dyDescent="0.15">
      <c r="B4" s="11" t="s">
        <v>159</v>
      </c>
      <c r="E4" s="63"/>
      <c r="F4" s="7"/>
      <c r="I4" s="9"/>
      <c r="M4" s="50"/>
    </row>
    <row r="5" spans="1:13" s="5" customFormat="1" ht="12.75" customHeight="1" x14ac:dyDescent="0.15">
      <c r="B5" s="11"/>
      <c r="C5" s="1"/>
      <c r="D5" s="1"/>
      <c r="E5" s="62"/>
      <c r="F5" s="6"/>
      <c r="G5" s="1"/>
      <c r="M5" s="50"/>
    </row>
    <row r="6" spans="1:13" s="5" customFormat="1" ht="30" customHeight="1" x14ac:dyDescent="0.15">
      <c r="B6" s="11" t="s">
        <v>160</v>
      </c>
      <c r="C6" s="1" t="s">
        <v>161</v>
      </c>
      <c r="D6" s="1" t="s">
        <v>162</v>
      </c>
      <c r="E6" s="64" t="s">
        <v>163</v>
      </c>
      <c r="F6" s="32" t="s">
        <v>164</v>
      </c>
      <c r="G6" s="3" t="s">
        <v>165</v>
      </c>
      <c r="H6" s="3" t="s">
        <v>166</v>
      </c>
      <c r="I6" s="3" t="s">
        <v>167</v>
      </c>
      <c r="J6" s="3" t="s">
        <v>168</v>
      </c>
      <c r="K6" s="3" t="s">
        <v>169</v>
      </c>
      <c r="L6" s="1" t="s">
        <v>170</v>
      </c>
      <c r="M6" s="12" t="s">
        <v>171</v>
      </c>
    </row>
    <row r="7" spans="1:13" x14ac:dyDescent="0.2">
      <c r="A7">
        <f t="shared" ref="A7:A70" si="0">ROW()-6</f>
        <v>1</v>
      </c>
      <c r="B7">
        <v>2005</v>
      </c>
      <c r="C7" t="s">
        <v>172</v>
      </c>
      <c r="D7" t="s">
        <v>173</v>
      </c>
      <c r="E7" s="65">
        <v>1740</v>
      </c>
      <c r="G7" t="s">
        <v>174</v>
      </c>
      <c r="H7" t="s">
        <v>152</v>
      </c>
      <c r="J7" t="s">
        <v>131</v>
      </c>
      <c r="K7" t="s">
        <v>131</v>
      </c>
      <c r="L7" s="17"/>
    </row>
    <row r="8" spans="1:13" x14ac:dyDescent="0.2">
      <c r="A8">
        <f t="shared" si="0"/>
        <v>2</v>
      </c>
      <c r="B8">
        <v>2005</v>
      </c>
      <c r="C8" t="s">
        <v>172</v>
      </c>
      <c r="D8" t="s">
        <v>175</v>
      </c>
      <c r="E8" s="65">
        <v>500</v>
      </c>
      <c r="G8" t="s">
        <v>176</v>
      </c>
      <c r="H8" t="s">
        <v>149</v>
      </c>
      <c r="J8" t="s">
        <v>31</v>
      </c>
      <c r="K8" t="s">
        <v>177</v>
      </c>
      <c r="L8" s="17"/>
      <c r="M8" s="28" t="s">
        <v>178</v>
      </c>
    </row>
    <row r="9" spans="1:13" x14ac:dyDescent="0.2">
      <c r="A9">
        <f t="shared" si="0"/>
        <v>3</v>
      </c>
      <c r="B9">
        <v>2005</v>
      </c>
      <c r="C9" t="s">
        <v>179</v>
      </c>
      <c r="D9" t="s">
        <v>180</v>
      </c>
      <c r="E9" s="65">
        <v>670</v>
      </c>
      <c r="F9" s="33">
        <v>0.85</v>
      </c>
      <c r="G9" t="s">
        <v>181</v>
      </c>
      <c r="H9" t="s">
        <v>149</v>
      </c>
      <c r="I9" t="s">
        <v>182</v>
      </c>
      <c r="J9" t="s">
        <v>95</v>
      </c>
      <c r="K9" t="s">
        <v>183</v>
      </c>
      <c r="L9" s="17"/>
      <c r="M9" s="28" t="s">
        <v>178</v>
      </c>
    </row>
    <row r="10" spans="1:13" x14ac:dyDescent="0.2">
      <c r="A10">
        <f t="shared" si="0"/>
        <v>4</v>
      </c>
      <c r="B10">
        <v>2005</v>
      </c>
      <c r="C10" t="s">
        <v>184</v>
      </c>
      <c r="D10" t="s">
        <v>185</v>
      </c>
      <c r="E10" s="65">
        <v>130</v>
      </c>
      <c r="F10" s="33">
        <v>0.17</v>
      </c>
      <c r="G10" t="s">
        <v>186</v>
      </c>
      <c r="H10" t="s">
        <v>144</v>
      </c>
      <c r="I10" t="s">
        <v>187</v>
      </c>
      <c r="J10" t="s">
        <v>25</v>
      </c>
      <c r="K10" t="s">
        <v>177</v>
      </c>
      <c r="L10" s="17"/>
    </row>
    <row r="11" spans="1:13" x14ac:dyDescent="0.2">
      <c r="A11">
        <f t="shared" si="0"/>
        <v>5</v>
      </c>
      <c r="B11">
        <v>2005</v>
      </c>
      <c r="C11" t="s">
        <v>188</v>
      </c>
      <c r="D11" t="s">
        <v>189</v>
      </c>
      <c r="E11" s="65">
        <v>120</v>
      </c>
      <c r="F11" s="33">
        <v>0.4</v>
      </c>
      <c r="G11" t="s">
        <v>190</v>
      </c>
      <c r="H11" t="s">
        <v>144</v>
      </c>
      <c r="I11" t="s">
        <v>187</v>
      </c>
      <c r="J11" t="s">
        <v>25</v>
      </c>
      <c r="K11" t="s">
        <v>177</v>
      </c>
      <c r="L11" s="17"/>
      <c r="M11" s="28" t="s">
        <v>178</v>
      </c>
    </row>
    <row r="12" spans="1:13" x14ac:dyDescent="0.2">
      <c r="A12">
        <f t="shared" si="0"/>
        <v>6</v>
      </c>
      <c r="B12">
        <v>2005</v>
      </c>
      <c r="C12" t="s">
        <v>191</v>
      </c>
      <c r="D12" t="s">
        <v>192</v>
      </c>
      <c r="E12" s="65">
        <v>100</v>
      </c>
      <c r="F12" s="33">
        <v>1</v>
      </c>
      <c r="G12" t="s">
        <v>193</v>
      </c>
      <c r="H12" t="s">
        <v>154</v>
      </c>
      <c r="I12" t="s">
        <v>194</v>
      </c>
      <c r="J12" t="s">
        <v>20</v>
      </c>
      <c r="K12" t="s">
        <v>195</v>
      </c>
      <c r="L12" s="17"/>
    </row>
    <row r="13" spans="1:13" x14ac:dyDescent="0.2">
      <c r="A13">
        <f t="shared" si="0"/>
        <v>7</v>
      </c>
      <c r="B13">
        <v>2005</v>
      </c>
      <c r="C13" t="s">
        <v>191</v>
      </c>
      <c r="D13" t="s">
        <v>196</v>
      </c>
      <c r="E13" s="65">
        <v>280</v>
      </c>
      <c r="H13" t="s">
        <v>144</v>
      </c>
      <c r="I13" t="s">
        <v>197</v>
      </c>
      <c r="J13" t="s">
        <v>23</v>
      </c>
      <c r="K13" t="s">
        <v>183</v>
      </c>
      <c r="L13" s="17"/>
      <c r="M13" s="28" t="s">
        <v>178</v>
      </c>
    </row>
    <row r="14" spans="1:13" x14ac:dyDescent="0.2">
      <c r="A14">
        <f t="shared" si="0"/>
        <v>8</v>
      </c>
      <c r="B14">
        <v>2005</v>
      </c>
      <c r="C14" t="s">
        <v>198</v>
      </c>
      <c r="D14" t="s">
        <v>199</v>
      </c>
      <c r="E14" s="65">
        <v>4200</v>
      </c>
      <c r="F14" s="33">
        <v>0.67</v>
      </c>
      <c r="G14" t="s">
        <v>200</v>
      </c>
      <c r="H14" t="s">
        <v>144</v>
      </c>
      <c r="I14" t="s">
        <v>187</v>
      </c>
      <c r="J14" t="s">
        <v>63</v>
      </c>
      <c r="K14" t="s">
        <v>201</v>
      </c>
      <c r="L14" s="17"/>
    </row>
    <row r="15" spans="1:13" x14ac:dyDescent="0.2">
      <c r="A15">
        <f t="shared" si="0"/>
        <v>9</v>
      </c>
      <c r="B15">
        <v>2005</v>
      </c>
      <c r="C15" t="s">
        <v>202</v>
      </c>
      <c r="D15" t="s">
        <v>203</v>
      </c>
      <c r="E15" s="65">
        <v>1420</v>
      </c>
      <c r="G15" t="s">
        <v>204</v>
      </c>
      <c r="H15" t="s">
        <v>144</v>
      </c>
      <c r="I15" t="s">
        <v>187</v>
      </c>
      <c r="J15" t="s">
        <v>37</v>
      </c>
      <c r="K15" t="s">
        <v>205</v>
      </c>
      <c r="L15" s="17"/>
    </row>
    <row r="16" spans="1:13" x14ac:dyDescent="0.2">
      <c r="A16">
        <f t="shared" si="0"/>
        <v>10</v>
      </c>
      <c r="B16">
        <v>2005</v>
      </c>
      <c r="C16" t="s">
        <v>202</v>
      </c>
      <c r="D16" t="s">
        <v>206</v>
      </c>
      <c r="E16" s="65">
        <v>200</v>
      </c>
      <c r="H16" t="s">
        <v>144</v>
      </c>
      <c r="I16" t="s">
        <v>187</v>
      </c>
      <c r="J16" t="s">
        <v>78</v>
      </c>
      <c r="K16" t="s">
        <v>183</v>
      </c>
      <c r="L16" s="17"/>
      <c r="M16" s="28" t="s">
        <v>178</v>
      </c>
    </row>
    <row r="17" spans="1:13" x14ac:dyDescent="0.2">
      <c r="A17">
        <f t="shared" si="0"/>
        <v>11</v>
      </c>
      <c r="B17">
        <v>2005</v>
      </c>
      <c r="C17" t="s">
        <v>207</v>
      </c>
      <c r="D17" t="s">
        <v>208</v>
      </c>
      <c r="E17" s="65">
        <v>140</v>
      </c>
      <c r="F17" s="33">
        <v>0.5</v>
      </c>
      <c r="G17" t="s">
        <v>209</v>
      </c>
      <c r="H17" t="s">
        <v>149</v>
      </c>
      <c r="I17" t="s">
        <v>182</v>
      </c>
      <c r="J17" t="s">
        <v>9</v>
      </c>
      <c r="K17" t="s">
        <v>9</v>
      </c>
      <c r="L17" s="17"/>
      <c r="M17" s="28" t="s">
        <v>178</v>
      </c>
    </row>
    <row r="18" spans="1:13" x14ac:dyDescent="0.2">
      <c r="A18">
        <f t="shared" si="0"/>
        <v>12</v>
      </c>
      <c r="B18">
        <v>2005</v>
      </c>
      <c r="C18" t="s">
        <v>207</v>
      </c>
      <c r="D18" t="s">
        <v>210</v>
      </c>
      <c r="E18" s="65">
        <v>180</v>
      </c>
      <c r="F18" s="33">
        <v>1</v>
      </c>
      <c r="G18" t="s">
        <v>211</v>
      </c>
      <c r="H18" t="s">
        <v>143</v>
      </c>
      <c r="J18" t="s">
        <v>9</v>
      </c>
      <c r="K18" t="s">
        <v>9</v>
      </c>
      <c r="L18" s="17"/>
    </row>
    <row r="19" spans="1:13" x14ac:dyDescent="0.2">
      <c r="A19">
        <f t="shared" si="0"/>
        <v>13</v>
      </c>
      <c r="B19">
        <v>2005</v>
      </c>
      <c r="C19" t="s">
        <v>212</v>
      </c>
      <c r="D19" t="s">
        <v>199</v>
      </c>
      <c r="E19" s="65">
        <v>290</v>
      </c>
      <c r="F19" s="33">
        <v>0.16</v>
      </c>
      <c r="G19" t="s">
        <v>213</v>
      </c>
      <c r="H19" t="s">
        <v>144</v>
      </c>
      <c r="I19" t="s">
        <v>187</v>
      </c>
      <c r="J19" t="s">
        <v>120</v>
      </c>
      <c r="K19" t="s">
        <v>214</v>
      </c>
      <c r="L19" s="17"/>
    </row>
    <row r="20" spans="1:13" x14ac:dyDescent="0.2">
      <c r="A20">
        <f t="shared" si="0"/>
        <v>14</v>
      </c>
      <c r="B20">
        <v>2005</v>
      </c>
      <c r="C20" t="s">
        <v>212</v>
      </c>
      <c r="D20" t="s">
        <v>215</v>
      </c>
      <c r="E20" s="65">
        <v>150</v>
      </c>
      <c r="F20" s="33">
        <v>0.75</v>
      </c>
      <c r="G20" t="s">
        <v>216</v>
      </c>
      <c r="H20" t="s">
        <v>150</v>
      </c>
      <c r="I20" t="s">
        <v>217</v>
      </c>
      <c r="J20" t="s">
        <v>124</v>
      </c>
      <c r="K20" t="s">
        <v>183</v>
      </c>
      <c r="L20" s="17"/>
      <c r="M20" s="28" t="s">
        <v>178</v>
      </c>
    </row>
    <row r="21" spans="1:13" x14ac:dyDescent="0.2">
      <c r="A21">
        <f t="shared" si="0"/>
        <v>15</v>
      </c>
      <c r="B21">
        <v>2006</v>
      </c>
      <c r="C21" t="s">
        <v>172</v>
      </c>
      <c r="D21" t="s">
        <v>185</v>
      </c>
      <c r="E21" s="65">
        <v>2270</v>
      </c>
      <c r="F21" s="33">
        <v>0.45</v>
      </c>
      <c r="G21" t="s">
        <v>218</v>
      </c>
      <c r="H21" t="s">
        <v>144</v>
      </c>
      <c r="J21" t="s">
        <v>89</v>
      </c>
      <c r="K21" t="s">
        <v>219</v>
      </c>
      <c r="L21" s="17"/>
    </row>
    <row r="22" spans="1:13" x14ac:dyDescent="0.2">
      <c r="A22">
        <f t="shared" si="0"/>
        <v>16</v>
      </c>
      <c r="B22">
        <v>2006</v>
      </c>
      <c r="C22" t="s">
        <v>172</v>
      </c>
      <c r="D22" t="s">
        <v>210</v>
      </c>
      <c r="E22" s="65">
        <v>480</v>
      </c>
      <c r="F22" s="33">
        <v>1</v>
      </c>
      <c r="G22" t="s">
        <v>220</v>
      </c>
      <c r="H22" t="s">
        <v>142</v>
      </c>
      <c r="J22" t="s">
        <v>42</v>
      </c>
      <c r="K22" t="s">
        <v>195</v>
      </c>
      <c r="L22" s="17"/>
    </row>
    <row r="23" spans="1:13" x14ac:dyDescent="0.2">
      <c r="A23">
        <f t="shared" si="0"/>
        <v>17</v>
      </c>
      <c r="B23">
        <v>2006</v>
      </c>
      <c r="C23" t="s">
        <v>172</v>
      </c>
      <c r="D23" t="s">
        <v>199</v>
      </c>
      <c r="E23" s="65">
        <v>480</v>
      </c>
      <c r="F23" s="33">
        <v>1</v>
      </c>
      <c r="H23" t="s">
        <v>144</v>
      </c>
      <c r="I23" t="s">
        <v>187</v>
      </c>
      <c r="J23" t="s">
        <v>26</v>
      </c>
      <c r="K23" t="s">
        <v>219</v>
      </c>
      <c r="L23" s="17"/>
    </row>
    <row r="24" spans="1:13" x14ac:dyDescent="0.2">
      <c r="A24">
        <f t="shared" si="0"/>
        <v>18</v>
      </c>
      <c r="B24">
        <v>2006</v>
      </c>
      <c r="C24" t="s">
        <v>179</v>
      </c>
      <c r="D24" t="s">
        <v>221</v>
      </c>
      <c r="E24" s="65">
        <v>2920</v>
      </c>
      <c r="G24" t="s">
        <v>222</v>
      </c>
      <c r="H24" t="s">
        <v>149</v>
      </c>
      <c r="I24" t="s">
        <v>182</v>
      </c>
      <c r="J24" t="s">
        <v>9</v>
      </c>
      <c r="K24" t="s">
        <v>9</v>
      </c>
      <c r="L24" s="17"/>
      <c r="M24" s="28" t="s">
        <v>178</v>
      </c>
    </row>
    <row r="25" spans="1:13" x14ac:dyDescent="0.2">
      <c r="A25">
        <f t="shared" si="0"/>
        <v>19</v>
      </c>
      <c r="B25">
        <v>2006</v>
      </c>
      <c r="C25" t="s">
        <v>184</v>
      </c>
      <c r="D25" t="s">
        <v>223</v>
      </c>
      <c r="E25" s="65">
        <v>1300</v>
      </c>
      <c r="F25" s="33">
        <v>1</v>
      </c>
      <c r="H25" t="s">
        <v>151</v>
      </c>
      <c r="I25" t="s">
        <v>224</v>
      </c>
      <c r="J25" t="s">
        <v>101</v>
      </c>
      <c r="K25" t="s">
        <v>201</v>
      </c>
      <c r="L25" s="17"/>
      <c r="M25" s="28" t="s">
        <v>178</v>
      </c>
    </row>
    <row r="26" spans="1:13" x14ac:dyDescent="0.2">
      <c r="A26">
        <f t="shared" si="0"/>
        <v>20</v>
      </c>
      <c r="B26">
        <v>2006</v>
      </c>
      <c r="C26" t="s">
        <v>225</v>
      </c>
      <c r="D26" t="s">
        <v>180</v>
      </c>
      <c r="E26" s="65">
        <v>120</v>
      </c>
      <c r="F26" s="33">
        <v>1</v>
      </c>
      <c r="H26" t="s">
        <v>150</v>
      </c>
      <c r="I26" t="s">
        <v>226</v>
      </c>
      <c r="J26" t="s">
        <v>101</v>
      </c>
      <c r="K26" t="s">
        <v>201</v>
      </c>
      <c r="L26" s="17"/>
      <c r="M26" s="28" t="s">
        <v>178</v>
      </c>
    </row>
    <row r="27" spans="1:13" x14ac:dyDescent="0.2">
      <c r="A27">
        <f t="shared" si="0"/>
        <v>21</v>
      </c>
      <c r="B27">
        <v>2006</v>
      </c>
      <c r="C27" t="s">
        <v>225</v>
      </c>
      <c r="D27" t="s">
        <v>189</v>
      </c>
      <c r="E27" s="65">
        <v>740</v>
      </c>
      <c r="F27" s="33">
        <v>0.75</v>
      </c>
      <c r="G27" t="s">
        <v>227</v>
      </c>
      <c r="H27" t="s">
        <v>144</v>
      </c>
      <c r="I27" t="s">
        <v>187</v>
      </c>
      <c r="J27" t="s">
        <v>6</v>
      </c>
      <c r="K27" t="s">
        <v>219</v>
      </c>
      <c r="L27" s="17"/>
      <c r="M27" s="28" t="s">
        <v>178</v>
      </c>
    </row>
    <row r="28" spans="1:13" x14ac:dyDescent="0.2">
      <c r="A28">
        <f t="shared" si="0"/>
        <v>22</v>
      </c>
      <c r="B28">
        <v>2006</v>
      </c>
      <c r="C28" t="s">
        <v>188</v>
      </c>
      <c r="D28" t="s">
        <v>189</v>
      </c>
      <c r="E28" s="65">
        <v>3490</v>
      </c>
      <c r="F28" s="33">
        <v>0.49</v>
      </c>
      <c r="G28" t="s">
        <v>228</v>
      </c>
      <c r="H28" t="s">
        <v>144</v>
      </c>
      <c r="J28" t="s">
        <v>101</v>
      </c>
      <c r="K28" t="s">
        <v>201</v>
      </c>
      <c r="L28" s="17"/>
    </row>
    <row r="29" spans="1:13" x14ac:dyDescent="0.2">
      <c r="A29">
        <f t="shared" si="0"/>
        <v>23</v>
      </c>
      <c r="B29">
        <v>2006</v>
      </c>
      <c r="C29" t="s">
        <v>191</v>
      </c>
      <c r="D29" t="s">
        <v>221</v>
      </c>
      <c r="E29" s="65">
        <v>100</v>
      </c>
      <c r="F29" s="33">
        <v>0.51</v>
      </c>
      <c r="G29" t="s">
        <v>229</v>
      </c>
      <c r="H29" t="s">
        <v>144</v>
      </c>
      <c r="I29" t="s">
        <v>187</v>
      </c>
      <c r="J29" t="s">
        <v>53</v>
      </c>
      <c r="K29" t="s">
        <v>183</v>
      </c>
      <c r="L29" s="17"/>
    </row>
    <row r="30" spans="1:13" x14ac:dyDescent="0.2">
      <c r="A30">
        <f t="shared" si="0"/>
        <v>24</v>
      </c>
      <c r="B30">
        <v>2006</v>
      </c>
      <c r="C30" t="s">
        <v>191</v>
      </c>
      <c r="D30" t="s">
        <v>199</v>
      </c>
      <c r="E30" s="65">
        <v>500</v>
      </c>
      <c r="G30" t="s">
        <v>228</v>
      </c>
      <c r="H30" t="s">
        <v>144</v>
      </c>
      <c r="J30" t="s">
        <v>101</v>
      </c>
      <c r="K30" t="s">
        <v>201</v>
      </c>
      <c r="L30" s="17"/>
    </row>
    <row r="31" spans="1:13" x14ac:dyDescent="0.2">
      <c r="A31">
        <f t="shared" si="0"/>
        <v>25</v>
      </c>
      <c r="B31">
        <v>2006</v>
      </c>
      <c r="C31" t="s">
        <v>198</v>
      </c>
      <c r="D31" t="s">
        <v>230</v>
      </c>
      <c r="E31" s="65">
        <v>110</v>
      </c>
      <c r="F31" s="33">
        <v>0.67</v>
      </c>
      <c r="G31" t="s">
        <v>231</v>
      </c>
      <c r="H31" t="s">
        <v>144</v>
      </c>
      <c r="I31" t="s">
        <v>232</v>
      </c>
      <c r="J31" t="s">
        <v>61</v>
      </c>
      <c r="K31" t="s">
        <v>183</v>
      </c>
      <c r="L31" s="17"/>
    </row>
    <row r="32" spans="1:13" x14ac:dyDescent="0.2">
      <c r="A32">
        <f t="shared" si="0"/>
        <v>26</v>
      </c>
      <c r="B32">
        <v>2006</v>
      </c>
      <c r="C32" t="s">
        <v>202</v>
      </c>
      <c r="D32" t="s">
        <v>189</v>
      </c>
      <c r="E32" s="65">
        <v>430</v>
      </c>
      <c r="F32" s="33">
        <v>0.5</v>
      </c>
      <c r="G32" t="s">
        <v>233</v>
      </c>
      <c r="H32" t="s">
        <v>144</v>
      </c>
      <c r="I32" t="s">
        <v>187</v>
      </c>
      <c r="J32" t="s">
        <v>28</v>
      </c>
      <c r="K32" t="s">
        <v>205</v>
      </c>
      <c r="L32" s="17"/>
    </row>
    <row r="33" spans="1:13" x14ac:dyDescent="0.2">
      <c r="A33">
        <f t="shared" si="0"/>
        <v>27</v>
      </c>
      <c r="B33">
        <v>2006</v>
      </c>
      <c r="C33" t="s">
        <v>207</v>
      </c>
      <c r="D33" t="s">
        <v>234</v>
      </c>
      <c r="E33" s="65">
        <v>110</v>
      </c>
      <c r="F33" s="33">
        <v>0.75</v>
      </c>
      <c r="G33" t="s">
        <v>235</v>
      </c>
      <c r="H33" t="s">
        <v>149</v>
      </c>
      <c r="I33" t="s">
        <v>236</v>
      </c>
      <c r="J33" t="s">
        <v>25</v>
      </c>
      <c r="K33" t="s">
        <v>177</v>
      </c>
      <c r="L33" s="17"/>
      <c r="M33" s="28" t="s">
        <v>178</v>
      </c>
    </row>
    <row r="34" spans="1:13" x14ac:dyDescent="0.2">
      <c r="A34">
        <f t="shared" si="0"/>
        <v>28</v>
      </c>
      <c r="B34">
        <v>2006</v>
      </c>
      <c r="C34" t="s">
        <v>207</v>
      </c>
      <c r="D34" t="s">
        <v>237</v>
      </c>
      <c r="E34" s="65">
        <v>940</v>
      </c>
      <c r="H34" t="s">
        <v>149</v>
      </c>
      <c r="I34" t="s">
        <v>238</v>
      </c>
      <c r="J34" t="s">
        <v>38</v>
      </c>
      <c r="K34" t="s">
        <v>214</v>
      </c>
      <c r="L34" s="17"/>
      <c r="M34" s="28" t="s">
        <v>178</v>
      </c>
    </row>
    <row r="35" spans="1:13" x14ac:dyDescent="0.2">
      <c r="A35">
        <f t="shared" si="0"/>
        <v>29</v>
      </c>
      <c r="B35">
        <v>2006</v>
      </c>
      <c r="C35" t="s">
        <v>207</v>
      </c>
      <c r="D35" t="s">
        <v>221</v>
      </c>
      <c r="E35" s="65">
        <v>1910</v>
      </c>
      <c r="G35" t="s">
        <v>239</v>
      </c>
      <c r="H35" t="s">
        <v>144</v>
      </c>
      <c r="J35" t="s">
        <v>63</v>
      </c>
      <c r="K35" t="s">
        <v>201</v>
      </c>
      <c r="L35" s="17"/>
    </row>
    <row r="36" spans="1:13" x14ac:dyDescent="0.2">
      <c r="A36">
        <f t="shared" si="0"/>
        <v>30</v>
      </c>
      <c r="B36">
        <v>2006</v>
      </c>
      <c r="C36" t="s">
        <v>240</v>
      </c>
      <c r="D36" t="s">
        <v>241</v>
      </c>
      <c r="E36" s="65">
        <v>800</v>
      </c>
      <c r="F36" s="33">
        <v>0.01</v>
      </c>
      <c r="G36" t="s">
        <v>242</v>
      </c>
      <c r="H36" t="s">
        <v>149</v>
      </c>
      <c r="J36" t="s">
        <v>20</v>
      </c>
      <c r="K36" t="s">
        <v>195</v>
      </c>
      <c r="L36" s="17"/>
    </row>
    <row r="37" spans="1:13" x14ac:dyDescent="0.2">
      <c r="A37">
        <f t="shared" si="0"/>
        <v>31</v>
      </c>
      <c r="B37">
        <v>2006</v>
      </c>
      <c r="C37" t="s">
        <v>240</v>
      </c>
      <c r="D37" t="s">
        <v>208</v>
      </c>
      <c r="E37" s="65">
        <v>230</v>
      </c>
      <c r="F37" s="33">
        <v>0.5</v>
      </c>
      <c r="G37" t="s">
        <v>243</v>
      </c>
      <c r="H37" t="s">
        <v>149</v>
      </c>
      <c r="I37" t="s">
        <v>182</v>
      </c>
      <c r="J37" t="s">
        <v>112</v>
      </c>
      <c r="K37" t="s">
        <v>219</v>
      </c>
      <c r="L37" s="17"/>
    </row>
    <row r="38" spans="1:13" x14ac:dyDescent="0.2">
      <c r="A38">
        <f t="shared" si="0"/>
        <v>32</v>
      </c>
      <c r="B38">
        <v>2006</v>
      </c>
      <c r="C38" t="s">
        <v>240</v>
      </c>
      <c r="D38" t="s">
        <v>244</v>
      </c>
      <c r="E38" s="65">
        <v>310</v>
      </c>
      <c r="F38" s="33">
        <v>1</v>
      </c>
      <c r="H38" t="s">
        <v>149</v>
      </c>
      <c r="I38" t="s">
        <v>236</v>
      </c>
      <c r="J38" t="s">
        <v>138</v>
      </c>
      <c r="K38" t="s">
        <v>219</v>
      </c>
      <c r="L38" s="17"/>
      <c r="M38" s="28" t="s">
        <v>178</v>
      </c>
    </row>
    <row r="39" spans="1:13" x14ac:dyDescent="0.2">
      <c r="A39">
        <f t="shared" si="0"/>
        <v>33</v>
      </c>
      <c r="B39">
        <v>2006</v>
      </c>
      <c r="C39" t="s">
        <v>240</v>
      </c>
      <c r="D39" t="s">
        <v>245</v>
      </c>
      <c r="E39" s="65">
        <v>1160</v>
      </c>
      <c r="H39" t="s">
        <v>149</v>
      </c>
      <c r="J39" t="s">
        <v>34</v>
      </c>
      <c r="K39" t="s">
        <v>219</v>
      </c>
      <c r="L39" s="17"/>
    </row>
    <row r="40" spans="1:13" x14ac:dyDescent="0.2">
      <c r="A40">
        <f t="shared" si="0"/>
        <v>34</v>
      </c>
      <c r="B40">
        <v>2006</v>
      </c>
      <c r="C40" t="s">
        <v>240</v>
      </c>
      <c r="D40" t="s">
        <v>246</v>
      </c>
      <c r="E40" s="65">
        <v>140</v>
      </c>
      <c r="F40" s="33">
        <v>0.9</v>
      </c>
      <c r="G40" t="s">
        <v>247</v>
      </c>
      <c r="H40" t="s">
        <v>144</v>
      </c>
      <c r="I40" t="s">
        <v>197</v>
      </c>
      <c r="J40" t="s">
        <v>67</v>
      </c>
      <c r="K40" t="s">
        <v>183</v>
      </c>
      <c r="L40" s="17"/>
      <c r="M40" s="28" t="s">
        <v>178</v>
      </c>
    </row>
    <row r="41" spans="1:13" x14ac:dyDescent="0.2">
      <c r="A41">
        <f t="shared" si="0"/>
        <v>35</v>
      </c>
      <c r="B41">
        <v>2006</v>
      </c>
      <c r="C41" t="s">
        <v>212</v>
      </c>
      <c r="D41" t="s">
        <v>248</v>
      </c>
      <c r="E41" s="65">
        <v>970</v>
      </c>
      <c r="F41" s="33">
        <v>1</v>
      </c>
      <c r="G41" t="s">
        <v>249</v>
      </c>
      <c r="H41" t="s">
        <v>154</v>
      </c>
      <c r="I41" t="s">
        <v>250</v>
      </c>
      <c r="J41" t="s">
        <v>108</v>
      </c>
      <c r="K41" t="s">
        <v>183</v>
      </c>
      <c r="L41" s="17"/>
    </row>
    <row r="42" spans="1:13" x14ac:dyDescent="0.2">
      <c r="A42">
        <f t="shared" si="0"/>
        <v>36</v>
      </c>
      <c r="B42">
        <v>2006</v>
      </c>
      <c r="C42" t="s">
        <v>212</v>
      </c>
      <c r="D42" t="s">
        <v>251</v>
      </c>
      <c r="E42" s="65">
        <v>100</v>
      </c>
      <c r="F42" s="33">
        <v>0.75</v>
      </c>
      <c r="G42" t="s">
        <v>252</v>
      </c>
      <c r="H42" t="s">
        <v>146</v>
      </c>
      <c r="I42" t="s">
        <v>253</v>
      </c>
      <c r="J42" t="s">
        <v>85</v>
      </c>
      <c r="K42" t="s">
        <v>195</v>
      </c>
      <c r="L42" s="17"/>
    </row>
    <row r="43" spans="1:13" x14ac:dyDescent="0.2">
      <c r="A43">
        <f t="shared" si="0"/>
        <v>37</v>
      </c>
      <c r="B43">
        <v>2007</v>
      </c>
      <c r="C43" t="s">
        <v>172</v>
      </c>
      <c r="D43" t="s">
        <v>210</v>
      </c>
      <c r="E43" s="65">
        <v>700</v>
      </c>
      <c r="G43" t="s">
        <v>254</v>
      </c>
      <c r="H43" t="s">
        <v>143</v>
      </c>
      <c r="J43" t="s">
        <v>42</v>
      </c>
      <c r="K43" t="s">
        <v>195</v>
      </c>
      <c r="L43" s="17"/>
    </row>
    <row r="44" spans="1:13" x14ac:dyDescent="0.2">
      <c r="A44">
        <f t="shared" si="0"/>
        <v>38</v>
      </c>
      <c r="B44">
        <v>2007</v>
      </c>
      <c r="C44" t="s">
        <v>172</v>
      </c>
      <c r="D44" s="52" t="s">
        <v>255</v>
      </c>
      <c r="E44" s="65">
        <v>280</v>
      </c>
      <c r="F44" s="33">
        <v>0.89</v>
      </c>
      <c r="G44" t="s">
        <v>256</v>
      </c>
      <c r="H44" t="s">
        <v>152</v>
      </c>
      <c r="I44" t="s">
        <v>257</v>
      </c>
      <c r="J44" t="s">
        <v>93</v>
      </c>
      <c r="K44" t="s">
        <v>201</v>
      </c>
      <c r="L44" s="17"/>
    </row>
    <row r="45" spans="1:13" x14ac:dyDescent="0.2">
      <c r="A45">
        <f t="shared" si="0"/>
        <v>39</v>
      </c>
      <c r="B45">
        <v>2007</v>
      </c>
      <c r="C45" t="s">
        <v>172</v>
      </c>
      <c r="D45" t="s">
        <v>199</v>
      </c>
      <c r="E45" s="65">
        <v>200</v>
      </c>
      <c r="F45" s="33">
        <v>0.5</v>
      </c>
      <c r="G45" t="s">
        <v>204</v>
      </c>
      <c r="H45" t="s">
        <v>144</v>
      </c>
      <c r="I45" t="s">
        <v>187</v>
      </c>
      <c r="J45" t="s">
        <v>26</v>
      </c>
      <c r="K45" t="s">
        <v>219</v>
      </c>
      <c r="L45" s="17"/>
    </row>
    <row r="46" spans="1:13" x14ac:dyDescent="0.2">
      <c r="A46">
        <f t="shared" si="0"/>
        <v>40</v>
      </c>
      <c r="B46">
        <v>2007</v>
      </c>
      <c r="C46" t="s">
        <v>258</v>
      </c>
      <c r="D46" t="s">
        <v>259</v>
      </c>
      <c r="E46" s="65">
        <v>190</v>
      </c>
      <c r="F46" s="33" t="s">
        <v>260</v>
      </c>
      <c r="G46" t="s">
        <v>261</v>
      </c>
      <c r="H46" t="s">
        <v>149</v>
      </c>
      <c r="I46" t="s">
        <v>236</v>
      </c>
      <c r="J46" t="s">
        <v>96</v>
      </c>
      <c r="K46" t="s">
        <v>205</v>
      </c>
      <c r="L46" s="17"/>
    </row>
    <row r="47" spans="1:13" x14ac:dyDescent="0.2">
      <c r="A47">
        <f t="shared" si="0"/>
        <v>41</v>
      </c>
      <c r="B47">
        <v>2007</v>
      </c>
      <c r="C47" t="s">
        <v>258</v>
      </c>
      <c r="D47" t="s">
        <v>189</v>
      </c>
      <c r="E47" s="65">
        <v>100</v>
      </c>
      <c r="G47" t="s">
        <v>262</v>
      </c>
      <c r="H47" t="s">
        <v>144</v>
      </c>
      <c r="J47" t="s">
        <v>131</v>
      </c>
      <c r="K47" t="s">
        <v>131</v>
      </c>
      <c r="L47" s="17"/>
    </row>
    <row r="48" spans="1:13" x14ac:dyDescent="0.2">
      <c r="A48">
        <f t="shared" si="0"/>
        <v>42</v>
      </c>
      <c r="B48">
        <v>2007</v>
      </c>
      <c r="C48" t="s">
        <v>179</v>
      </c>
      <c r="D48" t="s">
        <v>208</v>
      </c>
      <c r="E48" s="65">
        <v>250</v>
      </c>
      <c r="H48" t="s">
        <v>149</v>
      </c>
      <c r="I48" t="s">
        <v>182</v>
      </c>
      <c r="J48" t="s">
        <v>52</v>
      </c>
      <c r="K48" t="s">
        <v>201</v>
      </c>
      <c r="L48" s="17"/>
      <c r="M48" s="28" t="s">
        <v>178</v>
      </c>
    </row>
    <row r="49" spans="1:13" x14ac:dyDescent="0.2">
      <c r="A49">
        <f t="shared" si="0"/>
        <v>43</v>
      </c>
      <c r="B49">
        <v>2007</v>
      </c>
      <c r="C49" t="s">
        <v>225</v>
      </c>
      <c r="D49" t="s">
        <v>263</v>
      </c>
      <c r="E49" s="65">
        <v>3030</v>
      </c>
      <c r="F49" s="33">
        <v>0.09</v>
      </c>
      <c r="G49" t="s">
        <v>264</v>
      </c>
      <c r="H49" t="s">
        <v>146</v>
      </c>
      <c r="I49" t="s">
        <v>253</v>
      </c>
      <c r="J49" t="s">
        <v>131</v>
      </c>
      <c r="K49" t="s">
        <v>131</v>
      </c>
      <c r="L49" s="17"/>
    </row>
    <row r="50" spans="1:13" x14ac:dyDescent="0.2">
      <c r="A50">
        <f t="shared" si="0"/>
        <v>44</v>
      </c>
      <c r="B50">
        <v>2007</v>
      </c>
      <c r="C50" t="s">
        <v>225</v>
      </c>
      <c r="D50" t="s">
        <v>265</v>
      </c>
      <c r="E50" s="65">
        <v>130</v>
      </c>
      <c r="H50" t="s">
        <v>154</v>
      </c>
      <c r="I50" t="s">
        <v>250</v>
      </c>
      <c r="J50" t="s">
        <v>45</v>
      </c>
      <c r="K50" t="s">
        <v>195</v>
      </c>
      <c r="L50" s="17"/>
    </row>
    <row r="51" spans="1:13" x14ac:dyDescent="0.2">
      <c r="A51">
        <f t="shared" si="0"/>
        <v>45</v>
      </c>
      <c r="B51">
        <v>2007</v>
      </c>
      <c r="C51" t="s">
        <v>225</v>
      </c>
      <c r="D51" s="52" t="s">
        <v>255</v>
      </c>
      <c r="E51" s="65">
        <v>180</v>
      </c>
      <c r="F51" s="33">
        <v>0.11</v>
      </c>
      <c r="G51" t="s">
        <v>266</v>
      </c>
      <c r="H51" t="s">
        <v>152</v>
      </c>
      <c r="I51" t="s">
        <v>257</v>
      </c>
      <c r="J51" t="s">
        <v>93</v>
      </c>
      <c r="K51" t="s">
        <v>201</v>
      </c>
      <c r="L51" s="17"/>
    </row>
    <row r="52" spans="1:13" x14ac:dyDescent="0.2">
      <c r="A52">
        <f t="shared" si="0"/>
        <v>46</v>
      </c>
      <c r="B52">
        <v>2007</v>
      </c>
      <c r="C52" t="s">
        <v>188</v>
      </c>
      <c r="D52" t="s">
        <v>267</v>
      </c>
      <c r="E52" s="65">
        <v>790</v>
      </c>
      <c r="F52" s="33">
        <v>1</v>
      </c>
      <c r="G52" t="s">
        <v>268</v>
      </c>
      <c r="H52" t="s">
        <v>149</v>
      </c>
      <c r="I52" t="s">
        <v>236</v>
      </c>
      <c r="J52" t="s">
        <v>96</v>
      </c>
      <c r="K52" t="s">
        <v>205</v>
      </c>
      <c r="L52" s="17"/>
    </row>
    <row r="53" spans="1:13" x14ac:dyDescent="0.2">
      <c r="A53">
        <f t="shared" si="0"/>
        <v>47</v>
      </c>
      <c r="B53">
        <v>2007</v>
      </c>
      <c r="C53" t="s">
        <v>188</v>
      </c>
      <c r="D53" t="s">
        <v>269</v>
      </c>
      <c r="E53" s="65">
        <v>140</v>
      </c>
      <c r="F53" s="33">
        <v>0.8</v>
      </c>
      <c r="G53" t="s">
        <v>270</v>
      </c>
      <c r="H53" t="s">
        <v>154</v>
      </c>
      <c r="I53" t="s">
        <v>271</v>
      </c>
      <c r="J53" t="s">
        <v>85</v>
      </c>
      <c r="K53" t="s">
        <v>195</v>
      </c>
      <c r="L53" s="17"/>
    </row>
    <row r="54" spans="1:13" x14ac:dyDescent="0.2">
      <c r="A54">
        <f t="shared" si="0"/>
        <v>48</v>
      </c>
      <c r="B54">
        <v>2007</v>
      </c>
      <c r="C54" t="s">
        <v>188</v>
      </c>
      <c r="D54" t="s">
        <v>196</v>
      </c>
      <c r="E54" s="65">
        <v>200</v>
      </c>
      <c r="H54" t="s">
        <v>144</v>
      </c>
      <c r="I54" t="s">
        <v>197</v>
      </c>
      <c r="J54" t="s">
        <v>67</v>
      </c>
      <c r="K54" t="s">
        <v>183</v>
      </c>
      <c r="L54" s="17"/>
      <c r="M54" s="28" t="s">
        <v>178</v>
      </c>
    </row>
    <row r="55" spans="1:13" x14ac:dyDescent="0.2">
      <c r="A55">
        <f t="shared" si="0"/>
        <v>49</v>
      </c>
      <c r="B55">
        <v>2007</v>
      </c>
      <c r="C55" t="s">
        <v>191</v>
      </c>
      <c r="D55" t="s">
        <v>221</v>
      </c>
      <c r="E55" s="65">
        <v>100</v>
      </c>
      <c r="F55" s="33">
        <v>0.08</v>
      </c>
      <c r="G55" t="s">
        <v>272</v>
      </c>
      <c r="H55" t="s">
        <v>144</v>
      </c>
      <c r="I55" t="s">
        <v>273</v>
      </c>
      <c r="J55" t="s">
        <v>9</v>
      </c>
      <c r="K55" t="s">
        <v>9</v>
      </c>
      <c r="L55" s="17"/>
    </row>
    <row r="56" spans="1:13" x14ac:dyDescent="0.2">
      <c r="A56">
        <f t="shared" si="0"/>
        <v>50</v>
      </c>
      <c r="B56">
        <v>2007</v>
      </c>
      <c r="C56" t="s">
        <v>191</v>
      </c>
      <c r="D56" t="s">
        <v>241</v>
      </c>
      <c r="E56" s="65">
        <v>3040</v>
      </c>
      <c r="F56" s="33">
        <v>3.1E-2</v>
      </c>
      <c r="G56" t="s">
        <v>274</v>
      </c>
      <c r="H56" t="s">
        <v>146</v>
      </c>
      <c r="I56" t="s">
        <v>275</v>
      </c>
      <c r="J56" t="s">
        <v>20</v>
      </c>
      <c r="K56" t="s">
        <v>195</v>
      </c>
      <c r="L56" s="17"/>
    </row>
    <row r="57" spans="1:13" x14ac:dyDescent="0.2">
      <c r="A57">
        <f t="shared" si="0"/>
        <v>51</v>
      </c>
      <c r="B57">
        <v>2007</v>
      </c>
      <c r="C57" t="s">
        <v>191</v>
      </c>
      <c r="D57" t="s">
        <v>276</v>
      </c>
      <c r="E57" s="65">
        <v>100</v>
      </c>
      <c r="F57" s="33">
        <v>1</v>
      </c>
      <c r="H57" t="s">
        <v>149</v>
      </c>
      <c r="I57" t="s">
        <v>236</v>
      </c>
      <c r="J57" t="s">
        <v>77</v>
      </c>
      <c r="K57" t="s">
        <v>177</v>
      </c>
      <c r="L57" s="17"/>
      <c r="M57" s="28" t="s">
        <v>178</v>
      </c>
    </row>
    <row r="58" spans="1:13" x14ac:dyDescent="0.2">
      <c r="A58">
        <f t="shared" si="0"/>
        <v>52</v>
      </c>
      <c r="B58">
        <v>2007</v>
      </c>
      <c r="C58" t="s">
        <v>191</v>
      </c>
      <c r="D58" t="s">
        <v>277</v>
      </c>
      <c r="E58" s="65">
        <v>220</v>
      </c>
      <c r="H58" t="s">
        <v>144</v>
      </c>
      <c r="I58" t="s">
        <v>197</v>
      </c>
      <c r="J58" t="s">
        <v>82</v>
      </c>
      <c r="K58" t="s">
        <v>183</v>
      </c>
      <c r="L58" s="17"/>
      <c r="M58" s="28" t="s">
        <v>178</v>
      </c>
    </row>
    <row r="59" spans="1:13" x14ac:dyDescent="0.2">
      <c r="A59">
        <f t="shared" si="0"/>
        <v>53</v>
      </c>
      <c r="B59">
        <v>2007</v>
      </c>
      <c r="C59" t="s">
        <v>202</v>
      </c>
      <c r="D59" t="s">
        <v>278</v>
      </c>
      <c r="E59" s="65">
        <v>150</v>
      </c>
      <c r="H59" t="s">
        <v>151</v>
      </c>
      <c r="I59" t="s">
        <v>279</v>
      </c>
      <c r="J59" t="s">
        <v>131</v>
      </c>
      <c r="K59" t="s">
        <v>131</v>
      </c>
      <c r="L59" s="17"/>
      <c r="M59" s="28" t="s">
        <v>178</v>
      </c>
    </row>
    <row r="60" spans="1:13" x14ac:dyDescent="0.2">
      <c r="A60">
        <f t="shared" si="0"/>
        <v>54</v>
      </c>
      <c r="B60">
        <v>2007</v>
      </c>
      <c r="C60" t="s">
        <v>202</v>
      </c>
      <c r="D60" t="s">
        <v>280</v>
      </c>
      <c r="E60" s="65">
        <v>330</v>
      </c>
      <c r="F60" s="33">
        <v>0.5</v>
      </c>
      <c r="G60" t="s">
        <v>281</v>
      </c>
      <c r="H60" t="s">
        <v>149</v>
      </c>
      <c r="I60" t="s">
        <v>182</v>
      </c>
      <c r="J60" t="s">
        <v>9</v>
      </c>
      <c r="K60" t="s">
        <v>9</v>
      </c>
      <c r="L60" s="17"/>
    </row>
    <row r="61" spans="1:13" x14ac:dyDescent="0.2">
      <c r="A61">
        <f t="shared" si="0"/>
        <v>55</v>
      </c>
      <c r="B61">
        <v>2007</v>
      </c>
      <c r="C61" t="s">
        <v>207</v>
      </c>
      <c r="D61" t="s">
        <v>269</v>
      </c>
      <c r="E61" s="65">
        <v>150</v>
      </c>
      <c r="F61" s="33">
        <v>0.2</v>
      </c>
      <c r="G61" t="s">
        <v>282</v>
      </c>
      <c r="H61" t="s">
        <v>148</v>
      </c>
      <c r="J61" t="s">
        <v>38</v>
      </c>
      <c r="K61" t="s">
        <v>214</v>
      </c>
      <c r="L61" s="17"/>
    </row>
    <row r="62" spans="1:13" x14ac:dyDescent="0.2">
      <c r="A62">
        <f t="shared" si="0"/>
        <v>56</v>
      </c>
      <c r="B62">
        <v>2007</v>
      </c>
      <c r="C62" t="s">
        <v>207</v>
      </c>
      <c r="D62" t="s">
        <v>283</v>
      </c>
      <c r="E62" s="65">
        <v>5600</v>
      </c>
      <c r="F62" s="33">
        <v>0.2</v>
      </c>
      <c r="G62" t="s">
        <v>284</v>
      </c>
      <c r="H62" t="s">
        <v>146</v>
      </c>
      <c r="I62" t="s">
        <v>275</v>
      </c>
      <c r="J62" t="s">
        <v>112</v>
      </c>
      <c r="K62" t="s">
        <v>219</v>
      </c>
      <c r="L62" s="17"/>
    </row>
    <row r="63" spans="1:13" x14ac:dyDescent="0.2">
      <c r="A63">
        <f t="shared" si="0"/>
        <v>57</v>
      </c>
      <c r="B63">
        <v>2007</v>
      </c>
      <c r="C63" t="s">
        <v>207</v>
      </c>
      <c r="D63" t="s">
        <v>285</v>
      </c>
      <c r="E63" s="65">
        <v>170</v>
      </c>
      <c r="H63" t="s">
        <v>144</v>
      </c>
      <c r="I63" t="s">
        <v>197</v>
      </c>
      <c r="J63" t="s">
        <v>67</v>
      </c>
      <c r="K63" t="s">
        <v>183</v>
      </c>
      <c r="L63" s="17"/>
      <c r="M63" s="28" t="s">
        <v>178</v>
      </c>
    </row>
    <row r="64" spans="1:13" x14ac:dyDescent="0.2">
      <c r="A64">
        <f t="shared" si="0"/>
        <v>58</v>
      </c>
      <c r="B64">
        <v>2007</v>
      </c>
      <c r="C64" t="s">
        <v>240</v>
      </c>
      <c r="D64" t="s">
        <v>286</v>
      </c>
      <c r="E64" s="65">
        <v>2790</v>
      </c>
      <c r="F64" s="33">
        <v>4.2000000000000003E-2</v>
      </c>
      <c r="G64" t="s">
        <v>287</v>
      </c>
      <c r="H64" t="s">
        <v>146</v>
      </c>
      <c r="J64" t="s">
        <v>15</v>
      </c>
      <c r="K64" t="s">
        <v>195</v>
      </c>
      <c r="L64" s="17"/>
    </row>
    <row r="65" spans="1:13" x14ac:dyDescent="0.2">
      <c r="A65">
        <f t="shared" si="0"/>
        <v>59</v>
      </c>
      <c r="B65">
        <v>2007</v>
      </c>
      <c r="C65" t="s">
        <v>240</v>
      </c>
      <c r="D65" t="s">
        <v>267</v>
      </c>
      <c r="E65" s="65">
        <v>1200</v>
      </c>
      <c r="F65" s="33">
        <v>0.4</v>
      </c>
      <c r="G65" t="s">
        <v>288</v>
      </c>
      <c r="H65" t="s">
        <v>149</v>
      </c>
      <c r="I65" t="s">
        <v>238</v>
      </c>
      <c r="J65" t="s">
        <v>105</v>
      </c>
      <c r="K65" t="s">
        <v>214</v>
      </c>
      <c r="L65" s="17"/>
      <c r="M65" s="28" t="s">
        <v>178</v>
      </c>
    </row>
    <row r="66" spans="1:13" x14ac:dyDescent="0.2">
      <c r="A66">
        <f t="shared" si="0"/>
        <v>60</v>
      </c>
      <c r="B66">
        <v>2007</v>
      </c>
      <c r="C66" t="s">
        <v>240</v>
      </c>
      <c r="D66" t="s">
        <v>289</v>
      </c>
      <c r="E66" s="65">
        <v>2520</v>
      </c>
      <c r="H66" t="s">
        <v>149</v>
      </c>
      <c r="I66" t="s">
        <v>236</v>
      </c>
      <c r="J66" t="s">
        <v>4</v>
      </c>
      <c r="K66" t="s">
        <v>201</v>
      </c>
      <c r="L66" s="17"/>
      <c r="M66" s="28" t="s">
        <v>178</v>
      </c>
    </row>
    <row r="67" spans="1:13" x14ac:dyDescent="0.2">
      <c r="A67">
        <f t="shared" si="0"/>
        <v>61</v>
      </c>
      <c r="B67">
        <v>2007</v>
      </c>
      <c r="C67" t="s">
        <v>240</v>
      </c>
      <c r="D67" t="s">
        <v>290</v>
      </c>
      <c r="E67" s="65">
        <v>120</v>
      </c>
      <c r="F67" s="33">
        <v>1</v>
      </c>
      <c r="G67" t="s">
        <v>291</v>
      </c>
      <c r="H67" t="s">
        <v>150</v>
      </c>
      <c r="I67" t="s">
        <v>292</v>
      </c>
      <c r="J67" t="s">
        <v>131</v>
      </c>
      <c r="K67" t="s">
        <v>131</v>
      </c>
      <c r="L67" s="17"/>
    </row>
    <row r="68" spans="1:13" x14ac:dyDescent="0.2">
      <c r="A68">
        <f t="shared" si="0"/>
        <v>62</v>
      </c>
      <c r="B68">
        <v>2007</v>
      </c>
      <c r="C68" t="s">
        <v>212</v>
      </c>
      <c r="D68" t="s">
        <v>263</v>
      </c>
      <c r="E68" s="65">
        <v>5000</v>
      </c>
      <c r="F68" s="33">
        <v>9.9000000000000005E-2</v>
      </c>
      <c r="G68" t="s">
        <v>293</v>
      </c>
      <c r="H68" t="s">
        <v>146</v>
      </c>
      <c r="I68" t="s">
        <v>253</v>
      </c>
      <c r="J68" t="s">
        <v>131</v>
      </c>
      <c r="K68" t="s">
        <v>131</v>
      </c>
      <c r="L68" s="17"/>
    </row>
    <row r="69" spans="1:13" x14ac:dyDescent="0.2">
      <c r="A69">
        <f t="shared" si="0"/>
        <v>63</v>
      </c>
      <c r="B69">
        <v>2007</v>
      </c>
      <c r="C69" t="s">
        <v>212</v>
      </c>
      <c r="D69" t="s">
        <v>294</v>
      </c>
      <c r="E69" s="65">
        <v>450</v>
      </c>
      <c r="F69" s="33">
        <v>1</v>
      </c>
      <c r="G69" t="s">
        <v>295</v>
      </c>
      <c r="H69" t="s">
        <v>149</v>
      </c>
      <c r="I69" t="s">
        <v>236</v>
      </c>
      <c r="J69" t="s">
        <v>96</v>
      </c>
      <c r="K69" t="s">
        <v>205</v>
      </c>
      <c r="L69" s="17"/>
    </row>
    <row r="70" spans="1:13" x14ac:dyDescent="0.2">
      <c r="A70">
        <f t="shared" si="0"/>
        <v>64</v>
      </c>
      <c r="B70">
        <v>2007</v>
      </c>
      <c r="C70" t="s">
        <v>212</v>
      </c>
      <c r="D70" t="s">
        <v>208</v>
      </c>
      <c r="E70" s="65">
        <v>100</v>
      </c>
      <c r="F70" s="33">
        <v>0.67</v>
      </c>
      <c r="G70" t="s">
        <v>296</v>
      </c>
      <c r="H70" t="s">
        <v>149</v>
      </c>
      <c r="I70" t="s">
        <v>182</v>
      </c>
      <c r="J70" t="s">
        <v>139</v>
      </c>
      <c r="K70" t="s">
        <v>219</v>
      </c>
      <c r="L70" s="17"/>
    </row>
    <row r="71" spans="1:13" x14ac:dyDescent="0.2">
      <c r="A71">
        <f t="shared" ref="A71:A134" si="1">ROW()-6</f>
        <v>65</v>
      </c>
      <c r="B71">
        <v>2007</v>
      </c>
      <c r="C71" t="s">
        <v>212</v>
      </c>
      <c r="D71" t="s">
        <v>189</v>
      </c>
      <c r="E71" s="65">
        <v>2010</v>
      </c>
      <c r="F71" s="33">
        <v>0.51</v>
      </c>
      <c r="G71" t="s">
        <v>297</v>
      </c>
      <c r="H71" t="s">
        <v>144</v>
      </c>
      <c r="I71" t="s">
        <v>187</v>
      </c>
      <c r="J71" t="s">
        <v>54</v>
      </c>
      <c r="K71" t="s">
        <v>201</v>
      </c>
      <c r="L71" s="17"/>
      <c r="M71" s="28" t="s">
        <v>178</v>
      </c>
    </row>
    <row r="72" spans="1:13" x14ac:dyDescent="0.2">
      <c r="A72">
        <f t="shared" si="1"/>
        <v>66</v>
      </c>
      <c r="B72">
        <v>2007</v>
      </c>
      <c r="C72" t="s">
        <v>212</v>
      </c>
      <c r="D72" t="s">
        <v>298</v>
      </c>
      <c r="E72" s="65">
        <v>200</v>
      </c>
      <c r="H72" t="s">
        <v>144</v>
      </c>
      <c r="I72" t="s">
        <v>299</v>
      </c>
      <c r="J72" t="s">
        <v>46</v>
      </c>
      <c r="K72" t="s">
        <v>219</v>
      </c>
      <c r="L72" s="17"/>
      <c r="M72" s="28" t="s">
        <v>178</v>
      </c>
    </row>
    <row r="73" spans="1:13" x14ac:dyDescent="0.2">
      <c r="A73">
        <f t="shared" si="1"/>
        <v>67</v>
      </c>
      <c r="B73">
        <v>2008</v>
      </c>
      <c r="C73" t="s">
        <v>172</v>
      </c>
      <c r="D73" t="s">
        <v>300</v>
      </c>
      <c r="E73" s="65">
        <v>180</v>
      </c>
      <c r="F73" s="33" t="s">
        <v>301</v>
      </c>
      <c r="G73" t="s">
        <v>302</v>
      </c>
      <c r="H73" t="s">
        <v>146</v>
      </c>
      <c r="I73" t="s">
        <v>275</v>
      </c>
      <c r="J73" t="s">
        <v>9</v>
      </c>
      <c r="K73" t="s">
        <v>9</v>
      </c>
      <c r="L73" s="17"/>
    </row>
    <row r="74" spans="1:13" x14ac:dyDescent="0.2">
      <c r="A74">
        <f t="shared" si="1"/>
        <v>68</v>
      </c>
      <c r="B74">
        <v>2008</v>
      </c>
      <c r="C74" t="s">
        <v>172</v>
      </c>
      <c r="D74" t="s">
        <v>303</v>
      </c>
      <c r="E74" s="65">
        <v>160</v>
      </c>
      <c r="F74" s="33">
        <v>1</v>
      </c>
      <c r="G74" t="s">
        <v>304</v>
      </c>
      <c r="H74" t="s">
        <v>147</v>
      </c>
      <c r="J74" t="s">
        <v>131</v>
      </c>
      <c r="K74" t="s">
        <v>131</v>
      </c>
      <c r="L74" s="17"/>
    </row>
    <row r="75" spans="1:13" x14ac:dyDescent="0.2">
      <c r="A75">
        <f t="shared" si="1"/>
        <v>69</v>
      </c>
      <c r="B75">
        <v>2008</v>
      </c>
      <c r="C75" t="s">
        <v>172</v>
      </c>
      <c r="D75" t="s">
        <v>305</v>
      </c>
      <c r="E75" s="65">
        <v>210</v>
      </c>
      <c r="G75" t="s">
        <v>306</v>
      </c>
      <c r="H75" t="s">
        <v>149</v>
      </c>
      <c r="J75" t="s">
        <v>77</v>
      </c>
      <c r="K75" t="s">
        <v>177</v>
      </c>
      <c r="L75" s="17"/>
    </row>
    <row r="76" spans="1:13" x14ac:dyDescent="0.2">
      <c r="A76">
        <f t="shared" si="1"/>
        <v>70</v>
      </c>
      <c r="B76">
        <v>2008</v>
      </c>
      <c r="C76" t="s">
        <v>172</v>
      </c>
      <c r="D76" t="s">
        <v>307</v>
      </c>
      <c r="E76" s="65">
        <v>1580</v>
      </c>
      <c r="F76" s="33">
        <v>0.4</v>
      </c>
      <c r="G76" t="s">
        <v>308</v>
      </c>
      <c r="H76" t="s">
        <v>144</v>
      </c>
      <c r="J76" t="s">
        <v>97</v>
      </c>
      <c r="K76" t="s">
        <v>183</v>
      </c>
      <c r="L76" s="17"/>
    </row>
    <row r="77" spans="1:13" x14ac:dyDescent="0.2">
      <c r="A77">
        <f t="shared" si="1"/>
        <v>71</v>
      </c>
      <c r="B77">
        <v>2008</v>
      </c>
      <c r="C77" t="s">
        <v>258</v>
      </c>
      <c r="D77" t="s">
        <v>309</v>
      </c>
      <c r="E77" s="65">
        <v>1200</v>
      </c>
      <c r="F77" s="33" t="s">
        <v>310</v>
      </c>
      <c r="G77" t="s">
        <v>311</v>
      </c>
      <c r="H77" t="s">
        <v>149</v>
      </c>
      <c r="I77" t="s">
        <v>182</v>
      </c>
      <c r="J77" t="s">
        <v>52</v>
      </c>
      <c r="K77" t="s">
        <v>201</v>
      </c>
      <c r="L77" s="17"/>
      <c r="M77" s="28" t="s">
        <v>178</v>
      </c>
    </row>
    <row r="78" spans="1:13" x14ac:dyDescent="0.2">
      <c r="A78">
        <f t="shared" si="1"/>
        <v>72</v>
      </c>
      <c r="B78">
        <v>2008</v>
      </c>
      <c r="C78" t="s">
        <v>258</v>
      </c>
      <c r="D78" t="s">
        <v>180</v>
      </c>
      <c r="E78" s="65">
        <v>370</v>
      </c>
      <c r="F78" s="33">
        <v>1</v>
      </c>
      <c r="G78" t="s">
        <v>312</v>
      </c>
      <c r="H78" t="s">
        <v>149</v>
      </c>
      <c r="I78" t="s">
        <v>182</v>
      </c>
      <c r="J78" t="s">
        <v>9</v>
      </c>
      <c r="K78" t="s">
        <v>9</v>
      </c>
      <c r="L78" s="17"/>
      <c r="M78" s="28" t="s">
        <v>178</v>
      </c>
    </row>
    <row r="79" spans="1:13" x14ac:dyDescent="0.2">
      <c r="A79">
        <f t="shared" si="1"/>
        <v>73</v>
      </c>
      <c r="B79">
        <v>2008</v>
      </c>
      <c r="C79" t="s">
        <v>258</v>
      </c>
      <c r="D79" t="s">
        <v>313</v>
      </c>
      <c r="E79" s="65">
        <v>470</v>
      </c>
      <c r="F79" s="33">
        <v>0.16800000000000001</v>
      </c>
      <c r="G79" t="s">
        <v>314</v>
      </c>
      <c r="H79" t="s">
        <v>144</v>
      </c>
      <c r="I79" t="s">
        <v>187</v>
      </c>
      <c r="J79" t="s">
        <v>137</v>
      </c>
      <c r="K79" t="s">
        <v>214</v>
      </c>
      <c r="L79" s="17"/>
    </row>
    <row r="80" spans="1:13" x14ac:dyDescent="0.2">
      <c r="A80">
        <f t="shared" si="1"/>
        <v>74</v>
      </c>
      <c r="B80">
        <v>2008</v>
      </c>
      <c r="C80" t="s">
        <v>258</v>
      </c>
      <c r="D80" t="s">
        <v>267</v>
      </c>
      <c r="E80" s="65">
        <v>12800</v>
      </c>
      <c r="F80" s="33">
        <v>0.11</v>
      </c>
      <c r="G80" t="s">
        <v>315</v>
      </c>
      <c r="H80" t="s">
        <v>149</v>
      </c>
      <c r="I80" t="s">
        <v>238</v>
      </c>
      <c r="J80" t="s">
        <v>9</v>
      </c>
      <c r="K80" t="s">
        <v>9</v>
      </c>
      <c r="L80" s="17"/>
    </row>
    <row r="81" spans="1:13" x14ac:dyDescent="0.2">
      <c r="A81">
        <f t="shared" si="1"/>
        <v>75</v>
      </c>
      <c r="B81">
        <v>2008</v>
      </c>
      <c r="C81" t="s">
        <v>179</v>
      </c>
      <c r="D81" t="s">
        <v>189</v>
      </c>
      <c r="E81" s="65">
        <v>560</v>
      </c>
      <c r="F81" s="33">
        <v>0.6</v>
      </c>
      <c r="G81" t="s">
        <v>316</v>
      </c>
      <c r="H81" t="s">
        <v>144</v>
      </c>
      <c r="I81" t="s">
        <v>187</v>
      </c>
      <c r="J81" t="s">
        <v>9</v>
      </c>
      <c r="K81" t="s">
        <v>9</v>
      </c>
      <c r="L81" s="17"/>
    </row>
    <row r="82" spans="1:13" x14ac:dyDescent="0.2">
      <c r="A82">
        <f t="shared" si="1"/>
        <v>76</v>
      </c>
      <c r="B82">
        <v>2008</v>
      </c>
      <c r="C82" t="s">
        <v>179</v>
      </c>
      <c r="D82" t="s">
        <v>317</v>
      </c>
      <c r="E82" s="65">
        <v>3040</v>
      </c>
      <c r="F82" s="33">
        <v>1</v>
      </c>
      <c r="G82" t="s">
        <v>318</v>
      </c>
      <c r="H82" t="s">
        <v>155</v>
      </c>
      <c r="J82" t="s">
        <v>108</v>
      </c>
      <c r="K82" t="s">
        <v>183</v>
      </c>
      <c r="L82" s="17"/>
    </row>
    <row r="83" spans="1:13" x14ac:dyDescent="0.2">
      <c r="A83">
        <f t="shared" si="1"/>
        <v>77</v>
      </c>
      <c r="B83">
        <v>2008</v>
      </c>
      <c r="C83" t="s">
        <v>179</v>
      </c>
      <c r="D83" t="s">
        <v>319</v>
      </c>
      <c r="E83" s="65">
        <v>260</v>
      </c>
      <c r="F83" s="33">
        <v>0.01</v>
      </c>
      <c r="G83" t="s">
        <v>320</v>
      </c>
      <c r="H83" t="s">
        <v>146</v>
      </c>
      <c r="J83" t="s">
        <v>131</v>
      </c>
      <c r="K83" t="s">
        <v>131</v>
      </c>
      <c r="L83" s="17"/>
    </row>
    <row r="84" spans="1:13" x14ac:dyDescent="0.2">
      <c r="A84">
        <f t="shared" si="1"/>
        <v>78</v>
      </c>
      <c r="B84">
        <v>2008</v>
      </c>
      <c r="C84" t="s">
        <v>179</v>
      </c>
      <c r="D84" t="s">
        <v>263</v>
      </c>
      <c r="E84" s="65">
        <v>100</v>
      </c>
      <c r="G84" t="s">
        <v>320</v>
      </c>
      <c r="H84" t="s">
        <v>146</v>
      </c>
      <c r="J84" t="s">
        <v>131</v>
      </c>
      <c r="K84" t="s">
        <v>131</v>
      </c>
      <c r="L84" s="17"/>
    </row>
    <row r="85" spans="1:13" x14ac:dyDescent="0.2">
      <c r="A85">
        <f t="shared" si="1"/>
        <v>79</v>
      </c>
      <c r="B85">
        <v>2008</v>
      </c>
      <c r="C85" t="s">
        <v>179</v>
      </c>
      <c r="D85" t="s">
        <v>321</v>
      </c>
      <c r="E85" s="65">
        <v>200</v>
      </c>
      <c r="G85" t="s">
        <v>322</v>
      </c>
      <c r="H85" t="s">
        <v>147</v>
      </c>
      <c r="J85" t="s">
        <v>131</v>
      </c>
      <c r="K85" t="s">
        <v>131</v>
      </c>
      <c r="L85" s="17"/>
    </row>
    <row r="86" spans="1:13" x14ac:dyDescent="0.2">
      <c r="A86">
        <f t="shared" si="1"/>
        <v>80</v>
      </c>
      <c r="B86">
        <v>2008</v>
      </c>
      <c r="C86" t="s">
        <v>184</v>
      </c>
      <c r="D86" t="s">
        <v>185</v>
      </c>
      <c r="E86" s="65">
        <v>130</v>
      </c>
      <c r="F86" s="33">
        <v>0.5</v>
      </c>
      <c r="G86" t="s">
        <v>323</v>
      </c>
      <c r="H86" t="s">
        <v>144</v>
      </c>
      <c r="I86" t="s">
        <v>299</v>
      </c>
      <c r="J86" t="s">
        <v>53</v>
      </c>
      <c r="K86" t="s">
        <v>183</v>
      </c>
      <c r="L86" s="17"/>
      <c r="M86" s="28" t="s">
        <v>178</v>
      </c>
    </row>
    <row r="87" spans="1:13" x14ac:dyDescent="0.2">
      <c r="A87">
        <f t="shared" si="1"/>
        <v>81</v>
      </c>
      <c r="B87">
        <v>2008</v>
      </c>
      <c r="C87" t="s">
        <v>184</v>
      </c>
      <c r="D87" t="s">
        <v>263</v>
      </c>
      <c r="E87" s="65">
        <v>1400</v>
      </c>
      <c r="F87" s="33">
        <v>0.8</v>
      </c>
      <c r="G87" t="s">
        <v>324</v>
      </c>
      <c r="H87" t="s">
        <v>146</v>
      </c>
      <c r="I87" t="s">
        <v>253</v>
      </c>
      <c r="J87" t="s">
        <v>131</v>
      </c>
      <c r="K87" t="s">
        <v>131</v>
      </c>
      <c r="L87" s="17"/>
    </row>
    <row r="88" spans="1:13" x14ac:dyDescent="0.2">
      <c r="A88">
        <f t="shared" si="1"/>
        <v>82</v>
      </c>
      <c r="B88">
        <v>2008</v>
      </c>
      <c r="C88" t="s">
        <v>184</v>
      </c>
      <c r="D88" t="s">
        <v>300</v>
      </c>
      <c r="E88" s="65">
        <v>2800</v>
      </c>
      <c r="F88" s="33">
        <v>1.6E-2</v>
      </c>
      <c r="G88" t="s">
        <v>325</v>
      </c>
      <c r="H88" t="s">
        <v>144</v>
      </c>
      <c r="J88" t="s">
        <v>42</v>
      </c>
      <c r="K88" t="s">
        <v>195</v>
      </c>
      <c r="L88" s="17"/>
    </row>
    <row r="89" spans="1:13" x14ac:dyDescent="0.2">
      <c r="A89">
        <f t="shared" si="1"/>
        <v>83</v>
      </c>
      <c r="B89">
        <v>2008</v>
      </c>
      <c r="C89" t="s">
        <v>184</v>
      </c>
      <c r="D89" t="s">
        <v>300</v>
      </c>
      <c r="E89" s="65">
        <v>2010</v>
      </c>
      <c r="F89" s="33">
        <v>0.01</v>
      </c>
      <c r="G89" t="s">
        <v>326</v>
      </c>
      <c r="H89" t="s">
        <v>144</v>
      </c>
      <c r="J89" t="s">
        <v>20</v>
      </c>
      <c r="K89" t="s">
        <v>195</v>
      </c>
      <c r="L89" s="17"/>
    </row>
    <row r="90" spans="1:13" x14ac:dyDescent="0.2">
      <c r="A90">
        <f t="shared" si="1"/>
        <v>84</v>
      </c>
      <c r="B90">
        <v>2008</v>
      </c>
      <c r="C90" t="s">
        <v>184</v>
      </c>
      <c r="D90" t="s">
        <v>327</v>
      </c>
      <c r="E90" s="65">
        <v>150</v>
      </c>
      <c r="G90" t="s">
        <v>328</v>
      </c>
      <c r="H90" t="s">
        <v>149</v>
      </c>
      <c r="I90" t="s">
        <v>182</v>
      </c>
      <c r="J90" t="s">
        <v>78</v>
      </c>
      <c r="K90" t="s">
        <v>183</v>
      </c>
      <c r="L90" s="17"/>
    </row>
    <row r="91" spans="1:13" x14ac:dyDescent="0.2">
      <c r="A91">
        <f t="shared" si="1"/>
        <v>85</v>
      </c>
      <c r="B91">
        <v>2008</v>
      </c>
      <c r="C91" t="s">
        <v>184</v>
      </c>
      <c r="D91" t="s">
        <v>300</v>
      </c>
      <c r="E91" s="65">
        <v>1240</v>
      </c>
      <c r="F91" s="33">
        <v>0.01</v>
      </c>
      <c r="G91" t="s">
        <v>329</v>
      </c>
      <c r="H91" t="s">
        <v>144</v>
      </c>
      <c r="J91" t="s">
        <v>85</v>
      </c>
      <c r="K91" t="s">
        <v>195</v>
      </c>
      <c r="L91" s="17"/>
    </row>
    <row r="92" spans="1:13" x14ac:dyDescent="0.2">
      <c r="A92">
        <f t="shared" si="1"/>
        <v>86</v>
      </c>
      <c r="B92">
        <v>2008</v>
      </c>
      <c r="C92" t="s">
        <v>225</v>
      </c>
      <c r="D92" t="s">
        <v>267</v>
      </c>
      <c r="E92" s="65">
        <v>2160</v>
      </c>
      <c r="F92" s="33">
        <v>1</v>
      </c>
      <c r="H92" t="s">
        <v>149</v>
      </c>
      <c r="I92" t="s">
        <v>236</v>
      </c>
      <c r="J92" t="s">
        <v>96</v>
      </c>
      <c r="K92" t="s">
        <v>205</v>
      </c>
      <c r="L92" s="17"/>
      <c r="M92" s="28" t="s">
        <v>178</v>
      </c>
    </row>
    <row r="93" spans="1:13" x14ac:dyDescent="0.2">
      <c r="A93">
        <f t="shared" si="1"/>
        <v>87</v>
      </c>
      <c r="B93">
        <v>2008</v>
      </c>
      <c r="C93" t="s">
        <v>225</v>
      </c>
      <c r="D93" t="s">
        <v>263</v>
      </c>
      <c r="E93" s="65">
        <v>110</v>
      </c>
      <c r="G93" t="s">
        <v>330</v>
      </c>
      <c r="H93" t="s">
        <v>144</v>
      </c>
      <c r="I93" t="s">
        <v>187</v>
      </c>
      <c r="J93" t="s">
        <v>19</v>
      </c>
      <c r="K93" t="s">
        <v>205</v>
      </c>
      <c r="L93" s="17"/>
    </row>
    <row r="94" spans="1:13" x14ac:dyDescent="0.2">
      <c r="A94">
        <f t="shared" si="1"/>
        <v>88</v>
      </c>
      <c r="B94">
        <v>2008</v>
      </c>
      <c r="C94" t="s">
        <v>188</v>
      </c>
      <c r="D94" t="s">
        <v>331</v>
      </c>
      <c r="E94" s="65">
        <v>250</v>
      </c>
      <c r="F94" s="33">
        <v>0.6</v>
      </c>
      <c r="G94" t="s">
        <v>332</v>
      </c>
      <c r="H94" t="s">
        <v>151</v>
      </c>
      <c r="I94" t="s">
        <v>279</v>
      </c>
      <c r="J94" t="s">
        <v>58</v>
      </c>
      <c r="K94" t="s">
        <v>195</v>
      </c>
      <c r="L94" s="17"/>
    </row>
    <row r="95" spans="1:13" x14ac:dyDescent="0.2">
      <c r="A95">
        <f t="shared" si="1"/>
        <v>89</v>
      </c>
      <c r="B95">
        <v>2008</v>
      </c>
      <c r="C95" t="s">
        <v>188</v>
      </c>
      <c r="D95" t="s">
        <v>300</v>
      </c>
      <c r="E95" s="65">
        <v>2510</v>
      </c>
      <c r="F95" s="33">
        <v>0.2</v>
      </c>
      <c r="G95" t="s">
        <v>333</v>
      </c>
      <c r="H95" t="s">
        <v>146</v>
      </c>
      <c r="I95" t="s">
        <v>253</v>
      </c>
      <c r="J95" t="s">
        <v>131</v>
      </c>
      <c r="K95" t="s">
        <v>131</v>
      </c>
      <c r="L95" s="17"/>
    </row>
    <row r="96" spans="1:13" x14ac:dyDescent="0.2">
      <c r="A96">
        <f t="shared" si="1"/>
        <v>90</v>
      </c>
      <c r="B96">
        <v>2008</v>
      </c>
      <c r="C96" t="s">
        <v>188</v>
      </c>
      <c r="D96" t="s">
        <v>334</v>
      </c>
      <c r="E96" s="65">
        <v>140</v>
      </c>
      <c r="F96" s="33">
        <v>0.05</v>
      </c>
      <c r="G96" t="s">
        <v>335</v>
      </c>
      <c r="H96" t="s">
        <v>142</v>
      </c>
      <c r="J96" t="s">
        <v>131</v>
      </c>
      <c r="K96" t="s">
        <v>131</v>
      </c>
      <c r="L96" s="17"/>
    </row>
    <row r="97" spans="1:13" x14ac:dyDescent="0.2">
      <c r="A97">
        <f t="shared" si="1"/>
        <v>91</v>
      </c>
      <c r="B97">
        <v>2008</v>
      </c>
      <c r="C97" t="s">
        <v>188</v>
      </c>
      <c r="D97" t="s">
        <v>336</v>
      </c>
      <c r="E97" s="65">
        <v>190</v>
      </c>
      <c r="H97" t="s">
        <v>149</v>
      </c>
      <c r="J97" t="s">
        <v>88</v>
      </c>
      <c r="K97" t="s">
        <v>219</v>
      </c>
      <c r="L97" s="17"/>
      <c r="M97" s="28" t="s">
        <v>178</v>
      </c>
    </row>
    <row r="98" spans="1:13" x14ac:dyDescent="0.2">
      <c r="A98">
        <f t="shared" si="1"/>
        <v>92</v>
      </c>
      <c r="B98">
        <v>2008</v>
      </c>
      <c r="C98" t="s">
        <v>188</v>
      </c>
      <c r="D98" t="s">
        <v>337</v>
      </c>
      <c r="E98" s="65">
        <v>580</v>
      </c>
      <c r="H98" t="s">
        <v>144</v>
      </c>
      <c r="I98" t="s">
        <v>197</v>
      </c>
      <c r="J98" t="s">
        <v>23</v>
      </c>
      <c r="K98" t="s">
        <v>183</v>
      </c>
      <c r="L98" s="17"/>
      <c r="M98" s="28" t="s">
        <v>178</v>
      </c>
    </row>
    <row r="99" spans="1:13" x14ac:dyDescent="0.2">
      <c r="A99">
        <f t="shared" si="1"/>
        <v>93</v>
      </c>
      <c r="B99">
        <v>2008</v>
      </c>
      <c r="C99" t="s">
        <v>191</v>
      </c>
      <c r="D99" t="s">
        <v>313</v>
      </c>
      <c r="E99" s="65">
        <v>200</v>
      </c>
      <c r="F99" s="33">
        <v>0.51</v>
      </c>
      <c r="G99" t="s">
        <v>338</v>
      </c>
      <c r="H99" t="s">
        <v>142</v>
      </c>
      <c r="J99" t="s">
        <v>108</v>
      </c>
      <c r="K99" t="s">
        <v>183</v>
      </c>
      <c r="L99" s="17"/>
    </row>
    <row r="100" spans="1:13" x14ac:dyDescent="0.2">
      <c r="A100">
        <f t="shared" si="1"/>
        <v>94</v>
      </c>
      <c r="B100">
        <v>2008</v>
      </c>
      <c r="C100" t="s">
        <v>191</v>
      </c>
      <c r="D100" t="s">
        <v>185</v>
      </c>
      <c r="E100" s="65">
        <v>2490</v>
      </c>
      <c r="F100" s="33">
        <v>1</v>
      </c>
      <c r="G100" t="s">
        <v>339</v>
      </c>
      <c r="H100" t="s">
        <v>144</v>
      </c>
      <c r="I100" t="s">
        <v>187</v>
      </c>
      <c r="J100" t="s">
        <v>91</v>
      </c>
      <c r="K100" t="s">
        <v>195</v>
      </c>
      <c r="L100" s="17"/>
    </row>
    <row r="101" spans="1:13" x14ac:dyDescent="0.2">
      <c r="A101">
        <f t="shared" si="1"/>
        <v>95</v>
      </c>
      <c r="B101">
        <v>2008</v>
      </c>
      <c r="C101" t="s">
        <v>191</v>
      </c>
      <c r="D101" t="s">
        <v>244</v>
      </c>
      <c r="E101" s="65">
        <v>810</v>
      </c>
      <c r="F101" s="33">
        <v>0.5</v>
      </c>
      <c r="G101" t="s">
        <v>340</v>
      </c>
      <c r="H101" t="s">
        <v>149</v>
      </c>
      <c r="J101" t="s">
        <v>82</v>
      </c>
      <c r="K101" t="s">
        <v>183</v>
      </c>
      <c r="L101" s="17"/>
      <c r="M101" s="28" t="s">
        <v>178</v>
      </c>
    </row>
    <row r="102" spans="1:13" x14ac:dyDescent="0.2">
      <c r="A102">
        <f t="shared" si="1"/>
        <v>96</v>
      </c>
      <c r="B102">
        <v>2008</v>
      </c>
      <c r="C102" t="s">
        <v>191</v>
      </c>
      <c r="D102" t="s">
        <v>208</v>
      </c>
      <c r="E102" s="65">
        <v>1320</v>
      </c>
      <c r="F102" s="33">
        <v>0.51</v>
      </c>
      <c r="G102" t="s">
        <v>209</v>
      </c>
      <c r="H102" t="s">
        <v>149</v>
      </c>
      <c r="I102" t="s">
        <v>182</v>
      </c>
      <c r="J102" t="s">
        <v>9</v>
      </c>
      <c r="K102" t="s">
        <v>9</v>
      </c>
      <c r="L102" s="17"/>
    </row>
    <row r="103" spans="1:13" x14ac:dyDescent="0.2">
      <c r="A103">
        <f t="shared" si="1"/>
        <v>97</v>
      </c>
      <c r="B103">
        <v>2008</v>
      </c>
      <c r="C103" t="s">
        <v>191</v>
      </c>
      <c r="D103" t="s">
        <v>341</v>
      </c>
      <c r="E103" s="65">
        <v>1190</v>
      </c>
      <c r="F103" s="33">
        <v>0.28000000000000003</v>
      </c>
      <c r="G103" t="s">
        <v>342</v>
      </c>
      <c r="H103" t="s">
        <v>149</v>
      </c>
      <c r="I103" t="s">
        <v>236</v>
      </c>
      <c r="J103" t="s">
        <v>34</v>
      </c>
      <c r="K103" t="s">
        <v>219</v>
      </c>
      <c r="L103" s="17"/>
      <c r="M103" s="28" t="s">
        <v>178</v>
      </c>
    </row>
    <row r="104" spans="1:13" x14ac:dyDescent="0.2">
      <c r="A104">
        <f t="shared" si="1"/>
        <v>98</v>
      </c>
      <c r="B104">
        <v>2008</v>
      </c>
      <c r="C104" t="s">
        <v>191</v>
      </c>
      <c r="D104" t="s">
        <v>343</v>
      </c>
      <c r="E104" s="65">
        <v>1350</v>
      </c>
      <c r="F104" s="33" t="s">
        <v>344</v>
      </c>
      <c r="H104" t="s">
        <v>149</v>
      </c>
      <c r="I104" t="s">
        <v>236</v>
      </c>
      <c r="J104" t="s">
        <v>34</v>
      </c>
      <c r="K104" t="s">
        <v>219</v>
      </c>
      <c r="L104" s="17"/>
      <c r="M104" s="28" t="s">
        <v>178</v>
      </c>
    </row>
    <row r="105" spans="1:13" x14ac:dyDescent="0.2">
      <c r="A105">
        <f t="shared" si="1"/>
        <v>99</v>
      </c>
      <c r="B105">
        <v>2008</v>
      </c>
      <c r="C105" t="s">
        <v>202</v>
      </c>
      <c r="D105" t="s">
        <v>189</v>
      </c>
      <c r="E105" s="65">
        <v>1990</v>
      </c>
      <c r="F105" s="33">
        <v>1</v>
      </c>
      <c r="G105" t="s">
        <v>345</v>
      </c>
      <c r="H105" t="s">
        <v>144</v>
      </c>
      <c r="I105" t="s">
        <v>187</v>
      </c>
      <c r="J105" t="s">
        <v>120</v>
      </c>
      <c r="K105" t="s">
        <v>214</v>
      </c>
      <c r="L105" s="17"/>
    </row>
    <row r="106" spans="1:13" x14ac:dyDescent="0.2">
      <c r="A106">
        <f t="shared" si="1"/>
        <v>100</v>
      </c>
      <c r="B106">
        <v>2008</v>
      </c>
      <c r="C106" t="s">
        <v>202</v>
      </c>
      <c r="D106" t="s">
        <v>269</v>
      </c>
      <c r="E106" s="65">
        <v>330</v>
      </c>
      <c r="F106" s="33">
        <v>0.28999999999999998</v>
      </c>
      <c r="G106" t="s">
        <v>346</v>
      </c>
      <c r="H106" t="s">
        <v>154</v>
      </c>
      <c r="I106" t="s">
        <v>271</v>
      </c>
      <c r="J106" t="s">
        <v>108</v>
      </c>
      <c r="K106" t="s">
        <v>183</v>
      </c>
      <c r="L106" s="17"/>
    </row>
    <row r="107" spans="1:13" x14ac:dyDescent="0.2">
      <c r="A107">
        <f t="shared" si="1"/>
        <v>101</v>
      </c>
      <c r="B107">
        <v>2008</v>
      </c>
      <c r="C107" t="s">
        <v>202</v>
      </c>
      <c r="D107" t="s">
        <v>278</v>
      </c>
      <c r="E107" s="65">
        <v>140</v>
      </c>
      <c r="H107" t="s">
        <v>151</v>
      </c>
      <c r="I107" t="s">
        <v>279</v>
      </c>
      <c r="J107" t="s">
        <v>45</v>
      </c>
      <c r="K107" t="s">
        <v>195</v>
      </c>
      <c r="L107" s="17"/>
      <c r="M107" s="28" t="s">
        <v>178</v>
      </c>
    </row>
    <row r="108" spans="1:13" x14ac:dyDescent="0.2">
      <c r="A108">
        <f t="shared" si="1"/>
        <v>102</v>
      </c>
      <c r="B108">
        <v>2008</v>
      </c>
      <c r="C108" t="s">
        <v>202</v>
      </c>
      <c r="D108" t="s">
        <v>347</v>
      </c>
      <c r="E108" s="65">
        <v>360</v>
      </c>
      <c r="F108" s="33">
        <v>0.45</v>
      </c>
      <c r="G108" t="s">
        <v>348</v>
      </c>
      <c r="H108" t="s">
        <v>149</v>
      </c>
      <c r="I108" t="s">
        <v>182</v>
      </c>
      <c r="J108" t="s">
        <v>9</v>
      </c>
      <c r="K108" t="s">
        <v>9</v>
      </c>
      <c r="L108" s="17"/>
    </row>
    <row r="109" spans="1:13" x14ac:dyDescent="0.2">
      <c r="A109">
        <f t="shared" si="1"/>
        <v>103</v>
      </c>
      <c r="B109">
        <v>2008</v>
      </c>
      <c r="C109" t="s">
        <v>202</v>
      </c>
      <c r="D109" t="s">
        <v>300</v>
      </c>
      <c r="E109" s="65">
        <v>470</v>
      </c>
      <c r="G109" t="s">
        <v>349</v>
      </c>
      <c r="H109" t="s">
        <v>149</v>
      </c>
      <c r="J109" t="s">
        <v>9</v>
      </c>
      <c r="K109" t="s">
        <v>9</v>
      </c>
      <c r="L109" s="17"/>
    </row>
    <row r="110" spans="1:13" x14ac:dyDescent="0.2">
      <c r="A110">
        <f t="shared" si="1"/>
        <v>104</v>
      </c>
      <c r="B110">
        <v>2008</v>
      </c>
      <c r="C110" t="s">
        <v>207</v>
      </c>
      <c r="D110" t="s">
        <v>263</v>
      </c>
      <c r="E110" s="65">
        <v>200</v>
      </c>
      <c r="F110" s="33">
        <v>2.5999999999999999E-2</v>
      </c>
      <c r="G110" t="s">
        <v>264</v>
      </c>
      <c r="H110" t="s">
        <v>146</v>
      </c>
      <c r="I110" t="s">
        <v>253</v>
      </c>
      <c r="J110" t="s">
        <v>131</v>
      </c>
      <c r="K110" t="s">
        <v>131</v>
      </c>
      <c r="L110" s="17"/>
    </row>
    <row r="111" spans="1:13" x14ac:dyDescent="0.2">
      <c r="A111">
        <f t="shared" si="1"/>
        <v>105</v>
      </c>
      <c r="B111">
        <v>2008</v>
      </c>
      <c r="C111" t="s">
        <v>207</v>
      </c>
      <c r="D111" t="s">
        <v>350</v>
      </c>
      <c r="E111" s="65">
        <v>760</v>
      </c>
      <c r="G111" t="s">
        <v>351</v>
      </c>
      <c r="H111" t="s">
        <v>144</v>
      </c>
      <c r="I111" t="s">
        <v>273</v>
      </c>
      <c r="J111" t="s">
        <v>128</v>
      </c>
      <c r="K111" t="s">
        <v>201</v>
      </c>
      <c r="L111" s="17"/>
      <c r="M111" s="28" t="s">
        <v>178</v>
      </c>
    </row>
    <row r="112" spans="1:13" x14ac:dyDescent="0.2">
      <c r="A112">
        <f t="shared" si="1"/>
        <v>106</v>
      </c>
      <c r="B112">
        <v>2008</v>
      </c>
      <c r="C112" t="s">
        <v>207</v>
      </c>
      <c r="D112" t="s">
        <v>352</v>
      </c>
      <c r="E112" s="65">
        <v>190</v>
      </c>
      <c r="H112" t="s">
        <v>144</v>
      </c>
      <c r="I112" t="s">
        <v>273</v>
      </c>
      <c r="J112" t="s">
        <v>9</v>
      </c>
      <c r="K112" t="s">
        <v>9</v>
      </c>
      <c r="L112" s="17"/>
      <c r="M112" s="28" t="s">
        <v>178</v>
      </c>
    </row>
    <row r="113" spans="1:13" x14ac:dyDescent="0.2">
      <c r="A113">
        <f t="shared" si="1"/>
        <v>107</v>
      </c>
      <c r="B113">
        <v>2008</v>
      </c>
      <c r="C113" t="s">
        <v>240</v>
      </c>
      <c r="D113" t="s">
        <v>269</v>
      </c>
      <c r="E113" s="65">
        <v>5790</v>
      </c>
      <c r="H113" t="s">
        <v>154</v>
      </c>
      <c r="I113" t="s">
        <v>271</v>
      </c>
      <c r="J113" t="s">
        <v>47</v>
      </c>
      <c r="K113" t="s">
        <v>195</v>
      </c>
      <c r="L113" s="17"/>
    </row>
    <row r="114" spans="1:13" x14ac:dyDescent="0.2">
      <c r="A114">
        <f t="shared" si="1"/>
        <v>108</v>
      </c>
      <c r="B114">
        <v>2008</v>
      </c>
      <c r="C114" t="s">
        <v>212</v>
      </c>
      <c r="D114" t="s">
        <v>353</v>
      </c>
      <c r="E114" s="65">
        <v>110</v>
      </c>
      <c r="H114" t="s">
        <v>149</v>
      </c>
      <c r="I114" t="s">
        <v>182</v>
      </c>
      <c r="J114" t="s">
        <v>68</v>
      </c>
      <c r="K114" t="s">
        <v>219</v>
      </c>
      <c r="L114" s="17"/>
      <c r="M114" s="28" t="s">
        <v>178</v>
      </c>
    </row>
    <row r="115" spans="1:13" x14ac:dyDescent="0.2">
      <c r="A115">
        <f t="shared" si="1"/>
        <v>109</v>
      </c>
      <c r="B115">
        <v>2008</v>
      </c>
      <c r="C115" t="s">
        <v>212</v>
      </c>
      <c r="D115" t="s">
        <v>354</v>
      </c>
      <c r="E115" s="65">
        <v>250</v>
      </c>
      <c r="F115" s="33">
        <v>0.49</v>
      </c>
      <c r="G115" t="s">
        <v>355</v>
      </c>
      <c r="H115" t="s">
        <v>144</v>
      </c>
      <c r="J115" t="s">
        <v>63</v>
      </c>
      <c r="K115" t="s">
        <v>201</v>
      </c>
      <c r="L115" s="17"/>
      <c r="M115" s="28" t="s">
        <v>178</v>
      </c>
    </row>
    <row r="116" spans="1:13" x14ac:dyDescent="0.2">
      <c r="A116">
        <f t="shared" si="1"/>
        <v>110</v>
      </c>
      <c r="B116">
        <v>2008</v>
      </c>
      <c r="C116" t="s">
        <v>212</v>
      </c>
      <c r="D116" t="s">
        <v>277</v>
      </c>
      <c r="E116" s="65">
        <v>370</v>
      </c>
      <c r="H116" t="s">
        <v>144</v>
      </c>
      <c r="I116" t="s">
        <v>197</v>
      </c>
      <c r="J116" t="s">
        <v>23</v>
      </c>
      <c r="K116" t="s">
        <v>183</v>
      </c>
      <c r="L116" s="17"/>
      <c r="M116" s="67" t="s">
        <v>178</v>
      </c>
    </row>
    <row r="117" spans="1:13" x14ac:dyDescent="0.2">
      <c r="A117">
        <f t="shared" si="1"/>
        <v>111</v>
      </c>
      <c r="B117">
        <v>2008</v>
      </c>
      <c r="C117" t="s">
        <v>212</v>
      </c>
      <c r="D117" t="s">
        <v>356</v>
      </c>
      <c r="E117" s="65">
        <v>1550</v>
      </c>
      <c r="H117" t="s">
        <v>153</v>
      </c>
      <c r="J117" t="s">
        <v>23</v>
      </c>
      <c r="K117" t="s">
        <v>183</v>
      </c>
      <c r="L117" s="17"/>
      <c r="M117" s="67" t="s">
        <v>178</v>
      </c>
    </row>
    <row r="118" spans="1:13" x14ac:dyDescent="0.2">
      <c r="A118">
        <f t="shared" si="1"/>
        <v>112</v>
      </c>
      <c r="B118">
        <v>2008</v>
      </c>
      <c r="C118" t="s">
        <v>212</v>
      </c>
      <c r="D118" t="s">
        <v>180</v>
      </c>
      <c r="E118" s="65">
        <v>110</v>
      </c>
      <c r="H118" t="s">
        <v>149</v>
      </c>
      <c r="J118" t="s">
        <v>93</v>
      </c>
      <c r="K118" t="s">
        <v>201</v>
      </c>
      <c r="L118" s="17"/>
      <c r="M118" s="67"/>
    </row>
    <row r="119" spans="1:13" x14ac:dyDescent="0.2">
      <c r="A119">
        <f t="shared" si="1"/>
        <v>113</v>
      </c>
      <c r="B119">
        <v>2009</v>
      </c>
      <c r="C119" t="s">
        <v>172</v>
      </c>
      <c r="D119" t="s">
        <v>199</v>
      </c>
      <c r="E119" s="65">
        <v>1760</v>
      </c>
      <c r="G119" t="s">
        <v>297</v>
      </c>
      <c r="H119" t="s">
        <v>144</v>
      </c>
      <c r="I119" t="s">
        <v>187</v>
      </c>
      <c r="J119" t="s">
        <v>54</v>
      </c>
      <c r="K119" t="s">
        <v>201</v>
      </c>
      <c r="L119" s="17"/>
      <c r="M119" s="28" t="s">
        <v>178</v>
      </c>
    </row>
    <row r="120" spans="1:13" x14ac:dyDescent="0.2">
      <c r="A120">
        <f t="shared" si="1"/>
        <v>114</v>
      </c>
      <c r="B120">
        <v>2009</v>
      </c>
      <c r="C120" t="s">
        <v>172</v>
      </c>
      <c r="D120" t="s">
        <v>199</v>
      </c>
      <c r="E120" s="65">
        <v>500</v>
      </c>
      <c r="H120" t="s">
        <v>144</v>
      </c>
      <c r="I120" t="s">
        <v>187</v>
      </c>
      <c r="J120" t="s">
        <v>78</v>
      </c>
      <c r="K120" t="s">
        <v>183</v>
      </c>
      <c r="L120" s="17"/>
      <c r="M120" s="28" t="s">
        <v>178</v>
      </c>
    </row>
    <row r="121" spans="1:13" x14ac:dyDescent="0.2">
      <c r="A121">
        <f t="shared" si="1"/>
        <v>115</v>
      </c>
      <c r="B121">
        <v>2009</v>
      </c>
      <c r="C121" t="s">
        <v>258</v>
      </c>
      <c r="D121" t="s">
        <v>357</v>
      </c>
      <c r="E121" s="65">
        <v>770</v>
      </c>
      <c r="F121" s="33">
        <v>0.17</v>
      </c>
      <c r="G121" t="s">
        <v>358</v>
      </c>
      <c r="H121" t="s">
        <v>149</v>
      </c>
      <c r="I121" t="s">
        <v>182</v>
      </c>
      <c r="J121" t="s">
        <v>9</v>
      </c>
      <c r="K121" t="s">
        <v>9</v>
      </c>
      <c r="L121" s="17"/>
    </row>
    <row r="122" spans="1:13" x14ac:dyDescent="0.2">
      <c r="A122">
        <f t="shared" si="1"/>
        <v>116</v>
      </c>
      <c r="B122">
        <v>2009</v>
      </c>
      <c r="C122" t="s">
        <v>258</v>
      </c>
      <c r="D122" t="s">
        <v>359</v>
      </c>
      <c r="E122" s="65">
        <v>990</v>
      </c>
      <c r="H122" t="s">
        <v>149</v>
      </c>
      <c r="I122" t="s">
        <v>182</v>
      </c>
      <c r="J122" t="s">
        <v>96</v>
      </c>
      <c r="K122" t="s">
        <v>205</v>
      </c>
      <c r="L122" s="17"/>
    </row>
    <row r="123" spans="1:13" x14ac:dyDescent="0.2">
      <c r="A123">
        <f t="shared" si="1"/>
        <v>117</v>
      </c>
      <c r="B123">
        <v>2009</v>
      </c>
      <c r="C123" t="s">
        <v>179</v>
      </c>
      <c r="D123" t="s">
        <v>360</v>
      </c>
      <c r="E123" s="65">
        <v>240</v>
      </c>
      <c r="F123" s="33" t="s">
        <v>361</v>
      </c>
      <c r="G123" t="s">
        <v>362</v>
      </c>
      <c r="H123" t="s">
        <v>149</v>
      </c>
      <c r="I123" t="s">
        <v>182</v>
      </c>
      <c r="J123" t="s">
        <v>25</v>
      </c>
      <c r="K123" t="s">
        <v>177</v>
      </c>
      <c r="L123" s="17"/>
    </row>
    <row r="124" spans="1:13" x14ac:dyDescent="0.2">
      <c r="A124">
        <f t="shared" si="1"/>
        <v>118</v>
      </c>
      <c r="B124">
        <v>2009</v>
      </c>
      <c r="C124" t="s">
        <v>179</v>
      </c>
      <c r="D124" t="s">
        <v>263</v>
      </c>
      <c r="E124" s="65">
        <v>800</v>
      </c>
      <c r="G124" t="s">
        <v>293</v>
      </c>
      <c r="H124" t="s">
        <v>151</v>
      </c>
      <c r="I124" t="s">
        <v>224</v>
      </c>
      <c r="J124" t="s">
        <v>131</v>
      </c>
      <c r="K124" t="s">
        <v>131</v>
      </c>
      <c r="L124" s="17"/>
    </row>
    <row r="125" spans="1:13" ht="15" customHeight="1" x14ac:dyDescent="0.2">
      <c r="A125">
        <f t="shared" si="1"/>
        <v>119</v>
      </c>
      <c r="B125">
        <v>2009</v>
      </c>
      <c r="C125" t="s">
        <v>179</v>
      </c>
      <c r="D125" t="s">
        <v>199</v>
      </c>
      <c r="E125" s="65">
        <v>2990</v>
      </c>
      <c r="H125" t="s">
        <v>144</v>
      </c>
      <c r="I125" t="s">
        <v>187</v>
      </c>
      <c r="J125" t="s">
        <v>55</v>
      </c>
      <c r="K125" t="s">
        <v>214</v>
      </c>
      <c r="L125" s="17"/>
    </row>
    <row r="126" spans="1:13" x14ac:dyDescent="0.2">
      <c r="A126">
        <f t="shared" si="1"/>
        <v>120</v>
      </c>
      <c r="B126">
        <v>2009</v>
      </c>
      <c r="C126" t="s">
        <v>184</v>
      </c>
      <c r="D126" t="s">
        <v>199</v>
      </c>
      <c r="E126" s="65">
        <v>2600</v>
      </c>
      <c r="G126" t="s">
        <v>363</v>
      </c>
      <c r="H126" t="s">
        <v>144</v>
      </c>
      <c r="I126" t="s">
        <v>299</v>
      </c>
      <c r="J126" t="s">
        <v>63</v>
      </c>
      <c r="K126" t="s">
        <v>201</v>
      </c>
      <c r="L126" s="17"/>
    </row>
    <row r="127" spans="1:13" x14ac:dyDescent="0.2">
      <c r="A127">
        <f t="shared" si="1"/>
        <v>121</v>
      </c>
      <c r="B127">
        <v>2009</v>
      </c>
      <c r="C127" t="s">
        <v>184</v>
      </c>
      <c r="D127" t="s">
        <v>364</v>
      </c>
      <c r="E127" s="65">
        <v>1300</v>
      </c>
      <c r="F127" s="33">
        <v>1</v>
      </c>
      <c r="H127" t="s">
        <v>149</v>
      </c>
      <c r="I127" t="s">
        <v>182</v>
      </c>
      <c r="J127" t="s">
        <v>131</v>
      </c>
      <c r="K127" t="s">
        <v>131</v>
      </c>
      <c r="L127" s="17"/>
      <c r="M127" s="28" t="s">
        <v>178</v>
      </c>
    </row>
    <row r="128" spans="1:13" x14ac:dyDescent="0.2">
      <c r="A128">
        <f t="shared" si="1"/>
        <v>122</v>
      </c>
      <c r="B128">
        <v>2009</v>
      </c>
      <c r="C128" t="s">
        <v>184</v>
      </c>
      <c r="D128" t="s">
        <v>365</v>
      </c>
      <c r="E128" s="65">
        <v>320</v>
      </c>
      <c r="H128" t="s">
        <v>151</v>
      </c>
      <c r="I128" t="s">
        <v>224</v>
      </c>
      <c r="J128" t="s">
        <v>23</v>
      </c>
      <c r="K128" t="s">
        <v>183</v>
      </c>
      <c r="L128" s="17"/>
      <c r="M128" s="28" t="s">
        <v>178</v>
      </c>
    </row>
    <row r="129" spans="1:13" x14ac:dyDescent="0.2">
      <c r="A129">
        <f t="shared" si="1"/>
        <v>123</v>
      </c>
      <c r="B129">
        <v>2009</v>
      </c>
      <c r="C129" t="s">
        <v>225</v>
      </c>
      <c r="D129" t="s">
        <v>366</v>
      </c>
      <c r="E129" s="65">
        <v>320</v>
      </c>
      <c r="G129" t="s">
        <v>367</v>
      </c>
      <c r="H129" t="s">
        <v>144</v>
      </c>
      <c r="I129" t="s">
        <v>187</v>
      </c>
      <c r="J129" t="s">
        <v>126</v>
      </c>
      <c r="K129" t="s">
        <v>177</v>
      </c>
      <c r="L129" s="17"/>
    </row>
    <row r="130" spans="1:13" x14ac:dyDescent="0.2">
      <c r="A130">
        <f t="shared" si="1"/>
        <v>124</v>
      </c>
      <c r="B130">
        <v>2009</v>
      </c>
      <c r="C130" t="s">
        <v>225</v>
      </c>
      <c r="D130" t="s">
        <v>368</v>
      </c>
      <c r="E130" s="65">
        <v>100</v>
      </c>
      <c r="F130" s="33">
        <v>1</v>
      </c>
      <c r="G130" t="s">
        <v>369</v>
      </c>
      <c r="H130" t="s">
        <v>149</v>
      </c>
      <c r="I130" t="s">
        <v>182</v>
      </c>
      <c r="J130" t="s">
        <v>96</v>
      </c>
      <c r="K130" t="s">
        <v>205</v>
      </c>
      <c r="L130" s="17"/>
    </row>
    <row r="131" spans="1:13" x14ac:dyDescent="0.2">
      <c r="A131">
        <f t="shared" si="1"/>
        <v>125</v>
      </c>
      <c r="B131">
        <v>2009</v>
      </c>
      <c r="C131" t="s">
        <v>225</v>
      </c>
      <c r="D131" t="s">
        <v>180</v>
      </c>
      <c r="E131" s="65">
        <v>520</v>
      </c>
      <c r="F131" s="33">
        <v>0.1</v>
      </c>
      <c r="G131" t="s">
        <v>222</v>
      </c>
      <c r="H131" t="s">
        <v>144</v>
      </c>
      <c r="I131" t="s">
        <v>273</v>
      </c>
      <c r="J131" t="s">
        <v>9</v>
      </c>
      <c r="K131" t="s">
        <v>9</v>
      </c>
      <c r="L131" s="17"/>
      <c r="M131" s="28" t="s">
        <v>178</v>
      </c>
    </row>
    <row r="132" spans="1:13" x14ac:dyDescent="0.2">
      <c r="A132">
        <f t="shared" si="1"/>
        <v>126</v>
      </c>
      <c r="B132">
        <v>2009</v>
      </c>
      <c r="C132" t="s">
        <v>225</v>
      </c>
      <c r="D132" t="s">
        <v>370</v>
      </c>
      <c r="E132" s="65">
        <v>140</v>
      </c>
      <c r="F132" s="33">
        <v>0.2</v>
      </c>
      <c r="G132" t="s">
        <v>371</v>
      </c>
      <c r="H132" t="s">
        <v>149</v>
      </c>
      <c r="J132" t="s">
        <v>9</v>
      </c>
      <c r="K132" t="s">
        <v>9</v>
      </c>
      <c r="L132" s="17"/>
    </row>
    <row r="133" spans="1:13" x14ac:dyDescent="0.2">
      <c r="A133">
        <f t="shared" si="1"/>
        <v>127</v>
      </c>
      <c r="B133">
        <v>2009</v>
      </c>
      <c r="C133" t="s">
        <v>225</v>
      </c>
      <c r="D133" t="s">
        <v>199</v>
      </c>
      <c r="E133" s="65">
        <v>1020</v>
      </c>
      <c r="F133" s="33">
        <v>0.46</v>
      </c>
      <c r="G133" t="s">
        <v>372</v>
      </c>
      <c r="H133" t="s">
        <v>144</v>
      </c>
      <c r="I133" t="s">
        <v>187</v>
      </c>
      <c r="J133" t="s">
        <v>108</v>
      </c>
      <c r="K133" t="s">
        <v>183</v>
      </c>
      <c r="L133" s="17"/>
    </row>
    <row r="134" spans="1:13" x14ac:dyDescent="0.2">
      <c r="A134">
        <f t="shared" si="1"/>
        <v>128</v>
      </c>
      <c r="B134">
        <v>2009</v>
      </c>
      <c r="C134" t="s">
        <v>225</v>
      </c>
      <c r="D134" t="s">
        <v>244</v>
      </c>
      <c r="E134" s="65">
        <v>370</v>
      </c>
      <c r="F134" s="33">
        <v>0.85</v>
      </c>
      <c r="H134" t="s">
        <v>149</v>
      </c>
      <c r="I134" t="s">
        <v>236</v>
      </c>
      <c r="J134" t="s">
        <v>138</v>
      </c>
      <c r="K134" t="s">
        <v>219</v>
      </c>
      <c r="L134" s="17"/>
      <c r="M134" s="28" t="s">
        <v>178</v>
      </c>
    </row>
    <row r="135" spans="1:13" x14ac:dyDescent="0.2">
      <c r="A135">
        <f t="shared" ref="A135:A198" si="2">ROW()-6</f>
        <v>129</v>
      </c>
      <c r="B135">
        <v>2009</v>
      </c>
      <c r="C135" t="s">
        <v>225</v>
      </c>
      <c r="D135" t="s">
        <v>373</v>
      </c>
      <c r="E135" s="65">
        <v>150</v>
      </c>
      <c r="G135" t="s">
        <v>374</v>
      </c>
      <c r="H135" t="s">
        <v>146</v>
      </c>
      <c r="I135" t="s">
        <v>253</v>
      </c>
      <c r="J135" t="s">
        <v>9</v>
      </c>
      <c r="K135" t="s">
        <v>9</v>
      </c>
      <c r="L135" s="17"/>
    </row>
    <row r="136" spans="1:13" x14ac:dyDescent="0.2">
      <c r="A136">
        <f t="shared" si="2"/>
        <v>130</v>
      </c>
      <c r="B136">
        <v>2009</v>
      </c>
      <c r="C136" t="s">
        <v>188</v>
      </c>
      <c r="D136" t="s">
        <v>199</v>
      </c>
      <c r="E136" s="65">
        <v>1020</v>
      </c>
      <c r="F136" s="33">
        <v>0.51</v>
      </c>
      <c r="H136" t="s">
        <v>144</v>
      </c>
      <c r="J136" t="s">
        <v>82</v>
      </c>
      <c r="K136" t="s">
        <v>183</v>
      </c>
      <c r="L136" s="17"/>
      <c r="M136" s="28" t="s">
        <v>178</v>
      </c>
    </row>
    <row r="137" spans="1:13" x14ac:dyDescent="0.2">
      <c r="A137">
        <f t="shared" si="2"/>
        <v>131</v>
      </c>
      <c r="B137">
        <v>2009</v>
      </c>
      <c r="C137" t="s">
        <v>188</v>
      </c>
      <c r="D137" t="s">
        <v>280</v>
      </c>
      <c r="E137" s="65">
        <v>130</v>
      </c>
      <c r="F137" s="33">
        <v>0.24</v>
      </c>
      <c r="G137" t="s">
        <v>281</v>
      </c>
      <c r="H137" t="s">
        <v>149</v>
      </c>
      <c r="I137" t="s">
        <v>182</v>
      </c>
      <c r="J137" t="s">
        <v>9</v>
      </c>
      <c r="K137" t="s">
        <v>9</v>
      </c>
      <c r="L137" s="17"/>
    </row>
    <row r="138" spans="1:13" x14ac:dyDescent="0.2">
      <c r="A138">
        <f t="shared" si="2"/>
        <v>132</v>
      </c>
      <c r="B138">
        <v>2009</v>
      </c>
      <c r="C138" t="s">
        <v>188</v>
      </c>
      <c r="D138" t="s">
        <v>175</v>
      </c>
      <c r="E138" s="65">
        <v>1390</v>
      </c>
      <c r="F138" s="33">
        <v>0.51</v>
      </c>
      <c r="G138" t="s">
        <v>375</v>
      </c>
      <c r="H138" t="s">
        <v>149</v>
      </c>
      <c r="J138" t="s">
        <v>9</v>
      </c>
      <c r="K138" t="s">
        <v>9</v>
      </c>
      <c r="L138" s="17"/>
    </row>
    <row r="139" spans="1:13" x14ac:dyDescent="0.2">
      <c r="A139">
        <f t="shared" si="2"/>
        <v>133</v>
      </c>
      <c r="B139">
        <v>2009</v>
      </c>
      <c r="C139" t="s">
        <v>188</v>
      </c>
      <c r="D139" t="s">
        <v>263</v>
      </c>
      <c r="E139" s="65">
        <v>1210</v>
      </c>
      <c r="F139" s="33">
        <v>0.01</v>
      </c>
      <c r="G139" t="s">
        <v>293</v>
      </c>
      <c r="H139" t="s">
        <v>146</v>
      </c>
      <c r="I139" t="s">
        <v>275</v>
      </c>
      <c r="J139" t="s">
        <v>131</v>
      </c>
      <c r="K139" t="s">
        <v>131</v>
      </c>
      <c r="L139" s="17"/>
    </row>
    <row r="140" spans="1:13" x14ac:dyDescent="0.2">
      <c r="A140">
        <f t="shared" si="2"/>
        <v>134</v>
      </c>
      <c r="B140">
        <v>2009</v>
      </c>
      <c r="C140" t="s">
        <v>188</v>
      </c>
      <c r="D140" t="s">
        <v>189</v>
      </c>
      <c r="E140" s="65">
        <v>7200</v>
      </c>
      <c r="F140" s="33">
        <v>1</v>
      </c>
      <c r="G140" t="s">
        <v>376</v>
      </c>
      <c r="H140" t="s">
        <v>144</v>
      </c>
      <c r="I140" t="s">
        <v>187</v>
      </c>
      <c r="J140" t="s">
        <v>119</v>
      </c>
      <c r="K140" t="s">
        <v>195</v>
      </c>
      <c r="L140" s="17"/>
    </row>
    <row r="141" spans="1:13" x14ac:dyDescent="0.2">
      <c r="A141">
        <f t="shared" si="2"/>
        <v>135</v>
      </c>
      <c r="B141">
        <v>2009</v>
      </c>
      <c r="C141" t="s">
        <v>188</v>
      </c>
      <c r="D141" t="s">
        <v>263</v>
      </c>
      <c r="E141" s="65">
        <v>500</v>
      </c>
      <c r="G141" t="s">
        <v>264</v>
      </c>
      <c r="H141" t="s">
        <v>146</v>
      </c>
      <c r="I141" t="s">
        <v>253</v>
      </c>
      <c r="J141" t="s">
        <v>131</v>
      </c>
      <c r="K141" t="s">
        <v>131</v>
      </c>
      <c r="L141" s="17"/>
    </row>
    <row r="142" spans="1:13" x14ac:dyDescent="0.2">
      <c r="A142">
        <f t="shared" si="2"/>
        <v>136</v>
      </c>
      <c r="B142">
        <v>2009</v>
      </c>
      <c r="C142" t="s">
        <v>188</v>
      </c>
      <c r="D142" t="s">
        <v>263</v>
      </c>
      <c r="E142" s="65">
        <v>710</v>
      </c>
      <c r="G142" t="s">
        <v>377</v>
      </c>
      <c r="H142" t="s">
        <v>146</v>
      </c>
      <c r="I142" t="s">
        <v>253</v>
      </c>
      <c r="J142" t="s">
        <v>131</v>
      </c>
      <c r="K142" t="s">
        <v>131</v>
      </c>
      <c r="L142" s="17"/>
    </row>
    <row r="143" spans="1:13" x14ac:dyDescent="0.2">
      <c r="A143">
        <f t="shared" si="2"/>
        <v>137</v>
      </c>
      <c r="B143">
        <v>2009</v>
      </c>
      <c r="C143" t="s">
        <v>191</v>
      </c>
      <c r="D143" t="s">
        <v>378</v>
      </c>
      <c r="E143" s="65">
        <v>550</v>
      </c>
      <c r="H143" t="s">
        <v>150</v>
      </c>
      <c r="I143" t="s">
        <v>217</v>
      </c>
      <c r="J143" t="s">
        <v>38</v>
      </c>
      <c r="K143" t="s">
        <v>214</v>
      </c>
      <c r="L143" s="17"/>
      <c r="M143" s="28" t="s">
        <v>178</v>
      </c>
    </row>
    <row r="144" spans="1:13" x14ac:dyDescent="0.2">
      <c r="A144">
        <f t="shared" si="2"/>
        <v>138</v>
      </c>
      <c r="B144">
        <v>2009</v>
      </c>
      <c r="C144" t="s">
        <v>191</v>
      </c>
      <c r="D144" t="s">
        <v>263</v>
      </c>
      <c r="E144" s="65">
        <v>1500</v>
      </c>
      <c r="F144" s="33">
        <v>0.17</v>
      </c>
      <c r="G144" t="s">
        <v>379</v>
      </c>
      <c r="H144" t="s">
        <v>149</v>
      </c>
      <c r="I144" t="s">
        <v>236</v>
      </c>
      <c r="J144" t="s">
        <v>25</v>
      </c>
      <c r="K144" t="s">
        <v>177</v>
      </c>
      <c r="L144" s="17"/>
    </row>
    <row r="145" spans="1:13" x14ac:dyDescent="0.2">
      <c r="A145">
        <f t="shared" si="2"/>
        <v>139</v>
      </c>
      <c r="B145">
        <v>2009</v>
      </c>
      <c r="C145" t="s">
        <v>191</v>
      </c>
      <c r="D145" t="s">
        <v>380</v>
      </c>
      <c r="E145" s="65">
        <v>480</v>
      </c>
      <c r="F145" s="33">
        <v>1</v>
      </c>
      <c r="H145" t="s">
        <v>149</v>
      </c>
      <c r="I145" t="s">
        <v>182</v>
      </c>
      <c r="J145" t="s">
        <v>101</v>
      </c>
      <c r="K145" t="s">
        <v>201</v>
      </c>
      <c r="L145" s="17"/>
      <c r="M145" s="28" t="s">
        <v>178</v>
      </c>
    </row>
    <row r="146" spans="1:13" x14ac:dyDescent="0.2">
      <c r="A146">
        <f t="shared" si="2"/>
        <v>140</v>
      </c>
      <c r="B146">
        <v>2009</v>
      </c>
      <c r="C146" t="s">
        <v>191</v>
      </c>
      <c r="D146" t="s">
        <v>267</v>
      </c>
      <c r="E146" s="65">
        <v>1500</v>
      </c>
      <c r="F146" s="33">
        <v>0.04</v>
      </c>
      <c r="G146" t="s">
        <v>315</v>
      </c>
      <c r="H146" t="s">
        <v>149</v>
      </c>
      <c r="I146" t="s">
        <v>238</v>
      </c>
      <c r="J146" t="s">
        <v>9</v>
      </c>
      <c r="K146" t="s">
        <v>9</v>
      </c>
      <c r="L146" s="17"/>
    </row>
    <row r="147" spans="1:13" x14ac:dyDescent="0.2">
      <c r="A147">
        <f t="shared" si="2"/>
        <v>141</v>
      </c>
      <c r="B147">
        <v>2009</v>
      </c>
      <c r="C147" t="s">
        <v>191</v>
      </c>
      <c r="D147" t="s">
        <v>352</v>
      </c>
      <c r="E147" s="65">
        <v>230</v>
      </c>
      <c r="F147" s="33">
        <v>0.7</v>
      </c>
      <c r="G147" t="s">
        <v>381</v>
      </c>
      <c r="H147" t="s">
        <v>144</v>
      </c>
      <c r="I147" t="s">
        <v>273</v>
      </c>
      <c r="J147" t="s">
        <v>53</v>
      </c>
      <c r="K147" t="s">
        <v>183</v>
      </c>
      <c r="L147" s="17"/>
      <c r="M147" s="28" t="s">
        <v>178</v>
      </c>
    </row>
    <row r="148" spans="1:13" x14ac:dyDescent="0.2">
      <c r="A148">
        <f t="shared" si="2"/>
        <v>142</v>
      </c>
      <c r="B148">
        <v>2009</v>
      </c>
      <c r="C148" t="s">
        <v>191</v>
      </c>
      <c r="D148" t="s">
        <v>263</v>
      </c>
      <c r="E148" s="65">
        <v>370</v>
      </c>
      <c r="F148" s="33">
        <v>0.01</v>
      </c>
      <c r="G148" t="s">
        <v>382</v>
      </c>
      <c r="H148" t="s">
        <v>142</v>
      </c>
      <c r="J148" t="s">
        <v>20</v>
      </c>
      <c r="K148" t="s">
        <v>195</v>
      </c>
      <c r="L148" s="17"/>
    </row>
    <row r="149" spans="1:13" x14ac:dyDescent="0.2">
      <c r="A149">
        <f t="shared" si="2"/>
        <v>143</v>
      </c>
      <c r="B149">
        <v>2009</v>
      </c>
      <c r="C149" t="s">
        <v>191</v>
      </c>
      <c r="D149" t="s">
        <v>383</v>
      </c>
      <c r="E149" s="65">
        <v>740</v>
      </c>
      <c r="F149" s="33" t="s">
        <v>384</v>
      </c>
      <c r="H149" t="s">
        <v>151</v>
      </c>
      <c r="I149" t="s">
        <v>224</v>
      </c>
      <c r="J149" t="s">
        <v>76</v>
      </c>
      <c r="K149" t="s">
        <v>219</v>
      </c>
      <c r="L149" s="17"/>
      <c r="M149" s="28" t="s">
        <v>178</v>
      </c>
    </row>
    <row r="150" spans="1:13" x14ac:dyDescent="0.2">
      <c r="A150">
        <f t="shared" si="2"/>
        <v>144</v>
      </c>
      <c r="B150">
        <v>2009</v>
      </c>
      <c r="C150" t="s">
        <v>198</v>
      </c>
      <c r="D150" t="s">
        <v>263</v>
      </c>
      <c r="E150" s="65">
        <v>450</v>
      </c>
      <c r="F150" s="33">
        <v>0.19</v>
      </c>
      <c r="G150" t="s">
        <v>385</v>
      </c>
      <c r="H150" t="s">
        <v>151</v>
      </c>
      <c r="I150" t="s">
        <v>224</v>
      </c>
      <c r="J150" t="s">
        <v>20</v>
      </c>
      <c r="K150" t="s">
        <v>195</v>
      </c>
      <c r="L150" s="17"/>
    </row>
    <row r="151" spans="1:13" x14ac:dyDescent="0.2">
      <c r="A151">
        <f t="shared" si="2"/>
        <v>145</v>
      </c>
      <c r="B151">
        <v>2009</v>
      </c>
      <c r="C151" t="s">
        <v>198</v>
      </c>
      <c r="D151" t="s">
        <v>199</v>
      </c>
      <c r="E151" s="65">
        <v>1740</v>
      </c>
      <c r="F151" s="33">
        <v>0.6</v>
      </c>
      <c r="G151" t="s">
        <v>386</v>
      </c>
      <c r="H151" t="s">
        <v>144</v>
      </c>
      <c r="I151" t="s">
        <v>187</v>
      </c>
      <c r="J151" t="s">
        <v>25</v>
      </c>
      <c r="K151" t="s">
        <v>177</v>
      </c>
      <c r="L151" s="17"/>
    </row>
    <row r="152" spans="1:13" x14ac:dyDescent="0.2">
      <c r="A152">
        <f t="shared" si="2"/>
        <v>146</v>
      </c>
      <c r="B152">
        <v>2009</v>
      </c>
      <c r="C152" t="s">
        <v>198</v>
      </c>
      <c r="D152" t="s">
        <v>185</v>
      </c>
      <c r="E152" s="65">
        <v>100</v>
      </c>
      <c r="G152" t="s">
        <v>387</v>
      </c>
      <c r="H152" t="s">
        <v>144</v>
      </c>
      <c r="I152" t="s">
        <v>299</v>
      </c>
      <c r="J152" t="s">
        <v>100</v>
      </c>
      <c r="K152" t="s">
        <v>214</v>
      </c>
      <c r="L152" s="17"/>
      <c r="M152" s="28" t="s">
        <v>178</v>
      </c>
    </row>
    <row r="153" spans="1:13" x14ac:dyDescent="0.2">
      <c r="A153">
        <f t="shared" si="2"/>
        <v>147</v>
      </c>
      <c r="B153">
        <v>2009</v>
      </c>
      <c r="C153" t="s">
        <v>198</v>
      </c>
      <c r="D153" t="s">
        <v>313</v>
      </c>
      <c r="E153" s="65">
        <v>880</v>
      </c>
      <c r="F153" s="33">
        <v>1</v>
      </c>
      <c r="G153" t="s">
        <v>388</v>
      </c>
      <c r="H153" t="s">
        <v>144</v>
      </c>
      <c r="J153" t="s">
        <v>20</v>
      </c>
      <c r="K153" t="s">
        <v>195</v>
      </c>
      <c r="L153" s="17"/>
    </row>
    <row r="154" spans="1:13" x14ac:dyDescent="0.2">
      <c r="A154">
        <f t="shared" si="2"/>
        <v>148</v>
      </c>
      <c r="B154">
        <v>2009</v>
      </c>
      <c r="C154" t="s">
        <v>198</v>
      </c>
      <c r="D154" t="s">
        <v>389</v>
      </c>
      <c r="E154" s="65">
        <v>2950</v>
      </c>
      <c r="F154" s="33">
        <v>1</v>
      </c>
      <c r="G154" t="s">
        <v>390</v>
      </c>
      <c r="H154" t="s">
        <v>144</v>
      </c>
      <c r="I154" t="s">
        <v>273</v>
      </c>
      <c r="J154" t="s">
        <v>9</v>
      </c>
      <c r="K154" t="s">
        <v>9</v>
      </c>
      <c r="L154" s="17"/>
    </row>
    <row r="155" spans="1:13" x14ac:dyDescent="0.2">
      <c r="A155">
        <f t="shared" si="2"/>
        <v>149</v>
      </c>
      <c r="B155">
        <v>2009</v>
      </c>
      <c r="C155" t="s">
        <v>198</v>
      </c>
      <c r="D155" t="s">
        <v>263</v>
      </c>
      <c r="E155" s="65">
        <v>1090</v>
      </c>
      <c r="G155" t="s">
        <v>391</v>
      </c>
      <c r="H155" t="s">
        <v>151</v>
      </c>
      <c r="I155" t="s">
        <v>224</v>
      </c>
      <c r="J155" t="s">
        <v>9</v>
      </c>
      <c r="K155" t="s">
        <v>9</v>
      </c>
      <c r="L155" s="17"/>
    </row>
    <row r="156" spans="1:13" x14ac:dyDescent="0.2">
      <c r="A156">
        <f t="shared" si="2"/>
        <v>150</v>
      </c>
      <c r="B156">
        <v>2009</v>
      </c>
      <c r="C156" t="s">
        <v>198</v>
      </c>
      <c r="D156" t="s">
        <v>199</v>
      </c>
      <c r="E156" s="65">
        <v>470</v>
      </c>
      <c r="F156" s="33">
        <v>0.6</v>
      </c>
      <c r="H156" t="s">
        <v>144</v>
      </c>
      <c r="I156" t="s">
        <v>187</v>
      </c>
      <c r="J156" t="s">
        <v>26</v>
      </c>
      <c r="K156" t="s">
        <v>219</v>
      </c>
      <c r="L156" s="17"/>
      <c r="M156" s="28" t="s">
        <v>178</v>
      </c>
    </row>
    <row r="157" spans="1:13" x14ac:dyDescent="0.2">
      <c r="A157">
        <f t="shared" si="2"/>
        <v>151</v>
      </c>
      <c r="B157">
        <v>2009</v>
      </c>
      <c r="C157" t="s">
        <v>198</v>
      </c>
      <c r="D157" t="s">
        <v>199</v>
      </c>
      <c r="E157" s="65">
        <v>1190</v>
      </c>
      <c r="H157" t="s">
        <v>144</v>
      </c>
      <c r="I157" t="s">
        <v>299</v>
      </c>
      <c r="J157" t="s">
        <v>129</v>
      </c>
      <c r="K157" t="s">
        <v>201</v>
      </c>
      <c r="L157" s="17"/>
      <c r="M157" s="28" t="s">
        <v>178</v>
      </c>
    </row>
    <row r="158" spans="1:13" x14ac:dyDescent="0.2">
      <c r="A158">
        <f t="shared" si="2"/>
        <v>152</v>
      </c>
      <c r="B158">
        <v>2009</v>
      </c>
      <c r="C158" t="s">
        <v>202</v>
      </c>
      <c r="D158" t="s">
        <v>392</v>
      </c>
      <c r="E158" s="65">
        <v>1000</v>
      </c>
      <c r="F158" s="33">
        <v>0.01</v>
      </c>
      <c r="G158" t="s">
        <v>393</v>
      </c>
      <c r="H158" t="s">
        <v>152</v>
      </c>
      <c r="I158" t="s">
        <v>257</v>
      </c>
      <c r="J158" t="s">
        <v>114</v>
      </c>
      <c r="K158" t="s">
        <v>195</v>
      </c>
      <c r="L158" s="17"/>
    </row>
    <row r="159" spans="1:13" x14ac:dyDescent="0.2">
      <c r="A159">
        <f t="shared" si="2"/>
        <v>153</v>
      </c>
      <c r="B159">
        <v>2009</v>
      </c>
      <c r="C159" t="s">
        <v>202</v>
      </c>
      <c r="D159" t="s">
        <v>199</v>
      </c>
      <c r="E159" s="65">
        <v>1160</v>
      </c>
      <c r="F159" s="33">
        <v>0.5</v>
      </c>
      <c r="G159" t="s">
        <v>394</v>
      </c>
      <c r="H159" t="s">
        <v>144</v>
      </c>
      <c r="I159" t="s">
        <v>187</v>
      </c>
      <c r="J159" t="s">
        <v>108</v>
      </c>
      <c r="K159" t="s">
        <v>183</v>
      </c>
      <c r="L159" s="17"/>
    </row>
    <row r="160" spans="1:13" x14ac:dyDescent="0.2">
      <c r="A160">
        <f t="shared" si="2"/>
        <v>154</v>
      </c>
      <c r="B160">
        <v>2009</v>
      </c>
      <c r="C160" t="s">
        <v>202</v>
      </c>
      <c r="D160" t="s">
        <v>263</v>
      </c>
      <c r="E160" s="65">
        <v>940</v>
      </c>
      <c r="F160" s="33">
        <v>0.11</v>
      </c>
      <c r="G160" t="s">
        <v>395</v>
      </c>
      <c r="H160" t="s">
        <v>144</v>
      </c>
      <c r="I160" t="s">
        <v>299</v>
      </c>
      <c r="J160" t="s">
        <v>63</v>
      </c>
      <c r="K160" t="s">
        <v>201</v>
      </c>
      <c r="L160" s="17"/>
    </row>
    <row r="161" spans="1:13" x14ac:dyDescent="0.2">
      <c r="A161">
        <f t="shared" si="2"/>
        <v>155</v>
      </c>
      <c r="B161">
        <v>2009</v>
      </c>
      <c r="C161" t="s">
        <v>202</v>
      </c>
      <c r="D161" t="s">
        <v>263</v>
      </c>
      <c r="E161" s="65">
        <v>1200</v>
      </c>
      <c r="G161" t="s">
        <v>396</v>
      </c>
      <c r="H161" t="s">
        <v>151</v>
      </c>
      <c r="I161" t="s">
        <v>224</v>
      </c>
      <c r="J161" t="s">
        <v>131</v>
      </c>
      <c r="K161" t="s">
        <v>131</v>
      </c>
      <c r="L161" s="17"/>
    </row>
    <row r="162" spans="1:13" x14ac:dyDescent="0.2">
      <c r="A162">
        <f t="shared" si="2"/>
        <v>156</v>
      </c>
      <c r="B162">
        <v>2009</v>
      </c>
      <c r="C162" t="s">
        <v>202</v>
      </c>
      <c r="D162" t="s">
        <v>397</v>
      </c>
      <c r="E162" s="65">
        <v>100</v>
      </c>
      <c r="F162" s="33">
        <v>2.75E-2</v>
      </c>
      <c r="G162" t="s">
        <v>398</v>
      </c>
      <c r="H162" t="s">
        <v>153</v>
      </c>
      <c r="J162" t="s">
        <v>12</v>
      </c>
      <c r="K162" t="s">
        <v>177</v>
      </c>
      <c r="L162" s="17"/>
      <c r="M162" s="28" t="s">
        <v>178</v>
      </c>
    </row>
    <row r="163" spans="1:13" x14ac:dyDescent="0.2">
      <c r="A163">
        <f t="shared" si="2"/>
        <v>157</v>
      </c>
      <c r="B163">
        <v>2009</v>
      </c>
      <c r="C163" t="s">
        <v>202</v>
      </c>
      <c r="D163" t="s">
        <v>399</v>
      </c>
      <c r="E163" s="65">
        <v>350</v>
      </c>
      <c r="F163" s="33">
        <v>0.4</v>
      </c>
      <c r="G163" t="s">
        <v>400</v>
      </c>
      <c r="H163" t="s">
        <v>150</v>
      </c>
      <c r="I163" t="s">
        <v>217</v>
      </c>
      <c r="J163" t="s">
        <v>131</v>
      </c>
      <c r="K163" t="s">
        <v>131</v>
      </c>
      <c r="L163" s="17"/>
    </row>
    <row r="164" spans="1:13" x14ac:dyDescent="0.2">
      <c r="A164">
        <f t="shared" si="2"/>
        <v>158</v>
      </c>
      <c r="B164">
        <v>2009</v>
      </c>
      <c r="C164" t="s">
        <v>202</v>
      </c>
      <c r="D164" t="s">
        <v>283</v>
      </c>
      <c r="E164" s="65">
        <v>530</v>
      </c>
      <c r="G164" t="s">
        <v>401</v>
      </c>
      <c r="H164" t="s">
        <v>146</v>
      </c>
      <c r="I164" t="s">
        <v>275</v>
      </c>
      <c r="J164" t="s">
        <v>124</v>
      </c>
      <c r="K164" t="s">
        <v>183</v>
      </c>
      <c r="L164" s="17"/>
    </row>
    <row r="165" spans="1:13" x14ac:dyDescent="0.2">
      <c r="A165">
        <f t="shared" si="2"/>
        <v>159</v>
      </c>
      <c r="B165">
        <v>2009</v>
      </c>
      <c r="C165" t="s">
        <v>207</v>
      </c>
      <c r="D165" t="s">
        <v>263</v>
      </c>
      <c r="E165" s="65">
        <v>250</v>
      </c>
      <c r="F165" s="33">
        <v>0.13</v>
      </c>
      <c r="G165" t="s">
        <v>402</v>
      </c>
      <c r="H165" t="s">
        <v>144</v>
      </c>
      <c r="I165" t="s">
        <v>273</v>
      </c>
      <c r="J165" t="s">
        <v>78</v>
      </c>
      <c r="K165" t="s">
        <v>183</v>
      </c>
      <c r="L165" s="17"/>
    </row>
    <row r="166" spans="1:13" x14ac:dyDescent="0.2">
      <c r="A166">
        <f t="shared" si="2"/>
        <v>160</v>
      </c>
      <c r="B166">
        <v>2009</v>
      </c>
      <c r="C166" t="s">
        <v>207</v>
      </c>
      <c r="D166" t="s">
        <v>263</v>
      </c>
      <c r="E166" s="65">
        <v>300</v>
      </c>
      <c r="F166" s="33">
        <v>0.45</v>
      </c>
      <c r="G166" t="s">
        <v>403</v>
      </c>
      <c r="H166" t="s">
        <v>144</v>
      </c>
      <c r="I166" t="s">
        <v>187</v>
      </c>
      <c r="J166" t="s">
        <v>101</v>
      </c>
      <c r="K166" t="s">
        <v>201</v>
      </c>
      <c r="L166" s="17"/>
    </row>
    <row r="167" spans="1:13" x14ac:dyDescent="0.2">
      <c r="A167">
        <f t="shared" si="2"/>
        <v>161</v>
      </c>
      <c r="B167">
        <v>2009</v>
      </c>
      <c r="C167" t="s">
        <v>207</v>
      </c>
      <c r="D167" t="s">
        <v>199</v>
      </c>
      <c r="E167" s="65">
        <v>260</v>
      </c>
      <c r="H167" t="s">
        <v>144</v>
      </c>
      <c r="I167" t="s">
        <v>187</v>
      </c>
      <c r="J167" t="s">
        <v>116</v>
      </c>
      <c r="K167" t="s">
        <v>214</v>
      </c>
      <c r="L167" s="17"/>
      <c r="M167" s="28" t="s">
        <v>178</v>
      </c>
    </row>
    <row r="168" spans="1:13" x14ac:dyDescent="0.2">
      <c r="A168">
        <f t="shared" si="2"/>
        <v>162</v>
      </c>
      <c r="B168">
        <v>2009</v>
      </c>
      <c r="C168" t="s">
        <v>207</v>
      </c>
      <c r="D168" t="s">
        <v>199</v>
      </c>
      <c r="E168" s="65">
        <v>5590</v>
      </c>
      <c r="F168" s="33">
        <v>0.37</v>
      </c>
      <c r="G168" t="s">
        <v>404</v>
      </c>
      <c r="H168" t="s">
        <v>144</v>
      </c>
      <c r="I168" t="s">
        <v>187</v>
      </c>
      <c r="J168" t="s">
        <v>55</v>
      </c>
      <c r="K168" t="s">
        <v>214</v>
      </c>
      <c r="L168" s="17"/>
      <c r="M168" s="28" t="s">
        <v>178</v>
      </c>
    </row>
    <row r="169" spans="1:13" x14ac:dyDescent="0.2">
      <c r="A169">
        <f t="shared" si="2"/>
        <v>163</v>
      </c>
      <c r="B169">
        <v>2009</v>
      </c>
      <c r="C169" t="s">
        <v>240</v>
      </c>
      <c r="D169" t="s">
        <v>405</v>
      </c>
      <c r="E169" s="65">
        <v>240</v>
      </c>
      <c r="F169" s="33">
        <v>0.15</v>
      </c>
      <c r="G169" t="s">
        <v>406</v>
      </c>
      <c r="H169" t="s">
        <v>149</v>
      </c>
      <c r="I169" t="s">
        <v>182</v>
      </c>
      <c r="J169" t="s">
        <v>9</v>
      </c>
      <c r="K169" t="s">
        <v>9</v>
      </c>
      <c r="L169" s="17"/>
    </row>
    <row r="170" spans="1:13" x14ac:dyDescent="0.2">
      <c r="A170">
        <f t="shared" si="2"/>
        <v>164</v>
      </c>
      <c r="B170">
        <v>2009</v>
      </c>
      <c r="C170" t="s">
        <v>240</v>
      </c>
      <c r="D170" t="s">
        <v>263</v>
      </c>
      <c r="E170" s="65">
        <v>1580</v>
      </c>
      <c r="F170" s="33">
        <v>0.15</v>
      </c>
      <c r="G170" t="s">
        <v>407</v>
      </c>
      <c r="H170" t="s">
        <v>144</v>
      </c>
      <c r="J170" t="s">
        <v>131</v>
      </c>
      <c r="K170" t="s">
        <v>131</v>
      </c>
      <c r="L170" s="17"/>
    </row>
    <row r="171" spans="1:13" x14ac:dyDescent="0.2">
      <c r="A171">
        <f t="shared" si="2"/>
        <v>165</v>
      </c>
      <c r="B171">
        <v>2009</v>
      </c>
      <c r="C171" t="s">
        <v>240</v>
      </c>
      <c r="D171" t="s">
        <v>359</v>
      </c>
      <c r="E171" s="65">
        <v>100</v>
      </c>
      <c r="G171" t="s">
        <v>408</v>
      </c>
      <c r="H171" t="s">
        <v>154</v>
      </c>
      <c r="I171" t="s">
        <v>194</v>
      </c>
      <c r="J171" t="s">
        <v>131</v>
      </c>
      <c r="K171" t="s">
        <v>131</v>
      </c>
      <c r="L171" s="17"/>
    </row>
    <row r="172" spans="1:13" x14ac:dyDescent="0.2">
      <c r="A172">
        <f t="shared" si="2"/>
        <v>166</v>
      </c>
      <c r="B172">
        <v>2009</v>
      </c>
      <c r="C172" t="s">
        <v>240</v>
      </c>
      <c r="D172" t="s">
        <v>360</v>
      </c>
      <c r="E172" s="65">
        <v>400</v>
      </c>
      <c r="F172" s="33">
        <v>0.22</v>
      </c>
      <c r="G172" t="s">
        <v>409</v>
      </c>
      <c r="H172" t="s">
        <v>149</v>
      </c>
      <c r="I172" t="s">
        <v>182</v>
      </c>
      <c r="J172" t="s">
        <v>19</v>
      </c>
      <c r="K172" t="s">
        <v>205</v>
      </c>
      <c r="L172" s="17"/>
    </row>
    <row r="173" spans="1:13" x14ac:dyDescent="0.2">
      <c r="A173">
        <f t="shared" si="2"/>
        <v>167</v>
      </c>
      <c r="B173">
        <v>2009</v>
      </c>
      <c r="C173" t="s">
        <v>240</v>
      </c>
      <c r="D173" t="s">
        <v>410</v>
      </c>
      <c r="E173" s="65">
        <v>120</v>
      </c>
      <c r="G173" t="s">
        <v>411</v>
      </c>
      <c r="H173" t="s">
        <v>154</v>
      </c>
      <c r="I173" t="s">
        <v>194</v>
      </c>
      <c r="J173" t="s">
        <v>22</v>
      </c>
      <c r="K173" t="s">
        <v>195</v>
      </c>
      <c r="L173" s="17"/>
      <c r="M173" s="28" t="s">
        <v>178</v>
      </c>
    </row>
    <row r="174" spans="1:13" x14ac:dyDescent="0.2">
      <c r="A174">
        <f t="shared" si="2"/>
        <v>168</v>
      </c>
      <c r="B174">
        <v>2009</v>
      </c>
      <c r="C174" t="s">
        <v>240</v>
      </c>
      <c r="D174" t="s">
        <v>360</v>
      </c>
      <c r="E174" s="65">
        <v>250</v>
      </c>
      <c r="F174" s="33">
        <v>0.15</v>
      </c>
      <c r="G174" t="s">
        <v>412</v>
      </c>
      <c r="H174" t="s">
        <v>149</v>
      </c>
      <c r="I174" t="s">
        <v>182</v>
      </c>
      <c r="J174" t="s">
        <v>9</v>
      </c>
      <c r="K174" t="s">
        <v>9</v>
      </c>
      <c r="L174" s="17"/>
    </row>
    <row r="175" spans="1:13" x14ac:dyDescent="0.2">
      <c r="A175">
        <f t="shared" si="2"/>
        <v>169</v>
      </c>
      <c r="B175">
        <v>2009</v>
      </c>
      <c r="C175" t="s">
        <v>240</v>
      </c>
      <c r="D175" t="s">
        <v>185</v>
      </c>
      <c r="E175" s="65">
        <v>100</v>
      </c>
      <c r="G175" t="s">
        <v>413</v>
      </c>
      <c r="H175" t="s">
        <v>144</v>
      </c>
      <c r="I175" t="s">
        <v>187</v>
      </c>
      <c r="J175" t="s">
        <v>131</v>
      </c>
      <c r="K175" t="s">
        <v>131</v>
      </c>
      <c r="L175" s="17"/>
    </row>
    <row r="176" spans="1:13" x14ac:dyDescent="0.2">
      <c r="A176">
        <f t="shared" si="2"/>
        <v>170</v>
      </c>
      <c r="B176">
        <v>2009</v>
      </c>
      <c r="C176" t="s">
        <v>212</v>
      </c>
      <c r="D176" t="s">
        <v>414</v>
      </c>
      <c r="E176" s="65">
        <v>200</v>
      </c>
      <c r="G176" t="s">
        <v>415</v>
      </c>
      <c r="H176" t="s">
        <v>154</v>
      </c>
      <c r="I176" t="s">
        <v>194</v>
      </c>
      <c r="J176" t="s">
        <v>131</v>
      </c>
      <c r="K176" t="s">
        <v>131</v>
      </c>
      <c r="L176" s="17"/>
    </row>
    <row r="177" spans="1:13" x14ac:dyDescent="0.2">
      <c r="A177">
        <f t="shared" si="2"/>
        <v>171</v>
      </c>
      <c r="B177">
        <v>2009</v>
      </c>
      <c r="C177" t="s">
        <v>212</v>
      </c>
      <c r="D177" t="s">
        <v>416</v>
      </c>
      <c r="E177" s="65">
        <v>350</v>
      </c>
      <c r="F177" s="33">
        <v>0.5</v>
      </c>
      <c r="G177" t="s">
        <v>417</v>
      </c>
      <c r="H177" t="s">
        <v>154</v>
      </c>
      <c r="I177" t="s">
        <v>194</v>
      </c>
      <c r="J177" t="s">
        <v>52</v>
      </c>
      <c r="K177" t="s">
        <v>201</v>
      </c>
      <c r="L177" s="17"/>
    </row>
    <row r="178" spans="1:13" x14ac:dyDescent="0.2">
      <c r="A178">
        <f t="shared" si="2"/>
        <v>172</v>
      </c>
      <c r="B178">
        <v>2009</v>
      </c>
      <c r="C178" t="s">
        <v>212</v>
      </c>
      <c r="D178" t="s">
        <v>418</v>
      </c>
      <c r="E178" s="65">
        <v>150</v>
      </c>
      <c r="F178" s="33">
        <v>0.5</v>
      </c>
      <c r="G178" t="s">
        <v>419</v>
      </c>
      <c r="H178" t="s">
        <v>153</v>
      </c>
      <c r="J178" t="s">
        <v>131</v>
      </c>
      <c r="K178" t="s">
        <v>131</v>
      </c>
      <c r="L178" s="17"/>
    </row>
    <row r="179" spans="1:13" x14ac:dyDescent="0.2">
      <c r="A179">
        <f t="shared" si="2"/>
        <v>173</v>
      </c>
      <c r="B179">
        <v>2009</v>
      </c>
      <c r="C179" t="s">
        <v>212</v>
      </c>
      <c r="D179" t="s">
        <v>263</v>
      </c>
      <c r="E179" s="65">
        <v>500</v>
      </c>
      <c r="G179" t="s">
        <v>420</v>
      </c>
      <c r="H179" t="s">
        <v>149</v>
      </c>
      <c r="I179" t="s">
        <v>182</v>
      </c>
      <c r="J179" t="s">
        <v>19</v>
      </c>
      <c r="K179" t="s">
        <v>205</v>
      </c>
      <c r="L179" s="17"/>
    </row>
    <row r="180" spans="1:13" x14ac:dyDescent="0.2">
      <c r="A180">
        <f t="shared" si="2"/>
        <v>174</v>
      </c>
      <c r="B180">
        <v>2009</v>
      </c>
      <c r="C180" t="s">
        <v>212</v>
      </c>
      <c r="D180" s="52" t="s">
        <v>255</v>
      </c>
      <c r="E180" s="65">
        <v>500</v>
      </c>
      <c r="H180" t="s">
        <v>152</v>
      </c>
      <c r="I180" t="s">
        <v>257</v>
      </c>
      <c r="J180" t="s">
        <v>93</v>
      </c>
      <c r="K180" t="s">
        <v>201</v>
      </c>
      <c r="L180" s="17"/>
      <c r="M180" s="28" t="s">
        <v>178</v>
      </c>
    </row>
    <row r="181" spans="1:13" x14ac:dyDescent="0.2">
      <c r="A181">
        <f t="shared" si="2"/>
        <v>175</v>
      </c>
      <c r="B181">
        <v>2009</v>
      </c>
      <c r="C181" t="s">
        <v>212</v>
      </c>
      <c r="D181" t="s">
        <v>421</v>
      </c>
      <c r="E181" s="65">
        <v>140</v>
      </c>
      <c r="F181" s="33">
        <v>0.81</v>
      </c>
      <c r="G181" t="s">
        <v>422</v>
      </c>
      <c r="H181" t="s">
        <v>154</v>
      </c>
      <c r="I181" t="s">
        <v>250</v>
      </c>
      <c r="J181" t="s">
        <v>10</v>
      </c>
      <c r="K181" t="s">
        <v>195</v>
      </c>
      <c r="L181" s="17"/>
    </row>
    <row r="182" spans="1:13" x14ac:dyDescent="0.2">
      <c r="A182">
        <f t="shared" si="2"/>
        <v>176</v>
      </c>
      <c r="B182">
        <v>2010</v>
      </c>
      <c r="C182" t="s">
        <v>172</v>
      </c>
      <c r="D182" t="s">
        <v>423</v>
      </c>
      <c r="E182" s="65">
        <v>110</v>
      </c>
      <c r="F182" s="33">
        <v>1</v>
      </c>
      <c r="H182" t="s">
        <v>150</v>
      </c>
      <c r="I182" t="s">
        <v>217</v>
      </c>
      <c r="J182" t="s">
        <v>134</v>
      </c>
      <c r="K182" t="s">
        <v>201</v>
      </c>
      <c r="L182" s="17"/>
      <c r="M182" s="28" t="s">
        <v>178</v>
      </c>
    </row>
    <row r="183" spans="1:13" x14ac:dyDescent="0.2">
      <c r="A183">
        <f t="shared" si="2"/>
        <v>177</v>
      </c>
      <c r="B183">
        <v>2010</v>
      </c>
      <c r="C183" t="s">
        <v>172</v>
      </c>
      <c r="D183" t="s">
        <v>424</v>
      </c>
      <c r="E183" s="65">
        <v>200</v>
      </c>
      <c r="F183" s="33">
        <v>1</v>
      </c>
      <c r="H183" t="s">
        <v>150</v>
      </c>
      <c r="I183" t="s">
        <v>226</v>
      </c>
      <c r="J183" t="s">
        <v>67</v>
      </c>
      <c r="K183" t="s">
        <v>183</v>
      </c>
      <c r="L183" s="17"/>
      <c r="M183" s="28" t="s">
        <v>178</v>
      </c>
    </row>
    <row r="184" spans="1:13" x14ac:dyDescent="0.2">
      <c r="A184">
        <f t="shared" si="2"/>
        <v>178</v>
      </c>
      <c r="B184">
        <v>2010</v>
      </c>
      <c r="C184" t="s">
        <v>172</v>
      </c>
      <c r="D184" t="s">
        <v>425</v>
      </c>
      <c r="E184" s="65">
        <v>190</v>
      </c>
      <c r="F184" s="33">
        <v>0.6</v>
      </c>
      <c r="G184" t="s">
        <v>426</v>
      </c>
      <c r="H184" t="s">
        <v>149</v>
      </c>
      <c r="J184" t="s">
        <v>134</v>
      </c>
      <c r="K184" t="s">
        <v>201</v>
      </c>
      <c r="L184" s="17"/>
    </row>
    <row r="185" spans="1:13" x14ac:dyDescent="0.2">
      <c r="A185">
        <f t="shared" si="2"/>
        <v>179</v>
      </c>
      <c r="B185">
        <v>2010</v>
      </c>
      <c r="C185" t="s">
        <v>172</v>
      </c>
      <c r="D185" t="s">
        <v>427</v>
      </c>
      <c r="E185" s="65">
        <v>650</v>
      </c>
      <c r="F185" s="33" t="s">
        <v>428</v>
      </c>
      <c r="G185" t="s">
        <v>429</v>
      </c>
      <c r="H185" t="s">
        <v>149</v>
      </c>
      <c r="I185" t="s">
        <v>236</v>
      </c>
      <c r="J185" t="s">
        <v>37</v>
      </c>
      <c r="K185" t="s">
        <v>205</v>
      </c>
      <c r="L185" s="17"/>
    </row>
    <row r="186" spans="1:13" x14ac:dyDescent="0.2">
      <c r="A186">
        <f t="shared" si="2"/>
        <v>180</v>
      </c>
      <c r="B186">
        <v>2010</v>
      </c>
      <c r="C186" t="s">
        <v>172</v>
      </c>
      <c r="D186" t="s">
        <v>430</v>
      </c>
      <c r="E186" s="65">
        <v>1910</v>
      </c>
      <c r="F186" s="33">
        <v>0.7</v>
      </c>
      <c r="H186" t="s">
        <v>149</v>
      </c>
      <c r="I186" t="s">
        <v>182</v>
      </c>
      <c r="J186" t="s">
        <v>27</v>
      </c>
      <c r="K186" t="s">
        <v>205</v>
      </c>
      <c r="L186" s="17"/>
      <c r="M186" s="28" t="s">
        <v>178</v>
      </c>
    </row>
    <row r="187" spans="1:13" x14ac:dyDescent="0.2">
      <c r="A187">
        <f t="shared" si="2"/>
        <v>181</v>
      </c>
      <c r="B187">
        <v>2010</v>
      </c>
      <c r="C187" t="s">
        <v>258</v>
      </c>
      <c r="D187" t="s">
        <v>267</v>
      </c>
      <c r="E187" s="65">
        <v>350</v>
      </c>
      <c r="F187" s="33">
        <v>0.35</v>
      </c>
      <c r="G187" t="s">
        <v>431</v>
      </c>
      <c r="H187" t="s">
        <v>149</v>
      </c>
      <c r="I187" t="s">
        <v>238</v>
      </c>
      <c r="J187" t="s">
        <v>72</v>
      </c>
      <c r="K187" t="s">
        <v>183</v>
      </c>
      <c r="L187" s="17"/>
      <c r="M187" s="28" t="s">
        <v>178</v>
      </c>
    </row>
    <row r="188" spans="1:13" x14ac:dyDescent="0.2">
      <c r="A188">
        <f t="shared" si="2"/>
        <v>182</v>
      </c>
      <c r="B188">
        <v>2010</v>
      </c>
      <c r="C188" t="s">
        <v>258</v>
      </c>
      <c r="D188" t="s">
        <v>263</v>
      </c>
      <c r="E188" s="65">
        <v>960</v>
      </c>
      <c r="F188" s="33">
        <v>2.3E-2</v>
      </c>
      <c r="G188" t="s">
        <v>432</v>
      </c>
      <c r="H188" t="s">
        <v>146</v>
      </c>
      <c r="I188" t="s">
        <v>253</v>
      </c>
      <c r="J188" t="s">
        <v>20</v>
      </c>
      <c r="K188" t="s">
        <v>195</v>
      </c>
      <c r="L188" s="17"/>
    </row>
    <row r="189" spans="1:13" x14ac:dyDescent="0.2">
      <c r="A189">
        <f t="shared" si="2"/>
        <v>183</v>
      </c>
      <c r="B189">
        <v>2010</v>
      </c>
      <c r="C189" t="s">
        <v>258</v>
      </c>
      <c r="D189" t="s">
        <v>263</v>
      </c>
      <c r="E189" s="65">
        <v>1500</v>
      </c>
      <c r="G189" t="s">
        <v>433</v>
      </c>
      <c r="H189" t="s">
        <v>146</v>
      </c>
      <c r="I189" t="s">
        <v>253</v>
      </c>
      <c r="J189" t="s">
        <v>131</v>
      </c>
      <c r="K189" t="s">
        <v>131</v>
      </c>
      <c r="L189" s="17"/>
    </row>
    <row r="190" spans="1:13" x14ac:dyDescent="0.2">
      <c r="A190">
        <f t="shared" si="2"/>
        <v>184</v>
      </c>
      <c r="B190">
        <v>2010</v>
      </c>
      <c r="C190" t="s">
        <v>258</v>
      </c>
      <c r="D190" t="s">
        <v>434</v>
      </c>
      <c r="E190" s="65">
        <v>190</v>
      </c>
      <c r="G190" t="s">
        <v>435</v>
      </c>
      <c r="H190" t="s">
        <v>143</v>
      </c>
      <c r="J190" t="s">
        <v>51</v>
      </c>
      <c r="K190" t="s">
        <v>195</v>
      </c>
      <c r="L190" s="17"/>
    </row>
    <row r="191" spans="1:13" x14ac:dyDescent="0.2">
      <c r="A191">
        <f t="shared" si="2"/>
        <v>185</v>
      </c>
      <c r="B191">
        <v>2010</v>
      </c>
      <c r="C191" t="s">
        <v>258</v>
      </c>
      <c r="D191" t="s">
        <v>278</v>
      </c>
      <c r="E191" s="65">
        <v>200</v>
      </c>
      <c r="F191" s="33">
        <v>1</v>
      </c>
      <c r="H191" t="s">
        <v>151</v>
      </c>
      <c r="I191" t="s">
        <v>279</v>
      </c>
      <c r="J191" t="s">
        <v>19</v>
      </c>
      <c r="K191" t="s">
        <v>205</v>
      </c>
      <c r="L191" s="17"/>
      <c r="M191" s="28" t="s">
        <v>178</v>
      </c>
    </row>
    <row r="192" spans="1:13" x14ac:dyDescent="0.2">
      <c r="A192">
        <f t="shared" si="2"/>
        <v>186</v>
      </c>
      <c r="B192">
        <v>2010</v>
      </c>
      <c r="C192" t="s">
        <v>258</v>
      </c>
      <c r="D192" t="s">
        <v>199</v>
      </c>
      <c r="E192" s="65">
        <v>4680</v>
      </c>
      <c r="F192" s="33">
        <v>1</v>
      </c>
      <c r="H192" t="s">
        <v>144</v>
      </c>
      <c r="I192" t="s">
        <v>187</v>
      </c>
      <c r="J192" t="s">
        <v>88</v>
      </c>
      <c r="K192" t="s">
        <v>219</v>
      </c>
      <c r="L192" s="17"/>
      <c r="M192" s="28" t="s">
        <v>178</v>
      </c>
    </row>
    <row r="193" spans="1:13" x14ac:dyDescent="0.2">
      <c r="A193">
        <f t="shared" si="2"/>
        <v>187</v>
      </c>
      <c r="B193">
        <v>2010</v>
      </c>
      <c r="C193" t="s">
        <v>179</v>
      </c>
      <c r="D193" t="s">
        <v>263</v>
      </c>
      <c r="E193" s="65">
        <v>200</v>
      </c>
      <c r="G193" t="s">
        <v>436</v>
      </c>
      <c r="H193" t="s">
        <v>146</v>
      </c>
      <c r="I193" t="s">
        <v>253</v>
      </c>
      <c r="J193" t="s">
        <v>25</v>
      </c>
      <c r="K193" t="s">
        <v>177</v>
      </c>
      <c r="L193" s="17"/>
    </row>
    <row r="194" spans="1:13" x14ac:dyDescent="0.2">
      <c r="A194">
        <f t="shared" si="2"/>
        <v>188</v>
      </c>
      <c r="B194">
        <v>2010</v>
      </c>
      <c r="C194" t="s">
        <v>179</v>
      </c>
      <c r="D194" t="s">
        <v>199</v>
      </c>
      <c r="E194" s="65">
        <v>180</v>
      </c>
      <c r="F194" s="33">
        <v>0.51</v>
      </c>
      <c r="G194" t="s">
        <v>437</v>
      </c>
      <c r="H194" t="s">
        <v>144</v>
      </c>
      <c r="J194" t="s">
        <v>131</v>
      </c>
      <c r="K194" t="s">
        <v>131</v>
      </c>
      <c r="L194" s="17"/>
    </row>
    <row r="195" spans="1:13" x14ac:dyDescent="0.2">
      <c r="A195">
        <f t="shared" si="2"/>
        <v>189</v>
      </c>
      <c r="B195">
        <v>2010</v>
      </c>
      <c r="C195" t="s">
        <v>179</v>
      </c>
      <c r="D195" t="s">
        <v>438</v>
      </c>
      <c r="E195" s="65">
        <v>2700</v>
      </c>
      <c r="G195" t="s">
        <v>439</v>
      </c>
      <c r="H195" t="s">
        <v>154</v>
      </c>
      <c r="I195" t="s">
        <v>194</v>
      </c>
      <c r="J195" t="s">
        <v>118</v>
      </c>
      <c r="K195" t="s">
        <v>195</v>
      </c>
      <c r="L195" s="17"/>
    </row>
    <row r="196" spans="1:13" x14ac:dyDescent="0.2">
      <c r="A196">
        <f t="shared" si="2"/>
        <v>190</v>
      </c>
      <c r="B196">
        <v>2010</v>
      </c>
      <c r="C196" t="s">
        <v>179</v>
      </c>
      <c r="D196" t="s">
        <v>440</v>
      </c>
      <c r="E196" s="65">
        <v>1200</v>
      </c>
      <c r="G196" t="s">
        <v>441</v>
      </c>
      <c r="H196" t="s">
        <v>149</v>
      </c>
      <c r="I196" t="s">
        <v>182</v>
      </c>
      <c r="J196" t="s">
        <v>19</v>
      </c>
      <c r="K196" t="s">
        <v>205</v>
      </c>
      <c r="L196" s="17"/>
    </row>
    <row r="197" spans="1:13" x14ac:dyDescent="0.2">
      <c r="A197">
        <f t="shared" si="2"/>
        <v>191</v>
      </c>
      <c r="B197">
        <v>2010</v>
      </c>
      <c r="C197" t="s">
        <v>179</v>
      </c>
      <c r="D197" t="s">
        <v>199</v>
      </c>
      <c r="E197" s="65">
        <v>1580</v>
      </c>
      <c r="G197" t="s">
        <v>442</v>
      </c>
      <c r="H197" t="s">
        <v>144</v>
      </c>
      <c r="I197" t="s">
        <v>299</v>
      </c>
      <c r="J197" t="s">
        <v>9</v>
      </c>
      <c r="K197" t="s">
        <v>9</v>
      </c>
      <c r="L197" s="17"/>
    </row>
    <row r="198" spans="1:13" x14ac:dyDescent="0.2">
      <c r="A198">
        <f t="shared" si="2"/>
        <v>192</v>
      </c>
      <c r="B198">
        <v>2010</v>
      </c>
      <c r="C198" t="s">
        <v>179</v>
      </c>
      <c r="D198" t="s">
        <v>443</v>
      </c>
      <c r="E198" s="65">
        <v>100</v>
      </c>
      <c r="H198" t="s">
        <v>154</v>
      </c>
      <c r="I198" t="s">
        <v>194</v>
      </c>
      <c r="J198" t="s">
        <v>112</v>
      </c>
      <c r="K198" t="s">
        <v>219</v>
      </c>
      <c r="L198" s="17"/>
    </row>
    <row r="199" spans="1:13" x14ac:dyDescent="0.2">
      <c r="A199">
        <f t="shared" ref="A199:A262" si="3">ROW()-6</f>
        <v>193</v>
      </c>
      <c r="B199">
        <v>2010</v>
      </c>
      <c r="C199" t="s">
        <v>179</v>
      </c>
      <c r="D199" t="s">
        <v>444</v>
      </c>
      <c r="E199" s="65">
        <v>500</v>
      </c>
      <c r="H199" t="s">
        <v>154</v>
      </c>
      <c r="I199" t="s">
        <v>194</v>
      </c>
      <c r="J199" t="s">
        <v>24</v>
      </c>
      <c r="K199" t="s">
        <v>219</v>
      </c>
      <c r="L199" s="17"/>
      <c r="M199" s="28" t="s">
        <v>178</v>
      </c>
    </row>
    <row r="200" spans="1:13" x14ac:dyDescent="0.2">
      <c r="A200">
        <f t="shared" si="3"/>
        <v>194</v>
      </c>
      <c r="B200">
        <v>2010</v>
      </c>
      <c r="C200" t="s">
        <v>179</v>
      </c>
      <c r="D200" t="s">
        <v>185</v>
      </c>
      <c r="E200" s="65">
        <v>3100</v>
      </c>
      <c r="F200" s="33">
        <v>0.5</v>
      </c>
      <c r="G200" t="s">
        <v>445</v>
      </c>
      <c r="H200" t="s">
        <v>144</v>
      </c>
      <c r="J200" t="s">
        <v>8</v>
      </c>
      <c r="K200" t="s">
        <v>205</v>
      </c>
      <c r="L200" s="17"/>
    </row>
    <row r="201" spans="1:13" x14ac:dyDescent="0.2">
      <c r="A201">
        <f t="shared" si="3"/>
        <v>195</v>
      </c>
      <c r="B201">
        <v>2010</v>
      </c>
      <c r="C201" t="s">
        <v>179</v>
      </c>
      <c r="D201" t="s">
        <v>444</v>
      </c>
      <c r="E201" s="65">
        <v>540</v>
      </c>
      <c r="H201" t="s">
        <v>144</v>
      </c>
      <c r="I201" t="s">
        <v>197</v>
      </c>
      <c r="J201" t="s">
        <v>23</v>
      </c>
      <c r="K201" t="s">
        <v>183</v>
      </c>
      <c r="L201" s="17"/>
      <c r="M201" s="28" t="s">
        <v>178</v>
      </c>
    </row>
    <row r="202" spans="1:13" x14ac:dyDescent="0.2">
      <c r="A202">
        <f t="shared" si="3"/>
        <v>196</v>
      </c>
      <c r="B202">
        <v>2010</v>
      </c>
      <c r="C202" t="s">
        <v>179</v>
      </c>
      <c r="D202" t="s">
        <v>446</v>
      </c>
      <c r="E202" s="65">
        <v>390</v>
      </c>
      <c r="F202" s="33">
        <v>1</v>
      </c>
      <c r="G202" t="s">
        <v>447</v>
      </c>
      <c r="H202" t="s">
        <v>149</v>
      </c>
      <c r="J202" t="s">
        <v>19</v>
      </c>
      <c r="K202" t="s">
        <v>205</v>
      </c>
      <c r="L202" s="17"/>
    </row>
    <row r="203" spans="1:13" x14ac:dyDescent="0.2">
      <c r="A203">
        <f t="shared" si="3"/>
        <v>197</v>
      </c>
      <c r="B203">
        <v>2010</v>
      </c>
      <c r="C203" t="s">
        <v>184</v>
      </c>
      <c r="D203" t="s">
        <v>305</v>
      </c>
      <c r="E203" s="65">
        <v>120</v>
      </c>
      <c r="F203" s="33">
        <v>0.49</v>
      </c>
      <c r="G203" t="s">
        <v>448</v>
      </c>
      <c r="H203" t="s">
        <v>149</v>
      </c>
      <c r="I203" t="s">
        <v>236</v>
      </c>
      <c r="J203" t="s">
        <v>63</v>
      </c>
      <c r="K203" t="s">
        <v>201</v>
      </c>
      <c r="L203" s="17"/>
    </row>
    <row r="204" spans="1:13" x14ac:dyDescent="0.2">
      <c r="A204">
        <f t="shared" si="3"/>
        <v>198</v>
      </c>
      <c r="B204">
        <v>2010</v>
      </c>
      <c r="C204" t="s">
        <v>184</v>
      </c>
      <c r="D204" t="s">
        <v>449</v>
      </c>
      <c r="E204" s="65">
        <v>260</v>
      </c>
      <c r="F204" s="33">
        <v>0.125</v>
      </c>
      <c r="G204" t="s">
        <v>450</v>
      </c>
      <c r="H204" t="s">
        <v>149</v>
      </c>
      <c r="I204" t="s">
        <v>182</v>
      </c>
      <c r="J204" t="s">
        <v>107</v>
      </c>
      <c r="K204" t="s">
        <v>219</v>
      </c>
      <c r="L204" s="17"/>
    </row>
    <row r="205" spans="1:13" x14ac:dyDescent="0.2">
      <c r="A205">
        <f t="shared" si="3"/>
        <v>199</v>
      </c>
      <c r="B205">
        <v>2010</v>
      </c>
      <c r="C205" t="s">
        <v>184</v>
      </c>
      <c r="D205" t="s">
        <v>189</v>
      </c>
      <c r="E205" s="65">
        <v>4650</v>
      </c>
      <c r="F205" s="33">
        <v>0.09</v>
      </c>
      <c r="G205" t="s">
        <v>451</v>
      </c>
      <c r="H205" t="s">
        <v>144</v>
      </c>
      <c r="I205" t="s">
        <v>187</v>
      </c>
      <c r="J205" t="s">
        <v>25</v>
      </c>
      <c r="K205" t="s">
        <v>177</v>
      </c>
      <c r="L205" s="17"/>
    </row>
    <row r="206" spans="1:13" x14ac:dyDescent="0.2">
      <c r="A206">
        <f t="shared" si="3"/>
        <v>200</v>
      </c>
      <c r="B206">
        <v>2010</v>
      </c>
      <c r="C206" t="s">
        <v>184</v>
      </c>
      <c r="D206" t="s">
        <v>185</v>
      </c>
      <c r="E206" s="65">
        <v>270</v>
      </c>
      <c r="F206" s="33">
        <v>0.05</v>
      </c>
      <c r="G206" t="s">
        <v>452</v>
      </c>
      <c r="H206" t="s">
        <v>144</v>
      </c>
      <c r="I206" t="s">
        <v>299</v>
      </c>
      <c r="J206" t="s">
        <v>9</v>
      </c>
      <c r="K206" t="s">
        <v>9</v>
      </c>
      <c r="L206" s="17"/>
    </row>
    <row r="207" spans="1:13" x14ac:dyDescent="0.2">
      <c r="A207">
        <f t="shared" si="3"/>
        <v>201</v>
      </c>
      <c r="B207">
        <v>2010</v>
      </c>
      <c r="C207" t="s">
        <v>184</v>
      </c>
      <c r="D207" t="s">
        <v>199</v>
      </c>
      <c r="E207" s="65">
        <v>900</v>
      </c>
      <c r="G207" t="s">
        <v>453</v>
      </c>
      <c r="H207" t="s">
        <v>144</v>
      </c>
      <c r="I207" t="s">
        <v>187</v>
      </c>
      <c r="J207" t="s">
        <v>135</v>
      </c>
      <c r="K207" t="s">
        <v>205</v>
      </c>
      <c r="L207" s="17"/>
      <c r="M207" s="28" t="s">
        <v>178</v>
      </c>
    </row>
    <row r="208" spans="1:13" x14ac:dyDescent="0.2">
      <c r="A208">
        <f t="shared" si="3"/>
        <v>202</v>
      </c>
      <c r="B208">
        <v>2010</v>
      </c>
      <c r="C208" t="s">
        <v>184</v>
      </c>
      <c r="D208" t="s">
        <v>454</v>
      </c>
      <c r="E208" s="65">
        <v>300</v>
      </c>
      <c r="F208" s="33">
        <v>0.10299999999999999</v>
      </c>
      <c r="G208" t="s">
        <v>455</v>
      </c>
      <c r="H208" t="s">
        <v>152</v>
      </c>
      <c r="J208" t="s">
        <v>101</v>
      </c>
      <c r="K208" t="s">
        <v>201</v>
      </c>
      <c r="L208" s="17"/>
    </row>
    <row r="209" spans="1:13" x14ac:dyDescent="0.2">
      <c r="A209">
        <f t="shared" si="3"/>
        <v>203</v>
      </c>
      <c r="B209">
        <v>2010</v>
      </c>
      <c r="C209" t="s">
        <v>184</v>
      </c>
      <c r="D209" t="s">
        <v>456</v>
      </c>
      <c r="E209" s="65">
        <v>140</v>
      </c>
      <c r="F209" s="33">
        <v>0.55000000000000004</v>
      </c>
      <c r="G209" t="s">
        <v>457</v>
      </c>
      <c r="H209" t="s">
        <v>149</v>
      </c>
      <c r="J209" t="s">
        <v>9</v>
      </c>
      <c r="K209" t="s">
        <v>9</v>
      </c>
      <c r="L209" s="17"/>
    </row>
    <row r="210" spans="1:13" x14ac:dyDescent="0.2">
      <c r="A210">
        <f t="shared" si="3"/>
        <v>204</v>
      </c>
      <c r="B210">
        <v>2010</v>
      </c>
      <c r="C210" t="s">
        <v>184</v>
      </c>
      <c r="D210" t="s">
        <v>263</v>
      </c>
      <c r="E210" s="65">
        <v>490</v>
      </c>
      <c r="G210" t="s">
        <v>386</v>
      </c>
      <c r="H210" t="s">
        <v>144</v>
      </c>
      <c r="I210" t="s">
        <v>187</v>
      </c>
      <c r="J210" t="s">
        <v>25</v>
      </c>
      <c r="K210" t="s">
        <v>177</v>
      </c>
      <c r="L210" s="17"/>
    </row>
    <row r="211" spans="1:13" x14ac:dyDescent="0.2">
      <c r="A211">
        <f t="shared" si="3"/>
        <v>205</v>
      </c>
      <c r="B211">
        <v>2010</v>
      </c>
      <c r="C211" t="s">
        <v>225</v>
      </c>
      <c r="D211" t="s">
        <v>458</v>
      </c>
      <c r="E211" s="65">
        <v>120</v>
      </c>
      <c r="F211" s="33">
        <v>0.6</v>
      </c>
      <c r="G211" t="s">
        <v>459</v>
      </c>
      <c r="H211" t="s">
        <v>151</v>
      </c>
      <c r="I211" t="s">
        <v>279</v>
      </c>
      <c r="J211" t="s">
        <v>112</v>
      </c>
      <c r="K211" t="s">
        <v>219</v>
      </c>
      <c r="L211" s="17"/>
    </row>
    <row r="212" spans="1:13" x14ac:dyDescent="0.2">
      <c r="A212">
        <f t="shared" si="3"/>
        <v>206</v>
      </c>
      <c r="B212">
        <v>2010</v>
      </c>
      <c r="C212" t="s">
        <v>225</v>
      </c>
      <c r="D212" t="s">
        <v>460</v>
      </c>
      <c r="E212" s="65">
        <v>140</v>
      </c>
      <c r="F212" s="33">
        <v>1</v>
      </c>
      <c r="H212" t="s">
        <v>151</v>
      </c>
      <c r="I212" t="s">
        <v>279</v>
      </c>
      <c r="J212" t="s">
        <v>40</v>
      </c>
      <c r="K212" t="s">
        <v>219</v>
      </c>
      <c r="L212" s="17"/>
      <c r="M212" s="28" t="s">
        <v>178</v>
      </c>
    </row>
    <row r="213" spans="1:13" x14ac:dyDescent="0.2">
      <c r="A213">
        <f t="shared" si="3"/>
        <v>207</v>
      </c>
      <c r="B213">
        <v>2010</v>
      </c>
      <c r="C213" t="s">
        <v>225</v>
      </c>
      <c r="D213" t="s">
        <v>461</v>
      </c>
      <c r="E213" s="65">
        <v>200</v>
      </c>
      <c r="F213" s="33">
        <v>1</v>
      </c>
      <c r="H213" t="s">
        <v>144</v>
      </c>
      <c r="I213" t="s">
        <v>232</v>
      </c>
      <c r="J213" t="s">
        <v>58</v>
      </c>
      <c r="K213" t="s">
        <v>195</v>
      </c>
      <c r="L213" s="17"/>
    </row>
    <row r="214" spans="1:13" x14ac:dyDescent="0.2">
      <c r="A214">
        <f t="shared" si="3"/>
        <v>208</v>
      </c>
      <c r="B214">
        <v>2010</v>
      </c>
      <c r="C214" t="s">
        <v>225</v>
      </c>
      <c r="D214" t="s">
        <v>199</v>
      </c>
      <c r="E214" s="65">
        <v>1480</v>
      </c>
      <c r="F214" s="33">
        <v>0.35</v>
      </c>
      <c r="G214" t="s">
        <v>462</v>
      </c>
      <c r="H214" t="s">
        <v>144</v>
      </c>
      <c r="J214" t="s">
        <v>120</v>
      </c>
      <c r="K214" t="s">
        <v>214</v>
      </c>
      <c r="L214" s="17"/>
    </row>
    <row r="215" spans="1:13" x14ac:dyDescent="0.2">
      <c r="A215">
        <f t="shared" si="3"/>
        <v>209</v>
      </c>
      <c r="B215">
        <v>2010</v>
      </c>
      <c r="C215" t="s">
        <v>225</v>
      </c>
      <c r="D215" t="s">
        <v>327</v>
      </c>
      <c r="E215" s="65">
        <v>100</v>
      </c>
      <c r="F215" s="33">
        <v>0.01</v>
      </c>
      <c r="G215" t="s">
        <v>463</v>
      </c>
      <c r="H215" t="s">
        <v>144</v>
      </c>
      <c r="I215" t="s">
        <v>299</v>
      </c>
      <c r="J215" t="s">
        <v>131</v>
      </c>
      <c r="K215" t="s">
        <v>131</v>
      </c>
      <c r="L215" s="17"/>
    </row>
    <row r="216" spans="1:13" x14ac:dyDescent="0.2">
      <c r="A216">
        <f t="shared" si="3"/>
        <v>210</v>
      </c>
      <c r="B216">
        <v>2010</v>
      </c>
      <c r="C216" t="s">
        <v>225</v>
      </c>
      <c r="D216" t="s">
        <v>263</v>
      </c>
      <c r="E216" s="65">
        <v>1220</v>
      </c>
      <c r="F216" s="33" t="s">
        <v>464</v>
      </c>
      <c r="G216" t="s">
        <v>465</v>
      </c>
      <c r="H216" t="s">
        <v>144</v>
      </c>
      <c r="I216" t="s">
        <v>187</v>
      </c>
      <c r="J216" t="s">
        <v>25</v>
      </c>
      <c r="K216" t="s">
        <v>177</v>
      </c>
      <c r="L216" s="17"/>
      <c r="M216" s="28" t="s">
        <v>178</v>
      </c>
    </row>
    <row r="217" spans="1:13" x14ac:dyDescent="0.2">
      <c r="A217">
        <f t="shared" si="3"/>
        <v>211</v>
      </c>
      <c r="B217">
        <v>2010</v>
      </c>
      <c r="C217" t="s">
        <v>225</v>
      </c>
      <c r="D217" t="s">
        <v>307</v>
      </c>
      <c r="E217" s="65">
        <v>1720</v>
      </c>
      <c r="F217" s="33">
        <v>1</v>
      </c>
      <c r="G217" t="s">
        <v>466</v>
      </c>
      <c r="H217" t="s">
        <v>144</v>
      </c>
      <c r="J217" t="s">
        <v>19</v>
      </c>
      <c r="K217" t="s">
        <v>205</v>
      </c>
      <c r="L217" s="17"/>
    </row>
    <row r="218" spans="1:13" x14ac:dyDescent="0.2">
      <c r="A218">
        <f t="shared" si="3"/>
        <v>212</v>
      </c>
      <c r="B218">
        <v>2010</v>
      </c>
      <c r="C218" t="s">
        <v>225</v>
      </c>
      <c r="D218" t="s">
        <v>313</v>
      </c>
      <c r="E218" s="65">
        <v>3070</v>
      </c>
      <c r="F218" s="33">
        <v>0.4</v>
      </c>
      <c r="G218" t="s">
        <v>413</v>
      </c>
      <c r="H218" t="s">
        <v>144</v>
      </c>
      <c r="I218" t="s">
        <v>187</v>
      </c>
      <c r="J218" t="s">
        <v>19</v>
      </c>
      <c r="K218" t="s">
        <v>205</v>
      </c>
      <c r="L218" s="17"/>
    </row>
    <row r="219" spans="1:13" x14ac:dyDescent="0.2">
      <c r="A219">
        <f t="shared" si="3"/>
        <v>213</v>
      </c>
      <c r="B219">
        <v>2010</v>
      </c>
      <c r="C219" t="s">
        <v>225</v>
      </c>
      <c r="D219" t="s">
        <v>467</v>
      </c>
      <c r="E219" s="65">
        <v>230</v>
      </c>
      <c r="F219" s="33">
        <v>0.51</v>
      </c>
      <c r="G219" t="s">
        <v>468</v>
      </c>
      <c r="H219" t="s">
        <v>149</v>
      </c>
      <c r="J219" t="s">
        <v>112</v>
      </c>
      <c r="K219" t="s">
        <v>219</v>
      </c>
      <c r="L219" s="17"/>
    </row>
    <row r="220" spans="1:13" x14ac:dyDescent="0.2">
      <c r="A220">
        <f t="shared" si="3"/>
        <v>214</v>
      </c>
      <c r="B220">
        <v>2010</v>
      </c>
      <c r="C220" t="s">
        <v>225</v>
      </c>
      <c r="D220" t="s">
        <v>469</v>
      </c>
      <c r="E220" s="65">
        <v>990</v>
      </c>
      <c r="F220" s="33">
        <v>1</v>
      </c>
      <c r="G220" t="s">
        <v>470</v>
      </c>
      <c r="H220" t="s">
        <v>151</v>
      </c>
      <c r="I220" t="s">
        <v>224</v>
      </c>
      <c r="J220" t="s">
        <v>113</v>
      </c>
      <c r="K220" t="s">
        <v>183</v>
      </c>
      <c r="L220" s="17"/>
      <c r="M220" s="28" t="s">
        <v>178</v>
      </c>
    </row>
    <row r="221" spans="1:13" x14ac:dyDescent="0.2">
      <c r="A221">
        <f t="shared" si="3"/>
        <v>215</v>
      </c>
      <c r="B221">
        <v>2010</v>
      </c>
      <c r="C221" t="s">
        <v>225</v>
      </c>
      <c r="D221" t="s">
        <v>199</v>
      </c>
      <c r="E221" s="65">
        <v>150</v>
      </c>
      <c r="H221" t="s">
        <v>144</v>
      </c>
      <c r="J221" t="s">
        <v>53</v>
      </c>
      <c r="K221" t="s">
        <v>183</v>
      </c>
      <c r="L221" s="17"/>
      <c r="M221" s="28" t="s">
        <v>178</v>
      </c>
    </row>
    <row r="222" spans="1:13" x14ac:dyDescent="0.2">
      <c r="A222">
        <f t="shared" si="3"/>
        <v>216</v>
      </c>
      <c r="B222">
        <v>2010</v>
      </c>
      <c r="C222" t="s">
        <v>188</v>
      </c>
      <c r="D222" t="s">
        <v>471</v>
      </c>
      <c r="E222" s="65">
        <v>100</v>
      </c>
      <c r="F222" s="33">
        <v>0.5</v>
      </c>
      <c r="G222" t="s">
        <v>472</v>
      </c>
      <c r="H222" t="s">
        <v>149</v>
      </c>
      <c r="J222" t="s">
        <v>25</v>
      </c>
      <c r="K222" t="s">
        <v>177</v>
      </c>
      <c r="L222" s="17"/>
      <c r="M222" s="28" t="s">
        <v>178</v>
      </c>
    </row>
    <row r="223" spans="1:13" x14ac:dyDescent="0.2">
      <c r="A223">
        <f t="shared" si="3"/>
        <v>217</v>
      </c>
      <c r="B223">
        <v>2010</v>
      </c>
      <c r="C223" t="s">
        <v>188</v>
      </c>
      <c r="D223" t="s">
        <v>473</v>
      </c>
      <c r="E223" s="65">
        <v>110</v>
      </c>
      <c r="F223" s="33">
        <v>1</v>
      </c>
      <c r="H223" t="s">
        <v>143</v>
      </c>
      <c r="J223" t="s">
        <v>8</v>
      </c>
      <c r="K223" t="s">
        <v>205</v>
      </c>
      <c r="L223" s="17"/>
      <c r="M223" s="28" t="s">
        <v>178</v>
      </c>
    </row>
    <row r="224" spans="1:13" x14ac:dyDescent="0.2">
      <c r="A224">
        <f t="shared" si="3"/>
        <v>218</v>
      </c>
      <c r="B224">
        <v>2010</v>
      </c>
      <c r="C224" t="s">
        <v>188</v>
      </c>
      <c r="D224" t="s">
        <v>399</v>
      </c>
      <c r="E224" s="65">
        <v>1150</v>
      </c>
      <c r="F224" s="33">
        <v>0.6</v>
      </c>
      <c r="G224" t="s">
        <v>400</v>
      </c>
      <c r="H224" t="s">
        <v>150</v>
      </c>
      <c r="I224" t="s">
        <v>217</v>
      </c>
      <c r="J224" t="s">
        <v>131</v>
      </c>
      <c r="K224" t="s">
        <v>131</v>
      </c>
      <c r="L224" s="17"/>
    </row>
    <row r="225" spans="1:13" x14ac:dyDescent="0.2">
      <c r="A225">
        <f t="shared" si="3"/>
        <v>219</v>
      </c>
      <c r="B225">
        <v>2010</v>
      </c>
      <c r="C225" t="s">
        <v>191</v>
      </c>
      <c r="D225" t="s">
        <v>474</v>
      </c>
      <c r="E225" s="65">
        <v>140</v>
      </c>
      <c r="H225" t="s">
        <v>142</v>
      </c>
      <c r="J225" t="s">
        <v>60</v>
      </c>
      <c r="K225" t="s">
        <v>177</v>
      </c>
      <c r="L225" s="17"/>
    </row>
    <row r="226" spans="1:13" x14ac:dyDescent="0.2">
      <c r="A226">
        <f t="shared" si="3"/>
        <v>220</v>
      </c>
      <c r="B226">
        <v>2010</v>
      </c>
      <c r="C226" t="s">
        <v>191</v>
      </c>
      <c r="D226" t="s">
        <v>475</v>
      </c>
      <c r="E226" s="65">
        <v>440</v>
      </c>
      <c r="F226" s="33">
        <v>1</v>
      </c>
      <c r="G226" t="s">
        <v>476</v>
      </c>
      <c r="H226" t="s">
        <v>154</v>
      </c>
      <c r="I226" t="s">
        <v>194</v>
      </c>
      <c r="J226" t="s">
        <v>131</v>
      </c>
      <c r="K226" t="s">
        <v>131</v>
      </c>
      <c r="L226" s="17"/>
    </row>
    <row r="227" spans="1:13" x14ac:dyDescent="0.2">
      <c r="A227">
        <f t="shared" si="3"/>
        <v>221</v>
      </c>
      <c r="B227">
        <v>2010</v>
      </c>
      <c r="C227" t="s">
        <v>191</v>
      </c>
      <c r="D227" t="s">
        <v>477</v>
      </c>
      <c r="E227" s="65">
        <v>550</v>
      </c>
      <c r="F227" s="33">
        <v>1</v>
      </c>
      <c r="G227" t="s">
        <v>478</v>
      </c>
      <c r="H227" t="s">
        <v>154</v>
      </c>
      <c r="I227" t="s">
        <v>271</v>
      </c>
      <c r="J227" t="s">
        <v>9</v>
      </c>
      <c r="K227" t="s">
        <v>9</v>
      </c>
      <c r="L227" s="17"/>
    </row>
    <row r="228" spans="1:13" x14ac:dyDescent="0.2">
      <c r="A228">
        <f t="shared" si="3"/>
        <v>222</v>
      </c>
      <c r="B228">
        <v>2010</v>
      </c>
      <c r="C228" t="s">
        <v>198</v>
      </c>
      <c r="D228" t="s">
        <v>479</v>
      </c>
      <c r="E228" s="65">
        <v>130</v>
      </c>
      <c r="F228" s="33">
        <v>1</v>
      </c>
      <c r="G228" t="s">
        <v>480</v>
      </c>
      <c r="H228" t="s">
        <v>144</v>
      </c>
      <c r="I228" t="s">
        <v>187</v>
      </c>
      <c r="J228" t="s">
        <v>131</v>
      </c>
      <c r="K228" t="s">
        <v>131</v>
      </c>
      <c r="L228" s="17"/>
    </row>
    <row r="229" spans="1:13" x14ac:dyDescent="0.2">
      <c r="A229">
        <f t="shared" si="3"/>
        <v>223</v>
      </c>
      <c r="B229">
        <v>2010</v>
      </c>
      <c r="C229" t="s">
        <v>202</v>
      </c>
      <c r="D229" t="s">
        <v>481</v>
      </c>
      <c r="E229" s="65">
        <v>180</v>
      </c>
      <c r="F229" s="33">
        <v>0.51</v>
      </c>
      <c r="G229" t="s">
        <v>482</v>
      </c>
      <c r="H229" t="s">
        <v>144</v>
      </c>
      <c r="J229" t="s">
        <v>23</v>
      </c>
      <c r="K229" t="s">
        <v>183</v>
      </c>
      <c r="L229" s="17"/>
      <c r="M229" s="28" t="s">
        <v>178</v>
      </c>
    </row>
    <row r="230" spans="1:13" x14ac:dyDescent="0.2">
      <c r="A230">
        <f t="shared" si="3"/>
        <v>224</v>
      </c>
      <c r="B230">
        <v>2010</v>
      </c>
      <c r="C230" t="s">
        <v>202</v>
      </c>
      <c r="D230" t="s">
        <v>483</v>
      </c>
      <c r="E230" s="65">
        <v>1480</v>
      </c>
      <c r="G230" t="s">
        <v>484</v>
      </c>
      <c r="H230" t="s">
        <v>149</v>
      </c>
      <c r="I230" t="s">
        <v>236</v>
      </c>
      <c r="J230" t="s">
        <v>82</v>
      </c>
      <c r="K230" t="s">
        <v>183</v>
      </c>
      <c r="L230" s="17"/>
      <c r="M230" s="28" t="s">
        <v>178</v>
      </c>
    </row>
    <row r="231" spans="1:13" x14ac:dyDescent="0.2">
      <c r="A231">
        <f t="shared" si="3"/>
        <v>225</v>
      </c>
      <c r="B231">
        <v>2010</v>
      </c>
      <c r="C231" t="s">
        <v>202</v>
      </c>
      <c r="D231" t="s">
        <v>485</v>
      </c>
      <c r="E231" s="65">
        <v>1200</v>
      </c>
      <c r="F231" s="33">
        <v>0.8</v>
      </c>
      <c r="G231" t="s">
        <v>486</v>
      </c>
      <c r="H231" t="s">
        <v>149</v>
      </c>
      <c r="I231" t="s">
        <v>238</v>
      </c>
      <c r="J231" t="s">
        <v>46</v>
      </c>
      <c r="K231" t="s">
        <v>219</v>
      </c>
      <c r="L231" s="17"/>
    </row>
    <row r="232" spans="1:13" x14ac:dyDescent="0.2">
      <c r="A232">
        <f t="shared" si="3"/>
        <v>226</v>
      </c>
      <c r="B232">
        <v>2010</v>
      </c>
      <c r="C232" t="s">
        <v>202</v>
      </c>
      <c r="D232" t="s">
        <v>305</v>
      </c>
      <c r="E232" s="65">
        <v>420</v>
      </c>
      <c r="F232" s="33">
        <v>1</v>
      </c>
      <c r="G232" t="s">
        <v>487</v>
      </c>
      <c r="H232" t="s">
        <v>149</v>
      </c>
      <c r="I232" t="s">
        <v>236</v>
      </c>
      <c r="J232" t="s">
        <v>25</v>
      </c>
      <c r="K232" t="s">
        <v>177</v>
      </c>
      <c r="L232" s="17"/>
    </row>
    <row r="233" spans="1:13" x14ac:dyDescent="0.2">
      <c r="A233">
        <f t="shared" si="3"/>
        <v>227</v>
      </c>
      <c r="B233">
        <v>2010</v>
      </c>
      <c r="C233" t="s">
        <v>202</v>
      </c>
      <c r="D233" t="s">
        <v>488</v>
      </c>
      <c r="E233" s="65">
        <v>100</v>
      </c>
      <c r="F233" s="33">
        <v>1</v>
      </c>
      <c r="G233" t="s">
        <v>489</v>
      </c>
      <c r="H233" t="s">
        <v>145</v>
      </c>
      <c r="J233" t="s">
        <v>113</v>
      </c>
      <c r="K233" t="s">
        <v>183</v>
      </c>
      <c r="L233" s="17"/>
    </row>
    <row r="234" spans="1:13" x14ac:dyDescent="0.2">
      <c r="A234">
        <f t="shared" si="3"/>
        <v>228</v>
      </c>
      <c r="B234">
        <v>2010</v>
      </c>
      <c r="C234" t="s">
        <v>202</v>
      </c>
      <c r="D234" t="s">
        <v>337</v>
      </c>
      <c r="E234" s="65">
        <v>360</v>
      </c>
      <c r="F234" s="33">
        <v>0.51</v>
      </c>
      <c r="G234" t="s">
        <v>490</v>
      </c>
      <c r="H234" t="s">
        <v>144</v>
      </c>
      <c r="J234" t="s">
        <v>101</v>
      </c>
      <c r="K234" t="s">
        <v>201</v>
      </c>
      <c r="L234" s="17"/>
      <c r="M234" s="28" t="s">
        <v>178</v>
      </c>
    </row>
    <row r="235" spans="1:13" x14ac:dyDescent="0.2">
      <c r="A235">
        <f t="shared" si="3"/>
        <v>229</v>
      </c>
      <c r="B235">
        <v>2010</v>
      </c>
      <c r="C235" t="s">
        <v>202</v>
      </c>
      <c r="D235" t="s">
        <v>221</v>
      </c>
      <c r="E235" s="65">
        <v>150</v>
      </c>
      <c r="G235" t="s">
        <v>491</v>
      </c>
      <c r="H235" t="s">
        <v>154</v>
      </c>
      <c r="I235" t="s">
        <v>194</v>
      </c>
      <c r="J235" t="s">
        <v>63</v>
      </c>
      <c r="K235" t="s">
        <v>201</v>
      </c>
      <c r="L235" s="17"/>
    </row>
    <row r="236" spans="1:13" x14ac:dyDescent="0.2">
      <c r="A236">
        <f t="shared" si="3"/>
        <v>230</v>
      </c>
      <c r="B236">
        <v>2010</v>
      </c>
      <c r="C236" t="s">
        <v>207</v>
      </c>
      <c r="D236" t="s">
        <v>189</v>
      </c>
      <c r="E236" s="65">
        <v>7100</v>
      </c>
      <c r="F236" s="33">
        <v>0.4</v>
      </c>
      <c r="G236" t="s">
        <v>492</v>
      </c>
      <c r="H236" t="s">
        <v>144</v>
      </c>
      <c r="I236" t="s">
        <v>187</v>
      </c>
      <c r="J236" t="s">
        <v>19</v>
      </c>
      <c r="K236" t="s">
        <v>205</v>
      </c>
      <c r="L236" s="17"/>
    </row>
    <row r="237" spans="1:13" x14ac:dyDescent="0.2">
      <c r="A237">
        <f t="shared" si="3"/>
        <v>231</v>
      </c>
      <c r="B237">
        <v>2010</v>
      </c>
      <c r="C237" t="s">
        <v>207</v>
      </c>
      <c r="D237" t="s">
        <v>185</v>
      </c>
      <c r="E237" s="65">
        <v>2370</v>
      </c>
      <c r="F237" s="33">
        <v>0.33</v>
      </c>
      <c r="G237" t="s">
        <v>463</v>
      </c>
      <c r="H237" t="s">
        <v>144</v>
      </c>
      <c r="I237" t="s">
        <v>299</v>
      </c>
      <c r="J237" t="s">
        <v>131</v>
      </c>
      <c r="K237" t="s">
        <v>131</v>
      </c>
      <c r="L237" s="17"/>
    </row>
    <row r="238" spans="1:13" x14ac:dyDescent="0.2">
      <c r="A238">
        <f t="shared" si="3"/>
        <v>232</v>
      </c>
      <c r="B238">
        <v>2010</v>
      </c>
      <c r="C238" t="s">
        <v>207</v>
      </c>
      <c r="D238" t="s">
        <v>210</v>
      </c>
      <c r="E238" s="65">
        <v>1440</v>
      </c>
      <c r="F238" s="33">
        <v>0.6</v>
      </c>
      <c r="G238" t="s">
        <v>493</v>
      </c>
      <c r="H238" t="s">
        <v>142</v>
      </c>
      <c r="J238" t="s">
        <v>57</v>
      </c>
      <c r="K238" t="s">
        <v>195</v>
      </c>
      <c r="L238" s="17"/>
    </row>
    <row r="239" spans="1:13" x14ac:dyDescent="0.2">
      <c r="A239">
        <f t="shared" si="3"/>
        <v>233</v>
      </c>
      <c r="B239">
        <v>2010</v>
      </c>
      <c r="C239" t="s">
        <v>240</v>
      </c>
      <c r="D239" t="s">
        <v>263</v>
      </c>
      <c r="E239" s="65">
        <v>1030</v>
      </c>
      <c r="G239" t="s">
        <v>494</v>
      </c>
      <c r="H239" t="s">
        <v>151</v>
      </c>
      <c r="I239" t="s">
        <v>224</v>
      </c>
      <c r="J239" t="s">
        <v>131</v>
      </c>
      <c r="K239" t="s">
        <v>131</v>
      </c>
      <c r="L239" s="17"/>
    </row>
    <row r="240" spans="1:13" x14ac:dyDescent="0.2">
      <c r="A240">
        <f t="shared" si="3"/>
        <v>234</v>
      </c>
      <c r="B240">
        <v>2010</v>
      </c>
      <c r="C240" t="s">
        <v>240</v>
      </c>
      <c r="D240" t="s">
        <v>317</v>
      </c>
      <c r="E240" s="65">
        <v>1230</v>
      </c>
      <c r="F240" s="33">
        <v>0.5</v>
      </c>
      <c r="G240" t="s">
        <v>495</v>
      </c>
      <c r="H240" t="s">
        <v>144</v>
      </c>
      <c r="J240" t="s">
        <v>131</v>
      </c>
      <c r="K240" t="s">
        <v>131</v>
      </c>
      <c r="L240" s="17"/>
    </row>
    <row r="241" spans="1:13" x14ac:dyDescent="0.2">
      <c r="A241">
        <f t="shared" si="3"/>
        <v>235</v>
      </c>
      <c r="B241">
        <v>2010</v>
      </c>
      <c r="C241" t="s">
        <v>240</v>
      </c>
      <c r="D241" t="s">
        <v>416</v>
      </c>
      <c r="E241" s="65">
        <v>500</v>
      </c>
      <c r="F241" s="33">
        <v>0.01</v>
      </c>
      <c r="G241" t="s">
        <v>476</v>
      </c>
      <c r="H241" t="s">
        <v>154</v>
      </c>
      <c r="I241" t="s">
        <v>194</v>
      </c>
      <c r="J241" t="s">
        <v>131</v>
      </c>
      <c r="K241" t="s">
        <v>131</v>
      </c>
      <c r="L241" s="17"/>
    </row>
    <row r="242" spans="1:13" x14ac:dyDescent="0.2">
      <c r="A242">
        <f t="shared" si="3"/>
        <v>236</v>
      </c>
      <c r="B242">
        <v>2010</v>
      </c>
      <c r="C242" t="s">
        <v>240</v>
      </c>
      <c r="D242" t="s">
        <v>370</v>
      </c>
      <c r="E242" s="65">
        <v>400</v>
      </c>
      <c r="F242" s="33">
        <v>1</v>
      </c>
      <c r="G242" t="s">
        <v>496</v>
      </c>
      <c r="H242" t="s">
        <v>144</v>
      </c>
      <c r="I242" t="s">
        <v>273</v>
      </c>
      <c r="J242" t="s">
        <v>9</v>
      </c>
      <c r="K242" t="s">
        <v>9</v>
      </c>
      <c r="L242" s="17"/>
    </row>
    <row r="243" spans="1:13" x14ac:dyDescent="0.2">
      <c r="A243">
        <f t="shared" si="3"/>
        <v>237</v>
      </c>
      <c r="B243">
        <v>2010</v>
      </c>
      <c r="C243" t="s">
        <v>240</v>
      </c>
      <c r="D243" t="s">
        <v>203</v>
      </c>
      <c r="E243" s="65">
        <v>610</v>
      </c>
      <c r="H243" t="s">
        <v>144</v>
      </c>
      <c r="I243" t="s">
        <v>187</v>
      </c>
      <c r="J243" t="s">
        <v>37</v>
      </c>
      <c r="K243" t="s">
        <v>205</v>
      </c>
      <c r="L243" s="17"/>
      <c r="M243" s="28" t="s">
        <v>178</v>
      </c>
    </row>
    <row r="244" spans="1:13" x14ac:dyDescent="0.2">
      <c r="A244">
        <f t="shared" si="3"/>
        <v>238</v>
      </c>
      <c r="B244">
        <v>2010</v>
      </c>
      <c r="C244" t="s">
        <v>240</v>
      </c>
      <c r="D244" t="s">
        <v>497</v>
      </c>
      <c r="E244" s="65">
        <v>150</v>
      </c>
      <c r="F244" s="33">
        <v>0.48</v>
      </c>
      <c r="G244" t="s">
        <v>498</v>
      </c>
      <c r="H244" t="s">
        <v>148</v>
      </c>
      <c r="J244" t="s">
        <v>89</v>
      </c>
      <c r="K244" t="s">
        <v>219</v>
      </c>
      <c r="L244" s="17"/>
    </row>
    <row r="245" spans="1:13" x14ac:dyDescent="0.2">
      <c r="A245">
        <f t="shared" si="3"/>
        <v>239</v>
      </c>
      <c r="B245">
        <v>2010</v>
      </c>
      <c r="C245" t="s">
        <v>240</v>
      </c>
      <c r="D245" t="s">
        <v>499</v>
      </c>
      <c r="E245" s="65">
        <v>270</v>
      </c>
      <c r="F245" s="33">
        <v>0.6</v>
      </c>
      <c r="G245" t="s">
        <v>500</v>
      </c>
      <c r="H245" t="s">
        <v>149</v>
      </c>
      <c r="J245" t="s">
        <v>9</v>
      </c>
      <c r="K245" t="s">
        <v>9</v>
      </c>
      <c r="L245" s="17"/>
      <c r="M245" s="28" t="s">
        <v>178</v>
      </c>
    </row>
    <row r="246" spans="1:13" x14ac:dyDescent="0.2">
      <c r="A246">
        <f t="shared" si="3"/>
        <v>240</v>
      </c>
      <c r="B246">
        <v>2010</v>
      </c>
      <c r="C246" t="s">
        <v>240</v>
      </c>
      <c r="D246" t="s">
        <v>373</v>
      </c>
      <c r="E246" s="65">
        <v>380</v>
      </c>
      <c r="G246" t="s">
        <v>501</v>
      </c>
      <c r="H246" t="s">
        <v>154</v>
      </c>
      <c r="I246" t="s">
        <v>271</v>
      </c>
      <c r="J246" t="s">
        <v>91</v>
      </c>
      <c r="K246" t="s">
        <v>195</v>
      </c>
      <c r="L246" s="17"/>
    </row>
    <row r="247" spans="1:13" x14ac:dyDescent="0.2">
      <c r="A247">
        <f t="shared" si="3"/>
        <v>241</v>
      </c>
      <c r="B247">
        <v>2010</v>
      </c>
      <c r="C247" t="s">
        <v>212</v>
      </c>
      <c r="D247" t="s">
        <v>502</v>
      </c>
      <c r="E247" s="65">
        <v>130</v>
      </c>
      <c r="F247" s="33">
        <v>1</v>
      </c>
      <c r="G247" t="s">
        <v>503</v>
      </c>
      <c r="H247" t="s">
        <v>144</v>
      </c>
      <c r="I247" t="s">
        <v>273</v>
      </c>
      <c r="J247" t="s">
        <v>9</v>
      </c>
      <c r="K247" t="s">
        <v>9</v>
      </c>
      <c r="L247" s="17"/>
    </row>
    <row r="248" spans="1:13" x14ac:dyDescent="0.2">
      <c r="A248">
        <f t="shared" si="3"/>
        <v>242</v>
      </c>
      <c r="B248">
        <v>2010</v>
      </c>
      <c r="C248" t="s">
        <v>212</v>
      </c>
      <c r="D248" t="s">
        <v>313</v>
      </c>
      <c r="E248" s="65">
        <v>270</v>
      </c>
      <c r="F248" s="33">
        <v>0.5</v>
      </c>
      <c r="G248" t="s">
        <v>504</v>
      </c>
      <c r="H248" t="s">
        <v>147</v>
      </c>
      <c r="J248" t="s">
        <v>85</v>
      </c>
      <c r="K248" t="s">
        <v>195</v>
      </c>
      <c r="L248" s="17"/>
    </row>
    <row r="249" spans="1:13" x14ac:dyDescent="0.2">
      <c r="A249">
        <f t="shared" si="3"/>
        <v>243</v>
      </c>
      <c r="B249">
        <v>2010</v>
      </c>
      <c r="C249" t="s">
        <v>212</v>
      </c>
      <c r="D249" t="s">
        <v>189</v>
      </c>
      <c r="E249" s="65">
        <v>2470</v>
      </c>
      <c r="G249" t="s">
        <v>505</v>
      </c>
      <c r="H249" t="s">
        <v>144</v>
      </c>
      <c r="J249" t="s">
        <v>8</v>
      </c>
      <c r="K249" t="s">
        <v>205</v>
      </c>
      <c r="L249" s="17"/>
    </row>
    <row r="250" spans="1:13" x14ac:dyDescent="0.2">
      <c r="A250">
        <f t="shared" si="3"/>
        <v>244</v>
      </c>
      <c r="B250">
        <v>2010</v>
      </c>
      <c r="C250" t="s">
        <v>212</v>
      </c>
      <c r="D250" t="s">
        <v>246</v>
      </c>
      <c r="E250" s="65">
        <v>170</v>
      </c>
      <c r="G250" t="s">
        <v>506</v>
      </c>
      <c r="H250" t="s">
        <v>144</v>
      </c>
      <c r="J250" t="s">
        <v>101</v>
      </c>
      <c r="K250" t="s">
        <v>201</v>
      </c>
      <c r="L250" s="17"/>
    </row>
    <row r="251" spans="1:13" x14ac:dyDescent="0.2">
      <c r="A251">
        <f t="shared" si="3"/>
        <v>245</v>
      </c>
      <c r="B251">
        <v>2010</v>
      </c>
      <c r="C251" t="s">
        <v>212</v>
      </c>
      <c r="D251" t="s">
        <v>263</v>
      </c>
      <c r="E251" s="65">
        <v>200</v>
      </c>
      <c r="G251" t="s">
        <v>507</v>
      </c>
      <c r="H251" t="s">
        <v>146</v>
      </c>
      <c r="I251" t="s">
        <v>253</v>
      </c>
      <c r="J251" t="s">
        <v>19</v>
      </c>
      <c r="K251" t="s">
        <v>205</v>
      </c>
      <c r="L251" s="17"/>
    </row>
    <row r="252" spans="1:13" x14ac:dyDescent="0.2">
      <c r="A252">
        <f t="shared" si="3"/>
        <v>246</v>
      </c>
      <c r="B252">
        <v>2010</v>
      </c>
      <c r="C252" t="s">
        <v>212</v>
      </c>
      <c r="D252" t="s">
        <v>189</v>
      </c>
      <c r="E252" s="65">
        <v>680</v>
      </c>
      <c r="F252" s="33">
        <v>0.18</v>
      </c>
      <c r="G252" t="s">
        <v>508</v>
      </c>
      <c r="H252" t="s">
        <v>144</v>
      </c>
      <c r="I252" t="s">
        <v>299</v>
      </c>
      <c r="J252" t="s">
        <v>53</v>
      </c>
      <c r="K252" t="s">
        <v>183</v>
      </c>
      <c r="L252" s="17"/>
    </row>
    <row r="253" spans="1:13" x14ac:dyDescent="0.2">
      <c r="A253">
        <f t="shared" si="3"/>
        <v>247</v>
      </c>
      <c r="B253">
        <v>2010</v>
      </c>
      <c r="C253" t="s">
        <v>212</v>
      </c>
      <c r="D253" t="s">
        <v>421</v>
      </c>
      <c r="E253" s="65">
        <v>190</v>
      </c>
      <c r="F253" s="33">
        <v>1</v>
      </c>
      <c r="G253" t="s">
        <v>509</v>
      </c>
      <c r="H253" t="s">
        <v>154</v>
      </c>
      <c r="I253" t="s">
        <v>250</v>
      </c>
      <c r="J253" t="s">
        <v>131</v>
      </c>
      <c r="K253" t="s">
        <v>131</v>
      </c>
      <c r="L253" s="17"/>
    </row>
    <row r="254" spans="1:13" x14ac:dyDescent="0.2">
      <c r="A254">
        <f t="shared" si="3"/>
        <v>248</v>
      </c>
      <c r="B254">
        <v>2010</v>
      </c>
      <c r="C254" t="s">
        <v>212</v>
      </c>
      <c r="D254" t="s">
        <v>510</v>
      </c>
      <c r="E254" s="65">
        <v>500</v>
      </c>
      <c r="H254" t="s">
        <v>151</v>
      </c>
      <c r="I254" t="s">
        <v>224</v>
      </c>
      <c r="J254" t="s">
        <v>124</v>
      </c>
      <c r="K254" t="s">
        <v>183</v>
      </c>
      <c r="L254" s="17"/>
      <c r="M254" s="28" t="s">
        <v>178</v>
      </c>
    </row>
    <row r="255" spans="1:13" x14ac:dyDescent="0.2">
      <c r="A255">
        <f t="shared" si="3"/>
        <v>249</v>
      </c>
      <c r="B255">
        <v>2010</v>
      </c>
      <c r="C255" t="s">
        <v>212</v>
      </c>
      <c r="D255" t="s">
        <v>511</v>
      </c>
      <c r="E255" s="65">
        <v>100</v>
      </c>
      <c r="F255" s="33">
        <v>1</v>
      </c>
      <c r="H255" t="s">
        <v>150</v>
      </c>
      <c r="I255" t="s">
        <v>217</v>
      </c>
      <c r="J255" t="s">
        <v>44</v>
      </c>
      <c r="K255" t="s">
        <v>201</v>
      </c>
      <c r="L255" s="17"/>
      <c r="M255" s="28" t="s">
        <v>178</v>
      </c>
    </row>
    <row r="256" spans="1:13" x14ac:dyDescent="0.2">
      <c r="A256">
        <f t="shared" si="3"/>
        <v>250</v>
      </c>
      <c r="B256">
        <v>2010</v>
      </c>
      <c r="C256" t="s">
        <v>212</v>
      </c>
      <c r="D256" t="s">
        <v>512</v>
      </c>
      <c r="E256" s="65">
        <v>190</v>
      </c>
      <c r="F256" s="33">
        <v>0.6</v>
      </c>
      <c r="H256" t="s">
        <v>151</v>
      </c>
      <c r="I256" t="s">
        <v>224</v>
      </c>
      <c r="J256" t="s">
        <v>89</v>
      </c>
      <c r="K256" t="s">
        <v>219</v>
      </c>
      <c r="L256" s="17"/>
      <c r="M256" s="28" t="s">
        <v>178</v>
      </c>
    </row>
    <row r="257" spans="1:13" s="17" customFormat="1" x14ac:dyDescent="0.2">
      <c r="A257">
        <f t="shared" si="3"/>
        <v>251</v>
      </c>
      <c r="B257">
        <v>2010</v>
      </c>
      <c r="C257" t="s">
        <v>212</v>
      </c>
      <c r="D257" t="s">
        <v>513</v>
      </c>
      <c r="E257" s="65">
        <v>170</v>
      </c>
      <c r="F257" s="33">
        <v>1</v>
      </c>
      <c r="G257" t="s">
        <v>514</v>
      </c>
      <c r="H257" t="s">
        <v>151</v>
      </c>
      <c r="I257" t="s">
        <v>224</v>
      </c>
      <c r="J257" t="s">
        <v>20</v>
      </c>
      <c r="K257" t="s">
        <v>195</v>
      </c>
      <c r="M257" s="28"/>
    </row>
    <row r="258" spans="1:13" x14ac:dyDescent="0.2">
      <c r="A258">
        <f t="shared" si="3"/>
        <v>252</v>
      </c>
      <c r="B258">
        <v>2010</v>
      </c>
      <c r="C258" t="s">
        <v>212</v>
      </c>
      <c r="D258" t="s">
        <v>196</v>
      </c>
      <c r="E258" s="65">
        <v>1030</v>
      </c>
      <c r="F258" s="33">
        <v>0.85</v>
      </c>
      <c r="H258" t="s">
        <v>144</v>
      </c>
      <c r="I258" t="s">
        <v>197</v>
      </c>
      <c r="J258" t="s">
        <v>67</v>
      </c>
      <c r="K258" t="s">
        <v>183</v>
      </c>
      <c r="L258" s="17"/>
      <c r="M258" s="28" t="s">
        <v>178</v>
      </c>
    </row>
    <row r="259" spans="1:13" x14ac:dyDescent="0.2">
      <c r="A259">
        <f t="shared" si="3"/>
        <v>253</v>
      </c>
      <c r="B259">
        <v>2010</v>
      </c>
      <c r="C259" t="s">
        <v>212</v>
      </c>
      <c r="D259" t="s">
        <v>248</v>
      </c>
      <c r="E259" s="65">
        <v>170</v>
      </c>
      <c r="H259" t="s">
        <v>146</v>
      </c>
      <c r="I259" t="s">
        <v>275</v>
      </c>
      <c r="J259" t="s">
        <v>23</v>
      </c>
      <c r="K259" t="s">
        <v>183</v>
      </c>
      <c r="L259" s="17"/>
      <c r="M259" s="28" t="s">
        <v>178</v>
      </c>
    </row>
    <row r="260" spans="1:13" x14ac:dyDescent="0.2">
      <c r="A260">
        <f t="shared" si="3"/>
        <v>254</v>
      </c>
      <c r="B260">
        <v>2010</v>
      </c>
      <c r="C260" t="s">
        <v>212</v>
      </c>
      <c r="D260" t="s">
        <v>515</v>
      </c>
      <c r="E260" s="65">
        <v>100</v>
      </c>
      <c r="F260" s="33">
        <v>0.68</v>
      </c>
      <c r="H260" t="s">
        <v>148</v>
      </c>
      <c r="J260" t="s">
        <v>14</v>
      </c>
      <c r="K260" t="s">
        <v>195</v>
      </c>
      <c r="L260" s="17"/>
      <c r="M260" s="28" t="s">
        <v>178</v>
      </c>
    </row>
    <row r="261" spans="1:13" x14ac:dyDescent="0.2">
      <c r="A261">
        <f t="shared" si="3"/>
        <v>255</v>
      </c>
      <c r="B261">
        <v>2011</v>
      </c>
      <c r="C261" t="s">
        <v>172</v>
      </c>
      <c r="D261" t="s">
        <v>516</v>
      </c>
      <c r="E261" s="65">
        <v>130</v>
      </c>
      <c r="F261" s="33">
        <v>0.5</v>
      </c>
      <c r="G261" t="s">
        <v>517</v>
      </c>
      <c r="H261" t="s">
        <v>150</v>
      </c>
      <c r="I261" t="s">
        <v>217</v>
      </c>
      <c r="J261" t="s">
        <v>45</v>
      </c>
      <c r="K261" t="s">
        <v>195</v>
      </c>
      <c r="L261" s="17"/>
    </row>
    <row r="262" spans="1:13" x14ac:dyDescent="0.2">
      <c r="A262">
        <f t="shared" si="3"/>
        <v>256</v>
      </c>
      <c r="B262">
        <v>2011</v>
      </c>
      <c r="C262" t="s">
        <v>172</v>
      </c>
      <c r="D262" t="s">
        <v>389</v>
      </c>
      <c r="E262" s="65">
        <v>920</v>
      </c>
      <c r="F262" s="33">
        <v>1</v>
      </c>
      <c r="G262" t="s">
        <v>518</v>
      </c>
      <c r="H262" t="s">
        <v>144</v>
      </c>
      <c r="I262" t="s">
        <v>273</v>
      </c>
      <c r="J262" t="s">
        <v>9</v>
      </c>
      <c r="K262" t="s">
        <v>9</v>
      </c>
      <c r="L262" s="17"/>
    </row>
    <row r="263" spans="1:13" x14ac:dyDescent="0.2">
      <c r="A263">
        <f t="shared" ref="A263:A326" si="4">ROW()-6</f>
        <v>257</v>
      </c>
      <c r="B263">
        <v>2011</v>
      </c>
      <c r="C263" t="s">
        <v>172</v>
      </c>
      <c r="D263" t="s">
        <v>360</v>
      </c>
      <c r="E263" s="65">
        <v>120</v>
      </c>
      <c r="F263" s="33">
        <v>0.6</v>
      </c>
      <c r="G263" t="s">
        <v>519</v>
      </c>
      <c r="H263" t="s">
        <v>149</v>
      </c>
      <c r="I263" t="s">
        <v>182</v>
      </c>
      <c r="J263" t="s">
        <v>25</v>
      </c>
      <c r="K263" t="s">
        <v>177</v>
      </c>
      <c r="L263" s="17"/>
      <c r="M263" s="28" t="s">
        <v>178</v>
      </c>
    </row>
    <row r="264" spans="1:13" x14ac:dyDescent="0.2">
      <c r="A264">
        <f t="shared" si="4"/>
        <v>258</v>
      </c>
      <c r="B264">
        <v>2011</v>
      </c>
      <c r="C264" t="s">
        <v>172</v>
      </c>
      <c r="D264" t="s">
        <v>520</v>
      </c>
      <c r="E264" s="65">
        <v>180</v>
      </c>
      <c r="F264" s="33">
        <v>0.51</v>
      </c>
      <c r="G264" t="s">
        <v>521</v>
      </c>
      <c r="H264" t="s">
        <v>152</v>
      </c>
      <c r="J264" t="s">
        <v>61</v>
      </c>
      <c r="K264" t="s">
        <v>183</v>
      </c>
      <c r="L264" s="17"/>
    </row>
    <row r="265" spans="1:13" x14ac:dyDescent="0.2">
      <c r="A265">
        <f t="shared" si="4"/>
        <v>259</v>
      </c>
      <c r="B265">
        <v>2011</v>
      </c>
      <c r="C265" t="s">
        <v>172</v>
      </c>
      <c r="D265" t="s">
        <v>199</v>
      </c>
      <c r="E265" s="65">
        <v>510</v>
      </c>
      <c r="F265" s="33">
        <v>0.5</v>
      </c>
      <c r="G265" t="s">
        <v>522</v>
      </c>
      <c r="H265" t="s">
        <v>144</v>
      </c>
      <c r="J265" t="s">
        <v>42</v>
      </c>
      <c r="K265" t="s">
        <v>195</v>
      </c>
      <c r="L265" s="17"/>
    </row>
    <row r="266" spans="1:13" x14ac:dyDescent="0.2">
      <c r="A266">
        <f t="shared" si="4"/>
        <v>260</v>
      </c>
      <c r="B266">
        <v>2011</v>
      </c>
      <c r="C266" t="s">
        <v>172</v>
      </c>
      <c r="D266" t="s">
        <v>199</v>
      </c>
      <c r="E266" s="65">
        <v>510</v>
      </c>
      <c r="F266" s="33">
        <v>0.5</v>
      </c>
      <c r="G266" t="s">
        <v>523</v>
      </c>
      <c r="H266" t="s">
        <v>144</v>
      </c>
      <c r="J266" t="s">
        <v>20</v>
      </c>
      <c r="K266" t="s">
        <v>195</v>
      </c>
      <c r="L266" s="17"/>
    </row>
    <row r="267" spans="1:13" x14ac:dyDescent="0.2">
      <c r="A267">
        <f t="shared" si="4"/>
        <v>261</v>
      </c>
      <c r="B267">
        <v>2011</v>
      </c>
      <c r="C267" t="s">
        <v>172</v>
      </c>
      <c r="D267" t="s">
        <v>210</v>
      </c>
      <c r="E267" s="65">
        <v>2090</v>
      </c>
      <c r="F267" s="33">
        <v>1</v>
      </c>
      <c r="G267" t="s">
        <v>524</v>
      </c>
      <c r="H267" t="s">
        <v>143</v>
      </c>
      <c r="J267" t="s">
        <v>91</v>
      </c>
      <c r="K267" t="s">
        <v>195</v>
      </c>
      <c r="L267" s="17"/>
    </row>
    <row r="268" spans="1:13" x14ac:dyDescent="0.2">
      <c r="A268">
        <f t="shared" si="4"/>
        <v>262</v>
      </c>
      <c r="B268">
        <v>2011</v>
      </c>
      <c r="C268" t="s">
        <v>172</v>
      </c>
      <c r="D268" t="s">
        <v>392</v>
      </c>
      <c r="E268" s="65">
        <v>500</v>
      </c>
      <c r="F268" s="33">
        <v>1.4E-2</v>
      </c>
      <c r="G268" t="s">
        <v>393</v>
      </c>
      <c r="H268" t="s">
        <v>152</v>
      </c>
      <c r="I268" t="s">
        <v>257</v>
      </c>
      <c r="J268" t="s">
        <v>114</v>
      </c>
      <c r="K268" t="s">
        <v>195</v>
      </c>
      <c r="L268" s="17"/>
    </row>
    <row r="269" spans="1:13" x14ac:dyDescent="0.2">
      <c r="A269">
        <f t="shared" si="4"/>
        <v>263</v>
      </c>
      <c r="B269">
        <v>2011</v>
      </c>
      <c r="C269" t="s">
        <v>172</v>
      </c>
      <c r="D269" t="s">
        <v>283</v>
      </c>
      <c r="E269" s="65">
        <v>140</v>
      </c>
      <c r="F269" s="33">
        <v>0.8</v>
      </c>
      <c r="G269" t="s">
        <v>525</v>
      </c>
      <c r="H269" t="s">
        <v>146</v>
      </c>
      <c r="I269" t="s">
        <v>275</v>
      </c>
      <c r="J269" t="s">
        <v>131</v>
      </c>
      <c r="K269" t="s">
        <v>131</v>
      </c>
      <c r="L269" s="17"/>
    </row>
    <row r="270" spans="1:13" x14ac:dyDescent="0.2">
      <c r="A270">
        <f t="shared" si="4"/>
        <v>264</v>
      </c>
      <c r="B270">
        <v>2011</v>
      </c>
      <c r="C270" t="s">
        <v>172</v>
      </c>
      <c r="D270" t="s">
        <v>196</v>
      </c>
      <c r="E270" s="65">
        <v>140</v>
      </c>
      <c r="F270" s="33">
        <v>0.9</v>
      </c>
      <c r="G270" t="s">
        <v>526</v>
      </c>
      <c r="H270" t="s">
        <v>144</v>
      </c>
      <c r="I270" t="s">
        <v>197</v>
      </c>
      <c r="J270" t="s">
        <v>84</v>
      </c>
      <c r="K270" t="s">
        <v>201</v>
      </c>
      <c r="L270" s="17"/>
      <c r="M270" s="28" t="s">
        <v>178</v>
      </c>
    </row>
    <row r="271" spans="1:13" x14ac:dyDescent="0.2">
      <c r="A271">
        <f t="shared" si="4"/>
        <v>265</v>
      </c>
      <c r="B271">
        <v>2011</v>
      </c>
      <c r="C271" t="s">
        <v>172</v>
      </c>
      <c r="D271" t="s">
        <v>527</v>
      </c>
      <c r="E271" s="65">
        <v>2000</v>
      </c>
      <c r="G271" t="s">
        <v>528</v>
      </c>
      <c r="H271" t="s">
        <v>154</v>
      </c>
      <c r="I271" t="s">
        <v>529</v>
      </c>
      <c r="J271" t="s">
        <v>90</v>
      </c>
      <c r="K271" t="s">
        <v>183</v>
      </c>
      <c r="L271" s="17"/>
      <c r="M271" s="28" t="s">
        <v>178</v>
      </c>
    </row>
    <row r="272" spans="1:13" x14ac:dyDescent="0.2">
      <c r="A272">
        <f t="shared" si="4"/>
        <v>266</v>
      </c>
      <c r="B272">
        <v>2011</v>
      </c>
      <c r="C272" t="s">
        <v>172</v>
      </c>
      <c r="D272" t="s">
        <v>530</v>
      </c>
      <c r="E272" s="65">
        <v>100</v>
      </c>
      <c r="H272" t="s">
        <v>152</v>
      </c>
      <c r="I272" t="s">
        <v>257</v>
      </c>
      <c r="J272" t="s">
        <v>19</v>
      </c>
      <c r="K272" t="s">
        <v>205</v>
      </c>
      <c r="L272" s="17"/>
    </row>
    <row r="273" spans="1:13" x14ac:dyDescent="0.2">
      <c r="A273">
        <f t="shared" si="4"/>
        <v>267</v>
      </c>
      <c r="B273">
        <v>2011</v>
      </c>
      <c r="C273" t="s">
        <v>258</v>
      </c>
      <c r="D273" t="s">
        <v>531</v>
      </c>
      <c r="E273" s="65">
        <v>250</v>
      </c>
      <c r="F273" s="33">
        <v>1</v>
      </c>
      <c r="G273" t="s">
        <v>532</v>
      </c>
      <c r="H273" t="s">
        <v>150</v>
      </c>
      <c r="I273" t="s">
        <v>226</v>
      </c>
      <c r="J273" t="s">
        <v>25</v>
      </c>
      <c r="K273" t="s">
        <v>177</v>
      </c>
      <c r="L273" s="17"/>
    </row>
    <row r="274" spans="1:13" x14ac:dyDescent="0.2">
      <c r="A274">
        <f t="shared" si="4"/>
        <v>268</v>
      </c>
      <c r="B274">
        <v>2011</v>
      </c>
      <c r="C274" t="s">
        <v>258</v>
      </c>
      <c r="D274" t="s">
        <v>421</v>
      </c>
      <c r="E274" s="65">
        <v>200</v>
      </c>
      <c r="F274" s="33">
        <v>1</v>
      </c>
      <c r="G274" t="s">
        <v>533</v>
      </c>
      <c r="H274" t="s">
        <v>154</v>
      </c>
      <c r="I274" t="s">
        <v>250</v>
      </c>
      <c r="J274" t="s">
        <v>131</v>
      </c>
      <c r="K274" t="s">
        <v>131</v>
      </c>
      <c r="L274" s="17"/>
    </row>
    <row r="275" spans="1:13" x14ac:dyDescent="0.2">
      <c r="A275">
        <f t="shared" si="4"/>
        <v>269</v>
      </c>
      <c r="B275" s="17">
        <v>2011</v>
      </c>
      <c r="C275" s="17" t="s">
        <v>258</v>
      </c>
      <c r="D275" s="17" t="s">
        <v>434</v>
      </c>
      <c r="E275" s="66">
        <v>1660</v>
      </c>
      <c r="F275" s="37">
        <v>0.57999999999999996</v>
      </c>
      <c r="G275" s="17" t="s">
        <v>435</v>
      </c>
      <c r="H275" s="17" t="s">
        <v>143</v>
      </c>
      <c r="I275" s="17"/>
      <c r="J275" s="17" t="s">
        <v>51</v>
      </c>
      <c r="K275" s="17" t="s">
        <v>195</v>
      </c>
      <c r="L275" s="17"/>
      <c r="M275" s="67"/>
    </row>
    <row r="276" spans="1:13" x14ac:dyDescent="0.2">
      <c r="A276">
        <f t="shared" si="4"/>
        <v>270</v>
      </c>
      <c r="B276">
        <v>2011</v>
      </c>
      <c r="C276" t="s">
        <v>258</v>
      </c>
      <c r="D276" t="s">
        <v>454</v>
      </c>
      <c r="E276" s="65">
        <v>400</v>
      </c>
      <c r="F276" s="33">
        <v>0.84</v>
      </c>
      <c r="G276" t="s">
        <v>534</v>
      </c>
      <c r="H276" t="s">
        <v>145</v>
      </c>
      <c r="J276" t="s">
        <v>131</v>
      </c>
      <c r="K276" t="s">
        <v>131</v>
      </c>
      <c r="L276" s="17"/>
    </row>
    <row r="277" spans="1:13" x14ac:dyDescent="0.2">
      <c r="A277">
        <f t="shared" si="4"/>
        <v>271</v>
      </c>
      <c r="B277">
        <v>2011</v>
      </c>
      <c r="C277" t="s">
        <v>258</v>
      </c>
      <c r="D277" t="s">
        <v>263</v>
      </c>
      <c r="E277" s="65">
        <v>100</v>
      </c>
      <c r="G277" t="s">
        <v>535</v>
      </c>
      <c r="H277" t="s">
        <v>146</v>
      </c>
      <c r="I277" t="s">
        <v>275</v>
      </c>
      <c r="J277" t="s">
        <v>101</v>
      </c>
      <c r="K277" t="s">
        <v>201</v>
      </c>
      <c r="L277" s="17"/>
    </row>
    <row r="278" spans="1:13" x14ac:dyDescent="0.2">
      <c r="A278">
        <f t="shared" si="4"/>
        <v>272</v>
      </c>
      <c r="B278">
        <v>2011</v>
      </c>
      <c r="C278" t="s">
        <v>258</v>
      </c>
      <c r="D278" t="s">
        <v>189</v>
      </c>
      <c r="E278" s="65">
        <v>1520</v>
      </c>
      <c r="F278" s="33">
        <v>0.15</v>
      </c>
      <c r="G278" t="s">
        <v>536</v>
      </c>
      <c r="H278" t="s">
        <v>144</v>
      </c>
      <c r="I278" t="s">
        <v>299</v>
      </c>
      <c r="J278" t="s">
        <v>9</v>
      </c>
      <c r="K278" t="s">
        <v>9</v>
      </c>
      <c r="L278" s="17"/>
    </row>
    <row r="279" spans="1:13" x14ac:dyDescent="0.2">
      <c r="A279">
        <f t="shared" si="4"/>
        <v>273</v>
      </c>
      <c r="B279">
        <v>2011</v>
      </c>
      <c r="C279" t="s">
        <v>258</v>
      </c>
      <c r="D279" t="s">
        <v>185</v>
      </c>
      <c r="E279" s="65">
        <v>330</v>
      </c>
      <c r="G279" t="s">
        <v>537</v>
      </c>
      <c r="H279" t="s">
        <v>144</v>
      </c>
      <c r="I279" t="s">
        <v>187</v>
      </c>
      <c r="J279" t="s">
        <v>8</v>
      </c>
      <c r="K279" t="s">
        <v>205</v>
      </c>
      <c r="L279" s="17"/>
    </row>
    <row r="280" spans="1:13" x14ac:dyDescent="0.2">
      <c r="A280">
        <f t="shared" si="4"/>
        <v>274</v>
      </c>
      <c r="B280">
        <v>2011</v>
      </c>
      <c r="C280" t="s">
        <v>258</v>
      </c>
      <c r="D280" t="s">
        <v>263</v>
      </c>
      <c r="E280" s="65">
        <v>190</v>
      </c>
      <c r="G280" t="s">
        <v>293</v>
      </c>
      <c r="H280" t="s">
        <v>146</v>
      </c>
      <c r="I280" t="s">
        <v>275</v>
      </c>
      <c r="J280" t="s">
        <v>61</v>
      </c>
      <c r="K280" t="s">
        <v>183</v>
      </c>
      <c r="L280" s="17"/>
    </row>
    <row r="281" spans="1:13" x14ac:dyDescent="0.2">
      <c r="A281">
        <f t="shared" si="4"/>
        <v>275</v>
      </c>
      <c r="B281">
        <v>2011</v>
      </c>
      <c r="C281" t="s">
        <v>258</v>
      </c>
      <c r="D281" t="s">
        <v>538</v>
      </c>
      <c r="E281" s="65">
        <v>160</v>
      </c>
      <c r="F281" s="33">
        <v>1</v>
      </c>
      <c r="H281" t="s">
        <v>149</v>
      </c>
      <c r="I281" t="s">
        <v>238</v>
      </c>
      <c r="J281" t="s">
        <v>131</v>
      </c>
      <c r="K281" t="s">
        <v>131</v>
      </c>
      <c r="L281" s="17"/>
      <c r="M281" s="28" t="s">
        <v>178</v>
      </c>
    </row>
    <row r="282" spans="1:13" x14ac:dyDescent="0.2">
      <c r="A282">
        <f t="shared" si="4"/>
        <v>276</v>
      </c>
      <c r="B282">
        <v>2011</v>
      </c>
      <c r="C282" t="s">
        <v>179</v>
      </c>
      <c r="D282" t="s">
        <v>456</v>
      </c>
      <c r="E282" s="65">
        <v>180</v>
      </c>
      <c r="F282" s="33">
        <v>0.16</v>
      </c>
      <c r="G282" t="s">
        <v>539</v>
      </c>
      <c r="H282" t="s">
        <v>149</v>
      </c>
      <c r="I282" t="s">
        <v>182</v>
      </c>
      <c r="J282" t="s">
        <v>9</v>
      </c>
      <c r="K282" t="s">
        <v>9</v>
      </c>
      <c r="L282" s="17"/>
    </row>
    <row r="283" spans="1:13" x14ac:dyDescent="0.2">
      <c r="A283">
        <f t="shared" si="4"/>
        <v>277</v>
      </c>
      <c r="B283">
        <v>2011</v>
      </c>
      <c r="C283" t="s">
        <v>179</v>
      </c>
      <c r="D283" t="s">
        <v>540</v>
      </c>
      <c r="E283" s="65">
        <v>570</v>
      </c>
      <c r="H283" t="s">
        <v>142</v>
      </c>
      <c r="J283" t="s">
        <v>19</v>
      </c>
      <c r="K283" t="s">
        <v>205</v>
      </c>
      <c r="L283" s="17"/>
      <c r="M283" s="28" t="s">
        <v>178</v>
      </c>
    </row>
    <row r="284" spans="1:13" x14ac:dyDescent="0.2">
      <c r="A284">
        <f t="shared" si="4"/>
        <v>278</v>
      </c>
      <c r="B284">
        <v>2011</v>
      </c>
      <c r="C284" t="s">
        <v>184</v>
      </c>
      <c r="D284" t="s">
        <v>541</v>
      </c>
      <c r="E284" s="65">
        <v>120</v>
      </c>
      <c r="F284" s="33">
        <v>1</v>
      </c>
      <c r="G284" t="s">
        <v>542</v>
      </c>
      <c r="H284" t="s">
        <v>142</v>
      </c>
      <c r="J284" t="s">
        <v>29</v>
      </c>
      <c r="K284" t="s">
        <v>219</v>
      </c>
      <c r="L284" s="17"/>
    </row>
    <row r="285" spans="1:13" x14ac:dyDescent="0.2">
      <c r="A285">
        <f t="shared" si="4"/>
        <v>279</v>
      </c>
      <c r="B285">
        <v>2011</v>
      </c>
      <c r="C285" t="s">
        <v>184</v>
      </c>
      <c r="D285" t="s">
        <v>543</v>
      </c>
      <c r="E285" s="65">
        <v>200</v>
      </c>
      <c r="F285" s="33">
        <v>1</v>
      </c>
      <c r="H285" t="s">
        <v>152</v>
      </c>
      <c r="I285" t="s">
        <v>257</v>
      </c>
      <c r="J285" t="s">
        <v>19</v>
      </c>
      <c r="K285" t="s">
        <v>205</v>
      </c>
      <c r="L285" s="17"/>
      <c r="M285" s="28" t="s">
        <v>178</v>
      </c>
    </row>
    <row r="286" spans="1:13" x14ac:dyDescent="0.2">
      <c r="A286">
        <f t="shared" si="4"/>
        <v>280</v>
      </c>
      <c r="B286">
        <v>2011</v>
      </c>
      <c r="C286" t="s">
        <v>184</v>
      </c>
      <c r="D286" t="s">
        <v>278</v>
      </c>
      <c r="E286" s="65">
        <v>200</v>
      </c>
      <c r="F286" s="33">
        <v>1</v>
      </c>
      <c r="H286" t="s">
        <v>151</v>
      </c>
      <c r="I286" t="s">
        <v>279</v>
      </c>
      <c r="J286" t="s">
        <v>53</v>
      </c>
      <c r="K286" t="s">
        <v>183</v>
      </c>
      <c r="L286" s="17"/>
      <c r="M286" s="28" t="s">
        <v>178</v>
      </c>
    </row>
    <row r="287" spans="1:13" x14ac:dyDescent="0.2">
      <c r="A287">
        <f t="shared" si="4"/>
        <v>281</v>
      </c>
      <c r="B287">
        <v>2011</v>
      </c>
      <c r="C287" t="s">
        <v>184</v>
      </c>
      <c r="D287" t="s">
        <v>544</v>
      </c>
      <c r="E287" s="65">
        <v>2030</v>
      </c>
      <c r="F287" s="33">
        <v>0.64</v>
      </c>
      <c r="G287" t="s">
        <v>545</v>
      </c>
      <c r="H287" t="s">
        <v>144</v>
      </c>
      <c r="I287" t="s">
        <v>232</v>
      </c>
      <c r="J287" t="s">
        <v>9</v>
      </c>
      <c r="K287" t="s">
        <v>9</v>
      </c>
      <c r="L287" s="17"/>
      <c r="M287" s="28" t="s">
        <v>178</v>
      </c>
    </row>
    <row r="288" spans="1:13" x14ac:dyDescent="0.2">
      <c r="A288">
        <f t="shared" si="4"/>
        <v>282</v>
      </c>
      <c r="B288">
        <v>2011</v>
      </c>
      <c r="C288" t="s">
        <v>184</v>
      </c>
      <c r="D288" t="s">
        <v>267</v>
      </c>
      <c r="E288" s="65">
        <v>800</v>
      </c>
      <c r="G288" t="s">
        <v>546</v>
      </c>
      <c r="H288" t="s">
        <v>149</v>
      </c>
      <c r="I288" t="s">
        <v>238</v>
      </c>
      <c r="J288" t="s">
        <v>72</v>
      </c>
      <c r="K288" t="s">
        <v>183</v>
      </c>
      <c r="L288" s="17"/>
      <c r="M288" s="28" t="s">
        <v>178</v>
      </c>
    </row>
    <row r="289" spans="1:13" x14ac:dyDescent="0.2">
      <c r="A289">
        <f t="shared" si="4"/>
        <v>283</v>
      </c>
      <c r="B289">
        <v>2011</v>
      </c>
      <c r="C289" t="s">
        <v>184</v>
      </c>
      <c r="D289" t="s">
        <v>283</v>
      </c>
      <c r="E289" s="65">
        <v>100</v>
      </c>
      <c r="F289" s="33">
        <v>1</v>
      </c>
      <c r="H289" t="s">
        <v>146</v>
      </c>
      <c r="I289" t="s">
        <v>275</v>
      </c>
      <c r="J289" t="s">
        <v>19</v>
      </c>
      <c r="K289" t="s">
        <v>205</v>
      </c>
      <c r="L289" s="17"/>
      <c r="M289" s="28" t="s">
        <v>178</v>
      </c>
    </row>
    <row r="290" spans="1:13" x14ac:dyDescent="0.2">
      <c r="A290">
        <f t="shared" si="4"/>
        <v>284</v>
      </c>
      <c r="B290">
        <v>2011</v>
      </c>
      <c r="C290" t="s">
        <v>184</v>
      </c>
      <c r="D290" t="s">
        <v>547</v>
      </c>
      <c r="E290" s="65">
        <v>100</v>
      </c>
      <c r="F290" s="33">
        <v>0.75</v>
      </c>
      <c r="G290" t="s">
        <v>548</v>
      </c>
      <c r="H290" t="s">
        <v>154</v>
      </c>
      <c r="I290" t="s">
        <v>194</v>
      </c>
      <c r="J290" t="s">
        <v>45</v>
      </c>
      <c r="K290" t="s">
        <v>195</v>
      </c>
      <c r="L290" s="17"/>
    </row>
    <row r="291" spans="1:13" x14ac:dyDescent="0.2">
      <c r="A291">
        <f t="shared" si="4"/>
        <v>285</v>
      </c>
      <c r="B291">
        <v>2011</v>
      </c>
      <c r="C291" t="s">
        <v>225</v>
      </c>
      <c r="D291" t="s">
        <v>549</v>
      </c>
      <c r="E291" s="65">
        <v>350</v>
      </c>
      <c r="H291" t="s">
        <v>151</v>
      </c>
      <c r="I291" t="s">
        <v>224</v>
      </c>
      <c r="J291" t="s">
        <v>101</v>
      </c>
      <c r="K291" t="s">
        <v>201</v>
      </c>
      <c r="L291" s="17"/>
    </row>
    <row r="292" spans="1:13" x14ac:dyDescent="0.2">
      <c r="A292">
        <f t="shared" si="4"/>
        <v>286</v>
      </c>
      <c r="B292">
        <v>2011</v>
      </c>
      <c r="C292" t="s">
        <v>225</v>
      </c>
      <c r="D292" t="s">
        <v>189</v>
      </c>
      <c r="E292" s="65">
        <v>540</v>
      </c>
      <c r="F292" s="33">
        <v>0.8</v>
      </c>
      <c r="G292" t="s">
        <v>462</v>
      </c>
      <c r="H292" t="s">
        <v>144</v>
      </c>
      <c r="I292" t="s">
        <v>187</v>
      </c>
      <c r="J292" t="s">
        <v>24</v>
      </c>
      <c r="K292" t="s">
        <v>219</v>
      </c>
      <c r="L292" s="17"/>
    </row>
    <row r="293" spans="1:13" x14ac:dyDescent="0.2">
      <c r="A293">
        <f t="shared" si="4"/>
        <v>287</v>
      </c>
      <c r="B293">
        <v>2011</v>
      </c>
      <c r="C293" t="s">
        <v>225</v>
      </c>
      <c r="D293" t="s">
        <v>550</v>
      </c>
      <c r="E293" s="65">
        <v>1490</v>
      </c>
      <c r="F293" s="33">
        <v>0.25</v>
      </c>
      <c r="G293" t="s">
        <v>450</v>
      </c>
      <c r="H293" t="s">
        <v>149</v>
      </c>
      <c r="I293" t="s">
        <v>182</v>
      </c>
      <c r="J293" t="s">
        <v>107</v>
      </c>
      <c r="K293" t="s">
        <v>219</v>
      </c>
      <c r="L293" s="17"/>
      <c r="M293" s="28" t="s">
        <v>178</v>
      </c>
    </row>
    <row r="294" spans="1:13" x14ac:dyDescent="0.2">
      <c r="A294">
        <f t="shared" si="4"/>
        <v>288</v>
      </c>
      <c r="B294">
        <v>2011</v>
      </c>
      <c r="C294" t="s">
        <v>225</v>
      </c>
      <c r="D294" t="s">
        <v>551</v>
      </c>
      <c r="E294" s="65">
        <v>200</v>
      </c>
      <c r="F294" s="33">
        <v>1</v>
      </c>
      <c r="H294" t="s">
        <v>154</v>
      </c>
      <c r="I294" t="s">
        <v>194</v>
      </c>
      <c r="J294" t="s">
        <v>135</v>
      </c>
      <c r="K294" t="s">
        <v>205</v>
      </c>
      <c r="L294" s="17"/>
      <c r="M294" s="28" t="s">
        <v>178</v>
      </c>
    </row>
    <row r="295" spans="1:13" x14ac:dyDescent="0.2">
      <c r="A295">
        <f t="shared" si="4"/>
        <v>289</v>
      </c>
      <c r="B295">
        <v>2011</v>
      </c>
      <c r="C295" t="s">
        <v>225</v>
      </c>
      <c r="D295" t="s">
        <v>552</v>
      </c>
      <c r="E295" s="65">
        <v>470</v>
      </c>
      <c r="F295" s="33">
        <v>0.75</v>
      </c>
      <c r="G295" t="s">
        <v>553</v>
      </c>
      <c r="H295" t="s">
        <v>149</v>
      </c>
      <c r="J295" t="s">
        <v>112</v>
      </c>
      <c r="K295" t="s">
        <v>219</v>
      </c>
      <c r="L295" s="17"/>
    </row>
    <row r="296" spans="1:13" x14ac:dyDescent="0.2">
      <c r="A296">
        <f t="shared" si="4"/>
        <v>290</v>
      </c>
      <c r="B296">
        <v>2011</v>
      </c>
      <c r="C296" t="s">
        <v>225</v>
      </c>
      <c r="D296" t="s">
        <v>554</v>
      </c>
      <c r="E296" s="65">
        <v>120</v>
      </c>
      <c r="F296" s="33">
        <v>0.1</v>
      </c>
      <c r="G296" t="s">
        <v>555</v>
      </c>
      <c r="H296" t="s">
        <v>150</v>
      </c>
      <c r="I296" t="s">
        <v>556</v>
      </c>
      <c r="J296" t="s">
        <v>47</v>
      </c>
      <c r="K296" t="s">
        <v>195</v>
      </c>
      <c r="L296" s="17"/>
    </row>
    <row r="297" spans="1:13" x14ac:dyDescent="0.2">
      <c r="A297">
        <f t="shared" si="4"/>
        <v>291</v>
      </c>
      <c r="B297">
        <v>2011</v>
      </c>
      <c r="C297" t="s">
        <v>225</v>
      </c>
      <c r="D297" t="s">
        <v>557</v>
      </c>
      <c r="E297" s="65">
        <v>350</v>
      </c>
      <c r="G297" t="s">
        <v>558</v>
      </c>
      <c r="H297" t="s">
        <v>151</v>
      </c>
      <c r="I297" t="s">
        <v>279</v>
      </c>
      <c r="J297" t="s">
        <v>53</v>
      </c>
      <c r="K297" t="s">
        <v>183</v>
      </c>
      <c r="L297" s="17"/>
      <c r="M297" s="28" t="s">
        <v>178</v>
      </c>
    </row>
    <row r="298" spans="1:13" x14ac:dyDescent="0.2">
      <c r="A298">
        <f t="shared" si="4"/>
        <v>292</v>
      </c>
      <c r="B298">
        <v>2011</v>
      </c>
      <c r="C298" t="s">
        <v>225</v>
      </c>
      <c r="D298" t="s">
        <v>559</v>
      </c>
      <c r="E298" s="65">
        <v>100</v>
      </c>
      <c r="G298" t="s">
        <v>560</v>
      </c>
      <c r="H298" t="s">
        <v>149</v>
      </c>
      <c r="J298" t="s">
        <v>119</v>
      </c>
      <c r="K298" t="s">
        <v>195</v>
      </c>
      <c r="L298" s="17"/>
    </row>
    <row r="299" spans="1:13" x14ac:dyDescent="0.2">
      <c r="A299">
        <f t="shared" si="4"/>
        <v>293</v>
      </c>
      <c r="B299">
        <v>2011</v>
      </c>
      <c r="C299" t="s">
        <v>188</v>
      </c>
      <c r="D299" t="s">
        <v>414</v>
      </c>
      <c r="E299" s="65">
        <v>270</v>
      </c>
      <c r="F299" s="33">
        <v>1</v>
      </c>
      <c r="G299" t="s">
        <v>561</v>
      </c>
      <c r="H299" t="s">
        <v>154</v>
      </c>
      <c r="I299" t="s">
        <v>194</v>
      </c>
      <c r="J299" t="s">
        <v>85</v>
      </c>
      <c r="K299" t="s">
        <v>195</v>
      </c>
      <c r="L299" s="17"/>
    </row>
    <row r="300" spans="1:13" x14ac:dyDescent="0.2">
      <c r="A300">
        <f t="shared" si="4"/>
        <v>294</v>
      </c>
      <c r="B300">
        <v>2011</v>
      </c>
      <c r="C300" t="s">
        <v>188</v>
      </c>
      <c r="D300" t="s">
        <v>562</v>
      </c>
      <c r="E300" s="65">
        <v>1190</v>
      </c>
      <c r="F300" s="33">
        <v>0.7</v>
      </c>
      <c r="G300" t="s">
        <v>563</v>
      </c>
      <c r="H300" t="s">
        <v>151</v>
      </c>
      <c r="I300" t="s">
        <v>224</v>
      </c>
      <c r="J300" t="s">
        <v>6</v>
      </c>
      <c r="K300" t="s">
        <v>219</v>
      </c>
      <c r="L300" s="17"/>
      <c r="M300" s="28" t="s">
        <v>178</v>
      </c>
    </row>
    <row r="301" spans="1:13" x14ac:dyDescent="0.2">
      <c r="A301">
        <f t="shared" si="4"/>
        <v>295</v>
      </c>
      <c r="B301">
        <v>2011</v>
      </c>
      <c r="C301" t="s">
        <v>188</v>
      </c>
      <c r="D301" t="s">
        <v>564</v>
      </c>
      <c r="E301" s="65">
        <v>200</v>
      </c>
      <c r="F301" s="33">
        <v>1</v>
      </c>
      <c r="H301" t="s">
        <v>154</v>
      </c>
      <c r="I301" t="s">
        <v>194</v>
      </c>
      <c r="J301" t="s">
        <v>101</v>
      </c>
      <c r="K301" t="s">
        <v>201</v>
      </c>
      <c r="L301" s="17"/>
      <c r="M301" s="28" t="s">
        <v>178</v>
      </c>
    </row>
    <row r="302" spans="1:13" x14ac:dyDescent="0.2">
      <c r="A302">
        <f t="shared" si="4"/>
        <v>296</v>
      </c>
      <c r="B302">
        <v>2011</v>
      </c>
      <c r="C302" t="s">
        <v>188</v>
      </c>
      <c r="D302" t="s">
        <v>565</v>
      </c>
      <c r="E302" s="65">
        <v>110</v>
      </c>
      <c r="F302" s="33">
        <v>0.31</v>
      </c>
      <c r="G302" t="s">
        <v>566</v>
      </c>
      <c r="H302" t="s">
        <v>150</v>
      </c>
      <c r="I302" t="s">
        <v>556</v>
      </c>
      <c r="J302" t="s">
        <v>61</v>
      </c>
      <c r="K302" t="s">
        <v>183</v>
      </c>
      <c r="L302" s="17"/>
    </row>
    <row r="303" spans="1:13" x14ac:dyDescent="0.2">
      <c r="A303">
        <f t="shared" si="4"/>
        <v>297</v>
      </c>
      <c r="B303">
        <v>2011</v>
      </c>
      <c r="C303" t="s">
        <v>188</v>
      </c>
      <c r="D303" t="s">
        <v>520</v>
      </c>
      <c r="E303" s="65">
        <v>670</v>
      </c>
      <c r="F303" s="33">
        <v>0.82</v>
      </c>
      <c r="G303" t="s">
        <v>567</v>
      </c>
      <c r="H303" t="s">
        <v>152</v>
      </c>
      <c r="J303" t="s">
        <v>45</v>
      </c>
      <c r="K303" t="s">
        <v>195</v>
      </c>
      <c r="L303" s="17"/>
    </row>
    <row r="304" spans="1:13" x14ac:dyDescent="0.2">
      <c r="A304">
        <f t="shared" si="4"/>
        <v>298</v>
      </c>
      <c r="B304">
        <v>2011</v>
      </c>
      <c r="C304" t="s">
        <v>188</v>
      </c>
      <c r="D304" t="s">
        <v>283</v>
      </c>
      <c r="E304" s="65">
        <v>680</v>
      </c>
      <c r="F304" s="33">
        <v>0.75</v>
      </c>
      <c r="G304" t="s">
        <v>284</v>
      </c>
      <c r="H304" t="s">
        <v>146</v>
      </c>
      <c r="I304" t="s">
        <v>275</v>
      </c>
      <c r="J304" t="s">
        <v>8</v>
      </c>
      <c r="K304" t="s">
        <v>205</v>
      </c>
      <c r="L304" s="17"/>
    </row>
    <row r="305" spans="1:13" x14ac:dyDescent="0.2">
      <c r="A305">
        <f t="shared" si="4"/>
        <v>299</v>
      </c>
      <c r="B305">
        <v>2011</v>
      </c>
      <c r="C305" t="s">
        <v>188</v>
      </c>
      <c r="D305" t="s">
        <v>373</v>
      </c>
      <c r="E305" s="65">
        <v>270</v>
      </c>
      <c r="F305" s="33">
        <v>0.9</v>
      </c>
      <c r="G305" t="s">
        <v>568</v>
      </c>
      <c r="H305" t="s">
        <v>151</v>
      </c>
      <c r="I305" t="s">
        <v>224</v>
      </c>
      <c r="J305" t="s">
        <v>131</v>
      </c>
      <c r="K305" t="s">
        <v>131</v>
      </c>
      <c r="L305" s="17"/>
    </row>
    <row r="306" spans="1:13" x14ac:dyDescent="0.2">
      <c r="A306">
        <f t="shared" si="4"/>
        <v>300</v>
      </c>
      <c r="B306">
        <v>2011</v>
      </c>
      <c r="C306" t="s">
        <v>188</v>
      </c>
      <c r="D306" t="s">
        <v>246</v>
      </c>
      <c r="E306" s="65">
        <v>2290</v>
      </c>
      <c r="F306" s="33">
        <v>0.5</v>
      </c>
      <c r="G306" t="s">
        <v>506</v>
      </c>
      <c r="H306" t="s">
        <v>144</v>
      </c>
      <c r="J306" t="s">
        <v>101</v>
      </c>
      <c r="K306" t="s">
        <v>201</v>
      </c>
      <c r="L306" s="17"/>
      <c r="M306" s="28" t="s">
        <v>178</v>
      </c>
    </row>
    <row r="307" spans="1:13" x14ac:dyDescent="0.2">
      <c r="A307">
        <f t="shared" si="4"/>
        <v>301</v>
      </c>
      <c r="B307">
        <v>2011</v>
      </c>
      <c r="C307" t="s">
        <v>188</v>
      </c>
      <c r="D307" t="s">
        <v>553</v>
      </c>
      <c r="E307" s="65">
        <v>250</v>
      </c>
      <c r="G307" t="s">
        <v>569</v>
      </c>
      <c r="H307" t="s">
        <v>149</v>
      </c>
      <c r="J307" t="s">
        <v>112</v>
      </c>
      <c r="K307" t="s">
        <v>219</v>
      </c>
      <c r="L307" s="17"/>
    </row>
    <row r="308" spans="1:13" x14ac:dyDescent="0.2">
      <c r="A308">
        <f t="shared" si="4"/>
        <v>302</v>
      </c>
      <c r="B308">
        <v>2011</v>
      </c>
      <c r="C308" t="s">
        <v>191</v>
      </c>
      <c r="D308" t="s">
        <v>570</v>
      </c>
      <c r="E308" s="65">
        <v>930</v>
      </c>
      <c r="F308" s="33">
        <v>1</v>
      </c>
      <c r="H308" t="s">
        <v>149</v>
      </c>
      <c r="I308" t="s">
        <v>182</v>
      </c>
      <c r="J308" t="s">
        <v>53</v>
      </c>
      <c r="K308" t="s">
        <v>183</v>
      </c>
      <c r="L308" s="17"/>
      <c r="M308" s="28" t="s">
        <v>178</v>
      </c>
    </row>
    <row r="309" spans="1:13" x14ac:dyDescent="0.2">
      <c r="A309">
        <f t="shared" si="4"/>
        <v>303</v>
      </c>
      <c r="B309">
        <v>2011</v>
      </c>
      <c r="C309" t="s">
        <v>191</v>
      </c>
      <c r="D309" t="s">
        <v>221</v>
      </c>
      <c r="E309" s="65">
        <v>420</v>
      </c>
      <c r="F309" s="33">
        <v>1</v>
      </c>
      <c r="G309" t="s">
        <v>571</v>
      </c>
      <c r="H309" t="s">
        <v>154</v>
      </c>
      <c r="I309" t="s">
        <v>194</v>
      </c>
      <c r="J309" t="s">
        <v>45</v>
      </c>
      <c r="K309" t="s">
        <v>195</v>
      </c>
      <c r="L309" s="17"/>
    </row>
    <row r="310" spans="1:13" x14ac:dyDescent="0.2">
      <c r="A310">
        <f t="shared" si="4"/>
        <v>304</v>
      </c>
      <c r="B310">
        <v>2011</v>
      </c>
      <c r="C310" t="s">
        <v>191</v>
      </c>
      <c r="D310" t="s">
        <v>572</v>
      </c>
      <c r="E310" s="65">
        <v>260</v>
      </c>
      <c r="F310" s="33">
        <v>0.7</v>
      </c>
      <c r="G310" t="s">
        <v>573</v>
      </c>
      <c r="H310" t="s">
        <v>144</v>
      </c>
      <c r="I310" t="s">
        <v>232</v>
      </c>
      <c r="J310" t="s">
        <v>25</v>
      </c>
      <c r="K310" t="s">
        <v>177</v>
      </c>
      <c r="L310" s="17"/>
    </row>
    <row r="311" spans="1:13" x14ac:dyDescent="0.2">
      <c r="A311">
        <f t="shared" si="4"/>
        <v>305</v>
      </c>
      <c r="B311">
        <v>2011</v>
      </c>
      <c r="C311" t="s">
        <v>191</v>
      </c>
      <c r="D311" t="s">
        <v>551</v>
      </c>
      <c r="E311" s="65">
        <v>170</v>
      </c>
      <c r="G311" t="s">
        <v>574</v>
      </c>
      <c r="H311" t="s">
        <v>154</v>
      </c>
      <c r="I311" t="s">
        <v>194</v>
      </c>
      <c r="J311" t="s">
        <v>8</v>
      </c>
      <c r="K311" t="s">
        <v>205</v>
      </c>
      <c r="L311" s="17"/>
      <c r="M311" s="28" t="s">
        <v>178</v>
      </c>
    </row>
    <row r="312" spans="1:13" x14ac:dyDescent="0.2">
      <c r="A312">
        <f t="shared" si="4"/>
        <v>306</v>
      </c>
      <c r="B312">
        <v>2011</v>
      </c>
      <c r="C312" t="s">
        <v>191</v>
      </c>
      <c r="D312" t="s">
        <v>185</v>
      </c>
      <c r="E312" s="65">
        <v>2040</v>
      </c>
      <c r="F312" s="33">
        <v>1</v>
      </c>
      <c r="G312" t="s">
        <v>575</v>
      </c>
      <c r="H312" t="s">
        <v>144</v>
      </c>
      <c r="I312" t="s">
        <v>187</v>
      </c>
      <c r="J312" t="s">
        <v>25</v>
      </c>
      <c r="K312" t="s">
        <v>177</v>
      </c>
      <c r="L312" s="17"/>
    </row>
    <row r="313" spans="1:13" x14ac:dyDescent="0.2">
      <c r="A313">
        <f t="shared" si="4"/>
        <v>307</v>
      </c>
      <c r="B313">
        <v>2011</v>
      </c>
      <c r="C313" t="s">
        <v>191</v>
      </c>
      <c r="D313" t="s">
        <v>352</v>
      </c>
      <c r="E313" s="65">
        <v>1010</v>
      </c>
      <c r="F313" s="33">
        <v>0.21</v>
      </c>
      <c r="G313" t="s">
        <v>576</v>
      </c>
      <c r="H313" t="s">
        <v>144</v>
      </c>
      <c r="I313" t="s">
        <v>273</v>
      </c>
      <c r="J313" t="s">
        <v>78</v>
      </c>
      <c r="K313" t="s">
        <v>183</v>
      </c>
      <c r="L313" s="17"/>
      <c r="M313" s="28" t="s">
        <v>178</v>
      </c>
    </row>
    <row r="314" spans="1:13" x14ac:dyDescent="0.2">
      <c r="A314">
        <f t="shared" si="4"/>
        <v>308</v>
      </c>
      <c r="B314">
        <v>2011</v>
      </c>
      <c r="C314" t="s">
        <v>191</v>
      </c>
      <c r="D314" t="s">
        <v>577</v>
      </c>
      <c r="E314" s="65">
        <v>130</v>
      </c>
      <c r="G314" t="s">
        <v>578</v>
      </c>
      <c r="H314" t="s">
        <v>150</v>
      </c>
      <c r="I314" t="s">
        <v>556</v>
      </c>
      <c r="J314" t="s">
        <v>61</v>
      </c>
      <c r="K314" t="s">
        <v>183</v>
      </c>
      <c r="L314" s="17"/>
    </row>
    <row r="315" spans="1:13" x14ac:dyDescent="0.2">
      <c r="A315">
        <f t="shared" si="4"/>
        <v>309</v>
      </c>
      <c r="B315">
        <v>2011</v>
      </c>
      <c r="C315" t="s">
        <v>191</v>
      </c>
      <c r="D315" t="s">
        <v>334</v>
      </c>
      <c r="E315" s="65">
        <v>140</v>
      </c>
      <c r="F315" s="33">
        <v>0.99</v>
      </c>
      <c r="G315" t="s">
        <v>579</v>
      </c>
      <c r="H315" t="s">
        <v>142</v>
      </c>
      <c r="J315" t="s">
        <v>9</v>
      </c>
      <c r="K315" t="s">
        <v>9</v>
      </c>
      <c r="L315" s="17"/>
    </row>
    <row r="316" spans="1:13" x14ac:dyDescent="0.2">
      <c r="A316">
        <f t="shared" si="4"/>
        <v>310</v>
      </c>
      <c r="B316">
        <v>2011</v>
      </c>
      <c r="C316" t="s">
        <v>191</v>
      </c>
      <c r="D316" t="s">
        <v>305</v>
      </c>
      <c r="E316" s="65">
        <v>1360</v>
      </c>
      <c r="F316" s="33">
        <v>1</v>
      </c>
      <c r="G316" t="s">
        <v>580</v>
      </c>
      <c r="H316" t="s">
        <v>149</v>
      </c>
      <c r="I316" t="s">
        <v>236</v>
      </c>
      <c r="J316" t="s">
        <v>112</v>
      </c>
      <c r="K316" t="s">
        <v>219</v>
      </c>
      <c r="L316" s="17"/>
    </row>
    <row r="317" spans="1:13" x14ac:dyDescent="0.2">
      <c r="A317">
        <f t="shared" si="4"/>
        <v>311</v>
      </c>
      <c r="B317">
        <v>2011</v>
      </c>
      <c r="C317" t="s">
        <v>191</v>
      </c>
      <c r="D317" t="s">
        <v>208</v>
      </c>
      <c r="E317" s="65">
        <v>300</v>
      </c>
      <c r="H317" t="s">
        <v>149</v>
      </c>
      <c r="J317" t="s">
        <v>139</v>
      </c>
      <c r="K317" t="s">
        <v>219</v>
      </c>
      <c r="L317" s="17"/>
    </row>
    <row r="318" spans="1:13" x14ac:dyDescent="0.2">
      <c r="A318">
        <f t="shared" si="4"/>
        <v>312</v>
      </c>
      <c r="B318">
        <v>2011</v>
      </c>
      <c r="C318" t="s">
        <v>191</v>
      </c>
      <c r="D318" t="s">
        <v>551</v>
      </c>
      <c r="E318" s="65">
        <v>400</v>
      </c>
      <c r="H318" t="s">
        <v>154</v>
      </c>
      <c r="I318" t="s">
        <v>194</v>
      </c>
      <c r="J318" t="s">
        <v>19</v>
      </c>
      <c r="K318" t="s">
        <v>205</v>
      </c>
      <c r="L318" s="17"/>
      <c r="M318" s="28" t="s">
        <v>178</v>
      </c>
    </row>
    <row r="319" spans="1:13" x14ac:dyDescent="0.2">
      <c r="A319">
        <f t="shared" si="4"/>
        <v>313</v>
      </c>
      <c r="B319">
        <v>2011</v>
      </c>
      <c r="C319" t="s">
        <v>191</v>
      </c>
      <c r="D319" t="s">
        <v>263</v>
      </c>
      <c r="E319" s="65">
        <v>320</v>
      </c>
      <c r="F319" s="33">
        <v>0.14000000000000001</v>
      </c>
      <c r="H319" t="s">
        <v>154</v>
      </c>
      <c r="I319" t="s">
        <v>194</v>
      </c>
      <c r="J319" t="s">
        <v>9</v>
      </c>
      <c r="K319" t="s">
        <v>9</v>
      </c>
      <c r="L319" s="17"/>
    </row>
    <row r="320" spans="1:13" x14ac:dyDescent="0.2">
      <c r="A320">
        <f t="shared" si="4"/>
        <v>314</v>
      </c>
      <c r="B320">
        <v>2011</v>
      </c>
      <c r="C320" t="s">
        <v>198</v>
      </c>
      <c r="D320" t="s">
        <v>570</v>
      </c>
      <c r="E320" s="65">
        <v>400</v>
      </c>
      <c r="H320" t="s">
        <v>149</v>
      </c>
      <c r="J320" t="s">
        <v>25</v>
      </c>
      <c r="K320" t="s">
        <v>177</v>
      </c>
      <c r="L320" s="17"/>
    </row>
    <row r="321" spans="1:13" x14ac:dyDescent="0.2">
      <c r="A321">
        <f t="shared" si="4"/>
        <v>315</v>
      </c>
      <c r="B321">
        <v>2011</v>
      </c>
      <c r="C321" t="s">
        <v>198</v>
      </c>
      <c r="D321" t="s">
        <v>581</v>
      </c>
      <c r="E321" s="65">
        <v>230</v>
      </c>
      <c r="F321" s="33">
        <v>0.51</v>
      </c>
      <c r="G321" t="s">
        <v>582</v>
      </c>
      <c r="H321" t="s">
        <v>150</v>
      </c>
      <c r="I321" t="s">
        <v>217</v>
      </c>
      <c r="J321" t="s">
        <v>131</v>
      </c>
      <c r="K321" t="s">
        <v>131</v>
      </c>
      <c r="L321" s="17"/>
    </row>
    <row r="322" spans="1:13" x14ac:dyDescent="0.2">
      <c r="A322">
        <f t="shared" si="4"/>
        <v>316</v>
      </c>
      <c r="B322">
        <v>2011</v>
      </c>
      <c r="C322" t="s">
        <v>198</v>
      </c>
      <c r="D322" t="s">
        <v>263</v>
      </c>
      <c r="E322" s="65">
        <v>3240</v>
      </c>
      <c r="F322" s="33">
        <v>0.3</v>
      </c>
      <c r="G322" t="s">
        <v>583</v>
      </c>
      <c r="H322" t="s">
        <v>144</v>
      </c>
      <c r="J322" t="s">
        <v>42</v>
      </c>
      <c r="K322" t="s">
        <v>195</v>
      </c>
      <c r="L322" s="17"/>
    </row>
    <row r="323" spans="1:13" x14ac:dyDescent="0.2">
      <c r="A323">
        <f t="shared" si="4"/>
        <v>317</v>
      </c>
      <c r="B323">
        <v>2011</v>
      </c>
      <c r="C323" t="s">
        <v>198</v>
      </c>
      <c r="D323" t="s">
        <v>373</v>
      </c>
      <c r="E323" s="65">
        <v>1260</v>
      </c>
      <c r="F323" s="33">
        <v>0.51</v>
      </c>
      <c r="G323" t="s">
        <v>584</v>
      </c>
      <c r="H323" t="s">
        <v>148</v>
      </c>
      <c r="J323" t="s">
        <v>108</v>
      </c>
      <c r="K323" t="s">
        <v>183</v>
      </c>
      <c r="L323" s="17"/>
    </row>
    <row r="324" spans="1:13" x14ac:dyDescent="0.2">
      <c r="A324">
        <f t="shared" si="4"/>
        <v>318</v>
      </c>
      <c r="B324">
        <v>2011</v>
      </c>
      <c r="C324" t="s">
        <v>198</v>
      </c>
      <c r="D324" t="s">
        <v>585</v>
      </c>
      <c r="E324" s="65">
        <v>100</v>
      </c>
      <c r="F324" s="33">
        <v>0.2</v>
      </c>
      <c r="G324" t="s">
        <v>586</v>
      </c>
      <c r="H324" t="s">
        <v>154</v>
      </c>
      <c r="I324" t="s">
        <v>194</v>
      </c>
      <c r="J324" t="s">
        <v>19</v>
      </c>
      <c r="K324" t="s">
        <v>205</v>
      </c>
      <c r="L324" s="17"/>
      <c r="M324" s="28" t="s">
        <v>178</v>
      </c>
    </row>
    <row r="325" spans="1:13" x14ac:dyDescent="0.2">
      <c r="A325">
        <f t="shared" si="4"/>
        <v>319</v>
      </c>
      <c r="B325">
        <v>2011</v>
      </c>
      <c r="C325" t="s">
        <v>198</v>
      </c>
      <c r="D325" t="s">
        <v>300</v>
      </c>
      <c r="E325" s="65">
        <v>720</v>
      </c>
      <c r="F325" s="33">
        <v>0.03</v>
      </c>
      <c r="G325" t="s">
        <v>587</v>
      </c>
      <c r="H325" t="s">
        <v>146</v>
      </c>
      <c r="J325" t="s">
        <v>45</v>
      </c>
      <c r="K325" t="s">
        <v>195</v>
      </c>
      <c r="L325" s="17"/>
    </row>
    <row r="326" spans="1:13" x14ac:dyDescent="0.2">
      <c r="A326">
        <f t="shared" si="4"/>
        <v>320</v>
      </c>
      <c r="B326">
        <v>2011</v>
      </c>
      <c r="C326" t="s">
        <v>198</v>
      </c>
      <c r="D326" t="s">
        <v>588</v>
      </c>
      <c r="E326" s="65">
        <v>390</v>
      </c>
      <c r="F326" s="33">
        <v>0.75</v>
      </c>
      <c r="G326" t="s">
        <v>589</v>
      </c>
      <c r="H326" t="s">
        <v>142</v>
      </c>
      <c r="J326" t="s">
        <v>9</v>
      </c>
      <c r="K326" t="s">
        <v>9</v>
      </c>
      <c r="L326" s="17"/>
    </row>
    <row r="327" spans="1:13" x14ac:dyDescent="0.2">
      <c r="A327">
        <f t="shared" ref="A327:A390" si="5">ROW()-6</f>
        <v>321</v>
      </c>
      <c r="B327">
        <v>2011</v>
      </c>
      <c r="C327" t="s">
        <v>198</v>
      </c>
      <c r="D327" t="s">
        <v>263</v>
      </c>
      <c r="E327" s="65">
        <v>360</v>
      </c>
      <c r="F327" s="33">
        <v>0.19</v>
      </c>
      <c r="G327" t="s">
        <v>590</v>
      </c>
      <c r="H327" t="s">
        <v>144</v>
      </c>
      <c r="I327" t="s">
        <v>273</v>
      </c>
      <c r="J327" t="s">
        <v>136</v>
      </c>
      <c r="K327" t="s">
        <v>183</v>
      </c>
      <c r="L327" s="17"/>
      <c r="M327" s="28" t="s">
        <v>178</v>
      </c>
    </row>
    <row r="328" spans="1:13" x14ac:dyDescent="0.2">
      <c r="A328">
        <f t="shared" si="5"/>
        <v>322</v>
      </c>
      <c r="B328">
        <v>2011</v>
      </c>
      <c r="C328" t="s">
        <v>198</v>
      </c>
      <c r="D328" t="s">
        <v>591</v>
      </c>
      <c r="E328" s="65">
        <v>1950</v>
      </c>
      <c r="F328" s="33">
        <v>0.15</v>
      </c>
      <c r="G328" t="s">
        <v>592</v>
      </c>
      <c r="H328" t="s">
        <v>149</v>
      </c>
      <c r="J328" t="s">
        <v>19</v>
      </c>
      <c r="K328" t="s">
        <v>205</v>
      </c>
      <c r="L328" s="17"/>
    </row>
    <row r="329" spans="1:13" x14ac:dyDescent="0.2">
      <c r="A329">
        <f t="shared" si="5"/>
        <v>323</v>
      </c>
      <c r="B329">
        <v>2011</v>
      </c>
      <c r="C329" t="s">
        <v>198</v>
      </c>
      <c r="D329" t="s">
        <v>389</v>
      </c>
      <c r="E329" s="65">
        <v>210</v>
      </c>
      <c r="F329" s="33">
        <v>1</v>
      </c>
      <c r="G329" t="s">
        <v>593</v>
      </c>
      <c r="H329" t="s">
        <v>144</v>
      </c>
      <c r="I329" t="s">
        <v>273</v>
      </c>
      <c r="J329" t="s">
        <v>9</v>
      </c>
      <c r="K329" t="s">
        <v>9</v>
      </c>
      <c r="L329" s="17"/>
    </row>
    <row r="330" spans="1:13" x14ac:dyDescent="0.2">
      <c r="A330">
        <f t="shared" si="5"/>
        <v>324</v>
      </c>
      <c r="B330">
        <v>2011</v>
      </c>
      <c r="C330" t="s">
        <v>198</v>
      </c>
      <c r="D330" t="s">
        <v>189</v>
      </c>
      <c r="E330" s="65">
        <v>980</v>
      </c>
      <c r="F330" s="33">
        <v>0.05</v>
      </c>
      <c r="G330" t="s">
        <v>325</v>
      </c>
      <c r="H330" t="s">
        <v>144</v>
      </c>
      <c r="I330" t="s">
        <v>187</v>
      </c>
      <c r="J330" t="s">
        <v>6</v>
      </c>
      <c r="K330" t="s">
        <v>219</v>
      </c>
      <c r="L330" s="17"/>
    </row>
    <row r="331" spans="1:13" x14ac:dyDescent="0.2">
      <c r="A331">
        <f t="shared" si="5"/>
        <v>325</v>
      </c>
      <c r="B331">
        <v>2011</v>
      </c>
      <c r="C331" t="s">
        <v>202</v>
      </c>
      <c r="D331" t="s">
        <v>594</v>
      </c>
      <c r="E331" s="65">
        <v>100</v>
      </c>
      <c r="F331" s="33">
        <v>1</v>
      </c>
      <c r="H331" t="s">
        <v>154</v>
      </c>
      <c r="I331" t="s">
        <v>194</v>
      </c>
      <c r="J331" t="s">
        <v>136</v>
      </c>
      <c r="K331" t="s">
        <v>183</v>
      </c>
      <c r="L331" s="17"/>
      <c r="M331" s="28" t="s">
        <v>178</v>
      </c>
    </row>
    <row r="332" spans="1:13" x14ac:dyDescent="0.2">
      <c r="A332">
        <f t="shared" si="5"/>
        <v>326</v>
      </c>
      <c r="B332">
        <v>2011</v>
      </c>
      <c r="C332" t="s">
        <v>202</v>
      </c>
      <c r="D332" t="s">
        <v>477</v>
      </c>
      <c r="E332" s="65">
        <v>280</v>
      </c>
      <c r="F332" s="33">
        <v>0.55000000000000004</v>
      </c>
      <c r="G332" t="s">
        <v>595</v>
      </c>
      <c r="H332" t="s">
        <v>148</v>
      </c>
      <c r="J332" t="s">
        <v>115</v>
      </c>
      <c r="K332" t="s">
        <v>201</v>
      </c>
      <c r="L332" s="17"/>
      <c r="M332" s="28" t="s">
        <v>178</v>
      </c>
    </row>
    <row r="333" spans="1:13" x14ac:dyDescent="0.2">
      <c r="A333">
        <f t="shared" si="5"/>
        <v>327</v>
      </c>
      <c r="B333">
        <v>2011</v>
      </c>
      <c r="C333" t="s">
        <v>202</v>
      </c>
      <c r="D333" t="s">
        <v>596</v>
      </c>
      <c r="E333" s="65">
        <v>200</v>
      </c>
      <c r="F333" s="33">
        <v>1</v>
      </c>
      <c r="H333" t="s">
        <v>144</v>
      </c>
      <c r="I333" t="s">
        <v>232</v>
      </c>
      <c r="J333" t="s">
        <v>131</v>
      </c>
      <c r="K333" t="s">
        <v>131</v>
      </c>
      <c r="L333" s="17"/>
      <c r="M333" s="28" t="s">
        <v>178</v>
      </c>
    </row>
    <row r="334" spans="1:13" x14ac:dyDescent="0.2">
      <c r="A334">
        <f t="shared" si="5"/>
        <v>328</v>
      </c>
      <c r="B334">
        <v>2011</v>
      </c>
      <c r="C334" t="s">
        <v>202</v>
      </c>
      <c r="D334" t="s">
        <v>175</v>
      </c>
      <c r="E334" s="65">
        <v>1280</v>
      </c>
      <c r="F334" s="33">
        <v>1</v>
      </c>
      <c r="G334" t="s">
        <v>597</v>
      </c>
      <c r="H334" t="s">
        <v>149</v>
      </c>
      <c r="I334" t="s">
        <v>236</v>
      </c>
      <c r="J334" t="s">
        <v>34</v>
      </c>
      <c r="K334" t="s">
        <v>219</v>
      </c>
      <c r="L334" s="17"/>
    </row>
    <row r="335" spans="1:13" x14ac:dyDescent="0.2">
      <c r="A335">
        <f t="shared" si="5"/>
        <v>329</v>
      </c>
      <c r="B335">
        <v>2011</v>
      </c>
      <c r="C335" t="s">
        <v>202</v>
      </c>
      <c r="D335" t="s">
        <v>389</v>
      </c>
      <c r="E335" s="65">
        <v>300</v>
      </c>
      <c r="F335" s="33">
        <v>1</v>
      </c>
      <c r="G335" t="s">
        <v>598</v>
      </c>
      <c r="H335" t="s">
        <v>144</v>
      </c>
      <c r="I335" t="s">
        <v>273</v>
      </c>
      <c r="J335" t="s">
        <v>9</v>
      </c>
      <c r="K335" t="s">
        <v>9</v>
      </c>
      <c r="L335" s="17"/>
    </row>
    <row r="336" spans="1:13" x14ac:dyDescent="0.2">
      <c r="A336">
        <f t="shared" si="5"/>
        <v>330</v>
      </c>
      <c r="B336">
        <v>2011</v>
      </c>
      <c r="C336" t="s">
        <v>202</v>
      </c>
      <c r="D336" t="s">
        <v>389</v>
      </c>
      <c r="E336" s="65">
        <v>290</v>
      </c>
      <c r="G336" t="s">
        <v>599</v>
      </c>
      <c r="H336" t="s">
        <v>142</v>
      </c>
      <c r="J336" t="s">
        <v>25</v>
      </c>
      <c r="K336" t="s">
        <v>177</v>
      </c>
      <c r="L336" s="17"/>
      <c r="M336" s="28" t="s">
        <v>178</v>
      </c>
    </row>
    <row r="337" spans="1:13" x14ac:dyDescent="0.2">
      <c r="A337">
        <f t="shared" si="5"/>
        <v>331</v>
      </c>
      <c r="B337">
        <v>2011</v>
      </c>
      <c r="C337" t="s">
        <v>202</v>
      </c>
      <c r="D337" t="s">
        <v>600</v>
      </c>
      <c r="E337" s="65">
        <v>750</v>
      </c>
      <c r="G337" t="s">
        <v>326</v>
      </c>
      <c r="H337" t="s">
        <v>144</v>
      </c>
      <c r="J337" t="s">
        <v>93</v>
      </c>
      <c r="K337" t="s">
        <v>201</v>
      </c>
      <c r="L337" s="17"/>
    </row>
    <row r="338" spans="1:13" x14ac:dyDescent="0.2">
      <c r="A338">
        <f t="shared" si="5"/>
        <v>332</v>
      </c>
      <c r="B338">
        <v>2011</v>
      </c>
      <c r="C338" t="s">
        <v>207</v>
      </c>
      <c r="D338" t="s">
        <v>601</v>
      </c>
      <c r="E338" s="65">
        <v>570</v>
      </c>
      <c r="F338" s="33">
        <v>0.49</v>
      </c>
      <c r="G338" t="s">
        <v>602</v>
      </c>
      <c r="H338" t="s">
        <v>151</v>
      </c>
      <c r="I338" t="s">
        <v>224</v>
      </c>
      <c r="J338" t="s">
        <v>131</v>
      </c>
      <c r="K338" t="s">
        <v>131</v>
      </c>
      <c r="L338" s="17"/>
    </row>
    <row r="339" spans="1:13" x14ac:dyDescent="0.2">
      <c r="A339">
        <f t="shared" si="5"/>
        <v>333</v>
      </c>
      <c r="B339">
        <v>2011</v>
      </c>
      <c r="C339" t="s">
        <v>207</v>
      </c>
      <c r="D339" t="s">
        <v>189</v>
      </c>
      <c r="E339" s="65">
        <v>2100</v>
      </c>
      <c r="F339" s="33">
        <v>1</v>
      </c>
      <c r="G339" t="s">
        <v>603</v>
      </c>
      <c r="H339" t="s">
        <v>144</v>
      </c>
      <c r="J339" t="s">
        <v>25</v>
      </c>
      <c r="K339" t="s">
        <v>177</v>
      </c>
      <c r="L339" s="17"/>
    </row>
    <row r="340" spans="1:13" x14ac:dyDescent="0.2">
      <c r="A340">
        <f t="shared" si="5"/>
        <v>334</v>
      </c>
      <c r="B340">
        <v>2011</v>
      </c>
      <c r="C340" t="s">
        <v>207</v>
      </c>
      <c r="D340" t="s">
        <v>604</v>
      </c>
      <c r="E340" s="65">
        <v>100</v>
      </c>
      <c r="F340" s="33">
        <v>1</v>
      </c>
      <c r="G340" t="s">
        <v>605</v>
      </c>
      <c r="H340" t="s">
        <v>142</v>
      </c>
      <c r="J340" t="s">
        <v>124</v>
      </c>
      <c r="K340" t="s">
        <v>183</v>
      </c>
      <c r="L340" s="17"/>
      <c r="M340" s="28" t="s">
        <v>178</v>
      </c>
    </row>
    <row r="341" spans="1:13" x14ac:dyDescent="0.2">
      <c r="A341">
        <f t="shared" si="5"/>
        <v>335</v>
      </c>
      <c r="B341">
        <v>2011</v>
      </c>
      <c r="C341" t="s">
        <v>207</v>
      </c>
      <c r="D341" t="s">
        <v>606</v>
      </c>
      <c r="E341" s="65">
        <v>140</v>
      </c>
      <c r="F341" s="33">
        <v>1</v>
      </c>
      <c r="G341" t="s">
        <v>607</v>
      </c>
      <c r="H341" t="s">
        <v>154</v>
      </c>
      <c r="I341" t="s">
        <v>194</v>
      </c>
      <c r="J341" t="s">
        <v>10</v>
      </c>
      <c r="K341" t="s">
        <v>195</v>
      </c>
      <c r="L341" s="17"/>
    </row>
    <row r="342" spans="1:13" x14ac:dyDescent="0.2">
      <c r="A342">
        <f t="shared" si="5"/>
        <v>336</v>
      </c>
      <c r="B342">
        <v>2011</v>
      </c>
      <c r="C342" t="s">
        <v>207</v>
      </c>
      <c r="D342" t="s">
        <v>608</v>
      </c>
      <c r="E342" s="65">
        <v>270</v>
      </c>
      <c r="F342" s="33">
        <v>0.8</v>
      </c>
      <c r="G342" t="s">
        <v>609</v>
      </c>
      <c r="H342" t="s">
        <v>149</v>
      </c>
      <c r="J342" t="s">
        <v>53</v>
      </c>
      <c r="K342" t="s">
        <v>183</v>
      </c>
      <c r="L342" s="17"/>
    </row>
    <row r="343" spans="1:13" x14ac:dyDescent="0.2">
      <c r="A343">
        <f t="shared" si="5"/>
        <v>337</v>
      </c>
      <c r="B343">
        <v>2011</v>
      </c>
      <c r="C343" t="s">
        <v>207</v>
      </c>
      <c r="D343" t="s">
        <v>199</v>
      </c>
      <c r="E343" s="65">
        <v>400</v>
      </c>
      <c r="G343" t="s">
        <v>610</v>
      </c>
      <c r="H343" t="s">
        <v>144</v>
      </c>
      <c r="I343" t="s">
        <v>187</v>
      </c>
      <c r="J343" t="s">
        <v>4</v>
      </c>
      <c r="K343" t="s">
        <v>201</v>
      </c>
      <c r="L343" s="17"/>
      <c r="M343" s="28" t="s">
        <v>178</v>
      </c>
    </row>
    <row r="344" spans="1:13" x14ac:dyDescent="0.2">
      <c r="A344">
        <f t="shared" si="5"/>
        <v>338</v>
      </c>
      <c r="B344">
        <v>2011</v>
      </c>
      <c r="C344" t="s">
        <v>207</v>
      </c>
      <c r="D344" t="s">
        <v>434</v>
      </c>
      <c r="E344" s="65">
        <v>260</v>
      </c>
      <c r="F344" s="33">
        <v>0.96</v>
      </c>
      <c r="H344" t="s">
        <v>143</v>
      </c>
      <c r="J344" t="s">
        <v>51</v>
      </c>
      <c r="K344" t="s">
        <v>195</v>
      </c>
      <c r="L344" s="17"/>
      <c r="M344" s="28" t="s">
        <v>178</v>
      </c>
    </row>
    <row r="345" spans="1:13" x14ac:dyDescent="0.2">
      <c r="A345">
        <f t="shared" si="5"/>
        <v>339</v>
      </c>
      <c r="B345">
        <v>2011</v>
      </c>
      <c r="C345" t="s">
        <v>240</v>
      </c>
      <c r="D345" t="s">
        <v>611</v>
      </c>
      <c r="E345" s="65">
        <v>790</v>
      </c>
      <c r="H345" t="s">
        <v>151</v>
      </c>
      <c r="I345" t="s">
        <v>224</v>
      </c>
      <c r="J345" t="s">
        <v>72</v>
      </c>
      <c r="K345" t="s">
        <v>183</v>
      </c>
      <c r="L345" s="17"/>
      <c r="M345" s="28" t="s">
        <v>178</v>
      </c>
    </row>
    <row r="346" spans="1:13" x14ac:dyDescent="0.2">
      <c r="A346">
        <f t="shared" si="5"/>
        <v>340</v>
      </c>
      <c r="B346">
        <v>2011</v>
      </c>
      <c r="C346" t="s">
        <v>240</v>
      </c>
      <c r="D346" t="s">
        <v>612</v>
      </c>
      <c r="E346" s="65">
        <v>200</v>
      </c>
      <c r="F346" s="33">
        <v>0.5</v>
      </c>
      <c r="G346" t="s">
        <v>613</v>
      </c>
      <c r="H346" t="s">
        <v>149</v>
      </c>
      <c r="J346" t="s">
        <v>139</v>
      </c>
      <c r="K346" t="s">
        <v>219</v>
      </c>
      <c r="L346" s="17"/>
      <c r="M346" s="28" t="s">
        <v>178</v>
      </c>
    </row>
    <row r="347" spans="1:13" x14ac:dyDescent="0.2">
      <c r="A347">
        <f t="shared" si="5"/>
        <v>341</v>
      </c>
      <c r="B347">
        <v>2011</v>
      </c>
      <c r="C347" t="s">
        <v>240</v>
      </c>
      <c r="D347" t="s">
        <v>263</v>
      </c>
      <c r="E347" s="65">
        <v>850</v>
      </c>
      <c r="F347" s="33">
        <v>0.1</v>
      </c>
      <c r="G347" t="s">
        <v>583</v>
      </c>
      <c r="H347" t="s">
        <v>144</v>
      </c>
      <c r="I347" t="s">
        <v>299</v>
      </c>
      <c r="J347" t="s">
        <v>126</v>
      </c>
      <c r="K347" t="s">
        <v>177</v>
      </c>
      <c r="L347" s="17"/>
    </row>
    <row r="348" spans="1:13" x14ac:dyDescent="0.2">
      <c r="A348">
        <f t="shared" si="5"/>
        <v>342</v>
      </c>
      <c r="B348">
        <v>2011</v>
      </c>
      <c r="C348" t="s">
        <v>240</v>
      </c>
      <c r="D348" t="s">
        <v>283</v>
      </c>
      <c r="E348" s="65">
        <v>100</v>
      </c>
      <c r="F348" s="33">
        <v>0.05</v>
      </c>
      <c r="G348" t="s">
        <v>284</v>
      </c>
      <c r="H348" t="s">
        <v>146</v>
      </c>
      <c r="I348" t="s">
        <v>275</v>
      </c>
      <c r="J348" t="s">
        <v>8</v>
      </c>
      <c r="K348" t="s">
        <v>205</v>
      </c>
      <c r="L348" s="17"/>
    </row>
    <row r="349" spans="1:13" x14ac:dyDescent="0.2">
      <c r="A349">
        <f t="shared" si="5"/>
        <v>343</v>
      </c>
      <c r="B349">
        <v>2011</v>
      </c>
      <c r="C349" t="s">
        <v>240</v>
      </c>
      <c r="D349" t="s">
        <v>189</v>
      </c>
      <c r="E349" s="65">
        <v>4800</v>
      </c>
      <c r="F349" s="33">
        <v>0.3</v>
      </c>
      <c r="G349" t="s">
        <v>614</v>
      </c>
      <c r="H349" t="s">
        <v>144</v>
      </c>
      <c r="J349" t="s">
        <v>19</v>
      </c>
      <c r="K349" t="s">
        <v>205</v>
      </c>
      <c r="L349" s="17"/>
    </row>
    <row r="350" spans="1:13" x14ac:dyDescent="0.2">
      <c r="A350">
        <f t="shared" si="5"/>
        <v>344</v>
      </c>
      <c r="B350">
        <v>2011</v>
      </c>
      <c r="C350" t="s">
        <v>240</v>
      </c>
      <c r="D350" t="s">
        <v>615</v>
      </c>
      <c r="E350" s="65">
        <v>500</v>
      </c>
      <c r="F350" s="33">
        <v>1</v>
      </c>
      <c r="H350" t="s">
        <v>149</v>
      </c>
      <c r="I350" t="s">
        <v>182</v>
      </c>
      <c r="J350" t="s">
        <v>23</v>
      </c>
      <c r="K350" t="s">
        <v>183</v>
      </c>
      <c r="L350" s="17"/>
      <c r="M350" s="28" t="s">
        <v>178</v>
      </c>
    </row>
    <row r="351" spans="1:13" x14ac:dyDescent="0.2">
      <c r="A351">
        <f t="shared" si="5"/>
        <v>345</v>
      </c>
      <c r="B351">
        <v>2011</v>
      </c>
      <c r="C351" t="s">
        <v>240</v>
      </c>
      <c r="D351" t="s">
        <v>341</v>
      </c>
      <c r="E351" s="65">
        <v>120</v>
      </c>
      <c r="F351" s="33">
        <v>0.1</v>
      </c>
      <c r="G351" t="s">
        <v>616</v>
      </c>
      <c r="H351" t="s">
        <v>154</v>
      </c>
      <c r="I351" t="s">
        <v>529</v>
      </c>
      <c r="J351" t="s">
        <v>53</v>
      </c>
      <c r="K351" t="s">
        <v>183</v>
      </c>
      <c r="L351" s="17"/>
      <c r="M351" s="28" t="s">
        <v>178</v>
      </c>
    </row>
    <row r="352" spans="1:13" x14ac:dyDescent="0.2">
      <c r="A352">
        <f t="shared" si="5"/>
        <v>346</v>
      </c>
      <c r="B352">
        <v>2011</v>
      </c>
      <c r="C352" t="s">
        <v>240</v>
      </c>
      <c r="D352" t="s">
        <v>530</v>
      </c>
      <c r="E352" s="65">
        <v>130</v>
      </c>
      <c r="H352" t="s">
        <v>152</v>
      </c>
      <c r="I352" t="s">
        <v>257</v>
      </c>
      <c r="J352" t="s">
        <v>58</v>
      </c>
      <c r="K352" t="s">
        <v>195</v>
      </c>
      <c r="L352" s="17"/>
      <c r="M352" s="28" t="s">
        <v>178</v>
      </c>
    </row>
    <row r="353" spans="1:13" x14ac:dyDescent="0.2">
      <c r="A353">
        <f t="shared" si="5"/>
        <v>347</v>
      </c>
      <c r="B353">
        <v>2011</v>
      </c>
      <c r="C353" t="s">
        <v>212</v>
      </c>
      <c r="D353" t="s">
        <v>359</v>
      </c>
      <c r="E353" s="65">
        <v>240</v>
      </c>
      <c r="F353" s="33">
        <v>0.4</v>
      </c>
      <c r="G353" t="s">
        <v>617</v>
      </c>
      <c r="H353" t="s">
        <v>149</v>
      </c>
      <c r="I353" t="s">
        <v>182</v>
      </c>
      <c r="J353" t="s">
        <v>72</v>
      </c>
      <c r="K353" t="s">
        <v>183</v>
      </c>
      <c r="L353" s="17"/>
      <c r="M353" s="28" t="s">
        <v>178</v>
      </c>
    </row>
    <row r="354" spans="1:13" x14ac:dyDescent="0.2">
      <c r="A354">
        <f t="shared" si="5"/>
        <v>348</v>
      </c>
      <c r="B354">
        <v>2011</v>
      </c>
      <c r="C354" t="s">
        <v>212</v>
      </c>
      <c r="D354" t="s">
        <v>189</v>
      </c>
      <c r="E354" s="65">
        <v>1090</v>
      </c>
      <c r="F354" s="33">
        <v>0.1</v>
      </c>
      <c r="G354" t="s">
        <v>618</v>
      </c>
      <c r="H354" t="s">
        <v>144</v>
      </c>
      <c r="I354" t="s">
        <v>299</v>
      </c>
      <c r="J354" t="s">
        <v>9</v>
      </c>
      <c r="K354" t="s">
        <v>9</v>
      </c>
      <c r="L354" s="17"/>
    </row>
    <row r="355" spans="1:13" x14ac:dyDescent="0.2">
      <c r="A355">
        <f t="shared" si="5"/>
        <v>349</v>
      </c>
      <c r="B355">
        <v>2011</v>
      </c>
      <c r="C355" t="s">
        <v>212</v>
      </c>
      <c r="D355" t="s">
        <v>263</v>
      </c>
      <c r="E355" s="65">
        <v>800</v>
      </c>
      <c r="G355" t="s">
        <v>619</v>
      </c>
      <c r="H355" t="s">
        <v>148</v>
      </c>
      <c r="J355" t="s">
        <v>61</v>
      </c>
      <c r="K355" t="s">
        <v>183</v>
      </c>
      <c r="L355" s="17"/>
    </row>
    <row r="356" spans="1:13" x14ac:dyDescent="0.2">
      <c r="A356">
        <f t="shared" si="5"/>
        <v>350</v>
      </c>
      <c r="B356">
        <v>2011</v>
      </c>
      <c r="C356" t="s">
        <v>212</v>
      </c>
      <c r="D356" t="s">
        <v>246</v>
      </c>
      <c r="E356" s="65">
        <v>3510</v>
      </c>
      <c r="F356" s="33">
        <v>0.21</v>
      </c>
      <c r="G356" t="s">
        <v>620</v>
      </c>
      <c r="H356" t="s">
        <v>144</v>
      </c>
      <c r="J356" t="s">
        <v>99</v>
      </c>
      <c r="K356" t="s">
        <v>195</v>
      </c>
      <c r="L356" s="17"/>
    </row>
    <row r="357" spans="1:13" x14ac:dyDescent="0.2">
      <c r="A357">
        <f t="shared" si="5"/>
        <v>351</v>
      </c>
      <c r="B357">
        <v>2011</v>
      </c>
      <c r="C357" t="s">
        <v>212</v>
      </c>
      <c r="D357" t="s">
        <v>389</v>
      </c>
      <c r="E357" s="65">
        <v>2210</v>
      </c>
      <c r="F357" s="33">
        <v>0.77</v>
      </c>
      <c r="G357" t="s">
        <v>621</v>
      </c>
      <c r="H357" t="s">
        <v>144</v>
      </c>
      <c r="I357" t="s">
        <v>273</v>
      </c>
      <c r="J357" t="s">
        <v>9</v>
      </c>
      <c r="K357" t="s">
        <v>9</v>
      </c>
      <c r="L357" s="17"/>
    </row>
    <row r="358" spans="1:13" x14ac:dyDescent="0.2">
      <c r="A358">
        <f t="shared" si="5"/>
        <v>352</v>
      </c>
      <c r="B358">
        <v>2011</v>
      </c>
      <c r="C358" t="s">
        <v>212</v>
      </c>
      <c r="D358" t="s">
        <v>263</v>
      </c>
      <c r="E358" s="65">
        <v>250</v>
      </c>
      <c r="F358" s="33">
        <v>0.25</v>
      </c>
      <c r="G358" t="s">
        <v>622</v>
      </c>
      <c r="H358" t="s">
        <v>146</v>
      </c>
      <c r="I358" t="s">
        <v>253</v>
      </c>
      <c r="J358" t="s">
        <v>112</v>
      </c>
      <c r="K358" t="s">
        <v>219</v>
      </c>
      <c r="L358" s="17"/>
    </row>
    <row r="359" spans="1:13" x14ac:dyDescent="0.2">
      <c r="A359">
        <f t="shared" si="5"/>
        <v>353</v>
      </c>
      <c r="B359">
        <v>2011</v>
      </c>
      <c r="C359" t="s">
        <v>212</v>
      </c>
      <c r="D359" t="s">
        <v>199</v>
      </c>
      <c r="E359" s="65">
        <v>150</v>
      </c>
      <c r="F359" s="33">
        <v>0.51</v>
      </c>
      <c r="G359" t="s">
        <v>623</v>
      </c>
      <c r="H359" t="s">
        <v>144</v>
      </c>
      <c r="I359" t="s">
        <v>187</v>
      </c>
      <c r="J359" t="s">
        <v>70</v>
      </c>
      <c r="K359" t="s">
        <v>219</v>
      </c>
      <c r="L359" s="17"/>
      <c r="M359" s="28" t="s">
        <v>178</v>
      </c>
    </row>
    <row r="360" spans="1:13" x14ac:dyDescent="0.2">
      <c r="A360">
        <f t="shared" si="5"/>
        <v>354</v>
      </c>
      <c r="B360">
        <v>2011</v>
      </c>
      <c r="C360" t="s">
        <v>212</v>
      </c>
      <c r="D360" t="s">
        <v>352</v>
      </c>
      <c r="E360" s="65">
        <v>300</v>
      </c>
      <c r="F360" s="33">
        <v>0.75</v>
      </c>
      <c r="G360" t="s">
        <v>624</v>
      </c>
      <c r="H360" t="s">
        <v>144</v>
      </c>
      <c r="I360" t="s">
        <v>232</v>
      </c>
      <c r="J360" t="s">
        <v>9</v>
      </c>
      <c r="K360" t="s">
        <v>9</v>
      </c>
      <c r="L360" s="17"/>
      <c r="M360" s="28" t="s">
        <v>178</v>
      </c>
    </row>
    <row r="361" spans="1:13" x14ac:dyDescent="0.2">
      <c r="A361">
        <f t="shared" si="5"/>
        <v>355</v>
      </c>
      <c r="B361">
        <v>2011</v>
      </c>
      <c r="C361" t="s">
        <v>212</v>
      </c>
      <c r="D361" t="s">
        <v>189</v>
      </c>
      <c r="E361" s="65">
        <v>3710</v>
      </c>
      <c r="F361" s="33">
        <v>0.38</v>
      </c>
      <c r="G361" t="s">
        <v>625</v>
      </c>
      <c r="H361" t="s">
        <v>144</v>
      </c>
      <c r="I361" t="s">
        <v>187</v>
      </c>
      <c r="J361" t="s">
        <v>105</v>
      </c>
      <c r="K361" t="s">
        <v>214</v>
      </c>
      <c r="L361" s="17"/>
      <c r="M361" s="28" t="s">
        <v>178</v>
      </c>
    </row>
    <row r="362" spans="1:13" x14ac:dyDescent="0.2">
      <c r="A362">
        <f t="shared" si="5"/>
        <v>356</v>
      </c>
      <c r="B362">
        <v>2011</v>
      </c>
      <c r="C362" t="s">
        <v>212</v>
      </c>
      <c r="D362" t="s">
        <v>246</v>
      </c>
      <c r="E362" s="65">
        <v>130</v>
      </c>
      <c r="F362" s="33">
        <v>1</v>
      </c>
      <c r="H362" t="s">
        <v>144</v>
      </c>
      <c r="I362" t="s">
        <v>232</v>
      </c>
      <c r="J362" t="s">
        <v>93</v>
      </c>
      <c r="K362" t="s">
        <v>201</v>
      </c>
      <c r="L362" s="17"/>
      <c r="M362" s="28" t="s">
        <v>178</v>
      </c>
    </row>
    <row r="363" spans="1:13" x14ac:dyDescent="0.2">
      <c r="A363">
        <f t="shared" si="5"/>
        <v>357</v>
      </c>
      <c r="B363">
        <v>2011</v>
      </c>
      <c r="C363" t="s">
        <v>212</v>
      </c>
      <c r="D363" t="s">
        <v>199</v>
      </c>
      <c r="E363" s="65">
        <v>270</v>
      </c>
      <c r="F363" s="33">
        <v>0.5</v>
      </c>
      <c r="G363" t="s">
        <v>626</v>
      </c>
      <c r="H363" t="s">
        <v>144</v>
      </c>
      <c r="I363" t="s">
        <v>299</v>
      </c>
      <c r="J363" t="s">
        <v>9</v>
      </c>
      <c r="K363" t="s">
        <v>9</v>
      </c>
      <c r="L363" s="17"/>
    </row>
    <row r="364" spans="1:13" x14ac:dyDescent="0.2">
      <c r="A364">
        <f t="shared" si="5"/>
        <v>358</v>
      </c>
      <c r="B364">
        <v>2012</v>
      </c>
      <c r="C364" t="s">
        <v>172</v>
      </c>
      <c r="D364" t="s">
        <v>627</v>
      </c>
      <c r="E364" s="65">
        <v>520</v>
      </c>
      <c r="F364" s="33">
        <v>1</v>
      </c>
      <c r="H364" t="s">
        <v>151</v>
      </c>
      <c r="I364" t="s">
        <v>224</v>
      </c>
      <c r="J364" t="s">
        <v>67</v>
      </c>
      <c r="K364" t="s">
        <v>183</v>
      </c>
      <c r="L364" s="17"/>
      <c r="M364" s="28" t="s">
        <v>178</v>
      </c>
    </row>
    <row r="365" spans="1:13" x14ac:dyDescent="0.2">
      <c r="A365">
        <f t="shared" si="5"/>
        <v>359</v>
      </c>
      <c r="B365">
        <v>2012</v>
      </c>
      <c r="C365" t="s">
        <v>172</v>
      </c>
      <c r="D365" t="s">
        <v>189</v>
      </c>
      <c r="E365" s="65">
        <v>2200</v>
      </c>
      <c r="F365" s="33">
        <v>0.33</v>
      </c>
      <c r="G365" t="s">
        <v>628</v>
      </c>
      <c r="H365" t="s">
        <v>144</v>
      </c>
      <c r="I365" t="s">
        <v>299</v>
      </c>
      <c r="J365" t="s">
        <v>131</v>
      </c>
      <c r="K365" t="s">
        <v>131</v>
      </c>
      <c r="L365" s="17"/>
    </row>
    <row r="366" spans="1:13" x14ac:dyDescent="0.2">
      <c r="A366">
        <f t="shared" si="5"/>
        <v>360</v>
      </c>
      <c r="B366">
        <v>2012</v>
      </c>
      <c r="C366" t="s">
        <v>172</v>
      </c>
      <c r="D366" t="s">
        <v>199</v>
      </c>
      <c r="E366" s="65">
        <v>670</v>
      </c>
      <c r="F366" s="33">
        <v>0.4</v>
      </c>
      <c r="G366" t="s">
        <v>629</v>
      </c>
      <c r="H366" t="s">
        <v>144</v>
      </c>
      <c r="I366" t="s">
        <v>187</v>
      </c>
      <c r="J366" t="s">
        <v>25</v>
      </c>
      <c r="K366" t="s">
        <v>177</v>
      </c>
      <c r="L366" s="17"/>
    </row>
    <row r="367" spans="1:13" x14ac:dyDescent="0.2">
      <c r="A367">
        <f t="shared" si="5"/>
        <v>361</v>
      </c>
      <c r="B367">
        <v>2012</v>
      </c>
      <c r="C367" t="s">
        <v>172</v>
      </c>
      <c r="D367" s="17" t="s">
        <v>630</v>
      </c>
      <c r="E367" s="65">
        <v>460</v>
      </c>
      <c r="F367" s="33">
        <v>0.75</v>
      </c>
      <c r="G367" t="s">
        <v>631</v>
      </c>
      <c r="H367" t="s">
        <v>154</v>
      </c>
      <c r="I367" t="s">
        <v>271</v>
      </c>
      <c r="J367" t="s">
        <v>58</v>
      </c>
      <c r="K367" t="s">
        <v>195</v>
      </c>
      <c r="L367" s="17"/>
    </row>
    <row r="368" spans="1:13" x14ac:dyDescent="0.2">
      <c r="A368">
        <f t="shared" si="5"/>
        <v>362</v>
      </c>
      <c r="B368">
        <v>2012</v>
      </c>
      <c r="C368" t="s">
        <v>172</v>
      </c>
      <c r="D368" t="s">
        <v>632</v>
      </c>
      <c r="E368" s="65">
        <v>480</v>
      </c>
      <c r="F368" s="33">
        <v>1</v>
      </c>
      <c r="G368" t="s">
        <v>633</v>
      </c>
      <c r="H368" t="s">
        <v>151</v>
      </c>
      <c r="I368" t="s">
        <v>279</v>
      </c>
      <c r="J368" t="s">
        <v>45</v>
      </c>
      <c r="K368" t="s">
        <v>195</v>
      </c>
      <c r="L368" s="17"/>
    </row>
    <row r="369" spans="1:13" x14ac:dyDescent="0.2">
      <c r="A369">
        <f t="shared" si="5"/>
        <v>363</v>
      </c>
      <c r="B369">
        <v>2012</v>
      </c>
      <c r="C369" t="s">
        <v>172</v>
      </c>
      <c r="D369" t="s">
        <v>477</v>
      </c>
      <c r="E369" s="65">
        <v>150</v>
      </c>
      <c r="F369" s="33">
        <v>0.3</v>
      </c>
      <c r="G369" t="s">
        <v>595</v>
      </c>
      <c r="H369" t="s">
        <v>148</v>
      </c>
      <c r="J369" t="s">
        <v>115</v>
      </c>
      <c r="K369" t="s">
        <v>201</v>
      </c>
      <c r="L369" s="17"/>
    </row>
    <row r="370" spans="1:13" x14ac:dyDescent="0.2">
      <c r="A370">
        <f t="shared" si="5"/>
        <v>364</v>
      </c>
      <c r="B370">
        <v>2012</v>
      </c>
      <c r="C370" t="s">
        <v>172</v>
      </c>
      <c r="D370" t="s">
        <v>263</v>
      </c>
      <c r="E370" s="65">
        <v>920</v>
      </c>
      <c r="F370" s="33">
        <v>8.6999999999999994E-2</v>
      </c>
      <c r="G370" t="s">
        <v>634</v>
      </c>
      <c r="H370" t="s">
        <v>155</v>
      </c>
      <c r="J370" t="s">
        <v>20</v>
      </c>
      <c r="K370" t="s">
        <v>195</v>
      </c>
      <c r="L370" s="17"/>
    </row>
    <row r="371" spans="1:13" x14ac:dyDescent="0.2">
      <c r="A371">
        <f t="shared" si="5"/>
        <v>365</v>
      </c>
      <c r="B371">
        <v>2012</v>
      </c>
      <c r="C371" t="s">
        <v>172</v>
      </c>
      <c r="D371" t="s">
        <v>570</v>
      </c>
      <c r="E371" s="65">
        <v>100</v>
      </c>
      <c r="F371" s="33">
        <v>1</v>
      </c>
      <c r="G371" t="s">
        <v>635</v>
      </c>
      <c r="H371" t="s">
        <v>149</v>
      </c>
      <c r="J371" t="s">
        <v>25</v>
      </c>
      <c r="K371" t="s">
        <v>177</v>
      </c>
      <c r="L371" s="17"/>
    </row>
    <row r="372" spans="1:13" x14ac:dyDescent="0.2">
      <c r="A372">
        <f t="shared" si="5"/>
        <v>366</v>
      </c>
      <c r="B372">
        <v>2012</v>
      </c>
      <c r="C372" t="s">
        <v>172</v>
      </c>
      <c r="D372" t="s">
        <v>373</v>
      </c>
      <c r="E372" s="65">
        <v>130</v>
      </c>
      <c r="G372" t="s">
        <v>636</v>
      </c>
      <c r="H372" t="s">
        <v>153</v>
      </c>
      <c r="J372" t="s">
        <v>131</v>
      </c>
      <c r="K372" t="s">
        <v>131</v>
      </c>
      <c r="L372" s="17"/>
    </row>
    <row r="373" spans="1:13" x14ac:dyDescent="0.2">
      <c r="A373">
        <f t="shared" si="5"/>
        <v>367</v>
      </c>
      <c r="B373">
        <v>2012</v>
      </c>
      <c r="C373" t="s">
        <v>258</v>
      </c>
      <c r="D373" t="s">
        <v>637</v>
      </c>
      <c r="E373" s="65">
        <v>100</v>
      </c>
      <c r="G373" t="s">
        <v>638</v>
      </c>
      <c r="H373" t="s">
        <v>154</v>
      </c>
      <c r="I373" t="s">
        <v>194</v>
      </c>
      <c r="J373" t="s">
        <v>98</v>
      </c>
      <c r="K373" t="s">
        <v>195</v>
      </c>
      <c r="L373" s="17"/>
    </row>
    <row r="374" spans="1:13" x14ac:dyDescent="0.2">
      <c r="A374">
        <f t="shared" si="5"/>
        <v>368</v>
      </c>
      <c r="B374">
        <v>2012</v>
      </c>
      <c r="C374" t="s">
        <v>258</v>
      </c>
      <c r="D374" t="s">
        <v>276</v>
      </c>
      <c r="E374" s="65">
        <v>100</v>
      </c>
      <c r="F374" s="33">
        <v>1</v>
      </c>
      <c r="H374" t="s">
        <v>149</v>
      </c>
      <c r="I374" t="s">
        <v>236</v>
      </c>
      <c r="J374" t="s">
        <v>131</v>
      </c>
      <c r="K374" t="s">
        <v>131</v>
      </c>
      <c r="L374" s="17"/>
      <c r="M374" s="28" t="s">
        <v>178</v>
      </c>
    </row>
    <row r="375" spans="1:13" x14ac:dyDescent="0.2">
      <c r="A375">
        <f t="shared" si="5"/>
        <v>369</v>
      </c>
      <c r="B375">
        <v>2012</v>
      </c>
      <c r="C375" t="s">
        <v>258</v>
      </c>
      <c r="D375" t="s">
        <v>307</v>
      </c>
      <c r="E375" s="65">
        <v>510</v>
      </c>
      <c r="F375" s="33">
        <v>0.25</v>
      </c>
      <c r="G375" t="s">
        <v>639</v>
      </c>
      <c r="H375" t="s">
        <v>144</v>
      </c>
      <c r="J375" t="s">
        <v>99</v>
      </c>
      <c r="K375" t="s">
        <v>195</v>
      </c>
      <c r="L375" s="17"/>
    </row>
    <row r="376" spans="1:13" x14ac:dyDescent="0.2">
      <c r="A376">
        <f t="shared" si="5"/>
        <v>370</v>
      </c>
      <c r="B376">
        <v>2012</v>
      </c>
      <c r="C376" t="s">
        <v>258</v>
      </c>
      <c r="D376" t="s">
        <v>640</v>
      </c>
      <c r="E376" s="65">
        <v>300</v>
      </c>
      <c r="G376" t="s">
        <v>641</v>
      </c>
      <c r="H376" t="s">
        <v>144</v>
      </c>
      <c r="I376" t="s">
        <v>187</v>
      </c>
      <c r="J376" t="s">
        <v>25</v>
      </c>
      <c r="K376" t="s">
        <v>177</v>
      </c>
      <c r="L376" s="17"/>
    </row>
    <row r="377" spans="1:13" x14ac:dyDescent="0.2">
      <c r="A377">
        <f t="shared" si="5"/>
        <v>371</v>
      </c>
      <c r="B377">
        <v>2012</v>
      </c>
      <c r="C377" t="s">
        <v>258</v>
      </c>
      <c r="D377" t="s">
        <v>642</v>
      </c>
      <c r="E377" s="65">
        <v>120</v>
      </c>
      <c r="H377" t="s">
        <v>154</v>
      </c>
      <c r="I377" t="s">
        <v>271</v>
      </c>
      <c r="J377" t="s">
        <v>131</v>
      </c>
      <c r="K377" t="s">
        <v>131</v>
      </c>
      <c r="L377" s="17"/>
    </row>
    <row r="378" spans="1:13" x14ac:dyDescent="0.2">
      <c r="A378">
        <f t="shared" si="5"/>
        <v>372</v>
      </c>
      <c r="B378">
        <v>2012</v>
      </c>
      <c r="C378" t="s">
        <v>258</v>
      </c>
      <c r="D378" t="s">
        <v>199</v>
      </c>
      <c r="E378" s="65">
        <v>1030</v>
      </c>
      <c r="F378" s="33">
        <v>0.2</v>
      </c>
      <c r="G378" t="s">
        <v>462</v>
      </c>
      <c r="H378" t="s">
        <v>144</v>
      </c>
      <c r="I378" t="s">
        <v>299</v>
      </c>
      <c r="J378" t="s">
        <v>25</v>
      </c>
      <c r="K378" t="s">
        <v>177</v>
      </c>
      <c r="L378" s="17"/>
    </row>
    <row r="379" spans="1:13" x14ac:dyDescent="0.2">
      <c r="A379">
        <f t="shared" si="5"/>
        <v>373</v>
      </c>
      <c r="B379">
        <v>2012</v>
      </c>
      <c r="C379" t="s">
        <v>258</v>
      </c>
      <c r="D379" t="s">
        <v>313</v>
      </c>
      <c r="E379" s="65">
        <v>980</v>
      </c>
      <c r="G379" t="s">
        <v>325</v>
      </c>
      <c r="H379" t="s">
        <v>144</v>
      </c>
      <c r="I379" t="s">
        <v>299</v>
      </c>
      <c r="J379" t="s">
        <v>28</v>
      </c>
      <c r="K379" t="s">
        <v>205</v>
      </c>
      <c r="L379" s="17"/>
    </row>
    <row r="380" spans="1:13" x14ac:dyDescent="0.2">
      <c r="A380">
        <f t="shared" si="5"/>
        <v>374</v>
      </c>
      <c r="B380">
        <v>2012</v>
      </c>
      <c r="C380" t="s">
        <v>258</v>
      </c>
      <c r="D380" t="s">
        <v>596</v>
      </c>
      <c r="E380" s="65">
        <v>190</v>
      </c>
      <c r="F380" s="33">
        <v>0.5</v>
      </c>
      <c r="G380" t="s">
        <v>643</v>
      </c>
      <c r="H380" t="s">
        <v>144</v>
      </c>
      <c r="I380" t="s">
        <v>232</v>
      </c>
      <c r="J380" t="s">
        <v>27</v>
      </c>
      <c r="K380" t="s">
        <v>205</v>
      </c>
      <c r="L380" s="17"/>
      <c r="M380" s="28" t="s">
        <v>178</v>
      </c>
    </row>
    <row r="381" spans="1:13" ht="15" customHeight="1" x14ac:dyDescent="0.2">
      <c r="A381">
        <f t="shared" si="5"/>
        <v>375</v>
      </c>
      <c r="B381">
        <v>2012</v>
      </c>
      <c r="C381" t="s">
        <v>258</v>
      </c>
      <c r="D381" t="s">
        <v>313</v>
      </c>
      <c r="E381" s="65">
        <v>260</v>
      </c>
      <c r="F381" s="33">
        <v>0.35</v>
      </c>
      <c r="G381" t="s">
        <v>644</v>
      </c>
      <c r="H381" t="s">
        <v>144</v>
      </c>
      <c r="I381" t="s">
        <v>187</v>
      </c>
      <c r="J381" t="s">
        <v>15</v>
      </c>
      <c r="K381" t="s">
        <v>195</v>
      </c>
      <c r="L381" s="17"/>
    </row>
    <row r="382" spans="1:13" x14ac:dyDescent="0.2">
      <c r="A382">
        <f t="shared" si="5"/>
        <v>376</v>
      </c>
      <c r="B382">
        <v>2012</v>
      </c>
      <c r="C382" t="s">
        <v>258</v>
      </c>
      <c r="D382" t="s">
        <v>645</v>
      </c>
      <c r="E382" s="65">
        <v>990</v>
      </c>
      <c r="F382" s="33">
        <v>0.9</v>
      </c>
      <c r="G382" t="s">
        <v>646</v>
      </c>
      <c r="H382" t="s">
        <v>149</v>
      </c>
      <c r="J382" t="s">
        <v>20</v>
      </c>
      <c r="K382" t="s">
        <v>195</v>
      </c>
      <c r="L382" s="17"/>
    </row>
    <row r="383" spans="1:13" x14ac:dyDescent="0.2">
      <c r="A383">
        <f t="shared" si="5"/>
        <v>377</v>
      </c>
      <c r="B383">
        <v>2012</v>
      </c>
      <c r="C383" t="s">
        <v>179</v>
      </c>
      <c r="D383" t="s">
        <v>485</v>
      </c>
      <c r="E383" s="65">
        <v>100</v>
      </c>
      <c r="H383" t="s">
        <v>149</v>
      </c>
      <c r="I383" t="s">
        <v>238</v>
      </c>
      <c r="J383" t="s">
        <v>50</v>
      </c>
      <c r="K383" t="s">
        <v>205</v>
      </c>
      <c r="L383" s="17"/>
    </row>
    <row r="384" spans="1:13" x14ac:dyDescent="0.2">
      <c r="A384">
        <f t="shared" si="5"/>
        <v>378</v>
      </c>
      <c r="B384">
        <v>2012</v>
      </c>
      <c r="C384" t="s">
        <v>179</v>
      </c>
      <c r="D384" t="s">
        <v>645</v>
      </c>
      <c r="E384" s="65">
        <v>2380</v>
      </c>
      <c r="F384" s="33">
        <v>1</v>
      </c>
      <c r="G384" t="s">
        <v>647</v>
      </c>
      <c r="H384" t="s">
        <v>149</v>
      </c>
      <c r="J384" t="s">
        <v>9</v>
      </c>
      <c r="K384" t="s">
        <v>9</v>
      </c>
      <c r="L384" s="17"/>
    </row>
    <row r="385" spans="1:13" x14ac:dyDescent="0.2">
      <c r="A385">
        <f t="shared" si="5"/>
        <v>379</v>
      </c>
      <c r="B385">
        <v>2012</v>
      </c>
      <c r="C385" t="s">
        <v>179</v>
      </c>
      <c r="D385" t="s">
        <v>557</v>
      </c>
      <c r="E385" s="65">
        <v>230</v>
      </c>
      <c r="H385" t="s">
        <v>150</v>
      </c>
      <c r="I385" t="s">
        <v>217</v>
      </c>
      <c r="J385" t="s">
        <v>38</v>
      </c>
      <c r="K385" t="s">
        <v>214</v>
      </c>
      <c r="L385" s="17"/>
      <c r="M385" s="28" t="s">
        <v>178</v>
      </c>
    </row>
    <row r="386" spans="1:13" x14ac:dyDescent="0.2">
      <c r="A386">
        <f t="shared" si="5"/>
        <v>380</v>
      </c>
      <c r="B386">
        <v>2012</v>
      </c>
      <c r="C386" t="s">
        <v>179</v>
      </c>
      <c r="D386" t="s">
        <v>559</v>
      </c>
      <c r="E386" s="65">
        <v>100</v>
      </c>
      <c r="H386" t="s">
        <v>149</v>
      </c>
      <c r="J386" t="s">
        <v>101</v>
      </c>
      <c r="K386" t="s">
        <v>201</v>
      </c>
      <c r="L386" s="17"/>
      <c r="M386" s="28" t="s">
        <v>178</v>
      </c>
    </row>
    <row r="387" spans="1:13" x14ac:dyDescent="0.2">
      <c r="A387">
        <f t="shared" si="5"/>
        <v>381</v>
      </c>
      <c r="B387">
        <v>2012</v>
      </c>
      <c r="C387" t="s">
        <v>184</v>
      </c>
      <c r="D387" t="s">
        <v>483</v>
      </c>
      <c r="E387" s="65">
        <v>500</v>
      </c>
      <c r="G387" t="s">
        <v>648</v>
      </c>
      <c r="H387" t="s">
        <v>149</v>
      </c>
      <c r="I387" t="s">
        <v>238</v>
      </c>
      <c r="J387" t="s">
        <v>101</v>
      </c>
      <c r="K387" t="s">
        <v>201</v>
      </c>
      <c r="L387" s="17"/>
      <c r="M387" s="28" t="s">
        <v>178</v>
      </c>
    </row>
    <row r="388" spans="1:13" x14ac:dyDescent="0.2">
      <c r="A388">
        <f t="shared" si="5"/>
        <v>382</v>
      </c>
      <c r="B388">
        <v>2012</v>
      </c>
      <c r="C388" t="s">
        <v>184</v>
      </c>
      <c r="D388" t="s">
        <v>649</v>
      </c>
      <c r="E388" s="65">
        <v>330</v>
      </c>
      <c r="F388" s="33">
        <v>0.52</v>
      </c>
      <c r="G388" t="s">
        <v>650</v>
      </c>
      <c r="H388" t="s">
        <v>151</v>
      </c>
      <c r="I388" t="s">
        <v>279</v>
      </c>
      <c r="J388" t="s">
        <v>45</v>
      </c>
      <c r="K388" t="s">
        <v>195</v>
      </c>
      <c r="L388" s="17"/>
    </row>
    <row r="389" spans="1:13" x14ac:dyDescent="0.2">
      <c r="A389">
        <f t="shared" si="5"/>
        <v>383</v>
      </c>
      <c r="B389">
        <v>2012</v>
      </c>
      <c r="C389" t="s">
        <v>184</v>
      </c>
      <c r="D389" t="s">
        <v>651</v>
      </c>
      <c r="E389" s="65">
        <v>200</v>
      </c>
      <c r="F389" s="33">
        <v>0.19900000000000001</v>
      </c>
      <c r="G389" t="s">
        <v>652</v>
      </c>
      <c r="H389" t="s">
        <v>149</v>
      </c>
      <c r="I389" t="s">
        <v>182</v>
      </c>
      <c r="J389" t="s">
        <v>25</v>
      </c>
      <c r="K389" t="s">
        <v>177</v>
      </c>
      <c r="L389" s="17"/>
    </row>
    <row r="390" spans="1:13" x14ac:dyDescent="0.2">
      <c r="A390">
        <f t="shared" si="5"/>
        <v>384</v>
      </c>
      <c r="B390">
        <v>2012</v>
      </c>
      <c r="C390" t="s">
        <v>184</v>
      </c>
      <c r="D390" t="s">
        <v>653</v>
      </c>
      <c r="E390" s="65">
        <v>170</v>
      </c>
      <c r="F390" s="33">
        <v>1</v>
      </c>
      <c r="G390" t="s">
        <v>654</v>
      </c>
      <c r="H390" t="s">
        <v>142</v>
      </c>
      <c r="J390" t="s">
        <v>86</v>
      </c>
      <c r="K390" t="s">
        <v>183</v>
      </c>
      <c r="L390" s="17"/>
    </row>
    <row r="391" spans="1:13" x14ac:dyDescent="0.2">
      <c r="A391">
        <f t="shared" ref="A391:A454" si="6">ROW()-6</f>
        <v>385</v>
      </c>
      <c r="B391">
        <v>2012</v>
      </c>
      <c r="C391" t="s">
        <v>184</v>
      </c>
      <c r="D391" t="s">
        <v>263</v>
      </c>
      <c r="E391" s="65">
        <v>200</v>
      </c>
      <c r="G391" t="s">
        <v>377</v>
      </c>
      <c r="H391" t="s">
        <v>146</v>
      </c>
      <c r="I391" t="s">
        <v>253</v>
      </c>
      <c r="J391" t="s">
        <v>131</v>
      </c>
      <c r="K391" t="s">
        <v>131</v>
      </c>
      <c r="L391" s="17"/>
    </row>
    <row r="392" spans="1:13" x14ac:dyDescent="0.2">
      <c r="A392">
        <f t="shared" si="6"/>
        <v>386</v>
      </c>
      <c r="B392">
        <v>2012</v>
      </c>
      <c r="C392" t="s">
        <v>184</v>
      </c>
      <c r="D392" t="s">
        <v>267</v>
      </c>
      <c r="E392" s="65">
        <v>1350</v>
      </c>
      <c r="F392" s="33">
        <v>0.41</v>
      </c>
      <c r="G392" t="s">
        <v>315</v>
      </c>
      <c r="H392" t="s">
        <v>149</v>
      </c>
      <c r="I392" t="s">
        <v>182</v>
      </c>
      <c r="J392" t="s">
        <v>48</v>
      </c>
      <c r="K392" t="s">
        <v>219</v>
      </c>
      <c r="L392" s="17"/>
      <c r="M392" s="28" t="s">
        <v>178</v>
      </c>
    </row>
    <row r="393" spans="1:13" x14ac:dyDescent="0.2">
      <c r="A393">
        <f t="shared" si="6"/>
        <v>387</v>
      </c>
      <c r="B393">
        <v>2012</v>
      </c>
      <c r="C393" t="s">
        <v>225</v>
      </c>
      <c r="D393" t="s">
        <v>300</v>
      </c>
      <c r="E393" s="65">
        <v>440</v>
      </c>
      <c r="G393" t="s">
        <v>655</v>
      </c>
      <c r="H393" t="s">
        <v>151</v>
      </c>
      <c r="I393" t="s">
        <v>224</v>
      </c>
      <c r="J393" t="s">
        <v>20</v>
      </c>
      <c r="K393" t="s">
        <v>195</v>
      </c>
      <c r="L393" s="17"/>
    </row>
    <row r="394" spans="1:13" x14ac:dyDescent="0.2">
      <c r="A394">
        <f t="shared" si="6"/>
        <v>388</v>
      </c>
      <c r="B394">
        <v>2012</v>
      </c>
      <c r="C394" t="s">
        <v>225</v>
      </c>
      <c r="D394" t="s">
        <v>444</v>
      </c>
      <c r="E394" s="65">
        <v>120</v>
      </c>
      <c r="F394" s="33">
        <v>0.6</v>
      </c>
      <c r="G394" t="s">
        <v>656</v>
      </c>
      <c r="H394" t="s">
        <v>149</v>
      </c>
      <c r="J394" t="s">
        <v>25</v>
      </c>
      <c r="K394" t="s">
        <v>177</v>
      </c>
      <c r="L394" s="17"/>
    </row>
    <row r="395" spans="1:13" x14ac:dyDescent="0.2">
      <c r="A395">
        <f t="shared" si="6"/>
        <v>389</v>
      </c>
      <c r="B395">
        <v>2012</v>
      </c>
      <c r="C395" t="s">
        <v>225</v>
      </c>
      <c r="D395" t="s">
        <v>245</v>
      </c>
      <c r="E395" s="65">
        <v>240</v>
      </c>
      <c r="H395" t="s">
        <v>145</v>
      </c>
      <c r="J395" t="s">
        <v>23</v>
      </c>
      <c r="K395" t="s">
        <v>183</v>
      </c>
      <c r="L395" s="17"/>
    </row>
    <row r="396" spans="1:13" x14ac:dyDescent="0.2">
      <c r="A396">
        <f t="shared" si="6"/>
        <v>390</v>
      </c>
      <c r="B396">
        <v>2012</v>
      </c>
      <c r="C396" t="s">
        <v>225</v>
      </c>
      <c r="D396" t="s">
        <v>657</v>
      </c>
      <c r="E396" s="65">
        <v>420</v>
      </c>
      <c r="G396" t="s">
        <v>658</v>
      </c>
      <c r="H396" t="s">
        <v>144</v>
      </c>
      <c r="I396" t="s">
        <v>232</v>
      </c>
      <c r="J396" t="s">
        <v>131</v>
      </c>
      <c r="K396" t="s">
        <v>131</v>
      </c>
      <c r="L396" s="17"/>
    </row>
    <row r="397" spans="1:13" x14ac:dyDescent="0.2">
      <c r="A397">
        <f t="shared" si="6"/>
        <v>391</v>
      </c>
      <c r="B397">
        <v>2012</v>
      </c>
      <c r="C397" t="s">
        <v>225</v>
      </c>
      <c r="D397" t="s">
        <v>588</v>
      </c>
      <c r="E397" s="65">
        <v>1940</v>
      </c>
      <c r="F397" s="33">
        <v>0.6</v>
      </c>
      <c r="G397" t="s">
        <v>659</v>
      </c>
      <c r="H397" t="s">
        <v>142</v>
      </c>
      <c r="J397" t="s">
        <v>20</v>
      </c>
      <c r="K397" t="s">
        <v>195</v>
      </c>
      <c r="L397" s="17"/>
    </row>
    <row r="398" spans="1:13" x14ac:dyDescent="0.2">
      <c r="A398">
        <f t="shared" si="6"/>
        <v>392</v>
      </c>
      <c r="B398">
        <v>2012</v>
      </c>
      <c r="C398" t="s">
        <v>225</v>
      </c>
      <c r="D398" t="s">
        <v>530</v>
      </c>
      <c r="E398" s="65">
        <v>1200</v>
      </c>
      <c r="F398" s="33">
        <v>1</v>
      </c>
      <c r="H398" t="s">
        <v>152</v>
      </c>
      <c r="I398" t="s">
        <v>257</v>
      </c>
      <c r="J398" t="s">
        <v>51</v>
      </c>
      <c r="K398" t="s">
        <v>195</v>
      </c>
      <c r="L398" s="17"/>
      <c r="M398" s="28" t="s">
        <v>178</v>
      </c>
    </row>
    <row r="399" spans="1:13" x14ac:dyDescent="0.2">
      <c r="A399">
        <f t="shared" si="6"/>
        <v>393</v>
      </c>
      <c r="B399">
        <v>2012</v>
      </c>
      <c r="C399" t="s">
        <v>225</v>
      </c>
      <c r="D399" t="s">
        <v>263</v>
      </c>
      <c r="E399" s="65">
        <v>420</v>
      </c>
      <c r="F399" s="33">
        <v>0.05</v>
      </c>
      <c r="G399" t="s">
        <v>660</v>
      </c>
      <c r="H399" t="s">
        <v>149</v>
      </c>
      <c r="J399" t="s">
        <v>101</v>
      </c>
      <c r="K399" t="s">
        <v>201</v>
      </c>
      <c r="L399" s="17"/>
    </row>
    <row r="400" spans="1:13" x14ac:dyDescent="0.2">
      <c r="A400">
        <f t="shared" si="6"/>
        <v>394</v>
      </c>
      <c r="B400">
        <v>2012</v>
      </c>
      <c r="C400" t="s">
        <v>225</v>
      </c>
      <c r="D400" t="s">
        <v>661</v>
      </c>
      <c r="E400" s="65">
        <v>2600</v>
      </c>
      <c r="F400" s="33">
        <v>1</v>
      </c>
      <c r="G400" t="s">
        <v>662</v>
      </c>
      <c r="H400" t="s">
        <v>145</v>
      </c>
      <c r="J400" t="s">
        <v>131</v>
      </c>
      <c r="K400" t="s">
        <v>131</v>
      </c>
      <c r="L400" s="17"/>
    </row>
    <row r="401" spans="1:13" x14ac:dyDescent="0.2">
      <c r="A401">
        <f t="shared" si="6"/>
        <v>395</v>
      </c>
      <c r="B401">
        <v>2012</v>
      </c>
      <c r="C401" t="s">
        <v>225</v>
      </c>
      <c r="D401" t="s">
        <v>307</v>
      </c>
      <c r="E401" s="65">
        <v>940</v>
      </c>
      <c r="G401" t="s">
        <v>663</v>
      </c>
      <c r="H401" t="s">
        <v>144</v>
      </c>
      <c r="J401" t="s">
        <v>19</v>
      </c>
      <c r="K401" t="s">
        <v>205</v>
      </c>
      <c r="L401" s="17"/>
    </row>
    <row r="402" spans="1:13" x14ac:dyDescent="0.2">
      <c r="A402">
        <f t="shared" si="6"/>
        <v>396</v>
      </c>
      <c r="B402">
        <v>2012</v>
      </c>
      <c r="C402" t="s">
        <v>225</v>
      </c>
      <c r="D402" t="s">
        <v>664</v>
      </c>
      <c r="E402" s="65">
        <v>200</v>
      </c>
      <c r="F402" s="33">
        <v>1</v>
      </c>
      <c r="G402" t="s">
        <v>665</v>
      </c>
      <c r="H402" t="s">
        <v>146</v>
      </c>
      <c r="I402" t="s">
        <v>275</v>
      </c>
      <c r="J402" t="s">
        <v>19</v>
      </c>
      <c r="K402" t="s">
        <v>205</v>
      </c>
      <c r="L402" s="17"/>
    </row>
    <row r="403" spans="1:13" x14ac:dyDescent="0.2">
      <c r="A403">
        <f t="shared" si="6"/>
        <v>397</v>
      </c>
      <c r="B403">
        <v>2012</v>
      </c>
      <c r="C403" t="s">
        <v>225</v>
      </c>
      <c r="D403" t="s">
        <v>600</v>
      </c>
      <c r="E403" s="65">
        <v>200</v>
      </c>
      <c r="H403" t="s">
        <v>144</v>
      </c>
      <c r="I403" t="s">
        <v>299</v>
      </c>
      <c r="J403" t="s">
        <v>93</v>
      </c>
      <c r="K403" t="s">
        <v>201</v>
      </c>
      <c r="L403" s="17"/>
    </row>
    <row r="404" spans="1:13" x14ac:dyDescent="0.2">
      <c r="A404">
        <f t="shared" si="6"/>
        <v>398</v>
      </c>
      <c r="B404">
        <v>2012</v>
      </c>
      <c r="C404" t="s">
        <v>225</v>
      </c>
      <c r="D404" t="s">
        <v>666</v>
      </c>
      <c r="E404" s="65">
        <v>150</v>
      </c>
      <c r="F404" s="33">
        <v>1</v>
      </c>
      <c r="G404" t="s">
        <v>667</v>
      </c>
      <c r="H404" t="s">
        <v>151</v>
      </c>
      <c r="I404" t="s">
        <v>279</v>
      </c>
      <c r="J404" t="s">
        <v>108</v>
      </c>
      <c r="K404" t="s">
        <v>183</v>
      </c>
      <c r="L404" s="17"/>
    </row>
    <row r="405" spans="1:13" x14ac:dyDescent="0.2">
      <c r="A405">
        <f t="shared" si="6"/>
        <v>399</v>
      </c>
      <c r="B405">
        <v>2012</v>
      </c>
      <c r="C405" t="s">
        <v>188</v>
      </c>
      <c r="D405" t="s">
        <v>668</v>
      </c>
      <c r="E405" s="65">
        <v>200</v>
      </c>
      <c r="F405" s="33">
        <v>1</v>
      </c>
      <c r="H405" t="s">
        <v>144</v>
      </c>
      <c r="J405" t="s">
        <v>52</v>
      </c>
      <c r="K405" t="s">
        <v>201</v>
      </c>
      <c r="L405" s="17"/>
      <c r="M405" s="28" t="s">
        <v>178</v>
      </c>
    </row>
    <row r="406" spans="1:13" x14ac:dyDescent="0.2">
      <c r="A406">
        <f t="shared" si="6"/>
        <v>400</v>
      </c>
      <c r="B406">
        <v>2012</v>
      </c>
      <c r="C406" t="s">
        <v>188</v>
      </c>
      <c r="D406" t="s">
        <v>454</v>
      </c>
      <c r="E406" s="65">
        <v>330</v>
      </c>
      <c r="F406" s="33">
        <v>0.4</v>
      </c>
      <c r="G406" t="s">
        <v>669</v>
      </c>
      <c r="H406" t="s">
        <v>145</v>
      </c>
      <c r="J406" t="s">
        <v>131</v>
      </c>
      <c r="K406" t="s">
        <v>131</v>
      </c>
      <c r="L406" s="17"/>
    </row>
    <row r="407" spans="1:13" x14ac:dyDescent="0.2">
      <c r="A407">
        <f t="shared" si="6"/>
        <v>401</v>
      </c>
      <c r="B407">
        <v>2012</v>
      </c>
      <c r="C407" t="s">
        <v>188</v>
      </c>
      <c r="D407" t="s">
        <v>670</v>
      </c>
      <c r="E407" s="65">
        <v>510</v>
      </c>
      <c r="F407" s="33">
        <v>1</v>
      </c>
      <c r="G407" t="s">
        <v>671</v>
      </c>
      <c r="H407" t="s">
        <v>144</v>
      </c>
      <c r="I407" t="s">
        <v>232</v>
      </c>
      <c r="J407" t="s">
        <v>45</v>
      </c>
      <c r="K407" t="s">
        <v>195</v>
      </c>
      <c r="L407" s="17"/>
    </row>
    <row r="408" spans="1:13" x14ac:dyDescent="0.2">
      <c r="A408">
        <f t="shared" si="6"/>
        <v>402</v>
      </c>
      <c r="B408">
        <v>2012</v>
      </c>
      <c r="C408" t="s">
        <v>188</v>
      </c>
      <c r="D408" t="s">
        <v>559</v>
      </c>
      <c r="E408" s="65">
        <v>240</v>
      </c>
      <c r="G408" t="s">
        <v>672</v>
      </c>
      <c r="H408" t="s">
        <v>149</v>
      </c>
      <c r="J408" t="s">
        <v>9</v>
      </c>
      <c r="K408" t="s">
        <v>9</v>
      </c>
      <c r="L408" s="17"/>
    </row>
    <row r="409" spans="1:13" x14ac:dyDescent="0.2">
      <c r="A409">
        <f t="shared" si="6"/>
        <v>403</v>
      </c>
      <c r="B409">
        <v>2012</v>
      </c>
      <c r="C409" t="s">
        <v>188</v>
      </c>
      <c r="D409" t="s">
        <v>608</v>
      </c>
      <c r="E409" s="65">
        <v>1260</v>
      </c>
      <c r="F409" s="33">
        <v>0.61</v>
      </c>
      <c r="G409" t="s">
        <v>673</v>
      </c>
      <c r="H409" t="s">
        <v>149</v>
      </c>
      <c r="I409" t="s">
        <v>182</v>
      </c>
      <c r="J409" t="s">
        <v>53</v>
      </c>
      <c r="K409" t="s">
        <v>183</v>
      </c>
      <c r="L409" s="17"/>
      <c r="M409" s="28" t="s">
        <v>178</v>
      </c>
    </row>
    <row r="410" spans="1:13" x14ac:dyDescent="0.2">
      <c r="A410">
        <f t="shared" si="6"/>
        <v>404</v>
      </c>
      <c r="B410">
        <v>2012</v>
      </c>
      <c r="C410" t="s">
        <v>188</v>
      </c>
      <c r="D410" t="s">
        <v>263</v>
      </c>
      <c r="E410" s="65">
        <v>490</v>
      </c>
      <c r="F410" s="33">
        <v>7.0000000000000007E-2</v>
      </c>
      <c r="G410" t="s">
        <v>674</v>
      </c>
      <c r="H410" t="s">
        <v>152</v>
      </c>
      <c r="I410" t="s">
        <v>257</v>
      </c>
      <c r="J410" t="s">
        <v>42</v>
      </c>
      <c r="K410" t="s">
        <v>195</v>
      </c>
      <c r="L410" s="17"/>
    </row>
    <row r="411" spans="1:13" x14ac:dyDescent="0.2">
      <c r="A411">
        <f t="shared" si="6"/>
        <v>405</v>
      </c>
      <c r="B411">
        <v>2012</v>
      </c>
      <c r="C411" t="s">
        <v>188</v>
      </c>
      <c r="D411" t="s">
        <v>551</v>
      </c>
      <c r="E411" s="65">
        <v>120</v>
      </c>
      <c r="H411" t="s">
        <v>154</v>
      </c>
      <c r="I411" t="s">
        <v>194</v>
      </c>
      <c r="J411" t="s">
        <v>128</v>
      </c>
      <c r="K411" t="s">
        <v>201</v>
      </c>
      <c r="L411" s="17"/>
      <c r="M411" s="28" t="s">
        <v>178</v>
      </c>
    </row>
    <row r="412" spans="1:13" x14ac:dyDescent="0.2">
      <c r="A412">
        <f t="shared" si="6"/>
        <v>406</v>
      </c>
      <c r="B412">
        <v>2012</v>
      </c>
      <c r="C412" t="s">
        <v>188</v>
      </c>
      <c r="D412" t="s">
        <v>675</v>
      </c>
      <c r="E412" s="65">
        <v>100</v>
      </c>
      <c r="F412" s="33">
        <v>0.9</v>
      </c>
      <c r="G412" t="s">
        <v>676</v>
      </c>
      <c r="H412" t="s">
        <v>146</v>
      </c>
      <c r="I412" t="s">
        <v>275</v>
      </c>
      <c r="J412" t="s">
        <v>44</v>
      </c>
      <c r="K412" t="s">
        <v>201</v>
      </c>
      <c r="L412" s="17"/>
    </row>
    <row r="413" spans="1:13" x14ac:dyDescent="0.2">
      <c r="A413">
        <f t="shared" si="6"/>
        <v>407</v>
      </c>
      <c r="B413">
        <v>2012</v>
      </c>
      <c r="C413" t="s">
        <v>188</v>
      </c>
      <c r="D413" t="s">
        <v>300</v>
      </c>
      <c r="E413" s="65">
        <v>200</v>
      </c>
      <c r="F413" s="33">
        <v>0.1</v>
      </c>
      <c r="G413" t="s">
        <v>677</v>
      </c>
      <c r="H413" t="s">
        <v>155</v>
      </c>
      <c r="J413" t="s">
        <v>20</v>
      </c>
      <c r="K413" t="s">
        <v>195</v>
      </c>
      <c r="L413" s="17"/>
    </row>
    <row r="414" spans="1:13" x14ac:dyDescent="0.2">
      <c r="A414">
        <f t="shared" si="6"/>
        <v>408</v>
      </c>
      <c r="B414">
        <v>2012</v>
      </c>
      <c r="C414" t="s">
        <v>188</v>
      </c>
      <c r="D414" t="s">
        <v>263</v>
      </c>
      <c r="E414" s="65">
        <v>900</v>
      </c>
      <c r="F414" s="33">
        <v>0.5</v>
      </c>
      <c r="G414" t="s">
        <v>678</v>
      </c>
      <c r="H414" t="s">
        <v>146</v>
      </c>
      <c r="J414" t="s">
        <v>101</v>
      </c>
      <c r="K414" t="s">
        <v>201</v>
      </c>
      <c r="L414" s="17"/>
    </row>
    <row r="415" spans="1:13" x14ac:dyDescent="0.2">
      <c r="A415">
        <f t="shared" si="6"/>
        <v>409</v>
      </c>
      <c r="B415">
        <v>2012</v>
      </c>
      <c r="C415" t="s">
        <v>188</v>
      </c>
      <c r="D415" t="s">
        <v>337</v>
      </c>
      <c r="E415" s="65">
        <v>590</v>
      </c>
      <c r="F415" s="33">
        <v>1</v>
      </c>
      <c r="G415" t="s">
        <v>679</v>
      </c>
      <c r="H415" t="s">
        <v>144</v>
      </c>
      <c r="I415" t="s">
        <v>299</v>
      </c>
      <c r="J415" t="s">
        <v>101</v>
      </c>
      <c r="K415" t="s">
        <v>201</v>
      </c>
      <c r="L415" s="17"/>
      <c r="M415" s="28" t="s">
        <v>178</v>
      </c>
    </row>
    <row r="416" spans="1:13" x14ac:dyDescent="0.2">
      <c r="A416">
        <f t="shared" si="6"/>
        <v>410</v>
      </c>
      <c r="B416">
        <v>2012</v>
      </c>
      <c r="C416" t="s">
        <v>191</v>
      </c>
      <c r="D416" t="s">
        <v>680</v>
      </c>
      <c r="E416" s="65">
        <v>250</v>
      </c>
      <c r="F416" s="33">
        <v>1</v>
      </c>
      <c r="G416" t="s">
        <v>681</v>
      </c>
      <c r="H416" t="s">
        <v>154</v>
      </c>
      <c r="I416" t="s">
        <v>194</v>
      </c>
      <c r="J416" t="s">
        <v>25</v>
      </c>
      <c r="K416" t="s">
        <v>177</v>
      </c>
      <c r="L416" s="17"/>
    </row>
    <row r="417" spans="1:13" x14ac:dyDescent="0.2">
      <c r="A417">
        <f t="shared" si="6"/>
        <v>411</v>
      </c>
      <c r="B417">
        <v>2012</v>
      </c>
      <c r="C417" t="s">
        <v>191</v>
      </c>
      <c r="D417" t="s">
        <v>300</v>
      </c>
      <c r="E417" s="65">
        <v>1500</v>
      </c>
      <c r="G417" t="s">
        <v>476</v>
      </c>
      <c r="H417" t="s">
        <v>146</v>
      </c>
      <c r="I417" t="s">
        <v>253</v>
      </c>
      <c r="J417" t="s">
        <v>131</v>
      </c>
      <c r="K417" t="s">
        <v>131</v>
      </c>
      <c r="L417" s="17"/>
    </row>
    <row r="418" spans="1:13" x14ac:dyDescent="0.2">
      <c r="A418">
        <f t="shared" si="6"/>
        <v>412</v>
      </c>
      <c r="B418">
        <v>2012</v>
      </c>
      <c r="C418" t="s">
        <v>191</v>
      </c>
      <c r="D418" t="s">
        <v>300</v>
      </c>
      <c r="E418" s="65">
        <v>500</v>
      </c>
      <c r="G418" t="s">
        <v>264</v>
      </c>
      <c r="H418" t="s">
        <v>151</v>
      </c>
      <c r="I418" t="s">
        <v>224</v>
      </c>
      <c r="J418" t="s">
        <v>131</v>
      </c>
      <c r="K418" t="s">
        <v>131</v>
      </c>
      <c r="L418" s="17"/>
    </row>
    <row r="419" spans="1:13" ht="15" customHeight="1" x14ac:dyDescent="0.2">
      <c r="A419">
        <f t="shared" si="6"/>
        <v>413</v>
      </c>
      <c r="B419">
        <v>2012</v>
      </c>
      <c r="C419" t="s">
        <v>191</v>
      </c>
      <c r="D419" t="s">
        <v>189</v>
      </c>
      <c r="E419" s="65">
        <v>1500</v>
      </c>
      <c r="F419" s="33">
        <v>0.49</v>
      </c>
      <c r="G419" t="s">
        <v>367</v>
      </c>
      <c r="H419" t="s">
        <v>144</v>
      </c>
      <c r="I419" t="s">
        <v>187</v>
      </c>
      <c r="J419" t="s">
        <v>20</v>
      </c>
      <c r="K419" t="s">
        <v>195</v>
      </c>
      <c r="L419" s="17"/>
    </row>
    <row r="420" spans="1:13" x14ac:dyDescent="0.2">
      <c r="A420">
        <f t="shared" si="6"/>
        <v>414</v>
      </c>
      <c r="B420">
        <v>2012</v>
      </c>
      <c r="C420" t="s">
        <v>191</v>
      </c>
      <c r="D420" t="s">
        <v>682</v>
      </c>
      <c r="E420" s="65">
        <v>130</v>
      </c>
      <c r="F420" s="33">
        <v>1</v>
      </c>
      <c r="H420" t="s">
        <v>154</v>
      </c>
      <c r="I420" t="s">
        <v>529</v>
      </c>
      <c r="J420" t="s">
        <v>72</v>
      </c>
      <c r="K420" t="s">
        <v>183</v>
      </c>
      <c r="L420" s="17"/>
      <c r="M420" s="28" t="s">
        <v>178</v>
      </c>
    </row>
    <row r="421" spans="1:13" x14ac:dyDescent="0.2">
      <c r="A421">
        <f t="shared" si="6"/>
        <v>415</v>
      </c>
      <c r="B421">
        <v>2012</v>
      </c>
      <c r="C421" t="s">
        <v>191</v>
      </c>
      <c r="D421" t="s">
        <v>683</v>
      </c>
      <c r="E421" s="65">
        <v>100</v>
      </c>
      <c r="H421" t="s">
        <v>149</v>
      </c>
      <c r="I421" t="s">
        <v>236</v>
      </c>
      <c r="J421" t="s">
        <v>138</v>
      </c>
      <c r="K421" t="s">
        <v>219</v>
      </c>
      <c r="L421" s="17"/>
      <c r="M421" s="28" t="s">
        <v>178</v>
      </c>
    </row>
    <row r="422" spans="1:13" x14ac:dyDescent="0.2">
      <c r="A422">
        <f t="shared" si="6"/>
        <v>416</v>
      </c>
      <c r="B422">
        <v>2012</v>
      </c>
      <c r="C422" t="s">
        <v>191</v>
      </c>
      <c r="D422" t="s">
        <v>684</v>
      </c>
      <c r="E422" s="65">
        <v>600</v>
      </c>
      <c r="H422" t="s">
        <v>144</v>
      </c>
      <c r="I422" t="s">
        <v>232</v>
      </c>
      <c r="J422" t="s">
        <v>128</v>
      </c>
      <c r="K422" t="s">
        <v>201</v>
      </c>
      <c r="L422" s="17"/>
      <c r="M422" s="28" t="s">
        <v>178</v>
      </c>
    </row>
    <row r="423" spans="1:13" x14ac:dyDescent="0.2">
      <c r="A423">
        <f t="shared" si="6"/>
        <v>417</v>
      </c>
      <c r="B423">
        <v>2012</v>
      </c>
      <c r="C423" t="s">
        <v>191</v>
      </c>
      <c r="D423" t="s">
        <v>199</v>
      </c>
      <c r="E423" s="65">
        <v>820</v>
      </c>
      <c r="H423" t="s">
        <v>144</v>
      </c>
      <c r="I423" t="s">
        <v>187</v>
      </c>
      <c r="J423" t="s">
        <v>55</v>
      </c>
      <c r="K423" t="s">
        <v>214</v>
      </c>
      <c r="L423" s="17"/>
    </row>
    <row r="424" spans="1:13" x14ac:dyDescent="0.2">
      <c r="A424">
        <f t="shared" si="6"/>
        <v>418</v>
      </c>
      <c r="B424">
        <v>2012</v>
      </c>
      <c r="C424" t="s">
        <v>198</v>
      </c>
      <c r="D424" t="s">
        <v>477</v>
      </c>
      <c r="E424" s="65">
        <v>190</v>
      </c>
      <c r="F424" s="33">
        <v>0.5</v>
      </c>
      <c r="G424" t="s">
        <v>685</v>
      </c>
      <c r="H424" t="s">
        <v>148</v>
      </c>
      <c r="J424" t="s">
        <v>125</v>
      </c>
      <c r="K424" t="s">
        <v>219</v>
      </c>
      <c r="L424" s="17"/>
    </row>
    <row r="425" spans="1:13" x14ac:dyDescent="0.2">
      <c r="A425">
        <f t="shared" si="6"/>
        <v>419</v>
      </c>
      <c r="B425">
        <v>2012</v>
      </c>
      <c r="C425" t="s">
        <v>198</v>
      </c>
      <c r="D425" t="s">
        <v>263</v>
      </c>
      <c r="E425" s="65">
        <v>500</v>
      </c>
      <c r="G425" t="s">
        <v>686</v>
      </c>
      <c r="H425" t="s">
        <v>144</v>
      </c>
      <c r="I425" t="s">
        <v>299</v>
      </c>
      <c r="J425" t="s">
        <v>131</v>
      </c>
      <c r="K425" t="s">
        <v>131</v>
      </c>
      <c r="L425" s="17"/>
    </row>
    <row r="426" spans="1:13" x14ac:dyDescent="0.2">
      <c r="A426">
        <f t="shared" si="6"/>
        <v>420</v>
      </c>
      <c r="B426">
        <v>2012</v>
      </c>
      <c r="C426" t="s">
        <v>198</v>
      </c>
      <c r="D426" t="s">
        <v>687</v>
      </c>
      <c r="E426" s="65">
        <v>210</v>
      </c>
      <c r="F426" s="33">
        <v>1</v>
      </c>
      <c r="H426" t="s">
        <v>142</v>
      </c>
      <c r="J426" t="s">
        <v>81</v>
      </c>
      <c r="K426" t="s">
        <v>219</v>
      </c>
      <c r="L426" s="17"/>
      <c r="M426" s="28" t="s">
        <v>178</v>
      </c>
    </row>
    <row r="427" spans="1:13" x14ac:dyDescent="0.2">
      <c r="A427">
        <f t="shared" si="6"/>
        <v>421</v>
      </c>
      <c r="B427">
        <v>2012</v>
      </c>
      <c r="C427" t="s">
        <v>198</v>
      </c>
      <c r="D427" t="s">
        <v>337</v>
      </c>
      <c r="E427" s="65">
        <v>640</v>
      </c>
      <c r="F427" s="33">
        <v>1</v>
      </c>
      <c r="H427" t="s">
        <v>144</v>
      </c>
      <c r="I427" t="s">
        <v>273</v>
      </c>
      <c r="J427" t="s">
        <v>53</v>
      </c>
      <c r="K427" t="s">
        <v>183</v>
      </c>
      <c r="L427" s="17"/>
      <c r="M427" s="28" t="s">
        <v>178</v>
      </c>
    </row>
    <row r="428" spans="1:13" x14ac:dyDescent="0.2">
      <c r="A428">
        <f t="shared" si="6"/>
        <v>422</v>
      </c>
      <c r="B428">
        <v>2012</v>
      </c>
      <c r="C428" t="s">
        <v>202</v>
      </c>
      <c r="D428" t="s">
        <v>688</v>
      </c>
      <c r="E428" s="65">
        <v>120</v>
      </c>
      <c r="F428" s="33">
        <v>1</v>
      </c>
      <c r="G428" t="s">
        <v>689</v>
      </c>
      <c r="H428" t="s">
        <v>147</v>
      </c>
      <c r="J428" t="s">
        <v>131</v>
      </c>
      <c r="K428" t="s">
        <v>131</v>
      </c>
      <c r="L428" s="17"/>
    </row>
    <row r="429" spans="1:13" x14ac:dyDescent="0.2">
      <c r="A429">
        <f t="shared" si="6"/>
        <v>423</v>
      </c>
      <c r="B429">
        <v>2012</v>
      </c>
      <c r="C429" t="s">
        <v>202</v>
      </c>
      <c r="D429" t="s">
        <v>690</v>
      </c>
      <c r="E429" s="65">
        <v>300</v>
      </c>
      <c r="H429" t="s">
        <v>152</v>
      </c>
      <c r="I429" t="s">
        <v>257</v>
      </c>
      <c r="J429" t="s">
        <v>87</v>
      </c>
      <c r="K429" t="s">
        <v>177</v>
      </c>
      <c r="L429" s="17"/>
      <c r="M429" s="28" t="s">
        <v>178</v>
      </c>
    </row>
    <row r="430" spans="1:13" x14ac:dyDescent="0.2">
      <c r="A430">
        <f t="shared" si="6"/>
        <v>424</v>
      </c>
      <c r="B430">
        <v>2012</v>
      </c>
      <c r="C430" t="s">
        <v>202</v>
      </c>
      <c r="D430" s="17" t="s">
        <v>630</v>
      </c>
      <c r="E430" s="65">
        <v>930</v>
      </c>
      <c r="F430" s="33">
        <v>0.25</v>
      </c>
      <c r="G430" t="s">
        <v>691</v>
      </c>
      <c r="H430" t="s">
        <v>151</v>
      </c>
      <c r="I430" t="s">
        <v>279</v>
      </c>
      <c r="J430" t="s">
        <v>45</v>
      </c>
      <c r="K430" t="s">
        <v>195</v>
      </c>
      <c r="L430" s="17"/>
    </row>
    <row r="431" spans="1:13" x14ac:dyDescent="0.2">
      <c r="A431">
        <f t="shared" si="6"/>
        <v>425</v>
      </c>
      <c r="B431">
        <v>2012</v>
      </c>
      <c r="C431" t="s">
        <v>202</v>
      </c>
      <c r="D431" t="s">
        <v>692</v>
      </c>
      <c r="E431" s="65">
        <v>130</v>
      </c>
      <c r="H431" t="s">
        <v>144</v>
      </c>
      <c r="J431" t="s">
        <v>89</v>
      </c>
      <c r="K431" t="s">
        <v>219</v>
      </c>
      <c r="L431" s="17"/>
    </row>
    <row r="432" spans="1:13" x14ac:dyDescent="0.2">
      <c r="A432">
        <f t="shared" si="6"/>
        <v>426</v>
      </c>
      <c r="B432">
        <v>2012</v>
      </c>
      <c r="C432" t="s">
        <v>202</v>
      </c>
      <c r="D432" t="s">
        <v>520</v>
      </c>
      <c r="E432" s="65">
        <v>150</v>
      </c>
      <c r="F432" s="33">
        <v>1</v>
      </c>
      <c r="G432" t="s">
        <v>693</v>
      </c>
      <c r="H432" t="s">
        <v>152</v>
      </c>
      <c r="J432" t="s">
        <v>19</v>
      </c>
      <c r="K432" t="s">
        <v>205</v>
      </c>
      <c r="L432" s="17"/>
    </row>
    <row r="433" spans="1:13" x14ac:dyDescent="0.2">
      <c r="A433">
        <f t="shared" si="6"/>
        <v>427</v>
      </c>
      <c r="B433">
        <v>2012</v>
      </c>
      <c r="C433" t="s">
        <v>202</v>
      </c>
      <c r="D433" t="s">
        <v>694</v>
      </c>
      <c r="E433" s="65">
        <v>240</v>
      </c>
      <c r="F433" s="33">
        <v>0.51</v>
      </c>
      <c r="G433" t="s">
        <v>695</v>
      </c>
      <c r="H433" t="s">
        <v>149</v>
      </c>
      <c r="J433" t="s">
        <v>9</v>
      </c>
      <c r="K433" t="s">
        <v>9</v>
      </c>
      <c r="L433" s="17"/>
    </row>
    <row r="434" spans="1:13" x14ac:dyDescent="0.2">
      <c r="A434">
        <f t="shared" si="6"/>
        <v>428</v>
      </c>
      <c r="B434">
        <v>2012</v>
      </c>
      <c r="C434" t="s">
        <v>202</v>
      </c>
      <c r="D434" t="s">
        <v>696</v>
      </c>
      <c r="E434" s="65">
        <v>210</v>
      </c>
      <c r="F434" s="33">
        <v>1</v>
      </c>
      <c r="G434" t="s">
        <v>697</v>
      </c>
      <c r="H434" t="s">
        <v>144</v>
      </c>
      <c r="I434" t="s">
        <v>273</v>
      </c>
      <c r="J434" t="s">
        <v>9</v>
      </c>
      <c r="K434" t="s">
        <v>9</v>
      </c>
      <c r="L434" s="17"/>
    </row>
    <row r="435" spans="1:13" x14ac:dyDescent="0.2">
      <c r="A435">
        <f t="shared" si="6"/>
        <v>429</v>
      </c>
      <c r="B435">
        <v>2012</v>
      </c>
      <c r="C435" t="s">
        <v>202</v>
      </c>
      <c r="D435" t="s">
        <v>698</v>
      </c>
      <c r="E435" s="65">
        <v>260</v>
      </c>
      <c r="F435" s="33">
        <v>0.8</v>
      </c>
      <c r="G435" t="s">
        <v>699</v>
      </c>
      <c r="H435" t="s">
        <v>142</v>
      </c>
      <c r="J435" t="s">
        <v>9</v>
      </c>
      <c r="K435" t="s">
        <v>9</v>
      </c>
      <c r="L435" s="17"/>
    </row>
    <row r="436" spans="1:13" x14ac:dyDescent="0.2">
      <c r="A436">
        <f t="shared" si="6"/>
        <v>430</v>
      </c>
      <c r="B436">
        <v>2012</v>
      </c>
      <c r="C436" t="s">
        <v>202</v>
      </c>
      <c r="D436" t="s">
        <v>444</v>
      </c>
      <c r="E436" s="65">
        <v>100</v>
      </c>
      <c r="F436" s="33">
        <v>1</v>
      </c>
      <c r="H436" t="s">
        <v>149</v>
      </c>
      <c r="I436" t="s">
        <v>182</v>
      </c>
      <c r="J436" t="s">
        <v>132</v>
      </c>
      <c r="K436" t="s">
        <v>219</v>
      </c>
      <c r="L436" s="17"/>
      <c r="M436" s="28" t="s">
        <v>178</v>
      </c>
    </row>
    <row r="437" spans="1:13" x14ac:dyDescent="0.2">
      <c r="A437">
        <f t="shared" si="6"/>
        <v>431</v>
      </c>
      <c r="B437">
        <v>2012</v>
      </c>
      <c r="C437" t="s">
        <v>202</v>
      </c>
      <c r="D437" t="s">
        <v>244</v>
      </c>
      <c r="E437" s="65">
        <v>730</v>
      </c>
      <c r="F437" s="33">
        <v>1</v>
      </c>
      <c r="H437" t="s">
        <v>149</v>
      </c>
      <c r="I437" t="s">
        <v>236</v>
      </c>
      <c r="J437" t="s">
        <v>138</v>
      </c>
      <c r="K437" t="s">
        <v>219</v>
      </c>
      <c r="L437" s="17"/>
      <c r="M437" s="28" t="s">
        <v>178</v>
      </c>
    </row>
    <row r="438" spans="1:13" x14ac:dyDescent="0.2">
      <c r="A438">
        <f t="shared" si="6"/>
        <v>432</v>
      </c>
      <c r="B438">
        <v>2012</v>
      </c>
      <c r="C438" t="s">
        <v>202</v>
      </c>
      <c r="D438" t="s">
        <v>360</v>
      </c>
      <c r="E438" s="65">
        <v>450</v>
      </c>
      <c r="G438" t="s">
        <v>700</v>
      </c>
      <c r="H438" t="s">
        <v>149</v>
      </c>
      <c r="I438" t="s">
        <v>182</v>
      </c>
      <c r="J438" t="s">
        <v>45</v>
      </c>
      <c r="K438" t="s">
        <v>195</v>
      </c>
      <c r="L438" s="17"/>
    </row>
    <row r="439" spans="1:13" x14ac:dyDescent="0.2">
      <c r="A439">
        <f t="shared" si="6"/>
        <v>433</v>
      </c>
      <c r="B439">
        <v>2012</v>
      </c>
      <c r="C439" t="s">
        <v>202</v>
      </c>
      <c r="D439" t="s">
        <v>701</v>
      </c>
      <c r="E439" s="65">
        <v>120</v>
      </c>
      <c r="G439" t="s">
        <v>702</v>
      </c>
      <c r="H439" t="s">
        <v>142</v>
      </c>
      <c r="J439" t="s">
        <v>42</v>
      </c>
      <c r="K439" t="s">
        <v>195</v>
      </c>
      <c r="L439" s="17"/>
      <c r="M439" s="28" t="s">
        <v>178</v>
      </c>
    </row>
    <row r="440" spans="1:13" x14ac:dyDescent="0.2">
      <c r="A440">
        <f t="shared" si="6"/>
        <v>434</v>
      </c>
      <c r="B440">
        <v>2012</v>
      </c>
      <c r="C440" t="s">
        <v>202</v>
      </c>
      <c r="D440" t="s">
        <v>703</v>
      </c>
      <c r="E440" s="65">
        <v>130</v>
      </c>
      <c r="F440" s="33">
        <v>0.5</v>
      </c>
      <c r="G440" t="s">
        <v>704</v>
      </c>
      <c r="H440" t="s">
        <v>144</v>
      </c>
      <c r="J440" t="s">
        <v>128</v>
      </c>
      <c r="K440" t="s">
        <v>201</v>
      </c>
      <c r="L440" s="17"/>
      <c r="M440" s="28" t="s">
        <v>178</v>
      </c>
    </row>
    <row r="441" spans="1:13" x14ac:dyDescent="0.2">
      <c r="A441">
        <f t="shared" si="6"/>
        <v>435</v>
      </c>
      <c r="B441">
        <v>2012</v>
      </c>
      <c r="C441" t="s">
        <v>202</v>
      </c>
      <c r="D441" t="s">
        <v>373</v>
      </c>
      <c r="E441" s="65">
        <v>110</v>
      </c>
      <c r="H441" t="s">
        <v>151</v>
      </c>
      <c r="I441" t="s">
        <v>224</v>
      </c>
      <c r="J441" t="s">
        <v>9</v>
      </c>
      <c r="K441" t="s">
        <v>9</v>
      </c>
      <c r="L441" s="17"/>
    </row>
    <row r="442" spans="1:13" x14ac:dyDescent="0.2">
      <c r="A442">
        <f t="shared" si="6"/>
        <v>436</v>
      </c>
      <c r="B442">
        <v>2012</v>
      </c>
      <c r="C442" t="s">
        <v>202</v>
      </c>
      <c r="D442" t="s">
        <v>244</v>
      </c>
      <c r="E442" s="65">
        <v>220</v>
      </c>
      <c r="H442" t="s">
        <v>149</v>
      </c>
      <c r="J442" t="s">
        <v>122</v>
      </c>
      <c r="K442" t="s">
        <v>201</v>
      </c>
      <c r="L442" s="17"/>
      <c r="M442" s="28" t="s">
        <v>178</v>
      </c>
    </row>
    <row r="443" spans="1:13" x14ac:dyDescent="0.2">
      <c r="A443">
        <f t="shared" si="6"/>
        <v>437</v>
      </c>
      <c r="B443">
        <v>2012</v>
      </c>
      <c r="C443" t="s">
        <v>207</v>
      </c>
      <c r="D443" t="s">
        <v>705</v>
      </c>
      <c r="E443" s="65">
        <v>900</v>
      </c>
      <c r="F443" s="33">
        <v>1</v>
      </c>
      <c r="H443" t="s">
        <v>147</v>
      </c>
      <c r="J443" t="s">
        <v>113</v>
      </c>
      <c r="K443" t="s">
        <v>183</v>
      </c>
      <c r="L443" s="17"/>
      <c r="M443" s="28" t="s">
        <v>178</v>
      </c>
    </row>
    <row r="444" spans="1:13" x14ac:dyDescent="0.2">
      <c r="A444">
        <f t="shared" si="6"/>
        <v>438</v>
      </c>
      <c r="B444">
        <v>2012</v>
      </c>
      <c r="C444" t="s">
        <v>207</v>
      </c>
      <c r="D444" t="s">
        <v>706</v>
      </c>
      <c r="E444" s="65">
        <v>120</v>
      </c>
      <c r="F444" s="33">
        <v>1</v>
      </c>
      <c r="H444" t="s">
        <v>154</v>
      </c>
      <c r="I444" t="s">
        <v>194</v>
      </c>
      <c r="J444" t="s">
        <v>124</v>
      </c>
      <c r="K444" t="s">
        <v>183</v>
      </c>
      <c r="L444" s="17"/>
      <c r="M444" s="28" t="s">
        <v>178</v>
      </c>
    </row>
    <row r="445" spans="1:13" ht="13.75" customHeight="1" x14ac:dyDescent="0.2">
      <c r="A445">
        <f t="shared" si="6"/>
        <v>439</v>
      </c>
      <c r="B445">
        <v>2012</v>
      </c>
      <c r="C445" t="s">
        <v>207</v>
      </c>
      <c r="D445" t="s">
        <v>577</v>
      </c>
      <c r="E445" s="65">
        <v>680</v>
      </c>
      <c r="F445" s="33">
        <v>1</v>
      </c>
      <c r="G445" t="s">
        <v>707</v>
      </c>
      <c r="H445" t="s">
        <v>150</v>
      </c>
      <c r="I445" t="s">
        <v>556</v>
      </c>
      <c r="J445" t="s">
        <v>86</v>
      </c>
      <c r="K445" t="s">
        <v>183</v>
      </c>
      <c r="L445" s="17"/>
    </row>
    <row r="446" spans="1:13" x14ac:dyDescent="0.2">
      <c r="A446">
        <f t="shared" si="6"/>
        <v>440</v>
      </c>
      <c r="B446">
        <v>2012</v>
      </c>
      <c r="C446" t="s">
        <v>207</v>
      </c>
      <c r="D446" t="s">
        <v>199</v>
      </c>
      <c r="E446" s="65">
        <v>1510</v>
      </c>
      <c r="F446" s="33">
        <v>0.5</v>
      </c>
      <c r="G446" t="s">
        <v>708</v>
      </c>
      <c r="H446" t="s">
        <v>144</v>
      </c>
      <c r="I446" t="s">
        <v>187</v>
      </c>
      <c r="J446" t="s">
        <v>25</v>
      </c>
      <c r="K446" t="s">
        <v>177</v>
      </c>
      <c r="L446" s="17"/>
      <c r="M446" s="28" t="s">
        <v>178</v>
      </c>
    </row>
    <row r="447" spans="1:13" ht="15" customHeight="1" x14ac:dyDescent="0.2">
      <c r="A447">
        <f t="shared" si="6"/>
        <v>441</v>
      </c>
      <c r="B447">
        <v>2012</v>
      </c>
      <c r="C447" t="s">
        <v>207</v>
      </c>
      <c r="D447" t="s">
        <v>189</v>
      </c>
      <c r="E447" s="65">
        <v>170</v>
      </c>
      <c r="F447" s="33">
        <v>0.5</v>
      </c>
      <c r="G447" t="s">
        <v>709</v>
      </c>
      <c r="H447" t="s">
        <v>144</v>
      </c>
      <c r="I447" t="s">
        <v>187</v>
      </c>
      <c r="J447" t="s">
        <v>119</v>
      </c>
      <c r="K447" t="s">
        <v>195</v>
      </c>
      <c r="L447" s="17"/>
    </row>
    <row r="448" spans="1:13" x14ac:dyDescent="0.2">
      <c r="A448">
        <f t="shared" si="6"/>
        <v>442</v>
      </c>
      <c r="B448">
        <v>2012</v>
      </c>
      <c r="C448" t="s">
        <v>207</v>
      </c>
      <c r="D448" t="s">
        <v>185</v>
      </c>
      <c r="E448" s="65">
        <v>1930</v>
      </c>
      <c r="G448" t="s">
        <v>452</v>
      </c>
      <c r="H448" t="s">
        <v>144</v>
      </c>
      <c r="I448" t="s">
        <v>299</v>
      </c>
      <c r="J448" t="s">
        <v>9</v>
      </c>
      <c r="K448" t="s">
        <v>9</v>
      </c>
      <c r="L448" s="17"/>
    </row>
    <row r="449" spans="1:13" x14ac:dyDescent="0.2">
      <c r="A449">
        <f t="shared" si="6"/>
        <v>443</v>
      </c>
      <c r="B449">
        <v>2012</v>
      </c>
      <c r="C449" t="s">
        <v>207</v>
      </c>
      <c r="D449" t="s">
        <v>263</v>
      </c>
      <c r="E449" s="65">
        <v>730</v>
      </c>
      <c r="F449" s="33">
        <v>0.1</v>
      </c>
      <c r="G449" t="s">
        <v>710</v>
      </c>
      <c r="H449" t="s">
        <v>154</v>
      </c>
      <c r="I449" t="s">
        <v>250</v>
      </c>
      <c r="J449" t="s">
        <v>20</v>
      </c>
      <c r="K449" t="s">
        <v>195</v>
      </c>
      <c r="L449" s="17"/>
    </row>
    <row r="450" spans="1:13" x14ac:dyDescent="0.2">
      <c r="A450">
        <f t="shared" si="6"/>
        <v>444</v>
      </c>
      <c r="B450">
        <v>2012</v>
      </c>
      <c r="C450" t="s">
        <v>207</v>
      </c>
      <c r="D450" t="s">
        <v>416</v>
      </c>
      <c r="E450" s="65">
        <v>150</v>
      </c>
      <c r="F450" s="33">
        <v>0.51</v>
      </c>
      <c r="G450" t="s">
        <v>711</v>
      </c>
      <c r="H450" t="s">
        <v>154</v>
      </c>
      <c r="I450" t="s">
        <v>194</v>
      </c>
      <c r="J450" t="s">
        <v>124</v>
      </c>
      <c r="K450" t="s">
        <v>183</v>
      </c>
      <c r="L450" s="17"/>
    </row>
    <row r="451" spans="1:13" x14ac:dyDescent="0.2">
      <c r="A451">
        <f t="shared" si="6"/>
        <v>445</v>
      </c>
      <c r="B451">
        <v>2012</v>
      </c>
      <c r="C451" t="s">
        <v>207</v>
      </c>
      <c r="D451" t="s">
        <v>712</v>
      </c>
      <c r="E451" s="65">
        <v>100</v>
      </c>
      <c r="F451" s="33">
        <v>0.24</v>
      </c>
      <c r="G451" t="s">
        <v>713</v>
      </c>
      <c r="H451" t="s">
        <v>144</v>
      </c>
      <c r="I451" t="s">
        <v>273</v>
      </c>
      <c r="J451" t="s">
        <v>112</v>
      </c>
      <c r="K451" t="s">
        <v>219</v>
      </c>
      <c r="L451" s="17"/>
    </row>
    <row r="452" spans="1:13" x14ac:dyDescent="0.2">
      <c r="A452">
        <f t="shared" si="6"/>
        <v>446</v>
      </c>
      <c r="B452">
        <v>2012</v>
      </c>
      <c r="C452" t="s">
        <v>207</v>
      </c>
      <c r="D452" t="s">
        <v>714</v>
      </c>
      <c r="E452" s="65">
        <v>100</v>
      </c>
      <c r="F452" s="33">
        <v>1</v>
      </c>
      <c r="H452" t="s">
        <v>154</v>
      </c>
      <c r="I452" t="s">
        <v>194</v>
      </c>
      <c r="J452" t="s">
        <v>136</v>
      </c>
      <c r="K452" t="s">
        <v>183</v>
      </c>
      <c r="L452" s="17"/>
      <c r="M452" s="28" t="s">
        <v>178</v>
      </c>
    </row>
    <row r="453" spans="1:13" x14ac:dyDescent="0.2">
      <c r="A453">
        <f t="shared" si="6"/>
        <v>447</v>
      </c>
      <c r="B453">
        <v>2012</v>
      </c>
      <c r="C453" t="s">
        <v>240</v>
      </c>
      <c r="D453" t="s">
        <v>557</v>
      </c>
      <c r="E453" s="65">
        <v>300</v>
      </c>
      <c r="G453" t="s">
        <v>715</v>
      </c>
      <c r="H453" t="s">
        <v>151</v>
      </c>
      <c r="I453" t="s">
        <v>279</v>
      </c>
      <c r="J453" t="s">
        <v>122</v>
      </c>
      <c r="K453" t="s">
        <v>201</v>
      </c>
      <c r="L453" s="17"/>
      <c r="M453" s="28" t="s">
        <v>178</v>
      </c>
    </row>
    <row r="454" spans="1:13" x14ac:dyDescent="0.2">
      <c r="A454">
        <f t="shared" si="6"/>
        <v>448</v>
      </c>
      <c r="B454">
        <v>2012</v>
      </c>
      <c r="C454" t="s">
        <v>240</v>
      </c>
      <c r="D454" t="s">
        <v>263</v>
      </c>
      <c r="E454" s="65">
        <v>400</v>
      </c>
      <c r="G454" t="s">
        <v>716</v>
      </c>
      <c r="H454" t="s">
        <v>151</v>
      </c>
      <c r="I454" t="s">
        <v>224</v>
      </c>
      <c r="J454" t="s">
        <v>20</v>
      </c>
      <c r="K454" t="s">
        <v>195</v>
      </c>
      <c r="L454" s="17"/>
    </row>
    <row r="455" spans="1:13" x14ac:dyDescent="0.2">
      <c r="A455">
        <f t="shared" ref="A455:A518" si="7">ROW()-6</f>
        <v>449</v>
      </c>
      <c r="B455">
        <v>2012</v>
      </c>
      <c r="C455" t="s">
        <v>240</v>
      </c>
      <c r="D455" t="s">
        <v>263</v>
      </c>
      <c r="E455" s="65">
        <v>110</v>
      </c>
      <c r="F455" s="33">
        <v>0.125</v>
      </c>
      <c r="G455" t="s">
        <v>717</v>
      </c>
      <c r="H455" t="s">
        <v>150</v>
      </c>
      <c r="I455" t="s">
        <v>226</v>
      </c>
      <c r="J455" t="s">
        <v>25</v>
      </c>
      <c r="K455" t="s">
        <v>177</v>
      </c>
      <c r="L455" s="17"/>
    </row>
    <row r="456" spans="1:13" x14ac:dyDescent="0.2">
      <c r="A456">
        <f t="shared" si="7"/>
        <v>450</v>
      </c>
      <c r="B456">
        <v>2012</v>
      </c>
      <c r="C456" t="s">
        <v>240</v>
      </c>
      <c r="D456" t="s">
        <v>189</v>
      </c>
      <c r="E456" s="65">
        <v>2500</v>
      </c>
      <c r="F456" s="33">
        <v>0.2</v>
      </c>
      <c r="G456" t="s">
        <v>325</v>
      </c>
      <c r="H456" t="s">
        <v>144</v>
      </c>
      <c r="I456" t="s">
        <v>187</v>
      </c>
      <c r="J456" t="s">
        <v>89</v>
      </c>
      <c r="K456" t="s">
        <v>219</v>
      </c>
      <c r="L456" s="17"/>
    </row>
    <row r="457" spans="1:13" x14ac:dyDescent="0.2">
      <c r="A457">
        <f t="shared" si="7"/>
        <v>451</v>
      </c>
      <c r="B457">
        <v>2012</v>
      </c>
      <c r="C457" t="s">
        <v>240</v>
      </c>
      <c r="D457" t="s">
        <v>718</v>
      </c>
      <c r="E457" s="65">
        <v>730</v>
      </c>
      <c r="F457" s="33">
        <v>1</v>
      </c>
      <c r="H457" t="s">
        <v>142</v>
      </c>
      <c r="J457" t="s">
        <v>9</v>
      </c>
      <c r="K457" t="s">
        <v>9</v>
      </c>
      <c r="L457" s="17"/>
      <c r="M457" s="28" t="s">
        <v>178</v>
      </c>
    </row>
    <row r="458" spans="1:13" x14ac:dyDescent="0.2">
      <c r="A458">
        <f t="shared" si="7"/>
        <v>452</v>
      </c>
      <c r="B458">
        <v>2012</v>
      </c>
      <c r="C458" t="s">
        <v>240</v>
      </c>
      <c r="D458" t="s">
        <v>263</v>
      </c>
      <c r="E458" s="65">
        <v>460</v>
      </c>
      <c r="F458" s="33">
        <v>0.33</v>
      </c>
      <c r="G458" t="s">
        <v>719</v>
      </c>
      <c r="H458" t="s">
        <v>148</v>
      </c>
      <c r="J458" t="s">
        <v>19</v>
      </c>
      <c r="K458" t="s">
        <v>205</v>
      </c>
      <c r="L458" s="17"/>
    </row>
    <row r="459" spans="1:13" x14ac:dyDescent="0.2">
      <c r="A459">
        <f t="shared" si="7"/>
        <v>453</v>
      </c>
      <c r="B459">
        <v>2012</v>
      </c>
      <c r="C459" t="s">
        <v>240</v>
      </c>
      <c r="D459" t="s">
        <v>307</v>
      </c>
      <c r="E459" s="65">
        <v>510</v>
      </c>
      <c r="F459" s="33">
        <v>0.41</v>
      </c>
      <c r="G459" t="s">
        <v>720</v>
      </c>
      <c r="H459" t="s">
        <v>144</v>
      </c>
      <c r="J459" t="s">
        <v>9</v>
      </c>
      <c r="K459" t="s">
        <v>9</v>
      </c>
      <c r="L459" s="17"/>
    </row>
    <row r="460" spans="1:13" x14ac:dyDescent="0.2">
      <c r="A460">
        <f t="shared" si="7"/>
        <v>454</v>
      </c>
      <c r="B460">
        <v>2012</v>
      </c>
      <c r="C460" t="s">
        <v>240</v>
      </c>
      <c r="D460" t="s">
        <v>334</v>
      </c>
      <c r="E460" s="65">
        <v>150</v>
      </c>
      <c r="F460" s="33">
        <v>1</v>
      </c>
      <c r="H460" t="s">
        <v>142</v>
      </c>
      <c r="J460" t="s">
        <v>86</v>
      </c>
      <c r="K460" t="s">
        <v>183</v>
      </c>
      <c r="L460" s="17"/>
      <c r="M460" s="28" t="s">
        <v>178</v>
      </c>
    </row>
    <row r="461" spans="1:13" s="25" customFormat="1" x14ac:dyDescent="0.2">
      <c r="A461">
        <f t="shared" si="7"/>
        <v>455</v>
      </c>
      <c r="B461">
        <v>2012</v>
      </c>
      <c r="C461" t="s">
        <v>212</v>
      </c>
      <c r="D461" t="s">
        <v>331</v>
      </c>
      <c r="E461" s="65">
        <v>240</v>
      </c>
      <c r="F461" s="33">
        <v>0.4</v>
      </c>
      <c r="G461" t="s">
        <v>332</v>
      </c>
      <c r="H461" t="s">
        <v>151</v>
      </c>
      <c r="I461" t="s">
        <v>279</v>
      </c>
      <c r="J461" t="s">
        <v>58</v>
      </c>
      <c r="K461" t="s">
        <v>195</v>
      </c>
      <c r="L461" s="17"/>
      <c r="M461" s="28"/>
    </row>
    <row r="462" spans="1:13" s="25" customFormat="1" x14ac:dyDescent="0.2">
      <c r="A462">
        <f t="shared" si="7"/>
        <v>456</v>
      </c>
      <c r="B462">
        <v>2012</v>
      </c>
      <c r="C462" t="s">
        <v>212</v>
      </c>
      <c r="D462" t="s">
        <v>208</v>
      </c>
      <c r="E462" s="65">
        <v>660</v>
      </c>
      <c r="F462" s="33"/>
      <c r="H462" t="s">
        <v>149</v>
      </c>
      <c r="I462" t="s">
        <v>182</v>
      </c>
      <c r="J462" t="s">
        <v>24</v>
      </c>
      <c r="K462" t="s">
        <v>219</v>
      </c>
      <c r="L462" s="17"/>
      <c r="M462" s="28" t="s">
        <v>178</v>
      </c>
    </row>
    <row r="463" spans="1:13" s="25" customFormat="1" x14ac:dyDescent="0.2">
      <c r="A463">
        <f t="shared" si="7"/>
        <v>457</v>
      </c>
      <c r="B463">
        <v>2012</v>
      </c>
      <c r="C463" t="s">
        <v>212</v>
      </c>
      <c r="D463" t="s">
        <v>721</v>
      </c>
      <c r="E463" s="65">
        <v>840</v>
      </c>
      <c r="F463" s="33" t="s">
        <v>722</v>
      </c>
      <c r="G463" t="s">
        <v>723</v>
      </c>
      <c r="H463" t="s">
        <v>149</v>
      </c>
      <c r="J463" t="s">
        <v>9</v>
      </c>
      <c r="K463" t="s">
        <v>9</v>
      </c>
      <c r="L463" s="17"/>
      <c r="M463" s="28"/>
    </row>
    <row r="464" spans="1:13" s="25" customFormat="1" x14ac:dyDescent="0.2">
      <c r="A464">
        <f t="shared" si="7"/>
        <v>458</v>
      </c>
      <c r="B464">
        <v>2012</v>
      </c>
      <c r="C464" t="s">
        <v>212</v>
      </c>
      <c r="D464" t="s">
        <v>724</v>
      </c>
      <c r="E464" s="65">
        <v>330</v>
      </c>
      <c r="F464" s="33"/>
      <c r="H464" t="s">
        <v>151</v>
      </c>
      <c r="I464" t="s">
        <v>224</v>
      </c>
      <c r="J464" t="s">
        <v>72</v>
      </c>
      <c r="K464" t="s">
        <v>183</v>
      </c>
      <c r="L464" s="17"/>
      <c r="M464" s="28" t="s">
        <v>178</v>
      </c>
    </row>
    <row r="465" spans="1:13" x14ac:dyDescent="0.2">
      <c r="A465">
        <f t="shared" si="7"/>
        <v>459</v>
      </c>
      <c r="B465">
        <v>2012</v>
      </c>
      <c r="C465" t="s">
        <v>212</v>
      </c>
      <c r="D465" t="s">
        <v>657</v>
      </c>
      <c r="E465" s="65">
        <v>260</v>
      </c>
      <c r="G465" t="s">
        <v>725</v>
      </c>
      <c r="H465" t="s">
        <v>144</v>
      </c>
      <c r="I465" t="s">
        <v>232</v>
      </c>
      <c r="J465" t="s">
        <v>131</v>
      </c>
      <c r="K465" t="s">
        <v>131</v>
      </c>
      <c r="L465" s="17"/>
    </row>
    <row r="466" spans="1:13" x14ac:dyDescent="0.2">
      <c r="A466">
        <f t="shared" si="7"/>
        <v>460</v>
      </c>
      <c r="B466">
        <v>2012</v>
      </c>
      <c r="C466" t="s">
        <v>212</v>
      </c>
      <c r="D466" t="s">
        <v>199</v>
      </c>
      <c r="E466" s="65">
        <v>1630</v>
      </c>
      <c r="G466" t="s">
        <v>349</v>
      </c>
      <c r="H466" t="s">
        <v>144</v>
      </c>
      <c r="I466" t="s">
        <v>299</v>
      </c>
      <c r="J466" t="s">
        <v>9</v>
      </c>
      <c r="K466" t="s">
        <v>9</v>
      </c>
      <c r="L466" s="17"/>
    </row>
    <row r="467" spans="1:13" s="25" customFormat="1" x14ac:dyDescent="0.2">
      <c r="A467">
        <f t="shared" si="7"/>
        <v>461</v>
      </c>
      <c r="B467">
        <v>2012</v>
      </c>
      <c r="C467" t="s">
        <v>212</v>
      </c>
      <c r="D467" t="s">
        <v>199</v>
      </c>
      <c r="E467" s="65">
        <v>2180</v>
      </c>
      <c r="F467" s="33">
        <v>0.49</v>
      </c>
      <c r="G467" t="s">
        <v>726</v>
      </c>
      <c r="H467" t="s">
        <v>144</v>
      </c>
      <c r="I467" t="s">
        <v>299</v>
      </c>
      <c r="J467" t="s">
        <v>25</v>
      </c>
      <c r="K467" t="s">
        <v>177</v>
      </c>
      <c r="L467" s="17"/>
      <c r="M467" s="28" t="s">
        <v>178</v>
      </c>
    </row>
    <row r="468" spans="1:13" s="25" customFormat="1" x14ac:dyDescent="0.2">
      <c r="A468">
        <f t="shared" si="7"/>
        <v>462</v>
      </c>
      <c r="B468">
        <v>2012</v>
      </c>
      <c r="C468" t="s">
        <v>212</v>
      </c>
      <c r="D468" t="s">
        <v>727</v>
      </c>
      <c r="E468" s="65">
        <v>380</v>
      </c>
      <c r="F468" s="33" t="s">
        <v>728</v>
      </c>
      <c r="G468" t="s">
        <v>729</v>
      </c>
      <c r="H468" t="s">
        <v>149</v>
      </c>
      <c r="I468" t="s">
        <v>236</v>
      </c>
      <c r="J468" t="s">
        <v>112</v>
      </c>
      <c r="K468" t="s">
        <v>219</v>
      </c>
      <c r="L468" s="17"/>
      <c r="M468" s="28"/>
    </row>
    <row r="469" spans="1:13" s="25" customFormat="1" x14ac:dyDescent="0.2">
      <c r="A469">
        <f t="shared" si="7"/>
        <v>463</v>
      </c>
      <c r="B469">
        <v>2012</v>
      </c>
      <c r="C469" t="s">
        <v>212</v>
      </c>
      <c r="D469" t="s">
        <v>730</v>
      </c>
      <c r="E469" s="65">
        <v>140</v>
      </c>
      <c r="F469" s="33" t="s">
        <v>731</v>
      </c>
      <c r="G469" t="s">
        <v>732</v>
      </c>
      <c r="H469" t="s">
        <v>148</v>
      </c>
      <c r="J469" t="s">
        <v>121</v>
      </c>
      <c r="K469" t="s">
        <v>183</v>
      </c>
      <c r="L469" s="17"/>
      <c r="M469" s="28"/>
    </row>
    <row r="470" spans="1:13" s="25" customFormat="1" x14ac:dyDescent="0.2">
      <c r="A470">
        <f t="shared" si="7"/>
        <v>464</v>
      </c>
      <c r="B470">
        <v>2012</v>
      </c>
      <c r="C470" t="s">
        <v>212</v>
      </c>
      <c r="D470" t="s">
        <v>516</v>
      </c>
      <c r="E470" s="65">
        <v>700</v>
      </c>
      <c r="F470" s="33"/>
      <c r="G470" t="s">
        <v>733</v>
      </c>
      <c r="H470" t="s">
        <v>150</v>
      </c>
      <c r="I470" t="s">
        <v>292</v>
      </c>
      <c r="J470" t="s">
        <v>119</v>
      </c>
      <c r="K470" t="s">
        <v>195</v>
      </c>
      <c r="L470" s="17"/>
      <c r="M470" s="28"/>
    </row>
    <row r="471" spans="1:13" x14ac:dyDescent="0.2">
      <c r="A471">
        <f t="shared" si="7"/>
        <v>465</v>
      </c>
      <c r="B471">
        <v>2012</v>
      </c>
      <c r="C471" t="s">
        <v>212</v>
      </c>
      <c r="D471" t="s">
        <v>734</v>
      </c>
      <c r="E471" s="65">
        <v>170</v>
      </c>
      <c r="F471" s="33">
        <v>1</v>
      </c>
      <c r="G471" t="s">
        <v>735</v>
      </c>
      <c r="H471" t="s">
        <v>142</v>
      </c>
      <c r="J471" t="s">
        <v>86</v>
      </c>
      <c r="K471" t="s">
        <v>183</v>
      </c>
      <c r="L471" s="17"/>
    </row>
    <row r="472" spans="1:13" s="25" customFormat="1" x14ac:dyDescent="0.2">
      <c r="A472">
        <f t="shared" si="7"/>
        <v>466</v>
      </c>
      <c r="B472">
        <v>2012</v>
      </c>
      <c r="C472" t="s">
        <v>212</v>
      </c>
      <c r="D472" t="s">
        <v>185</v>
      </c>
      <c r="E472" s="65">
        <v>15100</v>
      </c>
      <c r="F472" s="33"/>
      <c r="G472" t="s">
        <v>736</v>
      </c>
      <c r="H472" t="s">
        <v>144</v>
      </c>
      <c r="J472" t="s">
        <v>25</v>
      </c>
      <c r="K472" t="s">
        <v>177</v>
      </c>
      <c r="L472" s="17"/>
      <c r="M472" s="28"/>
    </row>
    <row r="473" spans="1:13" x14ac:dyDescent="0.2">
      <c r="A473">
        <f t="shared" si="7"/>
        <v>467</v>
      </c>
      <c r="B473">
        <v>2012</v>
      </c>
      <c r="C473" t="s">
        <v>212</v>
      </c>
      <c r="D473" t="s">
        <v>246</v>
      </c>
      <c r="E473" s="65">
        <v>470</v>
      </c>
      <c r="F473" s="33">
        <v>0.49</v>
      </c>
      <c r="G473" t="s">
        <v>737</v>
      </c>
      <c r="H473" t="s">
        <v>144</v>
      </c>
      <c r="I473" t="s">
        <v>232</v>
      </c>
      <c r="J473" t="s">
        <v>99</v>
      </c>
      <c r="K473" t="s">
        <v>195</v>
      </c>
      <c r="L473" s="17"/>
    </row>
    <row r="474" spans="1:13" s="25" customFormat="1" x14ac:dyDescent="0.2">
      <c r="A474">
        <f t="shared" si="7"/>
        <v>468</v>
      </c>
      <c r="B474">
        <v>2012</v>
      </c>
      <c r="C474" t="s">
        <v>212</v>
      </c>
      <c r="D474" t="s">
        <v>199</v>
      </c>
      <c r="E474" s="65">
        <v>500</v>
      </c>
      <c r="F474" s="33"/>
      <c r="G474" t="s">
        <v>738</v>
      </c>
      <c r="H474" t="s">
        <v>144</v>
      </c>
      <c r="I474" t="s">
        <v>299</v>
      </c>
      <c r="J474" t="s">
        <v>63</v>
      </c>
      <c r="K474" t="s">
        <v>201</v>
      </c>
      <c r="L474" s="17"/>
      <c r="M474" s="28" t="s">
        <v>178</v>
      </c>
    </row>
    <row r="475" spans="1:13" s="25" customFormat="1" x14ac:dyDescent="0.2">
      <c r="A475">
        <f t="shared" si="7"/>
        <v>469</v>
      </c>
      <c r="B475">
        <v>2012</v>
      </c>
      <c r="C475" t="s">
        <v>212</v>
      </c>
      <c r="D475" t="s">
        <v>739</v>
      </c>
      <c r="E475" s="65">
        <v>200</v>
      </c>
      <c r="F475" s="33">
        <v>1</v>
      </c>
      <c r="H475" t="s">
        <v>151</v>
      </c>
      <c r="I475" t="s">
        <v>279</v>
      </c>
      <c r="J475" t="s">
        <v>53</v>
      </c>
      <c r="K475" t="s">
        <v>183</v>
      </c>
      <c r="L475" s="17"/>
      <c r="M475" s="28" t="s">
        <v>178</v>
      </c>
    </row>
    <row r="476" spans="1:13" s="25" customFormat="1" x14ac:dyDescent="0.2">
      <c r="A476">
        <f t="shared" si="7"/>
        <v>470</v>
      </c>
      <c r="B476">
        <v>2012</v>
      </c>
      <c r="C476" t="s">
        <v>212</v>
      </c>
      <c r="D476" t="s">
        <v>675</v>
      </c>
      <c r="E476" s="65">
        <v>170</v>
      </c>
      <c r="F476" s="33"/>
      <c r="H476" t="s">
        <v>151</v>
      </c>
      <c r="I476" t="s">
        <v>224</v>
      </c>
      <c r="J476" t="s">
        <v>44</v>
      </c>
      <c r="K476" t="s">
        <v>201</v>
      </c>
      <c r="L476" s="17"/>
      <c r="M476" s="28" t="s">
        <v>178</v>
      </c>
    </row>
    <row r="477" spans="1:13" s="25" customFormat="1" x14ac:dyDescent="0.2">
      <c r="A477">
        <f t="shared" si="7"/>
        <v>471</v>
      </c>
      <c r="B477">
        <v>2012</v>
      </c>
      <c r="C477" t="s">
        <v>212</v>
      </c>
      <c r="D477" t="s">
        <v>477</v>
      </c>
      <c r="E477" s="65">
        <v>190</v>
      </c>
      <c r="F477" s="33">
        <v>0.24</v>
      </c>
      <c r="G477" t="s">
        <v>740</v>
      </c>
      <c r="H477" t="s">
        <v>154</v>
      </c>
      <c r="I477" t="s">
        <v>271</v>
      </c>
      <c r="J477" t="s">
        <v>36</v>
      </c>
      <c r="K477" t="s">
        <v>219</v>
      </c>
      <c r="L477" s="17"/>
      <c r="M477" s="28"/>
    </row>
    <row r="478" spans="1:13" s="25" customFormat="1" x14ac:dyDescent="0.2">
      <c r="A478">
        <f t="shared" si="7"/>
        <v>472</v>
      </c>
      <c r="B478">
        <v>2012</v>
      </c>
      <c r="C478" t="s">
        <v>212</v>
      </c>
      <c r="D478" t="s">
        <v>180</v>
      </c>
      <c r="E478" s="65">
        <v>1090</v>
      </c>
      <c r="F478" s="33">
        <v>0.85</v>
      </c>
      <c r="H478" t="s">
        <v>149</v>
      </c>
      <c r="I478" t="s">
        <v>182</v>
      </c>
      <c r="J478" t="s">
        <v>95</v>
      </c>
      <c r="K478" t="s">
        <v>183</v>
      </c>
      <c r="L478" s="17"/>
      <c r="M478" s="28"/>
    </row>
    <row r="479" spans="1:13" s="25" customFormat="1" x14ac:dyDescent="0.2">
      <c r="A479">
        <f t="shared" si="7"/>
        <v>473</v>
      </c>
      <c r="B479">
        <v>2013</v>
      </c>
      <c r="C479" t="s">
        <v>172</v>
      </c>
      <c r="D479" t="s">
        <v>175</v>
      </c>
      <c r="E479" s="65">
        <v>1570</v>
      </c>
      <c r="F479" s="33">
        <v>1</v>
      </c>
      <c r="H479" t="s">
        <v>149</v>
      </c>
      <c r="J479" t="s">
        <v>9</v>
      </c>
      <c r="K479" t="s">
        <v>9</v>
      </c>
      <c r="L479" s="17"/>
      <c r="M479" s="28" t="s">
        <v>178</v>
      </c>
    </row>
    <row r="480" spans="1:13" s="25" customFormat="1" x14ac:dyDescent="0.2">
      <c r="A480">
        <f t="shared" si="7"/>
        <v>474</v>
      </c>
      <c r="B480">
        <v>2013</v>
      </c>
      <c r="C480" t="s">
        <v>172</v>
      </c>
      <c r="D480" t="s">
        <v>477</v>
      </c>
      <c r="E480" s="65">
        <v>530</v>
      </c>
      <c r="F480" s="33">
        <v>0.49</v>
      </c>
      <c r="G480" t="s">
        <v>741</v>
      </c>
      <c r="H480" t="s">
        <v>154</v>
      </c>
      <c r="I480" t="s">
        <v>271</v>
      </c>
      <c r="J480" t="s">
        <v>42</v>
      </c>
      <c r="K480" t="s">
        <v>195</v>
      </c>
      <c r="L480" s="17"/>
      <c r="M480" s="28"/>
    </row>
    <row r="481" spans="1:13" s="25" customFormat="1" x14ac:dyDescent="0.2">
      <c r="A481">
        <f t="shared" si="7"/>
        <v>475</v>
      </c>
      <c r="B481">
        <v>2013</v>
      </c>
      <c r="C481" t="s">
        <v>172</v>
      </c>
      <c r="D481" t="s">
        <v>313</v>
      </c>
      <c r="E481" s="65">
        <v>1700</v>
      </c>
      <c r="F481" s="33">
        <v>0.4</v>
      </c>
      <c r="G481" t="s">
        <v>742</v>
      </c>
      <c r="H481" t="s">
        <v>144</v>
      </c>
      <c r="I481" t="s">
        <v>187</v>
      </c>
      <c r="J481" t="s">
        <v>131</v>
      </c>
      <c r="K481" t="s">
        <v>131</v>
      </c>
      <c r="L481" s="17"/>
      <c r="M481" s="28"/>
    </row>
    <row r="482" spans="1:13" s="25" customFormat="1" x14ac:dyDescent="0.2">
      <c r="A482">
        <f t="shared" si="7"/>
        <v>476</v>
      </c>
      <c r="B482">
        <v>2013</v>
      </c>
      <c r="C482" t="s">
        <v>172</v>
      </c>
      <c r="D482" t="s">
        <v>743</v>
      </c>
      <c r="E482" s="65">
        <v>190</v>
      </c>
      <c r="F482" s="33"/>
      <c r="H482" t="s">
        <v>150</v>
      </c>
      <c r="I482" t="s">
        <v>744</v>
      </c>
      <c r="J482" t="s">
        <v>72</v>
      </c>
      <c r="K482" t="s">
        <v>183</v>
      </c>
      <c r="L482" s="17"/>
      <c r="M482" s="28" t="s">
        <v>178</v>
      </c>
    </row>
    <row r="483" spans="1:13" s="25" customFormat="1" x14ac:dyDescent="0.2">
      <c r="A483">
        <f t="shared" si="7"/>
        <v>477</v>
      </c>
      <c r="B483">
        <v>2013</v>
      </c>
      <c r="C483" t="s">
        <v>172</v>
      </c>
      <c r="D483" t="s">
        <v>745</v>
      </c>
      <c r="E483" s="65">
        <v>350</v>
      </c>
      <c r="F483" s="33">
        <v>0.26</v>
      </c>
      <c r="G483" t="s">
        <v>746</v>
      </c>
      <c r="H483" t="s">
        <v>143</v>
      </c>
      <c r="J483" t="s">
        <v>128</v>
      </c>
      <c r="K483" t="s">
        <v>201</v>
      </c>
      <c r="L483" s="17"/>
      <c r="M483" s="28" t="s">
        <v>178</v>
      </c>
    </row>
    <row r="484" spans="1:13" s="25" customFormat="1" x14ac:dyDescent="0.2">
      <c r="A484">
        <f t="shared" si="7"/>
        <v>478</v>
      </c>
      <c r="B484">
        <v>2013</v>
      </c>
      <c r="C484" t="s">
        <v>258</v>
      </c>
      <c r="D484" t="s">
        <v>300</v>
      </c>
      <c r="E484" s="65">
        <v>110</v>
      </c>
      <c r="F484" s="33">
        <v>0.49</v>
      </c>
      <c r="G484" t="s">
        <v>747</v>
      </c>
      <c r="H484" t="s">
        <v>151</v>
      </c>
      <c r="I484" t="s">
        <v>224</v>
      </c>
      <c r="J484" t="s">
        <v>20</v>
      </c>
      <c r="K484" t="s">
        <v>195</v>
      </c>
      <c r="L484" s="17"/>
      <c r="M484" s="28"/>
    </row>
    <row r="485" spans="1:13" s="25" customFormat="1" x14ac:dyDescent="0.2">
      <c r="A485">
        <f t="shared" si="7"/>
        <v>479</v>
      </c>
      <c r="B485">
        <v>2013</v>
      </c>
      <c r="C485" t="s">
        <v>258</v>
      </c>
      <c r="D485" t="s">
        <v>438</v>
      </c>
      <c r="E485" s="65">
        <v>150</v>
      </c>
      <c r="F485" s="33">
        <v>1</v>
      </c>
      <c r="G485" t="s">
        <v>748</v>
      </c>
      <c r="H485" t="s">
        <v>154</v>
      </c>
      <c r="I485" t="s">
        <v>194</v>
      </c>
      <c r="J485" t="s">
        <v>20</v>
      </c>
      <c r="K485" t="s">
        <v>195</v>
      </c>
      <c r="L485" s="17"/>
      <c r="M485" s="28"/>
    </row>
    <row r="486" spans="1:13" s="25" customFormat="1" x14ac:dyDescent="0.2">
      <c r="A486">
        <f t="shared" si="7"/>
        <v>480</v>
      </c>
      <c r="B486">
        <v>2013</v>
      </c>
      <c r="C486" t="s">
        <v>258</v>
      </c>
      <c r="D486" t="s">
        <v>221</v>
      </c>
      <c r="E486" s="65">
        <v>470</v>
      </c>
      <c r="F486" s="33">
        <v>0.13</v>
      </c>
      <c r="G486" t="s">
        <v>749</v>
      </c>
      <c r="H486" t="s">
        <v>149</v>
      </c>
      <c r="I486" t="s">
        <v>238</v>
      </c>
      <c r="J486" t="s">
        <v>9</v>
      </c>
      <c r="K486" t="s">
        <v>9</v>
      </c>
      <c r="L486" s="17"/>
      <c r="M486" s="28"/>
    </row>
    <row r="487" spans="1:13" s="25" customFormat="1" x14ac:dyDescent="0.2">
      <c r="A487">
        <f t="shared" si="7"/>
        <v>481</v>
      </c>
      <c r="B487">
        <v>2013</v>
      </c>
      <c r="C487" t="s">
        <v>258</v>
      </c>
      <c r="D487" t="s">
        <v>373</v>
      </c>
      <c r="E487" s="65">
        <v>310</v>
      </c>
      <c r="F487" s="33">
        <v>0.2</v>
      </c>
      <c r="G487" t="s">
        <v>750</v>
      </c>
      <c r="H487" t="s">
        <v>153</v>
      </c>
      <c r="J487" t="s">
        <v>114</v>
      </c>
      <c r="K487" t="s">
        <v>195</v>
      </c>
      <c r="L487" s="17"/>
      <c r="M487" s="28"/>
    </row>
    <row r="488" spans="1:13" s="25" customFormat="1" x14ac:dyDescent="0.2">
      <c r="A488">
        <f t="shared" si="7"/>
        <v>482</v>
      </c>
      <c r="B488">
        <v>2013</v>
      </c>
      <c r="C488" t="s">
        <v>258</v>
      </c>
      <c r="D488" t="s">
        <v>189</v>
      </c>
      <c r="E488" s="65">
        <v>1020</v>
      </c>
      <c r="F488" s="33">
        <v>0.5</v>
      </c>
      <c r="G488" t="s">
        <v>463</v>
      </c>
      <c r="H488" t="s">
        <v>144</v>
      </c>
      <c r="I488" t="s">
        <v>187</v>
      </c>
      <c r="J488" t="s">
        <v>131</v>
      </c>
      <c r="K488" t="s">
        <v>131</v>
      </c>
      <c r="L488" s="17"/>
      <c r="M488" s="28"/>
    </row>
    <row r="489" spans="1:13" s="25" customFormat="1" ht="14.25" customHeight="1" x14ac:dyDescent="0.2">
      <c r="A489">
        <f t="shared" si="7"/>
        <v>483</v>
      </c>
      <c r="B489">
        <v>2013</v>
      </c>
      <c r="C489" t="s">
        <v>258</v>
      </c>
      <c r="D489" t="s">
        <v>300</v>
      </c>
      <c r="E489" s="65">
        <v>840</v>
      </c>
      <c r="F489" s="33">
        <v>0.4</v>
      </c>
      <c r="G489" t="s">
        <v>274</v>
      </c>
      <c r="H489" t="s">
        <v>151</v>
      </c>
      <c r="I489" t="s">
        <v>224</v>
      </c>
      <c r="J489" t="s">
        <v>20</v>
      </c>
      <c r="K489" t="s">
        <v>195</v>
      </c>
      <c r="L489" s="17"/>
      <c r="M489" s="28"/>
    </row>
    <row r="490" spans="1:13" s="25" customFormat="1" x14ac:dyDescent="0.2">
      <c r="A490">
        <f t="shared" si="7"/>
        <v>484</v>
      </c>
      <c r="B490">
        <v>2013</v>
      </c>
      <c r="C490" t="s">
        <v>258</v>
      </c>
      <c r="D490" t="s">
        <v>751</v>
      </c>
      <c r="E490" s="65">
        <v>430</v>
      </c>
      <c r="F490" s="33">
        <v>0.7</v>
      </c>
      <c r="G490" t="s">
        <v>752</v>
      </c>
      <c r="H490" t="s">
        <v>151</v>
      </c>
      <c r="I490" t="s">
        <v>224</v>
      </c>
      <c r="J490" t="s">
        <v>131</v>
      </c>
      <c r="K490" t="s">
        <v>131</v>
      </c>
      <c r="L490" s="17"/>
      <c r="M490" s="28" t="s">
        <v>178</v>
      </c>
    </row>
    <row r="491" spans="1:13" s="25" customFormat="1" x14ac:dyDescent="0.2">
      <c r="A491">
        <f t="shared" si="7"/>
        <v>485</v>
      </c>
      <c r="B491">
        <v>2013</v>
      </c>
      <c r="C491" t="s">
        <v>258</v>
      </c>
      <c r="D491" t="s">
        <v>263</v>
      </c>
      <c r="E491" s="65">
        <v>100</v>
      </c>
      <c r="F491" s="33">
        <v>0.2</v>
      </c>
      <c r="G491" t="s">
        <v>753</v>
      </c>
      <c r="H491" t="s">
        <v>146</v>
      </c>
      <c r="I491" t="s">
        <v>253</v>
      </c>
      <c r="J491" t="s">
        <v>101</v>
      </c>
      <c r="K491" t="s">
        <v>201</v>
      </c>
      <c r="L491" s="17"/>
      <c r="M491" s="28"/>
    </row>
    <row r="492" spans="1:13" s="25" customFormat="1" x14ac:dyDescent="0.2">
      <c r="A492">
        <f t="shared" si="7"/>
        <v>486</v>
      </c>
      <c r="B492">
        <v>2013</v>
      </c>
      <c r="C492" t="s">
        <v>258</v>
      </c>
      <c r="D492" t="s">
        <v>334</v>
      </c>
      <c r="E492" s="65">
        <v>180</v>
      </c>
      <c r="F492" s="33">
        <v>1</v>
      </c>
      <c r="H492" t="s">
        <v>142</v>
      </c>
      <c r="J492" t="s">
        <v>86</v>
      </c>
      <c r="K492" t="s">
        <v>183</v>
      </c>
      <c r="L492" s="17"/>
      <c r="M492" s="28" t="s">
        <v>178</v>
      </c>
    </row>
    <row r="493" spans="1:13" s="25" customFormat="1" x14ac:dyDescent="0.2">
      <c r="A493">
        <f t="shared" si="7"/>
        <v>487</v>
      </c>
      <c r="B493">
        <v>2013</v>
      </c>
      <c r="C493" t="s">
        <v>258</v>
      </c>
      <c r="D493" t="s">
        <v>754</v>
      </c>
      <c r="E493" s="65">
        <v>680</v>
      </c>
      <c r="F493" s="33">
        <v>1</v>
      </c>
      <c r="H493" t="s">
        <v>149</v>
      </c>
      <c r="J493" t="s">
        <v>72</v>
      </c>
      <c r="K493" t="s">
        <v>183</v>
      </c>
      <c r="L493" s="17"/>
      <c r="M493" s="28" t="s">
        <v>178</v>
      </c>
    </row>
    <row r="494" spans="1:13" s="25" customFormat="1" x14ac:dyDescent="0.2">
      <c r="A494">
        <f t="shared" si="7"/>
        <v>488</v>
      </c>
      <c r="B494">
        <v>2013</v>
      </c>
      <c r="C494" t="s">
        <v>258</v>
      </c>
      <c r="D494" t="s">
        <v>754</v>
      </c>
      <c r="E494" s="65">
        <v>480</v>
      </c>
      <c r="F494" s="33">
        <v>0.4</v>
      </c>
      <c r="G494" t="s">
        <v>755</v>
      </c>
      <c r="H494" t="s">
        <v>154</v>
      </c>
      <c r="I494" t="s">
        <v>271</v>
      </c>
      <c r="J494" t="s">
        <v>72</v>
      </c>
      <c r="K494" t="s">
        <v>183</v>
      </c>
      <c r="L494" s="17"/>
      <c r="M494" s="28"/>
    </row>
    <row r="495" spans="1:13" s="25" customFormat="1" x14ac:dyDescent="0.2">
      <c r="A495">
        <f t="shared" si="7"/>
        <v>489</v>
      </c>
      <c r="B495">
        <v>2013</v>
      </c>
      <c r="C495" t="s">
        <v>179</v>
      </c>
      <c r="D495" t="s">
        <v>756</v>
      </c>
      <c r="E495" s="65">
        <v>100</v>
      </c>
      <c r="F495" s="33">
        <v>1</v>
      </c>
      <c r="G495" t="s">
        <v>757</v>
      </c>
      <c r="H495" t="s">
        <v>155</v>
      </c>
      <c r="J495" t="s">
        <v>99</v>
      </c>
      <c r="K495" t="s">
        <v>195</v>
      </c>
      <c r="L495" s="17"/>
      <c r="M495" s="28"/>
    </row>
    <row r="496" spans="1:13" s="25" customFormat="1" x14ac:dyDescent="0.2">
      <c r="A496">
        <f t="shared" si="7"/>
        <v>490</v>
      </c>
      <c r="B496">
        <v>2013</v>
      </c>
      <c r="C496" t="s">
        <v>179</v>
      </c>
      <c r="D496" t="s">
        <v>199</v>
      </c>
      <c r="E496" s="65">
        <v>4210</v>
      </c>
      <c r="F496" s="33">
        <v>0.28999999999999998</v>
      </c>
      <c r="G496" t="s">
        <v>758</v>
      </c>
      <c r="H496" t="s">
        <v>144</v>
      </c>
      <c r="I496" t="s">
        <v>299</v>
      </c>
      <c r="J496" t="s">
        <v>81</v>
      </c>
      <c r="K496" t="s">
        <v>219</v>
      </c>
      <c r="L496" s="17"/>
      <c r="M496" s="28"/>
    </row>
    <row r="497" spans="1:13" s="25" customFormat="1" x14ac:dyDescent="0.2">
      <c r="A497">
        <f t="shared" si="7"/>
        <v>491</v>
      </c>
      <c r="B497">
        <v>2013</v>
      </c>
      <c r="C497" t="s">
        <v>179</v>
      </c>
      <c r="D497" t="s">
        <v>307</v>
      </c>
      <c r="E497" s="65">
        <v>1140</v>
      </c>
      <c r="F497" s="33"/>
      <c r="G497" t="s">
        <v>759</v>
      </c>
      <c r="H497" t="s">
        <v>144</v>
      </c>
      <c r="J497" t="s">
        <v>101</v>
      </c>
      <c r="K497" t="s">
        <v>201</v>
      </c>
      <c r="L497" s="17"/>
      <c r="M497" s="28"/>
    </row>
    <row r="498" spans="1:13" s="25" customFormat="1" x14ac:dyDescent="0.2">
      <c r="A498">
        <f t="shared" si="7"/>
        <v>492</v>
      </c>
      <c r="B498">
        <v>2013</v>
      </c>
      <c r="C498" t="s">
        <v>179</v>
      </c>
      <c r="D498" t="s">
        <v>612</v>
      </c>
      <c r="E498" s="65">
        <v>170</v>
      </c>
      <c r="F498" s="33"/>
      <c r="H498" t="s">
        <v>149</v>
      </c>
      <c r="J498" t="s">
        <v>34</v>
      </c>
      <c r="K498" t="s">
        <v>219</v>
      </c>
      <c r="L498" s="17"/>
      <c r="M498" s="28" t="s">
        <v>178</v>
      </c>
    </row>
    <row r="499" spans="1:13" s="25" customFormat="1" ht="15" customHeight="1" x14ac:dyDescent="0.2">
      <c r="A499">
        <f t="shared" si="7"/>
        <v>493</v>
      </c>
      <c r="B499">
        <v>2013</v>
      </c>
      <c r="C499" t="s">
        <v>179</v>
      </c>
      <c r="D499" t="s">
        <v>397</v>
      </c>
      <c r="E499" s="65">
        <v>250</v>
      </c>
      <c r="F499" s="33"/>
      <c r="H499" t="s">
        <v>151</v>
      </c>
      <c r="I499" t="s">
        <v>224</v>
      </c>
      <c r="J499" t="s">
        <v>20</v>
      </c>
      <c r="K499" t="s">
        <v>195</v>
      </c>
      <c r="L499" s="17"/>
      <c r="M499" s="28"/>
    </row>
    <row r="500" spans="1:13" s="25" customFormat="1" x14ac:dyDescent="0.2">
      <c r="A500">
        <f t="shared" si="7"/>
        <v>494</v>
      </c>
      <c r="B500">
        <v>2013</v>
      </c>
      <c r="C500" t="s">
        <v>179</v>
      </c>
      <c r="D500" t="s">
        <v>760</v>
      </c>
      <c r="E500" s="65">
        <v>200</v>
      </c>
      <c r="F500" s="33"/>
      <c r="G500" t="s">
        <v>761</v>
      </c>
      <c r="H500" t="s">
        <v>151</v>
      </c>
      <c r="I500" t="s">
        <v>224</v>
      </c>
      <c r="J500" t="s">
        <v>9</v>
      </c>
      <c r="K500" t="s">
        <v>9</v>
      </c>
      <c r="L500" s="17"/>
      <c r="M500" s="28"/>
    </row>
    <row r="501" spans="1:13" s="25" customFormat="1" x14ac:dyDescent="0.2">
      <c r="A501">
        <f t="shared" si="7"/>
        <v>495</v>
      </c>
      <c r="B501">
        <v>2013</v>
      </c>
      <c r="C501" t="s">
        <v>179</v>
      </c>
      <c r="D501" t="s">
        <v>300</v>
      </c>
      <c r="E501" s="65">
        <v>240</v>
      </c>
      <c r="F501" s="33">
        <v>0.33</v>
      </c>
      <c r="G501" t="s">
        <v>762</v>
      </c>
      <c r="H501" t="s">
        <v>151</v>
      </c>
      <c r="I501" t="s">
        <v>224</v>
      </c>
      <c r="J501" t="s">
        <v>20</v>
      </c>
      <c r="K501" t="s">
        <v>195</v>
      </c>
      <c r="L501" s="17"/>
      <c r="M501" s="28"/>
    </row>
    <row r="502" spans="1:13" s="25" customFormat="1" ht="14.25" customHeight="1" x14ac:dyDescent="0.2">
      <c r="A502">
        <f t="shared" si="7"/>
        <v>496</v>
      </c>
      <c r="B502">
        <v>2013</v>
      </c>
      <c r="C502" t="s">
        <v>179</v>
      </c>
      <c r="D502" t="s">
        <v>705</v>
      </c>
      <c r="E502" s="65">
        <v>250</v>
      </c>
      <c r="F502" s="33"/>
      <c r="G502" t="s">
        <v>436</v>
      </c>
      <c r="H502" t="s">
        <v>151</v>
      </c>
      <c r="I502" t="s">
        <v>224</v>
      </c>
      <c r="J502" t="s">
        <v>9</v>
      </c>
      <c r="K502" t="s">
        <v>9</v>
      </c>
      <c r="L502" s="17"/>
      <c r="M502" s="28"/>
    </row>
    <row r="503" spans="1:13" s="25" customFormat="1" ht="14.25" customHeight="1" x14ac:dyDescent="0.2">
      <c r="A503">
        <f t="shared" si="7"/>
        <v>497</v>
      </c>
      <c r="B503">
        <v>2013</v>
      </c>
      <c r="C503" t="s">
        <v>179</v>
      </c>
      <c r="D503" t="s">
        <v>763</v>
      </c>
      <c r="E503" s="65">
        <v>150</v>
      </c>
      <c r="F503" s="33"/>
      <c r="H503" t="s">
        <v>150</v>
      </c>
      <c r="I503" t="s">
        <v>556</v>
      </c>
      <c r="J503" t="s">
        <v>112</v>
      </c>
      <c r="K503" t="s">
        <v>219</v>
      </c>
      <c r="L503" s="17"/>
      <c r="M503" s="28" t="s">
        <v>178</v>
      </c>
    </row>
    <row r="504" spans="1:13" s="25" customFormat="1" x14ac:dyDescent="0.2">
      <c r="A504">
        <f t="shared" si="7"/>
        <v>498</v>
      </c>
      <c r="B504">
        <v>2013</v>
      </c>
      <c r="C504" t="s">
        <v>184</v>
      </c>
      <c r="D504" t="s">
        <v>554</v>
      </c>
      <c r="E504" s="65">
        <v>240</v>
      </c>
      <c r="F504" s="33">
        <v>0.96</v>
      </c>
      <c r="G504" t="s">
        <v>764</v>
      </c>
      <c r="H504" t="s">
        <v>147</v>
      </c>
      <c r="J504" t="s">
        <v>57</v>
      </c>
      <c r="K504" t="s">
        <v>195</v>
      </c>
      <c r="L504" s="17"/>
      <c r="M504" s="28"/>
    </row>
    <row r="505" spans="1:13" s="25" customFormat="1" x14ac:dyDescent="0.2">
      <c r="A505">
        <f t="shared" si="7"/>
        <v>499</v>
      </c>
      <c r="B505">
        <v>2013</v>
      </c>
      <c r="C505" t="s">
        <v>184</v>
      </c>
      <c r="D505" t="s">
        <v>334</v>
      </c>
      <c r="E505" s="65">
        <v>320</v>
      </c>
      <c r="F505" s="33"/>
      <c r="H505" t="s">
        <v>142</v>
      </c>
      <c r="J505" t="s">
        <v>19</v>
      </c>
      <c r="K505" t="s">
        <v>205</v>
      </c>
      <c r="L505" s="17"/>
      <c r="M505" s="28" t="s">
        <v>178</v>
      </c>
    </row>
    <row r="506" spans="1:13" s="25" customFormat="1" x14ac:dyDescent="0.2">
      <c r="A506">
        <f t="shared" si="7"/>
        <v>500</v>
      </c>
      <c r="B506">
        <v>2013</v>
      </c>
      <c r="C506" t="s">
        <v>184</v>
      </c>
      <c r="D506" t="s">
        <v>751</v>
      </c>
      <c r="E506" s="65">
        <v>110</v>
      </c>
      <c r="F506" s="33">
        <v>0.3</v>
      </c>
      <c r="H506" t="s">
        <v>151</v>
      </c>
      <c r="I506" t="s">
        <v>224</v>
      </c>
      <c r="J506" t="s">
        <v>108</v>
      </c>
      <c r="K506" t="s">
        <v>183</v>
      </c>
      <c r="L506" s="17"/>
      <c r="M506" s="28"/>
    </row>
    <row r="507" spans="1:13" s="25" customFormat="1" x14ac:dyDescent="0.2">
      <c r="A507">
        <f t="shared" si="7"/>
        <v>501</v>
      </c>
      <c r="B507">
        <v>2013</v>
      </c>
      <c r="C507" t="s">
        <v>184</v>
      </c>
      <c r="D507" t="s">
        <v>765</v>
      </c>
      <c r="E507" s="65">
        <v>130</v>
      </c>
      <c r="F507" s="33">
        <v>0.26</v>
      </c>
      <c r="H507" t="s">
        <v>144</v>
      </c>
      <c r="I507" t="s">
        <v>187</v>
      </c>
      <c r="J507" t="s">
        <v>113</v>
      </c>
      <c r="K507" t="s">
        <v>183</v>
      </c>
      <c r="L507" s="17"/>
      <c r="M507" s="28" t="s">
        <v>178</v>
      </c>
    </row>
    <row r="508" spans="1:13" s="25" customFormat="1" x14ac:dyDescent="0.2">
      <c r="A508">
        <f t="shared" si="7"/>
        <v>502</v>
      </c>
      <c r="B508">
        <v>2013</v>
      </c>
      <c r="C508" t="s">
        <v>184</v>
      </c>
      <c r="D508" t="s">
        <v>244</v>
      </c>
      <c r="E508" s="65">
        <v>750</v>
      </c>
      <c r="F508" s="33">
        <v>0.5</v>
      </c>
      <c r="G508" t="s">
        <v>766</v>
      </c>
      <c r="H508" t="s">
        <v>149</v>
      </c>
      <c r="J508" t="s">
        <v>101</v>
      </c>
      <c r="K508" t="s">
        <v>201</v>
      </c>
      <c r="L508" s="17"/>
      <c r="M508" s="28" t="s">
        <v>178</v>
      </c>
    </row>
    <row r="509" spans="1:13" s="25" customFormat="1" x14ac:dyDescent="0.2">
      <c r="A509">
        <f t="shared" si="7"/>
        <v>503</v>
      </c>
      <c r="B509">
        <v>2013</v>
      </c>
      <c r="C509" t="s">
        <v>184</v>
      </c>
      <c r="D509" t="s">
        <v>767</v>
      </c>
      <c r="E509" s="65">
        <v>100</v>
      </c>
      <c r="F509" s="33"/>
      <c r="G509" t="s">
        <v>768</v>
      </c>
      <c r="H509" t="s">
        <v>146</v>
      </c>
      <c r="I509" t="s">
        <v>253</v>
      </c>
      <c r="J509" t="s">
        <v>131</v>
      </c>
      <c r="K509" t="s">
        <v>131</v>
      </c>
      <c r="L509" s="17"/>
      <c r="M509" s="28"/>
    </row>
    <row r="510" spans="1:13" s="25" customFormat="1" x14ac:dyDescent="0.2">
      <c r="A510">
        <f t="shared" si="7"/>
        <v>504</v>
      </c>
      <c r="B510">
        <v>2013</v>
      </c>
      <c r="C510" t="s">
        <v>184</v>
      </c>
      <c r="D510" t="s">
        <v>263</v>
      </c>
      <c r="E510" s="65">
        <v>100</v>
      </c>
      <c r="F510" s="33">
        <v>0.21</v>
      </c>
      <c r="G510" t="s">
        <v>769</v>
      </c>
      <c r="H510" t="s">
        <v>150</v>
      </c>
      <c r="I510" t="s">
        <v>226</v>
      </c>
      <c r="J510" t="s">
        <v>101</v>
      </c>
      <c r="K510" t="s">
        <v>201</v>
      </c>
      <c r="L510" s="17"/>
      <c r="M510" s="28"/>
    </row>
    <row r="511" spans="1:13" s="25" customFormat="1" x14ac:dyDescent="0.2">
      <c r="A511">
        <f t="shared" si="7"/>
        <v>505</v>
      </c>
      <c r="B511">
        <v>2013</v>
      </c>
      <c r="C511" t="s">
        <v>225</v>
      </c>
      <c r="D511" t="s">
        <v>307</v>
      </c>
      <c r="E511" s="65">
        <v>810</v>
      </c>
      <c r="F511" s="33">
        <v>0.19900000000000001</v>
      </c>
      <c r="G511" t="s">
        <v>770</v>
      </c>
      <c r="H511" t="s">
        <v>144</v>
      </c>
      <c r="J511" t="s">
        <v>9</v>
      </c>
      <c r="K511" t="s">
        <v>9</v>
      </c>
      <c r="L511" s="17"/>
      <c r="M511" s="28"/>
    </row>
    <row r="512" spans="1:13" s="25" customFormat="1" x14ac:dyDescent="0.2">
      <c r="A512">
        <f t="shared" si="7"/>
        <v>506</v>
      </c>
      <c r="B512">
        <v>2013</v>
      </c>
      <c r="C512" t="s">
        <v>225</v>
      </c>
      <c r="D512" t="s">
        <v>307</v>
      </c>
      <c r="E512" s="65">
        <v>3810</v>
      </c>
      <c r="F512" s="33">
        <v>0.6</v>
      </c>
      <c r="G512" t="s">
        <v>770</v>
      </c>
      <c r="H512" t="s">
        <v>144</v>
      </c>
      <c r="J512" t="s">
        <v>9</v>
      </c>
      <c r="K512" t="s">
        <v>9</v>
      </c>
      <c r="L512" s="17"/>
      <c r="M512" s="28"/>
    </row>
    <row r="513" spans="1:13" s="25" customFormat="1" x14ac:dyDescent="0.2">
      <c r="A513">
        <f t="shared" si="7"/>
        <v>507</v>
      </c>
      <c r="B513">
        <v>2013</v>
      </c>
      <c r="C513" t="s">
        <v>225</v>
      </c>
      <c r="D513" t="s">
        <v>771</v>
      </c>
      <c r="E513" s="65">
        <v>7100</v>
      </c>
      <c r="F513" s="33">
        <v>1</v>
      </c>
      <c r="G513" t="s">
        <v>335</v>
      </c>
      <c r="H513" t="s">
        <v>142</v>
      </c>
      <c r="J513" t="s">
        <v>131</v>
      </c>
      <c r="K513" t="s">
        <v>131</v>
      </c>
      <c r="L513" s="17"/>
      <c r="M513" s="28"/>
    </row>
    <row r="514" spans="1:13" s="25" customFormat="1" x14ac:dyDescent="0.2">
      <c r="A514">
        <f t="shared" si="7"/>
        <v>508</v>
      </c>
      <c r="B514">
        <v>2013</v>
      </c>
      <c r="C514" t="s">
        <v>225</v>
      </c>
      <c r="D514" t="s">
        <v>554</v>
      </c>
      <c r="E514" s="65">
        <v>360</v>
      </c>
      <c r="F514" s="33">
        <v>0.46</v>
      </c>
      <c r="G514" t="s">
        <v>772</v>
      </c>
      <c r="H514" t="s">
        <v>153</v>
      </c>
      <c r="J514" t="s">
        <v>42</v>
      </c>
      <c r="K514" t="s">
        <v>195</v>
      </c>
      <c r="L514" s="17"/>
      <c r="M514" s="28"/>
    </row>
    <row r="515" spans="1:13" s="25" customFormat="1" x14ac:dyDescent="0.2">
      <c r="A515">
        <f t="shared" si="7"/>
        <v>509</v>
      </c>
      <c r="B515">
        <v>2013</v>
      </c>
      <c r="C515" t="s">
        <v>225</v>
      </c>
      <c r="D515" t="s">
        <v>773</v>
      </c>
      <c r="E515" s="65">
        <v>140</v>
      </c>
      <c r="F515" s="33"/>
      <c r="G515" t="s">
        <v>774</v>
      </c>
      <c r="H515" t="s">
        <v>149</v>
      </c>
      <c r="J515" t="s">
        <v>9</v>
      </c>
      <c r="K515" t="s">
        <v>9</v>
      </c>
      <c r="L515" s="17"/>
      <c r="M515" s="28"/>
    </row>
    <row r="516" spans="1:13" s="25" customFormat="1" x14ac:dyDescent="0.2">
      <c r="A516">
        <f t="shared" si="7"/>
        <v>510</v>
      </c>
      <c r="B516">
        <v>2013</v>
      </c>
      <c r="C516" t="s">
        <v>225</v>
      </c>
      <c r="D516" t="s">
        <v>664</v>
      </c>
      <c r="E516" s="65">
        <v>100</v>
      </c>
      <c r="F516" s="33">
        <v>0.02</v>
      </c>
      <c r="G516" t="s">
        <v>775</v>
      </c>
      <c r="H516" t="s">
        <v>146</v>
      </c>
      <c r="I516" t="s">
        <v>275</v>
      </c>
      <c r="J516" t="s">
        <v>101</v>
      </c>
      <c r="K516" t="s">
        <v>201</v>
      </c>
      <c r="L516" s="17"/>
      <c r="M516" s="28"/>
    </row>
    <row r="517" spans="1:13" s="25" customFormat="1" x14ac:dyDescent="0.2">
      <c r="A517">
        <f t="shared" si="7"/>
        <v>511</v>
      </c>
      <c r="B517">
        <v>2013</v>
      </c>
      <c r="C517" t="s">
        <v>225</v>
      </c>
      <c r="D517" t="s">
        <v>776</v>
      </c>
      <c r="E517" s="65">
        <v>110</v>
      </c>
      <c r="F517" s="33">
        <v>0.2</v>
      </c>
      <c r="G517" t="s">
        <v>777</v>
      </c>
      <c r="H517" t="s">
        <v>152</v>
      </c>
      <c r="I517" t="s">
        <v>257</v>
      </c>
      <c r="J517" t="s">
        <v>136</v>
      </c>
      <c r="K517" t="s">
        <v>183</v>
      </c>
      <c r="L517" s="17"/>
      <c r="M517" s="28"/>
    </row>
    <row r="518" spans="1:13" s="25" customFormat="1" x14ac:dyDescent="0.2">
      <c r="A518">
        <f t="shared" si="7"/>
        <v>512</v>
      </c>
      <c r="B518">
        <v>2013</v>
      </c>
      <c r="C518" t="s">
        <v>225</v>
      </c>
      <c r="D518" t="s">
        <v>778</v>
      </c>
      <c r="E518" s="65">
        <v>120</v>
      </c>
      <c r="F518" s="33">
        <v>1</v>
      </c>
      <c r="H518" t="s">
        <v>150</v>
      </c>
      <c r="I518" t="s">
        <v>292</v>
      </c>
      <c r="J518" t="s">
        <v>136</v>
      </c>
      <c r="K518" t="s">
        <v>183</v>
      </c>
      <c r="L518" s="17"/>
      <c r="M518" s="28" t="s">
        <v>178</v>
      </c>
    </row>
    <row r="519" spans="1:13" s="25" customFormat="1" x14ac:dyDescent="0.2">
      <c r="A519">
        <f t="shared" ref="A519:A582" si="8">ROW()-6</f>
        <v>513</v>
      </c>
      <c r="B519">
        <v>2013</v>
      </c>
      <c r="C519" t="s">
        <v>225</v>
      </c>
      <c r="D519" t="s">
        <v>554</v>
      </c>
      <c r="E519" s="65">
        <v>100</v>
      </c>
      <c r="F519" s="33"/>
      <c r="G519" t="s">
        <v>779</v>
      </c>
      <c r="H519" t="s">
        <v>149</v>
      </c>
      <c r="I519" t="s">
        <v>182</v>
      </c>
      <c r="J519" t="s">
        <v>53</v>
      </c>
      <c r="K519" t="s">
        <v>183</v>
      </c>
      <c r="L519" s="17"/>
      <c r="M519" s="28"/>
    </row>
    <row r="520" spans="1:13" s="25" customFormat="1" x14ac:dyDescent="0.2">
      <c r="A520">
        <f t="shared" si="8"/>
        <v>514</v>
      </c>
      <c r="B520">
        <v>2013</v>
      </c>
      <c r="C520" t="s">
        <v>188</v>
      </c>
      <c r="D520" t="s">
        <v>661</v>
      </c>
      <c r="E520" s="65">
        <v>500</v>
      </c>
      <c r="F520" s="33">
        <v>0.92</v>
      </c>
      <c r="G520" t="s">
        <v>780</v>
      </c>
      <c r="H520" t="s">
        <v>154</v>
      </c>
      <c r="I520" t="s">
        <v>271</v>
      </c>
      <c r="J520" t="s">
        <v>20</v>
      </c>
      <c r="K520" t="s">
        <v>195</v>
      </c>
      <c r="L520" s="17"/>
      <c r="M520" s="28"/>
    </row>
    <row r="521" spans="1:13" s="25" customFormat="1" x14ac:dyDescent="0.2">
      <c r="A521">
        <f t="shared" si="8"/>
        <v>515</v>
      </c>
      <c r="B521">
        <v>2013</v>
      </c>
      <c r="C521" t="s">
        <v>188</v>
      </c>
      <c r="D521" t="s">
        <v>661</v>
      </c>
      <c r="E521" s="65">
        <v>1090</v>
      </c>
      <c r="F521" s="33"/>
      <c r="H521" t="s">
        <v>153</v>
      </c>
      <c r="J521" t="s">
        <v>20</v>
      </c>
      <c r="K521" t="s">
        <v>195</v>
      </c>
      <c r="L521" s="17"/>
      <c r="M521" s="28" t="s">
        <v>178</v>
      </c>
    </row>
    <row r="522" spans="1:13" s="25" customFormat="1" x14ac:dyDescent="0.2">
      <c r="A522">
        <f t="shared" si="8"/>
        <v>516</v>
      </c>
      <c r="B522">
        <v>2013</v>
      </c>
      <c r="C522" t="s">
        <v>188</v>
      </c>
      <c r="D522" t="s">
        <v>321</v>
      </c>
      <c r="E522" s="65">
        <v>110</v>
      </c>
      <c r="F522" s="33">
        <v>1</v>
      </c>
      <c r="G522" t="s">
        <v>781</v>
      </c>
      <c r="H522" t="s">
        <v>147</v>
      </c>
      <c r="J522" t="s">
        <v>131</v>
      </c>
      <c r="K522" t="s">
        <v>131</v>
      </c>
      <c r="L522" s="17"/>
      <c r="M522" s="28"/>
    </row>
    <row r="523" spans="1:13" s="25" customFormat="1" x14ac:dyDescent="0.2">
      <c r="A523">
        <f t="shared" si="8"/>
        <v>517</v>
      </c>
      <c r="B523">
        <v>2013</v>
      </c>
      <c r="C523" t="s">
        <v>188</v>
      </c>
      <c r="D523" t="s">
        <v>189</v>
      </c>
      <c r="E523" s="65">
        <v>1520</v>
      </c>
      <c r="F523" s="33">
        <v>0.1</v>
      </c>
      <c r="G523" t="s">
        <v>782</v>
      </c>
      <c r="H523" t="s">
        <v>144</v>
      </c>
      <c r="I523" t="s">
        <v>187</v>
      </c>
      <c r="J523" t="s">
        <v>6</v>
      </c>
      <c r="K523" t="s">
        <v>219</v>
      </c>
      <c r="L523" s="17"/>
      <c r="M523" s="28"/>
    </row>
    <row r="524" spans="1:13" s="25" customFormat="1" x14ac:dyDescent="0.2">
      <c r="A524">
        <f t="shared" si="8"/>
        <v>518</v>
      </c>
      <c r="B524">
        <v>2013</v>
      </c>
      <c r="C524" t="s">
        <v>188</v>
      </c>
      <c r="D524" t="s">
        <v>783</v>
      </c>
      <c r="E524" s="65">
        <v>290</v>
      </c>
      <c r="F524" s="33"/>
      <c r="G524" t="s">
        <v>784</v>
      </c>
      <c r="H524" t="s">
        <v>147</v>
      </c>
      <c r="J524" t="s">
        <v>131</v>
      </c>
      <c r="K524" t="s">
        <v>131</v>
      </c>
      <c r="L524" s="17"/>
      <c r="M524" s="28"/>
    </row>
    <row r="525" spans="1:13" s="25" customFormat="1" x14ac:dyDescent="0.2">
      <c r="A525">
        <f t="shared" si="8"/>
        <v>519</v>
      </c>
      <c r="B525">
        <v>2013</v>
      </c>
      <c r="C525" t="s">
        <v>188</v>
      </c>
      <c r="D525" t="s">
        <v>785</v>
      </c>
      <c r="E525" s="65">
        <v>380</v>
      </c>
      <c r="F525" s="33">
        <v>1</v>
      </c>
      <c r="H525" t="s">
        <v>144</v>
      </c>
      <c r="I525" t="s">
        <v>232</v>
      </c>
      <c r="J525" t="s">
        <v>72</v>
      </c>
      <c r="K525" t="s">
        <v>183</v>
      </c>
      <c r="L525" s="17"/>
      <c r="M525" s="28" t="s">
        <v>178</v>
      </c>
    </row>
    <row r="526" spans="1:13" s="25" customFormat="1" x14ac:dyDescent="0.2">
      <c r="A526">
        <f t="shared" si="8"/>
        <v>520</v>
      </c>
      <c r="B526">
        <v>2013</v>
      </c>
      <c r="C526" t="s">
        <v>188</v>
      </c>
      <c r="D526" t="s">
        <v>421</v>
      </c>
      <c r="E526" s="65">
        <v>260</v>
      </c>
      <c r="F526" s="33">
        <v>1</v>
      </c>
      <c r="H526" t="s">
        <v>151</v>
      </c>
      <c r="I526" t="s">
        <v>224</v>
      </c>
      <c r="J526" t="s">
        <v>115</v>
      </c>
      <c r="K526" t="s">
        <v>201</v>
      </c>
      <c r="L526" s="17"/>
      <c r="M526" s="28" t="s">
        <v>178</v>
      </c>
    </row>
    <row r="527" spans="1:13" s="25" customFormat="1" x14ac:dyDescent="0.2">
      <c r="A527">
        <f t="shared" si="8"/>
        <v>521</v>
      </c>
      <c r="B527">
        <v>2013</v>
      </c>
      <c r="C527" t="s">
        <v>188</v>
      </c>
      <c r="D527" t="s">
        <v>601</v>
      </c>
      <c r="E527" s="65">
        <v>680</v>
      </c>
      <c r="F527" s="33">
        <v>0.2</v>
      </c>
      <c r="G527" t="s">
        <v>476</v>
      </c>
      <c r="H527" t="s">
        <v>151</v>
      </c>
      <c r="I527" t="s">
        <v>224</v>
      </c>
      <c r="J527" t="s">
        <v>131</v>
      </c>
      <c r="K527" t="s">
        <v>131</v>
      </c>
      <c r="L527" s="17"/>
      <c r="M527" s="28"/>
    </row>
    <row r="528" spans="1:13" s="25" customFormat="1" x14ac:dyDescent="0.2">
      <c r="A528">
        <f t="shared" si="8"/>
        <v>522</v>
      </c>
      <c r="B528">
        <v>2013</v>
      </c>
      <c r="C528" t="s">
        <v>188</v>
      </c>
      <c r="D528" t="s">
        <v>786</v>
      </c>
      <c r="E528" s="65">
        <v>750</v>
      </c>
      <c r="F528" s="33"/>
      <c r="G528" t="s">
        <v>787</v>
      </c>
      <c r="H528" t="s">
        <v>151</v>
      </c>
      <c r="I528" t="s">
        <v>224</v>
      </c>
      <c r="J528" t="s">
        <v>131</v>
      </c>
      <c r="K528" t="s">
        <v>131</v>
      </c>
      <c r="L528" s="17"/>
      <c r="M528" s="28" t="s">
        <v>178</v>
      </c>
    </row>
    <row r="529" spans="1:13" s="25" customFormat="1" x14ac:dyDescent="0.2">
      <c r="A529">
        <f t="shared" si="8"/>
        <v>523</v>
      </c>
      <c r="B529">
        <v>2013</v>
      </c>
      <c r="C529" t="s">
        <v>188</v>
      </c>
      <c r="D529" t="s">
        <v>649</v>
      </c>
      <c r="E529" s="65">
        <v>200</v>
      </c>
      <c r="F529" s="33">
        <v>1</v>
      </c>
      <c r="H529" t="s">
        <v>151</v>
      </c>
      <c r="I529" t="s">
        <v>279</v>
      </c>
      <c r="J529" t="s">
        <v>19</v>
      </c>
      <c r="K529" t="s">
        <v>205</v>
      </c>
      <c r="L529" s="17"/>
      <c r="M529" s="28" t="s">
        <v>178</v>
      </c>
    </row>
    <row r="530" spans="1:13" s="25" customFormat="1" x14ac:dyDescent="0.2">
      <c r="A530">
        <f t="shared" si="8"/>
        <v>524</v>
      </c>
      <c r="B530">
        <v>2013</v>
      </c>
      <c r="C530" t="s">
        <v>188</v>
      </c>
      <c r="D530" t="s">
        <v>397</v>
      </c>
      <c r="E530" s="65">
        <v>450</v>
      </c>
      <c r="F530" s="33">
        <v>0.45</v>
      </c>
      <c r="G530" t="s">
        <v>788</v>
      </c>
      <c r="H530" t="s">
        <v>153</v>
      </c>
      <c r="J530" t="s">
        <v>130</v>
      </c>
      <c r="K530" t="s">
        <v>214</v>
      </c>
      <c r="L530" s="17"/>
      <c r="M530" s="28"/>
    </row>
    <row r="531" spans="1:13" s="25" customFormat="1" x14ac:dyDescent="0.2">
      <c r="A531">
        <f t="shared" si="8"/>
        <v>525</v>
      </c>
      <c r="B531">
        <v>2013</v>
      </c>
      <c r="C531" t="s">
        <v>188</v>
      </c>
      <c r="D531" t="s">
        <v>596</v>
      </c>
      <c r="E531" s="65">
        <v>230</v>
      </c>
      <c r="F531" s="33"/>
      <c r="H531" t="s">
        <v>144</v>
      </c>
      <c r="I531" t="s">
        <v>232</v>
      </c>
      <c r="J531" t="s">
        <v>9</v>
      </c>
      <c r="K531" t="s">
        <v>9</v>
      </c>
      <c r="L531" s="17"/>
      <c r="M531" s="28" t="s">
        <v>178</v>
      </c>
    </row>
    <row r="532" spans="1:13" s="25" customFormat="1" x14ac:dyDescent="0.2">
      <c r="A532">
        <f t="shared" si="8"/>
        <v>526</v>
      </c>
      <c r="B532">
        <v>2013</v>
      </c>
      <c r="C532" t="s">
        <v>191</v>
      </c>
      <c r="D532" t="s">
        <v>454</v>
      </c>
      <c r="E532" s="65">
        <v>350</v>
      </c>
      <c r="F532" s="33">
        <v>0.06</v>
      </c>
      <c r="G532" t="s">
        <v>789</v>
      </c>
      <c r="H532" t="s">
        <v>145</v>
      </c>
      <c r="J532" t="s">
        <v>131</v>
      </c>
      <c r="K532" t="s">
        <v>131</v>
      </c>
      <c r="L532" s="17"/>
      <c r="M532" s="28"/>
    </row>
    <row r="533" spans="1:13" s="25" customFormat="1" x14ac:dyDescent="0.2">
      <c r="A533">
        <f t="shared" si="8"/>
        <v>527</v>
      </c>
      <c r="B533">
        <v>2013</v>
      </c>
      <c r="C533" t="s">
        <v>191</v>
      </c>
      <c r="D533" t="s">
        <v>286</v>
      </c>
      <c r="E533" s="65">
        <v>390</v>
      </c>
      <c r="F533" s="33"/>
      <c r="G533" t="s">
        <v>790</v>
      </c>
      <c r="H533" t="s">
        <v>151</v>
      </c>
      <c r="I533" t="s">
        <v>224</v>
      </c>
      <c r="J533" t="s">
        <v>20</v>
      </c>
      <c r="K533" t="s">
        <v>195</v>
      </c>
      <c r="L533" s="17"/>
      <c r="M533" s="28"/>
    </row>
    <row r="534" spans="1:13" s="25" customFormat="1" x14ac:dyDescent="0.2">
      <c r="A534">
        <f t="shared" si="8"/>
        <v>528</v>
      </c>
      <c r="B534">
        <v>2013</v>
      </c>
      <c r="C534" t="s">
        <v>191</v>
      </c>
      <c r="D534" t="s">
        <v>705</v>
      </c>
      <c r="E534" s="65">
        <v>240</v>
      </c>
      <c r="F534" s="33"/>
      <c r="G534" t="s">
        <v>791</v>
      </c>
      <c r="H534" t="s">
        <v>153</v>
      </c>
      <c r="J534" t="s">
        <v>114</v>
      </c>
      <c r="K534" t="s">
        <v>195</v>
      </c>
      <c r="L534" s="17"/>
      <c r="M534" s="28"/>
    </row>
    <row r="535" spans="1:13" s="25" customFormat="1" x14ac:dyDescent="0.2">
      <c r="A535">
        <f t="shared" si="8"/>
        <v>529</v>
      </c>
      <c r="B535">
        <v>2013</v>
      </c>
      <c r="C535" t="s">
        <v>191</v>
      </c>
      <c r="D535" t="s">
        <v>792</v>
      </c>
      <c r="E535" s="65">
        <v>180</v>
      </c>
      <c r="F535" s="33">
        <v>1</v>
      </c>
      <c r="H535" t="s">
        <v>149</v>
      </c>
      <c r="I535" t="s">
        <v>236</v>
      </c>
      <c r="J535" t="s">
        <v>132</v>
      </c>
      <c r="K535" t="s">
        <v>219</v>
      </c>
      <c r="L535" s="17"/>
      <c r="M535" s="28"/>
    </row>
    <row r="536" spans="1:13" s="25" customFormat="1" x14ac:dyDescent="0.2">
      <c r="A536">
        <f t="shared" si="8"/>
        <v>530</v>
      </c>
      <c r="B536">
        <v>2013</v>
      </c>
      <c r="C536" t="s">
        <v>191</v>
      </c>
      <c r="D536" t="s">
        <v>199</v>
      </c>
      <c r="E536" s="65">
        <v>5300</v>
      </c>
      <c r="F536" s="33">
        <v>0.08</v>
      </c>
      <c r="G536" t="s">
        <v>793</v>
      </c>
      <c r="H536" t="s">
        <v>144</v>
      </c>
      <c r="I536" t="s">
        <v>187</v>
      </c>
      <c r="J536" t="s">
        <v>63</v>
      </c>
      <c r="K536" t="s">
        <v>201</v>
      </c>
      <c r="L536" s="17"/>
      <c r="M536" s="28"/>
    </row>
    <row r="537" spans="1:13" s="25" customFormat="1" x14ac:dyDescent="0.2">
      <c r="A537">
        <f t="shared" si="8"/>
        <v>531</v>
      </c>
      <c r="B537">
        <v>2013</v>
      </c>
      <c r="C537" t="s">
        <v>191</v>
      </c>
      <c r="D537" t="s">
        <v>794</v>
      </c>
      <c r="E537" s="65">
        <v>140</v>
      </c>
      <c r="F537" s="33">
        <v>1</v>
      </c>
      <c r="G537" t="s">
        <v>795</v>
      </c>
      <c r="H537" t="s">
        <v>144</v>
      </c>
      <c r="I537" t="s">
        <v>187</v>
      </c>
      <c r="J537" t="s">
        <v>131</v>
      </c>
      <c r="K537" t="s">
        <v>131</v>
      </c>
      <c r="L537" s="17"/>
      <c r="M537" s="28"/>
    </row>
    <row r="538" spans="1:13" s="25" customFormat="1" x14ac:dyDescent="0.2">
      <c r="A538">
        <f t="shared" si="8"/>
        <v>532</v>
      </c>
      <c r="B538">
        <v>2013</v>
      </c>
      <c r="C538" t="s">
        <v>191</v>
      </c>
      <c r="D538" t="s">
        <v>705</v>
      </c>
      <c r="E538" s="65">
        <v>1260</v>
      </c>
      <c r="F538" s="33"/>
      <c r="G538" t="s">
        <v>796</v>
      </c>
      <c r="H538" t="s">
        <v>151</v>
      </c>
      <c r="I538" t="s">
        <v>224</v>
      </c>
      <c r="J538" t="s">
        <v>131</v>
      </c>
      <c r="K538" t="s">
        <v>131</v>
      </c>
      <c r="L538" s="17"/>
      <c r="M538" s="28"/>
    </row>
    <row r="539" spans="1:13" s="25" customFormat="1" x14ac:dyDescent="0.2">
      <c r="A539">
        <f t="shared" si="8"/>
        <v>533</v>
      </c>
      <c r="B539">
        <v>2013</v>
      </c>
      <c r="C539" t="s">
        <v>191</v>
      </c>
      <c r="D539" t="s">
        <v>797</v>
      </c>
      <c r="E539" s="65">
        <v>820</v>
      </c>
      <c r="F539" s="33">
        <v>0.8</v>
      </c>
      <c r="G539" t="s">
        <v>315</v>
      </c>
      <c r="H539" t="s">
        <v>149</v>
      </c>
      <c r="I539" t="s">
        <v>236</v>
      </c>
      <c r="J539" t="s">
        <v>9</v>
      </c>
      <c r="K539" t="s">
        <v>9</v>
      </c>
      <c r="L539" s="17"/>
      <c r="M539" s="28"/>
    </row>
    <row r="540" spans="1:13" s="25" customFormat="1" ht="13.75" customHeight="1" x14ac:dyDescent="0.2">
      <c r="A540">
        <f t="shared" si="8"/>
        <v>534</v>
      </c>
      <c r="B540">
        <v>2013</v>
      </c>
      <c r="C540" t="s">
        <v>191</v>
      </c>
      <c r="D540" t="s">
        <v>189</v>
      </c>
      <c r="E540" s="65">
        <v>110</v>
      </c>
      <c r="F540" s="33"/>
      <c r="H540" t="s">
        <v>143</v>
      </c>
      <c r="J540" t="s">
        <v>108</v>
      </c>
      <c r="K540" t="s">
        <v>183</v>
      </c>
      <c r="L540" s="17"/>
      <c r="M540" s="28" t="s">
        <v>178</v>
      </c>
    </row>
    <row r="541" spans="1:13" s="25" customFormat="1" x14ac:dyDescent="0.2">
      <c r="A541">
        <f t="shared" si="8"/>
        <v>535</v>
      </c>
      <c r="B541">
        <v>2013</v>
      </c>
      <c r="C541" t="s">
        <v>191</v>
      </c>
      <c r="D541" t="s">
        <v>798</v>
      </c>
      <c r="E541" s="65">
        <v>320</v>
      </c>
      <c r="F541" s="33">
        <v>0.5</v>
      </c>
      <c r="G541" t="s">
        <v>799</v>
      </c>
      <c r="H541" t="s">
        <v>149</v>
      </c>
      <c r="I541" t="s">
        <v>182</v>
      </c>
      <c r="J541" t="s">
        <v>53</v>
      </c>
      <c r="K541" t="s">
        <v>183</v>
      </c>
      <c r="L541" s="17"/>
      <c r="M541" s="28" t="s">
        <v>178</v>
      </c>
    </row>
    <row r="542" spans="1:13" s="25" customFormat="1" x14ac:dyDescent="0.2">
      <c r="A542">
        <f t="shared" si="8"/>
        <v>536</v>
      </c>
      <c r="B542">
        <v>2013</v>
      </c>
      <c r="C542" t="s">
        <v>191</v>
      </c>
      <c r="D542" t="s">
        <v>180</v>
      </c>
      <c r="E542" s="65">
        <v>240</v>
      </c>
      <c r="F542" s="33"/>
      <c r="H542" t="s">
        <v>151</v>
      </c>
      <c r="I542" t="s">
        <v>224</v>
      </c>
      <c r="J542" t="s">
        <v>108</v>
      </c>
      <c r="K542" t="s">
        <v>183</v>
      </c>
      <c r="L542" s="17"/>
      <c r="M542" s="28" t="s">
        <v>178</v>
      </c>
    </row>
    <row r="543" spans="1:13" s="25" customFormat="1" x14ac:dyDescent="0.2">
      <c r="A543">
        <f t="shared" si="8"/>
        <v>537</v>
      </c>
      <c r="B543">
        <v>2013</v>
      </c>
      <c r="C543" t="s">
        <v>198</v>
      </c>
      <c r="D543" t="s">
        <v>800</v>
      </c>
      <c r="E543" s="65">
        <v>160</v>
      </c>
      <c r="F543" s="33">
        <v>0.55000000000000004</v>
      </c>
      <c r="G543" t="s">
        <v>801</v>
      </c>
      <c r="H543" t="s">
        <v>150</v>
      </c>
      <c r="I543" t="s">
        <v>292</v>
      </c>
      <c r="J543" t="s">
        <v>61</v>
      </c>
      <c r="K543" t="s">
        <v>183</v>
      </c>
      <c r="L543" s="17"/>
      <c r="M543" s="28"/>
    </row>
    <row r="544" spans="1:13" s="25" customFormat="1" x14ac:dyDescent="0.2">
      <c r="A544">
        <f t="shared" si="8"/>
        <v>538</v>
      </c>
      <c r="B544">
        <v>2013</v>
      </c>
      <c r="C544" t="s">
        <v>198</v>
      </c>
      <c r="D544" t="s">
        <v>189</v>
      </c>
      <c r="E544" s="65">
        <v>3100</v>
      </c>
      <c r="F544" s="33">
        <v>0.33</v>
      </c>
      <c r="G544" t="s">
        <v>802</v>
      </c>
      <c r="H544" t="s">
        <v>144</v>
      </c>
      <c r="J544" t="s">
        <v>38</v>
      </c>
      <c r="K544" t="s">
        <v>214</v>
      </c>
      <c r="L544" s="17"/>
      <c r="M544" s="28"/>
    </row>
    <row r="545" spans="1:13" s="25" customFormat="1" x14ac:dyDescent="0.2">
      <c r="A545">
        <f t="shared" si="8"/>
        <v>539</v>
      </c>
      <c r="B545">
        <v>2013</v>
      </c>
      <c r="C545" t="s">
        <v>198</v>
      </c>
      <c r="D545" t="s">
        <v>803</v>
      </c>
      <c r="E545" s="65">
        <v>140</v>
      </c>
      <c r="F545" s="33">
        <v>1</v>
      </c>
      <c r="G545" t="s">
        <v>804</v>
      </c>
      <c r="H545" t="s">
        <v>149</v>
      </c>
      <c r="J545" t="s">
        <v>9</v>
      </c>
      <c r="K545" t="s">
        <v>9</v>
      </c>
      <c r="L545" s="17"/>
      <c r="M545" s="28"/>
    </row>
    <row r="546" spans="1:13" s="25" customFormat="1" x14ac:dyDescent="0.2">
      <c r="A546">
        <f t="shared" si="8"/>
        <v>540</v>
      </c>
      <c r="B546">
        <v>2013</v>
      </c>
      <c r="C546" t="s">
        <v>198</v>
      </c>
      <c r="D546" t="s">
        <v>760</v>
      </c>
      <c r="E546" s="65">
        <v>910</v>
      </c>
      <c r="F546" s="33"/>
      <c r="G546" t="s">
        <v>805</v>
      </c>
      <c r="H546" t="s">
        <v>151</v>
      </c>
      <c r="I546" t="s">
        <v>224</v>
      </c>
      <c r="J546" t="s">
        <v>108</v>
      </c>
      <c r="K546" t="s">
        <v>183</v>
      </c>
      <c r="L546" s="17"/>
      <c r="M546" s="28"/>
    </row>
    <row r="547" spans="1:13" s="25" customFormat="1" x14ac:dyDescent="0.2">
      <c r="A547">
        <f t="shared" si="8"/>
        <v>541</v>
      </c>
      <c r="B547">
        <v>2013</v>
      </c>
      <c r="C547" t="s">
        <v>198</v>
      </c>
      <c r="D547" t="s">
        <v>806</v>
      </c>
      <c r="E547" s="65">
        <v>130</v>
      </c>
      <c r="F547" s="33">
        <v>1</v>
      </c>
      <c r="H547" t="s">
        <v>154</v>
      </c>
      <c r="I547" t="s">
        <v>529</v>
      </c>
      <c r="J547" t="s">
        <v>72</v>
      </c>
      <c r="K547" t="s">
        <v>183</v>
      </c>
      <c r="L547" s="17"/>
      <c r="M547" s="28" t="s">
        <v>178</v>
      </c>
    </row>
    <row r="548" spans="1:13" s="25" customFormat="1" x14ac:dyDescent="0.2">
      <c r="A548">
        <f t="shared" si="8"/>
        <v>542</v>
      </c>
      <c r="B548">
        <v>2013</v>
      </c>
      <c r="C548" t="s">
        <v>198</v>
      </c>
      <c r="D548" t="s">
        <v>807</v>
      </c>
      <c r="E548" s="65">
        <v>2020</v>
      </c>
      <c r="F548" s="33" t="s">
        <v>808</v>
      </c>
      <c r="G548" t="s">
        <v>809</v>
      </c>
      <c r="H548" t="s">
        <v>144</v>
      </c>
      <c r="I548" t="s">
        <v>187</v>
      </c>
      <c r="J548" t="s">
        <v>29</v>
      </c>
      <c r="K548" t="s">
        <v>219</v>
      </c>
      <c r="L548" s="17"/>
      <c r="M548" s="28" t="s">
        <v>178</v>
      </c>
    </row>
    <row r="549" spans="1:13" s="25" customFormat="1" x14ac:dyDescent="0.2">
      <c r="A549">
        <f t="shared" si="8"/>
        <v>543</v>
      </c>
      <c r="B549">
        <v>2013</v>
      </c>
      <c r="C549" t="s">
        <v>202</v>
      </c>
      <c r="D549" t="s">
        <v>810</v>
      </c>
      <c r="E549" s="65">
        <v>300</v>
      </c>
      <c r="F549" s="33">
        <v>1</v>
      </c>
      <c r="G549" t="s">
        <v>811</v>
      </c>
      <c r="H549" t="s">
        <v>144</v>
      </c>
      <c r="J549" t="s">
        <v>25</v>
      </c>
      <c r="K549" t="s">
        <v>177</v>
      </c>
      <c r="L549" s="17"/>
      <c r="M549" s="28"/>
    </row>
    <row r="550" spans="1:13" s="25" customFormat="1" x14ac:dyDescent="0.2">
      <c r="A550">
        <f t="shared" si="8"/>
        <v>544</v>
      </c>
      <c r="B550">
        <v>2013</v>
      </c>
      <c r="C550" t="s">
        <v>202</v>
      </c>
      <c r="D550" t="s">
        <v>280</v>
      </c>
      <c r="E550" s="65">
        <v>230</v>
      </c>
      <c r="F550" s="33">
        <v>0.12</v>
      </c>
      <c r="G550" t="s">
        <v>281</v>
      </c>
      <c r="H550" t="s">
        <v>149</v>
      </c>
      <c r="I550" t="s">
        <v>182</v>
      </c>
      <c r="J550" t="s">
        <v>9</v>
      </c>
      <c r="K550" t="s">
        <v>9</v>
      </c>
      <c r="L550" s="17"/>
      <c r="M550" s="28"/>
    </row>
    <row r="551" spans="1:13" s="25" customFormat="1" x14ac:dyDescent="0.2">
      <c r="A551">
        <f t="shared" si="8"/>
        <v>545</v>
      </c>
      <c r="B551">
        <v>2013</v>
      </c>
      <c r="C551" t="s">
        <v>202</v>
      </c>
      <c r="D551" t="s">
        <v>812</v>
      </c>
      <c r="E551" s="65">
        <v>110</v>
      </c>
      <c r="F551" s="33">
        <v>0.47</v>
      </c>
      <c r="G551" t="s">
        <v>813</v>
      </c>
      <c r="H551" t="s">
        <v>149</v>
      </c>
      <c r="J551" t="s">
        <v>9</v>
      </c>
      <c r="K551" t="s">
        <v>9</v>
      </c>
      <c r="L551" s="17"/>
      <c r="M551" s="28"/>
    </row>
    <row r="552" spans="1:13" s="25" customFormat="1" x14ac:dyDescent="0.2">
      <c r="A552">
        <f t="shared" si="8"/>
        <v>546</v>
      </c>
      <c r="B552">
        <v>2013</v>
      </c>
      <c r="C552" t="s">
        <v>202</v>
      </c>
      <c r="D552" t="s">
        <v>263</v>
      </c>
      <c r="E552" s="65">
        <v>2040</v>
      </c>
      <c r="F552" s="33">
        <v>0.13</v>
      </c>
      <c r="G552" t="s">
        <v>814</v>
      </c>
      <c r="H552" t="s">
        <v>142</v>
      </c>
      <c r="J552" t="s">
        <v>101</v>
      </c>
      <c r="K552" t="s">
        <v>201</v>
      </c>
      <c r="L552" s="17"/>
      <c r="M552" s="28"/>
    </row>
    <row r="553" spans="1:13" s="25" customFormat="1" x14ac:dyDescent="0.2">
      <c r="A553">
        <f t="shared" si="8"/>
        <v>547</v>
      </c>
      <c r="B553">
        <v>2013</v>
      </c>
      <c r="C553" t="s">
        <v>202</v>
      </c>
      <c r="D553" t="s">
        <v>189</v>
      </c>
      <c r="E553" s="65">
        <v>1400</v>
      </c>
      <c r="F553" s="33"/>
      <c r="G553" t="s">
        <v>453</v>
      </c>
      <c r="H553" t="s">
        <v>144</v>
      </c>
      <c r="I553" t="s">
        <v>187</v>
      </c>
      <c r="J553" t="s">
        <v>135</v>
      </c>
      <c r="K553" t="s">
        <v>205</v>
      </c>
      <c r="L553" s="17"/>
      <c r="M553" s="28" t="s">
        <v>178</v>
      </c>
    </row>
    <row r="554" spans="1:13" s="25" customFormat="1" x14ac:dyDescent="0.2">
      <c r="A554">
        <f t="shared" si="8"/>
        <v>548</v>
      </c>
      <c r="B554">
        <v>2013</v>
      </c>
      <c r="C554" t="s">
        <v>202</v>
      </c>
      <c r="D554" t="s">
        <v>815</v>
      </c>
      <c r="E554" s="65">
        <v>140</v>
      </c>
      <c r="F554" s="33">
        <v>0.59</v>
      </c>
      <c r="G554" t="s">
        <v>816</v>
      </c>
      <c r="H554" t="s">
        <v>151</v>
      </c>
      <c r="I554" t="s">
        <v>279</v>
      </c>
      <c r="J554" t="s">
        <v>45</v>
      </c>
      <c r="K554" t="s">
        <v>195</v>
      </c>
      <c r="L554" s="17"/>
      <c r="M554" s="28"/>
    </row>
    <row r="555" spans="1:13" s="25" customFormat="1" x14ac:dyDescent="0.2">
      <c r="A555">
        <f t="shared" si="8"/>
        <v>549</v>
      </c>
      <c r="B555">
        <v>2013</v>
      </c>
      <c r="C555" t="s">
        <v>202</v>
      </c>
      <c r="D555" t="s">
        <v>562</v>
      </c>
      <c r="E555" s="65">
        <v>600</v>
      </c>
      <c r="F555" s="33">
        <v>0.7</v>
      </c>
      <c r="H555" t="s">
        <v>151</v>
      </c>
      <c r="I555" t="s">
        <v>224</v>
      </c>
      <c r="J555" t="s">
        <v>6</v>
      </c>
      <c r="K555" t="s">
        <v>219</v>
      </c>
      <c r="L555" s="17"/>
      <c r="M555" s="28" t="s">
        <v>178</v>
      </c>
    </row>
    <row r="556" spans="1:13" s="25" customFormat="1" x14ac:dyDescent="0.2">
      <c r="A556">
        <f t="shared" si="8"/>
        <v>550</v>
      </c>
      <c r="B556">
        <v>2013</v>
      </c>
      <c r="C556" t="s">
        <v>207</v>
      </c>
      <c r="D556" t="s">
        <v>554</v>
      </c>
      <c r="E556" s="65">
        <v>100</v>
      </c>
      <c r="F556" s="33"/>
      <c r="H556" t="s">
        <v>151</v>
      </c>
      <c r="I556" t="s">
        <v>224</v>
      </c>
      <c r="J556" t="s">
        <v>20</v>
      </c>
      <c r="K556" t="s">
        <v>195</v>
      </c>
      <c r="L556" s="17">
        <v>0</v>
      </c>
      <c r="M556" s="28"/>
    </row>
    <row r="557" spans="1:13" s="25" customFormat="1" x14ac:dyDescent="0.2">
      <c r="A557">
        <f t="shared" si="8"/>
        <v>551</v>
      </c>
      <c r="B557">
        <v>2013</v>
      </c>
      <c r="C557" t="s">
        <v>207</v>
      </c>
      <c r="D557" t="s">
        <v>199</v>
      </c>
      <c r="E557" s="65">
        <v>620</v>
      </c>
      <c r="F557" s="33">
        <v>0.49</v>
      </c>
      <c r="G557" t="s">
        <v>228</v>
      </c>
      <c r="H557" t="s">
        <v>144</v>
      </c>
      <c r="I557" t="s">
        <v>187</v>
      </c>
      <c r="J557" t="s">
        <v>101</v>
      </c>
      <c r="K557" t="s">
        <v>201</v>
      </c>
      <c r="L557" s="17">
        <v>1</v>
      </c>
      <c r="M557" s="28"/>
    </row>
    <row r="558" spans="1:13" s="25" customFormat="1" x14ac:dyDescent="0.2">
      <c r="A558">
        <f t="shared" si="8"/>
        <v>552</v>
      </c>
      <c r="B558">
        <v>2013</v>
      </c>
      <c r="C558" t="s">
        <v>207</v>
      </c>
      <c r="D558" t="s">
        <v>185</v>
      </c>
      <c r="E558" s="65">
        <v>120</v>
      </c>
      <c r="F558" s="33">
        <v>0.1</v>
      </c>
      <c r="G558" t="s">
        <v>817</v>
      </c>
      <c r="H558" t="s">
        <v>144</v>
      </c>
      <c r="I558" t="s">
        <v>299</v>
      </c>
      <c r="J558" t="s">
        <v>8</v>
      </c>
      <c r="K558" t="s">
        <v>205</v>
      </c>
      <c r="L558" s="17">
        <v>1</v>
      </c>
      <c r="M558" s="28"/>
    </row>
    <row r="559" spans="1:13" s="25" customFormat="1" x14ac:dyDescent="0.2">
      <c r="A559">
        <f t="shared" si="8"/>
        <v>553</v>
      </c>
      <c r="B559">
        <v>2013</v>
      </c>
      <c r="C559" t="s">
        <v>207</v>
      </c>
      <c r="D559" t="s">
        <v>530</v>
      </c>
      <c r="E559" s="65">
        <v>200</v>
      </c>
      <c r="F559" s="33">
        <v>1</v>
      </c>
      <c r="H559" t="s">
        <v>152</v>
      </c>
      <c r="I559" t="s">
        <v>257</v>
      </c>
      <c r="J559" t="s">
        <v>20</v>
      </c>
      <c r="K559" t="s">
        <v>195</v>
      </c>
      <c r="L559" s="17">
        <v>0</v>
      </c>
      <c r="M559" s="28" t="s">
        <v>178</v>
      </c>
    </row>
    <row r="560" spans="1:13" s="25" customFormat="1" x14ac:dyDescent="0.2">
      <c r="A560">
        <f t="shared" si="8"/>
        <v>554</v>
      </c>
      <c r="B560">
        <v>2013</v>
      </c>
      <c r="C560" t="s">
        <v>207</v>
      </c>
      <c r="D560" t="s">
        <v>818</v>
      </c>
      <c r="E560" s="65">
        <v>1400</v>
      </c>
      <c r="F560" s="33" t="s">
        <v>819</v>
      </c>
      <c r="G560" t="s">
        <v>820</v>
      </c>
      <c r="H560" t="s">
        <v>144</v>
      </c>
      <c r="I560" t="s">
        <v>187</v>
      </c>
      <c r="J560" t="s">
        <v>19</v>
      </c>
      <c r="K560" t="s">
        <v>205</v>
      </c>
      <c r="L560" s="17">
        <v>0</v>
      </c>
      <c r="M560" s="28" t="s">
        <v>178</v>
      </c>
    </row>
    <row r="561" spans="1:14" s="25" customFormat="1" x14ac:dyDescent="0.2">
      <c r="A561">
        <f t="shared" si="8"/>
        <v>555</v>
      </c>
      <c r="B561">
        <v>2013</v>
      </c>
      <c r="C561" t="s">
        <v>207</v>
      </c>
      <c r="D561" t="s">
        <v>554</v>
      </c>
      <c r="E561" s="65">
        <v>730</v>
      </c>
      <c r="F561" s="33">
        <v>0.7</v>
      </c>
      <c r="G561" t="s">
        <v>821</v>
      </c>
      <c r="H561" t="s">
        <v>151</v>
      </c>
      <c r="I561" t="s">
        <v>224</v>
      </c>
      <c r="J561" t="s">
        <v>131</v>
      </c>
      <c r="K561" t="s">
        <v>131</v>
      </c>
      <c r="L561" s="17">
        <v>0</v>
      </c>
      <c r="M561" s="28"/>
    </row>
    <row r="562" spans="1:14" s="44" customFormat="1" x14ac:dyDescent="0.2">
      <c r="A562">
        <f t="shared" si="8"/>
        <v>556</v>
      </c>
      <c r="B562">
        <v>2013</v>
      </c>
      <c r="C562" t="s">
        <v>207</v>
      </c>
      <c r="D562" t="s">
        <v>822</v>
      </c>
      <c r="E562" s="65">
        <v>110</v>
      </c>
      <c r="F562" s="33">
        <v>0.18</v>
      </c>
      <c r="G562" t="s">
        <v>823</v>
      </c>
      <c r="H562" t="s">
        <v>150</v>
      </c>
      <c r="I562" t="s">
        <v>556</v>
      </c>
      <c r="J562" t="s">
        <v>131</v>
      </c>
      <c r="K562" t="s">
        <v>131</v>
      </c>
      <c r="L562" s="17">
        <v>0</v>
      </c>
      <c r="M562" s="28"/>
      <c r="N562" s="41"/>
    </row>
    <row r="563" spans="1:14" s="25" customFormat="1" x14ac:dyDescent="0.2">
      <c r="A563">
        <f t="shared" si="8"/>
        <v>557</v>
      </c>
      <c r="B563">
        <v>2013</v>
      </c>
      <c r="C563" t="s">
        <v>207</v>
      </c>
      <c r="D563" t="s">
        <v>824</v>
      </c>
      <c r="E563" s="65">
        <v>100</v>
      </c>
      <c r="F563" s="33">
        <v>1</v>
      </c>
      <c r="G563" t="s">
        <v>825</v>
      </c>
      <c r="H563" t="s">
        <v>154</v>
      </c>
      <c r="I563" t="s">
        <v>250</v>
      </c>
      <c r="J563" t="s">
        <v>131</v>
      </c>
      <c r="K563" t="s">
        <v>131</v>
      </c>
      <c r="L563" s="17">
        <v>0</v>
      </c>
      <c r="M563" s="28"/>
    </row>
    <row r="564" spans="1:14" s="25" customFormat="1" x14ac:dyDescent="0.2">
      <c r="A564">
        <f t="shared" si="8"/>
        <v>558</v>
      </c>
      <c r="B564">
        <v>2013</v>
      </c>
      <c r="C564" t="s">
        <v>207</v>
      </c>
      <c r="D564" t="s">
        <v>664</v>
      </c>
      <c r="E564" s="65">
        <v>720</v>
      </c>
      <c r="F564" s="33">
        <v>0.74</v>
      </c>
      <c r="G564" t="s">
        <v>826</v>
      </c>
      <c r="H564" t="s">
        <v>146</v>
      </c>
      <c r="I564" t="s">
        <v>275</v>
      </c>
      <c r="J564" t="s">
        <v>19</v>
      </c>
      <c r="K564" t="s">
        <v>205</v>
      </c>
      <c r="L564" s="17">
        <v>0</v>
      </c>
      <c r="M564" s="28"/>
    </row>
    <row r="565" spans="1:14" s="25" customFormat="1" x14ac:dyDescent="0.2">
      <c r="A565">
        <f t="shared" si="8"/>
        <v>559</v>
      </c>
      <c r="B565">
        <v>2013</v>
      </c>
      <c r="C565" t="s">
        <v>207</v>
      </c>
      <c r="D565" t="s">
        <v>189</v>
      </c>
      <c r="E565" s="65">
        <v>150</v>
      </c>
      <c r="F565" s="33"/>
      <c r="H565" t="s">
        <v>144</v>
      </c>
      <c r="I565" t="s">
        <v>187</v>
      </c>
      <c r="J565" t="s">
        <v>104</v>
      </c>
      <c r="K565" t="s">
        <v>219</v>
      </c>
      <c r="L565" s="17">
        <v>1</v>
      </c>
      <c r="M565" s="28" t="s">
        <v>178</v>
      </c>
    </row>
    <row r="566" spans="1:14" s="25" customFormat="1" x14ac:dyDescent="0.2">
      <c r="A566">
        <f t="shared" si="8"/>
        <v>560</v>
      </c>
      <c r="B566">
        <v>2013</v>
      </c>
      <c r="C566" t="s">
        <v>207</v>
      </c>
      <c r="D566" t="s">
        <v>827</v>
      </c>
      <c r="E566" s="65">
        <v>100</v>
      </c>
      <c r="F566" s="33">
        <v>1</v>
      </c>
      <c r="H566" t="s">
        <v>149</v>
      </c>
      <c r="I566" t="s">
        <v>182</v>
      </c>
      <c r="J566" t="s">
        <v>82</v>
      </c>
      <c r="K566" t="s">
        <v>183</v>
      </c>
      <c r="L566" s="17">
        <v>1</v>
      </c>
      <c r="M566" s="28" t="s">
        <v>178</v>
      </c>
    </row>
    <row r="567" spans="1:14" s="25" customFormat="1" x14ac:dyDescent="0.2">
      <c r="A567">
        <f t="shared" si="8"/>
        <v>561</v>
      </c>
      <c r="B567">
        <v>2013</v>
      </c>
      <c r="C567" t="s">
        <v>207</v>
      </c>
      <c r="D567" t="s">
        <v>397</v>
      </c>
      <c r="E567" s="65">
        <v>270</v>
      </c>
      <c r="F567" s="33"/>
      <c r="H567" t="s">
        <v>151</v>
      </c>
      <c r="I567" t="s">
        <v>224</v>
      </c>
      <c r="J567" t="s">
        <v>20</v>
      </c>
      <c r="K567" t="s">
        <v>195</v>
      </c>
      <c r="L567" s="17">
        <v>0</v>
      </c>
      <c r="M567" s="28"/>
    </row>
    <row r="568" spans="1:14" s="25" customFormat="1" x14ac:dyDescent="0.2">
      <c r="A568">
        <f t="shared" si="8"/>
        <v>562</v>
      </c>
      <c r="B568">
        <v>2013</v>
      </c>
      <c r="C568" t="s">
        <v>207</v>
      </c>
      <c r="D568" t="s">
        <v>373</v>
      </c>
      <c r="E568" s="65">
        <v>470</v>
      </c>
      <c r="F568" s="33">
        <v>1</v>
      </c>
      <c r="G568" t="s">
        <v>828</v>
      </c>
      <c r="H568" t="s">
        <v>148</v>
      </c>
      <c r="J568" t="s">
        <v>85</v>
      </c>
      <c r="K568" t="s">
        <v>195</v>
      </c>
      <c r="L568" s="17">
        <v>0</v>
      </c>
      <c r="M568" s="28"/>
    </row>
    <row r="569" spans="1:14" s="25" customFormat="1" x14ac:dyDescent="0.2">
      <c r="A569">
        <f t="shared" si="8"/>
        <v>563</v>
      </c>
      <c r="B569">
        <v>2013</v>
      </c>
      <c r="C569" t="s">
        <v>240</v>
      </c>
      <c r="D569" t="s">
        <v>705</v>
      </c>
      <c r="E569" s="65">
        <v>980</v>
      </c>
      <c r="F569" s="33">
        <v>0.41</v>
      </c>
      <c r="G569" t="s">
        <v>829</v>
      </c>
      <c r="H569" t="s">
        <v>153</v>
      </c>
      <c r="J569" t="s">
        <v>113</v>
      </c>
      <c r="K569" t="s">
        <v>183</v>
      </c>
      <c r="L569" s="17">
        <v>0</v>
      </c>
      <c r="M569" s="28" t="s">
        <v>178</v>
      </c>
    </row>
    <row r="570" spans="1:14" s="25" customFormat="1" x14ac:dyDescent="0.2">
      <c r="A570">
        <f t="shared" si="8"/>
        <v>564</v>
      </c>
      <c r="B570">
        <v>2013</v>
      </c>
      <c r="C570" t="s">
        <v>240</v>
      </c>
      <c r="D570" t="s">
        <v>199</v>
      </c>
      <c r="E570" s="65">
        <v>2890</v>
      </c>
      <c r="F570" s="33"/>
      <c r="G570" t="s">
        <v>830</v>
      </c>
      <c r="H570" t="s">
        <v>144</v>
      </c>
      <c r="J570" t="s">
        <v>96</v>
      </c>
      <c r="K570" t="s">
        <v>205</v>
      </c>
      <c r="L570" s="17">
        <v>1</v>
      </c>
      <c r="M570" s="28"/>
    </row>
    <row r="571" spans="1:14" s="25" customFormat="1" x14ac:dyDescent="0.2">
      <c r="A571">
        <f t="shared" si="8"/>
        <v>565</v>
      </c>
      <c r="B571">
        <v>2013</v>
      </c>
      <c r="C571" t="s">
        <v>240</v>
      </c>
      <c r="D571" t="s">
        <v>831</v>
      </c>
      <c r="E571" s="65">
        <v>110</v>
      </c>
      <c r="F571" s="33"/>
      <c r="G571" t="s">
        <v>832</v>
      </c>
      <c r="H571" t="s">
        <v>151</v>
      </c>
      <c r="I571" t="s">
        <v>224</v>
      </c>
      <c r="J571" t="s">
        <v>112</v>
      </c>
      <c r="K571" t="s">
        <v>219</v>
      </c>
      <c r="L571" s="17">
        <v>1</v>
      </c>
      <c r="M571" s="28" t="s">
        <v>178</v>
      </c>
    </row>
    <row r="572" spans="1:14" s="25" customFormat="1" x14ac:dyDescent="0.2">
      <c r="A572">
        <f t="shared" si="8"/>
        <v>566</v>
      </c>
      <c r="B572">
        <v>2013</v>
      </c>
      <c r="C572" t="s">
        <v>240</v>
      </c>
      <c r="D572" t="s">
        <v>199</v>
      </c>
      <c r="E572" s="65">
        <v>1250</v>
      </c>
      <c r="F572" s="33">
        <v>0.25</v>
      </c>
      <c r="G572" t="s">
        <v>537</v>
      </c>
      <c r="H572" t="s">
        <v>144</v>
      </c>
      <c r="I572" t="s">
        <v>187</v>
      </c>
      <c r="J572" t="s">
        <v>55</v>
      </c>
      <c r="K572" t="s">
        <v>214</v>
      </c>
      <c r="L572" s="17">
        <v>1</v>
      </c>
      <c r="M572" s="28"/>
    </row>
    <row r="573" spans="1:14" s="25" customFormat="1" x14ac:dyDescent="0.2">
      <c r="A573">
        <f t="shared" si="8"/>
        <v>567</v>
      </c>
      <c r="B573">
        <v>2013</v>
      </c>
      <c r="C573" t="s">
        <v>240</v>
      </c>
      <c r="D573" t="s">
        <v>682</v>
      </c>
      <c r="E573" s="65">
        <v>400</v>
      </c>
      <c r="F573" s="33"/>
      <c r="G573" t="s">
        <v>833</v>
      </c>
      <c r="H573" t="s">
        <v>154</v>
      </c>
      <c r="I573" t="s">
        <v>194</v>
      </c>
      <c r="J573" t="s">
        <v>45</v>
      </c>
      <c r="K573" t="s">
        <v>195</v>
      </c>
      <c r="L573" s="17">
        <v>0</v>
      </c>
      <c r="M573" s="28"/>
    </row>
    <row r="574" spans="1:14" s="25" customFormat="1" x14ac:dyDescent="0.2">
      <c r="A574">
        <f t="shared" si="8"/>
        <v>568</v>
      </c>
      <c r="B574">
        <v>2013</v>
      </c>
      <c r="C574" t="s">
        <v>240</v>
      </c>
      <c r="D574" t="s">
        <v>263</v>
      </c>
      <c r="E574" s="65">
        <v>280</v>
      </c>
      <c r="F574" s="33"/>
      <c r="H574" t="s">
        <v>151</v>
      </c>
      <c r="I574" t="s">
        <v>224</v>
      </c>
      <c r="J574" t="s">
        <v>9</v>
      </c>
      <c r="K574" t="s">
        <v>9</v>
      </c>
      <c r="L574" s="17">
        <v>0</v>
      </c>
      <c r="M574" s="28"/>
    </row>
    <row r="575" spans="1:14" s="25" customFormat="1" x14ac:dyDescent="0.2">
      <c r="A575">
        <f t="shared" si="8"/>
        <v>569</v>
      </c>
      <c r="B575">
        <v>2013</v>
      </c>
      <c r="C575" t="s">
        <v>240</v>
      </c>
      <c r="D575" t="s">
        <v>798</v>
      </c>
      <c r="E575" s="65">
        <v>100</v>
      </c>
      <c r="F575" s="33">
        <v>0.5</v>
      </c>
      <c r="G575" t="s">
        <v>834</v>
      </c>
      <c r="H575" t="s">
        <v>150</v>
      </c>
      <c r="I575" t="s">
        <v>217</v>
      </c>
      <c r="J575" t="s">
        <v>53</v>
      </c>
      <c r="K575" t="s">
        <v>183</v>
      </c>
      <c r="L575" s="17">
        <v>1</v>
      </c>
      <c r="M575" s="28" t="s">
        <v>178</v>
      </c>
    </row>
    <row r="576" spans="1:14" s="25" customFormat="1" x14ac:dyDescent="0.2">
      <c r="A576">
        <f t="shared" si="8"/>
        <v>570</v>
      </c>
      <c r="B576">
        <v>2013</v>
      </c>
      <c r="C576" t="s">
        <v>212</v>
      </c>
      <c r="D576" t="s">
        <v>352</v>
      </c>
      <c r="E576" s="65">
        <v>460</v>
      </c>
      <c r="F576" s="33">
        <v>0.5</v>
      </c>
      <c r="G576" t="s">
        <v>835</v>
      </c>
      <c r="H576" t="s">
        <v>144</v>
      </c>
      <c r="I576" t="s">
        <v>273</v>
      </c>
      <c r="J576" t="s">
        <v>101</v>
      </c>
      <c r="K576" t="s">
        <v>201</v>
      </c>
      <c r="L576" s="17">
        <v>1</v>
      </c>
      <c r="M576" s="28" t="s">
        <v>178</v>
      </c>
    </row>
    <row r="577" spans="1:13" s="25" customFormat="1" x14ac:dyDescent="0.2">
      <c r="A577">
        <f t="shared" si="8"/>
        <v>571</v>
      </c>
      <c r="B577">
        <v>2013</v>
      </c>
      <c r="C577" t="s">
        <v>212</v>
      </c>
      <c r="D577" t="s">
        <v>421</v>
      </c>
      <c r="E577" s="65">
        <v>260</v>
      </c>
      <c r="F577" s="33">
        <v>0.59</v>
      </c>
      <c r="G577" t="s">
        <v>836</v>
      </c>
      <c r="H577" t="s">
        <v>151</v>
      </c>
      <c r="I577" t="s">
        <v>279</v>
      </c>
      <c r="J577" t="s">
        <v>45</v>
      </c>
      <c r="K577" t="s">
        <v>195</v>
      </c>
      <c r="L577" s="17">
        <v>0</v>
      </c>
      <c r="M577" s="28"/>
    </row>
    <row r="578" spans="1:13" s="25" customFormat="1" ht="14.25" customHeight="1" x14ac:dyDescent="0.2">
      <c r="A578">
        <f t="shared" si="8"/>
        <v>572</v>
      </c>
      <c r="B578">
        <v>2013</v>
      </c>
      <c r="C578" t="s">
        <v>212</v>
      </c>
      <c r="D578" t="s">
        <v>837</v>
      </c>
      <c r="E578" s="65">
        <v>180</v>
      </c>
      <c r="F578" s="33">
        <v>1</v>
      </c>
      <c r="H578" t="s">
        <v>151</v>
      </c>
      <c r="I578" t="s">
        <v>224</v>
      </c>
      <c r="J578" t="s">
        <v>131</v>
      </c>
      <c r="K578" t="s">
        <v>131</v>
      </c>
      <c r="L578" s="17">
        <v>0</v>
      </c>
      <c r="M578" s="28" t="s">
        <v>178</v>
      </c>
    </row>
    <row r="579" spans="1:13" s="25" customFormat="1" x14ac:dyDescent="0.2">
      <c r="A579">
        <f t="shared" si="8"/>
        <v>573</v>
      </c>
      <c r="B579">
        <v>2013</v>
      </c>
      <c r="C579" t="s">
        <v>212</v>
      </c>
      <c r="D579" t="s">
        <v>838</v>
      </c>
      <c r="E579" s="65">
        <v>100</v>
      </c>
      <c r="F579" s="33"/>
      <c r="H579" t="s">
        <v>153</v>
      </c>
      <c r="J579" t="s">
        <v>131</v>
      </c>
      <c r="K579" t="s">
        <v>131</v>
      </c>
      <c r="L579" s="17">
        <v>0</v>
      </c>
      <c r="M579" s="28"/>
    </row>
    <row r="580" spans="1:13" s="25" customFormat="1" x14ac:dyDescent="0.2">
      <c r="A580">
        <f t="shared" si="8"/>
        <v>574</v>
      </c>
      <c r="B580">
        <v>2013</v>
      </c>
      <c r="C580" t="s">
        <v>212</v>
      </c>
      <c r="D580" t="s">
        <v>839</v>
      </c>
      <c r="E580" s="65">
        <v>220</v>
      </c>
      <c r="F580" s="33">
        <v>1</v>
      </c>
      <c r="H580" t="s">
        <v>150</v>
      </c>
      <c r="I580" t="s">
        <v>292</v>
      </c>
      <c r="J580" t="s">
        <v>131</v>
      </c>
      <c r="K580" t="s">
        <v>131</v>
      </c>
      <c r="L580" s="17">
        <v>0</v>
      </c>
      <c r="M580" s="28" t="s">
        <v>178</v>
      </c>
    </row>
    <row r="581" spans="1:13" s="25" customFormat="1" x14ac:dyDescent="0.2">
      <c r="A581">
        <f t="shared" si="8"/>
        <v>575</v>
      </c>
      <c r="B581">
        <v>2013</v>
      </c>
      <c r="C581" t="s">
        <v>212</v>
      </c>
      <c r="D581" t="s">
        <v>840</v>
      </c>
      <c r="E581" s="65">
        <v>1370</v>
      </c>
      <c r="F581" s="33">
        <v>1</v>
      </c>
      <c r="H581" t="s">
        <v>151</v>
      </c>
      <c r="I581" t="s">
        <v>224</v>
      </c>
      <c r="J581" t="s">
        <v>72</v>
      </c>
      <c r="K581" t="s">
        <v>183</v>
      </c>
      <c r="L581" s="17">
        <v>1</v>
      </c>
      <c r="M581" s="28" t="s">
        <v>178</v>
      </c>
    </row>
    <row r="582" spans="1:13" s="25" customFormat="1" x14ac:dyDescent="0.2">
      <c r="A582">
        <f t="shared" si="8"/>
        <v>576</v>
      </c>
      <c r="B582">
        <v>2013</v>
      </c>
      <c r="C582" t="s">
        <v>212</v>
      </c>
      <c r="D582" t="s">
        <v>841</v>
      </c>
      <c r="E582" s="65">
        <v>220</v>
      </c>
      <c r="F582" s="33">
        <v>0.35</v>
      </c>
      <c r="G582" t="s">
        <v>842</v>
      </c>
      <c r="H582" t="s">
        <v>154</v>
      </c>
      <c r="I582" t="s">
        <v>250</v>
      </c>
      <c r="J582" t="s">
        <v>69</v>
      </c>
      <c r="K582" t="s">
        <v>195</v>
      </c>
      <c r="L582" s="17">
        <v>1</v>
      </c>
      <c r="M582" s="28"/>
    </row>
    <row r="583" spans="1:13" s="25" customFormat="1" x14ac:dyDescent="0.2">
      <c r="A583">
        <f t="shared" ref="A583:A646" si="9">ROW()-6</f>
        <v>577</v>
      </c>
      <c r="B583">
        <v>2013</v>
      </c>
      <c r="C583" t="s">
        <v>212</v>
      </c>
      <c r="D583" t="s">
        <v>246</v>
      </c>
      <c r="E583" s="65">
        <v>130</v>
      </c>
      <c r="F583" s="33">
        <v>0.5</v>
      </c>
      <c r="G583" t="s">
        <v>843</v>
      </c>
      <c r="H583" t="s">
        <v>144</v>
      </c>
      <c r="I583" t="s">
        <v>197</v>
      </c>
      <c r="J583" t="s">
        <v>19</v>
      </c>
      <c r="K583" t="s">
        <v>205</v>
      </c>
      <c r="L583" s="17">
        <v>0</v>
      </c>
      <c r="M583" s="28"/>
    </row>
    <row r="584" spans="1:13" s="25" customFormat="1" x14ac:dyDescent="0.2">
      <c r="A584">
        <f t="shared" si="9"/>
        <v>578</v>
      </c>
      <c r="B584">
        <v>2013</v>
      </c>
      <c r="C584" t="s">
        <v>212</v>
      </c>
      <c r="D584" t="s">
        <v>246</v>
      </c>
      <c r="E584" s="65">
        <v>250</v>
      </c>
      <c r="F584" s="33">
        <v>0.5</v>
      </c>
      <c r="G584" t="s">
        <v>844</v>
      </c>
      <c r="H584" t="s">
        <v>144</v>
      </c>
      <c r="I584" t="s">
        <v>197</v>
      </c>
      <c r="J584" t="s">
        <v>19</v>
      </c>
      <c r="K584" t="s">
        <v>205</v>
      </c>
      <c r="L584" s="17">
        <v>0</v>
      </c>
      <c r="M584" s="28"/>
    </row>
    <row r="585" spans="1:13" s="25" customFormat="1" x14ac:dyDescent="0.2">
      <c r="A585">
        <f t="shared" si="9"/>
        <v>579</v>
      </c>
      <c r="B585">
        <v>2013</v>
      </c>
      <c r="C585" t="s">
        <v>212</v>
      </c>
      <c r="D585" t="s">
        <v>612</v>
      </c>
      <c r="E585" s="65">
        <v>400</v>
      </c>
      <c r="F585" s="33">
        <v>1</v>
      </c>
      <c r="H585" t="s">
        <v>149</v>
      </c>
      <c r="J585" t="s">
        <v>81</v>
      </c>
      <c r="K585" t="s">
        <v>219</v>
      </c>
      <c r="L585" s="17">
        <v>1</v>
      </c>
      <c r="M585" s="28" t="s">
        <v>178</v>
      </c>
    </row>
    <row r="586" spans="1:13" s="25" customFormat="1" x14ac:dyDescent="0.2">
      <c r="A586">
        <f t="shared" si="9"/>
        <v>580</v>
      </c>
      <c r="B586">
        <v>2013</v>
      </c>
      <c r="C586" t="s">
        <v>212</v>
      </c>
      <c r="D586" t="s">
        <v>845</v>
      </c>
      <c r="E586" s="65">
        <v>340</v>
      </c>
      <c r="F586" s="33">
        <v>1</v>
      </c>
      <c r="G586" t="s">
        <v>846</v>
      </c>
      <c r="H586" t="s">
        <v>147</v>
      </c>
      <c r="J586" t="s">
        <v>131</v>
      </c>
      <c r="K586" t="s">
        <v>131</v>
      </c>
      <c r="L586" s="17">
        <v>0</v>
      </c>
      <c r="M586" s="28"/>
    </row>
    <row r="587" spans="1:13" s="25" customFormat="1" x14ac:dyDescent="0.2">
      <c r="A587">
        <f t="shared" si="9"/>
        <v>581</v>
      </c>
      <c r="B587">
        <v>2013</v>
      </c>
      <c r="C587" t="s">
        <v>212</v>
      </c>
      <c r="D587" t="s">
        <v>847</v>
      </c>
      <c r="E587" s="65">
        <v>100</v>
      </c>
      <c r="F587" s="33">
        <v>1</v>
      </c>
      <c r="H587" t="s">
        <v>154</v>
      </c>
      <c r="I587" t="s">
        <v>194</v>
      </c>
      <c r="J587" t="s">
        <v>20</v>
      </c>
      <c r="K587" t="s">
        <v>195</v>
      </c>
      <c r="L587" s="17">
        <v>0</v>
      </c>
      <c r="M587" s="28" t="s">
        <v>178</v>
      </c>
    </row>
    <row r="588" spans="1:13" s="25" customFormat="1" x14ac:dyDescent="0.2">
      <c r="A588">
        <f t="shared" si="9"/>
        <v>582</v>
      </c>
      <c r="B588">
        <v>2013</v>
      </c>
      <c r="C588" t="s">
        <v>212</v>
      </c>
      <c r="D588" t="s">
        <v>352</v>
      </c>
      <c r="E588" s="65">
        <v>120</v>
      </c>
      <c r="F588" s="33">
        <v>0.51</v>
      </c>
      <c r="G588" t="s">
        <v>848</v>
      </c>
      <c r="H588" t="s">
        <v>144</v>
      </c>
      <c r="I588" t="s">
        <v>299</v>
      </c>
      <c r="J588" t="s">
        <v>131</v>
      </c>
      <c r="K588" t="s">
        <v>131</v>
      </c>
      <c r="L588" s="17">
        <v>0</v>
      </c>
      <c r="M588" s="28" t="s">
        <v>178</v>
      </c>
    </row>
    <row r="589" spans="1:13" s="25" customFormat="1" x14ac:dyDescent="0.2">
      <c r="A589">
        <f t="shared" si="9"/>
        <v>583</v>
      </c>
      <c r="B589">
        <v>2013</v>
      </c>
      <c r="C589" t="s">
        <v>212</v>
      </c>
      <c r="D589" t="s">
        <v>483</v>
      </c>
      <c r="E589" s="65">
        <v>180</v>
      </c>
      <c r="F589" s="33">
        <v>0.85</v>
      </c>
      <c r="G589" t="s">
        <v>849</v>
      </c>
      <c r="H589" t="s">
        <v>144</v>
      </c>
      <c r="I589" t="s">
        <v>197</v>
      </c>
      <c r="J589" t="s">
        <v>67</v>
      </c>
      <c r="K589" t="s">
        <v>183</v>
      </c>
      <c r="L589" s="17">
        <v>1</v>
      </c>
      <c r="M589" s="28" t="s">
        <v>178</v>
      </c>
    </row>
    <row r="590" spans="1:13" s="25" customFormat="1" x14ac:dyDescent="0.2">
      <c r="A590">
        <f t="shared" si="9"/>
        <v>584</v>
      </c>
      <c r="B590">
        <v>2013</v>
      </c>
      <c r="C590" t="s">
        <v>212</v>
      </c>
      <c r="D590" t="s">
        <v>627</v>
      </c>
      <c r="E590" s="65">
        <v>170</v>
      </c>
      <c r="F590" s="33">
        <v>1</v>
      </c>
      <c r="G590" t="s">
        <v>850</v>
      </c>
      <c r="H590" t="s">
        <v>154</v>
      </c>
      <c r="I590" t="s">
        <v>194</v>
      </c>
      <c r="J590" t="s">
        <v>25</v>
      </c>
      <c r="K590" t="s">
        <v>177</v>
      </c>
      <c r="L590" s="17">
        <v>0</v>
      </c>
      <c r="M590" s="28"/>
    </row>
    <row r="591" spans="1:13" s="25" customFormat="1" x14ac:dyDescent="0.2">
      <c r="A591">
        <f t="shared" si="9"/>
        <v>585</v>
      </c>
      <c r="B591">
        <v>2013</v>
      </c>
      <c r="C591" t="s">
        <v>212</v>
      </c>
      <c r="D591" t="s">
        <v>705</v>
      </c>
      <c r="E591" s="65">
        <v>810</v>
      </c>
      <c r="F591" s="33"/>
      <c r="G591" t="s">
        <v>851</v>
      </c>
      <c r="H591" t="s">
        <v>151</v>
      </c>
      <c r="I591" t="s">
        <v>224</v>
      </c>
      <c r="J591" t="s">
        <v>20</v>
      </c>
      <c r="K591" t="s">
        <v>195</v>
      </c>
      <c r="L591" s="17">
        <v>0</v>
      </c>
      <c r="M591" s="28" t="s">
        <v>178</v>
      </c>
    </row>
    <row r="592" spans="1:13" s="25" customFormat="1" x14ac:dyDescent="0.2">
      <c r="A592">
        <f t="shared" si="9"/>
        <v>586</v>
      </c>
      <c r="B592">
        <v>2013</v>
      </c>
      <c r="C592" t="s">
        <v>212</v>
      </c>
      <c r="D592" t="s">
        <v>263</v>
      </c>
      <c r="E592" s="65">
        <v>1280</v>
      </c>
      <c r="F592" s="33"/>
      <c r="G592" t="s">
        <v>264</v>
      </c>
      <c r="H592" t="s">
        <v>151</v>
      </c>
      <c r="I592" t="s">
        <v>224</v>
      </c>
      <c r="J592" t="s">
        <v>20</v>
      </c>
      <c r="K592" t="s">
        <v>195</v>
      </c>
      <c r="L592" s="17">
        <v>0</v>
      </c>
      <c r="M592" s="28"/>
    </row>
    <row r="593" spans="1:13" s="25" customFormat="1" x14ac:dyDescent="0.2">
      <c r="A593">
        <f t="shared" si="9"/>
        <v>587</v>
      </c>
      <c r="B593">
        <v>2013</v>
      </c>
      <c r="C593" t="s">
        <v>212</v>
      </c>
      <c r="D593" t="s">
        <v>317</v>
      </c>
      <c r="E593" s="65">
        <v>410</v>
      </c>
      <c r="F593" s="33">
        <v>0.51</v>
      </c>
      <c r="G593" t="s">
        <v>852</v>
      </c>
      <c r="H593" t="s">
        <v>144</v>
      </c>
      <c r="I593" t="s">
        <v>197</v>
      </c>
      <c r="J593" t="s">
        <v>23</v>
      </c>
      <c r="K593" t="s">
        <v>183</v>
      </c>
      <c r="L593" s="17">
        <v>1</v>
      </c>
      <c r="M593" s="28" t="s">
        <v>178</v>
      </c>
    </row>
    <row r="594" spans="1:13" s="25" customFormat="1" x14ac:dyDescent="0.2">
      <c r="A594">
        <f t="shared" si="9"/>
        <v>588</v>
      </c>
      <c r="B594">
        <v>2013</v>
      </c>
      <c r="C594" t="s">
        <v>212</v>
      </c>
      <c r="D594" t="s">
        <v>794</v>
      </c>
      <c r="E594" s="65">
        <v>290</v>
      </c>
      <c r="F594" s="33"/>
      <c r="G594" t="s">
        <v>795</v>
      </c>
      <c r="H594" t="s">
        <v>144</v>
      </c>
      <c r="I594" t="s">
        <v>187</v>
      </c>
      <c r="J594" t="s">
        <v>131</v>
      </c>
      <c r="K594" t="s">
        <v>131</v>
      </c>
      <c r="L594" s="17">
        <v>0</v>
      </c>
      <c r="M594" s="28"/>
    </row>
    <row r="595" spans="1:13" s="25" customFormat="1" x14ac:dyDescent="0.2">
      <c r="A595">
        <f t="shared" si="9"/>
        <v>589</v>
      </c>
      <c r="B595">
        <v>2013</v>
      </c>
      <c r="C595" t="s">
        <v>212</v>
      </c>
      <c r="D595" t="s">
        <v>189</v>
      </c>
      <c r="E595" s="65">
        <v>280</v>
      </c>
      <c r="F595" s="33"/>
      <c r="G595" t="s">
        <v>853</v>
      </c>
      <c r="H595" t="s">
        <v>144</v>
      </c>
      <c r="I595" t="s">
        <v>187</v>
      </c>
      <c r="J595" t="s">
        <v>77</v>
      </c>
      <c r="K595" t="s">
        <v>177</v>
      </c>
      <c r="L595" s="17">
        <v>0</v>
      </c>
      <c r="M595" s="28"/>
    </row>
    <row r="596" spans="1:13" s="25" customFormat="1" x14ac:dyDescent="0.2">
      <c r="A596">
        <f t="shared" si="9"/>
        <v>590</v>
      </c>
      <c r="B596">
        <v>2014</v>
      </c>
      <c r="C596" t="s">
        <v>172</v>
      </c>
      <c r="D596" t="s">
        <v>520</v>
      </c>
      <c r="E596" s="65">
        <v>2140</v>
      </c>
      <c r="F596" s="33"/>
      <c r="G596" t="s">
        <v>174</v>
      </c>
      <c r="H596" t="s">
        <v>152</v>
      </c>
      <c r="J596" t="s">
        <v>131</v>
      </c>
      <c r="K596" t="s">
        <v>131</v>
      </c>
      <c r="L596" s="17">
        <v>0</v>
      </c>
      <c r="M596" s="28"/>
    </row>
    <row r="597" spans="1:13" s="25" customFormat="1" x14ac:dyDescent="0.2">
      <c r="A597">
        <f t="shared" si="9"/>
        <v>591</v>
      </c>
      <c r="B597">
        <v>2014</v>
      </c>
      <c r="C597" t="s">
        <v>172</v>
      </c>
      <c r="D597" t="s">
        <v>520</v>
      </c>
      <c r="E597" s="65">
        <v>2910</v>
      </c>
      <c r="F597" s="33">
        <v>1</v>
      </c>
      <c r="G597" t="s">
        <v>854</v>
      </c>
      <c r="H597" t="s">
        <v>152</v>
      </c>
      <c r="I597" t="s">
        <v>257</v>
      </c>
      <c r="J597" t="s">
        <v>131</v>
      </c>
      <c r="K597" t="s">
        <v>131</v>
      </c>
      <c r="L597" s="17">
        <v>0</v>
      </c>
      <c r="M597" s="28"/>
    </row>
    <row r="598" spans="1:13" s="25" customFormat="1" x14ac:dyDescent="0.2">
      <c r="A598">
        <f t="shared" si="9"/>
        <v>592</v>
      </c>
      <c r="B598">
        <v>2014</v>
      </c>
      <c r="C598" t="s">
        <v>172</v>
      </c>
      <c r="D598" t="s">
        <v>564</v>
      </c>
      <c r="E598" s="65">
        <v>200</v>
      </c>
      <c r="F598" s="33">
        <v>1</v>
      </c>
      <c r="H598" t="s">
        <v>154</v>
      </c>
      <c r="I598" t="s">
        <v>194</v>
      </c>
      <c r="J598" t="s">
        <v>131</v>
      </c>
      <c r="K598" t="s">
        <v>131</v>
      </c>
      <c r="L598" s="17">
        <v>0</v>
      </c>
      <c r="M598" s="28" t="s">
        <v>178</v>
      </c>
    </row>
    <row r="599" spans="1:13" s="25" customFormat="1" x14ac:dyDescent="0.2">
      <c r="A599">
        <f t="shared" si="9"/>
        <v>593</v>
      </c>
      <c r="B599">
        <v>2014</v>
      </c>
      <c r="C599" t="s">
        <v>172</v>
      </c>
      <c r="D599" t="s">
        <v>554</v>
      </c>
      <c r="E599" s="65">
        <v>2030</v>
      </c>
      <c r="F599" s="33">
        <v>0.8</v>
      </c>
      <c r="G599" t="s">
        <v>855</v>
      </c>
      <c r="H599" t="s">
        <v>146</v>
      </c>
      <c r="J599" t="s">
        <v>99</v>
      </c>
      <c r="K599" t="s">
        <v>195</v>
      </c>
      <c r="L599" s="17">
        <v>1</v>
      </c>
      <c r="M599" s="28"/>
    </row>
    <row r="600" spans="1:13" s="25" customFormat="1" x14ac:dyDescent="0.2">
      <c r="A600">
        <f t="shared" si="9"/>
        <v>594</v>
      </c>
      <c r="B600">
        <v>2014</v>
      </c>
      <c r="C600" t="s">
        <v>172</v>
      </c>
      <c r="D600" t="s">
        <v>336</v>
      </c>
      <c r="E600" s="65">
        <v>190</v>
      </c>
      <c r="F600" s="33">
        <v>0.25</v>
      </c>
      <c r="G600" t="s">
        <v>856</v>
      </c>
      <c r="H600" t="s">
        <v>149</v>
      </c>
      <c r="J600" t="s">
        <v>83</v>
      </c>
      <c r="K600" t="s">
        <v>219</v>
      </c>
      <c r="L600" s="17">
        <v>1</v>
      </c>
      <c r="M600" s="28"/>
    </row>
    <row r="601" spans="1:13" s="25" customFormat="1" x14ac:dyDescent="0.2">
      <c r="A601">
        <f t="shared" si="9"/>
        <v>595</v>
      </c>
      <c r="B601">
        <v>2014</v>
      </c>
      <c r="C601" t="s">
        <v>172</v>
      </c>
      <c r="D601" t="s">
        <v>857</v>
      </c>
      <c r="E601" s="65">
        <v>100</v>
      </c>
      <c r="F601" s="33">
        <v>1</v>
      </c>
      <c r="G601" t="s">
        <v>858</v>
      </c>
      <c r="H601" t="s">
        <v>150</v>
      </c>
      <c r="I601" t="s">
        <v>556</v>
      </c>
      <c r="J601" t="s">
        <v>45</v>
      </c>
      <c r="K601" t="s">
        <v>195</v>
      </c>
      <c r="L601" s="17">
        <v>0</v>
      </c>
      <c r="M601" s="28"/>
    </row>
    <row r="602" spans="1:13" s="25" customFormat="1" x14ac:dyDescent="0.2">
      <c r="A602">
        <f t="shared" si="9"/>
        <v>596</v>
      </c>
      <c r="B602">
        <v>2014</v>
      </c>
      <c r="C602" t="s">
        <v>172</v>
      </c>
      <c r="D602" t="s">
        <v>189</v>
      </c>
      <c r="E602" s="65">
        <v>400</v>
      </c>
      <c r="F602" s="33"/>
      <c r="G602" t="s">
        <v>859</v>
      </c>
      <c r="H602" t="s">
        <v>144</v>
      </c>
      <c r="I602" t="s">
        <v>187</v>
      </c>
      <c r="J602" t="s">
        <v>43</v>
      </c>
      <c r="K602" t="s">
        <v>219</v>
      </c>
      <c r="L602" s="17">
        <v>1</v>
      </c>
      <c r="M602" s="28"/>
    </row>
    <row r="603" spans="1:13" s="25" customFormat="1" x14ac:dyDescent="0.2">
      <c r="A603">
        <f t="shared" si="9"/>
        <v>597</v>
      </c>
      <c r="B603">
        <v>2014</v>
      </c>
      <c r="C603" t="s">
        <v>172</v>
      </c>
      <c r="D603" t="s">
        <v>860</v>
      </c>
      <c r="E603" s="65">
        <v>210</v>
      </c>
      <c r="F603" s="33"/>
      <c r="H603" t="s">
        <v>154</v>
      </c>
      <c r="I603" t="s">
        <v>194</v>
      </c>
      <c r="J603" t="s">
        <v>69</v>
      </c>
      <c r="K603" t="s">
        <v>195</v>
      </c>
      <c r="L603" s="17">
        <v>0</v>
      </c>
      <c r="M603" s="28"/>
    </row>
    <row r="604" spans="1:13" s="25" customFormat="1" x14ac:dyDescent="0.2">
      <c r="A604">
        <f t="shared" si="9"/>
        <v>598</v>
      </c>
      <c r="B604">
        <v>2014</v>
      </c>
      <c r="C604" t="s">
        <v>258</v>
      </c>
      <c r="D604" t="s">
        <v>705</v>
      </c>
      <c r="E604" s="65">
        <v>540</v>
      </c>
      <c r="F604" s="33">
        <v>1</v>
      </c>
      <c r="H604" t="s">
        <v>151</v>
      </c>
      <c r="I604" t="s">
        <v>224</v>
      </c>
      <c r="J604" t="s">
        <v>9</v>
      </c>
      <c r="K604" t="s">
        <v>9</v>
      </c>
      <c r="L604" s="17">
        <v>0</v>
      </c>
      <c r="M604" s="28" t="s">
        <v>178</v>
      </c>
    </row>
    <row r="605" spans="1:13" s="25" customFormat="1" x14ac:dyDescent="0.2">
      <c r="A605">
        <f t="shared" si="9"/>
        <v>599</v>
      </c>
      <c r="B605">
        <v>2014</v>
      </c>
      <c r="C605" t="s">
        <v>258</v>
      </c>
      <c r="D605" t="s">
        <v>283</v>
      </c>
      <c r="E605" s="65">
        <v>690</v>
      </c>
      <c r="F605" s="33">
        <v>0.6</v>
      </c>
      <c r="G605" t="s">
        <v>284</v>
      </c>
      <c r="H605" t="s">
        <v>146</v>
      </c>
      <c r="I605" t="s">
        <v>253</v>
      </c>
      <c r="J605" t="s">
        <v>20</v>
      </c>
      <c r="K605" t="s">
        <v>195</v>
      </c>
      <c r="L605" s="17">
        <v>0</v>
      </c>
      <c r="M605" s="28"/>
    </row>
    <row r="606" spans="1:13" s="25" customFormat="1" x14ac:dyDescent="0.2">
      <c r="A606">
        <f t="shared" si="9"/>
        <v>600</v>
      </c>
      <c r="B606">
        <v>2014</v>
      </c>
      <c r="C606" t="s">
        <v>258</v>
      </c>
      <c r="D606" t="s">
        <v>334</v>
      </c>
      <c r="E606" s="65">
        <v>2040</v>
      </c>
      <c r="F606" s="33">
        <v>0.51</v>
      </c>
      <c r="G606" t="s">
        <v>861</v>
      </c>
      <c r="H606" t="s">
        <v>142</v>
      </c>
      <c r="J606" t="s">
        <v>85</v>
      </c>
      <c r="K606" t="s">
        <v>195</v>
      </c>
      <c r="L606" s="17">
        <v>0</v>
      </c>
      <c r="M606" s="28"/>
    </row>
    <row r="607" spans="1:13" s="25" customFormat="1" x14ac:dyDescent="0.2">
      <c r="A607">
        <f t="shared" si="9"/>
        <v>601</v>
      </c>
      <c r="B607">
        <v>2014</v>
      </c>
      <c r="C607" t="s">
        <v>258</v>
      </c>
      <c r="D607" t="s">
        <v>862</v>
      </c>
      <c r="E607" s="65">
        <v>670</v>
      </c>
      <c r="F607" s="33">
        <v>0.95</v>
      </c>
      <c r="G607" t="s">
        <v>863</v>
      </c>
      <c r="H607" t="s">
        <v>144</v>
      </c>
      <c r="J607" t="s">
        <v>131</v>
      </c>
      <c r="K607" t="s">
        <v>131</v>
      </c>
      <c r="L607" s="17">
        <v>0</v>
      </c>
      <c r="M607" s="28"/>
    </row>
    <row r="608" spans="1:13" s="25" customFormat="1" x14ac:dyDescent="0.2">
      <c r="A608">
        <f t="shared" si="9"/>
        <v>602</v>
      </c>
      <c r="B608">
        <v>2014</v>
      </c>
      <c r="C608" t="s">
        <v>258</v>
      </c>
      <c r="D608" t="s">
        <v>864</v>
      </c>
      <c r="E608" s="65">
        <v>1100</v>
      </c>
      <c r="F608" s="33">
        <v>0.14000000000000001</v>
      </c>
      <c r="G608" t="s">
        <v>865</v>
      </c>
      <c r="H608" t="s">
        <v>154</v>
      </c>
      <c r="I608" t="s">
        <v>194</v>
      </c>
      <c r="J608" t="s">
        <v>42</v>
      </c>
      <c r="K608" t="s">
        <v>195</v>
      </c>
      <c r="L608" s="17">
        <v>0</v>
      </c>
      <c r="M608" s="28"/>
    </row>
    <row r="609" spans="1:13" s="25" customFormat="1" x14ac:dyDescent="0.2">
      <c r="A609">
        <f t="shared" si="9"/>
        <v>603</v>
      </c>
      <c r="B609">
        <v>2014</v>
      </c>
      <c r="C609" t="s">
        <v>258</v>
      </c>
      <c r="D609" t="s">
        <v>657</v>
      </c>
      <c r="E609" s="65">
        <v>150</v>
      </c>
      <c r="F609" s="33">
        <v>1</v>
      </c>
      <c r="G609" t="s">
        <v>866</v>
      </c>
      <c r="H609" t="s">
        <v>154</v>
      </c>
      <c r="I609" t="s">
        <v>194</v>
      </c>
      <c r="J609" t="s">
        <v>131</v>
      </c>
      <c r="K609" t="s">
        <v>131</v>
      </c>
      <c r="L609" s="17">
        <v>0</v>
      </c>
      <c r="M609" s="28"/>
    </row>
    <row r="610" spans="1:13" s="25" customFormat="1" x14ac:dyDescent="0.2">
      <c r="A610">
        <f t="shared" si="9"/>
        <v>604</v>
      </c>
      <c r="B610">
        <v>2014</v>
      </c>
      <c r="C610" t="s">
        <v>258</v>
      </c>
      <c r="D610" t="s">
        <v>867</v>
      </c>
      <c r="E610" s="65">
        <v>310</v>
      </c>
      <c r="F610" s="33">
        <v>0.85</v>
      </c>
      <c r="G610" t="s">
        <v>868</v>
      </c>
      <c r="H610" t="s">
        <v>152</v>
      </c>
      <c r="I610" t="s">
        <v>257</v>
      </c>
      <c r="J610" t="s">
        <v>42</v>
      </c>
      <c r="K610" t="s">
        <v>195</v>
      </c>
      <c r="L610" s="17">
        <v>0</v>
      </c>
      <c r="M610" s="28"/>
    </row>
    <row r="611" spans="1:13" s="25" customFormat="1" x14ac:dyDescent="0.2">
      <c r="A611">
        <f t="shared" si="9"/>
        <v>605</v>
      </c>
      <c r="B611">
        <v>2014</v>
      </c>
      <c r="C611" t="s">
        <v>258</v>
      </c>
      <c r="D611" t="s">
        <v>246</v>
      </c>
      <c r="E611" s="65">
        <v>390</v>
      </c>
      <c r="F611" s="33">
        <v>0.33</v>
      </c>
      <c r="G611" t="s">
        <v>737</v>
      </c>
      <c r="H611" t="s">
        <v>144</v>
      </c>
      <c r="I611" t="s">
        <v>197</v>
      </c>
      <c r="J611" t="s">
        <v>19</v>
      </c>
      <c r="K611" t="s">
        <v>205</v>
      </c>
      <c r="L611" s="17">
        <v>0</v>
      </c>
      <c r="M611" s="28"/>
    </row>
    <row r="612" spans="1:13" s="25" customFormat="1" x14ac:dyDescent="0.2">
      <c r="A612">
        <f t="shared" si="9"/>
        <v>606</v>
      </c>
      <c r="B612">
        <v>2014</v>
      </c>
      <c r="C612" t="s">
        <v>258</v>
      </c>
      <c r="D612" t="s">
        <v>869</v>
      </c>
      <c r="E612" s="65">
        <v>100</v>
      </c>
      <c r="F612" s="33"/>
      <c r="G612" t="s">
        <v>870</v>
      </c>
      <c r="H612" t="s">
        <v>151</v>
      </c>
      <c r="I612" t="s">
        <v>224</v>
      </c>
      <c r="J612" t="s">
        <v>131</v>
      </c>
      <c r="K612" t="s">
        <v>131</v>
      </c>
      <c r="L612" s="17">
        <v>0</v>
      </c>
      <c r="M612" s="28"/>
    </row>
    <row r="613" spans="1:13" s="25" customFormat="1" ht="16" customHeight="1" x14ac:dyDescent="0.2">
      <c r="A613">
        <f t="shared" si="9"/>
        <v>607</v>
      </c>
      <c r="B613">
        <v>2014</v>
      </c>
      <c r="C613" t="s">
        <v>258</v>
      </c>
      <c r="D613" t="s">
        <v>871</v>
      </c>
      <c r="E613" s="65">
        <v>160</v>
      </c>
      <c r="F613" s="33">
        <v>0.02</v>
      </c>
      <c r="G613" t="s">
        <v>872</v>
      </c>
      <c r="H613" t="s">
        <v>148</v>
      </c>
      <c r="J613" t="s">
        <v>108</v>
      </c>
      <c r="K613" t="s">
        <v>183</v>
      </c>
      <c r="L613" s="17">
        <v>1</v>
      </c>
      <c r="M613" s="28"/>
    </row>
    <row r="614" spans="1:13" s="25" customFormat="1" x14ac:dyDescent="0.2">
      <c r="A614">
        <f t="shared" si="9"/>
        <v>608</v>
      </c>
      <c r="B614">
        <v>2014</v>
      </c>
      <c r="C614" t="s">
        <v>258</v>
      </c>
      <c r="D614" t="s">
        <v>873</v>
      </c>
      <c r="E614" s="65">
        <v>1100</v>
      </c>
      <c r="F614" s="33">
        <v>0.5</v>
      </c>
      <c r="G614" t="s">
        <v>874</v>
      </c>
      <c r="H614" t="s">
        <v>153</v>
      </c>
      <c r="J614" t="s">
        <v>113</v>
      </c>
      <c r="K614" t="s">
        <v>183</v>
      </c>
      <c r="L614" s="17">
        <v>0</v>
      </c>
      <c r="M614" s="28" t="s">
        <v>178</v>
      </c>
    </row>
    <row r="615" spans="1:13" s="25" customFormat="1" x14ac:dyDescent="0.2">
      <c r="A615">
        <f t="shared" si="9"/>
        <v>609</v>
      </c>
      <c r="B615">
        <v>2014</v>
      </c>
      <c r="C615" t="s">
        <v>258</v>
      </c>
      <c r="D615" t="s">
        <v>473</v>
      </c>
      <c r="E615" s="65">
        <v>240</v>
      </c>
      <c r="F615" s="33">
        <v>1</v>
      </c>
      <c r="H615" t="s">
        <v>144</v>
      </c>
      <c r="I615" t="s">
        <v>187</v>
      </c>
      <c r="J615" t="s">
        <v>66</v>
      </c>
      <c r="K615" t="s">
        <v>201</v>
      </c>
      <c r="L615" s="17">
        <v>1</v>
      </c>
      <c r="M615" s="28" t="s">
        <v>178</v>
      </c>
    </row>
    <row r="616" spans="1:13" s="25" customFormat="1" x14ac:dyDescent="0.2">
      <c r="A616">
        <f t="shared" si="9"/>
        <v>610</v>
      </c>
      <c r="B616">
        <v>2014</v>
      </c>
      <c r="C616" t="s">
        <v>258</v>
      </c>
      <c r="D616" t="s">
        <v>244</v>
      </c>
      <c r="E616" s="65">
        <v>150</v>
      </c>
      <c r="F616" s="33">
        <v>1</v>
      </c>
      <c r="H616" t="s">
        <v>149</v>
      </c>
      <c r="I616" t="s">
        <v>236</v>
      </c>
      <c r="J616" t="s">
        <v>29</v>
      </c>
      <c r="K616" t="s">
        <v>219</v>
      </c>
      <c r="L616" s="17">
        <v>1</v>
      </c>
      <c r="M616" s="28" t="s">
        <v>178</v>
      </c>
    </row>
    <row r="617" spans="1:13" s="25" customFormat="1" x14ac:dyDescent="0.2">
      <c r="A617">
        <f t="shared" si="9"/>
        <v>611</v>
      </c>
      <c r="B617">
        <v>2014</v>
      </c>
      <c r="C617" t="s">
        <v>258</v>
      </c>
      <c r="D617" t="s">
        <v>875</v>
      </c>
      <c r="E617" s="65">
        <v>160</v>
      </c>
      <c r="F617" s="33"/>
      <c r="H617" t="s">
        <v>144</v>
      </c>
      <c r="I617" t="s">
        <v>187</v>
      </c>
      <c r="J617" t="s">
        <v>68</v>
      </c>
      <c r="K617" t="s">
        <v>219</v>
      </c>
      <c r="L617" s="17">
        <v>1</v>
      </c>
      <c r="M617" s="28"/>
    </row>
    <row r="618" spans="1:13" s="25" customFormat="1" x14ac:dyDescent="0.2">
      <c r="A618">
        <f t="shared" si="9"/>
        <v>612</v>
      </c>
      <c r="B618">
        <v>2014</v>
      </c>
      <c r="C618" t="s">
        <v>258</v>
      </c>
      <c r="D618" t="s">
        <v>822</v>
      </c>
      <c r="E618" s="65">
        <v>200</v>
      </c>
      <c r="F618" s="33">
        <v>0.25</v>
      </c>
      <c r="G618" t="s">
        <v>876</v>
      </c>
      <c r="H618" t="s">
        <v>146</v>
      </c>
      <c r="J618" t="s">
        <v>52</v>
      </c>
      <c r="K618" t="s">
        <v>201</v>
      </c>
      <c r="L618" s="17">
        <v>0</v>
      </c>
      <c r="M618" s="28"/>
    </row>
    <row r="619" spans="1:13" s="25" customFormat="1" x14ac:dyDescent="0.2">
      <c r="A619">
        <f t="shared" si="9"/>
        <v>613</v>
      </c>
      <c r="B619">
        <v>2014</v>
      </c>
      <c r="C619" t="s">
        <v>258</v>
      </c>
      <c r="D619" t="s">
        <v>199</v>
      </c>
      <c r="E619" s="65">
        <v>370</v>
      </c>
      <c r="F619" s="33">
        <v>1</v>
      </c>
      <c r="H619" t="s">
        <v>144</v>
      </c>
      <c r="I619" t="s">
        <v>187</v>
      </c>
      <c r="J619" t="s">
        <v>26</v>
      </c>
      <c r="K619" t="s">
        <v>219</v>
      </c>
      <c r="L619" s="17">
        <v>1</v>
      </c>
      <c r="M619" s="28" t="s">
        <v>178</v>
      </c>
    </row>
    <row r="620" spans="1:13" s="25" customFormat="1" x14ac:dyDescent="0.2">
      <c r="A620">
        <f t="shared" si="9"/>
        <v>614</v>
      </c>
      <c r="B620">
        <v>2014</v>
      </c>
      <c r="C620" t="s">
        <v>179</v>
      </c>
      <c r="D620" t="s">
        <v>877</v>
      </c>
      <c r="E620" s="65">
        <v>530</v>
      </c>
      <c r="F620" s="33">
        <v>0.95</v>
      </c>
      <c r="G620" t="s">
        <v>878</v>
      </c>
      <c r="H620" t="s">
        <v>144</v>
      </c>
      <c r="I620" t="s">
        <v>187</v>
      </c>
      <c r="J620" t="s">
        <v>63</v>
      </c>
      <c r="K620" t="s">
        <v>201</v>
      </c>
      <c r="L620" s="17">
        <v>1</v>
      </c>
      <c r="M620" s="28"/>
    </row>
    <row r="621" spans="1:13" s="25" customFormat="1" x14ac:dyDescent="0.2">
      <c r="A621">
        <f t="shared" si="9"/>
        <v>615</v>
      </c>
      <c r="B621">
        <v>2014</v>
      </c>
      <c r="C621" t="s">
        <v>179</v>
      </c>
      <c r="D621" t="s">
        <v>454</v>
      </c>
      <c r="E621" s="65">
        <v>500</v>
      </c>
      <c r="F621" s="33">
        <v>0.28000000000000003</v>
      </c>
      <c r="G621" t="s">
        <v>879</v>
      </c>
      <c r="H621" t="s">
        <v>145</v>
      </c>
      <c r="J621" t="s">
        <v>113</v>
      </c>
      <c r="K621" t="s">
        <v>183</v>
      </c>
      <c r="L621" s="17">
        <v>0</v>
      </c>
      <c r="M621" s="28"/>
    </row>
    <row r="622" spans="1:13" s="25" customFormat="1" x14ac:dyDescent="0.2">
      <c r="A622">
        <f t="shared" si="9"/>
        <v>616</v>
      </c>
      <c r="B622">
        <v>2014</v>
      </c>
      <c r="C622" t="s">
        <v>179</v>
      </c>
      <c r="D622" t="s">
        <v>880</v>
      </c>
      <c r="E622" s="65">
        <v>210</v>
      </c>
      <c r="F622" s="33">
        <v>0.7</v>
      </c>
      <c r="G622" t="s">
        <v>881</v>
      </c>
      <c r="H622" t="s">
        <v>151</v>
      </c>
      <c r="I622" t="s">
        <v>224</v>
      </c>
      <c r="J622" t="s">
        <v>131</v>
      </c>
      <c r="K622" t="s">
        <v>131</v>
      </c>
      <c r="L622" s="17">
        <v>0</v>
      </c>
      <c r="M622" s="28"/>
    </row>
    <row r="623" spans="1:13" s="25" customFormat="1" x14ac:dyDescent="0.2">
      <c r="A623">
        <f t="shared" si="9"/>
        <v>617</v>
      </c>
      <c r="B623">
        <v>2014</v>
      </c>
      <c r="C623" t="s">
        <v>179</v>
      </c>
      <c r="D623" t="s">
        <v>554</v>
      </c>
      <c r="E623" s="65">
        <v>140</v>
      </c>
      <c r="F623" s="33">
        <v>0.19</v>
      </c>
      <c r="G623" t="s">
        <v>716</v>
      </c>
      <c r="H623" t="s">
        <v>146</v>
      </c>
      <c r="I623" t="s">
        <v>275</v>
      </c>
      <c r="J623" t="s">
        <v>45</v>
      </c>
      <c r="K623" t="s">
        <v>195</v>
      </c>
      <c r="L623" s="17">
        <v>0</v>
      </c>
      <c r="M623" s="28"/>
    </row>
    <row r="624" spans="1:13" s="25" customFormat="1" x14ac:dyDescent="0.2">
      <c r="A624">
        <f t="shared" si="9"/>
        <v>618</v>
      </c>
      <c r="B624">
        <v>2014</v>
      </c>
      <c r="C624" t="s">
        <v>179</v>
      </c>
      <c r="D624" t="s">
        <v>300</v>
      </c>
      <c r="E624" s="65">
        <v>2760</v>
      </c>
      <c r="F624" s="33" t="s">
        <v>882</v>
      </c>
      <c r="G624" t="s">
        <v>883</v>
      </c>
      <c r="H624" t="s">
        <v>144</v>
      </c>
      <c r="J624" t="s">
        <v>58</v>
      </c>
      <c r="K624" t="s">
        <v>195</v>
      </c>
      <c r="L624" s="17">
        <v>0</v>
      </c>
      <c r="M624" s="28"/>
    </row>
    <row r="625" spans="1:13" s="25" customFormat="1" x14ac:dyDescent="0.2">
      <c r="A625">
        <f t="shared" si="9"/>
        <v>619</v>
      </c>
      <c r="B625">
        <v>2014</v>
      </c>
      <c r="C625" t="s">
        <v>179</v>
      </c>
      <c r="D625" t="s">
        <v>869</v>
      </c>
      <c r="E625" s="65">
        <v>800</v>
      </c>
      <c r="F625" s="33"/>
      <c r="G625" t="s">
        <v>884</v>
      </c>
      <c r="H625" t="s">
        <v>155</v>
      </c>
      <c r="J625" t="s">
        <v>86</v>
      </c>
      <c r="K625" t="s">
        <v>183</v>
      </c>
      <c r="L625" s="17">
        <v>1</v>
      </c>
      <c r="M625" s="28"/>
    </row>
    <row r="626" spans="1:13" s="25" customFormat="1" x14ac:dyDescent="0.2">
      <c r="A626">
        <f t="shared" si="9"/>
        <v>620</v>
      </c>
      <c r="B626">
        <v>2014</v>
      </c>
      <c r="C626" t="s">
        <v>179</v>
      </c>
      <c r="D626" t="s">
        <v>438</v>
      </c>
      <c r="E626" s="65">
        <v>200</v>
      </c>
      <c r="F626" s="33">
        <v>1</v>
      </c>
      <c r="G626" t="s">
        <v>885</v>
      </c>
      <c r="H626" t="s">
        <v>154</v>
      </c>
      <c r="I626" t="s">
        <v>194</v>
      </c>
      <c r="J626" t="s">
        <v>20</v>
      </c>
      <c r="K626" t="s">
        <v>195</v>
      </c>
      <c r="L626" s="17">
        <v>0</v>
      </c>
      <c r="M626" s="28"/>
    </row>
    <row r="627" spans="1:13" s="25" customFormat="1" x14ac:dyDescent="0.2">
      <c r="A627">
        <f t="shared" si="9"/>
        <v>621</v>
      </c>
      <c r="B627">
        <v>2014</v>
      </c>
      <c r="C627" t="s">
        <v>179</v>
      </c>
      <c r="D627" t="s">
        <v>705</v>
      </c>
      <c r="E627" s="65">
        <v>320</v>
      </c>
      <c r="F627" s="33"/>
      <c r="H627" t="s">
        <v>153</v>
      </c>
      <c r="J627" t="s">
        <v>25</v>
      </c>
      <c r="K627" t="s">
        <v>177</v>
      </c>
      <c r="L627" s="17">
        <v>0</v>
      </c>
      <c r="M627" s="28"/>
    </row>
    <row r="628" spans="1:13" s="25" customFormat="1" x14ac:dyDescent="0.2">
      <c r="A628">
        <f t="shared" si="9"/>
        <v>622</v>
      </c>
      <c r="B628">
        <v>2014</v>
      </c>
      <c r="C628" t="s">
        <v>179</v>
      </c>
      <c r="D628" t="s">
        <v>705</v>
      </c>
      <c r="E628" s="65">
        <v>1060</v>
      </c>
      <c r="F628" s="33"/>
      <c r="G628" t="s">
        <v>886</v>
      </c>
      <c r="H628" t="s">
        <v>151</v>
      </c>
      <c r="I628" t="s">
        <v>224</v>
      </c>
      <c r="J628" t="s">
        <v>20</v>
      </c>
      <c r="K628" t="s">
        <v>195</v>
      </c>
      <c r="L628" s="17">
        <v>0</v>
      </c>
      <c r="M628" s="28" t="s">
        <v>178</v>
      </c>
    </row>
    <row r="629" spans="1:13" s="25" customFormat="1" x14ac:dyDescent="0.2">
      <c r="A629">
        <f t="shared" si="9"/>
        <v>623</v>
      </c>
      <c r="B629">
        <v>2014</v>
      </c>
      <c r="C629" t="s">
        <v>179</v>
      </c>
      <c r="D629" t="s">
        <v>822</v>
      </c>
      <c r="E629" s="65">
        <v>220</v>
      </c>
      <c r="F629" s="33">
        <v>0.2</v>
      </c>
      <c r="G629" t="s">
        <v>887</v>
      </c>
      <c r="H629" t="s">
        <v>152</v>
      </c>
      <c r="I629" t="s">
        <v>257</v>
      </c>
      <c r="J629" t="s">
        <v>131</v>
      </c>
      <c r="K629" t="s">
        <v>131</v>
      </c>
      <c r="L629" s="17">
        <v>0</v>
      </c>
      <c r="M629" s="28"/>
    </row>
    <row r="630" spans="1:13" s="25" customFormat="1" x14ac:dyDescent="0.2">
      <c r="A630">
        <f t="shared" si="9"/>
        <v>624</v>
      </c>
      <c r="B630">
        <v>2014</v>
      </c>
      <c r="C630" t="s">
        <v>179</v>
      </c>
      <c r="D630" t="s">
        <v>888</v>
      </c>
      <c r="E630" s="65">
        <v>250</v>
      </c>
      <c r="F630" s="33">
        <v>1</v>
      </c>
      <c r="H630" t="s">
        <v>144</v>
      </c>
      <c r="I630" t="s">
        <v>232</v>
      </c>
      <c r="J630" t="s">
        <v>139</v>
      </c>
      <c r="K630" t="s">
        <v>219</v>
      </c>
      <c r="L630" s="17">
        <v>1</v>
      </c>
      <c r="M630" s="28" t="s">
        <v>178</v>
      </c>
    </row>
    <row r="631" spans="1:13" s="25" customFormat="1" x14ac:dyDescent="0.2">
      <c r="A631">
        <f t="shared" si="9"/>
        <v>625</v>
      </c>
      <c r="B631">
        <v>2014</v>
      </c>
      <c r="C631" t="s">
        <v>179</v>
      </c>
      <c r="D631" t="s">
        <v>698</v>
      </c>
      <c r="E631" s="65">
        <v>120</v>
      </c>
      <c r="F631" s="33"/>
      <c r="H631" t="s">
        <v>150</v>
      </c>
      <c r="I631" t="s">
        <v>292</v>
      </c>
      <c r="J631" t="s">
        <v>93</v>
      </c>
      <c r="K631" t="s">
        <v>201</v>
      </c>
      <c r="L631" s="17">
        <v>1</v>
      </c>
      <c r="M631" s="28"/>
    </row>
    <row r="632" spans="1:13" s="25" customFormat="1" x14ac:dyDescent="0.2">
      <c r="A632">
        <f t="shared" si="9"/>
        <v>626</v>
      </c>
      <c r="B632">
        <v>2014</v>
      </c>
      <c r="C632" t="s">
        <v>179</v>
      </c>
      <c r="D632" t="s">
        <v>692</v>
      </c>
      <c r="E632" s="65">
        <v>440</v>
      </c>
      <c r="F632" s="33">
        <v>0.33</v>
      </c>
      <c r="G632" t="s">
        <v>889</v>
      </c>
      <c r="H632" t="s">
        <v>144</v>
      </c>
      <c r="J632" t="s">
        <v>75</v>
      </c>
      <c r="K632" t="s">
        <v>195</v>
      </c>
      <c r="L632" s="17">
        <v>1</v>
      </c>
      <c r="M632" s="28"/>
    </row>
    <row r="633" spans="1:13" s="25" customFormat="1" x14ac:dyDescent="0.2">
      <c r="A633">
        <f t="shared" si="9"/>
        <v>627</v>
      </c>
      <c r="B633">
        <v>2014</v>
      </c>
      <c r="C633" t="s">
        <v>184</v>
      </c>
      <c r="D633" t="s">
        <v>890</v>
      </c>
      <c r="E633" s="65">
        <v>6950</v>
      </c>
      <c r="F633" s="33" t="s">
        <v>891</v>
      </c>
      <c r="G633" t="s">
        <v>560</v>
      </c>
      <c r="H633" t="s">
        <v>149</v>
      </c>
      <c r="I633" t="s">
        <v>236</v>
      </c>
      <c r="J633" t="s">
        <v>96</v>
      </c>
      <c r="K633" t="s">
        <v>205</v>
      </c>
      <c r="L633" s="17">
        <v>1</v>
      </c>
      <c r="M633" s="28" t="s">
        <v>178</v>
      </c>
    </row>
    <row r="634" spans="1:13" s="25" customFormat="1" x14ac:dyDescent="0.2">
      <c r="A634">
        <f t="shared" si="9"/>
        <v>628</v>
      </c>
      <c r="B634">
        <v>2014</v>
      </c>
      <c r="C634" t="s">
        <v>184</v>
      </c>
      <c r="D634" t="s">
        <v>189</v>
      </c>
      <c r="E634" s="65">
        <v>1090</v>
      </c>
      <c r="F634" s="33">
        <v>0.5</v>
      </c>
      <c r="G634" t="s">
        <v>892</v>
      </c>
      <c r="H634" t="s">
        <v>144</v>
      </c>
      <c r="I634" t="s">
        <v>187</v>
      </c>
      <c r="J634" t="s">
        <v>63</v>
      </c>
      <c r="K634" t="s">
        <v>201</v>
      </c>
      <c r="L634" s="17">
        <v>1</v>
      </c>
      <c r="M634" s="28"/>
    </row>
    <row r="635" spans="1:13" s="25" customFormat="1" x14ac:dyDescent="0.2">
      <c r="A635">
        <f t="shared" si="9"/>
        <v>629</v>
      </c>
      <c r="B635">
        <v>2014</v>
      </c>
      <c r="C635" t="s">
        <v>184</v>
      </c>
      <c r="D635" s="52" t="s">
        <v>255</v>
      </c>
      <c r="E635" s="65">
        <v>520</v>
      </c>
      <c r="F635" s="33">
        <v>1</v>
      </c>
      <c r="G635" t="s">
        <v>893</v>
      </c>
      <c r="H635" t="s">
        <v>152</v>
      </c>
      <c r="I635" t="s">
        <v>257</v>
      </c>
      <c r="J635" t="s">
        <v>93</v>
      </c>
      <c r="K635" t="s">
        <v>201</v>
      </c>
      <c r="L635" s="17">
        <v>1</v>
      </c>
      <c r="M635" s="28"/>
    </row>
    <row r="636" spans="1:13" s="25" customFormat="1" x14ac:dyDescent="0.2">
      <c r="A636">
        <f t="shared" si="9"/>
        <v>630</v>
      </c>
      <c r="B636">
        <v>2014</v>
      </c>
      <c r="C636" t="s">
        <v>184</v>
      </c>
      <c r="D636" t="s">
        <v>283</v>
      </c>
      <c r="E636" s="65">
        <v>320</v>
      </c>
      <c r="F636" s="33">
        <v>0.76</v>
      </c>
      <c r="G636" t="s">
        <v>894</v>
      </c>
      <c r="H636" t="s">
        <v>146</v>
      </c>
      <c r="I636" t="s">
        <v>275</v>
      </c>
      <c r="J636" t="s">
        <v>128</v>
      </c>
      <c r="K636" t="s">
        <v>201</v>
      </c>
      <c r="L636" s="17">
        <v>1</v>
      </c>
      <c r="M636" s="28"/>
    </row>
    <row r="637" spans="1:13" s="25" customFormat="1" x14ac:dyDescent="0.2">
      <c r="A637">
        <f t="shared" si="9"/>
        <v>631</v>
      </c>
      <c r="B637">
        <v>2014</v>
      </c>
      <c r="C637" t="s">
        <v>184</v>
      </c>
      <c r="D637" t="s">
        <v>895</v>
      </c>
      <c r="E637" s="65">
        <v>760</v>
      </c>
      <c r="F637" s="33">
        <v>0.89</v>
      </c>
      <c r="G637" t="s">
        <v>896</v>
      </c>
      <c r="H637" t="s">
        <v>150</v>
      </c>
      <c r="I637" t="s">
        <v>556</v>
      </c>
      <c r="J637" t="s">
        <v>20</v>
      </c>
      <c r="K637" t="s">
        <v>195</v>
      </c>
      <c r="L637" s="17">
        <v>0</v>
      </c>
      <c r="M637" s="28"/>
    </row>
    <row r="638" spans="1:13" s="25" customFormat="1" x14ac:dyDescent="0.2">
      <c r="A638">
        <f t="shared" si="9"/>
        <v>632</v>
      </c>
      <c r="B638">
        <v>2014</v>
      </c>
      <c r="C638" t="s">
        <v>184</v>
      </c>
      <c r="D638" t="s">
        <v>477</v>
      </c>
      <c r="E638" s="65">
        <v>820</v>
      </c>
      <c r="F638" s="33">
        <v>0.5</v>
      </c>
      <c r="G638" t="s">
        <v>897</v>
      </c>
      <c r="H638" t="s">
        <v>154</v>
      </c>
      <c r="I638" t="s">
        <v>271</v>
      </c>
      <c r="J638" t="s">
        <v>9</v>
      </c>
      <c r="K638" t="s">
        <v>9</v>
      </c>
      <c r="L638" s="17">
        <v>0</v>
      </c>
      <c r="M638" s="28"/>
    </row>
    <row r="639" spans="1:13" s="25" customFormat="1" x14ac:dyDescent="0.2">
      <c r="A639">
        <f t="shared" si="9"/>
        <v>633</v>
      </c>
      <c r="B639">
        <v>2014</v>
      </c>
      <c r="C639" t="s">
        <v>184</v>
      </c>
      <c r="D639" t="s">
        <v>898</v>
      </c>
      <c r="E639" s="65">
        <v>510</v>
      </c>
      <c r="F639" s="33">
        <v>1</v>
      </c>
      <c r="H639" t="s">
        <v>151</v>
      </c>
      <c r="I639" t="s">
        <v>224</v>
      </c>
      <c r="J639" t="s">
        <v>9</v>
      </c>
      <c r="K639" t="s">
        <v>9</v>
      </c>
      <c r="L639" s="17">
        <v>0</v>
      </c>
      <c r="M639" s="28" t="s">
        <v>178</v>
      </c>
    </row>
    <row r="640" spans="1:13" s="25" customFormat="1" x14ac:dyDescent="0.2">
      <c r="A640">
        <f t="shared" si="9"/>
        <v>634</v>
      </c>
      <c r="B640">
        <v>2014</v>
      </c>
      <c r="C640" t="s">
        <v>184</v>
      </c>
      <c r="D640" t="s">
        <v>899</v>
      </c>
      <c r="E640" s="65">
        <v>440</v>
      </c>
      <c r="F640" s="33"/>
      <c r="H640" t="s">
        <v>144</v>
      </c>
      <c r="I640" t="s">
        <v>299</v>
      </c>
      <c r="J640" t="s">
        <v>25</v>
      </c>
      <c r="K640" t="s">
        <v>177</v>
      </c>
      <c r="L640" s="17">
        <v>0</v>
      </c>
      <c r="M640" s="28" t="s">
        <v>178</v>
      </c>
    </row>
    <row r="641" spans="1:13" s="25" customFormat="1" x14ac:dyDescent="0.2">
      <c r="A641">
        <f t="shared" si="9"/>
        <v>635</v>
      </c>
      <c r="B641">
        <v>2014</v>
      </c>
      <c r="C641" t="s">
        <v>184</v>
      </c>
      <c r="D641" t="s">
        <v>900</v>
      </c>
      <c r="E641" s="65">
        <v>750</v>
      </c>
      <c r="F641" s="33"/>
      <c r="G641" t="s">
        <v>901</v>
      </c>
      <c r="H641" t="s">
        <v>142</v>
      </c>
      <c r="J641" t="s">
        <v>19</v>
      </c>
      <c r="K641" t="s">
        <v>205</v>
      </c>
      <c r="L641" s="17">
        <v>0</v>
      </c>
      <c r="M641" s="28"/>
    </row>
    <row r="642" spans="1:13" s="25" customFormat="1" x14ac:dyDescent="0.2">
      <c r="A642">
        <f t="shared" si="9"/>
        <v>636</v>
      </c>
      <c r="B642">
        <v>2014</v>
      </c>
      <c r="C642" t="s">
        <v>225</v>
      </c>
      <c r="D642" t="s">
        <v>902</v>
      </c>
      <c r="E642" s="65">
        <v>1240</v>
      </c>
      <c r="F642" s="33" t="s">
        <v>903</v>
      </c>
      <c r="G642" t="s">
        <v>904</v>
      </c>
      <c r="H642" t="s">
        <v>144</v>
      </c>
      <c r="I642" t="s">
        <v>299</v>
      </c>
      <c r="J642" t="s">
        <v>25</v>
      </c>
      <c r="K642" t="s">
        <v>177</v>
      </c>
      <c r="L642" s="17">
        <v>0</v>
      </c>
      <c r="M642" s="28" t="s">
        <v>178</v>
      </c>
    </row>
    <row r="643" spans="1:13" s="25" customFormat="1" x14ac:dyDescent="0.2">
      <c r="A643">
        <f t="shared" si="9"/>
        <v>637</v>
      </c>
      <c r="B643">
        <v>2014</v>
      </c>
      <c r="C643" t="s">
        <v>225</v>
      </c>
      <c r="D643" t="s">
        <v>822</v>
      </c>
      <c r="E643" s="65">
        <v>210</v>
      </c>
      <c r="F643" s="33">
        <v>0.1</v>
      </c>
      <c r="G643" t="s">
        <v>905</v>
      </c>
      <c r="H643" t="s">
        <v>148</v>
      </c>
      <c r="J643" t="s">
        <v>108</v>
      </c>
      <c r="K643" t="s">
        <v>183</v>
      </c>
      <c r="L643" s="17">
        <v>1</v>
      </c>
      <c r="M643" s="28"/>
    </row>
    <row r="644" spans="1:13" s="25" customFormat="1" x14ac:dyDescent="0.2">
      <c r="A644">
        <f t="shared" si="9"/>
        <v>638</v>
      </c>
      <c r="B644">
        <v>2014</v>
      </c>
      <c r="C644" t="s">
        <v>225</v>
      </c>
      <c r="D644" t="s">
        <v>588</v>
      </c>
      <c r="E644" s="65">
        <v>1560</v>
      </c>
      <c r="F644" s="33">
        <v>0.78</v>
      </c>
      <c r="G644" t="s">
        <v>906</v>
      </c>
      <c r="H644" t="s">
        <v>142</v>
      </c>
      <c r="J644" t="s">
        <v>57</v>
      </c>
      <c r="K644" t="s">
        <v>195</v>
      </c>
      <c r="L644" s="17">
        <v>0</v>
      </c>
      <c r="M644" s="28"/>
    </row>
    <row r="645" spans="1:13" s="25" customFormat="1" x14ac:dyDescent="0.2">
      <c r="A645">
        <f t="shared" si="9"/>
        <v>639</v>
      </c>
      <c r="B645">
        <v>2014</v>
      </c>
      <c r="C645" t="s">
        <v>225</v>
      </c>
      <c r="D645" t="s">
        <v>180</v>
      </c>
      <c r="E645" s="65">
        <v>350</v>
      </c>
      <c r="F645" s="33"/>
      <c r="H645" t="s">
        <v>149</v>
      </c>
      <c r="I645" t="s">
        <v>182</v>
      </c>
      <c r="J645" t="s">
        <v>54</v>
      </c>
      <c r="K645" t="s">
        <v>201</v>
      </c>
      <c r="L645" s="17">
        <v>1</v>
      </c>
      <c r="M645" s="28" t="s">
        <v>178</v>
      </c>
    </row>
    <row r="646" spans="1:13" s="25" customFormat="1" x14ac:dyDescent="0.2">
      <c r="A646">
        <f t="shared" si="9"/>
        <v>640</v>
      </c>
      <c r="B646">
        <v>2014</v>
      </c>
      <c r="C646" t="s">
        <v>225</v>
      </c>
      <c r="D646" t="s">
        <v>399</v>
      </c>
      <c r="E646" s="65">
        <v>560</v>
      </c>
      <c r="F646" s="33">
        <v>0.4</v>
      </c>
      <c r="G646" t="s">
        <v>907</v>
      </c>
      <c r="H646" t="s">
        <v>144</v>
      </c>
      <c r="J646" t="s">
        <v>58</v>
      </c>
      <c r="K646" t="s">
        <v>195</v>
      </c>
      <c r="L646" s="17">
        <v>0</v>
      </c>
      <c r="M646" s="28"/>
    </row>
    <row r="647" spans="1:13" s="25" customFormat="1" x14ac:dyDescent="0.2">
      <c r="A647">
        <f t="shared" ref="A647:A710" si="10">ROW()-6</f>
        <v>641</v>
      </c>
      <c r="B647">
        <v>2014</v>
      </c>
      <c r="C647" t="s">
        <v>225</v>
      </c>
      <c r="D647" t="s">
        <v>908</v>
      </c>
      <c r="E647" s="65">
        <v>510</v>
      </c>
      <c r="F647" s="33"/>
      <c r="H647" t="s">
        <v>149</v>
      </c>
      <c r="I647" t="s">
        <v>238</v>
      </c>
      <c r="J647" t="s">
        <v>48</v>
      </c>
      <c r="K647" t="s">
        <v>219</v>
      </c>
      <c r="L647" s="17">
        <v>1</v>
      </c>
      <c r="M647" s="28" t="s">
        <v>178</v>
      </c>
    </row>
    <row r="648" spans="1:13" s="25" customFormat="1" ht="15" customHeight="1" x14ac:dyDescent="0.2">
      <c r="A648">
        <f t="shared" si="10"/>
        <v>642</v>
      </c>
      <c r="B648">
        <v>2014</v>
      </c>
      <c r="C648" t="s">
        <v>225</v>
      </c>
      <c r="D648" t="s">
        <v>909</v>
      </c>
      <c r="E648" s="65">
        <v>350</v>
      </c>
      <c r="F648" s="33">
        <v>0.95</v>
      </c>
      <c r="H648" t="s">
        <v>151</v>
      </c>
      <c r="I648" t="s">
        <v>224</v>
      </c>
      <c r="J648" t="s">
        <v>131</v>
      </c>
      <c r="K648" t="s">
        <v>131</v>
      </c>
      <c r="L648" s="17">
        <v>0</v>
      </c>
      <c r="M648" s="28"/>
    </row>
    <row r="649" spans="1:13" s="25" customFormat="1" x14ac:dyDescent="0.2">
      <c r="A649">
        <f t="shared" si="10"/>
        <v>643</v>
      </c>
      <c r="B649">
        <v>2014</v>
      </c>
      <c r="C649" t="s">
        <v>225</v>
      </c>
      <c r="D649" t="s">
        <v>910</v>
      </c>
      <c r="E649" s="65">
        <v>300</v>
      </c>
      <c r="F649" s="33">
        <v>1</v>
      </c>
      <c r="H649" t="s">
        <v>152</v>
      </c>
      <c r="I649" t="s">
        <v>257</v>
      </c>
      <c r="J649" t="s">
        <v>131</v>
      </c>
      <c r="K649" t="s">
        <v>131</v>
      </c>
      <c r="L649" s="17">
        <v>0</v>
      </c>
      <c r="M649" s="28" t="s">
        <v>178</v>
      </c>
    </row>
    <row r="650" spans="1:13" s="25" customFormat="1" x14ac:dyDescent="0.2">
      <c r="A650">
        <f t="shared" si="10"/>
        <v>644</v>
      </c>
      <c r="B650">
        <v>2014</v>
      </c>
      <c r="C650" t="s">
        <v>225</v>
      </c>
      <c r="D650" t="s">
        <v>373</v>
      </c>
      <c r="E650" s="65">
        <v>180</v>
      </c>
      <c r="F650" s="33"/>
      <c r="G650" t="s">
        <v>911</v>
      </c>
      <c r="H650" t="s">
        <v>153</v>
      </c>
      <c r="J650" t="s">
        <v>114</v>
      </c>
      <c r="K650" t="s">
        <v>195</v>
      </c>
      <c r="L650" s="17">
        <v>0</v>
      </c>
      <c r="M650" s="28"/>
    </row>
    <row r="651" spans="1:13" s="25" customFormat="1" x14ac:dyDescent="0.2">
      <c r="A651">
        <f t="shared" si="10"/>
        <v>645</v>
      </c>
      <c r="B651">
        <v>2014</v>
      </c>
      <c r="C651" t="s">
        <v>225</v>
      </c>
      <c r="D651" t="s">
        <v>421</v>
      </c>
      <c r="E651" s="65">
        <v>640</v>
      </c>
      <c r="F651" s="33">
        <v>1</v>
      </c>
      <c r="G651" t="s">
        <v>912</v>
      </c>
      <c r="H651" t="s">
        <v>154</v>
      </c>
      <c r="I651" t="s">
        <v>194</v>
      </c>
      <c r="J651" t="s">
        <v>45</v>
      </c>
      <c r="K651" t="s">
        <v>195</v>
      </c>
      <c r="L651" s="17">
        <v>0</v>
      </c>
      <c r="M651" s="28"/>
    </row>
    <row r="652" spans="1:13" s="25" customFormat="1" x14ac:dyDescent="0.2">
      <c r="A652">
        <f t="shared" si="10"/>
        <v>646</v>
      </c>
      <c r="B652">
        <v>2014</v>
      </c>
      <c r="C652" t="s">
        <v>225</v>
      </c>
      <c r="D652" t="s">
        <v>199</v>
      </c>
      <c r="E652" s="65">
        <v>600</v>
      </c>
      <c r="F652" s="33">
        <v>1</v>
      </c>
      <c r="H652" t="s">
        <v>144</v>
      </c>
      <c r="I652" t="s">
        <v>299</v>
      </c>
      <c r="J652" t="s">
        <v>129</v>
      </c>
      <c r="K652" t="s">
        <v>201</v>
      </c>
      <c r="L652" s="17">
        <v>1</v>
      </c>
      <c r="M652" s="28" t="s">
        <v>178</v>
      </c>
    </row>
    <row r="653" spans="1:13" s="25" customFormat="1" x14ac:dyDescent="0.2">
      <c r="A653">
        <f t="shared" si="10"/>
        <v>647</v>
      </c>
      <c r="B653">
        <v>2014</v>
      </c>
      <c r="C653" t="s">
        <v>188</v>
      </c>
      <c r="D653" t="s">
        <v>913</v>
      </c>
      <c r="E653" s="65">
        <v>200</v>
      </c>
      <c r="F653" s="33"/>
      <c r="H653" t="s">
        <v>145</v>
      </c>
      <c r="J653" t="s">
        <v>131</v>
      </c>
      <c r="K653" t="s">
        <v>131</v>
      </c>
      <c r="L653" s="17">
        <v>0</v>
      </c>
      <c r="M653" s="28" t="s">
        <v>178</v>
      </c>
    </row>
    <row r="654" spans="1:13" s="25" customFormat="1" x14ac:dyDescent="0.2">
      <c r="A654">
        <f t="shared" si="10"/>
        <v>648</v>
      </c>
      <c r="B654">
        <v>2014</v>
      </c>
      <c r="C654" t="s">
        <v>188</v>
      </c>
      <c r="D654" t="s">
        <v>914</v>
      </c>
      <c r="E654" s="65">
        <v>740</v>
      </c>
      <c r="F654" s="33">
        <v>1</v>
      </c>
      <c r="H654" t="s">
        <v>153</v>
      </c>
      <c r="J654" t="s">
        <v>7</v>
      </c>
      <c r="K654" t="s">
        <v>177</v>
      </c>
      <c r="L654" s="17">
        <v>1</v>
      </c>
      <c r="M654" s="28" t="s">
        <v>178</v>
      </c>
    </row>
    <row r="655" spans="1:13" s="25" customFormat="1" x14ac:dyDescent="0.2">
      <c r="A655">
        <f t="shared" si="10"/>
        <v>649</v>
      </c>
      <c r="B655">
        <v>2014</v>
      </c>
      <c r="C655" t="s">
        <v>188</v>
      </c>
      <c r="D655" t="s">
        <v>661</v>
      </c>
      <c r="E655" s="65">
        <v>360</v>
      </c>
      <c r="F655" s="33"/>
      <c r="G655" t="s">
        <v>915</v>
      </c>
      <c r="H655" t="s">
        <v>151</v>
      </c>
      <c r="I655" t="s">
        <v>224</v>
      </c>
      <c r="J655" t="s">
        <v>114</v>
      </c>
      <c r="K655" t="s">
        <v>195</v>
      </c>
      <c r="L655" s="17">
        <v>0</v>
      </c>
      <c r="M655" s="28"/>
    </row>
    <row r="656" spans="1:13" s="25" customFormat="1" x14ac:dyDescent="0.2">
      <c r="A656">
        <f t="shared" si="10"/>
        <v>650</v>
      </c>
      <c r="B656">
        <v>2014</v>
      </c>
      <c r="C656" t="s">
        <v>188</v>
      </c>
      <c r="D656" s="52" t="s">
        <v>255</v>
      </c>
      <c r="E656" s="65">
        <v>880</v>
      </c>
      <c r="F656" s="33">
        <v>0.18</v>
      </c>
      <c r="G656" t="s">
        <v>916</v>
      </c>
      <c r="H656" t="s">
        <v>152</v>
      </c>
      <c r="I656" t="s">
        <v>257</v>
      </c>
      <c r="J656" t="s">
        <v>124</v>
      </c>
      <c r="K656" t="s">
        <v>183</v>
      </c>
      <c r="L656" s="17">
        <v>1</v>
      </c>
      <c r="M656" s="28"/>
    </row>
    <row r="657" spans="1:13" s="25" customFormat="1" x14ac:dyDescent="0.2">
      <c r="A657">
        <f t="shared" si="10"/>
        <v>651</v>
      </c>
      <c r="B657">
        <v>2014</v>
      </c>
      <c r="C657" t="s">
        <v>188</v>
      </c>
      <c r="D657" t="s">
        <v>917</v>
      </c>
      <c r="E657" s="65">
        <v>170</v>
      </c>
      <c r="F657" s="33">
        <v>1</v>
      </c>
      <c r="G657" t="s">
        <v>918</v>
      </c>
      <c r="H657" t="s">
        <v>150</v>
      </c>
      <c r="I657" t="s">
        <v>556</v>
      </c>
      <c r="J657" t="s">
        <v>131</v>
      </c>
      <c r="K657" t="s">
        <v>131</v>
      </c>
      <c r="L657" s="17">
        <v>0</v>
      </c>
      <c r="M657" s="28"/>
    </row>
    <row r="658" spans="1:13" s="25" customFormat="1" x14ac:dyDescent="0.2">
      <c r="A658">
        <f t="shared" si="10"/>
        <v>652</v>
      </c>
      <c r="B658">
        <v>2014</v>
      </c>
      <c r="C658" t="s">
        <v>188</v>
      </c>
      <c r="D658" t="s">
        <v>319</v>
      </c>
      <c r="E658" s="65">
        <v>950</v>
      </c>
      <c r="F658" s="33">
        <v>0.7</v>
      </c>
      <c r="G658" t="s">
        <v>919</v>
      </c>
      <c r="H658" t="s">
        <v>151</v>
      </c>
      <c r="I658" t="s">
        <v>224</v>
      </c>
      <c r="J658" t="s">
        <v>20</v>
      </c>
      <c r="K658" t="s">
        <v>195</v>
      </c>
      <c r="L658" s="17">
        <v>0</v>
      </c>
      <c r="M658" s="28"/>
    </row>
    <row r="659" spans="1:13" s="25" customFormat="1" x14ac:dyDescent="0.2">
      <c r="A659">
        <f t="shared" si="10"/>
        <v>653</v>
      </c>
      <c r="B659">
        <v>2014</v>
      </c>
      <c r="C659" t="s">
        <v>188</v>
      </c>
      <c r="D659" t="s">
        <v>664</v>
      </c>
      <c r="E659" s="65">
        <v>190</v>
      </c>
      <c r="F659" s="33"/>
      <c r="G659" t="s">
        <v>920</v>
      </c>
      <c r="H659" t="s">
        <v>151</v>
      </c>
      <c r="I659" t="s">
        <v>224</v>
      </c>
      <c r="J659" t="s">
        <v>20</v>
      </c>
      <c r="K659" t="s">
        <v>195</v>
      </c>
      <c r="L659" s="17">
        <v>0</v>
      </c>
      <c r="M659" s="28"/>
    </row>
    <row r="660" spans="1:13" s="25" customFormat="1" x14ac:dyDescent="0.2">
      <c r="A660">
        <f t="shared" si="10"/>
        <v>654</v>
      </c>
      <c r="B660">
        <v>2014</v>
      </c>
      <c r="C660" t="s">
        <v>188</v>
      </c>
      <c r="D660" t="s">
        <v>668</v>
      </c>
      <c r="E660" s="65">
        <v>100</v>
      </c>
      <c r="F660" s="33"/>
      <c r="H660" t="s">
        <v>144</v>
      </c>
      <c r="J660" t="s">
        <v>52</v>
      </c>
      <c r="K660" t="s">
        <v>201</v>
      </c>
      <c r="L660" s="17">
        <v>0</v>
      </c>
      <c r="M660" s="28"/>
    </row>
    <row r="661" spans="1:13" s="25" customFormat="1" x14ac:dyDescent="0.2">
      <c r="A661">
        <f t="shared" si="10"/>
        <v>655</v>
      </c>
      <c r="B661">
        <v>2014</v>
      </c>
      <c r="C661" t="s">
        <v>188</v>
      </c>
      <c r="D661" t="s">
        <v>857</v>
      </c>
      <c r="E661" s="65">
        <v>140</v>
      </c>
      <c r="F661" s="33">
        <v>1</v>
      </c>
      <c r="G661" t="s">
        <v>921</v>
      </c>
      <c r="H661" t="s">
        <v>150</v>
      </c>
      <c r="I661" t="s">
        <v>556</v>
      </c>
      <c r="J661" t="s">
        <v>131</v>
      </c>
      <c r="K661" t="s">
        <v>131</v>
      </c>
      <c r="L661" s="17">
        <v>0</v>
      </c>
      <c r="M661" s="28"/>
    </row>
    <row r="662" spans="1:13" s="25" customFormat="1" x14ac:dyDescent="0.2">
      <c r="A662">
        <f t="shared" si="10"/>
        <v>656</v>
      </c>
      <c r="B662">
        <v>2014</v>
      </c>
      <c r="C662" t="s">
        <v>188</v>
      </c>
      <c r="D662" t="s">
        <v>922</v>
      </c>
      <c r="E662" s="65">
        <v>190</v>
      </c>
      <c r="F662" s="33">
        <v>0.2</v>
      </c>
      <c r="G662" t="s">
        <v>923</v>
      </c>
      <c r="H662" t="s">
        <v>142</v>
      </c>
      <c r="J662" t="s">
        <v>9</v>
      </c>
      <c r="K662" t="s">
        <v>9</v>
      </c>
      <c r="L662" s="17">
        <v>0</v>
      </c>
      <c r="M662" s="28"/>
    </row>
    <row r="663" spans="1:13" s="25" customFormat="1" x14ac:dyDescent="0.2">
      <c r="A663">
        <f t="shared" si="10"/>
        <v>657</v>
      </c>
      <c r="B663">
        <v>2014</v>
      </c>
      <c r="C663" t="s">
        <v>188</v>
      </c>
      <c r="D663" t="s">
        <v>924</v>
      </c>
      <c r="E663" s="65">
        <v>2040</v>
      </c>
      <c r="F663" s="33"/>
      <c r="H663" t="s">
        <v>149</v>
      </c>
      <c r="I663" t="s">
        <v>236</v>
      </c>
      <c r="J663" t="s">
        <v>37</v>
      </c>
      <c r="K663" t="s">
        <v>205</v>
      </c>
      <c r="L663" s="17">
        <v>1</v>
      </c>
      <c r="M663" s="28" t="s">
        <v>178</v>
      </c>
    </row>
    <row r="664" spans="1:13" s="25" customFormat="1" x14ac:dyDescent="0.2">
      <c r="A664">
        <f t="shared" si="10"/>
        <v>658</v>
      </c>
      <c r="B664">
        <v>2014</v>
      </c>
      <c r="C664" t="s">
        <v>191</v>
      </c>
      <c r="D664" t="s">
        <v>724</v>
      </c>
      <c r="E664" s="65">
        <v>470</v>
      </c>
      <c r="F664" s="33">
        <v>1</v>
      </c>
      <c r="H664" t="s">
        <v>151</v>
      </c>
      <c r="I664" t="s">
        <v>224</v>
      </c>
      <c r="J664" t="s">
        <v>9</v>
      </c>
      <c r="K664" t="s">
        <v>9</v>
      </c>
      <c r="L664" s="17">
        <v>0</v>
      </c>
      <c r="M664" s="28" t="s">
        <v>178</v>
      </c>
    </row>
    <row r="665" spans="1:13" s="25" customFormat="1" x14ac:dyDescent="0.2">
      <c r="A665">
        <f t="shared" si="10"/>
        <v>659</v>
      </c>
      <c r="B665">
        <v>2014</v>
      </c>
      <c r="C665" t="s">
        <v>191</v>
      </c>
      <c r="D665" t="s">
        <v>405</v>
      </c>
      <c r="E665" s="65">
        <v>860</v>
      </c>
      <c r="F665" s="33">
        <v>0.65</v>
      </c>
      <c r="G665" t="s">
        <v>406</v>
      </c>
      <c r="H665" t="s">
        <v>149</v>
      </c>
      <c r="I665" t="s">
        <v>182</v>
      </c>
      <c r="J665" t="s">
        <v>9</v>
      </c>
      <c r="K665" t="s">
        <v>9</v>
      </c>
      <c r="L665" s="17">
        <v>0</v>
      </c>
      <c r="M665" s="28"/>
    </row>
    <row r="666" spans="1:13" s="25" customFormat="1" x14ac:dyDescent="0.2">
      <c r="A666">
        <f t="shared" si="10"/>
        <v>660</v>
      </c>
      <c r="B666">
        <v>2014</v>
      </c>
      <c r="C666" t="s">
        <v>191</v>
      </c>
      <c r="D666" t="s">
        <v>925</v>
      </c>
      <c r="E666" s="65">
        <v>220</v>
      </c>
      <c r="F666" s="33">
        <v>0.2</v>
      </c>
      <c r="G666" t="s">
        <v>926</v>
      </c>
      <c r="H666" t="s">
        <v>142</v>
      </c>
      <c r="J666" t="s">
        <v>131</v>
      </c>
      <c r="K666" t="s">
        <v>131</v>
      </c>
      <c r="L666" s="17">
        <v>0</v>
      </c>
      <c r="M666" s="28"/>
    </row>
    <row r="667" spans="1:13" s="25" customFormat="1" x14ac:dyDescent="0.2">
      <c r="A667">
        <f t="shared" si="10"/>
        <v>661</v>
      </c>
      <c r="B667">
        <v>2014</v>
      </c>
      <c r="C667" t="s">
        <v>191</v>
      </c>
      <c r="D667" t="s">
        <v>927</v>
      </c>
      <c r="E667" s="65">
        <v>1540</v>
      </c>
      <c r="F667" s="33">
        <v>1</v>
      </c>
      <c r="G667" t="s">
        <v>928</v>
      </c>
      <c r="H667" t="s">
        <v>142</v>
      </c>
      <c r="J667" t="s">
        <v>20</v>
      </c>
      <c r="K667" t="s">
        <v>195</v>
      </c>
      <c r="L667" s="17">
        <v>0</v>
      </c>
      <c r="M667" s="28"/>
    </row>
    <row r="668" spans="1:13" s="25" customFormat="1" x14ac:dyDescent="0.2">
      <c r="A668">
        <f t="shared" si="10"/>
        <v>662</v>
      </c>
      <c r="B668">
        <v>2014</v>
      </c>
      <c r="C668" t="s">
        <v>191</v>
      </c>
      <c r="D668" t="s">
        <v>929</v>
      </c>
      <c r="E668" s="65">
        <v>200</v>
      </c>
      <c r="F668" s="33">
        <v>1</v>
      </c>
      <c r="H668" t="s">
        <v>150</v>
      </c>
      <c r="I668" t="s">
        <v>292</v>
      </c>
      <c r="J668" t="s">
        <v>72</v>
      </c>
      <c r="K668" t="s">
        <v>183</v>
      </c>
      <c r="L668" s="17">
        <v>1</v>
      </c>
      <c r="M668" s="28" t="s">
        <v>178</v>
      </c>
    </row>
    <row r="669" spans="1:13" s="25" customFormat="1" x14ac:dyDescent="0.2">
      <c r="A669">
        <f t="shared" si="10"/>
        <v>663</v>
      </c>
      <c r="B669">
        <v>2014</v>
      </c>
      <c r="C669" t="s">
        <v>191</v>
      </c>
      <c r="D669" t="s">
        <v>278</v>
      </c>
      <c r="E669" s="65">
        <v>300</v>
      </c>
      <c r="F669" s="33">
        <v>1</v>
      </c>
      <c r="H669" t="s">
        <v>151</v>
      </c>
      <c r="I669" t="s">
        <v>279</v>
      </c>
      <c r="J669" t="s">
        <v>19</v>
      </c>
      <c r="K669" t="s">
        <v>205</v>
      </c>
      <c r="L669" s="17">
        <v>0</v>
      </c>
      <c r="M669" s="28" t="s">
        <v>178</v>
      </c>
    </row>
    <row r="670" spans="1:13" s="25" customFormat="1" x14ac:dyDescent="0.2">
      <c r="A670">
        <f t="shared" si="10"/>
        <v>664</v>
      </c>
      <c r="B670">
        <v>2014</v>
      </c>
      <c r="C670" t="s">
        <v>191</v>
      </c>
      <c r="D670" t="s">
        <v>822</v>
      </c>
      <c r="E670" s="65">
        <v>120</v>
      </c>
      <c r="F670" s="33"/>
      <c r="G670" t="s">
        <v>930</v>
      </c>
      <c r="H670" t="s">
        <v>145</v>
      </c>
      <c r="J670" t="s">
        <v>131</v>
      </c>
      <c r="K670" t="s">
        <v>131</v>
      </c>
      <c r="L670" s="17">
        <v>0</v>
      </c>
      <c r="M670" s="28"/>
    </row>
    <row r="671" spans="1:13" s="25" customFormat="1" x14ac:dyDescent="0.2">
      <c r="A671">
        <f t="shared" si="10"/>
        <v>665</v>
      </c>
      <c r="B671">
        <v>2014</v>
      </c>
      <c r="C671" t="s">
        <v>191</v>
      </c>
      <c r="D671" t="s">
        <v>263</v>
      </c>
      <c r="E671" s="65">
        <v>1430</v>
      </c>
      <c r="F671" s="33">
        <v>0.19</v>
      </c>
      <c r="G671" t="s">
        <v>931</v>
      </c>
      <c r="H671" t="s">
        <v>144</v>
      </c>
      <c r="I671" t="s">
        <v>273</v>
      </c>
      <c r="J671" t="s">
        <v>53</v>
      </c>
      <c r="K671" t="s">
        <v>183</v>
      </c>
      <c r="L671" s="17">
        <v>1</v>
      </c>
      <c r="M671" s="28"/>
    </row>
    <row r="672" spans="1:13" s="25" customFormat="1" x14ac:dyDescent="0.2">
      <c r="A672">
        <f t="shared" si="10"/>
        <v>666</v>
      </c>
      <c r="B672">
        <v>2014</v>
      </c>
      <c r="C672" t="s">
        <v>191</v>
      </c>
      <c r="D672" t="s">
        <v>932</v>
      </c>
      <c r="E672" s="65">
        <v>300</v>
      </c>
      <c r="F672" s="33">
        <v>1</v>
      </c>
      <c r="H672" t="s">
        <v>151</v>
      </c>
      <c r="I672" t="s">
        <v>224</v>
      </c>
      <c r="J672" t="s">
        <v>40</v>
      </c>
      <c r="K672" t="s">
        <v>219</v>
      </c>
      <c r="L672" s="17">
        <v>1</v>
      </c>
      <c r="M672" s="28" t="s">
        <v>178</v>
      </c>
    </row>
    <row r="673" spans="1:13" s="25" customFormat="1" x14ac:dyDescent="0.2">
      <c r="A673">
        <f t="shared" si="10"/>
        <v>667</v>
      </c>
      <c r="B673">
        <v>2014</v>
      </c>
      <c r="C673" t="s">
        <v>191</v>
      </c>
      <c r="D673" t="s">
        <v>300</v>
      </c>
      <c r="E673" s="65">
        <v>520</v>
      </c>
      <c r="F673" s="33">
        <v>0.02</v>
      </c>
      <c r="G673" t="s">
        <v>933</v>
      </c>
      <c r="H673" t="s">
        <v>152</v>
      </c>
      <c r="I673" t="s">
        <v>257</v>
      </c>
      <c r="J673" t="s">
        <v>58</v>
      </c>
      <c r="K673" t="s">
        <v>195</v>
      </c>
      <c r="L673" s="17">
        <v>0</v>
      </c>
      <c r="M673" s="28"/>
    </row>
    <row r="674" spans="1:13" s="25" customFormat="1" x14ac:dyDescent="0.2">
      <c r="A674">
        <f t="shared" si="10"/>
        <v>668</v>
      </c>
      <c r="B674">
        <v>2014</v>
      </c>
      <c r="C674" t="s">
        <v>191</v>
      </c>
      <c r="D674" t="s">
        <v>300</v>
      </c>
      <c r="E674" s="65">
        <v>110</v>
      </c>
      <c r="F674" s="33">
        <v>0.02</v>
      </c>
      <c r="G674" t="s">
        <v>934</v>
      </c>
      <c r="H674" t="s">
        <v>152</v>
      </c>
      <c r="I674" t="s">
        <v>257</v>
      </c>
      <c r="J674" t="s">
        <v>58</v>
      </c>
      <c r="K674" t="s">
        <v>195</v>
      </c>
      <c r="L674" s="17">
        <v>0</v>
      </c>
      <c r="M674" s="28"/>
    </row>
    <row r="675" spans="1:13" s="25" customFormat="1" x14ac:dyDescent="0.2">
      <c r="A675">
        <f t="shared" si="10"/>
        <v>669</v>
      </c>
      <c r="B675">
        <v>2014</v>
      </c>
      <c r="C675" t="s">
        <v>191</v>
      </c>
      <c r="D675" t="s">
        <v>300</v>
      </c>
      <c r="E675" s="65">
        <v>280</v>
      </c>
      <c r="F675" s="33">
        <v>0.02</v>
      </c>
      <c r="G675" t="s">
        <v>935</v>
      </c>
      <c r="H675" t="s">
        <v>154</v>
      </c>
      <c r="I675" t="s">
        <v>194</v>
      </c>
      <c r="J675" t="s">
        <v>58</v>
      </c>
      <c r="K675" t="s">
        <v>195</v>
      </c>
      <c r="L675" s="17">
        <v>0</v>
      </c>
      <c r="M675" s="28"/>
    </row>
    <row r="676" spans="1:13" s="25" customFormat="1" x14ac:dyDescent="0.2">
      <c r="A676">
        <f t="shared" si="10"/>
        <v>670</v>
      </c>
      <c r="B676">
        <v>2014</v>
      </c>
      <c r="C676" t="s">
        <v>191</v>
      </c>
      <c r="D676" t="s">
        <v>300</v>
      </c>
      <c r="E676" s="65">
        <v>170</v>
      </c>
      <c r="F676" s="33">
        <v>0.49</v>
      </c>
      <c r="G676" t="s">
        <v>936</v>
      </c>
      <c r="H676" t="s">
        <v>144</v>
      </c>
      <c r="I676" t="s">
        <v>232</v>
      </c>
      <c r="J676" t="s">
        <v>20</v>
      </c>
      <c r="K676" t="s">
        <v>195</v>
      </c>
      <c r="L676" s="17">
        <v>0</v>
      </c>
      <c r="M676" s="28"/>
    </row>
    <row r="677" spans="1:13" s="25" customFormat="1" x14ac:dyDescent="0.2">
      <c r="A677">
        <f t="shared" si="10"/>
        <v>671</v>
      </c>
      <c r="B677">
        <v>2014</v>
      </c>
      <c r="C677" t="s">
        <v>191</v>
      </c>
      <c r="D677" t="s">
        <v>937</v>
      </c>
      <c r="E677" s="65">
        <v>320</v>
      </c>
      <c r="F677" s="33"/>
      <c r="H677" t="s">
        <v>151</v>
      </c>
      <c r="I677" t="s">
        <v>279</v>
      </c>
      <c r="J677" t="s">
        <v>53</v>
      </c>
      <c r="K677" t="s">
        <v>183</v>
      </c>
      <c r="L677" s="17">
        <v>1</v>
      </c>
      <c r="M677" s="28" t="s">
        <v>178</v>
      </c>
    </row>
    <row r="678" spans="1:13" s="25" customFormat="1" x14ac:dyDescent="0.2">
      <c r="A678">
        <f t="shared" si="10"/>
        <v>672</v>
      </c>
      <c r="B678">
        <v>2014</v>
      </c>
      <c r="C678" t="s">
        <v>191</v>
      </c>
      <c r="D678" t="s">
        <v>554</v>
      </c>
      <c r="E678" s="65">
        <v>110</v>
      </c>
      <c r="F678" s="33">
        <v>0.23</v>
      </c>
      <c r="G678" t="s">
        <v>938</v>
      </c>
      <c r="H678" t="s">
        <v>150</v>
      </c>
      <c r="I678" t="s">
        <v>556</v>
      </c>
      <c r="J678" t="s">
        <v>45</v>
      </c>
      <c r="K678" t="s">
        <v>195</v>
      </c>
      <c r="L678" s="17">
        <v>0</v>
      </c>
      <c r="M678" s="28"/>
    </row>
    <row r="679" spans="1:13" s="25" customFormat="1" x14ac:dyDescent="0.2">
      <c r="A679">
        <f t="shared" si="10"/>
        <v>673</v>
      </c>
      <c r="B679">
        <v>2014</v>
      </c>
      <c r="C679" t="s">
        <v>191</v>
      </c>
      <c r="D679" t="s">
        <v>564</v>
      </c>
      <c r="E679" s="65">
        <v>200</v>
      </c>
      <c r="F679" s="33"/>
      <c r="G679" t="s">
        <v>939</v>
      </c>
      <c r="H679" t="s">
        <v>154</v>
      </c>
      <c r="I679" t="s">
        <v>194</v>
      </c>
      <c r="J679" t="s">
        <v>131</v>
      </c>
      <c r="K679" t="s">
        <v>131</v>
      </c>
      <c r="L679" s="17">
        <v>0</v>
      </c>
      <c r="M679" s="28"/>
    </row>
    <row r="680" spans="1:13" s="25" customFormat="1" x14ac:dyDescent="0.2">
      <c r="A680">
        <f t="shared" si="10"/>
        <v>674</v>
      </c>
      <c r="B680">
        <v>2014</v>
      </c>
      <c r="C680" t="s">
        <v>191</v>
      </c>
      <c r="D680" t="s">
        <v>940</v>
      </c>
      <c r="E680" s="65">
        <v>110</v>
      </c>
      <c r="F680" s="33">
        <v>0.9</v>
      </c>
      <c r="H680" t="s">
        <v>144</v>
      </c>
      <c r="I680" t="s">
        <v>232</v>
      </c>
      <c r="J680" t="s">
        <v>46</v>
      </c>
      <c r="K680" t="s">
        <v>219</v>
      </c>
      <c r="L680" s="17">
        <v>1</v>
      </c>
      <c r="M680" s="28" t="s">
        <v>178</v>
      </c>
    </row>
    <row r="681" spans="1:13" s="25" customFormat="1" x14ac:dyDescent="0.2">
      <c r="A681">
        <f t="shared" si="10"/>
        <v>675</v>
      </c>
      <c r="B681">
        <v>2014</v>
      </c>
      <c r="C681" t="s">
        <v>191</v>
      </c>
      <c r="D681" t="s">
        <v>373</v>
      </c>
      <c r="E681" s="65">
        <v>610</v>
      </c>
      <c r="F681" s="33">
        <v>0.8</v>
      </c>
      <c r="G681" t="s">
        <v>941</v>
      </c>
      <c r="H681" t="s">
        <v>148</v>
      </c>
      <c r="J681" t="s">
        <v>131</v>
      </c>
      <c r="K681" t="s">
        <v>131</v>
      </c>
      <c r="L681" s="17">
        <v>0</v>
      </c>
      <c r="M681" s="28"/>
    </row>
    <row r="682" spans="1:13" s="25" customFormat="1" x14ac:dyDescent="0.2">
      <c r="A682">
        <f t="shared" si="10"/>
        <v>676</v>
      </c>
      <c r="B682">
        <v>2014</v>
      </c>
      <c r="C682" t="s">
        <v>198</v>
      </c>
      <c r="D682" t="s">
        <v>942</v>
      </c>
      <c r="E682" s="65">
        <v>300</v>
      </c>
      <c r="F682" s="33"/>
      <c r="H682" t="s">
        <v>142</v>
      </c>
      <c r="J682" t="s">
        <v>132</v>
      </c>
      <c r="K682" t="s">
        <v>219</v>
      </c>
      <c r="L682" s="17">
        <v>1</v>
      </c>
      <c r="M682" s="28" t="s">
        <v>178</v>
      </c>
    </row>
    <row r="683" spans="1:13" s="25" customFormat="1" x14ac:dyDescent="0.2">
      <c r="A683">
        <f t="shared" si="10"/>
        <v>677</v>
      </c>
      <c r="B683">
        <v>2014</v>
      </c>
      <c r="C683" t="s">
        <v>198</v>
      </c>
      <c r="D683" t="s">
        <v>943</v>
      </c>
      <c r="E683" s="65">
        <v>1970</v>
      </c>
      <c r="F683" s="33">
        <v>0.9</v>
      </c>
      <c r="H683" t="s">
        <v>149</v>
      </c>
      <c r="J683" t="s">
        <v>83</v>
      </c>
      <c r="K683" t="s">
        <v>219</v>
      </c>
      <c r="L683" s="17">
        <v>1</v>
      </c>
      <c r="M683" s="28" t="s">
        <v>178</v>
      </c>
    </row>
    <row r="684" spans="1:13" s="25" customFormat="1" x14ac:dyDescent="0.2">
      <c r="A684">
        <f t="shared" si="10"/>
        <v>678</v>
      </c>
      <c r="B684">
        <v>2014</v>
      </c>
      <c r="C684" t="s">
        <v>198</v>
      </c>
      <c r="D684" t="s">
        <v>319</v>
      </c>
      <c r="E684" s="65">
        <v>250</v>
      </c>
      <c r="F684" s="33">
        <v>0.02</v>
      </c>
      <c r="G684" t="s">
        <v>333</v>
      </c>
      <c r="H684" t="s">
        <v>146</v>
      </c>
      <c r="I684" t="s">
        <v>253</v>
      </c>
      <c r="J684" t="s">
        <v>131</v>
      </c>
      <c r="K684" t="s">
        <v>131</v>
      </c>
      <c r="L684" s="17">
        <v>0</v>
      </c>
      <c r="M684" s="28"/>
    </row>
    <row r="685" spans="1:13" s="25" customFormat="1" x14ac:dyDescent="0.2">
      <c r="A685">
        <f t="shared" si="10"/>
        <v>679</v>
      </c>
      <c r="B685">
        <v>2014</v>
      </c>
      <c r="C685" t="s">
        <v>198</v>
      </c>
      <c r="D685" t="s">
        <v>300</v>
      </c>
      <c r="E685" s="65">
        <v>630</v>
      </c>
      <c r="F685" s="33">
        <v>0.02</v>
      </c>
      <c r="G685" t="s">
        <v>944</v>
      </c>
      <c r="H685" t="s">
        <v>146</v>
      </c>
      <c r="J685" t="s">
        <v>58</v>
      </c>
      <c r="K685" t="s">
        <v>195</v>
      </c>
      <c r="L685" s="17">
        <v>0</v>
      </c>
      <c r="M685" s="28"/>
    </row>
    <row r="686" spans="1:13" s="25" customFormat="1" x14ac:dyDescent="0.2">
      <c r="A686">
        <f t="shared" si="10"/>
        <v>680</v>
      </c>
      <c r="B686">
        <v>2014</v>
      </c>
      <c r="C686" t="s">
        <v>198</v>
      </c>
      <c r="D686" t="s">
        <v>199</v>
      </c>
      <c r="E686" s="65">
        <v>1090</v>
      </c>
      <c r="F686" s="33">
        <v>0.4</v>
      </c>
      <c r="G686" t="s">
        <v>945</v>
      </c>
      <c r="H686" t="s">
        <v>144</v>
      </c>
      <c r="I686" t="s">
        <v>187</v>
      </c>
      <c r="J686" t="s">
        <v>25</v>
      </c>
      <c r="K686" t="s">
        <v>177</v>
      </c>
      <c r="L686" s="17">
        <v>0</v>
      </c>
      <c r="M686" s="28"/>
    </row>
    <row r="687" spans="1:13" s="25" customFormat="1" x14ac:dyDescent="0.2">
      <c r="A687">
        <f t="shared" si="10"/>
        <v>681</v>
      </c>
      <c r="B687">
        <v>2014</v>
      </c>
      <c r="C687" t="s">
        <v>198</v>
      </c>
      <c r="D687" t="s">
        <v>946</v>
      </c>
      <c r="E687" s="65">
        <v>640</v>
      </c>
      <c r="F687" s="33"/>
      <c r="H687" t="s">
        <v>151</v>
      </c>
      <c r="I687" t="s">
        <v>224</v>
      </c>
      <c r="J687" t="s">
        <v>9</v>
      </c>
      <c r="K687" t="s">
        <v>9</v>
      </c>
      <c r="L687" s="17">
        <v>0</v>
      </c>
      <c r="M687" s="28" t="s">
        <v>178</v>
      </c>
    </row>
    <row r="688" spans="1:13" s="25" customFormat="1" x14ac:dyDescent="0.2">
      <c r="A688">
        <f t="shared" si="10"/>
        <v>682</v>
      </c>
      <c r="B688">
        <v>2014</v>
      </c>
      <c r="C688" t="s">
        <v>198</v>
      </c>
      <c r="D688" t="s">
        <v>300</v>
      </c>
      <c r="E688" s="65">
        <v>290</v>
      </c>
      <c r="F688" s="33">
        <v>0.5</v>
      </c>
      <c r="G688" t="s">
        <v>947</v>
      </c>
      <c r="H688" t="s">
        <v>151</v>
      </c>
      <c r="I688" t="s">
        <v>224</v>
      </c>
      <c r="J688" t="s">
        <v>20</v>
      </c>
      <c r="K688" t="s">
        <v>195</v>
      </c>
      <c r="L688" s="17">
        <v>0</v>
      </c>
      <c r="M688" s="28"/>
    </row>
    <row r="689" spans="1:13" s="25" customFormat="1" x14ac:dyDescent="0.2">
      <c r="A689">
        <f t="shared" si="10"/>
        <v>683</v>
      </c>
      <c r="B689">
        <v>2014</v>
      </c>
      <c r="C689" t="s">
        <v>198</v>
      </c>
      <c r="D689" t="s">
        <v>948</v>
      </c>
      <c r="E689" s="65">
        <v>280</v>
      </c>
      <c r="F689" s="33">
        <v>0.6</v>
      </c>
      <c r="G689" t="s">
        <v>949</v>
      </c>
      <c r="H689" t="s">
        <v>144</v>
      </c>
      <c r="I689" t="s">
        <v>187</v>
      </c>
      <c r="J689" t="s">
        <v>66</v>
      </c>
      <c r="K689" t="s">
        <v>201</v>
      </c>
      <c r="L689" s="17">
        <v>1</v>
      </c>
      <c r="M689" s="28"/>
    </row>
    <row r="690" spans="1:13" s="25" customFormat="1" x14ac:dyDescent="0.2">
      <c r="A690">
        <f t="shared" si="10"/>
        <v>684</v>
      </c>
      <c r="B690">
        <v>2014</v>
      </c>
      <c r="C690" t="s">
        <v>198</v>
      </c>
      <c r="D690" t="s">
        <v>554</v>
      </c>
      <c r="E690" s="65">
        <v>440</v>
      </c>
      <c r="F690" s="33">
        <v>1</v>
      </c>
      <c r="G690" t="s">
        <v>950</v>
      </c>
      <c r="H690" t="s">
        <v>144</v>
      </c>
      <c r="I690" t="s">
        <v>187</v>
      </c>
      <c r="J690" t="s">
        <v>9</v>
      </c>
      <c r="K690" t="s">
        <v>9</v>
      </c>
      <c r="L690" s="17">
        <v>0</v>
      </c>
      <c r="M690" s="28"/>
    </row>
    <row r="691" spans="1:13" s="25" customFormat="1" x14ac:dyDescent="0.2">
      <c r="A691">
        <f t="shared" si="10"/>
        <v>685</v>
      </c>
      <c r="B691">
        <v>2014</v>
      </c>
      <c r="C691" t="s">
        <v>198</v>
      </c>
      <c r="D691" t="s">
        <v>554</v>
      </c>
      <c r="E691" s="65">
        <v>460</v>
      </c>
      <c r="F691" s="33">
        <v>0.2</v>
      </c>
      <c r="G691" t="s">
        <v>951</v>
      </c>
      <c r="H691" t="s">
        <v>146</v>
      </c>
      <c r="J691" t="s">
        <v>131</v>
      </c>
      <c r="K691" t="s">
        <v>131</v>
      </c>
      <c r="L691" s="17">
        <v>0</v>
      </c>
      <c r="M691" s="28"/>
    </row>
    <row r="692" spans="1:13" s="25" customFormat="1" x14ac:dyDescent="0.2">
      <c r="A692">
        <f t="shared" si="10"/>
        <v>686</v>
      </c>
      <c r="B692">
        <v>2014</v>
      </c>
      <c r="C692" t="s">
        <v>198</v>
      </c>
      <c r="D692" t="s">
        <v>908</v>
      </c>
      <c r="E692" s="65">
        <v>840</v>
      </c>
      <c r="F692" s="33">
        <v>0.56000000000000005</v>
      </c>
      <c r="G692" t="s">
        <v>952</v>
      </c>
      <c r="H692" t="s">
        <v>149</v>
      </c>
      <c r="I692" t="s">
        <v>238</v>
      </c>
      <c r="J692" t="s">
        <v>53</v>
      </c>
      <c r="K692" t="s">
        <v>183</v>
      </c>
      <c r="L692" s="17">
        <v>1</v>
      </c>
      <c r="M692" s="28" t="s">
        <v>178</v>
      </c>
    </row>
    <row r="693" spans="1:13" s="25" customFormat="1" x14ac:dyDescent="0.2">
      <c r="A693">
        <f t="shared" si="10"/>
        <v>687</v>
      </c>
      <c r="B693">
        <v>2014</v>
      </c>
      <c r="C693" t="s">
        <v>198</v>
      </c>
      <c r="D693" t="s">
        <v>953</v>
      </c>
      <c r="E693" s="65">
        <v>120</v>
      </c>
      <c r="F693" s="33"/>
      <c r="G693" t="s">
        <v>954</v>
      </c>
      <c r="H693" t="s">
        <v>151</v>
      </c>
      <c r="I693" t="s">
        <v>224</v>
      </c>
      <c r="J693" t="s">
        <v>9</v>
      </c>
      <c r="K693" t="s">
        <v>9</v>
      </c>
      <c r="L693" s="17">
        <v>0</v>
      </c>
      <c r="M693" s="28"/>
    </row>
    <row r="694" spans="1:13" s="25" customFormat="1" x14ac:dyDescent="0.2">
      <c r="A694">
        <f t="shared" si="10"/>
        <v>688</v>
      </c>
      <c r="B694">
        <v>2014</v>
      </c>
      <c r="C694" t="s">
        <v>198</v>
      </c>
      <c r="D694" t="s">
        <v>180</v>
      </c>
      <c r="E694" s="65">
        <v>380</v>
      </c>
      <c r="F694" s="33"/>
      <c r="H694" t="s">
        <v>151</v>
      </c>
      <c r="I694" t="s">
        <v>224</v>
      </c>
      <c r="J694" t="s">
        <v>108</v>
      </c>
      <c r="K694" t="s">
        <v>183</v>
      </c>
      <c r="L694" s="17">
        <v>1</v>
      </c>
      <c r="M694" s="28" t="s">
        <v>178</v>
      </c>
    </row>
    <row r="695" spans="1:13" s="25" customFormat="1" x14ac:dyDescent="0.2">
      <c r="A695">
        <f t="shared" si="10"/>
        <v>689</v>
      </c>
      <c r="B695">
        <v>2014</v>
      </c>
      <c r="C695" t="s">
        <v>198</v>
      </c>
      <c r="D695" t="s">
        <v>245</v>
      </c>
      <c r="E695" s="65">
        <v>200</v>
      </c>
      <c r="F695" s="33">
        <v>0.5</v>
      </c>
      <c r="H695" t="s">
        <v>144</v>
      </c>
      <c r="I695" t="s">
        <v>232</v>
      </c>
      <c r="J695" t="s">
        <v>98</v>
      </c>
      <c r="K695" t="s">
        <v>195</v>
      </c>
      <c r="L695" s="17">
        <v>1</v>
      </c>
      <c r="M695" s="28" t="s">
        <v>178</v>
      </c>
    </row>
    <row r="696" spans="1:13" s="25" customFormat="1" x14ac:dyDescent="0.2">
      <c r="A696">
        <f t="shared" si="10"/>
        <v>690</v>
      </c>
      <c r="B696">
        <v>2014</v>
      </c>
      <c r="C696" t="s">
        <v>198</v>
      </c>
      <c r="D696" t="s">
        <v>838</v>
      </c>
      <c r="E696" s="65">
        <v>110</v>
      </c>
      <c r="F696" s="33">
        <v>1</v>
      </c>
      <c r="H696" t="s">
        <v>153</v>
      </c>
      <c r="J696" t="s">
        <v>131</v>
      </c>
      <c r="K696" t="s">
        <v>131</v>
      </c>
      <c r="L696" s="17">
        <v>0</v>
      </c>
      <c r="M696" s="28"/>
    </row>
    <row r="697" spans="1:13" s="25" customFormat="1" x14ac:dyDescent="0.2">
      <c r="A697">
        <f t="shared" si="10"/>
        <v>691</v>
      </c>
      <c r="B697">
        <v>2014</v>
      </c>
      <c r="C697" t="s">
        <v>202</v>
      </c>
      <c r="D697" t="s">
        <v>199</v>
      </c>
      <c r="E697" s="65">
        <v>990</v>
      </c>
      <c r="F697" s="33">
        <v>0.1</v>
      </c>
      <c r="G697" t="s">
        <v>228</v>
      </c>
      <c r="H697" t="s">
        <v>144</v>
      </c>
      <c r="I697" t="s">
        <v>187</v>
      </c>
      <c r="J697" t="s">
        <v>101</v>
      </c>
      <c r="K697" t="s">
        <v>201</v>
      </c>
      <c r="L697" s="17">
        <v>1</v>
      </c>
      <c r="M697" s="28"/>
    </row>
    <row r="698" spans="1:13" s="25" customFormat="1" x14ac:dyDescent="0.2">
      <c r="A698">
        <f t="shared" si="10"/>
        <v>692</v>
      </c>
      <c r="B698">
        <v>2014</v>
      </c>
      <c r="C698" t="s">
        <v>202</v>
      </c>
      <c r="D698" t="s">
        <v>661</v>
      </c>
      <c r="E698" s="65">
        <v>480</v>
      </c>
      <c r="F698" s="33"/>
      <c r="G698" t="s">
        <v>955</v>
      </c>
      <c r="H698" t="s">
        <v>151</v>
      </c>
      <c r="I698" t="s">
        <v>224</v>
      </c>
      <c r="J698" t="s">
        <v>131</v>
      </c>
      <c r="K698" t="s">
        <v>131</v>
      </c>
      <c r="L698" s="17">
        <v>0</v>
      </c>
      <c r="M698" s="28" t="s">
        <v>178</v>
      </c>
    </row>
    <row r="699" spans="1:13" s="25" customFormat="1" x14ac:dyDescent="0.2">
      <c r="A699">
        <f t="shared" si="10"/>
        <v>693</v>
      </c>
      <c r="B699">
        <v>2014</v>
      </c>
      <c r="C699" t="s">
        <v>202</v>
      </c>
      <c r="D699" t="s">
        <v>651</v>
      </c>
      <c r="E699" s="65">
        <v>400</v>
      </c>
      <c r="F699" s="33">
        <v>0.51</v>
      </c>
      <c r="G699" t="s">
        <v>956</v>
      </c>
      <c r="H699" t="s">
        <v>149</v>
      </c>
      <c r="I699" t="s">
        <v>182</v>
      </c>
      <c r="J699" t="s">
        <v>119</v>
      </c>
      <c r="K699" t="s">
        <v>195</v>
      </c>
      <c r="L699" s="17">
        <v>0</v>
      </c>
      <c r="M699" s="28"/>
    </row>
    <row r="700" spans="1:13" s="25" customFormat="1" x14ac:dyDescent="0.2">
      <c r="A700">
        <f t="shared" si="10"/>
        <v>694</v>
      </c>
      <c r="B700">
        <v>2014</v>
      </c>
      <c r="C700" t="s">
        <v>202</v>
      </c>
      <c r="D700" t="s">
        <v>957</v>
      </c>
      <c r="E700" s="65">
        <v>130</v>
      </c>
      <c r="F700" s="33">
        <v>1</v>
      </c>
      <c r="H700" t="s">
        <v>145</v>
      </c>
      <c r="J700" t="s">
        <v>131</v>
      </c>
      <c r="K700" t="s">
        <v>131</v>
      </c>
      <c r="L700" s="17">
        <v>0</v>
      </c>
      <c r="M700" s="28" t="s">
        <v>178</v>
      </c>
    </row>
    <row r="701" spans="1:13" s="25" customFormat="1" x14ac:dyDescent="0.2">
      <c r="A701">
        <f t="shared" si="10"/>
        <v>695</v>
      </c>
      <c r="B701">
        <v>2014</v>
      </c>
      <c r="C701" t="s">
        <v>202</v>
      </c>
      <c r="D701" t="s">
        <v>554</v>
      </c>
      <c r="E701" s="65">
        <v>200</v>
      </c>
      <c r="F701" s="33">
        <v>0.48</v>
      </c>
      <c r="G701" t="s">
        <v>958</v>
      </c>
      <c r="H701" t="s">
        <v>145</v>
      </c>
      <c r="J701" t="s">
        <v>131</v>
      </c>
      <c r="K701" t="s">
        <v>131</v>
      </c>
      <c r="L701" s="17">
        <v>0</v>
      </c>
      <c r="M701" s="28"/>
    </row>
    <row r="702" spans="1:13" s="25" customFormat="1" x14ac:dyDescent="0.2">
      <c r="A702">
        <f t="shared" si="10"/>
        <v>696</v>
      </c>
      <c r="B702">
        <v>2014</v>
      </c>
      <c r="C702" t="s">
        <v>202</v>
      </c>
      <c r="D702" t="s">
        <v>479</v>
      </c>
      <c r="E702" s="65">
        <v>390</v>
      </c>
      <c r="F702" s="33"/>
      <c r="H702" t="s">
        <v>148</v>
      </c>
      <c r="J702" t="s">
        <v>115</v>
      </c>
      <c r="K702" t="s">
        <v>201</v>
      </c>
      <c r="L702" s="17">
        <v>1</v>
      </c>
      <c r="M702" s="28" t="s">
        <v>178</v>
      </c>
    </row>
    <row r="703" spans="1:13" s="25" customFormat="1" x14ac:dyDescent="0.2">
      <c r="A703">
        <f t="shared" si="10"/>
        <v>697</v>
      </c>
      <c r="B703">
        <v>2014</v>
      </c>
      <c r="C703" t="s">
        <v>202</v>
      </c>
      <c r="D703" t="s">
        <v>953</v>
      </c>
      <c r="E703" s="65">
        <v>150</v>
      </c>
      <c r="F703" s="33"/>
      <c r="G703" t="s">
        <v>959</v>
      </c>
      <c r="H703" t="s">
        <v>151</v>
      </c>
      <c r="I703" t="s">
        <v>224</v>
      </c>
      <c r="J703" t="s">
        <v>9</v>
      </c>
      <c r="K703" t="s">
        <v>9</v>
      </c>
      <c r="L703" s="17">
        <v>0</v>
      </c>
      <c r="M703" s="28"/>
    </row>
    <row r="704" spans="1:13" s="25" customFormat="1" x14ac:dyDescent="0.2">
      <c r="A704">
        <f t="shared" si="10"/>
        <v>698</v>
      </c>
      <c r="B704">
        <v>2014</v>
      </c>
      <c r="C704" t="s">
        <v>202</v>
      </c>
      <c r="D704" t="s">
        <v>513</v>
      </c>
      <c r="E704" s="65">
        <v>220</v>
      </c>
      <c r="F704" s="33">
        <v>1</v>
      </c>
      <c r="G704" t="s">
        <v>960</v>
      </c>
      <c r="H704" t="s">
        <v>145</v>
      </c>
      <c r="J704" t="s">
        <v>20</v>
      </c>
      <c r="K704" t="s">
        <v>195</v>
      </c>
      <c r="L704" s="17">
        <v>0</v>
      </c>
      <c r="M704" s="28"/>
    </row>
    <row r="705" spans="1:14" s="25" customFormat="1" x14ac:dyDescent="0.2">
      <c r="A705">
        <f t="shared" si="10"/>
        <v>699</v>
      </c>
      <c r="B705">
        <v>2014</v>
      </c>
      <c r="C705" t="s">
        <v>202</v>
      </c>
      <c r="D705" t="s">
        <v>221</v>
      </c>
      <c r="E705" s="65">
        <v>190</v>
      </c>
      <c r="F705" s="33"/>
      <c r="H705" t="s">
        <v>154</v>
      </c>
      <c r="I705" t="s">
        <v>194</v>
      </c>
      <c r="J705" t="s">
        <v>131</v>
      </c>
      <c r="K705" t="s">
        <v>131</v>
      </c>
      <c r="L705" s="17">
        <v>0</v>
      </c>
      <c r="M705" s="28" t="s">
        <v>178</v>
      </c>
    </row>
    <row r="706" spans="1:14" s="25" customFormat="1" x14ac:dyDescent="0.2">
      <c r="A706">
        <f t="shared" si="10"/>
        <v>700</v>
      </c>
      <c r="B706">
        <v>2014</v>
      </c>
      <c r="C706" t="s">
        <v>202</v>
      </c>
      <c r="D706" t="s">
        <v>705</v>
      </c>
      <c r="E706" s="65">
        <v>130</v>
      </c>
      <c r="F706" s="33"/>
      <c r="H706" t="s">
        <v>151</v>
      </c>
      <c r="I706" t="s">
        <v>279</v>
      </c>
      <c r="J706" t="s">
        <v>9</v>
      </c>
      <c r="K706" t="s">
        <v>9</v>
      </c>
      <c r="L706" s="17">
        <v>0</v>
      </c>
      <c r="M706" s="28" t="s">
        <v>178</v>
      </c>
    </row>
    <row r="707" spans="1:14" s="25" customFormat="1" x14ac:dyDescent="0.2">
      <c r="A707">
        <f t="shared" si="10"/>
        <v>701</v>
      </c>
      <c r="B707">
        <v>2014</v>
      </c>
      <c r="C707" t="s">
        <v>207</v>
      </c>
      <c r="D707" t="s">
        <v>554</v>
      </c>
      <c r="E707" s="65">
        <v>590</v>
      </c>
      <c r="F707" s="33">
        <v>0.96</v>
      </c>
      <c r="G707" t="s">
        <v>961</v>
      </c>
      <c r="H707" t="s">
        <v>147</v>
      </c>
      <c r="J707" t="s">
        <v>99</v>
      </c>
      <c r="K707" t="s">
        <v>195</v>
      </c>
      <c r="L707" s="17">
        <v>1</v>
      </c>
      <c r="M707" s="28"/>
    </row>
    <row r="708" spans="1:14" s="25" customFormat="1" x14ac:dyDescent="0.2">
      <c r="A708">
        <f t="shared" si="10"/>
        <v>702</v>
      </c>
      <c r="B708">
        <v>2014</v>
      </c>
      <c r="C708" t="s">
        <v>207</v>
      </c>
      <c r="D708" t="s">
        <v>962</v>
      </c>
      <c r="E708" s="65">
        <v>1950</v>
      </c>
      <c r="F708" s="33"/>
      <c r="G708" t="s">
        <v>963</v>
      </c>
      <c r="H708" t="s">
        <v>153</v>
      </c>
      <c r="J708" t="s">
        <v>131</v>
      </c>
      <c r="K708" t="s">
        <v>131</v>
      </c>
      <c r="L708" s="17">
        <v>0</v>
      </c>
      <c r="M708" s="28"/>
    </row>
    <row r="709" spans="1:14" s="44" customFormat="1" x14ac:dyDescent="0.2">
      <c r="A709">
        <f t="shared" si="10"/>
        <v>703</v>
      </c>
      <c r="B709">
        <v>2014</v>
      </c>
      <c r="C709" t="s">
        <v>207</v>
      </c>
      <c r="D709" t="s">
        <v>300</v>
      </c>
      <c r="E709" s="65">
        <v>140</v>
      </c>
      <c r="F709" s="33">
        <v>0.02</v>
      </c>
      <c r="G709" t="s">
        <v>964</v>
      </c>
      <c r="H709" t="s">
        <v>146</v>
      </c>
      <c r="I709" t="s">
        <v>275</v>
      </c>
      <c r="J709" t="s">
        <v>58</v>
      </c>
      <c r="K709" t="s">
        <v>195</v>
      </c>
      <c r="L709" s="17">
        <v>0</v>
      </c>
      <c r="M709" s="28"/>
      <c r="N709" s="41"/>
    </row>
    <row r="710" spans="1:14" s="25" customFormat="1" x14ac:dyDescent="0.2">
      <c r="A710">
        <f t="shared" si="10"/>
        <v>704</v>
      </c>
      <c r="B710">
        <v>2014</v>
      </c>
      <c r="C710" t="s">
        <v>207</v>
      </c>
      <c r="D710" t="s">
        <v>530</v>
      </c>
      <c r="E710" s="65">
        <v>180</v>
      </c>
      <c r="F710" s="33">
        <v>1</v>
      </c>
      <c r="H710" t="s">
        <v>152</v>
      </c>
      <c r="I710" t="s">
        <v>257</v>
      </c>
      <c r="J710" t="s">
        <v>25</v>
      </c>
      <c r="K710" t="s">
        <v>177</v>
      </c>
      <c r="L710" s="17">
        <v>0</v>
      </c>
      <c r="M710" s="28" t="s">
        <v>178</v>
      </c>
    </row>
    <row r="711" spans="1:14" s="25" customFormat="1" x14ac:dyDescent="0.2">
      <c r="A711">
        <f t="shared" ref="A711:A774" si="11">ROW()-6</f>
        <v>705</v>
      </c>
      <c r="B711">
        <v>2014</v>
      </c>
      <c r="C711" t="s">
        <v>207</v>
      </c>
      <c r="D711" t="s">
        <v>300</v>
      </c>
      <c r="E711" s="65">
        <v>630</v>
      </c>
      <c r="F711" s="33"/>
      <c r="G711" t="s">
        <v>965</v>
      </c>
      <c r="H711" t="s">
        <v>151</v>
      </c>
      <c r="I711" t="s">
        <v>224</v>
      </c>
      <c r="J711" t="s">
        <v>45</v>
      </c>
      <c r="K711" t="s">
        <v>195</v>
      </c>
      <c r="L711" s="17">
        <v>0</v>
      </c>
      <c r="M711" s="28"/>
    </row>
    <row r="712" spans="1:14" s="25" customFormat="1" x14ac:dyDescent="0.2">
      <c r="A712">
        <f t="shared" si="11"/>
        <v>706</v>
      </c>
      <c r="B712">
        <v>2014</v>
      </c>
      <c r="C712" t="s">
        <v>207</v>
      </c>
      <c r="D712" t="s">
        <v>962</v>
      </c>
      <c r="E712" s="65">
        <v>310</v>
      </c>
      <c r="F712" s="33">
        <v>1</v>
      </c>
      <c r="G712" t="s">
        <v>966</v>
      </c>
      <c r="H712" t="s">
        <v>146</v>
      </c>
      <c r="J712" t="s">
        <v>15</v>
      </c>
      <c r="K712" t="s">
        <v>195</v>
      </c>
      <c r="L712" s="17">
        <v>0</v>
      </c>
      <c r="M712" s="28"/>
    </row>
    <row r="713" spans="1:14" s="25" customFormat="1" x14ac:dyDescent="0.2">
      <c r="A713">
        <f t="shared" si="11"/>
        <v>707</v>
      </c>
      <c r="B713">
        <v>2014</v>
      </c>
      <c r="C713" t="s">
        <v>207</v>
      </c>
      <c r="D713" t="s">
        <v>397</v>
      </c>
      <c r="E713" s="65">
        <v>230</v>
      </c>
      <c r="F713" s="33">
        <v>1</v>
      </c>
      <c r="H713" t="s">
        <v>151</v>
      </c>
      <c r="I713" t="s">
        <v>224</v>
      </c>
      <c r="J713" t="s">
        <v>20</v>
      </c>
      <c r="K713" t="s">
        <v>195</v>
      </c>
      <c r="L713" s="17">
        <v>0</v>
      </c>
      <c r="M713" s="28"/>
    </row>
    <row r="714" spans="1:14" s="25" customFormat="1" x14ac:dyDescent="0.2">
      <c r="A714">
        <f t="shared" si="11"/>
        <v>708</v>
      </c>
      <c r="B714">
        <v>2014</v>
      </c>
      <c r="C714" t="s">
        <v>207</v>
      </c>
      <c r="D714" t="s">
        <v>300</v>
      </c>
      <c r="E714" s="65">
        <v>170</v>
      </c>
      <c r="F714" s="33">
        <v>0.5</v>
      </c>
      <c r="G714" t="s">
        <v>967</v>
      </c>
      <c r="H714" t="s">
        <v>151</v>
      </c>
      <c r="I714" t="s">
        <v>224</v>
      </c>
      <c r="J714" t="s">
        <v>15</v>
      </c>
      <c r="K714" t="s">
        <v>195</v>
      </c>
      <c r="L714" s="17">
        <v>0</v>
      </c>
      <c r="M714" s="28"/>
    </row>
    <row r="715" spans="1:14" s="25" customFormat="1" x14ac:dyDescent="0.2">
      <c r="A715">
        <f t="shared" si="11"/>
        <v>709</v>
      </c>
      <c r="B715">
        <v>2014</v>
      </c>
      <c r="C715" t="s">
        <v>207</v>
      </c>
      <c r="D715" t="s">
        <v>968</v>
      </c>
      <c r="E715" s="65">
        <v>100</v>
      </c>
      <c r="F715" s="33"/>
      <c r="G715" t="s">
        <v>969</v>
      </c>
      <c r="H715" t="s">
        <v>146</v>
      </c>
      <c r="J715" t="s">
        <v>57</v>
      </c>
      <c r="K715" t="s">
        <v>195</v>
      </c>
      <c r="L715" s="17">
        <v>0</v>
      </c>
      <c r="M715" s="28"/>
    </row>
    <row r="716" spans="1:14" s="25" customFormat="1" x14ac:dyDescent="0.2">
      <c r="A716">
        <f t="shared" si="11"/>
        <v>710</v>
      </c>
      <c r="B716">
        <v>2014</v>
      </c>
      <c r="C716" t="s">
        <v>207</v>
      </c>
      <c r="D716" t="s">
        <v>970</v>
      </c>
      <c r="E716" s="65">
        <v>250</v>
      </c>
      <c r="F716" s="33"/>
      <c r="H716" t="s">
        <v>144</v>
      </c>
      <c r="I716" t="s">
        <v>232</v>
      </c>
      <c r="J716" t="s">
        <v>93</v>
      </c>
      <c r="K716" t="s">
        <v>201</v>
      </c>
      <c r="L716" s="17">
        <v>1</v>
      </c>
      <c r="M716" s="28" t="s">
        <v>178</v>
      </c>
    </row>
    <row r="717" spans="1:14" s="25" customFormat="1" x14ac:dyDescent="0.2">
      <c r="A717">
        <f t="shared" si="11"/>
        <v>711</v>
      </c>
      <c r="B717">
        <v>2014</v>
      </c>
      <c r="C717" t="s">
        <v>240</v>
      </c>
      <c r="D717" t="s">
        <v>418</v>
      </c>
      <c r="E717" s="65">
        <v>1490</v>
      </c>
      <c r="F717" s="33">
        <v>1</v>
      </c>
      <c r="G717" t="s">
        <v>971</v>
      </c>
      <c r="H717" t="s">
        <v>153</v>
      </c>
      <c r="J717" t="s">
        <v>42</v>
      </c>
      <c r="K717" t="s">
        <v>195</v>
      </c>
      <c r="L717" s="17">
        <v>0</v>
      </c>
      <c r="M717" s="28"/>
    </row>
    <row r="718" spans="1:14" s="25" customFormat="1" x14ac:dyDescent="0.2">
      <c r="A718">
        <f t="shared" si="11"/>
        <v>712</v>
      </c>
      <c r="B718">
        <v>2014</v>
      </c>
      <c r="C718" t="s">
        <v>240</v>
      </c>
      <c r="D718" t="s">
        <v>972</v>
      </c>
      <c r="E718" s="65">
        <v>400</v>
      </c>
      <c r="F718" s="33"/>
      <c r="G718" t="s">
        <v>973</v>
      </c>
      <c r="H718" t="s">
        <v>153</v>
      </c>
      <c r="J718" t="s">
        <v>9</v>
      </c>
      <c r="K718" t="s">
        <v>9</v>
      </c>
      <c r="L718" s="17">
        <v>0</v>
      </c>
      <c r="M718" s="28"/>
    </row>
    <row r="719" spans="1:14" s="25" customFormat="1" x14ac:dyDescent="0.2">
      <c r="A719">
        <f t="shared" si="11"/>
        <v>713</v>
      </c>
      <c r="B719">
        <v>2014</v>
      </c>
      <c r="C719" t="s">
        <v>240</v>
      </c>
      <c r="D719" t="s">
        <v>307</v>
      </c>
      <c r="E719" s="65">
        <v>2760</v>
      </c>
      <c r="F719" s="33">
        <v>0.35</v>
      </c>
      <c r="G719" t="s">
        <v>974</v>
      </c>
      <c r="H719" t="s">
        <v>144</v>
      </c>
      <c r="J719" t="s">
        <v>58</v>
      </c>
      <c r="K719" t="s">
        <v>195</v>
      </c>
      <c r="L719" s="17">
        <v>0</v>
      </c>
      <c r="M719" s="28"/>
    </row>
    <row r="720" spans="1:14" s="25" customFormat="1" x14ac:dyDescent="0.2">
      <c r="A720">
        <f t="shared" si="11"/>
        <v>714</v>
      </c>
      <c r="B720">
        <v>2014</v>
      </c>
      <c r="C720" t="s">
        <v>240</v>
      </c>
      <c r="D720" t="s">
        <v>734</v>
      </c>
      <c r="E720" s="65">
        <v>310</v>
      </c>
      <c r="F720" s="33"/>
      <c r="H720" t="s">
        <v>142</v>
      </c>
      <c r="J720" t="s">
        <v>86</v>
      </c>
      <c r="K720" t="s">
        <v>183</v>
      </c>
      <c r="L720" s="17">
        <v>1</v>
      </c>
      <c r="M720" s="28"/>
    </row>
    <row r="721" spans="1:13" s="25" customFormat="1" x14ac:dyDescent="0.2">
      <c r="A721">
        <f t="shared" si="11"/>
        <v>715</v>
      </c>
      <c r="B721">
        <v>2014</v>
      </c>
      <c r="C721" t="s">
        <v>240</v>
      </c>
      <c r="D721" t="s">
        <v>210</v>
      </c>
      <c r="E721" s="65">
        <v>640</v>
      </c>
      <c r="F721" s="33">
        <v>1</v>
      </c>
      <c r="G721" t="s">
        <v>975</v>
      </c>
      <c r="H721" t="s">
        <v>144</v>
      </c>
      <c r="I721" t="s">
        <v>232</v>
      </c>
      <c r="J721" t="s">
        <v>91</v>
      </c>
      <c r="K721" t="s">
        <v>195</v>
      </c>
      <c r="L721" s="17">
        <v>0</v>
      </c>
      <c r="M721" s="28"/>
    </row>
    <row r="722" spans="1:13" s="25" customFormat="1" x14ac:dyDescent="0.2">
      <c r="A722">
        <f t="shared" si="11"/>
        <v>716</v>
      </c>
      <c r="B722">
        <v>2014</v>
      </c>
      <c r="C722" t="s">
        <v>240</v>
      </c>
      <c r="D722" t="s">
        <v>976</v>
      </c>
      <c r="E722" s="65">
        <v>230</v>
      </c>
      <c r="F722" s="33">
        <v>1</v>
      </c>
      <c r="G722" t="s">
        <v>977</v>
      </c>
      <c r="H722" t="s">
        <v>149</v>
      </c>
      <c r="J722" t="s">
        <v>112</v>
      </c>
      <c r="K722" t="s">
        <v>219</v>
      </c>
      <c r="L722" s="17">
        <v>1</v>
      </c>
      <c r="M722" s="28"/>
    </row>
    <row r="723" spans="1:13" s="25" customFormat="1" x14ac:dyDescent="0.2">
      <c r="A723">
        <f t="shared" si="11"/>
        <v>717</v>
      </c>
      <c r="B723">
        <v>2014</v>
      </c>
      <c r="C723" t="s">
        <v>240</v>
      </c>
      <c r="D723" t="s">
        <v>978</v>
      </c>
      <c r="E723" s="65">
        <v>130</v>
      </c>
      <c r="F723" s="33"/>
      <c r="H723" t="s">
        <v>151</v>
      </c>
      <c r="I723" t="s">
        <v>224</v>
      </c>
      <c r="J723" t="s">
        <v>9</v>
      </c>
      <c r="K723" t="s">
        <v>9</v>
      </c>
      <c r="L723" s="17">
        <v>0</v>
      </c>
      <c r="M723" s="28"/>
    </row>
    <row r="724" spans="1:13" s="25" customFormat="1" x14ac:dyDescent="0.2">
      <c r="A724">
        <f t="shared" si="11"/>
        <v>718</v>
      </c>
      <c r="B724">
        <v>2014</v>
      </c>
      <c r="C724" t="s">
        <v>240</v>
      </c>
      <c r="D724" t="s">
        <v>389</v>
      </c>
      <c r="E724" s="65">
        <v>2960</v>
      </c>
      <c r="F724" s="33"/>
      <c r="H724" t="s">
        <v>144</v>
      </c>
      <c r="I724" t="s">
        <v>273</v>
      </c>
      <c r="J724" t="s">
        <v>9</v>
      </c>
      <c r="K724" t="s">
        <v>9</v>
      </c>
      <c r="L724" s="17">
        <v>0</v>
      </c>
      <c r="M724" s="28"/>
    </row>
    <row r="725" spans="1:13" s="25" customFormat="1" x14ac:dyDescent="0.2">
      <c r="A725">
        <f t="shared" si="11"/>
        <v>719</v>
      </c>
      <c r="B725">
        <v>2014</v>
      </c>
      <c r="C725" t="s">
        <v>240</v>
      </c>
      <c r="D725" t="s">
        <v>221</v>
      </c>
      <c r="E725" s="65">
        <v>120</v>
      </c>
      <c r="F725" s="33"/>
      <c r="H725" t="s">
        <v>142</v>
      </c>
      <c r="J725" t="s">
        <v>6</v>
      </c>
      <c r="K725" t="s">
        <v>219</v>
      </c>
      <c r="L725" s="17">
        <v>1</v>
      </c>
      <c r="M725" s="28"/>
    </row>
    <row r="726" spans="1:13" s="25" customFormat="1" x14ac:dyDescent="0.2">
      <c r="A726">
        <f t="shared" si="11"/>
        <v>720</v>
      </c>
      <c r="B726">
        <v>2014</v>
      </c>
      <c r="C726" t="s">
        <v>240</v>
      </c>
      <c r="D726" t="s">
        <v>703</v>
      </c>
      <c r="E726" s="65">
        <v>450</v>
      </c>
      <c r="F726" s="33">
        <v>1</v>
      </c>
      <c r="H726" t="s">
        <v>144</v>
      </c>
      <c r="I726" t="s">
        <v>232</v>
      </c>
      <c r="J726" t="s">
        <v>101</v>
      </c>
      <c r="K726" t="s">
        <v>201</v>
      </c>
      <c r="L726" s="17">
        <v>1</v>
      </c>
      <c r="M726" s="28" t="s">
        <v>178</v>
      </c>
    </row>
    <row r="727" spans="1:13" s="25" customFormat="1" x14ac:dyDescent="0.2">
      <c r="A727">
        <f t="shared" si="11"/>
        <v>721</v>
      </c>
      <c r="B727">
        <v>2014</v>
      </c>
      <c r="C727" t="s">
        <v>240</v>
      </c>
      <c r="D727" t="s">
        <v>979</v>
      </c>
      <c r="E727" s="65">
        <v>210</v>
      </c>
      <c r="F727" s="33"/>
      <c r="H727" t="s">
        <v>150</v>
      </c>
      <c r="I727" t="s">
        <v>292</v>
      </c>
      <c r="J727" t="s">
        <v>136</v>
      </c>
      <c r="K727" t="s">
        <v>183</v>
      </c>
      <c r="L727" s="17">
        <v>1</v>
      </c>
      <c r="M727" s="28" t="s">
        <v>178</v>
      </c>
    </row>
    <row r="728" spans="1:13" s="25" customFormat="1" x14ac:dyDescent="0.2">
      <c r="A728">
        <f t="shared" si="11"/>
        <v>722</v>
      </c>
      <c r="B728">
        <v>2014</v>
      </c>
      <c r="C728" t="s">
        <v>240</v>
      </c>
      <c r="D728" t="s">
        <v>980</v>
      </c>
      <c r="E728" s="65">
        <v>170</v>
      </c>
      <c r="F728" s="33">
        <v>1</v>
      </c>
      <c r="G728" t="s">
        <v>981</v>
      </c>
      <c r="H728" t="s">
        <v>144</v>
      </c>
      <c r="I728" t="s">
        <v>299</v>
      </c>
      <c r="J728" t="s">
        <v>9</v>
      </c>
      <c r="K728" t="s">
        <v>9</v>
      </c>
      <c r="L728" s="17">
        <v>0</v>
      </c>
      <c r="M728" s="28"/>
    </row>
    <row r="729" spans="1:13" s="25" customFormat="1" x14ac:dyDescent="0.2">
      <c r="A729">
        <f t="shared" si="11"/>
        <v>723</v>
      </c>
      <c r="B729">
        <v>2014</v>
      </c>
      <c r="C729" t="s">
        <v>240</v>
      </c>
      <c r="D729" t="s">
        <v>982</v>
      </c>
      <c r="E729" s="65">
        <v>200</v>
      </c>
      <c r="F729" s="33">
        <v>1</v>
      </c>
      <c r="H729" t="s">
        <v>151</v>
      </c>
      <c r="I729" t="s">
        <v>279</v>
      </c>
      <c r="J729" t="s">
        <v>72</v>
      </c>
      <c r="K729" t="s">
        <v>183</v>
      </c>
      <c r="L729" s="17">
        <v>1</v>
      </c>
      <c r="M729" s="28" t="s">
        <v>178</v>
      </c>
    </row>
    <row r="730" spans="1:13" s="25" customFormat="1" x14ac:dyDescent="0.2">
      <c r="A730">
        <f t="shared" si="11"/>
        <v>724</v>
      </c>
      <c r="B730">
        <v>2014</v>
      </c>
      <c r="C730" t="s">
        <v>240</v>
      </c>
      <c r="D730" t="s">
        <v>562</v>
      </c>
      <c r="E730" s="65">
        <v>2000</v>
      </c>
      <c r="F730" s="33">
        <v>1</v>
      </c>
      <c r="H730" t="s">
        <v>151</v>
      </c>
      <c r="I730" t="s">
        <v>224</v>
      </c>
      <c r="J730" t="s">
        <v>48</v>
      </c>
      <c r="K730" t="s">
        <v>219</v>
      </c>
      <c r="L730" s="17">
        <v>1</v>
      </c>
      <c r="M730" s="28" t="s">
        <v>178</v>
      </c>
    </row>
    <row r="731" spans="1:13" s="25" customFormat="1" x14ac:dyDescent="0.2">
      <c r="A731">
        <f t="shared" si="11"/>
        <v>725</v>
      </c>
      <c r="B731">
        <v>2014</v>
      </c>
      <c r="C731" t="s">
        <v>240</v>
      </c>
      <c r="D731" t="s">
        <v>444</v>
      </c>
      <c r="E731" s="65">
        <v>970</v>
      </c>
      <c r="F731" s="33"/>
      <c r="H731" t="s">
        <v>144</v>
      </c>
      <c r="J731" t="s">
        <v>106</v>
      </c>
      <c r="K731" t="s">
        <v>195</v>
      </c>
      <c r="L731" s="17">
        <v>1</v>
      </c>
      <c r="M731" s="28"/>
    </row>
    <row r="732" spans="1:13" s="25" customFormat="1" x14ac:dyDescent="0.2">
      <c r="A732">
        <f t="shared" si="11"/>
        <v>726</v>
      </c>
      <c r="B732">
        <v>2014</v>
      </c>
      <c r="C732" t="s">
        <v>212</v>
      </c>
      <c r="D732" t="s">
        <v>705</v>
      </c>
      <c r="E732" s="65">
        <v>2580</v>
      </c>
      <c r="F732" s="33">
        <v>0.56000000000000005</v>
      </c>
      <c r="G732" t="s">
        <v>983</v>
      </c>
      <c r="H732" t="s">
        <v>151</v>
      </c>
      <c r="I732" t="s">
        <v>224</v>
      </c>
      <c r="J732" t="s">
        <v>131</v>
      </c>
      <c r="K732" t="s">
        <v>131</v>
      </c>
      <c r="L732" s="17">
        <v>0</v>
      </c>
      <c r="M732" s="28" t="s">
        <v>178</v>
      </c>
    </row>
    <row r="733" spans="1:13" s="25" customFormat="1" x14ac:dyDescent="0.2">
      <c r="A733">
        <f t="shared" si="11"/>
        <v>727</v>
      </c>
      <c r="B733">
        <v>2014</v>
      </c>
      <c r="C733" t="s">
        <v>212</v>
      </c>
      <c r="D733" t="s">
        <v>661</v>
      </c>
      <c r="E733" s="65">
        <v>810</v>
      </c>
      <c r="F733" s="33">
        <v>0.9</v>
      </c>
      <c r="H733" t="s">
        <v>151</v>
      </c>
      <c r="I733" t="s">
        <v>224</v>
      </c>
      <c r="J733" t="s">
        <v>131</v>
      </c>
      <c r="K733" t="s">
        <v>131</v>
      </c>
      <c r="L733" s="17">
        <v>0</v>
      </c>
      <c r="M733" s="28" t="s">
        <v>178</v>
      </c>
    </row>
    <row r="734" spans="1:13" s="25" customFormat="1" x14ac:dyDescent="0.2">
      <c r="A734">
        <f t="shared" si="11"/>
        <v>728</v>
      </c>
      <c r="B734">
        <v>2014</v>
      </c>
      <c r="C734" t="s">
        <v>212</v>
      </c>
      <c r="D734" t="s">
        <v>984</v>
      </c>
      <c r="E734" s="65">
        <v>180</v>
      </c>
      <c r="F734" s="33">
        <v>0.51</v>
      </c>
      <c r="G734" t="s">
        <v>985</v>
      </c>
      <c r="H734" t="s">
        <v>150</v>
      </c>
      <c r="J734" t="s">
        <v>25</v>
      </c>
      <c r="K734" t="s">
        <v>177</v>
      </c>
      <c r="L734" s="17">
        <v>0</v>
      </c>
      <c r="M734" s="28"/>
    </row>
    <row r="735" spans="1:13" s="25" customFormat="1" x14ac:dyDescent="0.2">
      <c r="A735">
        <f t="shared" si="11"/>
        <v>729</v>
      </c>
      <c r="B735">
        <v>2014</v>
      </c>
      <c r="C735" t="s">
        <v>212</v>
      </c>
      <c r="D735" t="s">
        <v>962</v>
      </c>
      <c r="E735" s="65">
        <v>230</v>
      </c>
      <c r="F735" s="33"/>
      <c r="G735" t="s">
        <v>986</v>
      </c>
      <c r="H735" t="s">
        <v>146</v>
      </c>
      <c r="I735" t="s">
        <v>275</v>
      </c>
      <c r="J735" t="s">
        <v>15</v>
      </c>
      <c r="K735" t="s">
        <v>195</v>
      </c>
      <c r="L735" s="17">
        <v>0</v>
      </c>
      <c r="M735" s="28"/>
    </row>
    <row r="736" spans="1:13" s="25" customFormat="1" x14ac:dyDescent="0.2">
      <c r="A736">
        <f t="shared" si="11"/>
        <v>730</v>
      </c>
      <c r="B736">
        <v>2014</v>
      </c>
      <c r="C736" t="s">
        <v>212</v>
      </c>
      <c r="D736" t="s">
        <v>661</v>
      </c>
      <c r="E736" s="65">
        <v>740</v>
      </c>
      <c r="F736" s="33"/>
      <c r="G736" t="s">
        <v>987</v>
      </c>
      <c r="H736" t="s">
        <v>145</v>
      </c>
      <c r="J736" t="s">
        <v>9</v>
      </c>
      <c r="K736" t="s">
        <v>9</v>
      </c>
      <c r="L736" s="17">
        <v>0</v>
      </c>
      <c r="M736" s="28"/>
    </row>
    <row r="737" spans="1:13" s="25" customFormat="1" x14ac:dyDescent="0.2">
      <c r="A737">
        <f t="shared" si="11"/>
        <v>731</v>
      </c>
      <c r="B737">
        <v>2014</v>
      </c>
      <c r="C737" t="s">
        <v>212</v>
      </c>
      <c r="D737" t="s">
        <v>479</v>
      </c>
      <c r="E737" s="65">
        <v>790</v>
      </c>
      <c r="F737" s="33"/>
      <c r="G737" t="s">
        <v>988</v>
      </c>
      <c r="H737" t="s">
        <v>154</v>
      </c>
      <c r="J737" t="s">
        <v>9</v>
      </c>
      <c r="K737" t="s">
        <v>9</v>
      </c>
      <c r="L737" s="17">
        <v>0</v>
      </c>
      <c r="M737" s="28"/>
    </row>
    <row r="738" spans="1:13" s="25" customFormat="1" x14ac:dyDescent="0.2">
      <c r="A738">
        <f t="shared" si="11"/>
        <v>732</v>
      </c>
      <c r="B738">
        <v>2014</v>
      </c>
      <c r="C738" t="s">
        <v>212</v>
      </c>
      <c r="D738" t="s">
        <v>989</v>
      </c>
      <c r="E738" s="65">
        <v>190</v>
      </c>
      <c r="F738" s="33">
        <v>0.25</v>
      </c>
      <c r="H738" t="s">
        <v>154</v>
      </c>
      <c r="I738" t="s">
        <v>250</v>
      </c>
      <c r="J738" t="s">
        <v>42</v>
      </c>
      <c r="K738" t="s">
        <v>195</v>
      </c>
      <c r="L738" s="17">
        <v>0</v>
      </c>
      <c r="M738" s="28"/>
    </row>
    <row r="739" spans="1:13" s="25" customFormat="1" x14ac:dyDescent="0.2">
      <c r="A739">
        <f t="shared" si="11"/>
        <v>733</v>
      </c>
      <c r="B739">
        <v>2014</v>
      </c>
      <c r="C739" t="s">
        <v>212</v>
      </c>
      <c r="D739" t="s">
        <v>990</v>
      </c>
      <c r="E739" s="65">
        <v>470</v>
      </c>
      <c r="F739" s="33"/>
      <c r="G739" t="s">
        <v>991</v>
      </c>
      <c r="H739" t="s">
        <v>146</v>
      </c>
      <c r="I739" t="s">
        <v>253</v>
      </c>
      <c r="J739" t="s">
        <v>99</v>
      </c>
      <c r="K739" t="s">
        <v>195</v>
      </c>
      <c r="L739" s="17">
        <v>1</v>
      </c>
      <c r="M739" s="28"/>
    </row>
    <row r="740" spans="1:13" s="25" customFormat="1" ht="13.5" customHeight="1" x14ac:dyDescent="0.2">
      <c r="A740">
        <f t="shared" si="11"/>
        <v>734</v>
      </c>
      <c r="B740">
        <v>2014</v>
      </c>
      <c r="C740" t="s">
        <v>212</v>
      </c>
      <c r="D740" t="s">
        <v>248</v>
      </c>
      <c r="E740" s="65">
        <v>600</v>
      </c>
      <c r="F740" s="33"/>
      <c r="H740" t="s">
        <v>151</v>
      </c>
      <c r="I740" t="s">
        <v>224</v>
      </c>
      <c r="J740" t="s">
        <v>131</v>
      </c>
      <c r="K740" t="s">
        <v>131</v>
      </c>
      <c r="L740" s="17">
        <v>0</v>
      </c>
      <c r="M740" s="28"/>
    </row>
    <row r="741" spans="1:13" s="25" customFormat="1" x14ac:dyDescent="0.2">
      <c r="A741">
        <f t="shared" si="11"/>
        <v>735</v>
      </c>
      <c r="B741">
        <v>2014</v>
      </c>
      <c r="C741" t="s">
        <v>212</v>
      </c>
      <c r="D741" t="s">
        <v>943</v>
      </c>
      <c r="E741" s="65">
        <v>160</v>
      </c>
      <c r="F741" s="33"/>
      <c r="G741" t="s">
        <v>992</v>
      </c>
      <c r="H741" t="s">
        <v>144</v>
      </c>
      <c r="I741" t="s">
        <v>232</v>
      </c>
      <c r="J741" t="s">
        <v>20</v>
      </c>
      <c r="K741" t="s">
        <v>195</v>
      </c>
      <c r="L741" s="17">
        <v>0</v>
      </c>
      <c r="M741" s="28"/>
    </row>
    <row r="742" spans="1:13" s="25" customFormat="1" x14ac:dyDescent="0.2">
      <c r="A742">
        <f t="shared" si="11"/>
        <v>736</v>
      </c>
      <c r="B742">
        <v>2014</v>
      </c>
      <c r="C742" t="s">
        <v>212</v>
      </c>
      <c r="D742" t="s">
        <v>300</v>
      </c>
      <c r="E742" s="65">
        <v>100</v>
      </c>
      <c r="F742" s="33">
        <v>0.02</v>
      </c>
      <c r="G742" t="s">
        <v>993</v>
      </c>
      <c r="H742" t="s">
        <v>144</v>
      </c>
      <c r="I742" t="s">
        <v>187</v>
      </c>
      <c r="J742" t="s">
        <v>58</v>
      </c>
      <c r="K742" t="s">
        <v>195</v>
      </c>
      <c r="L742" s="17">
        <v>0</v>
      </c>
      <c r="M742" s="28"/>
    </row>
    <row r="743" spans="1:13" s="25" customFormat="1" ht="13.5" customHeight="1" x14ac:dyDescent="0.2">
      <c r="A743">
        <f t="shared" si="11"/>
        <v>737</v>
      </c>
      <c r="B743">
        <v>2014</v>
      </c>
      <c r="C743" t="s">
        <v>212</v>
      </c>
      <c r="D743" t="s">
        <v>910</v>
      </c>
      <c r="E743" s="65">
        <v>600</v>
      </c>
      <c r="F743" s="33"/>
      <c r="G743" t="s">
        <v>994</v>
      </c>
      <c r="H743" t="s">
        <v>154</v>
      </c>
      <c r="I743" t="s">
        <v>194</v>
      </c>
      <c r="J743" t="s">
        <v>131</v>
      </c>
      <c r="K743" t="s">
        <v>131</v>
      </c>
      <c r="L743" s="17">
        <v>0</v>
      </c>
      <c r="M743" s="28"/>
    </row>
    <row r="744" spans="1:13" s="25" customFormat="1" ht="13.5" customHeight="1" x14ac:dyDescent="0.2">
      <c r="A744">
        <f t="shared" si="11"/>
        <v>738</v>
      </c>
      <c r="B744">
        <v>2014</v>
      </c>
      <c r="C744" t="s">
        <v>212</v>
      </c>
      <c r="D744" t="s">
        <v>995</v>
      </c>
      <c r="E744" s="65">
        <v>160</v>
      </c>
      <c r="F744" s="33"/>
      <c r="H744" t="s">
        <v>153</v>
      </c>
      <c r="J744" t="s">
        <v>131</v>
      </c>
      <c r="K744" t="s">
        <v>131</v>
      </c>
      <c r="L744" s="17">
        <v>0</v>
      </c>
      <c r="M744" s="28"/>
    </row>
    <row r="745" spans="1:13" s="25" customFormat="1" x14ac:dyDescent="0.2">
      <c r="A745">
        <f t="shared" si="11"/>
        <v>739</v>
      </c>
      <c r="B745">
        <v>2014</v>
      </c>
      <c r="C745" t="s">
        <v>212</v>
      </c>
      <c r="D745" t="s">
        <v>246</v>
      </c>
      <c r="E745" s="65">
        <v>140</v>
      </c>
      <c r="F745" s="33">
        <v>0.49</v>
      </c>
      <c r="G745" t="s">
        <v>737</v>
      </c>
      <c r="H745" t="s">
        <v>144</v>
      </c>
      <c r="I745" t="s">
        <v>232</v>
      </c>
      <c r="J745" t="s">
        <v>19</v>
      </c>
      <c r="K745" t="s">
        <v>205</v>
      </c>
      <c r="L745" s="17">
        <v>0</v>
      </c>
      <c r="M745" s="28"/>
    </row>
    <row r="746" spans="1:13" s="25" customFormat="1" x14ac:dyDescent="0.2">
      <c r="A746">
        <f t="shared" si="11"/>
        <v>740</v>
      </c>
      <c r="B746">
        <v>2014</v>
      </c>
      <c r="C746" t="s">
        <v>212</v>
      </c>
      <c r="D746" t="s">
        <v>572</v>
      </c>
      <c r="E746" s="65">
        <v>150</v>
      </c>
      <c r="F746" s="33"/>
      <c r="H746" t="s">
        <v>144</v>
      </c>
      <c r="I746" t="s">
        <v>232</v>
      </c>
      <c r="J746" t="s">
        <v>25</v>
      </c>
      <c r="K746" t="s">
        <v>177</v>
      </c>
      <c r="L746" s="17">
        <v>0</v>
      </c>
      <c r="M746" s="28" t="s">
        <v>178</v>
      </c>
    </row>
    <row r="747" spans="1:13" s="25" customFormat="1" x14ac:dyDescent="0.2">
      <c r="A747">
        <f t="shared" si="11"/>
        <v>741</v>
      </c>
      <c r="B747">
        <v>2014</v>
      </c>
      <c r="C747" t="s">
        <v>212</v>
      </c>
      <c r="D747" t="s">
        <v>996</v>
      </c>
      <c r="E747" s="65">
        <v>620</v>
      </c>
      <c r="F747" s="33">
        <v>1</v>
      </c>
      <c r="H747" t="s">
        <v>142</v>
      </c>
      <c r="J747" t="s">
        <v>132</v>
      </c>
      <c r="K747" t="s">
        <v>219</v>
      </c>
      <c r="L747" s="17">
        <v>1</v>
      </c>
      <c r="M747" s="28" t="s">
        <v>178</v>
      </c>
    </row>
    <row r="748" spans="1:13" s="25" customFormat="1" x14ac:dyDescent="0.2">
      <c r="A748">
        <f t="shared" si="11"/>
        <v>742</v>
      </c>
      <c r="B748">
        <v>2014</v>
      </c>
      <c r="C748" t="s">
        <v>212</v>
      </c>
      <c r="D748" t="s">
        <v>997</v>
      </c>
      <c r="E748" s="65">
        <v>300</v>
      </c>
      <c r="F748" s="33"/>
      <c r="G748" t="s">
        <v>998</v>
      </c>
      <c r="H748" t="s">
        <v>151</v>
      </c>
      <c r="I748" t="s">
        <v>224</v>
      </c>
      <c r="J748" t="s">
        <v>20</v>
      </c>
      <c r="K748" t="s">
        <v>195</v>
      </c>
      <c r="L748" s="17">
        <v>0</v>
      </c>
      <c r="M748" s="28"/>
    </row>
    <row r="749" spans="1:13" s="25" customFormat="1" x14ac:dyDescent="0.2">
      <c r="A749">
        <f t="shared" si="11"/>
        <v>743</v>
      </c>
      <c r="B749">
        <v>2014</v>
      </c>
      <c r="C749" t="s">
        <v>212</v>
      </c>
      <c r="D749" t="s">
        <v>999</v>
      </c>
      <c r="E749" s="65">
        <v>160</v>
      </c>
      <c r="F749" s="33">
        <v>1</v>
      </c>
      <c r="G749" t="s">
        <v>1000</v>
      </c>
      <c r="H749" t="s">
        <v>153</v>
      </c>
      <c r="J749" t="s">
        <v>20</v>
      </c>
      <c r="K749" t="s">
        <v>195</v>
      </c>
      <c r="L749" s="17">
        <v>0</v>
      </c>
      <c r="M749" s="28"/>
    </row>
    <row r="750" spans="1:13" s="25" customFormat="1" x14ac:dyDescent="0.2">
      <c r="A750">
        <f t="shared" si="11"/>
        <v>744</v>
      </c>
      <c r="B750">
        <v>2014</v>
      </c>
      <c r="C750" t="s">
        <v>212</v>
      </c>
      <c r="D750" t="s">
        <v>263</v>
      </c>
      <c r="E750" s="65">
        <v>190</v>
      </c>
      <c r="F750" s="33">
        <v>0.08</v>
      </c>
      <c r="G750" t="s">
        <v>1001</v>
      </c>
      <c r="H750" t="s">
        <v>144</v>
      </c>
      <c r="J750" t="s">
        <v>131</v>
      </c>
      <c r="K750" t="s">
        <v>131</v>
      </c>
      <c r="L750" s="17">
        <v>0</v>
      </c>
      <c r="M750" s="28"/>
    </row>
    <row r="751" spans="1:13" s="25" customFormat="1" x14ac:dyDescent="0.2">
      <c r="A751">
        <f t="shared" si="11"/>
        <v>745</v>
      </c>
      <c r="B751">
        <v>2014</v>
      </c>
      <c r="C751" t="s">
        <v>212</v>
      </c>
      <c r="D751" t="s">
        <v>1002</v>
      </c>
      <c r="E751" s="65">
        <v>3440</v>
      </c>
      <c r="F751" s="33">
        <v>0.7</v>
      </c>
      <c r="H751" t="s">
        <v>144</v>
      </c>
      <c r="I751" t="s">
        <v>187</v>
      </c>
      <c r="J751" t="s">
        <v>21</v>
      </c>
      <c r="K751" t="s">
        <v>183</v>
      </c>
      <c r="L751" s="17">
        <v>1</v>
      </c>
      <c r="M751" s="28" t="s">
        <v>178</v>
      </c>
    </row>
    <row r="752" spans="1:13" s="25" customFormat="1" x14ac:dyDescent="0.2">
      <c r="A752">
        <f t="shared" si="11"/>
        <v>746</v>
      </c>
      <c r="B752">
        <v>2014</v>
      </c>
      <c r="C752" t="s">
        <v>212</v>
      </c>
      <c r="D752" t="s">
        <v>199</v>
      </c>
      <c r="E752" s="65">
        <v>1940</v>
      </c>
      <c r="F752" s="33">
        <v>0.2</v>
      </c>
      <c r="G752" t="s">
        <v>1003</v>
      </c>
      <c r="H752" t="s">
        <v>144</v>
      </c>
      <c r="I752" t="s">
        <v>299</v>
      </c>
      <c r="J752" t="s">
        <v>101</v>
      </c>
      <c r="K752" t="s">
        <v>201</v>
      </c>
      <c r="L752" s="17">
        <v>1</v>
      </c>
      <c r="M752" s="28" t="s">
        <v>178</v>
      </c>
    </row>
    <row r="753" spans="1:13" s="25" customFormat="1" x14ac:dyDescent="0.2">
      <c r="A753">
        <f t="shared" si="11"/>
        <v>747</v>
      </c>
      <c r="B753">
        <v>2014</v>
      </c>
      <c r="C753" t="s">
        <v>212</v>
      </c>
      <c r="D753" t="s">
        <v>479</v>
      </c>
      <c r="E753" s="65">
        <v>730</v>
      </c>
      <c r="F753" s="33"/>
      <c r="H753" t="s">
        <v>154</v>
      </c>
      <c r="I753" t="s">
        <v>194</v>
      </c>
      <c r="J753" t="s">
        <v>60</v>
      </c>
      <c r="K753" t="s">
        <v>177</v>
      </c>
      <c r="L753" s="17">
        <v>1</v>
      </c>
      <c r="M753" s="28"/>
    </row>
    <row r="754" spans="1:13" s="25" customFormat="1" x14ac:dyDescent="0.2">
      <c r="A754">
        <f t="shared" si="11"/>
        <v>748</v>
      </c>
      <c r="B754">
        <v>2015</v>
      </c>
      <c r="C754" t="s">
        <v>172</v>
      </c>
      <c r="D754" t="s">
        <v>286</v>
      </c>
      <c r="E754" s="65">
        <v>480</v>
      </c>
      <c r="F754" s="33">
        <v>1</v>
      </c>
      <c r="H754" t="s">
        <v>151</v>
      </c>
      <c r="I754" t="s">
        <v>224</v>
      </c>
      <c r="J754" t="s">
        <v>20</v>
      </c>
      <c r="K754" t="s">
        <v>195</v>
      </c>
      <c r="L754" s="17">
        <v>0</v>
      </c>
      <c r="M754" s="28"/>
    </row>
    <row r="755" spans="1:13" s="25" customFormat="1" x14ac:dyDescent="0.2">
      <c r="A755">
        <f t="shared" si="11"/>
        <v>749</v>
      </c>
      <c r="B755">
        <v>2015</v>
      </c>
      <c r="C755" t="s">
        <v>172</v>
      </c>
      <c r="D755" t="s">
        <v>1004</v>
      </c>
      <c r="E755" s="65">
        <v>100</v>
      </c>
      <c r="F755" s="33"/>
      <c r="G755" t="s">
        <v>1005</v>
      </c>
      <c r="H755" t="s">
        <v>152</v>
      </c>
      <c r="J755" t="s">
        <v>57</v>
      </c>
      <c r="K755" t="s">
        <v>195</v>
      </c>
      <c r="L755" s="17">
        <v>0</v>
      </c>
      <c r="M755" s="28"/>
    </row>
    <row r="756" spans="1:13" s="25" customFormat="1" x14ac:dyDescent="0.2">
      <c r="A756">
        <f t="shared" si="11"/>
        <v>750</v>
      </c>
      <c r="B756">
        <v>2015</v>
      </c>
      <c r="C756" t="s">
        <v>172</v>
      </c>
      <c r="D756" t="s">
        <v>661</v>
      </c>
      <c r="E756" s="65">
        <v>790</v>
      </c>
      <c r="F756" s="33">
        <v>1</v>
      </c>
      <c r="H756" t="s">
        <v>151</v>
      </c>
      <c r="I756" t="s">
        <v>224</v>
      </c>
      <c r="J756" t="s">
        <v>9</v>
      </c>
      <c r="K756" t="s">
        <v>9</v>
      </c>
      <c r="L756" s="17">
        <v>0</v>
      </c>
      <c r="M756" s="28"/>
    </row>
    <row r="757" spans="1:13" s="25" customFormat="1" x14ac:dyDescent="0.2">
      <c r="A757">
        <f t="shared" si="11"/>
        <v>751</v>
      </c>
      <c r="B757">
        <v>2015</v>
      </c>
      <c r="C757" t="s">
        <v>172</v>
      </c>
      <c r="D757" t="s">
        <v>837</v>
      </c>
      <c r="E757" s="65">
        <v>1260</v>
      </c>
      <c r="F757" s="33"/>
      <c r="H757" t="s">
        <v>151</v>
      </c>
      <c r="I757" t="s">
        <v>224</v>
      </c>
      <c r="J757" t="s">
        <v>131</v>
      </c>
      <c r="K757" t="s">
        <v>131</v>
      </c>
      <c r="L757" s="17">
        <v>0</v>
      </c>
      <c r="M757" s="28" t="s">
        <v>178</v>
      </c>
    </row>
    <row r="758" spans="1:13" s="25" customFormat="1" x14ac:dyDescent="0.2">
      <c r="A758">
        <f t="shared" si="11"/>
        <v>752</v>
      </c>
      <c r="B758">
        <v>2015</v>
      </c>
      <c r="C758" t="s">
        <v>172</v>
      </c>
      <c r="D758" t="s">
        <v>705</v>
      </c>
      <c r="E758" s="65">
        <v>660</v>
      </c>
      <c r="F758" s="33"/>
      <c r="H758" t="s">
        <v>151</v>
      </c>
      <c r="I758" t="s">
        <v>224</v>
      </c>
      <c r="J758" t="s">
        <v>72</v>
      </c>
      <c r="K758" t="s">
        <v>183</v>
      </c>
      <c r="L758" s="17">
        <v>1</v>
      </c>
      <c r="M758" s="28" t="s">
        <v>178</v>
      </c>
    </row>
    <row r="759" spans="1:13" s="25" customFormat="1" x14ac:dyDescent="0.2">
      <c r="A759">
        <f t="shared" si="11"/>
        <v>753</v>
      </c>
      <c r="B759">
        <v>2015</v>
      </c>
      <c r="C759" t="s">
        <v>172</v>
      </c>
      <c r="D759" t="s">
        <v>547</v>
      </c>
      <c r="E759" s="65">
        <v>110</v>
      </c>
      <c r="F759" s="33">
        <v>0.75</v>
      </c>
      <c r="G759" t="s">
        <v>1006</v>
      </c>
      <c r="H759" t="s">
        <v>154</v>
      </c>
      <c r="I759" t="s">
        <v>194</v>
      </c>
      <c r="J759" t="s">
        <v>45</v>
      </c>
      <c r="K759" t="s">
        <v>195</v>
      </c>
      <c r="L759" s="17">
        <v>0</v>
      </c>
      <c r="M759" s="28"/>
    </row>
    <row r="760" spans="1:13" s="25" customFormat="1" x14ac:dyDescent="0.2">
      <c r="A760">
        <f t="shared" si="11"/>
        <v>754</v>
      </c>
      <c r="B760">
        <v>2015</v>
      </c>
      <c r="C760" t="s">
        <v>172</v>
      </c>
      <c r="D760" t="s">
        <v>1007</v>
      </c>
      <c r="E760" s="65">
        <v>120</v>
      </c>
      <c r="F760" s="33"/>
      <c r="H760" t="s">
        <v>151</v>
      </c>
      <c r="I760" t="s">
        <v>224</v>
      </c>
      <c r="J760" t="s">
        <v>25</v>
      </c>
      <c r="K760" t="s">
        <v>177</v>
      </c>
      <c r="L760" s="17">
        <v>0</v>
      </c>
      <c r="M760" s="28"/>
    </row>
    <row r="761" spans="1:13" s="25" customFormat="1" x14ac:dyDescent="0.2">
      <c r="A761">
        <f t="shared" si="11"/>
        <v>755</v>
      </c>
      <c r="B761">
        <v>2015</v>
      </c>
      <c r="C761" t="s">
        <v>172</v>
      </c>
      <c r="D761" t="s">
        <v>1008</v>
      </c>
      <c r="E761" s="65">
        <v>1660</v>
      </c>
      <c r="F761" s="33">
        <v>1</v>
      </c>
      <c r="G761" t="s">
        <v>318</v>
      </c>
      <c r="H761" t="s">
        <v>152</v>
      </c>
      <c r="J761" t="s">
        <v>108</v>
      </c>
      <c r="K761" t="s">
        <v>183</v>
      </c>
      <c r="L761" s="17">
        <v>1</v>
      </c>
      <c r="M761" s="28"/>
    </row>
    <row r="762" spans="1:13" s="25" customFormat="1" x14ac:dyDescent="0.2">
      <c r="A762">
        <f t="shared" si="11"/>
        <v>756</v>
      </c>
      <c r="B762">
        <v>2015</v>
      </c>
      <c r="C762" t="s">
        <v>172</v>
      </c>
      <c r="D762" t="s">
        <v>559</v>
      </c>
      <c r="E762" s="65">
        <v>150</v>
      </c>
      <c r="F762" s="33">
        <v>0.6</v>
      </c>
      <c r="G762" s="68" t="s">
        <v>1009</v>
      </c>
      <c r="H762" t="s">
        <v>149</v>
      </c>
      <c r="J762" t="s">
        <v>66</v>
      </c>
      <c r="K762" t="s">
        <v>201</v>
      </c>
      <c r="L762" s="17">
        <v>1</v>
      </c>
      <c r="M762" s="28" t="s">
        <v>178</v>
      </c>
    </row>
    <row r="763" spans="1:13" s="25" customFormat="1" x14ac:dyDescent="0.2">
      <c r="A763">
        <f t="shared" si="11"/>
        <v>757</v>
      </c>
      <c r="B763">
        <v>2015</v>
      </c>
      <c r="C763" t="s">
        <v>172</v>
      </c>
      <c r="D763" t="s">
        <v>554</v>
      </c>
      <c r="E763" s="65">
        <v>1130</v>
      </c>
      <c r="F763" s="33">
        <v>1</v>
      </c>
      <c r="G763" s="68" t="s">
        <v>772</v>
      </c>
      <c r="H763" t="s">
        <v>153</v>
      </c>
      <c r="J763" t="s">
        <v>42</v>
      </c>
      <c r="K763" t="s">
        <v>195</v>
      </c>
      <c r="L763" s="17">
        <v>0</v>
      </c>
      <c r="M763" s="28"/>
    </row>
    <row r="764" spans="1:13" s="25" customFormat="1" x14ac:dyDescent="0.2">
      <c r="A764">
        <f t="shared" si="11"/>
        <v>758</v>
      </c>
      <c r="B764">
        <v>2015</v>
      </c>
      <c r="C764" t="s">
        <v>172</v>
      </c>
      <c r="D764" t="s">
        <v>189</v>
      </c>
      <c r="E764" s="65">
        <v>530</v>
      </c>
      <c r="F764" s="33"/>
      <c r="G764" s="68" t="s">
        <v>1010</v>
      </c>
      <c r="H764" t="s">
        <v>144</v>
      </c>
      <c r="I764" t="s">
        <v>187</v>
      </c>
      <c r="J764" t="s">
        <v>37</v>
      </c>
      <c r="K764" t="s">
        <v>205</v>
      </c>
      <c r="L764" s="17">
        <v>1</v>
      </c>
      <c r="M764" s="28"/>
    </row>
    <row r="765" spans="1:13" s="25" customFormat="1" x14ac:dyDescent="0.2">
      <c r="A765">
        <f t="shared" si="11"/>
        <v>759</v>
      </c>
      <c r="B765">
        <v>2015</v>
      </c>
      <c r="C765" t="s">
        <v>172</v>
      </c>
      <c r="D765" t="s">
        <v>1011</v>
      </c>
      <c r="E765" s="65">
        <v>350</v>
      </c>
      <c r="F765" s="33"/>
      <c r="G765" s="68"/>
      <c r="H765" t="s">
        <v>149</v>
      </c>
      <c r="J765" t="s">
        <v>34</v>
      </c>
      <c r="K765" t="s">
        <v>219</v>
      </c>
      <c r="L765" s="17">
        <v>1</v>
      </c>
      <c r="M765" s="28"/>
    </row>
    <row r="766" spans="1:13" s="25" customFormat="1" x14ac:dyDescent="0.2">
      <c r="A766">
        <f t="shared" si="11"/>
        <v>760</v>
      </c>
      <c r="B766">
        <v>2015</v>
      </c>
      <c r="C766" t="s">
        <v>172</v>
      </c>
      <c r="D766" t="s">
        <v>405</v>
      </c>
      <c r="E766" s="65">
        <v>510</v>
      </c>
      <c r="F766" s="33"/>
      <c r="G766" s="68"/>
      <c r="H766" t="s">
        <v>154</v>
      </c>
      <c r="I766" t="s">
        <v>271</v>
      </c>
      <c r="J766" t="s">
        <v>9</v>
      </c>
      <c r="K766" t="s">
        <v>9</v>
      </c>
      <c r="L766" s="17">
        <v>0</v>
      </c>
      <c r="M766" s="28"/>
    </row>
    <row r="767" spans="1:13" s="25" customFormat="1" x14ac:dyDescent="0.2">
      <c r="A767">
        <f t="shared" si="11"/>
        <v>761</v>
      </c>
      <c r="B767">
        <v>2015</v>
      </c>
      <c r="C767" t="s">
        <v>258</v>
      </c>
      <c r="D767" t="s">
        <v>661</v>
      </c>
      <c r="E767" s="65">
        <v>1190</v>
      </c>
      <c r="F767" s="33">
        <v>0.68</v>
      </c>
      <c r="G767" t="s">
        <v>1012</v>
      </c>
      <c r="H767" t="s">
        <v>145</v>
      </c>
      <c r="J767" t="s">
        <v>119</v>
      </c>
      <c r="K767" t="s">
        <v>195</v>
      </c>
      <c r="L767" s="17">
        <v>0</v>
      </c>
      <c r="M767" s="28"/>
    </row>
    <row r="768" spans="1:13" s="25" customFormat="1" x14ac:dyDescent="0.2">
      <c r="A768">
        <f t="shared" si="11"/>
        <v>762</v>
      </c>
      <c r="B768">
        <v>2015</v>
      </c>
      <c r="C768" t="s">
        <v>258</v>
      </c>
      <c r="D768" t="s">
        <v>972</v>
      </c>
      <c r="E768" s="65">
        <v>230</v>
      </c>
      <c r="F768" s="33">
        <v>1</v>
      </c>
      <c r="G768" t="s">
        <v>1013</v>
      </c>
      <c r="H768" t="s">
        <v>153</v>
      </c>
      <c r="J768" t="s">
        <v>131</v>
      </c>
      <c r="K768" t="s">
        <v>131</v>
      </c>
      <c r="L768" s="17">
        <v>0</v>
      </c>
      <c r="M768" s="28"/>
    </row>
    <row r="769" spans="1:13" s="25" customFormat="1" x14ac:dyDescent="0.2">
      <c r="A769">
        <f t="shared" si="11"/>
        <v>763</v>
      </c>
      <c r="B769">
        <v>2015</v>
      </c>
      <c r="C769" t="s">
        <v>258</v>
      </c>
      <c r="D769" t="s">
        <v>263</v>
      </c>
      <c r="E769" s="65">
        <v>1190</v>
      </c>
      <c r="F769" s="33"/>
      <c r="G769" t="s">
        <v>1014</v>
      </c>
      <c r="H769" t="s">
        <v>151</v>
      </c>
      <c r="I769" t="s">
        <v>224</v>
      </c>
      <c r="J769" t="s">
        <v>61</v>
      </c>
      <c r="K769" t="s">
        <v>183</v>
      </c>
      <c r="L769" s="17">
        <v>0</v>
      </c>
      <c r="M769" s="28"/>
    </row>
    <row r="770" spans="1:13" s="25" customFormat="1" x14ac:dyDescent="0.2">
      <c r="A770">
        <f t="shared" si="11"/>
        <v>764</v>
      </c>
      <c r="B770">
        <v>2015</v>
      </c>
      <c r="C770" t="s">
        <v>258</v>
      </c>
      <c r="D770" t="s">
        <v>962</v>
      </c>
      <c r="E770" s="65">
        <v>1030</v>
      </c>
      <c r="F770" s="33">
        <v>0.63</v>
      </c>
      <c r="G770" t="s">
        <v>1015</v>
      </c>
      <c r="H770" t="s">
        <v>146</v>
      </c>
      <c r="J770" t="s">
        <v>113</v>
      </c>
      <c r="K770" t="s">
        <v>183</v>
      </c>
      <c r="L770" s="17">
        <v>0</v>
      </c>
      <c r="M770" s="28"/>
    </row>
    <row r="771" spans="1:13" s="25" customFormat="1" x14ac:dyDescent="0.2">
      <c r="A771">
        <f t="shared" si="11"/>
        <v>765</v>
      </c>
      <c r="B771">
        <v>2015</v>
      </c>
      <c r="C771" t="s">
        <v>258</v>
      </c>
      <c r="D771" t="s">
        <v>962</v>
      </c>
      <c r="E771" s="65">
        <v>400</v>
      </c>
      <c r="F771" s="33"/>
      <c r="G771" t="s">
        <v>264</v>
      </c>
      <c r="H771" t="s">
        <v>151</v>
      </c>
      <c r="I771" t="s">
        <v>224</v>
      </c>
      <c r="J771" t="s">
        <v>131</v>
      </c>
      <c r="K771" t="s">
        <v>131</v>
      </c>
      <c r="L771" s="17">
        <v>0</v>
      </c>
      <c r="M771" s="28"/>
    </row>
    <row r="772" spans="1:13" s="25" customFormat="1" x14ac:dyDescent="0.2">
      <c r="A772">
        <f t="shared" si="11"/>
        <v>766</v>
      </c>
      <c r="B772">
        <v>2015</v>
      </c>
      <c r="C772" t="s">
        <v>258</v>
      </c>
      <c r="D772" t="s">
        <v>962</v>
      </c>
      <c r="E772" s="65">
        <v>1670</v>
      </c>
      <c r="F772" s="33">
        <v>1</v>
      </c>
      <c r="G772" t="s">
        <v>1016</v>
      </c>
      <c r="H772" t="s">
        <v>146</v>
      </c>
      <c r="J772" t="s">
        <v>85</v>
      </c>
      <c r="K772" t="s">
        <v>195</v>
      </c>
      <c r="L772" s="17">
        <v>0</v>
      </c>
      <c r="M772" s="28"/>
    </row>
    <row r="773" spans="1:13" s="25" customFormat="1" x14ac:dyDescent="0.2">
      <c r="A773">
        <f t="shared" si="11"/>
        <v>767</v>
      </c>
      <c r="B773">
        <v>2015</v>
      </c>
      <c r="C773" t="s">
        <v>258</v>
      </c>
      <c r="D773" t="s">
        <v>530</v>
      </c>
      <c r="E773" s="65">
        <v>170</v>
      </c>
      <c r="F773" s="33"/>
      <c r="H773" t="s">
        <v>152</v>
      </c>
      <c r="I773" t="s">
        <v>257</v>
      </c>
      <c r="J773" t="s">
        <v>52</v>
      </c>
      <c r="K773" t="s">
        <v>201</v>
      </c>
      <c r="L773" s="17">
        <v>0</v>
      </c>
      <c r="M773" s="28" t="s">
        <v>178</v>
      </c>
    </row>
    <row r="774" spans="1:13" s="25" customFormat="1" x14ac:dyDescent="0.2">
      <c r="A774">
        <f t="shared" si="11"/>
        <v>768</v>
      </c>
      <c r="B774">
        <v>2015</v>
      </c>
      <c r="C774" t="s">
        <v>258</v>
      </c>
      <c r="D774" t="s">
        <v>1017</v>
      </c>
      <c r="E774" s="65">
        <v>300</v>
      </c>
      <c r="F774" s="33"/>
      <c r="H774" t="s">
        <v>152</v>
      </c>
      <c r="J774" t="s">
        <v>8</v>
      </c>
      <c r="K774" t="s">
        <v>205</v>
      </c>
      <c r="L774" s="17">
        <v>1</v>
      </c>
      <c r="M774" s="28"/>
    </row>
    <row r="775" spans="1:13" s="25" customFormat="1" ht="14.25" customHeight="1" x14ac:dyDescent="0.2">
      <c r="A775">
        <f t="shared" ref="A775:A838" si="12">ROW()-6</f>
        <v>769</v>
      </c>
      <c r="B775">
        <v>2015</v>
      </c>
      <c r="C775" t="s">
        <v>258</v>
      </c>
      <c r="D775" t="s">
        <v>1018</v>
      </c>
      <c r="E775" s="65">
        <v>110</v>
      </c>
      <c r="F775" s="33">
        <v>1</v>
      </c>
      <c r="G775" t="s">
        <v>1019</v>
      </c>
      <c r="H775" t="s">
        <v>154</v>
      </c>
      <c r="I775" t="s">
        <v>194</v>
      </c>
      <c r="J775" t="s">
        <v>45</v>
      </c>
      <c r="K775" t="s">
        <v>195</v>
      </c>
      <c r="L775" s="17">
        <v>0</v>
      </c>
      <c r="M775" s="28"/>
    </row>
    <row r="776" spans="1:13" s="25" customFormat="1" x14ac:dyDescent="0.2">
      <c r="A776">
        <f t="shared" si="12"/>
        <v>770</v>
      </c>
      <c r="B776">
        <v>2015</v>
      </c>
      <c r="C776" t="s">
        <v>258</v>
      </c>
      <c r="D776" t="s">
        <v>444</v>
      </c>
      <c r="E776" s="65">
        <v>380</v>
      </c>
      <c r="F776" s="33">
        <v>0.75</v>
      </c>
      <c r="G776" t="s">
        <v>1020</v>
      </c>
      <c r="H776" t="s">
        <v>144</v>
      </c>
      <c r="J776" t="s">
        <v>128</v>
      </c>
      <c r="K776" t="s">
        <v>201</v>
      </c>
      <c r="L776" s="17">
        <v>1</v>
      </c>
      <c r="M776" s="28"/>
    </row>
    <row r="777" spans="1:13" s="25" customFormat="1" x14ac:dyDescent="0.2">
      <c r="A777">
        <f t="shared" si="12"/>
        <v>771</v>
      </c>
      <c r="B777">
        <v>2015</v>
      </c>
      <c r="C777" t="s">
        <v>258</v>
      </c>
      <c r="D777" t="s">
        <v>479</v>
      </c>
      <c r="E777" s="65">
        <v>100</v>
      </c>
      <c r="F777" s="33"/>
      <c r="G777" t="s">
        <v>1021</v>
      </c>
      <c r="H777" t="s">
        <v>151</v>
      </c>
      <c r="I777" t="s">
        <v>224</v>
      </c>
      <c r="J777" t="s">
        <v>53</v>
      </c>
      <c r="K777" t="s">
        <v>183</v>
      </c>
      <c r="L777" s="17">
        <v>1</v>
      </c>
      <c r="M777" s="28" t="s">
        <v>178</v>
      </c>
    </row>
    <row r="778" spans="1:13" s="25" customFormat="1" x14ac:dyDescent="0.2">
      <c r="A778">
        <f t="shared" si="12"/>
        <v>772</v>
      </c>
      <c r="B778">
        <v>2015</v>
      </c>
      <c r="C778" t="s">
        <v>258</v>
      </c>
      <c r="D778" t="s">
        <v>1022</v>
      </c>
      <c r="E778" s="65">
        <v>390</v>
      </c>
      <c r="F778" s="33">
        <v>0.56000000000000005</v>
      </c>
      <c r="H778" t="s">
        <v>154</v>
      </c>
      <c r="I778" t="s">
        <v>194</v>
      </c>
      <c r="J778" t="s">
        <v>53</v>
      </c>
      <c r="K778" t="s">
        <v>183</v>
      </c>
      <c r="L778" s="17">
        <v>1</v>
      </c>
      <c r="M778" s="28" t="s">
        <v>178</v>
      </c>
    </row>
    <row r="779" spans="1:13" s="25" customFormat="1" x14ac:dyDescent="0.2">
      <c r="A779">
        <f t="shared" si="12"/>
        <v>773</v>
      </c>
      <c r="B779">
        <v>2015</v>
      </c>
      <c r="C779" t="s">
        <v>258</v>
      </c>
      <c r="D779" t="s">
        <v>1023</v>
      </c>
      <c r="E779" s="65">
        <v>400</v>
      </c>
      <c r="F779" s="33"/>
      <c r="H779" t="s">
        <v>154</v>
      </c>
      <c r="I779" t="s">
        <v>194</v>
      </c>
      <c r="J779" t="s">
        <v>124</v>
      </c>
      <c r="K779" t="s">
        <v>183</v>
      </c>
      <c r="L779" s="17">
        <v>1</v>
      </c>
      <c r="M779" s="28" t="s">
        <v>178</v>
      </c>
    </row>
    <row r="780" spans="1:13" s="25" customFormat="1" x14ac:dyDescent="0.2">
      <c r="A780">
        <f t="shared" si="12"/>
        <v>774</v>
      </c>
      <c r="B780">
        <v>2015</v>
      </c>
      <c r="C780" t="s">
        <v>179</v>
      </c>
      <c r="D780" t="s">
        <v>877</v>
      </c>
      <c r="E780" s="65">
        <v>350</v>
      </c>
      <c r="F780" s="33">
        <v>1</v>
      </c>
      <c r="G780" t="s">
        <v>1024</v>
      </c>
      <c r="H780" t="s">
        <v>144</v>
      </c>
      <c r="I780" t="s">
        <v>187</v>
      </c>
      <c r="J780" t="s">
        <v>63</v>
      </c>
      <c r="K780" t="s">
        <v>201</v>
      </c>
      <c r="L780" s="17">
        <v>1</v>
      </c>
      <c r="M780" s="28"/>
    </row>
    <row r="781" spans="1:13" s="25" customFormat="1" x14ac:dyDescent="0.2">
      <c r="A781">
        <f t="shared" si="12"/>
        <v>775</v>
      </c>
      <c r="B781">
        <v>2015</v>
      </c>
      <c r="C781" t="s">
        <v>179</v>
      </c>
      <c r="D781" t="s">
        <v>877</v>
      </c>
      <c r="E781" s="65">
        <v>120</v>
      </c>
      <c r="F781" s="33">
        <v>1</v>
      </c>
      <c r="G781" t="s">
        <v>1025</v>
      </c>
      <c r="H781" t="s">
        <v>144</v>
      </c>
      <c r="I781" t="s">
        <v>187</v>
      </c>
      <c r="J781" t="s">
        <v>63</v>
      </c>
      <c r="K781" t="s">
        <v>201</v>
      </c>
      <c r="L781" s="17">
        <v>1</v>
      </c>
      <c r="M781" s="28"/>
    </row>
    <row r="782" spans="1:13" s="25" customFormat="1" x14ac:dyDescent="0.2">
      <c r="A782">
        <f t="shared" si="12"/>
        <v>776</v>
      </c>
      <c r="B782">
        <v>2015</v>
      </c>
      <c r="C782" t="s">
        <v>179</v>
      </c>
      <c r="D782" t="s">
        <v>438</v>
      </c>
      <c r="E782" s="65">
        <v>370</v>
      </c>
      <c r="F782" s="33">
        <v>1</v>
      </c>
      <c r="H782" t="s">
        <v>154</v>
      </c>
      <c r="I782" t="s">
        <v>194</v>
      </c>
      <c r="J782" t="s">
        <v>20</v>
      </c>
      <c r="K782" t="s">
        <v>195</v>
      </c>
      <c r="L782" s="17">
        <v>0</v>
      </c>
      <c r="M782" s="28" t="s">
        <v>178</v>
      </c>
    </row>
    <row r="783" spans="1:13" s="25" customFormat="1" x14ac:dyDescent="0.2">
      <c r="A783">
        <f t="shared" si="12"/>
        <v>777</v>
      </c>
      <c r="B783">
        <v>2015</v>
      </c>
      <c r="C783" t="s">
        <v>179</v>
      </c>
      <c r="D783" t="s">
        <v>221</v>
      </c>
      <c r="E783" s="65">
        <v>730</v>
      </c>
      <c r="F783" s="33">
        <v>0.55000000000000004</v>
      </c>
      <c r="G783" t="s">
        <v>1026</v>
      </c>
      <c r="H783" t="s">
        <v>155</v>
      </c>
      <c r="J783" t="s">
        <v>108</v>
      </c>
      <c r="K783" t="s">
        <v>183</v>
      </c>
      <c r="L783" s="17">
        <v>1</v>
      </c>
      <c r="M783" s="28"/>
    </row>
    <row r="784" spans="1:13" s="25" customFormat="1" x14ac:dyDescent="0.2">
      <c r="A784">
        <f t="shared" si="12"/>
        <v>778</v>
      </c>
      <c r="B784">
        <v>2015</v>
      </c>
      <c r="C784" t="s">
        <v>179</v>
      </c>
      <c r="D784" t="s">
        <v>554</v>
      </c>
      <c r="E784" s="65">
        <v>140</v>
      </c>
      <c r="F784" s="33">
        <v>0.05</v>
      </c>
      <c r="G784" t="s">
        <v>1027</v>
      </c>
      <c r="H784" t="s">
        <v>153</v>
      </c>
      <c r="J784" t="s">
        <v>20</v>
      </c>
      <c r="K784" t="s">
        <v>195</v>
      </c>
      <c r="L784" s="17">
        <v>0</v>
      </c>
      <c r="M784" s="28"/>
    </row>
    <row r="785" spans="1:13" s="25" customFormat="1" x14ac:dyDescent="0.2">
      <c r="A785">
        <f t="shared" si="12"/>
        <v>779</v>
      </c>
      <c r="B785">
        <v>2015</v>
      </c>
      <c r="C785" t="s">
        <v>179</v>
      </c>
      <c r="D785" t="s">
        <v>822</v>
      </c>
      <c r="E785" s="65">
        <v>200</v>
      </c>
      <c r="F785" s="33"/>
      <c r="G785" t="s">
        <v>1028</v>
      </c>
      <c r="H785" t="s">
        <v>145</v>
      </c>
      <c r="J785" t="s">
        <v>131</v>
      </c>
      <c r="K785" t="s">
        <v>131</v>
      </c>
      <c r="L785" s="17">
        <v>0</v>
      </c>
      <c r="M785" s="28"/>
    </row>
    <row r="786" spans="1:13" s="25" customFormat="1" x14ac:dyDescent="0.2">
      <c r="A786">
        <f t="shared" si="12"/>
        <v>780</v>
      </c>
      <c r="B786">
        <v>2015</v>
      </c>
      <c r="C786" t="s">
        <v>179</v>
      </c>
      <c r="D786" t="s">
        <v>880</v>
      </c>
      <c r="E786" s="65">
        <v>140</v>
      </c>
      <c r="F786" s="33">
        <v>0.65</v>
      </c>
      <c r="H786" t="s">
        <v>151</v>
      </c>
      <c r="I786" t="s">
        <v>224</v>
      </c>
      <c r="J786" t="s">
        <v>131</v>
      </c>
      <c r="K786" t="s">
        <v>131</v>
      </c>
      <c r="L786" s="17">
        <v>0</v>
      </c>
      <c r="M786" s="28"/>
    </row>
    <row r="787" spans="1:13" s="25" customFormat="1" x14ac:dyDescent="0.2">
      <c r="A787">
        <f t="shared" si="12"/>
        <v>781</v>
      </c>
      <c r="B787">
        <v>2015</v>
      </c>
      <c r="C787" t="s">
        <v>179</v>
      </c>
      <c r="D787" t="s">
        <v>1029</v>
      </c>
      <c r="E787" s="65">
        <v>100</v>
      </c>
      <c r="F787" s="33">
        <v>1</v>
      </c>
      <c r="H787" t="s">
        <v>144</v>
      </c>
      <c r="I787" t="s">
        <v>232</v>
      </c>
      <c r="J787" t="s">
        <v>72</v>
      </c>
      <c r="K787" t="s">
        <v>183</v>
      </c>
      <c r="L787" s="17">
        <v>1</v>
      </c>
      <c r="M787" s="28" t="s">
        <v>178</v>
      </c>
    </row>
    <row r="788" spans="1:13" s="25" customFormat="1" x14ac:dyDescent="0.2">
      <c r="A788">
        <f t="shared" si="12"/>
        <v>782</v>
      </c>
      <c r="B788">
        <v>2015</v>
      </c>
      <c r="C788" t="s">
        <v>179</v>
      </c>
      <c r="D788" t="s">
        <v>1030</v>
      </c>
      <c r="E788" s="65">
        <v>380</v>
      </c>
      <c r="F788" s="33"/>
      <c r="G788" t="s">
        <v>1031</v>
      </c>
      <c r="H788" t="s">
        <v>145</v>
      </c>
      <c r="J788" t="s">
        <v>131</v>
      </c>
      <c r="K788" t="s">
        <v>131</v>
      </c>
      <c r="L788" s="17">
        <v>0</v>
      </c>
      <c r="M788" s="28"/>
    </row>
    <row r="789" spans="1:13" s="25" customFormat="1" x14ac:dyDescent="0.2">
      <c r="A789">
        <f t="shared" si="12"/>
        <v>783</v>
      </c>
      <c r="B789">
        <v>2015</v>
      </c>
      <c r="C789" t="s">
        <v>179</v>
      </c>
      <c r="D789" t="s">
        <v>337</v>
      </c>
      <c r="E789" s="65">
        <v>870</v>
      </c>
      <c r="F789" s="33">
        <v>0.55000000000000004</v>
      </c>
      <c r="G789" t="s">
        <v>1032</v>
      </c>
      <c r="H789" t="s">
        <v>144</v>
      </c>
      <c r="I789" t="s">
        <v>273</v>
      </c>
      <c r="J789" t="s">
        <v>53</v>
      </c>
      <c r="K789" t="s">
        <v>183</v>
      </c>
      <c r="L789" s="17">
        <v>1</v>
      </c>
      <c r="M789" s="28" t="s">
        <v>178</v>
      </c>
    </row>
    <row r="790" spans="1:13" s="25" customFormat="1" x14ac:dyDescent="0.2">
      <c r="A790">
        <f t="shared" si="12"/>
        <v>784</v>
      </c>
      <c r="B790">
        <v>2015</v>
      </c>
      <c r="C790" t="s">
        <v>179</v>
      </c>
      <c r="D790" t="s">
        <v>572</v>
      </c>
      <c r="E790" s="65">
        <v>380</v>
      </c>
      <c r="F790" s="33"/>
      <c r="H790" t="s">
        <v>144</v>
      </c>
      <c r="I790" t="s">
        <v>232</v>
      </c>
      <c r="J790" t="s">
        <v>112</v>
      </c>
      <c r="K790" t="s">
        <v>219</v>
      </c>
      <c r="L790" s="17">
        <v>1</v>
      </c>
      <c r="M790" s="28" t="s">
        <v>178</v>
      </c>
    </row>
    <row r="791" spans="1:13" s="25" customFormat="1" x14ac:dyDescent="0.2">
      <c r="A791">
        <f t="shared" si="12"/>
        <v>785</v>
      </c>
      <c r="B791">
        <v>2015</v>
      </c>
      <c r="C791" t="s">
        <v>179</v>
      </c>
      <c r="D791" t="s">
        <v>530</v>
      </c>
      <c r="E791" s="65">
        <v>170</v>
      </c>
      <c r="F791" s="33"/>
      <c r="H791" t="s">
        <v>152</v>
      </c>
      <c r="I791" t="s">
        <v>257</v>
      </c>
      <c r="J791" t="s">
        <v>42</v>
      </c>
      <c r="K791" t="s">
        <v>195</v>
      </c>
      <c r="L791" s="17">
        <v>0</v>
      </c>
      <c r="M791" s="28" t="s">
        <v>178</v>
      </c>
    </row>
    <row r="792" spans="1:13" s="25" customFormat="1" x14ac:dyDescent="0.2">
      <c r="A792">
        <f t="shared" si="12"/>
        <v>786</v>
      </c>
      <c r="B792">
        <v>2015</v>
      </c>
      <c r="C792" t="s">
        <v>184</v>
      </c>
      <c r="D792" t="s">
        <v>550</v>
      </c>
      <c r="E792" s="65">
        <v>540</v>
      </c>
      <c r="F792" s="33">
        <v>0.75</v>
      </c>
      <c r="G792" t="s">
        <v>450</v>
      </c>
      <c r="H792" t="s">
        <v>149</v>
      </c>
      <c r="I792" t="s">
        <v>182</v>
      </c>
      <c r="J792" t="s">
        <v>107</v>
      </c>
      <c r="K792" t="s">
        <v>219</v>
      </c>
      <c r="L792" s="17">
        <v>1</v>
      </c>
      <c r="M792" s="28"/>
    </row>
    <row r="793" spans="1:13" s="25" customFormat="1" x14ac:dyDescent="0.2">
      <c r="A793">
        <f t="shared" si="12"/>
        <v>787</v>
      </c>
      <c r="B793">
        <v>2015</v>
      </c>
      <c r="C793" t="s">
        <v>184</v>
      </c>
      <c r="D793" t="s">
        <v>1033</v>
      </c>
      <c r="E793" s="65">
        <v>330</v>
      </c>
      <c r="F793" s="33"/>
      <c r="G793" t="s">
        <v>752</v>
      </c>
      <c r="H793" t="s">
        <v>151</v>
      </c>
      <c r="I793" t="s">
        <v>224</v>
      </c>
      <c r="J793" t="s">
        <v>131</v>
      </c>
      <c r="K793" t="s">
        <v>131</v>
      </c>
      <c r="L793" s="17">
        <v>0</v>
      </c>
      <c r="M793" s="28" t="s">
        <v>178</v>
      </c>
    </row>
    <row r="794" spans="1:13" s="25" customFormat="1" x14ac:dyDescent="0.2">
      <c r="A794">
        <f t="shared" si="12"/>
        <v>788</v>
      </c>
      <c r="B794">
        <v>2015</v>
      </c>
      <c r="C794" t="s">
        <v>184</v>
      </c>
      <c r="D794" t="s">
        <v>682</v>
      </c>
      <c r="E794" s="65">
        <v>190</v>
      </c>
      <c r="F794" s="33">
        <v>1</v>
      </c>
      <c r="G794" t="s">
        <v>1034</v>
      </c>
      <c r="H794" t="s">
        <v>154</v>
      </c>
      <c r="I794" t="s">
        <v>271</v>
      </c>
      <c r="J794" t="s">
        <v>20</v>
      </c>
      <c r="K794" t="s">
        <v>195</v>
      </c>
      <c r="L794" s="17">
        <v>0</v>
      </c>
      <c r="M794" s="28"/>
    </row>
    <row r="795" spans="1:13" s="25" customFormat="1" x14ac:dyDescent="0.2">
      <c r="A795">
        <f t="shared" si="12"/>
        <v>789</v>
      </c>
      <c r="B795">
        <v>2015</v>
      </c>
      <c r="C795" t="s">
        <v>184</v>
      </c>
      <c r="D795" t="s">
        <v>1035</v>
      </c>
      <c r="E795" s="65">
        <v>1070</v>
      </c>
      <c r="F795" s="33">
        <v>0.51</v>
      </c>
      <c r="G795" t="s">
        <v>1036</v>
      </c>
      <c r="H795" t="s">
        <v>144</v>
      </c>
      <c r="I795" t="s">
        <v>273</v>
      </c>
      <c r="J795" t="s">
        <v>93</v>
      </c>
      <c r="K795" t="s">
        <v>201</v>
      </c>
      <c r="L795" s="17">
        <v>1</v>
      </c>
      <c r="M795" s="28" t="s">
        <v>178</v>
      </c>
    </row>
    <row r="796" spans="1:13" s="25" customFormat="1" x14ac:dyDescent="0.2">
      <c r="A796">
        <f t="shared" si="12"/>
        <v>790</v>
      </c>
      <c r="B796">
        <v>2015</v>
      </c>
      <c r="C796" t="s">
        <v>184</v>
      </c>
      <c r="D796" t="s">
        <v>751</v>
      </c>
      <c r="E796" s="65">
        <v>130</v>
      </c>
      <c r="F796" s="33">
        <v>0.51</v>
      </c>
      <c r="G796" t="s">
        <v>1037</v>
      </c>
      <c r="H796" t="s">
        <v>151</v>
      </c>
      <c r="I796" t="s">
        <v>224</v>
      </c>
      <c r="J796" t="s">
        <v>131</v>
      </c>
      <c r="K796" t="s">
        <v>131</v>
      </c>
      <c r="L796" s="17">
        <v>0</v>
      </c>
      <c r="M796" s="28"/>
    </row>
    <row r="797" spans="1:13" s="25" customFormat="1" x14ac:dyDescent="0.2">
      <c r="A797">
        <f t="shared" si="12"/>
        <v>791</v>
      </c>
      <c r="B797">
        <v>2015</v>
      </c>
      <c r="C797" t="s">
        <v>184</v>
      </c>
      <c r="D797" t="s">
        <v>554</v>
      </c>
      <c r="E797" s="65">
        <v>300</v>
      </c>
      <c r="F797" s="33">
        <v>0.2</v>
      </c>
      <c r="G797" t="s">
        <v>1038</v>
      </c>
      <c r="H797" t="s">
        <v>145</v>
      </c>
      <c r="J797" t="s">
        <v>25</v>
      </c>
      <c r="K797" t="s">
        <v>177</v>
      </c>
      <c r="L797" s="17">
        <v>0</v>
      </c>
      <c r="M797" s="28"/>
    </row>
    <row r="798" spans="1:13" s="25" customFormat="1" x14ac:dyDescent="0.2">
      <c r="A798">
        <f t="shared" si="12"/>
        <v>792</v>
      </c>
      <c r="B798">
        <v>2015</v>
      </c>
      <c r="C798" t="s">
        <v>184</v>
      </c>
      <c r="D798" t="s">
        <v>454</v>
      </c>
      <c r="E798" s="65">
        <v>130</v>
      </c>
      <c r="F798" s="33">
        <v>0.15</v>
      </c>
      <c r="G798" t="s">
        <v>1039</v>
      </c>
      <c r="H798" t="s">
        <v>152</v>
      </c>
      <c r="I798" t="s">
        <v>257</v>
      </c>
      <c r="J798" t="s">
        <v>131</v>
      </c>
      <c r="K798" t="s">
        <v>131</v>
      </c>
      <c r="L798" s="17">
        <v>0</v>
      </c>
      <c r="M798" s="28"/>
    </row>
    <row r="799" spans="1:13" s="25" customFormat="1" ht="15.5" customHeight="1" x14ac:dyDescent="0.2">
      <c r="A799">
        <f t="shared" si="12"/>
        <v>793</v>
      </c>
      <c r="B799">
        <v>2015</v>
      </c>
      <c r="C799" t="s">
        <v>184</v>
      </c>
      <c r="D799" t="s">
        <v>1040</v>
      </c>
      <c r="E799" s="65">
        <v>1900</v>
      </c>
      <c r="F799" s="33">
        <v>1</v>
      </c>
      <c r="G799" t="s">
        <v>1041</v>
      </c>
      <c r="H799" t="s">
        <v>152</v>
      </c>
      <c r="J799" t="s">
        <v>131</v>
      </c>
      <c r="K799" t="s">
        <v>131</v>
      </c>
      <c r="L799" s="17">
        <v>0</v>
      </c>
      <c r="M799" s="28"/>
    </row>
    <row r="800" spans="1:13" s="25" customFormat="1" x14ac:dyDescent="0.2">
      <c r="A800">
        <f t="shared" si="12"/>
        <v>794</v>
      </c>
      <c r="B800">
        <v>2015</v>
      </c>
      <c r="C800" t="s">
        <v>184</v>
      </c>
      <c r="D800" t="s">
        <v>1042</v>
      </c>
      <c r="E800" s="65">
        <v>100</v>
      </c>
      <c r="F800" s="33"/>
      <c r="G800" t="s">
        <v>1043</v>
      </c>
      <c r="H800" t="s">
        <v>152</v>
      </c>
      <c r="J800" t="s">
        <v>101</v>
      </c>
      <c r="K800" t="s">
        <v>201</v>
      </c>
      <c r="L800" s="17">
        <v>1</v>
      </c>
      <c r="M800" s="28" t="s">
        <v>178</v>
      </c>
    </row>
    <row r="801" spans="1:13" s="25" customFormat="1" x14ac:dyDescent="0.2">
      <c r="A801">
        <f t="shared" si="12"/>
        <v>795</v>
      </c>
      <c r="B801">
        <v>2015</v>
      </c>
      <c r="C801" t="s">
        <v>184</v>
      </c>
      <c r="D801" t="s">
        <v>554</v>
      </c>
      <c r="E801" s="65">
        <v>380</v>
      </c>
      <c r="F801" s="33">
        <v>0.75</v>
      </c>
      <c r="G801" t="s">
        <v>1044</v>
      </c>
      <c r="H801" t="s">
        <v>151</v>
      </c>
      <c r="I801" t="s">
        <v>224</v>
      </c>
      <c r="J801" t="s">
        <v>9</v>
      </c>
      <c r="K801" t="s">
        <v>9</v>
      </c>
      <c r="L801" s="17">
        <v>0</v>
      </c>
      <c r="M801" s="28"/>
    </row>
    <row r="802" spans="1:13" s="25" customFormat="1" x14ac:dyDescent="0.2">
      <c r="A802">
        <f t="shared" si="12"/>
        <v>796</v>
      </c>
      <c r="B802">
        <v>2015</v>
      </c>
      <c r="C802" t="s">
        <v>184</v>
      </c>
      <c r="D802" t="s">
        <v>300</v>
      </c>
      <c r="E802" s="65">
        <v>730</v>
      </c>
      <c r="F802" s="33"/>
      <c r="G802" t="s">
        <v>1045</v>
      </c>
      <c r="H802" t="s">
        <v>144</v>
      </c>
      <c r="I802" t="s">
        <v>299</v>
      </c>
      <c r="J802" t="s">
        <v>114</v>
      </c>
      <c r="K802" t="s">
        <v>195</v>
      </c>
      <c r="L802" s="17">
        <v>0</v>
      </c>
      <c r="M802" s="28"/>
    </row>
    <row r="803" spans="1:13" s="25" customFormat="1" x14ac:dyDescent="0.2">
      <c r="A803">
        <f t="shared" si="12"/>
        <v>797</v>
      </c>
      <c r="B803">
        <v>2015</v>
      </c>
      <c r="C803" t="s">
        <v>184</v>
      </c>
      <c r="D803" t="s">
        <v>1046</v>
      </c>
      <c r="E803" s="65">
        <v>320</v>
      </c>
      <c r="F803" s="33"/>
      <c r="G803" t="s">
        <v>1047</v>
      </c>
      <c r="H803" t="s">
        <v>144</v>
      </c>
      <c r="I803" t="s">
        <v>187</v>
      </c>
      <c r="J803" t="s">
        <v>131</v>
      </c>
      <c r="K803" t="s">
        <v>131</v>
      </c>
      <c r="L803" s="17">
        <v>0</v>
      </c>
      <c r="M803" s="28"/>
    </row>
    <row r="804" spans="1:13" s="25" customFormat="1" x14ac:dyDescent="0.2">
      <c r="A804">
        <f t="shared" si="12"/>
        <v>798</v>
      </c>
      <c r="B804">
        <v>2015</v>
      </c>
      <c r="C804" t="s">
        <v>184</v>
      </c>
      <c r="D804" t="s">
        <v>421</v>
      </c>
      <c r="E804" s="65">
        <v>220</v>
      </c>
      <c r="F804" s="33">
        <v>1</v>
      </c>
      <c r="G804" t="s">
        <v>1048</v>
      </c>
      <c r="H804" t="s">
        <v>154</v>
      </c>
      <c r="I804" t="s">
        <v>250</v>
      </c>
      <c r="J804" t="s">
        <v>131</v>
      </c>
      <c r="K804" t="s">
        <v>131</v>
      </c>
      <c r="L804" s="17">
        <v>0</v>
      </c>
      <c r="M804" s="28"/>
    </row>
    <row r="805" spans="1:13" s="25" customFormat="1" x14ac:dyDescent="0.2">
      <c r="A805">
        <f t="shared" si="12"/>
        <v>799</v>
      </c>
      <c r="B805">
        <v>2015</v>
      </c>
      <c r="C805" t="s">
        <v>184</v>
      </c>
      <c r="D805" t="s">
        <v>943</v>
      </c>
      <c r="E805" s="65">
        <v>130</v>
      </c>
      <c r="F805" s="33">
        <v>0.49</v>
      </c>
      <c r="G805" t="s">
        <v>1049</v>
      </c>
      <c r="H805" t="s">
        <v>144</v>
      </c>
      <c r="J805" t="s">
        <v>63</v>
      </c>
      <c r="K805" t="s">
        <v>201</v>
      </c>
      <c r="L805" s="17">
        <v>1</v>
      </c>
      <c r="M805" s="28"/>
    </row>
    <row r="806" spans="1:13" s="25" customFormat="1" x14ac:dyDescent="0.2">
      <c r="A806">
        <f t="shared" si="12"/>
        <v>800</v>
      </c>
      <c r="B806">
        <v>2015</v>
      </c>
      <c r="C806" t="s">
        <v>225</v>
      </c>
      <c r="D806" t="s">
        <v>554</v>
      </c>
      <c r="E806" s="65">
        <v>1840</v>
      </c>
      <c r="F806" s="33">
        <v>0.8</v>
      </c>
      <c r="G806" t="s">
        <v>951</v>
      </c>
      <c r="H806" t="s">
        <v>146</v>
      </c>
      <c r="J806" t="s">
        <v>131</v>
      </c>
      <c r="K806" t="s">
        <v>131</v>
      </c>
      <c r="L806" s="17">
        <v>0</v>
      </c>
      <c r="M806" s="28"/>
    </row>
    <row r="807" spans="1:13" s="25" customFormat="1" x14ac:dyDescent="0.2">
      <c r="A807">
        <f t="shared" si="12"/>
        <v>801</v>
      </c>
      <c r="B807">
        <v>2015</v>
      </c>
      <c r="C807" t="s">
        <v>225</v>
      </c>
      <c r="D807" t="s">
        <v>370</v>
      </c>
      <c r="E807" s="65">
        <v>810</v>
      </c>
      <c r="F807" s="33"/>
      <c r="G807" t="s">
        <v>1050</v>
      </c>
      <c r="H807" t="s">
        <v>149</v>
      </c>
      <c r="I807" t="s">
        <v>236</v>
      </c>
      <c r="J807" t="s">
        <v>9</v>
      </c>
      <c r="K807" t="s">
        <v>9</v>
      </c>
      <c r="L807" s="17">
        <v>0</v>
      </c>
      <c r="M807" s="28"/>
    </row>
    <row r="808" spans="1:13" s="25" customFormat="1" x14ac:dyDescent="0.2">
      <c r="A808">
        <f t="shared" si="12"/>
        <v>802</v>
      </c>
      <c r="B808">
        <v>2015</v>
      </c>
      <c r="C808" t="s">
        <v>225</v>
      </c>
      <c r="D808" t="s">
        <v>416</v>
      </c>
      <c r="E808" s="65">
        <v>280</v>
      </c>
      <c r="F808" s="33">
        <v>0.49</v>
      </c>
      <c r="G808" t="s">
        <v>1051</v>
      </c>
      <c r="H808" t="s">
        <v>154</v>
      </c>
      <c r="I808" t="s">
        <v>194</v>
      </c>
      <c r="J808" t="s">
        <v>72</v>
      </c>
      <c r="K808" t="s">
        <v>183</v>
      </c>
      <c r="L808" s="17">
        <v>1</v>
      </c>
      <c r="M808" s="28"/>
    </row>
    <row r="809" spans="1:13" s="25" customFormat="1" x14ac:dyDescent="0.2">
      <c r="A809">
        <f t="shared" si="12"/>
        <v>803</v>
      </c>
      <c r="B809">
        <v>2015</v>
      </c>
      <c r="C809" t="s">
        <v>225</v>
      </c>
      <c r="D809" t="s">
        <v>953</v>
      </c>
      <c r="E809" s="65">
        <v>140</v>
      </c>
      <c r="F809" s="33"/>
      <c r="G809" t="s">
        <v>1052</v>
      </c>
      <c r="H809" t="s">
        <v>151</v>
      </c>
      <c r="I809" t="s">
        <v>224</v>
      </c>
      <c r="J809" t="s">
        <v>9</v>
      </c>
      <c r="K809" t="s">
        <v>9</v>
      </c>
      <c r="L809" s="17">
        <v>0</v>
      </c>
      <c r="M809" s="28"/>
    </row>
    <row r="810" spans="1:13" s="25" customFormat="1" x14ac:dyDescent="0.2">
      <c r="A810">
        <f t="shared" si="12"/>
        <v>804</v>
      </c>
      <c r="B810">
        <v>2015</v>
      </c>
      <c r="C810" t="s">
        <v>225</v>
      </c>
      <c r="D810" t="s">
        <v>1053</v>
      </c>
      <c r="E810" s="65">
        <v>170</v>
      </c>
      <c r="F810" s="33">
        <v>0.8</v>
      </c>
      <c r="G810" t="s">
        <v>1054</v>
      </c>
      <c r="H810" t="s">
        <v>146</v>
      </c>
      <c r="I810" t="s">
        <v>275</v>
      </c>
      <c r="J810" t="s">
        <v>19</v>
      </c>
      <c r="K810" t="s">
        <v>205</v>
      </c>
      <c r="L810" s="17">
        <v>0</v>
      </c>
      <c r="M810" s="28"/>
    </row>
    <row r="811" spans="1:13" s="25" customFormat="1" x14ac:dyDescent="0.2">
      <c r="A811">
        <f t="shared" si="12"/>
        <v>805</v>
      </c>
      <c r="B811">
        <v>2015</v>
      </c>
      <c r="C811" t="s">
        <v>225</v>
      </c>
      <c r="D811" t="s">
        <v>559</v>
      </c>
      <c r="E811" s="65">
        <v>300</v>
      </c>
      <c r="F811" s="33">
        <v>0.5</v>
      </c>
      <c r="G811" t="s">
        <v>1055</v>
      </c>
      <c r="H811" t="s">
        <v>149</v>
      </c>
      <c r="J811" t="s">
        <v>95</v>
      </c>
      <c r="K811" t="s">
        <v>183</v>
      </c>
      <c r="L811" s="17">
        <v>1</v>
      </c>
      <c r="M811" s="28"/>
    </row>
    <row r="812" spans="1:13" s="25" customFormat="1" x14ac:dyDescent="0.2">
      <c r="A812">
        <f t="shared" si="12"/>
        <v>806</v>
      </c>
      <c r="B812">
        <v>2015</v>
      </c>
      <c r="C812" t="s">
        <v>225</v>
      </c>
      <c r="D812" t="s">
        <v>559</v>
      </c>
      <c r="E812" s="65">
        <v>410</v>
      </c>
      <c r="F812" s="33">
        <v>0.49</v>
      </c>
      <c r="G812" t="s">
        <v>1056</v>
      </c>
      <c r="H812" t="s">
        <v>149</v>
      </c>
      <c r="I812" t="s">
        <v>236</v>
      </c>
      <c r="J812" t="s">
        <v>34</v>
      </c>
      <c r="K812" t="s">
        <v>219</v>
      </c>
      <c r="L812" s="17">
        <v>1</v>
      </c>
      <c r="M812" s="28"/>
    </row>
    <row r="813" spans="1:13" s="25" customFormat="1" x14ac:dyDescent="0.2">
      <c r="A813">
        <f t="shared" si="12"/>
        <v>807</v>
      </c>
      <c r="B813">
        <v>2015</v>
      </c>
      <c r="C813" t="s">
        <v>225</v>
      </c>
      <c r="D813" t="s">
        <v>1057</v>
      </c>
      <c r="E813" s="65">
        <v>160</v>
      </c>
      <c r="F813" s="33">
        <v>1</v>
      </c>
      <c r="H813" t="s">
        <v>144</v>
      </c>
      <c r="I813" t="s">
        <v>232</v>
      </c>
      <c r="J813" t="s">
        <v>124</v>
      </c>
      <c r="K813" t="s">
        <v>183</v>
      </c>
      <c r="L813" s="17">
        <v>1</v>
      </c>
      <c r="M813" s="28" t="s">
        <v>178</v>
      </c>
    </row>
    <row r="814" spans="1:13" s="25" customFormat="1" x14ac:dyDescent="0.2">
      <c r="A814">
        <f t="shared" si="12"/>
        <v>808</v>
      </c>
      <c r="B814">
        <v>2015</v>
      </c>
      <c r="C814" t="s">
        <v>225</v>
      </c>
      <c r="D814" t="s">
        <v>1058</v>
      </c>
      <c r="E814" s="65">
        <v>1800</v>
      </c>
      <c r="F814" s="33">
        <v>1</v>
      </c>
      <c r="G814" t="s">
        <v>1059</v>
      </c>
      <c r="H814" t="s">
        <v>152</v>
      </c>
      <c r="J814" t="s">
        <v>85</v>
      </c>
      <c r="K814" t="s">
        <v>195</v>
      </c>
      <c r="L814" s="17">
        <v>0</v>
      </c>
      <c r="M814" s="28"/>
    </row>
    <row r="815" spans="1:13" s="25" customFormat="1" x14ac:dyDescent="0.2">
      <c r="A815">
        <f t="shared" si="12"/>
        <v>809</v>
      </c>
      <c r="B815">
        <v>2015</v>
      </c>
      <c r="C815" t="s">
        <v>225</v>
      </c>
      <c r="D815" t="s">
        <v>221</v>
      </c>
      <c r="E815" s="65">
        <v>120</v>
      </c>
      <c r="F815" s="33">
        <v>0.8</v>
      </c>
      <c r="G815" t="s">
        <v>1060</v>
      </c>
      <c r="H815" t="s">
        <v>151</v>
      </c>
      <c r="I815" t="s">
        <v>224</v>
      </c>
      <c r="J815" t="s">
        <v>102</v>
      </c>
      <c r="K815" t="s">
        <v>219</v>
      </c>
      <c r="L815" s="17">
        <v>1</v>
      </c>
      <c r="M815" s="28" t="s">
        <v>178</v>
      </c>
    </row>
    <row r="816" spans="1:13" s="25" customFormat="1" x14ac:dyDescent="0.2">
      <c r="A816">
        <f t="shared" si="12"/>
        <v>810</v>
      </c>
      <c r="B816">
        <v>2015</v>
      </c>
      <c r="C816" t="s">
        <v>225</v>
      </c>
      <c r="D816" t="s">
        <v>221</v>
      </c>
      <c r="E816" s="65">
        <v>120</v>
      </c>
      <c r="F816" s="33">
        <v>0.8</v>
      </c>
      <c r="G816" t="s">
        <v>1060</v>
      </c>
      <c r="H816" t="s">
        <v>151</v>
      </c>
      <c r="I816" t="s">
        <v>224</v>
      </c>
      <c r="J816" t="s">
        <v>64</v>
      </c>
      <c r="K816" t="s">
        <v>219</v>
      </c>
      <c r="L816" s="17">
        <v>1</v>
      </c>
      <c r="M816" s="28" t="s">
        <v>178</v>
      </c>
    </row>
    <row r="817" spans="1:13" s="25" customFormat="1" x14ac:dyDescent="0.2">
      <c r="A817">
        <f t="shared" si="12"/>
        <v>811</v>
      </c>
      <c r="B817">
        <v>2015</v>
      </c>
      <c r="C817" t="s">
        <v>225</v>
      </c>
      <c r="D817" t="s">
        <v>1061</v>
      </c>
      <c r="E817" s="65">
        <v>100</v>
      </c>
      <c r="F817" s="33"/>
      <c r="H817" t="s">
        <v>144</v>
      </c>
      <c r="I817" t="s">
        <v>232</v>
      </c>
      <c r="J817" t="s">
        <v>19</v>
      </c>
      <c r="K817" t="s">
        <v>205</v>
      </c>
      <c r="L817" s="17">
        <v>0</v>
      </c>
      <c r="M817" s="28" t="s">
        <v>178</v>
      </c>
    </row>
    <row r="818" spans="1:13" s="25" customFormat="1" x14ac:dyDescent="0.2">
      <c r="A818">
        <f t="shared" si="12"/>
        <v>812</v>
      </c>
      <c r="B818">
        <v>2015</v>
      </c>
      <c r="C818" t="s">
        <v>225</v>
      </c>
      <c r="D818" t="s">
        <v>760</v>
      </c>
      <c r="E818" s="65">
        <v>340</v>
      </c>
      <c r="F818" s="33"/>
      <c r="G818" t="s">
        <v>963</v>
      </c>
      <c r="H818" t="s">
        <v>153</v>
      </c>
      <c r="J818" t="s">
        <v>9</v>
      </c>
      <c r="K818" t="s">
        <v>9</v>
      </c>
      <c r="L818" s="17">
        <v>0</v>
      </c>
      <c r="M818" s="28"/>
    </row>
    <row r="819" spans="1:13" s="25" customFormat="1" x14ac:dyDescent="0.2">
      <c r="A819">
        <f t="shared" si="12"/>
        <v>813</v>
      </c>
      <c r="B819">
        <v>2015</v>
      </c>
      <c r="C819" t="s">
        <v>225</v>
      </c>
      <c r="D819" t="s">
        <v>438</v>
      </c>
      <c r="E819" s="65">
        <v>500</v>
      </c>
      <c r="F819" s="33">
        <v>1</v>
      </c>
      <c r="G819" t="s">
        <v>1062</v>
      </c>
      <c r="H819" t="s">
        <v>154</v>
      </c>
      <c r="I819" t="s">
        <v>194</v>
      </c>
      <c r="J819" t="s">
        <v>131</v>
      </c>
      <c r="K819" t="s">
        <v>131</v>
      </c>
      <c r="L819" s="17">
        <v>0</v>
      </c>
      <c r="M819" s="28" t="s">
        <v>178</v>
      </c>
    </row>
    <row r="820" spans="1:13" s="25" customFormat="1" x14ac:dyDescent="0.2">
      <c r="A820">
        <f t="shared" si="12"/>
        <v>814</v>
      </c>
      <c r="B820">
        <v>2015</v>
      </c>
      <c r="C820" t="s">
        <v>225</v>
      </c>
      <c r="D820" t="s">
        <v>1063</v>
      </c>
      <c r="E820" s="65">
        <v>1940</v>
      </c>
      <c r="F820" s="33"/>
      <c r="H820" t="s">
        <v>149</v>
      </c>
      <c r="I820" t="s">
        <v>182</v>
      </c>
      <c r="J820" t="s">
        <v>78</v>
      </c>
      <c r="K820" t="s">
        <v>183</v>
      </c>
      <c r="L820" s="17">
        <v>1</v>
      </c>
      <c r="M820" s="28"/>
    </row>
    <row r="821" spans="1:13" s="25" customFormat="1" x14ac:dyDescent="0.2">
      <c r="A821">
        <f t="shared" si="12"/>
        <v>815</v>
      </c>
      <c r="B821">
        <v>2015</v>
      </c>
      <c r="C821" t="s">
        <v>225</v>
      </c>
      <c r="D821" t="s">
        <v>1064</v>
      </c>
      <c r="E821" s="65">
        <v>130</v>
      </c>
      <c r="F821" s="33"/>
      <c r="G821" t="s">
        <v>1065</v>
      </c>
      <c r="H821" t="s">
        <v>150</v>
      </c>
      <c r="I821" t="s">
        <v>556</v>
      </c>
      <c r="J821" t="s">
        <v>113</v>
      </c>
      <c r="K821" t="s">
        <v>183</v>
      </c>
      <c r="L821" s="17">
        <v>0</v>
      </c>
      <c r="M821" s="28"/>
    </row>
    <row r="822" spans="1:13" s="25" customFormat="1" x14ac:dyDescent="0.2">
      <c r="A822">
        <f t="shared" si="12"/>
        <v>816</v>
      </c>
      <c r="B822">
        <v>2015</v>
      </c>
      <c r="C822" t="s">
        <v>225</v>
      </c>
      <c r="D822" t="s">
        <v>1066</v>
      </c>
      <c r="E822" s="65">
        <v>100</v>
      </c>
      <c r="F822" s="33">
        <v>0.05</v>
      </c>
      <c r="G822" t="s">
        <v>1067</v>
      </c>
      <c r="H822" t="s">
        <v>146</v>
      </c>
      <c r="I822" t="s">
        <v>253</v>
      </c>
      <c r="J822" t="s">
        <v>33</v>
      </c>
      <c r="K822" t="s">
        <v>195</v>
      </c>
      <c r="L822" s="17">
        <v>1</v>
      </c>
      <c r="M822" s="28"/>
    </row>
    <row r="823" spans="1:13" s="25" customFormat="1" x14ac:dyDescent="0.2">
      <c r="A823">
        <f t="shared" si="12"/>
        <v>817</v>
      </c>
      <c r="B823">
        <v>2015</v>
      </c>
      <c r="C823" t="s">
        <v>225</v>
      </c>
      <c r="D823" t="s">
        <v>557</v>
      </c>
      <c r="E823" s="65">
        <v>190</v>
      </c>
      <c r="F823" s="33"/>
      <c r="H823" t="s">
        <v>150</v>
      </c>
      <c r="I823" t="s">
        <v>217</v>
      </c>
      <c r="J823" t="s">
        <v>38</v>
      </c>
      <c r="K823" t="s">
        <v>214</v>
      </c>
      <c r="L823" s="17">
        <v>1</v>
      </c>
      <c r="M823" s="28" t="s">
        <v>178</v>
      </c>
    </row>
    <row r="824" spans="1:13" s="25" customFormat="1" x14ac:dyDescent="0.2">
      <c r="A824">
        <f t="shared" si="12"/>
        <v>818</v>
      </c>
      <c r="B824">
        <v>2015</v>
      </c>
      <c r="C824" t="s">
        <v>225</v>
      </c>
      <c r="D824" t="s">
        <v>180</v>
      </c>
      <c r="E824" s="65">
        <v>230</v>
      </c>
      <c r="F824" s="33"/>
      <c r="H824" t="s">
        <v>151</v>
      </c>
      <c r="I824" t="s">
        <v>224</v>
      </c>
      <c r="J824" t="s">
        <v>108</v>
      </c>
      <c r="K824" t="s">
        <v>183</v>
      </c>
      <c r="L824" s="17">
        <v>1</v>
      </c>
      <c r="M824" s="28" t="s">
        <v>178</v>
      </c>
    </row>
    <row r="825" spans="1:13" s="25" customFormat="1" x14ac:dyDescent="0.2">
      <c r="A825">
        <f t="shared" si="12"/>
        <v>819</v>
      </c>
      <c r="B825">
        <v>2015</v>
      </c>
      <c r="C825" t="s">
        <v>225</v>
      </c>
      <c r="D825" t="s">
        <v>298</v>
      </c>
      <c r="E825" s="65">
        <v>590</v>
      </c>
      <c r="F825" s="33"/>
      <c r="H825" t="s">
        <v>144</v>
      </c>
      <c r="I825" t="s">
        <v>299</v>
      </c>
      <c r="J825" t="s">
        <v>46</v>
      </c>
      <c r="K825" t="s">
        <v>219</v>
      </c>
      <c r="L825" s="17">
        <v>1</v>
      </c>
      <c r="M825" s="28"/>
    </row>
    <row r="826" spans="1:13" s="25" customFormat="1" x14ac:dyDescent="0.2">
      <c r="A826">
        <f t="shared" si="12"/>
        <v>820</v>
      </c>
      <c r="B826">
        <v>2015</v>
      </c>
      <c r="C826" t="s">
        <v>225</v>
      </c>
      <c r="D826" t="s">
        <v>410</v>
      </c>
      <c r="E826" s="65">
        <v>510</v>
      </c>
      <c r="F826" s="33"/>
      <c r="H826" t="s">
        <v>154</v>
      </c>
      <c r="I826" t="s">
        <v>194</v>
      </c>
      <c r="J826" t="s">
        <v>101</v>
      </c>
      <c r="K826" t="s">
        <v>201</v>
      </c>
      <c r="L826" s="17">
        <v>1</v>
      </c>
      <c r="M826" s="28" t="s">
        <v>178</v>
      </c>
    </row>
    <row r="827" spans="1:13" s="25" customFormat="1" x14ac:dyDescent="0.2">
      <c r="A827">
        <f t="shared" si="12"/>
        <v>821</v>
      </c>
      <c r="B827">
        <v>2015</v>
      </c>
      <c r="C827" t="s">
        <v>225</v>
      </c>
      <c r="D827" t="s">
        <v>438</v>
      </c>
      <c r="E827" s="65">
        <v>160</v>
      </c>
      <c r="F827" s="33">
        <v>0.48</v>
      </c>
      <c r="G827" t="s">
        <v>1068</v>
      </c>
      <c r="H827" t="s">
        <v>154</v>
      </c>
      <c r="I827" t="s">
        <v>194</v>
      </c>
      <c r="J827" t="s">
        <v>14</v>
      </c>
      <c r="K827" t="s">
        <v>195</v>
      </c>
      <c r="L827" s="17">
        <v>1</v>
      </c>
      <c r="M827" s="28" t="s">
        <v>178</v>
      </c>
    </row>
    <row r="828" spans="1:13" s="25" customFormat="1" x14ac:dyDescent="0.2">
      <c r="A828">
        <f t="shared" si="12"/>
        <v>822</v>
      </c>
      <c r="B828">
        <v>2015</v>
      </c>
      <c r="C828" t="s">
        <v>188</v>
      </c>
      <c r="D828" t="s">
        <v>1069</v>
      </c>
      <c r="E828" s="65">
        <v>7860</v>
      </c>
      <c r="F828" s="33">
        <v>1</v>
      </c>
      <c r="G828" t="s">
        <v>1070</v>
      </c>
      <c r="H828" t="s">
        <v>154</v>
      </c>
      <c r="I828" t="s">
        <v>194</v>
      </c>
      <c r="J828" t="s">
        <v>58</v>
      </c>
      <c r="K828" t="s">
        <v>195</v>
      </c>
      <c r="L828" s="17">
        <v>0</v>
      </c>
      <c r="M828" s="28"/>
    </row>
    <row r="829" spans="1:13" s="25" customFormat="1" x14ac:dyDescent="0.2">
      <c r="A829">
        <f t="shared" si="12"/>
        <v>823</v>
      </c>
      <c r="B829">
        <v>2015</v>
      </c>
      <c r="C829" t="s">
        <v>188</v>
      </c>
      <c r="D829" t="s">
        <v>1071</v>
      </c>
      <c r="E829" s="65">
        <v>1500</v>
      </c>
      <c r="F829" s="33"/>
      <c r="H829" t="s">
        <v>146</v>
      </c>
      <c r="I829" t="s">
        <v>253</v>
      </c>
      <c r="J829" t="s">
        <v>108</v>
      </c>
      <c r="K829" t="s">
        <v>183</v>
      </c>
      <c r="L829" s="17">
        <v>1</v>
      </c>
      <c r="M829" s="28" t="s">
        <v>178</v>
      </c>
    </row>
    <row r="830" spans="1:13" s="25" customFormat="1" x14ac:dyDescent="0.2">
      <c r="A830">
        <f t="shared" si="12"/>
        <v>824</v>
      </c>
      <c r="B830">
        <v>2015</v>
      </c>
      <c r="C830" t="s">
        <v>188</v>
      </c>
      <c r="D830" t="s">
        <v>664</v>
      </c>
      <c r="E830" s="65">
        <v>1500</v>
      </c>
      <c r="F830" s="33"/>
      <c r="G830" t="s">
        <v>1072</v>
      </c>
      <c r="H830" t="s">
        <v>146</v>
      </c>
      <c r="I830" t="s">
        <v>275</v>
      </c>
      <c r="J830" t="s">
        <v>9</v>
      </c>
      <c r="K830" t="s">
        <v>9</v>
      </c>
      <c r="L830" s="17">
        <v>0</v>
      </c>
      <c r="M830" s="28"/>
    </row>
    <row r="831" spans="1:13" s="25" customFormat="1" x14ac:dyDescent="0.2">
      <c r="A831">
        <f t="shared" si="12"/>
        <v>825</v>
      </c>
      <c r="B831">
        <v>2015</v>
      </c>
      <c r="C831" t="s">
        <v>188</v>
      </c>
      <c r="D831" t="s">
        <v>1073</v>
      </c>
      <c r="E831" s="65">
        <v>730</v>
      </c>
      <c r="F831" s="33">
        <v>1</v>
      </c>
      <c r="G831" t="s">
        <v>1074</v>
      </c>
      <c r="H831" t="s">
        <v>152</v>
      </c>
      <c r="J831" t="s">
        <v>131</v>
      </c>
      <c r="K831" t="s">
        <v>131</v>
      </c>
      <c r="L831" s="17">
        <v>0</v>
      </c>
      <c r="M831" s="28"/>
    </row>
    <row r="832" spans="1:13" s="25" customFormat="1" x14ac:dyDescent="0.2">
      <c r="A832">
        <f t="shared" si="12"/>
        <v>826</v>
      </c>
      <c r="B832">
        <v>2015</v>
      </c>
      <c r="C832" t="s">
        <v>188</v>
      </c>
      <c r="D832" t="s">
        <v>1075</v>
      </c>
      <c r="E832" s="65">
        <v>800</v>
      </c>
      <c r="F832" s="33">
        <v>1</v>
      </c>
      <c r="G832" t="s">
        <v>1076</v>
      </c>
      <c r="H832" t="s">
        <v>154</v>
      </c>
      <c r="I832" t="s">
        <v>194</v>
      </c>
      <c r="J832" t="s">
        <v>131</v>
      </c>
      <c r="K832" t="s">
        <v>131</v>
      </c>
      <c r="L832" s="17">
        <v>0</v>
      </c>
      <c r="M832" s="28"/>
    </row>
    <row r="833" spans="1:13" s="25" customFormat="1" x14ac:dyDescent="0.2">
      <c r="A833">
        <f t="shared" si="12"/>
        <v>827</v>
      </c>
      <c r="B833">
        <v>2015</v>
      </c>
      <c r="C833" t="s">
        <v>188</v>
      </c>
      <c r="D833" t="s">
        <v>418</v>
      </c>
      <c r="E833" s="65">
        <v>430</v>
      </c>
      <c r="F833" s="33">
        <v>0.04</v>
      </c>
      <c r="G833" t="s">
        <v>1077</v>
      </c>
      <c r="H833" t="s">
        <v>153</v>
      </c>
      <c r="J833" t="s">
        <v>42</v>
      </c>
      <c r="K833" t="s">
        <v>195</v>
      </c>
      <c r="L833" s="17">
        <v>0</v>
      </c>
      <c r="M833" s="28"/>
    </row>
    <row r="834" spans="1:13" s="25" customFormat="1" x14ac:dyDescent="0.2">
      <c r="A834">
        <f t="shared" si="12"/>
        <v>828</v>
      </c>
      <c r="B834">
        <v>2015</v>
      </c>
      <c r="C834" t="s">
        <v>188</v>
      </c>
      <c r="D834" t="s">
        <v>1078</v>
      </c>
      <c r="E834" s="65">
        <v>440</v>
      </c>
      <c r="F834" s="33"/>
      <c r="H834" t="s">
        <v>142</v>
      </c>
      <c r="J834" t="s">
        <v>101</v>
      </c>
      <c r="K834" t="s">
        <v>201</v>
      </c>
      <c r="L834" s="17">
        <v>1</v>
      </c>
      <c r="M834" s="28" t="s">
        <v>178</v>
      </c>
    </row>
    <row r="835" spans="1:13" s="25" customFormat="1" x14ac:dyDescent="0.2">
      <c r="A835">
        <f t="shared" si="12"/>
        <v>829</v>
      </c>
      <c r="B835">
        <v>2015</v>
      </c>
      <c r="C835" t="s">
        <v>188</v>
      </c>
      <c r="D835" t="s">
        <v>705</v>
      </c>
      <c r="E835" s="65">
        <v>130</v>
      </c>
      <c r="F835" s="33"/>
      <c r="H835" t="s">
        <v>153</v>
      </c>
      <c r="J835" t="s">
        <v>9</v>
      </c>
      <c r="K835" t="s">
        <v>9</v>
      </c>
      <c r="L835" s="17">
        <v>0</v>
      </c>
      <c r="M835" s="28"/>
    </row>
    <row r="836" spans="1:13" s="25" customFormat="1" x14ac:dyDescent="0.2">
      <c r="A836">
        <f t="shared" si="12"/>
        <v>830</v>
      </c>
      <c r="B836">
        <v>2015</v>
      </c>
      <c r="C836" t="s">
        <v>188</v>
      </c>
      <c r="D836" t="s">
        <v>657</v>
      </c>
      <c r="E836" s="65">
        <v>100</v>
      </c>
      <c r="F836" s="33"/>
      <c r="H836" t="s">
        <v>154</v>
      </c>
      <c r="I836" t="s">
        <v>194</v>
      </c>
      <c r="J836" t="s">
        <v>131</v>
      </c>
      <c r="K836" t="s">
        <v>131</v>
      </c>
      <c r="L836" s="17">
        <v>0</v>
      </c>
      <c r="M836" s="28" t="s">
        <v>178</v>
      </c>
    </row>
    <row r="837" spans="1:13" s="25" customFormat="1" x14ac:dyDescent="0.2">
      <c r="A837">
        <f t="shared" si="12"/>
        <v>831</v>
      </c>
      <c r="B837">
        <v>2015</v>
      </c>
      <c r="C837" t="s">
        <v>188</v>
      </c>
      <c r="D837" t="s">
        <v>300</v>
      </c>
      <c r="E837" s="65">
        <v>1220</v>
      </c>
      <c r="F837" s="33">
        <v>0.02</v>
      </c>
      <c r="G837" t="s">
        <v>911</v>
      </c>
      <c r="H837" t="s">
        <v>146</v>
      </c>
      <c r="I837" t="s">
        <v>275</v>
      </c>
      <c r="J837" t="s">
        <v>58</v>
      </c>
      <c r="K837" t="s">
        <v>195</v>
      </c>
      <c r="L837" s="17">
        <v>0</v>
      </c>
      <c r="M837" s="28"/>
    </row>
    <row r="838" spans="1:13" s="25" customFormat="1" x14ac:dyDescent="0.2">
      <c r="A838">
        <f t="shared" si="12"/>
        <v>832</v>
      </c>
      <c r="B838">
        <v>2015</v>
      </c>
      <c r="C838" t="s">
        <v>188</v>
      </c>
      <c r="D838" t="s">
        <v>300</v>
      </c>
      <c r="E838" s="65">
        <v>820</v>
      </c>
      <c r="F838" s="33">
        <v>0.02</v>
      </c>
      <c r="G838" t="s">
        <v>1079</v>
      </c>
      <c r="H838" t="s">
        <v>146</v>
      </c>
      <c r="I838" t="s">
        <v>275</v>
      </c>
      <c r="J838" t="s">
        <v>58</v>
      </c>
      <c r="K838" t="s">
        <v>195</v>
      </c>
      <c r="L838" s="17">
        <v>0</v>
      </c>
      <c r="M838" s="28"/>
    </row>
    <row r="839" spans="1:13" s="25" customFormat="1" x14ac:dyDescent="0.2">
      <c r="A839">
        <f t="shared" ref="A839:A902" si="13">ROW()-6</f>
        <v>833</v>
      </c>
      <c r="B839">
        <v>2015</v>
      </c>
      <c r="C839" t="s">
        <v>191</v>
      </c>
      <c r="D839" t="s">
        <v>554</v>
      </c>
      <c r="E839" s="65">
        <v>230</v>
      </c>
      <c r="F839" s="33">
        <v>1</v>
      </c>
      <c r="G839" t="s">
        <v>1080</v>
      </c>
      <c r="H839" t="s">
        <v>146</v>
      </c>
      <c r="I839" t="s">
        <v>275</v>
      </c>
      <c r="J839" t="s">
        <v>45</v>
      </c>
      <c r="K839" t="s">
        <v>195</v>
      </c>
      <c r="L839" s="17">
        <v>0</v>
      </c>
      <c r="M839" s="28"/>
    </row>
    <row r="840" spans="1:13" s="25" customFormat="1" x14ac:dyDescent="0.2">
      <c r="A840">
        <f t="shared" si="13"/>
        <v>834</v>
      </c>
      <c r="B840">
        <v>2015</v>
      </c>
      <c r="C840" t="s">
        <v>191</v>
      </c>
      <c r="D840" t="s">
        <v>263</v>
      </c>
      <c r="E840" s="65">
        <v>1150</v>
      </c>
      <c r="F840" s="33">
        <v>1</v>
      </c>
      <c r="G840" t="s">
        <v>1081</v>
      </c>
      <c r="H840" t="s">
        <v>151</v>
      </c>
      <c r="I840" t="s">
        <v>224</v>
      </c>
      <c r="J840" t="s">
        <v>42</v>
      </c>
      <c r="K840" t="s">
        <v>195</v>
      </c>
      <c r="L840" s="17">
        <v>0</v>
      </c>
      <c r="M840" s="28"/>
    </row>
    <row r="841" spans="1:13" s="25" customFormat="1" x14ac:dyDescent="0.2">
      <c r="A841">
        <f t="shared" si="13"/>
        <v>835</v>
      </c>
      <c r="B841">
        <v>2015</v>
      </c>
      <c r="C841" t="s">
        <v>191</v>
      </c>
      <c r="D841" t="s">
        <v>263</v>
      </c>
      <c r="E841" s="65">
        <v>290</v>
      </c>
      <c r="F841" s="33">
        <v>1</v>
      </c>
      <c r="G841" t="s">
        <v>1081</v>
      </c>
      <c r="H841" t="s">
        <v>151</v>
      </c>
      <c r="I841" t="s">
        <v>224</v>
      </c>
      <c r="J841" t="s">
        <v>15</v>
      </c>
      <c r="K841" t="s">
        <v>195</v>
      </c>
      <c r="L841" s="17">
        <v>0</v>
      </c>
      <c r="M841" s="28"/>
    </row>
    <row r="842" spans="1:13" s="25" customFormat="1" x14ac:dyDescent="0.2">
      <c r="A842">
        <f t="shared" si="13"/>
        <v>836</v>
      </c>
      <c r="B842">
        <v>2015</v>
      </c>
      <c r="C842" t="s">
        <v>191</v>
      </c>
      <c r="D842" t="s">
        <v>1082</v>
      </c>
      <c r="E842" s="65">
        <v>230</v>
      </c>
      <c r="F842" s="33">
        <v>1</v>
      </c>
      <c r="G842" t="s">
        <v>1083</v>
      </c>
      <c r="H842" t="s">
        <v>151</v>
      </c>
      <c r="I842" t="s">
        <v>224</v>
      </c>
      <c r="J842" t="s">
        <v>131</v>
      </c>
      <c r="K842" t="s">
        <v>131</v>
      </c>
      <c r="L842" s="17">
        <v>0</v>
      </c>
      <c r="M842" s="28"/>
    </row>
    <row r="843" spans="1:13" s="25" customFormat="1" x14ac:dyDescent="0.2">
      <c r="A843">
        <f t="shared" si="13"/>
        <v>837</v>
      </c>
      <c r="B843">
        <v>2015</v>
      </c>
      <c r="C843" t="s">
        <v>191</v>
      </c>
      <c r="D843" t="s">
        <v>263</v>
      </c>
      <c r="E843" s="65">
        <v>1790</v>
      </c>
      <c r="F843" s="33">
        <v>1</v>
      </c>
      <c r="G843" t="s">
        <v>293</v>
      </c>
      <c r="H843" t="s">
        <v>151</v>
      </c>
      <c r="I843" t="s">
        <v>224</v>
      </c>
      <c r="J843" t="s">
        <v>9</v>
      </c>
      <c r="K843" t="s">
        <v>9</v>
      </c>
      <c r="L843" s="17">
        <v>0</v>
      </c>
      <c r="M843" s="28"/>
    </row>
    <row r="844" spans="1:13" s="25" customFormat="1" x14ac:dyDescent="0.2">
      <c r="A844">
        <f t="shared" si="13"/>
        <v>838</v>
      </c>
      <c r="B844">
        <v>2015</v>
      </c>
      <c r="C844" t="s">
        <v>191</v>
      </c>
      <c r="D844" t="s">
        <v>1071</v>
      </c>
      <c r="E844" s="65">
        <v>2590</v>
      </c>
      <c r="F844" s="33">
        <v>1</v>
      </c>
      <c r="G844" t="s">
        <v>1084</v>
      </c>
      <c r="H844" t="s">
        <v>146</v>
      </c>
      <c r="J844" t="s">
        <v>118</v>
      </c>
      <c r="K844" t="s">
        <v>195</v>
      </c>
      <c r="L844" s="17">
        <v>0</v>
      </c>
      <c r="M844" s="28"/>
    </row>
    <row r="845" spans="1:13" s="25" customFormat="1" x14ac:dyDescent="0.2">
      <c r="A845">
        <f t="shared" si="13"/>
        <v>839</v>
      </c>
      <c r="B845">
        <v>2015</v>
      </c>
      <c r="C845" t="s">
        <v>191</v>
      </c>
      <c r="D845" t="s">
        <v>373</v>
      </c>
      <c r="E845" s="65">
        <v>2810</v>
      </c>
      <c r="F845" s="33">
        <v>1</v>
      </c>
      <c r="G845" t="s">
        <v>1085</v>
      </c>
      <c r="H845" t="s">
        <v>148</v>
      </c>
      <c r="J845" t="s">
        <v>119</v>
      </c>
      <c r="K845" t="s">
        <v>195</v>
      </c>
      <c r="L845" s="17">
        <v>0</v>
      </c>
      <c r="M845" s="28"/>
    </row>
    <row r="846" spans="1:13" s="25" customFormat="1" x14ac:dyDescent="0.2">
      <c r="A846">
        <f t="shared" si="13"/>
        <v>840</v>
      </c>
      <c r="B846">
        <v>2015</v>
      </c>
      <c r="C846" t="s">
        <v>191</v>
      </c>
      <c r="D846" t="s">
        <v>554</v>
      </c>
      <c r="E846" s="65">
        <v>380</v>
      </c>
      <c r="F846" s="33"/>
      <c r="H846" t="s">
        <v>151</v>
      </c>
      <c r="I846" t="s">
        <v>224</v>
      </c>
      <c r="J846" t="s">
        <v>58</v>
      </c>
      <c r="K846" t="s">
        <v>195</v>
      </c>
      <c r="L846" s="17">
        <v>0</v>
      </c>
      <c r="M846" s="28"/>
    </row>
    <row r="847" spans="1:13" s="25" customFormat="1" x14ac:dyDescent="0.2">
      <c r="A847">
        <f t="shared" si="13"/>
        <v>841</v>
      </c>
      <c r="B847">
        <v>2015</v>
      </c>
      <c r="C847" t="s">
        <v>191</v>
      </c>
      <c r="D847" t="s">
        <v>1086</v>
      </c>
      <c r="E847" s="65">
        <v>130</v>
      </c>
      <c r="F847" s="33">
        <v>1</v>
      </c>
      <c r="G847" t="s">
        <v>1087</v>
      </c>
      <c r="H847" t="s">
        <v>145</v>
      </c>
      <c r="J847" t="s">
        <v>20</v>
      </c>
      <c r="K847" t="s">
        <v>195</v>
      </c>
      <c r="L847" s="17">
        <v>0</v>
      </c>
      <c r="M847" s="28"/>
    </row>
    <row r="848" spans="1:13" s="25" customFormat="1" x14ac:dyDescent="0.2">
      <c r="A848">
        <f t="shared" si="13"/>
        <v>842</v>
      </c>
      <c r="B848">
        <v>2015</v>
      </c>
      <c r="C848" t="s">
        <v>191</v>
      </c>
      <c r="D848" t="s">
        <v>875</v>
      </c>
      <c r="E848" s="65">
        <v>1310</v>
      </c>
      <c r="F848" s="33">
        <v>0.7</v>
      </c>
      <c r="G848" t="s">
        <v>1088</v>
      </c>
      <c r="H848" t="s">
        <v>144</v>
      </c>
      <c r="I848" t="s">
        <v>273</v>
      </c>
      <c r="J848" t="s">
        <v>136</v>
      </c>
      <c r="K848" t="s">
        <v>183</v>
      </c>
      <c r="L848" s="17">
        <v>1</v>
      </c>
      <c r="M848" s="28" t="s">
        <v>178</v>
      </c>
    </row>
    <row r="849" spans="1:13" s="25" customFormat="1" x14ac:dyDescent="0.2">
      <c r="A849">
        <f t="shared" si="13"/>
        <v>843</v>
      </c>
      <c r="B849">
        <v>2015</v>
      </c>
      <c r="C849" t="s">
        <v>191</v>
      </c>
      <c r="D849" t="s">
        <v>1089</v>
      </c>
      <c r="E849" s="65">
        <v>170</v>
      </c>
      <c r="F849" s="33">
        <v>1</v>
      </c>
      <c r="G849" t="s">
        <v>1090</v>
      </c>
      <c r="H849" t="s">
        <v>144</v>
      </c>
      <c r="I849" t="s">
        <v>299</v>
      </c>
      <c r="J849" t="s">
        <v>25</v>
      </c>
      <c r="K849" t="s">
        <v>177</v>
      </c>
      <c r="L849" s="17">
        <v>0</v>
      </c>
      <c r="M849" s="28"/>
    </row>
    <row r="850" spans="1:13" s="25" customFormat="1" x14ac:dyDescent="0.2">
      <c r="A850">
        <f t="shared" si="13"/>
        <v>844</v>
      </c>
      <c r="B850">
        <v>2015</v>
      </c>
      <c r="C850" t="s">
        <v>191</v>
      </c>
      <c r="D850" t="s">
        <v>1091</v>
      </c>
      <c r="E850" s="65">
        <v>250</v>
      </c>
      <c r="F850" s="33">
        <v>0.7</v>
      </c>
      <c r="G850" t="s">
        <v>1092</v>
      </c>
      <c r="H850" t="s">
        <v>151</v>
      </c>
      <c r="I850" t="s">
        <v>279</v>
      </c>
      <c r="J850" t="s">
        <v>84</v>
      </c>
      <c r="K850" t="s">
        <v>201</v>
      </c>
      <c r="L850" s="17">
        <v>1</v>
      </c>
      <c r="M850" s="28" t="s">
        <v>178</v>
      </c>
    </row>
    <row r="851" spans="1:13" s="25" customFormat="1" x14ac:dyDescent="0.2">
      <c r="A851">
        <f t="shared" si="13"/>
        <v>845</v>
      </c>
      <c r="B851">
        <v>2015</v>
      </c>
      <c r="C851" t="s">
        <v>191</v>
      </c>
      <c r="D851" t="s">
        <v>1093</v>
      </c>
      <c r="E851" s="65">
        <v>130</v>
      </c>
      <c r="F851" s="33"/>
      <c r="G851" t="s">
        <v>1094</v>
      </c>
      <c r="H851" t="s">
        <v>151</v>
      </c>
      <c r="I851" t="s">
        <v>224</v>
      </c>
      <c r="J851" t="s">
        <v>131</v>
      </c>
      <c r="K851" t="s">
        <v>131</v>
      </c>
      <c r="L851" s="17">
        <v>0</v>
      </c>
      <c r="M851" s="28"/>
    </row>
    <row r="852" spans="1:13" s="25" customFormat="1" x14ac:dyDescent="0.2">
      <c r="A852">
        <f t="shared" si="13"/>
        <v>846</v>
      </c>
      <c r="B852">
        <v>2015</v>
      </c>
      <c r="C852" t="s">
        <v>191</v>
      </c>
      <c r="D852" t="s">
        <v>1095</v>
      </c>
      <c r="E852" s="65">
        <v>750</v>
      </c>
      <c r="F852" s="33">
        <v>0.3</v>
      </c>
      <c r="G852" t="s">
        <v>1096</v>
      </c>
      <c r="H852" t="s">
        <v>144</v>
      </c>
      <c r="I852" t="s">
        <v>273</v>
      </c>
      <c r="J852" t="s">
        <v>13</v>
      </c>
      <c r="K852" t="s">
        <v>201</v>
      </c>
      <c r="L852" s="17">
        <v>1</v>
      </c>
      <c r="M852" s="28" t="s">
        <v>178</v>
      </c>
    </row>
    <row r="853" spans="1:13" s="25" customFormat="1" x14ac:dyDescent="0.2">
      <c r="A853">
        <f t="shared" si="13"/>
        <v>847</v>
      </c>
      <c r="B853">
        <v>2015</v>
      </c>
      <c r="C853" t="s">
        <v>191</v>
      </c>
      <c r="D853" t="s">
        <v>1097</v>
      </c>
      <c r="E853" s="65">
        <v>220</v>
      </c>
      <c r="F853" s="33"/>
      <c r="H853" t="s">
        <v>149</v>
      </c>
      <c r="I853" t="s">
        <v>236</v>
      </c>
      <c r="J853" t="s">
        <v>34</v>
      </c>
      <c r="K853" t="s">
        <v>219</v>
      </c>
      <c r="L853" s="17">
        <v>1</v>
      </c>
      <c r="M853" s="28"/>
    </row>
    <row r="854" spans="1:13" s="25" customFormat="1" x14ac:dyDescent="0.2">
      <c r="A854">
        <f t="shared" si="13"/>
        <v>848</v>
      </c>
      <c r="B854">
        <v>2015</v>
      </c>
      <c r="C854" t="s">
        <v>191</v>
      </c>
      <c r="D854" t="s">
        <v>1098</v>
      </c>
      <c r="E854" s="65">
        <v>1760</v>
      </c>
      <c r="F854" s="33" t="s">
        <v>1099</v>
      </c>
      <c r="G854" t="s">
        <v>1100</v>
      </c>
      <c r="H854" t="s">
        <v>144</v>
      </c>
      <c r="I854" t="s">
        <v>273</v>
      </c>
      <c r="J854" t="s">
        <v>136</v>
      </c>
      <c r="K854" t="s">
        <v>183</v>
      </c>
      <c r="L854" s="17">
        <v>1</v>
      </c>
      <c r="M854" s="28" t="s">
        <v>178</v>
      </c>
    </row>
    <row r="855" spans="1:13" s="25" customFormat="1" x14ac:dyDescent="0.2">
      <c r="A855">
        <f t="shared" si="13"/>
        <v>849</v>
      </c>
      <c r="B855">
        <v>2015</v>
      </c>
      <c r="C855" t="s">
        <v>191</v>
      </c>
      <c r="D855" t="s">
        <v>822</v>
      </c>
      <c r="E855" s="65">
        <v>150</v>
      </c>
      <c r="F855" s="33"/>
      <c r="G855" t="s">
        <v>905</v>
      </c>
      <c r="H855" t="s">
        <v>148</v>
      </c>
      <c r="J855" t="s">
        <v>108</v>
      </c>
      <c r="K855" t="s">
        <v>183</v>
      </c>
      <c r="L855" s="17">
        <v>1</v>
      </c>
      <c r="M855" s="28"/>
    </row>
    <row r="856" spans="1:13" s="25" customFormat="1" x14ac:dyDescent="0.2">
      <c r="A856">
        <f t="shared" si="13"/>
        <v>850</v>
      </c>
      <c r="B856">
        <v>2015</v>
      </c>
      <c r="C856" t="s">
        <v>191</v>
      </c>
      <c r="D856" t="s">
        <v>798</v>
      </c>
      <c r="E856" s="65">
        <v>510</v>
      </c>
      <c r="F856" s="33">
        <v>0.5</v>
      </c>
      <c r="G856" t="s">
        <v>834</v>
      </c>
      <c r="H856" t="s">
        <v>149</v>
      </c>
      <c r="I856" t="s">
        <v>182</v>
      </c>
      <c r="J856" t="s">
        <v>53</v>
      </c>
      <c r="K856" t="s">
        <v>183</v>
      </c>
      <c r="L856" s="17">
        <v>1</v>
      </c>
      <c r="M856" s="28" t="s">
        <v>178</v>
      </c>
    </row>
    <row r="857" spans="1:13" s="25" customFormat="1" x14ac:dyDescent="0.2">
      <c r="A857">
        <f t="shared" si="13"/>
        <v>851</v>
      </c>
      <c r="B857">
        <v>2015</v>
      </c>
      <c r="C857" t="s">
        <v>191</v>
      </c>
      <c r="D857" t="s">
        <v>317</v>
      </c>
      <c r="E857" s="65">
        <v>1810</v>
      </c>
      <c r="F857" s="33">
        <v>1</v>
      </c>
      <c r="H857" t="s">
        <v>144</v>
      </c>
      <c r="I857" t="s">
        <v>273</v>
      </c>
      <c r="J857" t="s">
        <v>93</v>
      </c>
      <c r="K857" t="s">
        <v>201</v>
      </c>
      <c r="L857" s="17">
        <v>1</v>
      </c>
      <c r="M857" s="28" t="s">
        <v>178</v>
      </c>
    </row>
    <row r="858" spans="1:13" s="25" customFormat="1" x14ac:dyDescent="0.2">
      <c r="A858">
        <f t="shared" si="13"/>
        <v>852</v>
      </c>
      <c r="B858">
        <v>2015</v>
      </c>
      <c r="C858" t="s">
        <v>191</v>
      </c>
      <c r="D858" t="s">
        <v>554</v>
      </c>
      <c r="E858" s="65">
        <v>440</v>
      </c>
      <c r="F858" s="33"/>
      <c r="G858" t="s">
        <v>1101</v>
      </c>
      <c r="H858" t="s">
        <v>146</v>
      </c>
      <c r="J858" t="s">
        <v>131</v>
      </c>
      <c r="K858" t="s">
        <v>131</v>
      </c>
      <c r="L858" s="17">
        <v>0</v>
      </c>
      <c r="M858" s="28"/>
    </row>
    <row r="859" spans="1:13" s="25" customFormat="1" x14ac:dyDescent="0.2">
      <c r="A859">
        <f t="shared" si="13"/>
        <v>853</v>
      </c>
      <c r="B859">
        <v>2015</v>
      </c>
      <c r="C859" t="s">
        <v>191</v>
      </c>
      <c r="D859" t="s">
        <v>1102</v>
      </c>
      <c r="E859" s="65">
        <v>100</v>
      </c>
      <c r="F859" s="33">
        <v>1</v>
      </c>
      <c r="H859" t="s">
        <v>154</v>
      </c>
      <c r="I859" t="s">
        <v>194</v>
      </c>
      <c r="J859" t="s">
        <v>77</v>
      </c>
      <c r="K859" t="s">
        <v>177</v>
      </c>
      <c r="L859" s="17">
        <v>0</v>
      </c>
      <c r="M859" s="28" t="s">
        <v>178</v>
      </c>
    </row>
    <row r="860" spans="1:13" s="25" customFormat="1" x14ac:dyDescent="0.2">
      <c r="A860">
        <f t="shared" si="13"/>
        <v>854</v>
      </c>
      <c r="B860">
        <v>2015</v>
      </c>
      <c r="C860" t="s">
        <v>191</v>
      </c>
      <c r="D860" t="s">
        <v>1103</v>
      </c>
      <c r="E860" s="65">
        <v>420</v>
      </c>
      <c r="F860" s="33"/>
      <c r="H860" t="s">
        <v>151</v>
      </c>
      <c r="I860" t="s">
        <v>224</v>
      </c>
      <c r="J860" t="s">
        <v>20</v>
      </c>
      <c r="K860" t="s">
        <v>195</v>
      </c>
      <c r="L860" s="17">
        <v>0</v>
      </c>
      <c r="M860" s="28"/>
    </row>
    <row r="861" spans="1:13" s="25" customFormat="1" x14ac:dyDescent="0.2">
      <c r="A861">
        <f t="shared" si="13"/>
        <v>855</v>
      </c>
      <c r="B861">
        <v>2015</v>
      </c>
      <c r="C861" t="s">
        <v>198</v>
      </c>
      <c r="D861" t="s">
        <v>837</v>
      </c>
      <c r="E861" s="65">
        <v>390</v>
      </c>
      <c r="F861" s="33"/>
      <c r="G861" t="s">
        <v>1104</v>
      </c>
      <c r="H861" t="s">
        <v>151</v>
      </c>
      <c r="I861" t="s">
        <v>224</v>
      </c>
      <c r="J861" t="s">
        <v>131</v>
      </c>
      <c r="K861" t="s">
        <v>131</v>
      </c>
      <c r="L861" s="17">
        <v>0</v>
      </c>
      <c r="M861" s="28" t="s">
        <v>178</v>
      </c>
    </row>
    <row r="862" spans="1:13" s="25" customFormat="1" x14ac:dyDescent="0.2">
      <c r="A862">
        <f t="shared" si="13"/>
        <v>856</v>
      </c>
      <c r="B862">
        <v>2015</v>
      </c>
      <c r="C862" t="s">
        <v>198</v>
      </c>
      <c r="D862" t="s">
        <v>1105</v>
      </c>
      <c r="E862" s="65">
        <v>100</v>
      </c>
      <c r="F862" s="33">
        <v>1</v>
      </c>
      <c r="H862" t="s">
        <v>152</v>
      </c>
      <c r="I862" t="s">
        <v>257</v>
      </c>
      <c r="J862" t="s">
        <v>52</v>
      </c>
      <c r="K862" t="s">
        <v>201</v>
      </c>
      <c r="L862" s="17">
        <v>0</v>
      </c>
      <c r="M862" s="28" t="s">
        <v>178</v>
      </c>
    </row>
    <row r="863" spans="1:13" s="25" customFormat="1" x14ac:dyDescent="0.2">
      <c r="A863">
        <f t="shared" si="13"/>
        <v>857</v>
      </c>
      <c r="B863">
        <v>2015</v>
      </c>
      <c r="C863" t="s">
        <v>198</v>
      </c>
      <c r="D863" t="s">
        <v>661</v>
      </c>
      <c r="E863" s="65">
        <v>900</v>
      </c>
      <c r="F863" s="33">
        <v>1</v>
      </c>
      <c r="G863" t="s">
        <v>1106</v>
      </c>
      <c r="H863" t="s">
        <v>145</v>
      </c>
      <c r="J863" t="s">
        <v>131</v>
      </c>
      <c r="K863" t="s">
        <v>131</v>
      </c>
      <c r="L863" s="17">
        <v>0</v>
      </c>
      <c r="M863" s="28"/>
    </row>
    <row r="864" spans="1:13" s="25" customFormat="1" x14ac:dyDescent="0.2">
      <c r="A864">
        <f t="shared" si="13"/>
        <v>858</v>
      </c>
      <c r="B864">
        <v>2015</v>
      </c>
      <c r="C864" t="s">
        <v>198</v>
      </c>
      <c r="D864" t="s">
        <v>822</v>
      </c>
      <c r="E864" s="65">
        <v>200</v>
      </c>
      <c r="F864" s="33">
        <v>0.04</v>
      </c>
      <c r="G864" t="s">
        <v>1107</v>
      </c>
      <c r="H864" t="s">
        <v>150</v>
      </c>
      <c r="I864" t="s">
        <v>556</v>
      </c>
      <c r="J864" t="s">
        <v>52</v>
      </c>
      <c r="K864" t="s">
        <v>201</v>
      </c>
      <c r="L864" s="17">
        <v>0</v>
      </c>
      <c r="M864" s="28"/>
    </row>
    <row r="865" spans="1:13" s="25" customFormat="1" x14ac:dyDescent="0.2">
      <c r="A865">
        <f t="shared" si="13"/>
        <v>859</v>
      </c>
      <c r="B865">
        <v>2015</v>
      </c>
      <c r="C865" t="s">
        <v>198</v>
      </c>
      <c r="D865" t="s">
        <v>246</v>
      </c>
      <c r="E865" s="65">
        <v>490</v>
      </c>
      <c r="F865" s="33"/>
      <c r="G865" t="s">
        <v>1108</v>
      </c>
      <c r="H865" t="s">
        <v>144</v>
      </c>
      <c r="J865" t="s">
        <v>19</v>
      </c>
      <c r="K865" t="s">
        <v>205</v>
      </c>
      <c r="L865" s="17">
        <v>0</v>
      </c>
      <c r="M865" s="28"/>
    </row>
    <row r="866" spans="1:13" s="25" customFormat="1" x14ac:dyDescent="0.2">
      <c r="A866">
        <f t="shared" si="13"/>
        <v>860</v>
      </c>
      <c r="B866">
        <v>2015</v>
      </c>
      <c r="C866" t="s">
        <v>198</v>
      </c>
      <c r="D866" t="s">
        <v>1035</v>
      </c>
      <c r="E866" s="65">
        <v>120</v>
      </c>
      <c r="F866" s="33"/>
      <c r="H866" t="s">
        <v>144</v>
      </c>
      <c r="I866" t="s">
        <v>232</v>
      </c>
      <c r="J866" t="s">
        <v>93</v>
      </c>
      <c r="K866" t="s">
        <v>201</v>
      </c>
      <c r="L866" s="17">
        <v>1</v>
      </c>
      <c r="M866" s="28" t="s">
        <v>178</v>
      </c>
    </row>
    <row r="867" spans="1:13" s="25" customFormat="1" x14ac:dyDescent="0.2">
      <c r="A867">
        <f t="shared" si="13"/>
        <v>861</v>
      </c>
      <c r="B867">
        <v>2015</v>
      </c>
      <c r="C867" t="s">
        <v>198</v>
      </c>
      <c r="D867" t="s">
        <v>397</v>
      </c>
      <c r="E867" s="65">
        <v>250</v>
      </c>
      <c r="F867" s="33"/>
      <c r="H867" t="s">
        <v>153</v>
      </c>
      <c r="J867" t="s">
        <v>12</v>
      </c>
      <c r="K867" t="s">
        <v>177</v>
      </c>
      <c r="L867" s="17">
        <v>0</v>
      </c>
      <c r="M867" s="28" t="s">
        <v>178</v>
      </c>
    </row>
    <row r="868" spans="1:13" s="25" customFormat="1" x14ac:dyDescent="0.2">
      <c r="A868">
        <f t="shared" si="13"/>
        <v>862</v>
      </c>
      <c r="B868">
        <v>2015</v>
      </c>
      <c r="C868" t="s">
        <v>198</v>
      </c>
      <c r="D868" t="s">
        <v>845</v>
      </c>
      <c r="E868" s="65">
        <v>210</v>
      </c>
      <c r="F868" s="33">
        <v>1</v>
      </c>
      <c r="G868" t="s">
        <v>1109</v>
      </c>
      <c r="H868" t="s">
        <v>147</v>
      </c>
      <c r="J868" t="s">
        <v>131</v>
      </c>
      <c r="K868" t="s">
        <v>131</v>
      </c>
      <c r="L868" s="17">
        <v>0</v>
      </c>
      <c r="M868" s="28"/>
    </row>
    <row r="869" spans="1:13" s="25" customFormat="1" x14ac:dyDescent="0.2">
      <c r="A869">
        <f t="shared" si="13"/>
        <v>863</v>
      </c>
      <c r="B869">
        <v>2015</v>
      </c>
      <c r="C869" t="s">
        <v>198</v>
      </c>
      <c r="D869" t="s">
        <v>1110</v>
      </c>
      <c r="E869" s="65">
        <v>150</v>
      </c>
      <c r="F869" s="33"/>
      <c r="G869" t="s">
        <v>1111</v>
      </c>
      <c r="H869" t="s">
        <v>147</v>
      </c>
      <c r="J869" t="s">
        <v>9</v>
      </c>
      <c r="K869" t="s">
        <v>9</v>
      </c>
      <c r="L869" s="17">
        <v>0</v>
      </c>
      <c r="M869" s="28"/>
    </row>
    <row r="870" spans="1:13" s="25" customFormat="1" x14ac:dyDescent="0.2">
      <c r="A870">
        <f t="shared" si="13"/>
        <v>864</v>
      </c>
      <c r="B870">
        <v>2015</v>
      </c>
      <c r="C870" t="s">
        <v>198</v>
      </c>
      <c r="D870" t="s">
        <v>581</v>
      </c>
      <c r="E870" s="65">
        <v>170</v>
      </c>
      <c r="F870" s="33">
        <v>0.05</v>
      </c>
      <c r="G870" t="s">
        <v>1112</v>
      </c>
      <c r="H870" t="s">
        <v>152</v>
      </c>
      <c r="J870" t="s">
        <v>45</v>
      </c>
      <c r="K870" t="s">
        <v>195</v>
      </c>
      <c r="L870" s="17">
        <v>0</v>
      </c>
      <c r="M870" s="28"/>
    </row>
    <row r="871" spans="1:13" s="25" customFormat="1" x14ac:dyDescent="0.2">
      <c r="A871">
        <f t="shared" si="13"/>
        <v>865</v>
      </c>
      <c r="B871">
        <v>2015</v>
      </c>
      <c r="C871" t="s">
        <v>198</v>
      </c>
      <c r="D871" t="s">
        <v>1113</v>
      </c>
      <c r="E871" s="65">
        <v>160</v>
      </c>
      <c r="F871" s="33"/>
      <c r="G871" t="s">
        <v>1114</v>
      </c>
      <c r="H871" t="s">
        <v>151</v>
      </c>
      <c r="I871" t="s">
        <v>224</v>
      </c>
      <c r="J871" t="s">
        <v>131</v>
      </c>
      <c r="K871" t="s">
        <v>131</v>
      </c>
      <c r="L871" s="17">
        <v>0</v>
      </c>
      <c r="M871" s="28" t="s">
        <v>178</v>
      </c>
    </row>
    <row r="872" spans="1:13" s="25" customFormat="1" x14ac:dyDescent="0.2">
      <c r="A872">
        <f t="shared" si="13"/>
        <v>866</v>
      </c>
      <c r="B872">
        <v>2015</v>
      </c>
      <c r="C872" t="s">
        <v>198</v>
      </c>
      <c r="D872" t="s">
        <v>543</v>
      </c>
      <c r="E872" s="65">
        <v>460</v>
      </c>
      <c r="F872" s="33">
        <v>1</v>
      </c>
      <c r="H872" t="s">
        <v>144</v>
      </c>
      <c r="I872" t="s">
        <v>232</v>
      </c>
      <c r="J872" t="s">
        <v>93</v>
      </c>
      <c r="K872" t="s">
        <v>201</v>
      </c>
      <c r="L872" s="17">
        <v>1</v>
      </c>
      <c r="M872" s="28" t="s">
        <v>178</v>
      </c>
    </row>
    <row r="873" spans="1:13" s="25" customFormat="1" x14ac:dyDescent="0.2">
      <c r="A873">
        <f t="shared" si="13"/>
        <v>867</v>
      </c>
      <c r="B873">
        <v>2015</v>
      </c>
      <c r="C873" t="s">
        <v>198</v>
      </c>
      <c r="D873" t="s">
        <v>263</v>
      </c>
      <c r="E873" s="65">
        <v>590</v>
      </c>
      <c r="F873" s="33">
        <v>0.15</v>
      </c>
      <c r="G873" t="s">
        <v>1115</v>
      </c>
      <c r="H873" t="s">
        <v>154</v>
      </c>
      <c r="I873" t="s">
        <v>194</v>
      </c>
      <c r="J873" t="s">
        <v>45</v>
      </c>
      <c r="K873" t="s">
        <v>195</v>
      </c>
      <c r="L873" s="17">
        <v>0</v>
      </c>
      <c r="M873" s="28"/>
    </row>
    <row r="874" spans="1:13" s="25" customFormat="1" x14ac:dyDescent="0.2">
      <c r="A874">
        <f t="shared" si="13"/>
        <v>868</v>
      </c>
      <c r="B874">
        <v>2015</v>
      </c>
      <c r="C874" t="s">
        <v>198</v>
      </c>
      <c r="D874" t="s">
        <v>373</v>
      </c>
      <c r="E874" s="65">
        <v>330</v>
      </c>
      <c r="F874" s="33"/>
      <c r="G874" t="s">
        <v>1116</v>
      </c>
      <c r="H874" t="s">
        <v>151</v>
      </c>
      <c r="I874" t="s">
        <v>224</v>
      </c>
      <c r="J874" t="s">
        <v>20</v>
      </c>
      <c r="K874" t="s">
        <v>195</v>
      </c>
      <c r="L874" s="17">
        <v>0</v>
      </c>
      <c r="M874" s="28"/>
    </row>
    <row r="875" spans="1:13" s="25" customFormat="1" x14ac:dyDescent="0.2">
      <c r="A875">
        <f t="shared" si="13"/>
        <v>869</v>
      </c>
      <c r="B875">
        <v>2015</v>
      </c>
      <c r="C875" t="s">
        <v>198</v>
      </c>
      <c r="D875" t="s">
        <v>479</v>
      </c>
      <c r="E875" s="65">
        <v>200</v>
      </c>
      <c r="F875" s="33"/>
      <c r="G875" t="s">
        <v>1117</v>
      </c>
      <c r="H875" t="s">
        <v>148</v>
      </c>
      <c r="J875" t="s">
        <v>24</v>
      </c>
      <c r="K875" t="s">
        <v>219</v>
      </c>
      <c r="L875" s="17">
        <v>1</v>
      </c>
      <c r="M875" s="28" t="s">
        <v>178</v>
      </c>
    </row>
    <row r="876" spans="1:13" s="25" customFormat="1" x14ac:dyDescent="0.2">
      <c r="A876">
        <f t="shared" si="13"/>
        <v>870</v>
      </c>
      <c r="B876">
        <v>2015</v>
      </c>
      <c r="C876" t="s">
        <v>202</v>
      </c>
      <c r="D876" t="s">
        <v>373</v>
      </c>
      <c r="E876" s="65">
        <v>5170</v>
      </c>
      <c r="F876" s="33">
        <v>1</v>
      </c>
      <c r="G876" t="s">
        <v>1118</v>
      </c>
      <c r="H876" t="s">
        <v>154</v>
      </c>
      <c r="I876" t="s">
        <v>250</v>
      </c>
      <c r="J876" t="s">
        <v>56</v>
      </c>
      <c r="K876" t="s">
        <v>195</v>
      </c>
      <c r="L876" s="17">
        <v>0</v>
      </c>
      <c r="M876" s="28"/>
    </row>
    <row r="877" spans="1:13" s="25" customFormat="1" x14ac:dyDescent="0.2">
      <c r="A877">
        <f t="shared" si="13"/>
        <v>871</v>
      </c>
      <c r="B877">
        <v>2015</v>
      </c>
      <c r="C877" t="s">
        <v>202</v>
      </c>
      <c r="D877" t="s">
        <v>1119</v>
      </c>
      <c r="E877" s="65">
        <v>120</v>
      </c>
      <c r="F877" s="33">
        <v>1</v>
      </c>
      <c r="G877" t="s">
        <v>1120</v>
      </c>
      <c r="H877" t="s">
        <v>142</v>
      </c>
      <c r="J877" t="s">
        <v>114</v>
      </c>
      <c r="K877" t="s">
        <v>195</v>
      </c>
      <c r="L877" s="17">
        <v>0</v>
      </c>
      <c r="M877" s="28"/>
    </row>
    <row r="878" spans="1:13" s="25" customFormat="1" x14ac:dyDescent="0.2">
      <c r="A878">
        <f t="shared" si="13"/>
        <v>872</v>
      </c>
      <c r="B878">
        <v>2015</v>
      </c>
      <c r="C878" t="s">
        <v>202</v>
      </c>
      <c r="D878" t="s">
        <v>1121</v>
      </c>
      <c r="E878" s="65">
        <v>920</v>
      </c>
      <c r="F878" s="33">
        <v>0.65</v>
      </c>
      <c r="G878" t="s">
        <v>1122</v>
      </c>
      <c r="H878" t="s">
        <v>148</v>
      </c>
      <c r="J878" t="s">
        <v>128</v>
      </c>
      <c r="K878" t="s">
        <v>201</v>
      </c>
      <c r="L878" s="17">
        <v>1</v>
      </c>
      <c r="M878" s="28"/>
    </row>
    <row r="879" spans="1:13" s="25" customFormat="1" x14ac:dyDescent="0.2">
      <c r="A879">
        <f t="shared" si="13"/>
        <v>873</v>
      </c>
      <c r="B879">
        <v>2015</v>
      </c>
      <c r="C879" t="s">
        <v>202</v>
      </c>
      <c r="D879" t="s">
        <v>1123</v>
      </c>
      <c r="E879" s="65">
        <v>990</v>
      </c>
      <c r="F879" s="33">
        <v>0.83</v>
      </c>
      <c r="G879" t="s">
        <v>1124</v>
      </c>
      <c r="H879" t="s">
        <v>147</v>
      </c>
      <c r="J879" t="s">
        <v>9</v>
      </c>
      <c r="K879" t="s">
        <v>9</v>
      </c>
      <c r="L879" s="17">
        <v>0</v>
      </c>
      <c r="M879" s="28"/>
    </row>
    <row r="880" spans="1:13" s="25" customFormat="1" x14ac:dyDescent="0.2">
      <c r="A880">
        <f t="shared" si="13"/>
        <v>874</v>
      </c>
      <c r="B880">
        <v>2015</v>
      </c>
      <c r="C880" t="s">
        <v>202</v>
      </c>
      <c r="D880" t="s">
        <v>300</v>
      </c>
      <c r="E880" s="65">
        <v>1210</v>
      </c>
      <c r="F880" s="33">
        <v>0.1</v>
      </c>
      <c r="G880" t="s">
        <v>1003</v>
      </c>
      <c r="H880" t="s">
        <v>144</v>
      </c>
      <c r="I880" t="s">
        <v>299</v>
      </c>
      <c r="J880" t="s">
        <v>101</v>
      </c>
      <c r="K880" t="s">
        <v>201</v>
      </c>
      <c r="L880" s="17">
        <v>1</v>
      </c>
      <c r="M880" s="28"/>
    </row>
    <row r="881" spans="1:13" s="25" customFormat="1" x14ac:dyDescent="0.2">
      <c r="A881">
        <f t="shared" si="13"/>
        <v>875</v>
      </c>
      <c r="B881">
        <v>2015</v>
      </c>
      <c r="C881" t="s">
        <v>202</v>
      </c>
      <c r="D881" t="s">
        <v>588</v>
      </c>
      <c r="E881" s="65">
        <v>200</v>
      </c>
      <c r="F881" s="33">
        <v>0.5</v>
      </c>
      <c r="G881" t="s">
        <v>1125</v>
      </c>
      <c r="H881" t="s">
        <v>142</v>
      </c>
      <c r="J881" t="s">
        <v>86</v>
      </c>
      <c r="K881" t="s">
        <v>183</v>
      </c>
      <c r="L881" s="17">
        <v>1</v>
      </c>
      <c r="M881" s="28"/>
    </row>
    <row r="882" spans="1:13" s="25" customFormat="1" x14ac:dyDescent="0.2">
      <c r="A882">
        <f t="shared" si="13"/>
        <v>876</v>
      </c>
      <c r="B882">
        <v>2015</v>
      </c>
      <c r="C882" t="s">
        <v>202</v>
      </c>
      <c r="D882" t="s">
        <v>1126</v>
      </c>
      <c r="E882" s="65">
        <v>100</v>
      </c>
      <c r="F882" s="33"/>
      <c r="G882" t="s">
        <v>1127</v>
      </c>
      <c r="H882" t="s">
        <v>154</v>
      </c>
      <c r="I882" t="s">
        <v>194</v>
      </c>
      <c r="J882" t="s">
        <v>131</v>
      </c>
      <c r="K882" t="s">
        <v>131</v>
      </c>
      <c r="L882" s="17">
        <v>0</v>
      </c>
      <c r="M882" s="28"/>
    </row>
    <row r="883" spans="1:13" s="25" customFormat="1" x14ac:dyDescent="0.2">
      <c r="A883">
        <f t="shared" si="13"/>
        <v>877</v>
      </c>
      <c r="B883">
        <v>2015</v>
      </c>
      <c r="C883" t="s">
        <v>202</v>
      </c>
      <c r="D883" t="s">
        <v>1128</v>
      </c>
      <c r="E883" s="65">
        <v>350</v>
      </c>
      <c r="F883" s="33"/>
      <c r="H883" t="s">
        <v>150</v>
      </c>
      <c r="I883" t="s">
        <v>217</v>
      </c>
      <c r="J883" t="s">
        <v>62</v>
      </c>
      <c r="K883" t="s">
        <v>214</v>
      </c>
      <c r="L883" s="17">
        <v>1</v>
      </c>
      <c r="M883" s="28" t="s">
        <v>178</v>
      </c>
    </row>
    <row r="884" spans="1:13" s="25" customFormat="1" x14ac:dyDescent="0.2">
      <c r="A884">
        <f t="shared" si="13"/>
        <v>878</v>
      </c>
      <c r="B884">
        <v>2015</v>
      </c>
      <c r="C884" t="s">
        <v>202</v>
      </c>
      <c r="D884" t="s">
        <v>1129</v>
      </c>
      <c r="E884" s="65">
        <v>250</v>
      </c>
      <c r="F884" s="33">
        <v>1</v>
      </c>
      <c r="H884" t="s">
        <v>144</v>
      </c>
      <c r="I884" t="s">
        <v>232</v>
      </c>
      <c r="J884" t="s">
        <v>52</v>
      </c>
      <c r="K884" t="s">
        <v>201</v>
      </c>
      <c r="L884" s="17">
        <v>0</v>
      </c>
      <c r="M884" s="28" t="s">
        <v>178</v>
      </c>
    </row>
    <row r="885" spans="1:13" s="25" customFormat="1" x14ac:dyDescent="0.2">
      <c r="A885">
        <f t="shared" si="13"/>
        <v>879</v>
      </c>
      <c r="B885">
        <v>2015</v>
      </c>
      <c r="C885" t="s">
        <v>202</v>
      </c>
      <c r="D885" t="s">
        <v>822</v>
      </c>
      <c r="E885" s="65">
        <v>680</v>
      </c>
      <c r="F885" s="33">
        <v>0.16</v>
      </c>
      <c r="G885" t="s">
        <v>1130</v>
      </c>
      <c r="H885" t="s">
        <v>146</v>
      </c>
      <c r="J885" t="s">
        <v>52</v>
      </c>
      <c r="K885" t="s">
        <v>201</v>
      </c>
      <c r="L885" s="17">
        <v>0</v>
      </c>
      <c r="M885" s="28"/>
    </row>
    <row r="886" spans="1:13" s="25" customFormat="1" x14ac:dyDescent="0.2">
      <c r="A886">
        <f t="shared" si="13"/>
        <v>880</v>
      </c>
      <c r="B886">
        <v>2015</v>
      </c>
      <c r="C886" t="s">
        <v>202</v>
      </c>
      <c r="D886" t="s">
        <v>1131</v>
      </c>
      <c r="E886" s="65">
        <v>100</v>
      </c>
      <c r="F886" s="33">
        <v>0.52</v>
      </c>
      <c r="G886" t="s">
        <v>1132</v>
      </c>
      <c r="H886" t="s">
        <v>147</v>
      </c>
      <c r="J886" t="s">
        <v>131</v>
      </c>
      <c r="K886" t="s">
        <v>131</v>
      </c>
      <c r="L886" s="17">
        <v>0</v>
      </c>
      <c r="M886" s="28"/>
    </row>
    <row r="887" spans="1:13" s="25" customFormat="1" x14ac:dyDescent="0.2">
      <c r="A887">
        <f t="shared" si="13"/>
        <v>881</v>
      </c>
      <c r="B887">
        <v>2015</v>
      </c>
      <c r="C887" t="s">
        <v>202</v>
      </c>
      <c r="D887" t="s">
        <v>1066</v>
      </c>
      <c r="E887" s="65">
        <v>100</v>
      </c>
      <c r="F887" s="33">
        <v>0.05</v>
      </c>
      <c r="G887" t="s">
        <v>1067</v>
      </c>
      <c r="H887" t="s">
        <v>146</v>
      </c>
      <c r="I887" t="s">
        <v>253</v>
      </c>
      <c r="J887" t="s">
        <v>33</v>
      </c>
      <c r="K887" t="s">
        <v>195</v>
      </c>
      <c r="L887" s="17">
        <v>1</v>
      </c>
      <c r="M887" s="28"/>
    </row>
    <row r="888" spans="1:13" s="25" customFormat="1" x14ac:dyDescent="0.2">
      <c r="A888">
        <f t="shared" si="13"/>
        <v>882</v>
      </c>
      <c r="B888">
        <v>2015</v>
      </c>
      <c r="C888" t="s">
        <v>202</v>
      </c>
      <c r="D888" t="s">
        <v>1133</v>
      </c>
      <c r="E888" s="65">
        <v>250</v>
      </c>
      <c r="F888" s="33">
        <v>1</v>
      </c>
      <c r="G888" t="s">
        <v>1134</v>
      </c>
      <c r="H888" t="s">
        <v>152</v>
      </c>
      <c r="J888" t="s">
        <v>131</v>
      </c>
      <c r="K888" t="s">
        <v>131</v>
      </c>
      <c r="L888" s="17">
        <v>0</v>
      </c>
      <c r="M888" s="28"/>
    </row>
    <row r="889" spans="1:13" s="25" customFormat="1" x14ac:dyDescent="0.2">
      <c r="A889">
        <f t="shared" si="13"/>
        <v>883</v>
      </c>
      <c r="B889">
        <v>2015</v>
      </c>
      <c r="C889" t="s">
        <v>202</v>
      </c>
      <c r="D889" t="s">
        <v>1035</v>
      </c>
      <c r="E889" s="65">
        <v>510</v>
      </c>
      <c r="F889" s="33"/>
      <c r="G889" t="s">
        <v>1135</v>
      </c>
      <c r="H889" t="s">
        <v>144</v>
      </c>
      <c r="I889" t="s">
        <v>273</v>
      </c>
      <c r="J889" t="s">
        <v>78</v>
      </c>
      <c r="K889" t="s">
        <v>183</v>
      </c>
      <c r="L889" s="17">
        <v>1</v>
      </c>
      <c r="M889" s="28" t="s">
        <v>178</v>
      </c>
    </row>
    <row r="890" spans="1:13" s="25" customFormat="1" x14ac:dyDescent="0.2">
      <c r="A890">
        <f t="shared" si="13"/>
        <v>884</v>
      </c>
      <c r="B890">
        <v>2015</v>
      </c>
      <c r="C890" t="s">
        <v>202</v>
      </c>
      <c r="D890" t="s">
        <v>1136</v>
      </c>
      <c r="E890" s="65">
        <v>100</v>
      </c>
      <c r="F890" s="33"/>
      <c r="H890" t="s">
        <v>142</v>
      </c>
      <c r="J890" t="s">
        <v>101</v>
      </c>
      <c r="K890" t="s">
        <v>201</v>
      </c>
      <c r="L890" s="17">
        <v>1</v>
      </c>
      <c r="M890" s="28" t="s">
        <v>178</v>
      </c>
    </row>
    <row r="891" spans="1:13" s="25" customFormat="1" x14ac:dyDescent="0.2">
      <c r="A891">
        <f t="shared" si="13"/>
        <v>885</v>
      </c>
      <c r="B891">
        <v>2015</v>
      </c>
      <c r="C891" t="s">
        <v>207</v>
      </c>
      <c r="D891" t="s">
        <v>1137</v>
      </c>
      <c r="E891" s="65">
        <v>150</v>
      </c>
      <c r="F891" s="33">
        <v>1</v>
      </c>
      <c r="G891" t="s">
        <v>1138</v>
      </c>
      <c r="H891" t="s">
        <v>150</v>
      </c>
      <c r="I891" t="s">
        <v>556</v>
      </c>
      <c r="J891" t="s">
        <v>20</v>
      </c>
      <c r="K891" t="s">
        <v>195</v>
      </c>
      <c r="L891" s="17">
        <v>0</v>
      </c>
      <c r="M891" s="28"/>
    </row>
    <row r="892" spans="1:13" s="25" customFormat="1" x14ac:dyDescent="0.2">
      <c r="A892">
        <f t="shared" si="13"/>
        <v>886</v>
      </c>
      <c r="B892">
        <v>2015</v>
      </c>
      <c r="C892" t="s">
        <v>207</v>
      </c>
      <c r="D892" t="s">
        <v>221</v>
      </c>
      <c r="E892" s="65">
        <v>470</v>
      </c>
      <c r="F892" s="33"/>
      <c r="G892" t="s">
        <v>1139</v>
      </c>
      <c r="H892" t="s">
        <v>151</v>
      </c>
      <c r="I892" t="s">
        <v>224</v>
      </c>
      <c r="J892" t="s">
        <v>20</v>
      </c>
      <c r="K892" t="s">
        <v>195</v>
      </c>
      <c r="L892" s="17">
        <v>0</v>
      </c>
      <c r="M892" s="28" t="s">
        <v>178</v>
      </c>
    </row>
    <row r="893" spans="1:13" s="25" customFormat="1" x14ac:dyDescent="0.2">
      <c r="A893">
        <f t="shared" si="13"/>
        <v>887</v>
      </c>
      <c r="B893">
        <v>2015</v>
      </c>
      <c r="C893" t="s">
        <v>207</v>
      </c>
      <c r="D893" t="s">
        <v>815</v>
      </c>
      <c r="E893" s="65">
        <v>500</v>
      </c>
      <c r="F893" s="33">
        <v>1</v>
      </c>
      <c r="H893" t="s">
        <v>151</v>
      </c>
      <c r="I893" t="s">
        <v>279</v>
      </c>
      <c r="J893" t="s">
        <v>138</v>
      </c>
      <c r="K893" t="s">
        <v>219</v>
      </c>
      <c r="L893" s="17">
        <v>1</v>
      </c>
      <c r="M893" s="28" t="s">
        <v>178</v>
      </c>
    </row>
    <row r="894" spans="1:13" s="25" customFormat="1" x14ac:dyDescent="0.2">
      <c r="A894">
        <f t="shared" si="13"/>
        <v>888</v>
      </c>
      <c r="B894">
        <v>2015</v>
      </c>
      <c r="C894" t="s">
        <v>207</v>
      </c>
      <c r="D894" t="s">
        <v>1140</v>
      </c>
      <c r="E894" s="65">
        <v>200</v>
      </c>
      <c r="F894" s="33"/>
      <c r="G894" t="s">
        <v>1141</v>
      </c>
      <c r="H894" t="s">
        <v>142</v>
      </c>
      <c r="J894" t="s">
        <v>9</v>
      </c>
      <c r="K894" t="s">
        <v>9</v>
      </c>
      <c r="L894" s="17">
        <v>0</v>
      </c>
      <c r="M894" s="28"/>
    </row>
    <row r="895" spans="1:13" s="25" customFormat="1" x14ac:dyDescent="0.2">
      <c r="A895">
        <f t="shared" si="13"/>
        <v>889</v>
      </c>
      <c r="B895">
        <v>2015</v>
      </c>
      <c r="C895" t="s">
        <v>207</v>
      </c>
      <c r="D895" t="s">
        <v>980</v>
      </c>
      <c r="E895" s="65">
        <v>370</v>
      </c>
      <c r="F895" s="33">
        <v>0.8</v>
      </c>
      <c r="H895" t="s">
        <v>154</v>
      </c>
      <c r="I895" t="s">
        <v>271</v>
      </c>
      <c r="J895" t="s">
        <v>9</v>
      </c>
      <c r="K895" t="s">
        <v>9</v>
      </c>
      <c r="L895" s="17">
        <v>0</v>
      </c>
      <c r="M895" s="28"/>
    </row>
    <row r="896" spans="1:13" s="25" customFormat="1" x14ac:dyDescent="0.2">
      <c r="A896">
        <f t="shared" si="13"/>
        <v>890</v>
      </c>
      <c r="B896">
        <v>2015</v>
      </c>
      <c r="C896" t="s">
        <v>207</v>
      </c>
      <c r="D896" t="s">
        <v>283</v>
      </c>
      <c r="E896" s="65">
        <v>2000</v>
      </c>
      <c r="F896" s="33"/>
      <c r="G896" t="s">
        <v>830</v>
      </c>
      <c r="H896" t="s">
        <v>144</v>
      </c>
      <c r="I896" t="s">
        <v>187</v>
      </c>
      <c r="J896" t="s">
        <v>19</v>
      </c>
      <c r="K896" t="s">
        <v>205</v>
      </c>
      <c r="L896" s="17">
        <v>0</v>
      </c>
      <c r="M896" s="28"/>
    </row>
    <row r="897" spans="1:13" s="25" customFormat="1" x14ac:dyDescent="0.2">
      <c r="A897">
        <f t="shared" si="13"/>
        <v>891</v>
      </c>
      <c r="B897">
        <v>2015</v>
      </c>
      <c r="C897" t="s">
        <v>207</v>
      </c>
      <c r="D897" t="s">
        <v>1142</v>
      </c>
      <c r="E897" s="65">
        <v>100</v>
      </c>
      <c r="F897" s="33"/>
      <c r="G897" t="s">
        <v>1143</v>
      </c>
      <c r="H897" t="s">
        <v>154</v>
      </c>
      <c r="I897" t="s">
        <v>194</v>
      </c>
      <c r="J897" t="s">
        <v>108</v>
      </c>
      <c r="K897" t="s">
        <v>183</v>
      </c>
      <c r="L897" s="17">
        <v>1</v>
      </c>
      <c r="M897" s="28"/>
    </row>
    <row r="898" spans="1:13" s="25" customFormat="1" x14ac:dyDescent="0.2">
      <c r="A898">
        <f t="shared" si="13"/>
        <v>892</v>
      </c>
      <c r="B898">
        <v>2015</v>
      </c>
      <c r="C898" t="s">
        <v>207</v>
      </c>
      <c r="D898" t="s">
        <v>1046</v>
      </c>
      <c r="E898" s="65">
        <v>1080</v>
      </c>
      <c r="F898" s="33"/>
      <c r="G898" t="s">
        <v>1144</v>
      </c>
      <c r="H898" t="s">
        <v>144</v>
      </c>
      <c r="I898" t="s">
        <v>187</v>
      </c>
      <c r="J898" t="s">
        <v>131</v>
      </c>
      <c r="K898" t="s">
        <v>131</v>
      </c>
      <c r="L898" s="17">
        <v>0</v>
      </c>
      <c r="M898" s="28"/>
    </row>
    <row r="899" spans="1:13" s="25" customFormat="1" x14ac:dyDescent="0.2">
      <c r="A899">
        <f t="shared" si="13"/>
        <v>893</v>
      </c>
      <c r="B899">
        <v>2015</v>
      </c>
      <c r="C899" t="s">
        <v>207</v>
      </c>
      <c r="D899" t="s">
        <v>1145</v>
      </c>
      <c r="E899" s="65">
        <v>270</v>
      </c>
      <c r="F899" s="33">
        <v>1</v>
      </c>
      <c r="G899" t="s">
        <v>1146</v>
      </c>
      <c r="H899" t="s">
        <v>147</v>
      </c>
      <c r="J899" t="s">
        <v>131</v>
      </c>
      <c r="K899" t="s">
        <v>131</v>
      </c>
      <c r="L899" s="17">
        <v>0</v>
      </c>
      <c r="M899" s="28"/>
    </row>
    <row r="900" spans="1:13" s="25" customFormat="1" x14ac:dyDescent="0.2">
      <c r="A900">
        <f t="shared" si="13"/>
        <v>894</v>
      </c>
      <c r="B900">
        <v>2015</v>
      </c>
      <c r="C900" t="s">
        <v>207</v>
      </c>
      <c r="D900" s="52" t="s">
        <v>255</v>
      </c>
      <c r="E900" s="65">
        <v>280</v>
      </c>
      <c r="F900" s="33">
        <v>0.4</v>
      </c>
      <c r="G900" t="s">
        <v>1147</v>
      </c>
      <c r="H900" t="s">
        <v>152</v>
      </c>
      <c r="I900" t="s">
        <v>257</v>
      </c>
      <c r="J900" t="s">
        <v>113</v>
      </c>
      <c r="K900" t="s">
        <v>183</v>
      </c>
      <c r="L900" s="17">
        <v>0</v>
      </c>
      <c r="M900" s="28"/>
    </row>
    <row r="901" spans="1:13" s="25" customFormat="1" x14ac:dyDescent="0.2">
      <c r="A901">
        <f t="shared" si="13"/>
        <v>895</v>
      </c>
      <c r="B901">
        <v>2015</v>
      </c>
      <c r="C901" t="s">
        <v>207</v>
      </c>
      <c r="D901" t="s">
        <v>1071</v>
      </c>
      <c r="E901" s="65">
        <v>130</v>
      </c>
      <c r="F901" s="33">
        <v>0.34</v>
      </c>
      <c r="G901" t="s">
        <v>1148</v>
      </c>
      <c r="H901" t="s">
        <v>154</v>
      </c>
      <c r="I901" t="s">
        <v>250</v>
      </c>
      <c r="J901" t="s">
        <v>69</v>
      </c>
      <c r="K901" t="s">
        <v>195</v>
      </c>
      <c r="L901" s="17">
        <v>1</v>
      </c>
      <c r="M901" s="28"/>
    </row>
    <row r="902" spans="1:13" s="25" customFormat="1" x14ac:dyDescent="0.2">
      <c r="A902">
        <f t="shared" si="13"/>
        <v>896</v>
      </c>
      <c r="B902">
        <v>2015</v>
      </c>
      <c r="C902" t="s">
        <v>207</v>
      </c>
      <c r="D902" t="s">
        <v>1149</v>
      </c>
      <c r="E902" s="65">
        <v>240</v>
      </c>
      <c r="F902" s="33"/>
      <c r="G902" t="s">
        <v>1150</v>
      </c>
      <c r="H902" t="s">
        <v>145</v>
      </c>
      <c r="J902" t="s">
        <v>131</v>
      </c>
      <c r="K902" t="s">
        <v>131</v>
      </c>
      <c r="L902" s="17">
        <v>0</v>
      </c>
      <c r="M902" s="28"/>
    </row>
    <row r="903" spans="1:13" s="25" customFormat="1" x14ac:dyDescent="0.2">
      <c r="A903">
        <f t="shared" ref="A903:A966" si="14">ROW()-6</f>
        <v>897</v>
      </c>
      <c r="B903">
        <v>2015</v>
      </c>
      <c r="C903" t="s">
        <v>207</v>
      </c>
      <c r="D903" t="s">
        <v>1151</v>
      </c>
      <c r="E903" s="65">
        <v>370</v>
      </c>
      <c r="F903" s="33">
        <v>0.85</v>
      </c>
      <c r="G903" t="s">
        <v>1152</v>
      </c>
      <c r="H903" t="s">
        <v>152</v>
      </c>
      <c r="J903" t="s">
        <v>72</v>
      </c>
      <c r="K903" t="s">
        <v>183</v>
      </c>
      <c r="L903" s="17">
        <v>1</v>
      </c>
      <c r="M903" s="28"/>
    </row>
    <row r="904" spans="1:13" s="25" customFormat="1" x14ac:dyDescent="0.2">
      <c r="A904">
        <f t="shared" si="14"/>
        <v>898</v>
      </c>
      <c r="B904">
        <v>2015</v>
      </c>
      <c r="C904" t="s">
        <v>207</v>
      </c>
      <c r="D904" t="s">
        <v>444</v>
      </c>
      <c r="E904" s="65">
        <v>150</v>
      </c>
      <c r="F904" s="33">
        <v>0.35</v>
      </c>
      <c r="G904" t="s">
        <v>1153</v>
      </c>
      <c r="H904" t="s">
        <v>144</v>
      </c>
      <c r="J904" t="s">
        <v>93</v>
      </c>
      <c r="K904" t="s">
        <v>201</v>
      </c>
      <c r="L904" s="17">
        <v>1</v>
      </c>
      <c r="M904" s="28"/>
    </row>
    <row r="905" spans="1:13" s="25" customFormat="1" x14ac:dyDescent="0.2">
      <c r="A905">
        <f t="shared" si="14"/>
        <v>899</v>
      </c>
      <c r="B905">
        <v>2015</v>
      </c>
      <c r="C905" t="s">
        <v>207</v>
      </c>
      <c r="D905" t="s">
        <v>479</v>
      </c>
      <c r="E905" s="65">
        <v>120</v>
      </c>
      <c r="F905" s="33"/>
      <c r="H905" t="s">
        <v>154</v>
      </c>
      <c r="I905" t="s">
        <v>271</v>
      </c>
      <c r="J905" t="s">
        <v>104</v>
      </c>
      <c r="K905" t="s">
        <v>219</v>
      </c>
      <c r="L905" s="17">
        <v>1</v>
      </c>
      <c r="M905" s="28" t="s">
        <v>178</v>
      </c>
    </row>
    <row r="906" spans="1:13" s="25" customFormat="1" x14ac:dyDescent="0.2">
      <c r="A906">
        <f t="shared" si="14"/>
        <v>900</v>
      </c>
      <c r="B906">
        <v>2015</v>
      </c>
      <c r="C906" t="s">
        <v>207</v>
      </c>
      <c r="D906" t="s">
        <v>300</v>
      </c>
      <c r="E906" s="65">
        <v>200</v>
      </c>
      <c r="F906" s="33">
        <v>0.02</v>
      </c>
      <c r="G906" t="s">
        <v>1154</v>
      </c>
      <c r="H906" t="s">
        <v>148</v>
      </c>
      <c r="J906" t="s">
        <v>58</v>
      </c>
      <c r="K906" t="s">
        <v>195</v>
      </c>
      <c r="L906" s="17">
        <v>0</v>
      </c>
      <c r="M906" s="28"/>
    </row>
    <row r="907" spans="1:13" s="25" customFormat="1" x14ac:dyDescent="0.2">
      <c r="A907">
        <f t="shared" si="14"/>
        <v>901</v>
      </c>
      <c r="B907">
        <v>2015</v>
      </c>
      <c r="C907" t="s">
        <v>207</v>
      </c>
      <c r="D907" t="s">
        <v>1155</v>
      </c>
      <c r="E907" s="65">
        <v>150</v>
      </c>
      <c r="F907" s="33">
        <v>0.13</v>
      </c>
      <c r="G907" t="s">
        <v>1156</v>
      </c>
      <c r="H907" t="s">
        <v>146</v>
      </c>
      <c r="J907" t="s">
        <v>131</v>
      </c>
      <c r="K907" t="s">
        <v>131</v>
      </c>
      <c r="L907" s="17">
        <v>0</v>
      </c>
      <c r="M907" s="28"/>
    </row>
    <row r="908" spans="1:13" s="25" customFormat="1" x14ac:dyDescent="0.2">
      <c r="A908">
        <f t="shared" si="14"/>
        <v>902</v>
      </c>
      <c r="B908">
        <v>2015</v>
      </c>
      <c r="C908" t="s">
        <v>207</v>
      </c>
      <c r="D908" t="s">
        <v>1157</v>
      </c>
      <c r="E908" s="65">
        <v>270</v>
      </c>
      <c r="F908" s="33"/>
      <c r="H908" t="s">
        <v>151</v>
      </c>
      <c r="I908" t="s">
        <v>279</v>
      </c>
      <c r="J908" t="s">
        <v>83</v>
      </c>
      <c r="K908" t="s">
        <v>219</v>
      </c>
      <c r="L908" s="17">
        <v>1</v>
      </c>
      <c r="M908" s="28" t="s">
        <v>178</v>
      </c>
    </row>
    <row r="909" spans="1:13" s="25" customFormat="1" x14ac:dyDescent="0.2">
      <c r="A909">
        <f t="shared" si="14"/>
        <v>903</v>
      </c>
      <c r="B909">
        <v>2015</v>
      </c>
      <c r="C909" t="s">
        <v>207</v>
      </c>
      <c r="D909" t="s">
        <v>414</v>
      </c>
      <c r="E909" s="65">
        <v>480</v>
      </c>
      <c r="F909" s="33"/>
      <c r="G909" t="s">
        <v>1158</v>
      </c>
      <c r="H909" t="s">
        <v>154</v>
      </c>
      <c r="I909" t="s">
        <v>194</v>
      </c>
      <c r="J909" t="s">
        <v>45</v>
      </c>
      <c r="K909" t="s">
        <v>195</v>
      </c>
      <c r="L909" s="17">
        <v>0</v>
      </c>
      <c r="M909" s="28"/>
    </row>
    <row r="910" spans="1:13" s="25" customFormat="1" x14ac:dyDescent="0.2">
      <c r="A910">
        <f t="shared" si="14"/>
        <v>904</v>
      </c>
      <c r="B910">
        <v>2015</v>
      </c>
      <c r="C910" t="s">
        <v>207</v>
      </c>
      <c r="D910" t="s">
        <v>1093</v>
      </c>
      <c r="E910" s="65">
        <v>140</v>
      </c>
      <c r="F910" s="33"/>
      <c r="G910" t="s">
        <v>1159</v>
      </c>
      <c r="H910" t="s">
        <v>153</v>
      </c>
      <c r="J910" t="s">
        <v>131</v>
      </c>
      <c r="K910" t="s">
        <v>131</v>
      </c>
      <c r="L910" s="17">
        <v>0</v>
      </c>
      <c r="M910" s="28"/>
    </row>
    <row r="911" spans="1:13" s="25" customFormat="1" x14ac:dyDescent="0.2">
      <c r="A911">
        <f t="shared" si="14"/>
        <v>905</v>
      </c>
      <c r="B911">
        <v>2015</v>
      </c>
      <c r="C911" t="s">
        <v>207</v>
      </c>
      <c r="D911" t="s">
        <v>1160</v>
      </c>
      <c r="E911" s="65">
        <v>300</v>
      </c>
      <c r="F911" s="33"/>
      <c r="H911" t="s">
        <v>150</v>
      </c>
      <c r="I911" t="s">
        <v>217</v>
      </c>
      <c r="J911" t="s">
        <v>77</v>
      </c>
      <c r="K911" t="s">
        <v>177</v>
      </c>
      <c r="L911" s="17">
        <v>0</v>
      </c>
      <c r="M911" s="28" t="s">
        <v>178</v>
      </c>
    </row>
    <row r="912" spans="1:13" s="25" customFormat="1" x14ac:dyDescent="0.2">
      <c r="A912">
        <f t="shared" si="14"/>
        <v>906</v>
      </c>
      <c r="B912">
        <v>2015</v>
      </c>
      <c r="C912" t="s">
        <v>240</v>
      </c>
      <c r="D912" t="s">
        <v>319</v>
      </c>
      <c r="E912" s="65">
        <v>1010</v>
      </c>
      <c r="F912" s="33">
        <v>0.3</v>
      </c>
      <c r="G912" t="s">
        <v>1161</v>
      </c>
      <c r="H912" t="s">
        <v>148</v>
      </c>
      <c r="J912" t="s">
        <v>131</v>
      </c>
      <c r="K912" t="s">
        <v>131</v>
      </c>
      <c r="L912" s="17">
        <v>0</v>
      </c>
      <c r="M912" s="28"/>
    </row>
    <row r="913" spans="1:13" s="25" customFormat="1" x14ac:dyDescent="0.2">
      <c r="A913">
        <f t="shared" si="14"/>
        <v>907</v>
      </c>
      <c r="B913">
        <v>2015</v>
      </c>
      <c r="C913" t="s">
        <v>240</v>
      </c>
      <c r="D913" t="s">
        <v>806</v>
      </c>
      <c r="E913" s="65">
        <v>100</v>
      </c>
      <c r="F913" s="33">
        <v>1</v>
      </c>
      <c r="H913" t="s">
        <v>154</v>
      </c>
      <c r="I913" t="s">
        <v>529</v>
      </c>
      <c r="J913" t="s">
        <v>131</v>
      </c>
      <c r="K913" t="s">
        <v>131</v>
      </c>
      <c r="L913" s="17">
        <v>0</v>
      </c>
      <c r="M913" s="28" t="s">
        <v>178</v>
      </c>
    </row>
    <row r="914" spans="1:13" s="25" customFormat="1" x14ac:dyDescent="0.2">
      <c r="A914">
        <f t="shared" si="14"/>
        <v>908</v>
      </c>
      <c r="B914">
        <v>2015</v>
      </c>
      <c r="C914" t="s">
        <v>240</v>
      </c>
      <c r="D914" t="s">
        <v>1057</v>
      </c>
      <c r="E914" s="65">
        <v>230</v>
      </c>
      <c r="F914" s="33"/>
      <c r="G914" t="s">
        <v>1162</v>
      </c>
      <c r="H914" t="s">
        <v>144</v>
      </c>
      <c r="I914" t="s">
        <v>232</v>
      </c>
      <c r="J914" t="s">
        <v>52</v>
      </c>
      <c r="K914" t="s">
        <v>201</v>
      </c>
      <c r="L914" s="17">
        <v>0</v>
      </c>
      <c r="M914" s="28" t="s">
        <v>178</v>
      </c>
    </row>
    <row r="915" spans="1:13" s="25" customFormat="1" x14ac:dyDescent="0.2">
      <c r="A915">
        <f t="shared" si="14"/>
        <v>909</v>
      </c>
      <c r="B915">
        <v>2015</v>
      </c>
      <c r="C915" t="s">
        <v>240</v>
      </c>
      <c r="D915" t="s">
        <v>1163</v>
      </c>
      <c r="E915" s="65">
        <v>150</v>
      </c>
      <c r="F915" s="33">
        <v>1</v>
      </c>
      <c r="G915" t="s">
        <v>1164</v>
      </c>
      <c r="H915" t="s">
        <v>153</v>
      </c>
      <c r="J915" t="s">
        <v>61</v>
      </c>
      <c r="K915" t="s">
        <v>183</v>
      </c>
      <c r="L915" s="17">
        <v>0</v>
      </c>
      <c r="M915" s="28"/>
    </row>
    <row r="916" spans="1:13" s="25" customFormat="1" x14ac:dyDescent="0.2">
      <c r="A916">
        <f t="shared" si="14"/>
        <v>910</v>
      </c>
      <c r="B916">
        <v>2015</v>
      </c>
      <c r="C916" t="s">
        <v>240</v>
      </c>
      <c r="D916" t="s">
        <v>477</v>
      </c>
      <c r="E916" s="65">
        <v>140</v>
      </c>
      <c r="F916" s="33">
        <v>1</v>
      </c>
      <c r="H916" t="s">
        <v>148</v>
      </c>
      <c r="J916" t="s">
        <v>14</v>
      </c>
      <c r="K916" t="s">
        <v>195</v>
      </c>
      <c r="L916" s="17">
        <v>1</v>
      </c>
      <c r="M916" s="28" t="s">
        <v>178</v>
      </c>
    </row>
    <row r="917" spans="1:13" s="25" customFormat="1" x14ac:dyDescent="0.2">
      <c r="A917">
        <f t="shared" si="14"/>
        <v>911</v>
      </c>
      <c r="B917">
        <v>2015</v>
      </c>
      <c r="C917" t="s">
        <v>240</v>
      </c>
      <c r="D917" t="s">
        <v>373</v>
      </c>
      <c r="E917" s="65">
        <v>460</v>
      </c>
      <c r="F917" s="33">
        <v>0.24</v>
      </c>
      <c r="G917" t="s">
        <v>1165</v>
      </c>
      <c r="H917" t="s">
        <v>154</v>
      </c>
      <c r="I917" t="s">
        <v>250</v>
      </c>
      <c r="J917" t="s">
        <v>19</v>
      </c>
      <c r="K917" t="s">
        <v>205</v>
      </c>
      <c r="L917" s="17">
        <v>0</v>
      </c>
      <c r="M917" s="28"/>
    </row>
    <row r="918" spans="1:13" s="25" customFormat="1" x14ac:dyDescent="0.2">
      <c r="A918">
        <f t="shared" si="14"/>
        <v>912</v>
      </c>
      <c r="B918">
        <v>2015</v>
      </c>
      <c r="C918" t="s">
        <v>240</v>
      </c>
      <c r="D918" t="s">
        <v>1166</v>
      </c>
      <c r="E918" s="65">
        <v>5260</v>
      </c>
      <c r="F918" s="33">
        <v>1</v>
      </c>
      <c r="G918" t="s">
        <v>1167</v>
      </c>
      <c r="H918" t="s">
        <v>144</v>
      </c>
      <c r="J918" t="s">
        <v>72</v>
      </c>
      <c r="K918" t="s">
        <v>183</v>
      </c>
      <c r="L918" s="17">
        <v>1</v>
      </c>
      <c r="M918" s="28"/>
    </row>
    <row r="919" spans="1:13" s="25" customFormat="1" x14ac:dyDescent="0.2">
      <c r="A919">
        <f t="shared" si="14"/>
        <v>913</v>
      </c>
      <c r="B919">
        <v>2015</v>
      </c>
      <c r="C919" t="s">
        <v>240</v>
      </c>
      <c r="D919" t="s">
        <v>1168</v>
      </c>
      <c r="E919" s="65">
        <v>750</v>
      </c>
      <c r="F919" s="33"/>
      <c r="H919" t="s">
        <v>153</v>
      </c>
      <c r="J919" t="s">
        <v>25</v>
      </c>
      <c r="K919" t="s">
        <v>177</v>
      </c>
      <c r="L919" s="17">
        <v>0</v>
      </c>
      <c r="M919" s="28" t="s">
        <v>178</v>
      </c>
    </row>
    <row r="920" spans="1:13" s="25" customFormat="1" x14ac:dyDescent="0.2">
      <c r="A920">
        <f t="shared" si="14"/>
        <v>914</v>
      </c>
      <c r="B920">
        <v>2015</v>
      </c>
      <c r="C920" t="s">
        <v>240</v>
      </c>
      <c r="D920" t="s">
        <v>421</v>
      </c>
      <c r="E920" s="65">
        <v>260</v>
      </c>
      <c r="F920" s="33">
        <v>1</v>
      </c>
      <c r="G920" t="s">
        <v>1169</v>
      </c>
      <c r="H920" t="s">
        <v>154</v>
      </c>
      <c r="I920" t="s">
        <v>250</v>
      </c>
      <c r="J920" t="s">
        <v>20</v>
      </c>
      <c r="K920" t="s">
        <v>195</v>
      </c>
      <c r="L920" s="17">
        <v>0</v>
      </c>
      <c r="M920" s="28"/>
    </row>
    <row r="921" spans="1:13" s="25" customFormat="1" x14ac:dyDescent="0.2">
      <c r="A921">
        <f t="shared" si="14"/>
        <v>915</v>
      </c>
      <c r="B921">
        <v>2015</v>
      </c>
      <c r="C921" t="s">
        <v>240</v>
      </c>
      <c r="D921" t="s">
        <v>1170</v>
      </c>
      <c r="E921" s="65">
        <v>400</v>
      </c>
      <c r="F921" s="33">
        <v>0.13</v>
      </c>
      <c r="G921" t="s">
        <v>1171</v>
      </c>
      <c r="H921" t="s">
        <v>145</v>
      </c>
      <c r="J921" t="s">
        <v>20</v>
      </c>
      <c r="K921" t="s">
        <v>195</v>
      </c>
      <c r="L921" s="17">
        <v>0</v>
      </c>
      <c r="M921" s="28"/>
    </row>
    <row r="922" spans="1:13" s="25" customFormat="1" x14ac:dyDescent="0.2">
      <c r="A922">
        <f t="shared" si="14"/>
        <v>916</v>
      </c>
      <c r="B922">
        <v>2015</v>
      </c>
      <c r="C922" t="s">
        <v>240</v>
      </c>
      <c r="D922" t="s">
        <v>1172</v>
      </c>
      <c r="E922" s="65">
        <v>620</v>
      </c>
      <c r="F922" s="33"/>
      <c r="H922" t="s">
        <v>154</v>
      </c>
      <c r="I922" t="s">
        <v>271</v>
      </c>
      <c r="J922" t="s">
        <v>93</v>
      </c>
      <c r="K922" t="s">
        <v>201</v>
      </c>
      <c r="L922" s="17">
        <v>1</v>
      </c>
      <c r="M922" s="28" t="s">
        <v>178</v>
      </c>
    </row>
    <row r="923" spans="1:13" s="25" customFormat="1" x14ac:dyDescent="0.2">
      <c r="A923">
        <f t="shared" si="14"/>
        <v>917</v>
      </c>
      <c r="B923">
        <v>2015</v>
      </c>
      <c r="C923" t="s">
        <v>240</v>
      </c>
      <c r="D923" t="s">
        <v>1173</v>
      </c>
      <c r="E923" s="65">
        <v>180</v>
      </c>
      <c r="F923" s="33"/>
      <c r="H923" t="s">
        <v>151</v>
      </c>
      <c r="I923" t="s">
        <v>224</v>
      </c>
      <c r="J923" t="s">
        <v>131</v>
      </c>
      <c r="K923" t="s">
        <v>131</v>
      </c>
      <c r="L923" s="17">
        <v>0</v>
      </c>
      <c r="M923" s="28" t="s">
        <v>178</v>
      </c>
    </row>
    <row r="924" spans="1:13" s="25" customFormat="1" x14ac:dyDescent="0.2">
      <c r="A924">
        <f t="shared" si="14"/>
        <v>918</v>
      </c>
      <c r="B924">
        <v>2015</v>
      </c>
      <c r="C924" t="s">
        <v>240</v>
      </c>
      <c r="D924" t="s">
        <v>1174</v>
      </c>
      <c r="E924" s="65">
        <v>160</v>
      </c>
      <c r="F924" s="33">
        <v>1</v>
      </c>
      <c r="G924" t="s">
        <v>1175</v>
      </c>
      <c r="H924" t="s">
        <v>152</v>
      </c>
      <c r="J924" t="s">
        <v>131</v>
      </c>
      <c r="K924" t="s">
        <v>131</v>
      </c>
      <c r="L924" s="17">
        <v>0</v>
      </c>
      <c r="M924" s="28"/>
    </row>
    <row r="925" spans="1:13" s="25" customFormat="1" x14ac:dyDescent="0.2">
      <c r="A925">
        <f t="shared" si="14"/>
        <v>919</v>
      </c>
      <c r="B925">
        <v>2015</v>
      </c>
      <c r="C925" t="s">
        <v>240</v>
      </c>
      <c r="D925" t="s">
        <v>837</v>
      </c>
      <c r="E925" s="65">
        <v>950</v>
      </c>
      <c r="F925" s="33"/>
      <c r="H925" t="s">
        <v>151</v>
      </c>
      <c r="I925" t="s">
        <v>224</v>
      </c>
      <c r="J925" t="s">
        <v>131</v>
      </c>
      <c r="K925" t="s">
        <v>131</v>
      </c>
      <c r="L925" s="17">
        <v>0</v>
      </c>
      <c r="M925" s="28" t="s">
        <v>178</v>
      </c>
    </row>
    <row r="926" spans="1:13" s="25" customFormat="1" x14ac:dyDescent="0.2">
      <c r="A926">
        <f t="shared" si="14"/>
        <v>920</v>
      </c>
      <c r="B926">
        <v>2015</v>
      </c>
      <c r="C926" t="s">
        <v>240</v>
      </c>
      <c r="D926" t="s">
        <v>840</v>
      </c>
      <c r="E926" s="65">
        <v>250</v>
      </c>
      <c r="F926" s="33"/>
      <c r="H926" t="s">
        <v>151</v>
      </c>
      <c r="I926" t="s">
        <v>224</v>
      </c>
      <c r="J926" t="s">
        <v>131</v>
      </c>
      <c r="K926" t="s">
        <v>131</v>
      </c>
      <c r="L926" s="17">
        <v>0</v>
      </c>
      <c r="M926" s="28" t="s">
        <v>178</v>
      </c>
    </row>
    <row r="927" spans="1:13" s="25" customFormat="1" x14ac:dyDescent="0.2">
      <c r="A927">
        <f t="shared" si="14"/>
        <v>921</v>
      </c>
      <c r="B927">
        <v>2015</v>
      </c>
      <c r="C927" t="s">
        <v>212</v>
      </c>
      <c r="D927" t="s">
        <v>189</v>
      </c>
      <c r="E927" s="65">
        <v>1340</v>
      </c>
      <c r="F927" s="33">
        <v>0.1</v>
      </c>
      <c r="G927" t="s">
        <v>1176</v>
      </c>
      <c r="H927" t="s">
        <v>144</v>
      </c>
      <c r="I927" t="s">
        <v>299</v>
      </c>
      <c r="J927" t="s">
        <v>101</v>
      </c>
      <c r="K927" t="s">
        <v>201</v>
      </c>
      <c r="L927" s="17">
        <v>1</v>
      </c>
      <c r="M927" s="28"/>
    </row>
    <row r="928" spans="1:13" s="25" customFormat="1" x14ac:dyDescent="0.2">
      <c r="A928">
        <f t="shared" si="14"/>
        <v>922</v>
      </c>
      <c r="B928">
        <v>2015</v>
      </c>
      <c r="C928" t="s">
        <v>212</v>
      </c>
      <c r="D928" t="s">
        <v>1177</v>
      </c>
      <c r="E928" s="65">
        <v>110</v>
      </c>
      <c r="F928" s="33">
        <v>0.34</v>
      </c>
      <c r="G928" t="s">
        <v>713</v>
      </c>
      <c r="H928" t="s">
        <v>144</v>
      </c>
      <c r="I928" t="s">
        <v>273</v>
      </c>
      <c r="J928" t="s">
        <v>112</v>
      </c>
      <c r="K928" t="s">
        <v>219</v>
      </c>
      <c r="L928" s="17">
        <v>1</v>
      </c>
      <c r="M928" s="28" t="s">
        <v>178</v>
      </c>
    </row>
    <row r="929" spans="1:13" s="25" customFormat="1" x14ac:dyDescent="0.2">
      <c r="A929">
        <f t="shared" si="14"/>
        <v>923</v>
      </c>
      <c r="B929">
        <v>2015</v>
      </c>
      <c r="C929" t="s">
        <v>212</v>
      </c>
      <c r="D929" t="s">
        <v>1178</v>
      </c>
      <c r="E929" s="65">
        <v>690</v>
      </c>
      <c r="F929" s="33">
        <v>1</v>
      </c>
      <c r="G929" t="s">
        <v>1179</v>
      </c>
      <c r="H929" t="s">
        <v>147</v>
      </c>
      <c r="J929" t="s">
        <v>9</v>
      </c>
      <c r="K929" t="s">
        <v>9</v>
      </c>
      <c r="L929" s="17">
        <v>0</v>
      </c>
      <c r="M929" s="28"/>
    </row>
    <row r="930" spans="1:13" s="25" customFormat="1" x14ac:dyDescent="0.2">
      <c r="A930">
        <f t="shared" si="14"/>
        <v>924</v>
      </c>
      <c r="B930">
        <v>2015</v>
      </c>
      <c r="C930" t="s">
        <v>212</v>
      </c>
      <c r="D930" t="s">
        <v>1180</v>
      </c>
      <c r="E930" s="65">
        <v>2200</v>
      </c>
      <c r="F930" s="33">
        <v>1</v>
      </c>
      <c r="G930" t="s">
        <v>1181</v>
      </c>
      <c r="H930" t="s">
        <v>144</v>
      </c>
      <c r="I930" t="s">
        <v>197</v>
      </c>
      <c r="J930" t="s">
        <v>9</v>
      </c>
      <c r="K930" t="s">
        <v>9</v>
      </c>
      <c r="L930" s="17">
        <v>0</v>
      </c>
      <c r="M930" s="28"/>
    </row>
    <row r="931" spans="1:13" s="25" customFormat="1" x14ac:dyDescent="0.2">
      <c r="A931">
        <f t="shared" si="14"/>
        <v>925</v>
      </c>
      <c r="B931">
        <v>2015</v>
      </c>
      <c r="C931" t="s">
        <v>212</v>
      </c>
      <c r="D931" t="s">
        <v>661</v>
      </c>
      <c r="E931" s="65">
        <v>120</v>
      </c>
      <c r="F931" s="33">
        <v>1</v>
      </c>
      <c r="H931" t="s">
        <v>151</v>
      </c>
      <c r="I931" t="s">
        <v>224</v>
      </c>
      <c r="J931" t="s">
        <v>20</v>
      </c>
      <c r="K931" t="s">
        <v>195</v>
      </c>
      <c r="L931" s="17">
        <v>0</v>
      </c>
      <c r="M931" s="28"/>
    </row>
    <row r="932" spans="1:13" s="25" customFormat="1" x14ac:dyDescent="0.2">
      <c r="A932">
        <f t="shared" si="14"/>
        <v>926</v>
      </c>
      <c r="B932">
        <v>2015</v>
      </c>
      <c r="C932" t="s">
        <v>212</v>
      </c>
      <c r="D932" t="s">
        <v>1182</v>
      </c>
      <c r="E932" s="65">
        <v>100</v>
      </c>
      <c r="F932" s="33">
        <v>0.13</v>
      </c>
      <c r="G932" t="s">
        <v>1183</v>
      </c>
      <c r="H932" t="s">
        <v>149</v>
      </c>
      <c r="J932" t="s">
        <v>101</v>
      </c>
      <c r="K932" t="s">
        <v>201</v>
      </c>
      <c r="L932" s="17">
        <v>1</v>
      </c>
      <c r="M932" s="28" t="s">
        <v>178</v>
      </c>
    </row>
    <row r="933" spans="1:13" s="25" customFormat="1" x14ac:dyDescent="0.2">
      <c r="A933">
        <f t="shared" si="14"/>
        <v>927</v>
      </c>
      <c r="B933">
        <v>2015</v>
      </c>
      <c r="C933" t="s">
        <v>212</v>
      </c>
      <c r="D933" t="s">
        <v>1184</v>
      </c>
      <c r="E933" s="65">
        <v>100</v>
      </c>
      <c r="F933" s="33">
        <v>0.75</v>
      </c>
      <c r="G933" t="s">
        <v>1185</v>
      </c>
      <c r="H933" t="s">
        <v>151</v>
      </c>
      <c r="I933" t="s">
        <v>279</v>
      </c>
      <c r="J933" t="s">
        <v>67</v>
      </c>
      <c r="K933" t="s">
        <v>183</v>
      </c>
      <c r="L933" s="17">
        <v>1</v>
      </c>
      <c r="M933" s="28" t="s">
        <v>178</v>
      </c>
    </row>
    <row r="934" spans="1:13" s="25" customFormat="1" x14ac:dyDescent="0.2">
      <c r="A934">
        <f t="shared" si="14"/>
        <v>928</v>
      </c>
      <c r="B934">
        <v>2015</v>
      </c>
      <c r="C934" t="s">
        <v>212</v>
      </c>
      <c r="D934" t="s">
        <v>1186</v>
      </c>
      <c r="E934" s="65">
        <v>130</v>
      </c>
      <c r="F934" s="33">
        <v>0.2</v>
      </c>
      <c r="G934" t="s">
        <v>1187</v>
      </c>
      <c r="H934" t="s">
        <v>142</v>
      </c>
      <c r="J934" t="s">
        <v>131</v>
      </c>
      <c r="K934" t="s">
        <v>131</v>
      </c>
      <c r="L934" s="17">
        <v>0</v>
      </c>
      <c r="M934" s="28"/>
    </row>
    <row r="935" spans="1:13" s="25" customFormat="1" x14ac:dyDescent="0.2">
      <c r="A935">
        <f t="shared" si="14"/>
        <v>929</v>
      </c>
      <c r="B935">
        <v>2015</v>
      </c>
      <c r="C935" t="s">
        <v>212</v>
      </c>
      <c r="D935" t="s">
        <v>352</v>
      </c>
      <c r="E935" s="65">
        <v>1320</v>
      </c>
      <c r="F935" s="33">
        <v>0.7</v>
      </c>
      <c r="G935" t="s">
        <v>1188</v>
      </c>
      <c r="H935" t="s">
        <v>144</v>
      </c>
      <c r="I935" t="s">
        <v>273</v>
      </c>
      <c r="J935" t="s">
        <v>53</v>
      </c>
      <c r="K935" t="s">
        <v>183</v>
      </c>
      <c r="L935" s="17">
        <v>1</v>
      </c>
      <c r="M935" s="28" t="s">
        <v>178</v>
      </c>
    </row>
    <row r="936" spans="1:13" s="25" customFormat="1" x14ac:dyDescent="0.2">
      <c r="A936">
        <f t="shared" si="14"/>
        <v>930</v>
      </c>
      <c r="B936">
        <v>2015</v>
      </c>
      <c r="C936" t="s">
        <v>212</v>
      </c>
      <c r="D936" t="s">
        <v>714</v>
      </c>
      <c r="E936" s="65">
        <v>190</v>
      </c>
      <c r="F936" s="33"/>
      <c r="H936" t="s">
        <v>154</v>
      </c>
      <c r="I936" t="s">
        <v>194</v>
      </c>
      <c r="J936" t="s">
        <v>136</v>
      </c>
      <c r="K936" t="s">
        <v>183</v>
      </c>
      <c r="L936" s="17">
        <v>1</v>
      </c>
      <c r="M936" s="28"/>
    </row>
    <row r="937" spans="1:13" s="25" customFormat="1" x14ac:dyDescent="0.2">
      <c r="A937">
        <f t="shared" si="14"/>
        <v>931</v>
      </c>
      <c r="B937">
        <v>2015</v>
      </c>
      <c r="C937" t="s">
        <v>212</v>
      </c>
      <c r="D937" t="s">
        <v>246</v>
      </c>
      <c r="E937" s="65">
        <v>340</v>
      </c>
      <c r="F937" s="33">
        <v>0.49</v>
      </c>
      <c r="G937" t="s">
        <v>737</v>
      </c>
      <c r="H937" t="s">
        <v>144</v>
      </c>
      <c r="I937" t="s">
        <v>232</v>
      </c>
      <c r="J937" t="s">
        <v>98</v>
      </c>
      <c r="K937" t="s">
        <v>195</v>
      </c>
      <c r="L937" s="17">
        <v>1</v>
      </c>
      <c r="M937" s="28"/>
    </row>
    <row r="938" spans="1:13" s="25" customFormat="1" x14ac:dyDescent="0.2">
      <c r="A938">
        <f t="shared" si="14"/>
        <v>932</v>
      </c>
      <c r="B938">
        <v>2015</v>
      </c>
      <c r="C938" t="s">
        <v>212</v>
      </c>
      <c r="D938" t="s">
        <v>246</v>
      </c>
      <c r="E938" s="65">
        <v>100</v>
      </c>
      <c r="F938" s="33">
        <v>0.49</v>
      </c>
      <c r="G938" t="s">
        <v>737</v>
      </c>
      <c r="H938" t="s">
        <v>144</v>
      </c>
      <c r="I938" t="s">
        <v>232</v>
      </c>
      <c r="J938" t="s">
        <v>58</v>
      </c>
      <c r="K938" t="s">
        <v>195</v>
      </c>
      <c r="L938" s="17">
        <v>0</v>
      </c>
      <c r="M938" s="28"/>
    </row>
    <row r="939" spans="1:13" s="25" customFormat="1" x14ac:dyDescent="0.2">
      <c r="A939">
        <f t="shared" si="14"/>
        <v>933</v>
      </c>
      <c r="B939">
        <v>2015</v>
      </c>
      <c r="C939" t="s">
        <v>212</v>
      </c>
      <c r="D939" t="s">
        <v>479</v>
      </c>
      <c r="E939" s="65">
        <v>100</v>
      </c>
      <c r="F939" s="33">
        <v>1</v>
      </c>
      <c r="H939" t="s">
        <v>151</v>
      </c>
      <c r="I939" t="s">
        <v>224</v>
      </c>
      <c r="J939" t="s">
        <v>108</v>
      </c>
      <c r="K939" t="s">
        <v>183</v>
      </c>
      <c r="L939" s="17">
        <v>1</v>
      </c>
      <c r="M939" s="28" t="s">
        <v>178</v>
      </c>
    </row>
    <row r="940" spans="1:13" s="25" customFormat="1" x14ac:dyDescent="0.2">
      <c r="A940">
        <f t="shared" si="14"/>
        <v>934</v>
      </c>
      <c r="B940">
        <v>2015</v>
      </c>
      <c r="C940" t="s">
        <v>212</v>
      </c>
      <c r="D940" t="s">
        <v>1189</v>
      </c>
      <c r="E940" s="65">
        <v>160</v>
      </c>
      <c r="F940" s="33">
        <v>0.8</v>
      </c>
      <c r="G940" t="s">
        <v>1190</v>
      </c>
      <c r="H940" t="s">
        <v>150</v>
      </c>
      <c r="I940" t="s">
        <v>217</v>
      </c>
      <c r="J940" t="s">
        <v>20</v>
      </c>
      <c r="K940" t="s">
        <v>195</v>
      </c>
      <c r="L940" s="17">
        <v>0</v>
      </c>
      <c r="M940" s="28"/>
    </row>
    <row r="941" spans="1:13" s="25" customFormat="1" x14ac:dyDescent="0.2">
      <c r="A941">
        <f t="shared" si="14"/>
        <v>935</v>
      </c>
      <c r="B941">
        <v>2015</v>
      </c>
      <c r="C941" t="s">
        <v>212</v>
      </c>
      <c r="D941" t="s">
        <v>1149</v>
      </c>
      <c r="E941" s="65">
        <v>210</v>
      </c>
      <c r="F941" s="33"/>
      <c r="H941" t="s">
        <v>151</v>
      </c>
      <c r="I941" t="s">
        <v>224</v>
      </c>
      <c r="J941" t="s">
        <v>20</v>
      </c>
      <c r="K941" t="s">
        <v>195</v>
      </c>
      <c r="L941" s="17">
        <v>0</v>
      </c>
      <c r="M941" s="28"/>
    </row>
    <row r="942" spans="1:13" s="25" customFormat="1" x14ac:dyDescent="0.2">
      <c r="A942">
        <f t="shared" si="14"/>
        <v>936</v>
      </c>
      <c r="B942">
        <v>2015</v>
      </c>
      <c r="C942" t="s">
        <v>212</v>
      </c>
      <c r="D942" t="s">
        <v>1191</v>
      </c>
      <c r="E942" s="65">
        <v>590</v>
      </c>
      <c r="F942" s="33">
        <v>0.05</v>
      </c>
      <c r="G942" t="s">
        <v>620</v>
      </c>
      <c r="H942" t="s">
        <v>144</v>
      </c>
      <c r="J942" t="s">
        <v>99</v>
      </c>
      <c r="K942" t="s">
        <v>195</v>
      </c>
      <c r="L942" s="17">
        <v>1</v>
      </c>
      <c r="M942" s="28"/>
    </row>
    <row r="943" spans="1:13" s="25" customFormat="1" x14ac:dyDescent="0.2">
      <c r="A943">
        <f t="shared" si="14"/>
        <v>937</v>
      </c>
      <c r="B943">
        <v>2015</v>
      </c>
      <c r="C943" t="s">
        <v>212</v>
      </c>
      <c r="D943" t="s">
        <v>210</v>
      </c>
      <c r="E943" s="65">
        <v>360</v>
      </c>
      <c r="F943" s="33">
        <v>0.12</v>
      </c>
      <c r="G943" t="s">
        <v>709</v>
      </c>
      <c r="H943" t="s">
        <v>144</v>
      </c>
      <c r="I943" t="s">
        <v>187</v>
      </c>
      <c r="J943" t="s">
        <v>119</v>
      </c>
      <c r="K943" t="s">
        <v>195</v>
      </c>
      <c r="L943" s="17">
        <v>0</v>
      </c>
      <c r="M943" s="28"/>
    </row>
    <row r="944" spans="1:13" s="25" customFormat="1" x14ac:dyDescent="0.2">
      <c r="A944">
        <f t="shared" si="14"/>
        <v>938</v>
      </c>
      <c r="B944">
        <v>2015</v>
      </c>
      <c r="C944" t="s">
        <v>212</v>
      </c>
      <c r="D944" t="s">
        <v>418</v>
      </c>
      <c r="E944" s="65">
        <v>110</v>
      </c>
      <c r="F944" s="33">
        <v>1.4999999999999999E-2</v>
      </c>
      <c r="G944" t="s">
        <v>1192</v>
      </c>
      <c r="H944" t="s">
        <v>153</v>
      </c>
      <c r="J944" t="s">
        <v>42</v>
      </c>
      <c r="K944" t="s">
        <v>195</v>
      </c>
      <c r="L944" s="17">
        <v>0</v>
      </c>
      <c r="M944" s="28"/>
    </row>
    <row r="945" spans="1:13" s="25" customFormat="1" x14ac:dyDescent="0.2">
      <c r="A945">
        <f t="shared" si="14"/>
        <v>939</v>
      </c>
      <c r="B945">
        <v>2015</v>
      </c>
      <c r="C945" t="s">
        <v>212</v>
      </c>
      <c r="D945" t="s">
        <v>185</v>
      </c>
      <c r="E945" s="65">
        <v>1350</v>
      </c>
      <c r="F945" s="33">
        <v>0.25</v>
      </c>
      <c r="H945" t="s">
        <v>144</v>
      </c>
      <c r="I945" t="s">
        <v>187</v>
      </c>
      <c r="J945" t="s">
        <v>131</v>
      </c>
      <c r="K945" t="s">
        <v>131</v>
      </c>
      <c r="L945" s="17">
        <v>0</v>
      </c>
      <c r="M945" s="28"/>
    </row>
    <row r="946" spans="1:13" s="25" customFormat="1" x14ac:dyDescent="0.2">
      <c r="A946">
        <f t="shared" si="14"/>
        <v>940</v>
      </c>
      <c r="B946">
        <v>2015</v>
      </c>
      <c r="C946" t="s">
        <v>212</v>
      </c>
      <c r="D946" t="s">
        <v>1193</v>
      </c>
      <c r="E946" s="65">
        <v>300</v>
      </c>
      <c r="F946" s="33"/>
      <c r="H946" t="s">
        <v>144</v>
      </c>
      <c r="I946" t="s">
        <v>232</v>
      </c>
      <c r="J946" t="s">
        <v>124</v>
      </c>
      <c r="K946" t="s">
        <v>183</v>
      </c>
      <c r="L946" s="17">
        <v>1</v>
      </c>
      <c r="M946" s="28" t="s">
        <v>178</v>
      </c>
    </row>
    <row r="947" spans="1:13" s="25" customFormat="1" x14ac:dyDescent="0.2">
      <c r="A947">
        <f t="shared" si="14"/>
        <v>941</v>
      </c>
      <c r="B947">
        <v>2015</v>
      </c>
      <c r="C947" t="s">
        <v>212</v>
      </c>
      <c r="D947" t="s">
        <v>1194</v>
      </c>
      <c r="E947" s="65">
        <v>300</v>
      </c>
      <c r="F947" s="33"/>
      <c r="G947" t="s">
        <v>1195</v>
      </c>
      <c r="H947" t="s">
        <v>152</v>
      </c>
      <c r="J947" t="s">
        <v>131</v>
      </c>
      <c r="K947" t="s">
        <v>131</v>
      </c>
      <c r="L947" s="17">
        <v>0</v>
      </c>
      <c r="M947" s="28"/>
    </row>
    <row r="948" spans="1:13" s="25" customFormat="1" x14ac:dyDescent="0.2">
      <c r="A948">
        <f t="shared" si="14"/>
        <v>942</v>
      </c>
      <c r="B948">
        <v>2015</v>
      </c>
      <c r="C948" t="s">
        <v>212</v>
      </c>
      <c r="D948" t="s">
        <v>837</v>
      </c>
      <c r="E948" s="65">
        <v>200</v>
      </c>
      <c r="F948" s="33"/>
      <c r="H948" t="s">
        <v>153</v>
      </c>
      <c r="J948" t="s">
        <v>131</v>
      </c>
      <c r="K948" t="s">
        <v>131</v>
      </c>
      <c r="L948" s="17">
        <v>0</v>
      </c>
      <c r="M948" s="28" t="s">
        <v>178</v>
      </c>
    </row>
    <row r="949" spans="1:13" s="25" customFormat="1" x14ac:dyDescent="0.2">
      <c r="A949">
        <f t="shared" si="14"/>
        <v>943</v>
      </c>
      <c r="B949">
        <v>2015</v>
      </c>
      <c r="C949" t="s">
        <v>212</v>
      </c>
      <c r="D949" t="s">
        <v>739</v>
      </c>
      <c r="E949" s="65">
        <v>210</v>
      </c>
      <c r="F949" s="33">
        <v>1</v>
      </c>
      <c r="H949" t="s">
        <v>151</v>
      </c>
      <c r="I949" t="s">
        <v>279</v>
      </c>
      <c r="J949" t="s">
        <v>101</v>
      </c>
      <c r="K949" t="s">
        <v>201</v>
      </c>
      <c r="L949" s="17">
        <v>1</v>
      </c>
      <c r="M949" s="28" t="s">
        <v>178</v>
      </c>
    </row>
    <row r="950" spans="1:13" s="25" customFormat="1" x14ac:dyDescent="0.2">
      <c r="A950">
        <f t="shared" si="14"/>
        <v>944</v>
      </c>
      <c r="B950">
        <v>2015</v>
      </c>
      <c r="C950" t="s">
        <v>212</v>
      </c>
      <c r="D950" t="s">
        <v>199</v>
      </c>
      <c r="E950" s="65">
        <v>100</v>
      </c>
      <c r="F950" s="33"/>
      <c r="H950" t="s">
        <v>151</v>
      </c>
      <c r="I950" t="s">
        <v>279</v>
      </c>
      <c r="J950" t="s">
        <v>101</v>
      </c>
      <c r="K950" t="s">
        <v>201</v>
      </c>
      <c r="L950" s="17">
        <v>1</v>
      </c>
      <c r="M950" s="28" t="s">
        <v>178</v>
      </c>
    </row>
    <row r="951" spans="1:13" s="25" customFormat="1" x14ac:dyDescent="0.2">
      <c r="A951">
        <f t="shared" si="14"/>
        <v>945</v>
      </c>
      <c r="B951">
        <v>2016</v>
      </c>
      <c r="C951" t="s">
        <v>172</v>
      </c>
      <c r="D951" t="s">
        <v>999</v>
      </c>
      <c r="E951" s="65">
        <v>180</v>
      </c>
      <c r="F951" s="33">
        <v>0.27</v>
      </c>
      <c r="G951" t="s">
        <v>1196</v>
      </c>
      <c r="H951" t="s">
        <v>153</v>
      </c>
      <c r="J951" t="s">
        <v>52</v>
      </c>
      <c r="K951" t="s">
        <v>201</v>
      </c>
      <c r="L951" s="17">
        <v>0</v>
      </c>
      <c r="M951" s="28"/>
    </row>
    <row r="952" spans="1:13" s="25" customFormat="1" x14ac:dyDescent="0.2">
      <c r="A952">
        <f t="shared" si="14"/>
        <v>946</v>
      </c>
      <c r="B952">
        <v>2016</v>
      </c>
      <c r="C952" t="s">
        <v>172</v>
      </c>
      <c r="D952" t="s">
        <v>1197</v>
      </c>
      <c r="E952" s="65">
        <v>100</v>
      </c>
      <c r="F952" s="33">
        <v>1</v>
      </c>
      <c r="H952" t="s">
        <v>145</v>
      </c>
      <c r="J952" t="s">
        <v>52</v>
      </c>
      <c r="K952" t="s">
        <v>201</v>
      </c>
      <c r="L952" s="17">
        <v>0</v>
      </c>
      <c r="M952" s="28" t="s">
        <v>178</v>
      </c>
    </row>
    <row r="953" spans="1:13" s="25" customFormat="1" x14ac:dyDescent="0.2">
      <c r="A953">
        <f t="shared" si="14"/>
        <v>947</v>
      </c>
      <c r="B953">
        <v>2016</v>
      </c>
      <c r="C953" t="s">
        <v>172</v>
      </c>
      <c r="D953" t="s">
        <v>319</v>
      </c>
      <c r="E953" s="65">
        <v>260</v>
      </c>
      <c r="F953" s="33"/>
      <c r="G953" t="s">
        <v>436</v>
      </c>
      <c r="H953" t="s">
        <v>151</v>
      </c>
      <c r="I953" t="s">
        <v>224</v>
      </c>
      <c r="J953" t="s">
        <v>20</v>
      </c>
      <c r="K953" t="s">
        <v>195</v>
      </c>
      <c r="L953" s="17">
        <v>0</v>
      </c>
      <c r="M953" s="28"/>
    </row>
    <row r="954" spans="1:13" s="25" customFormat="1" x14ac:dyDescent="0.2">
      <c r="A954">
        <f t="shared" si="14"/>
        <v>948</v>
      </c>
      <c r="B954">
        <v>2016</v>
      </c>
      <c r="C954" t="s">
        <v>172</v>
      </c>
      <c r="D954" t="s">
        <v>1198</v>
      </c>
      <c r="E954" s="65">
        <v>100</v>
      </c>
      <c r="F954" s="33">
        <v>1</v>
      </c>
      <c r="H954" t="s">
        <v>151</v>
      </c>
      <c r="I954" t="s">
        <v>224</v>
      </c>
      <c r="J954" t="s">
        <v>71</v>
      </c>
      <c r="K954" t="s">
        <v>219</v>
      </c>
      <c r="L954" s="17">
        <v>1</v>
      </c>
      <c r="M954" s="28" t="s">
        <v>178</v>
      </c>
    </row>
    <row r="955" spans="1:13" s="25" customFormat="1" x14ac:dyDescent="0.2">
      <c r="A955">
        <f t="shared" si="14"/>
        <v>949</v>
      </c>
      <c r="B955">
        <v>2016</v>
      </c>
      <c r="C955" t="s">
        <v>172</v>
      </c>
      <c r="D955" t="s">
        <v>661</v>
      </c>
      <c r="E955" s="65">
        <v>3500</v>
      </c>
      <c r="F955" s="33">
        <v>1</v>
      </c>
      <c r="G955" t="s">
        <v>1199</v>
      </c>
      <c r="H955" t="s">
        <v>145</v>
      </c>
      <c r="J955" t="s">
        <v>131</v>
      </c>
      <c r="K955" t="s">
        <v>131</v>
      </c>
      <c r="L955" s="17">
        <v>0</v>
      </c>
      <c r="M955" s="28"/>
    </row>
    <row r="956" spans="1:13" s="25" customFormat="1" x14ac:dyDescent="0.2">
      <c r="A956">
        <f t="shared" si="14"/>
        <v>950</v>
      </c>
      <c r="B956">
        <v>2016</v>
      </c>
      <c r="C956" t="s">
        <v>172</v>
      </c>
      <c r="D956" t="s">
        <v>210</v>
      </c>
      <c r="E956" s="65">
        <v>1000</v>
      </c>
      <c r="F956" s="33">
        <v>1</v>
      </c>
      <c r="G956" t="s">
        <v>1200</v>
      </c>
      <c r="H956" t="s">
        <v>151</v>
      </c>
      <c r="I956" t="s">
        <v>279</v>
      </c>
      <c r="J956" t="s">
        <v>45</v>
      </c>
      <c r="K956" t="s">
        <v>195</v>
      </c>
      <c r="L956" s="17">
        <v>0</v>
      </c>
      <c r="M956" s="28"/>
    </row>
    <row r="957" spans="1:13" s="25" customFormat="1" x14ac:dyDescent="0.2">
      <c r="A957">
        <f t="shared" si="14"/>
        <v>951</v>
      </c>
      <c r="B957">
        <v>2016</v>
      </c>
      <c r="C957" t="s">
        <v>172</v>
      </c>
      <c r="D957" t="s">
        <v>513</v>
      </c>
      <c r="E957" s="65">
        <v>110</v>
      </c>
      <c r="F957" s="33">
        <v>0.51</v>
      </c>
      <c r="G957" t="s">
        <v>1201</v>
      </c>
      <c r="H957" t="s">
        <v>150</v>
      </c>
      <c r="I957" t="s">
        <v>556</v>
      </c>
      <c r="J957" t="s">
        <v>91</v>
      </c>
      <c r="K957" t="s">
        <v>195</v>
      </c>
      <c r="L957" s="17">
        <v>0</v>
      </c>
      <c r="M957" s="28"/>
    </row>
    <row r="958" spans="1:13" s="25" customFormat="1" x14ac:dyDescent="0.2">
      <c r="A958">
        <f t="shared" si="14"/>
        <v>952</v>
      </c>
      <c r="B958">
        <v>2016</v>
      </c>
      <c r="C958" t="s">
        <v>172</v>
      </c>
      <c r="D958" t="s">
        <v>577</v>
      </c>
      <c r="E958" s="65">
        <v>5400</v>
      </c>
      <c r="F958" s="33"/>
      <c r="G958" t="s">
        <v>1202</v>
      </c>
      <c r="H958" t="s">
        <v>150</v>
      </c>
      <c r="I958" t="s">
        <v>556</v>
      </c>
      <c r="J958" t="s">
        <v>131</v>
      </c>
      <c r="K958" t="s">
        <v>131</v>
      </c>
      <c r="L958" s="17">
        <v>0</v>
      </c>
      <c r="M958" s="28"/>
    </row>
    <row r="959" spans="1:13" s="25" customFormat="1" x14ac:dyDescent="0.2">
      <c r="A959">
        <f t="shared" si="14"/>
        <v>953</v>
      </c>
      <c r="B959">
        <v>2016</v>
      </c>
      <c r="C959" t="s">
        <v>172</v>
      </c>
      <c r="D959" t="s">
        <v>373</v>
      </c>
      <c r="E959" s="65">
        <v>1200</v>
      </c>
      <c r="F959" s="33"/>
      <c r="G959" t="s">
        <v>1118</v>
      </c>
      <c r="H959" t="s">
        <v>154</v>
      </c>
      <c r="I959" t="s">
        <v>250</v>
      </c>
      <c r="J959" t="s">
        <v>56</v>
      </c>
      <c r="K959" t="s">
        <v>195</v>
      </c>
      <c r="L959" s="17">
        <v>0</v>
      </c>
      <c r="M959" s="28"/>
    </row>
    <row r="960" spans="1:13" s="25" customFormat="1" x14ac:dyDescent="0.2">
      <c r="A960">
        <f t="shared" si="14"/>
        <v>954</v>
      </c>
      <c r="B960">
        <v>2016</v>
      </c>
      <c r="C960" t="s">
        <v>172</v>
      </c>
      <c r="D960" t="s">
        <v>880</v>
      </c>
      <c r="E960" s="65">
        <v>140</v>
      </c>
      <c r="F960" s="33">
        <v>0.3</v>
      </c>
      <c r="H960" t="s">
        <v>151</v>
      </c>
      <c r="I960" t="s">
        <v>224</v>
      </c>
      <c r="J960" t="s">
        <v>131</v>
      </c>
      <c r="K960" t="s">
        <v>131</v>
      </c>
      <c r="L960" s="17">
        <v>0</v>
      </c>
      <c r="M960" s="28"/>
    </row>
    <row r="961" spans="1:13" s="25" customFormat="1" x14ac:dyDescent="0.2">
      <c r="A961">
        <f t="shared" si="14"/>
        <v>955</v>
      </c>
      <c r="B961">
        <v>2016</v>
      </c>
      <c r="C961" t="s">
        <v>172</v>
      </c>
      <c r="D961" t="s">
        <v>246</v>
      </c>
      <c r="E961" s="65">
        <v>3660</v>
      </c>
      <c r="F961" s="33"/>
      <c r="H961" t="s">
        <v>144</v>
      </c>
      <c r="I961" t="s">
        <v>197</v>
      </c>
      <c r="J961" t="s">
        <v>19</v>
      </c>
      <c r="K961" t="s">
        <v>205</v>
      </c>
      <c r="L961" s="17">
        <v>0</v>
      </c>
      <c r="M961" s="28"/>
    </row>
    <row r="962" spans="1:13" s="25" customFormat="1" x14ac:dyDescent="0.2">
      <c r="A962">
        <f t="shared" si="14"/>
        <v>956</v>
      </c>
      <c r="B962">
        <v>2016</v>
      </c>
      <c r="C962" t="s">
        <v>172</v>
      </c>
      <c r="D962" t="s">
        <v>1203</v>
      </c>
      <c r="E962" s="65">
        <v>210</v>
      </c>
      <c r="F962" s="33">
        <v>1</v>
      </c>
      <c r="H962" t="s">
        <v>151</v>
      </c>
      <c r="I962" t="s">
        <v>279</v>
      </c>
      <c r="J962" t="s">
        <v>72</v>
      </c>
      <c r="K962" t="s">
        <v>183</v>
      </c>
      <c r="L962" s="17">
        <v>1</v>
      </c>
      <c r="M962" s="28" t="s">
        <v>178</v>
      </c>
    </row>
    <row r="963" spans="1:13" s="25" customFormat="1" x14ac:dyDescent="0.2">
      <c r="A963">
        <f t="shared" si="14"/>
        <v>957</v>
      </c>
      <c r="B963">
        <v>2016</v>
      </c>
      <c r="C963" t="s">
        <v>172</v>
      </c>
      <c r="D963" t="s">
        <v>875</v>
      </c>
      <c r="E963" s="65">
        <v>390</v>
      </c>
      <c r="F963" s="33">
        <v>0.2</v>
      </c>
      <c r="G963" t="s">
        <v>1204</v>
      </c>
      <c r="H963" t="s">
        <v>144</v>
      </c>
      <c r="I963" t="s">
        <v>197</v>
      </c>
      <c r="J963" t="s">
        <v>93</v>
      </c>
      <c r="K963" t="s">
        <v>201</v>
      </c>
      <c r="L963" s="17">
        <v>1</v>
      </c>
      <c r="M963" s="28"/>
    </row>
    <row r="964" spans="1:13" s="25" customFormat="1" x14ac:dyDescent="0.2">
      <c r="A964">
        <f t="shared" si="14"/>
        <v>958</v>
      </c>
      <c r="B964">
        <v>2016</v>
      </c>
      <c r="C964" t="s">
        <v>172</v>
      </c>
      <c r="D964" t="s">
        <v>414</v>
      </c>
      <c r="E964" s="65">
        <v>300</v>
      </c>
      <c r="F964" s="33">
        <v>1</v>
      </c>
      <c r="H964" t="s">
        <v>154</v>
      </c>
      <c r="I964" t="s">
        <v>194</v>
      </c>
      <c r="J964" t="s">
        <v>52</v>
      </c>
      <c r="K964" t="s">
        <v>201</v>
      </c>
      <c r="L964" s="17">
        <v>0</v>
      </c>
      <c r="M964" s="28" t="s">
        <v>178</v>
      </c>
    </row>
    <row r="965" spans="1:13" s="25" customFormat="1" x14ac:dyDescent="0.2">
      <c r="A965">
        <f t="shared" si="14"/>
        <v>959</v>
      </c>
      <c r="B965">
        <v>2016</v>
      </c>
      <c r="C965" t="s">
        <v>172</v>
      </c>
      <c r="D965" t="s">
        <v>255</v>
      </c>
      <c r="E965" s="65">
        <v>300</v>
      </c>
      <c r="F965" s="33"/>
      <c r="H965" t="s">
        <v>152</v>
      </c>
      <c r="I965" t="s">
        <v>257</v>
      </c>
      <c r="J965" t="s">
        <v>93</v>
      </c>
      <c r="K965" t="s">
        <v>201</v>
      </c>
      <c r="L965" s="17">
        <v>1</v>
      </c>
      <c r="M965" s="28"/>
    </row>
    <row r="966" spans="1:13" s="25" customFormat="1" x14ac:dyDescent="0.2">
      <c r="A966">
        <f t="shared" si="14"/>
        <v>960</v>
      </c>
      <c r="B966">
        <v>2016</v>
      </c>
      <c r="C966" t="s">
        <v>258</v>
      </c>
      <c r="D966" t="s">
        <v>547</v>
      </c>
      <c r="E966" s="65">
        <v>920</v>
      </c>
      <c r="F966" s="33">
        <v>1</v>
      </c>
      <c r="G966" t="s">
        <v>1205</v>
      </c>
      <c r="H966" t="s">
        <v>154</v>
      </c>
      <c r="I966" t="s">
        <v>194</v>
      </c>
      <c r="J966" t="s">
        <v>131</v>
      </c>
      <c r="K966" t="s">
        <v>131</v>
      </c>
      <c r="L966" s="17">
        <v>0</v>
      </c>
      <c r="M966" s="28"/>
    </row>
    <row r="967" spans="1:13" s="25" customFormat="1" x14ac:dyDescent="0.2">
      <c r="A967">
        <f t="shared" ref="A967:A1030" si="15">ROW()-6</f>
        <v>961</v>
      </c>
      <c r="B967">
        <v>2016</v>
      </c>
      <c r="C967" t="s">
        <v>258</v>
      </c>
      <c r="D967" t="s">
        <v>547</v>
      </c>
      <c r="E967" s="65">
        <v>200</v>
      </c>
      <c r="F967" s="33">
        <v>1</v>
      </c>
      <c r="G967" t="s">
        <v>1206</v>
      </c>
      <c r="H967" t="s">
        <v>154</v>
      </c>
      <c r="I967" t="s">
        <v>194</v>
      </c>
      <c r="J967" t="s">
        <v>45</v>
      </c>
      <c r="K967" t="s">
        <v>195</v>
      </c>
      <c r="L967" s="17">
        <v>0</v>
      </c>
      <c r="M967" s="28"/>
    </row>
    <row r="968" spans="1:13" s="25" customFormat="1" x14ac:dyDescent="0.2">
      <c r="A968">
        <f t="shared" si="15"/>
        <v>962</v>
      </c>
      <c r="B968">
        <v>2016</v>
      </c>
      <c r="C968" t="s">
        <v>258</v>
      </c>
      <c r="D968" t="s">
        <v>756</v>
      </c>
      <c r="E968" s="65">
        <v>1590</v>
      </c>
      <c r="F968" s="33">
        <v>1</v>
      </c>
      <c r="G968" t="s">
        <v>1207</v>
      </c>
      <c r="H968" t="s">
        <v>144</v>
      </c>
      <c r="I968" t="s">
        <v>232</v>
      </c>
      <c r="J968" t="s">
        <v>45</v>
      </c>
      <c r="K968" t="s">
        <v>195</v>
      </c>
      <c r="L968" s="17">
        <v>0</v>
      </c>
      <c r="M968" s="28"/>
    </row>
    <row r="969" spans="1:13" s="25" customFormat="1" x14ac:dyDescent="0.2">
      <c r="A969">
        <f t="shared" si="15"/>
        <v>963</v>
      </c>
      <c r="B969">
        <v>2016</v>
      </c>
      <c r="C969" t="s">
        <v>258</v>
      </c>
      <c r="D969" t="s">
        <v>1208</v>
      </c>
      <c r="E969" s="65">
        <v>220</v>
      </c>
      <c r="F969" s="33"/>
      <c r="G969" t="s">
        <v>1209</v>
      </c>
      <c r="H969" t="s">
        <v>155</v>
      </c>
      <c r="J969" t="s">
        <v>45</v>
      </c>
      <c r="K969" t="s">
        <v>195</v>
      </c>
      <c r="L969" s="17">
        <v>0</v>
      </c>
      <c r="M969" s="28"/>
    </row>
    <row r="970" spans="1:13" s="25" customFormat="1" x14ac:dyDescent="0.2">
      <c r="A970">
        <f t="shared" si="15"/>
        <v>964</v>
      </c>
      <c r="B970">
        <v>2016</v>
      </c>
      <c r="C970" t="s">
        <v>258</v>
      </c>
      <c r="D970" t="s">
        <v>822</v>
      </c>
      <c r="E970" s="65">
        <v>130</v>
      </c>
      <c r="F970" s="33">
        <v>0.06</v>
      </c>
      <c r="G970" t="s">
        <v>1210</v>
      </c>
      <c r="H970" t="s">
        <v>150</v>
      </c>
      <c r="I970" t="s">
        <v>556</v>
      </c>
      <c r="J970" t="s">
        <v>131</v>
      </c>
      <c r="K970" t="s">
        <v>131</v>
      </c>
      <c r="L970" s="17">
        <v>0</v>
      </c>
      <c r="M970" s="28"/>
    </row>
    <row r="971" spans="1:13" s="25" customFormat="1" x14ac:dyDescent="0.2">
      <c r="A971">
        <f t="shared" si="15"/>
        <v>965</v>
      </c>
      <c r="B971">
        <v>2016</v>
      </c>
      <c r="C971" t="s">
        <v>258</v>
      </c>
      <c r="D971" t="s">
        <v>1211</v>
      </c>
      <c r="E971" s="65">
        <v>250</v>
      </c>
      <c r="F971" s="33"/>
      <c r="G971" t="s">
        <v>1212</v>
      </c>
      <c r="H971" t="s">
        <v>145</v>
      </c>
      <c r="J971" t="s">
        <v>131</v>
      </c>
      <c r="K971" t="s">
        <v>131</v>
      </c>
      <c r="L971" s="17">
        <v>0</v>
      </c>
      <c r="M971" s="28"/>
    </row>
    <row r="972" spans="1:13" s="25" customFormat="1" x14ac:dyDescent="0.2">
      <c r="A972">
        <f t="shared" si="15"/>
        <v>966</v>
      </c>
      <c r="B972">
        <v>2016</v>
      </c>
      <c r="C972" t="s">
        <v>258</v>
      </c>
      <c r="D972" t="s">
        <v>418</v>
      </c>
      <c r="E972" s="65">
        <v>450</v>
      </c>
      <c r="F972" s="33">
        <v>0.06</v>
      </c>
      <c r="G972" t="s">
        <v>1192</v>
      </c>
      <c r="H972" t="s">
        <v>153</v>
      </c>
      <c r="J972" t="s">
        <v>42</v>
      </c>
      <c r="K972" t="s">
        <v>195</v>
      </c>
      <c r="L972" s="17">
        <v>0</v>
      </c>
      <c r="M972" s="28"/>
    </row>
    <row r="973" spans="1:13" s="25" customFormat="1" x14ac:dyDescent="0.2">
      <c r="A973">
        <f t="shared" si="15"/>
        <v>967</v>
      </c>
      <c r="B973">
        <v>2016</v>
      </c>
      <c r="C973" t="s">
        <v>258</v>
      </c>
      <c r="D973" t="s">
        <v>581</v>
      </c>
      <c r="E973" s="65">
        <v>140</v>
      </c>
      <c r="F973" s="33">
        <v>4.8000000000000001E-2</v>
      </c>
      <c r="G973" t="s">
        <v>1112</v>
      </c>
      <c r="H973" t="s">
        <v>152</v>
      </c>
      <c r="J973" t="s">
        <v>45</v>
      </c>
      <c r="K973" t="s">
        <v>195</v>
      </c>
      <c r="L973" s="17">
        <v>0</v>
      </c>
      <c r="M973" s="28"/>
    </row>
    <row r="974" spans="1:13" s="25" customFormat="1" x14ac:dyDescent="0.2">
      <c r="A974">
        <f t="shared" si="15"/>
        <v>968</v>
      </c>
      <c r="B974">
        <v>2016</v>
      </c>
      <c r="C974" t="s">
        <v>258</v>
      </c>
      <c r="D974" t="s">
        <v>373</v>
      </c>
      <c r="E974" s="65">
        <v>6000</v>
      </c>
      <c r="F974" s="33">
        <v>1</v>
      </c>
      <c r="G974" t="s">
        <v>1213</v>
      </c>
      <c r="H974" t="s">
        <v>152</v>
      </c>
      <c r="J974" t="s">
        <v>131</v>
      </c>
      <c r="K974" t="s">
        <v>131</v>
      </c>
      <c r="L974" s="17">
        <v>0</v>
      </c>
      <c r="M974" s="28"/>
    </row>
    <row r="975" spans="1:13" s="25" customFormat="1" x14ac:dyDescent="0.2">
      <c r="A975">
        <f t="shared" si="15"/>
        <v>969</v>
      </c>
      <c r="B975">
        <v>2016</v>
      </c>
      <c r="C975" t="s">
        <v>258</v>
      </c>
      <c r="D975" t="s">
        <v>278</v>
      </c>
      <c r="E975" s="65">
        <v>100</v>
      </c>
      <c r="F975" s="33">
        <v>1</v>
      </c>
      <c r="H975" t="s">
        <v>151</v>
      </c>
      <c r="I975" t="s">
        <v>279</v>
      </c>
      <c r="J975" t="s">
        <v>52</v>
      </c>
      <c r="K975" t="s">
        <v>201</v>
      </c>
      <c r="L975" s="17">
        <v>0</v>
      </c>
      <c r="M975" s="28" t="s">
        <v>178</v>
      </c>
    </row>
    <row r="976" spans="1:13" s="25" customFormat="1" x14ac:dyDescent="0.2">
      <c r="A976">
        <f t="shared" si="15"/>
        <v>970</v>
      </c>
      <c r="B976">
        <v>2016</v>
      </c>
      <c r="C976" t="s">
        <v>258</v>
      </c>
      <c r="D976" t="s">
        <v>1089</v>
      </c>
      <c r="E976" s="65">
        <v>560</v>
      </c>
      <c r="F976" s="33">
        <v>1</v>
      </c>
      <c r="G976" t="s">
        <v>1214</v>
      </c>
      <c r="H976" t="s">
        <v>144</v>
      </c>
      <c r="J976" t="s">
        <v>25</v>
      </c>
      <c r="K976" t="s">
        <v>177</v>
      </c>
      <c r="L976" s="17">
        <v>0</v>
      </c>
      <c r="M976" s="28"/>
    </row>
    <row r="977" spans="1:13" s="25" customFormat="1" x14ac:dyDescent="0.2">
      <c r="A977">
        <f t="shared" si="15"/>
        <v>971</v>
      </c>
      <c r="B977">
        <v>2016</v>
      </c>
      <c r="C977" t="s">
        <v>258</v>
      </c>
      <c r="D977" t="s">
        <v>1215</v>
      </c>
      <c r="E977" s="65">
        <v>100</v>
      </c>
      <c r="F977" s="33"/>
      <c r="G977" t="s">
        <v>1216</v>
      </c>
      <c r="H977" t="s">
        <v>145</v>
      </c>
      <c r="J977" t="s">
        <v>131</v>
      </c>
      <c r="K977" t="s">
        <v>131</v>
      </c>
      <c r="L977" s="17">
        <v>0</v>
      </c>
      <c r="M977" s="28"/>
    </row>
    <row r="978" spans="1:13" s="25" customFormat="1" x14ac:dyDescent="0.2">
      <c r="A978">
        <f t="shared" si="15"/>
        <v>972</v>
      </c>
      <c r="B978">
        <v>2016</v>
      </c>
      <c r="C978" t="s">
        <v>258</v>
      </c>
      <c r="D978" t="s">
        <v>474</v>
      </c>
      <c r="E978" s="65">
        <v>260</v>
      </c>
      <c r="F978" s="33">
        <v>1</v>
      </c>
      <c r="G978" t="s">
        <v>1217</v>
      </c>
      <c r="H978" t="s">
        <v>144</v>
      </c>
      <c r="I978" t="s">
        <v>232</v>
      </c>
      <c r="J978" t="s">
        <v>20</v>
      </c>
      <c r="K978" t="s">
        <v>195</v>
      </c>
      <c r="L978" s="17">
        <v>0</v>
      </c>
      <c r="M978" s="28"/>
    </row>
    <row r="979" spans="1:13" s="25" customFormat="1" x14ac:dyDescent="0.2">
      <c r="A979">
        <f t="shared" si="15"/>
        <v>973</v>
      </c>
      <c r="B979">
        <v>2016</v>
      </c>
      <c r="C979" t="s">
        <v>258</v>
      </c>
      <c r="D979" t="s">
        <v>822</v>
      </c>
      <c r="E979" s="65">
        <v>160</v>
      </c>
      <c r="F979" s="33"/>
      <c r="G979" t="s">
        <v>1218</v>
      </c>
      <c r="H979" t="s">
        <v>145</v>
      </c>
      <c r="J979" t="s">
        <v>131</v>
      </c>
      <c r="K979" t="s">
        <v>131</v>
      </c>
      <c r="L979" s="17">
        <v>0</v>
      </c>
      <c r="M979" s="28"/>
    </row>
    <row r="980" spans="1:13" s="25" customFormat="1" ht="14.25" customHeight="1" x14ac:dyDescent="0.2">
      <c r="A980">
        <f t="shared" si="15"/>
        <v>974</v>
      </c>
      <c r="B980">
        <v>2016</v>
      </c>
      <c r="C980" t="s">
        <v>258</v>
      </c>
      <c r="D980" t="s">
        <v>1219</v>
      </c>
      <c r="E980" s="65">
        <v>140</v>
      </c>
      <c r="F980" s="33">
        <v>1</v>
      </c>
      <c r="H980" t="s">
        <v>154</v>
      </c>
      <c r="I980" t="s">
        <v>194</v>
      </c>
      <c r="J980" t="s">
        <v>101</v>
      </c>
      <c r="K980" t="s">
        <v>201</v>
      </c>
      <c r="L980" s="17">
        <v>1</v>
      </c>
      <c r="M980" s="28" t="s">
        <v>178</v>
      </c>
    </row>
    <row r="981" spans="1:13" s="25" customFormat="1" x14ac:dyDescent="0.2">
      <c r="A981">
        <f t="shared" si="15"/>
        <v>975</v>
      </c>
      <c r="B981">
        <v>2016</v>
      </c>
      <c r="C981" t="s">
        <v>179</v>
      </c>
      <c r="D981" t="s">
        <v>880</v>
      </c>
      <c r="E981" s="65">
        <v>570</v>
      </c>
      <c r="F981" s="33">
        <v>0.7</v>
      </c>
      <c r="G981" t="s">
        <v>1220</v>
      </c>
      <c r="H981" t="s">
        <v>153</v>
      </c>
      <c r="J981" t="s">
        <v>131</v>
      </c>
      <c r="K981" t="s">
        <v>131</v>
      </c>
      <c r="L981" s="17">
        <v>0</v>
      </c>
      <c r="M981" s="28"/>
    </row>
    <row r="982" spans="1:13" s="25" customFormat="1" x14ac:dyDescent="0.2">
      <c r="A982">
        <f t="shared" si="15"/>
        <v>976</v>
      </c>
      <c r="B982">
        <v>2016</v>
      </c>
      <c r="C982" t="s">
        <v>179</v>
      </c>
      <c r="D982" t="s">
        <v>581</v>
      </c>
      <c r="E982" s="65">
        <v>470</v>
      </c>
      <c r="F982" s="33">
        <v>0.8</v>
      </c>
      <c r="G982" t="s">
        <v>1221</v>
      </c>
      <c r="H982" t="s">
        <v>150</v>
      </c>
      <c r="I982" t="s">
        <v>556</v>
      </c>
      <c r="J982" t="s">
        <v>61</v>
      </c>
      <c r="K982" t="s">
        <v>183</v>
      </c>
      <c r="L982" s="17">
        <v>0</v>
      </c>
      <c r="M982" s="28"/>
    </row>
    <row r="983" spans="1:13" s="25" customFormat="1" x14ac:dyDescent="0.2">
      <c r="A983">
        <f t="shared" si="15"/>
        <v>977</v>
      </c>
      <c r="B983">
        <v>2016</v>
      </c>
      <c r="C983" t="s">
        <v>179</v>
      </c>
      <c r="D983" t="s">
        <v>373</v>
      </c>
      <c r="E983" s="65">
        <v>420</v>
      </c>
      <c r="F983" s="33">
        <v>0.9</v>
      </c>
      <c r="G983" t="s">
        <v>1222</v>
      </c>
      <c r="H983" t="s">
        <v>151</v>
      </c>
      <c r="I983" t="s">
        <v>224</v>
      </c>
      <c r="J983" t="s">
        <v>131</v>
      </c>
      <c r="K983" t="s">
        <v>131</v>
      </c>
      <c r="L983" s="17">
        <v>0</v>
      </c>
      <c r="M983" s="28"/>
    </row>
    <row r="984" spans="1:13" s="25" customFormat="1" x14ac:dyDescent="0.2">
      <c r="A984">
        <f t="shared" si="15"/>
        <v>978</v>
      </c>
      <c r="B984">
        <v>2016</v>
      </c>
      <c r="C984" t="s">
        <v>179</v>
      </c>
      <c r="D984" t="s">
        <v>1223</v>
      </c>
      <c r="E984" s="65">
        <v>500</v>
      </c>
      <c r="F984" s="33"/>
      <c r="G984" t="s">
        <v>1224</v>
      </c>
      <c r="H984" t="s">
        <v>145</v>
      </c>
      <c r="J984" t="s">
        <v>131</v>
      </c>
      <c r="K984" t="s">
        <v>131</v>
      </c>
      <c r="L984" s="17">
        <v>0</v>
      </c>
      <c r="M984" s="28"/>
    </row>
    <row r="985" spans="1:13" s="25" customFormat="1" x14ac:dyDescent="0.2">
      <c r="A985">
        <f t="shared" si="15"/>
        <v>979</v>
      </c>
      <c r="B985">
        <v>2016</v>
      </c>
      <c r="C985" t="s">
        <v>179</v>
      </c>
      <c r="D985" t="s">
        <v>564</v>
      </c>
      <c r="E985" s="65">
        <v>250</v>
      </c>
      <c r="F985" s="33"/>
      <c r="H985" t="s">
        <v>154</v>
      </c>
      <c r="I985" t="s">
        <v>194</v>
      </c>
      <c r="J985" t="s">
        <v>131</v>
      </c>
      <c r="K985" t="s">
        <v>131</v>
      </c>
      <c r="L985" s="17">
        <v>0</v>
      </c>
      <c r="M985" s="28"/>
    </row>
    <row r="986" spans="1:13" s="25" customFormat="1" x14ac:dyDescent="0.2">
      <c r="A986">
        <f t="shared" si="15"/>
        <v>980</v>
      </c>
      <c r="B986">
        <v>2016</v>
      </c>
      <c r="C986" t="s">
        <v>179</v>
      </c>
      <c r="D986" t="s">
        <v>554</v>
      </c>
      <c r="E986" s="65">
        <v>430</v>
      </c>
      <c r="F986" s="33"/>
      <c r="H986" t="s">
        <v>151</v>
      </c>
      <c r="I986" t="s">
        <v>224</v>
      </c>
      <c r="J986" t="s">
        <v>20</v>
      </c>
      <c r="K986" t="s">
        <v>195</v>
      </c>
      <c r="L986" s="17">
        <v>0</v>
      </c>
      <c r="M986" s="28"/>
    </row>
    <row r="987" spans="1:13" s="25" customFormat="1" x14ac:dyDescent="0.2">
      <c r="A987">
        <f t="shared" si="15"/>
        <v>981</v>
      </c>
      <c r="B987">
        <v>2016</v>
      </c>
      <c r="C987" t="s">
        <v>179</v>
      </c>
      <c r="D987" t="s">
        <v>877</v>
      </c>
      <c r="E987" s="65">
        <v>440</v>
      </c>
      <c r="F987" s="33">
        <v>1</v>
      </c>
      <c r="G987" t="s">
        <v>1225</v>
      </c>
      <c r="H987" t="s">
        <v>144</v>
      </c>
      <c r="I987" t="s">
        <v>187</v>
      </c>
      <c r="J987" t="s">
        <v>25</v>
      </c>
      <c r="K987" t="s">
        <v>177</v>
      </c>
      <c r="L987" s="17">
        <v>0</v>
      </c>
      <c r="M987" s="28"/>
    </row>
    <row r="988" spans="1:13" s="25" customFormat="1" x14ac:dyDescent="0.2">
      <c r="A988">
        <f t="shared" si="15"/>
        <v>982</v>
      </c>
      <c r="B988">
        <v>2016</v>
      </c>
      <c r="C988" t="s">
        <v>179</v>
      </c>
      <c r="D988" t="s">
        <v>698</v>
      </c>
      <c r="E988" s="65">
        <v>1480</v>
      </c>
      <c r="F988" s="33">
        <v>0.7</v>
      </c>
      <c r="G988" t="s">
        <v>1226</v>
      </c>
      <c r="H988" t="s">
        <v>150</v>
      </c>
      <c r="I988" t="s">
        <v>292</v>
      </c>
      <c r="J988" t="s">
        <v>42</v>
      </c>
      <c r="K988" t="s">
        <v>195</v>
      </c>
      <c r="L988" s="17">
        <v>0</v>
      </c>
      <c r="M988" s="28"/>
    </row>
    <row r="989" spans="1:13" s="25" customFormat="1" x14ac:dyDescent="0.2">
      <c r="A989">
        <f t="shared" si="15"/>
        <v>983</v>
      </c>
      <c r="B989">
        <v>2016</v>
      </c>
      <c r="C989" t="s">
        <v>179</v>
      </c>
      <c r="D989" t="s">
        <v>1110</v>
      </c>
      <c r="E989" s="65">
        <v>130</v>
      </c>
      <c r="F989" s="33">
        <v>0.11</v>
      </c>
      <c r="G989" t="s">
        <v>1227</v>
      </c>
      <c r="H989" t="s">
        <v>147</v>
      </c>
      <c r="J989" t="s">
        <v>9</v>
      </c>
      <c r="K989" t="s">
        <v>9</v>
      </c>
      <c r="L989" s="17">
        <v>0</v>
      </c>
      <c r="M989" s="28"/>
    </row>
    <row r="990" spans="1:13" s="25" customFormat="1" x14ac:dyDescent="0.2">
      <c r="A990">
        <f t="shared" si="15"/>
        <v>984</v>
      </c>
      <c r="B990">
        <v>2016</v>
      </c>
      <c r="C990" t="s">
        <v>179</v>
      </c>
      <c r="D990" t="s">
        <v>927</v>
      </c>
      <c r="E990" s="65">
        <v>110</v>
      </c>
      <c r="F990" s="33">
        <v>0.9</v>
      </c>
      <c r="G990" t="s">
        <v>1228</v>
      </c>
      <c r="H990" t="s">
        <v>142</v>
      </c>
      <c r="J990" t="s">
        <v>9</v>
      </c>
      <c r="K990" t="s">
        <v>9</v>
      </c>
      <c r="L990" s="17">
        <v>0</v>
      </c>
      <c r="M990" s="28"/>
    </row>
    <row r="991" spans="1:13" s="25" customFormat="1" x14ac:dyDescent="0.2">
      <c r="A991">
        <f t="shared" si="15"/>
        <v>985</v>
      </c>
      <c r="B991">
        <v>2016</v>
      </c>
      <c r="C991" t="s">
        <v>179</v>
      </c>
      <c r="D991" t="s">
        <v>1189</v>
      </c>
      <c r="E991" s="65">
        <v>120</v>
      </c>
      <c r="F991" s="33"/>
      <c r="G991" t="s">
        <v>1229</v>
      </c>
      <c r="H991" t="s">
        <v>152</v>
      </c>
      <c r="J991" t="s">
        <v>9</v>
      </c>
      <c r="K991" t="s">
        <v>9</v>
      </c>
      <c r="L991" s="17">
        <v>0</v>
      </c>
      <c r="M991" s="28"/>
    </row>
    <row r="992" spans="1:13" s="25" customFormat="1" x14ac:dyDescent="0.2">
      <c r="A992">
        <f t="shared" si="15"/>
        <v>986</v>
      </c>
      <c r="B992">
        <v>2016</v>
      </c>
      <c r="C992" t="s">
        <v>179</v>
      </c>
      <c r="D992" t="s">
        <v>1180</v>
      </c>
      <c r="E992" s="65">
        <v>230</v>
      </c>
      <c r="F992" s="33">
        <v>1</v>
      </c>
      <c r="G992" t="s">
        <v>1230</v>
      </c>
      <c r="H992" t="s">
        <v>144</v>
      </c>
      <c r="I992" t="s">
        <v>232</v>
      </c>
      <c r="J992" t="s">
        <v>9</v>
      </c>
      <c r="K992" t="s">
        <v>9</v>
      </c>
      <c r="L992" s="17">
        <v>0</v>
      </c>
      <c r="M992" s="28"/>
    </row>
    <row r="993" spans="1:13" s="25" customFormat="1" x14ac:dyDescent="0.2">
      <c r="A993">
        <f t="shared" si="15"/>
        <v>987</v>
      </c>
      <c r="B993">
        <v>2016</v>
      </c>
      <c r="C993" t="s">
        <v>179</v>
      </c>
      <c r="D993" t="s">
        <v>1231</v>
      </c>
      <c r="E993" s="65">
        <v>750</v>
      </c>
      <c r="F993" s="33">
        <v>0.12</v>
      </c>
      <c r="G993" t="s">
        <v>1232</v>
      </c>
      <c r="H993" t="s">
        <v>144</v>
      </c>
      <c r="I993" t="s">
        <v>299</v>
      </c>
      <c r="J993" t="s">
        <v>9</v>
      </c>
      <c r="K993" t="s">
        <v>9</v>
      </c>
      <c r="L993" s="17">
        <v>0</v>
      </c>
      <c r="M993" s="28"/>
    </row>
    <row r="994" spans="1:13" s="25" customFormat="1" x14ac:dyDescent="0.2">
      <c r="A994">
        <f t="shared" si="15"/>
        <v>988</v>
      </c>
      <c r="B994">
        <v>2016</v>
      </c>
      <c r="C994" t="s">
        <v>179</v>
      </c>
      <c r="D994" t="s">
        <v>263</v>
      </c>
      <c r="E994" s="65">
        <v>610</v>
      </c>
      <c r="F994" s="33">
        <v>0.16</v>
      </c>
      <c r="G994" t="s">
        <v>1233</v>
      </c>
      <c r="H994" t="s">
        <v>154</v>
      </c>
      <c r="I994" t="s">
        <v>529</v>
      </c>
      <c r="J994" t="s">
        <v>9</v>
      </c>
      <c r="K994" t="s">
        <v>9</v>
      </c>
      <c r="L994" s="17">
        <v>0</v>
      </c>
      <c r="M994" s="28"/>
    </row>
    <row r="995" spans="1:13" s="25" customFormat="1" x14ac:dyDescent="0.2">
      <c r="A995">
        <f t="shared" si="15"/>
        <v>989</v>
      </c>
      <c r="B995">
        <v>2016</v>
      </c>
      <c r="C995" t="s">
        <v>179</v>
      </c>
      <c r="D995" t="s">
        <v>1234</v>
      </c>
      <c r="E995" s="65">
        <v>990</v>
      </c>
      <c r="F995" s="33">
        <v>0.5</v>
      </c>
      <c r="G995" t="s">
        <v>1235</v>
      </c>
      <c r="H995" t="s">
        <v>144</v>
      </c>
      <c r="I995" t="s">
        <v>273</v>
      </c>
      <c r="J995" t="s">
        <v>13</v>
      </c>
      <c r="K995" t="s">
        <v>201</v>
      </c>
      <c r="L995" s="17">
        <v>1</v>
      </c>
      <c r="M995" s="28" t="s">
        <v>178</v>
      </c>
    </row>
    <row r="996" spans="1:13" s="25" customFormat="1" x14ac:dyDescent="0.2">
      <c r="A996">
        <f t="shared" si="15"/>
        <v>990</v>
      </c>
      <c r="B996">
        <v>2016</v>
      </c>
      <c r="C996" t="s">
        <v>179</v>
      </c>
      <c r="D996" t="s">
        <v>397</v>
      </c>
      <c r="E996" s="65">
        <v>690</v>
      </c>
      <c r="F996" s="33"/>
      <c r="H996" t="s">
        <v>151</v>
      </c>
      <c r="I996" t="s">
        <v>224</v>
      </c>
      <c r="J996" t="s">
        <v>131</v>
      </c>
      <c r="K996" t="s">
        <v>131</v>
      </c>
      <c r="L996" s="17">
        <v>0</v>
      </c>
      <c r="M996" s="28" t="s">
        <v>178</v>
      </c>
    </row>
    <row r="997" spans="1:13" s="25" customFormat="1" x14ac:dyDescent="0.2">
      <c r="A997">
        <f t="shared" si="15"/>
        <v>991</v>
      </c>
      <c r="B997">
        <v>2016</v>
      </c>
      <c r="C997" t="s">
        <v>179</v>
      </c>
      <c r="D997" t="s">
        <v>962</v>
      </c>
      <c r="E997" s="65">
        <v>5520</v>
      </c>
      <c r="F997" s="33"/>
      <c r="G997" t="s">
        <v>264</v>
      </c>
      <c r="H997" t="s">
        <v>153</v>
      </c>
      <c r="J997" t="s">
        <v>131</v>
      </c>
      <c r="K997" t="s">
        <v>131</v>
      </c>
      <c r="L997" s="17">
        <v>0</v>
      </c>
      <c r="M997" s="28"/>
    </row>
    <row r="998" spans="1:13" s="25" customFormat="1" x14ac:dyDescent="0.2">
      <c r="A998">
        <f t="shared" si="15"/>
        <v>992</v>
      </c>
      <c r="B998">
        <v>2016</v>
      </c>
      <c r="C998" t="s">
        <v>179</v>
      </c>
      <c r="D998" t="s">
        <v>1236</v>
      </c>
      <c r="E998" s="65">
        <v>280</v>
      </c>
      <c r="F998" s="33">
        <v>0.5</v>
      </c>
      <c r="G998" t="s">
        <v>1237</v>
      </c>
      <c r="H998" t="s">
        <v>147</v>
      </c>
      <c r="J998" t="s">
        <v>131</v>
      </c>
      <c r="K998" t="s">
        <v>131</v>
      </c>
      <c r="L998" s="17">
        <v>0</v>
      </c>
      <c r="M998" s="28"/>
    </row>
    <row r="999" spans="1:13" s="25" customFormat="1" x14ac:dyDescent="0.2">
      <c r="A999">
        <f t="shared" si="15"/>
        <v>993</v>
      </c>
      <c r="B999">
        <v>2016</v>
      </c>
      <c r="C999" t="s">
        <v>179</v>
      </c>
      <c r="D999" t="s">
        <v>313</v>
      </c>
      <c r="E999" s="65">
        <v>180</v>
      </c>
      <c r="F999" s="33">
        <v>0.55000000000000004</v>
      </c>
      <c r="G999" t="s">
        <v>1238</v>
      </c>
      <c r="H999" t="s">
        <v>142</v>
      </c>
      <c r="J999" t="s">
        <v>108</v>
      </c>
      <c r="K999" t="s">
        <v>183</v>
      </c>
      <c r="L999" s="17">
        <v>1</v>
      </c>
      <c r="M999" s="28"/>
    </row>
    <row r="1000" spans="1:13" s="25" customFormat="1" x14ac:dyDescent="0.2">
      <c r="A1000">
        <f t="shared" si="15"/>
        <v>994</v>
      </c>
      <c r="B1000">
        <v>2016</v>
      </c>
      <c r="C1000" t="s">
        <v>179</v>
      </c>
      <c r="D1000" t="s">
        <v>913</v>
      </c>
      <c r="E1000" s="65">
        <v>160</v>
      </c>
      <c r="F1000" s="33"/>
      <c r="H1000" t="s">
        <v>154</v>
      </c>
      <c r="I1000" t="s">
        <v>194</v>
      </c>
      <c r="J1000" t="s">
        <v>131</v>
      </c>
      <c r="K1000" t="s">
        <v>131</v>
      </c>
      <c r="L1000" s="17">
        <v>0</v>
      </c>
      <c r="M1000" s="28" t="s">
        <v>178</v>
      </c>
    </row>
    <row r="1001" spans="1:13" s="25" customFormat="1" x14ac:dyDescent="0.2">
      <c r="A1001">
        <f t="shared" si="15"/>
        <v>995</v>
      </c>
      <c r="B1001">
        <v>2016</v>
      </c>
      <c r="C1001" t="s">
        <v>179</v>
      </c>
      <c r="D1001" t="s">
        <v>943</v>
      </c>
      <c r="E1001" s="65">
        <v>100</v>
      </c>
      <c r="F1001" s="33"/>
      <c r="H1001" t="s">
        <v>144</v>
      </c>
      <c r="I1001" t="s">
        <v>232</v>
      </c>
      <c r="J1001" t="s">
        <v>72</v>
      </c>
      <c r="K1001" t="s">
        <v>183</v>
      </c>
      <c r="L1001" s="17">
        <v>1</v>
      </c>
      <c r="M1001" s="28" t="s">
        <v>178</v>
      </c>
    </row>
    <row r="1002" spans="1:13" s="25" customFormat="1" x14ac:dyDescent="0.2">
      <c r="A1002">
        <f t="shared" si="15"/>
        <v>996</v>
      </c>
      <c r="B1002">
        <v>2016</v>
      </c>
      <c r="C1002" t="s">
        <v>184</v>
      </c>
      <c r="D1002" t="s">
        <v>1239</v>
      </c>
      <c r="E1002" s="65">
        <v>2100</v>
      </c>
      <c r="F1002" s="33">
        <v>0.7</v>
      </c>
      <c r="H1002" t="s">
        <v>144</v>
      </c>
      <c r="I1002" t="s">
        <v>187</v>
      </c>
      <c r="J1002" t="s">
        <v>82</v>
      </c>
      <c r="K1002" t="s">
        <v>183</v>
      </c>
      <c r="L1002" s="17">
        <v>1</v>
      </c>
      <c r="M1002" s="28"/>
    </row>
    <row r="1003" spans="1:13" s="25" customFormat="1" x14ac:dyDescent="0.2">
      <c r="A1003">
        <f t="shared" si="15"/>
        <v>997</v>
      </c>
      <c r="B1003">
        <v>2016</v>
      </c>
      <c r="C1003" t="s">
        <v>184</v>
      </c>
      <c r="D1003" t="s">
        <v>1240</v>
      </c>
      <c r="E1003" s="65">
        <v>190</v>
      </c>
      <c r="F1003" s="33">
        <v>1</v>
      </c>
      <c r="G1003" t="s">
        <v>1241</v>
      </c>
      <c r="H1003" t="s">
        <v>152</v>
      </c>
      <c r="J1003" t="s">
        <v>41</v>
      </c>
      <c r="K1003" t="s">
        <v>195</v>
      </c>
      <c r="L1003" s="17">
        <v>0</v>
      </c>
      <c r="M1003" s="28"/>
    </row>
    <row r="1004" spans="1:13" s="25" customFormat="1" x14ac:dyDescent="0.2">
      <c r="A1004">
        <f t="shared" si="15"/>
        <v>998</v>
      </c>
      <c r="B1004">
        <v>2016</v>
      </c>
      <c r="C1004" t="s">
        <v>184</v>
      </c>
      <c r="D1004" t="s">
        <v>307</v>
      </c>
      <c r="E1004" s="65">
        <v>110</v>
      </c>
      <c r="F1004" s="33"/>
      <c r="H1004" t="s">
        <v>144</v>
      </c>
      <c r="J1004" t="s">
        <v>19</v>
      </c>
      <c r="K1004" t="s">
        <v>205</v>
      </c>
      <c r="L1004" s="17">
        <v>0</v>
      </c>
      <c r="M1004" s="28"/>
    </row>
    <row r="1005" spans="1:13" s="25" customFormat="1" x14ac:dyDescent="0.2">
      <c r="A1005">
        <f t="shared" si="15"/>
        <v>999</v>
      </c>
      <c r="B1005">
        <v>2016</v>
      </c>
      <c r="C1005" t="s">
        <v>184</v>
      </c>
      <c r="D1005" t="s">
        <v>1242</v>
      </c>
      <c r="E1005" s="65">
        <v>350</v>
      </c>
      <c r="F1005" s="33">
        <v>1</v>
      </c>
      <c r="H1005" t="s">
        <v>150</v>
      </c>
      <c r="I1005" t="s">
        <v>292</v>
      </c>
      <c r="J1005" t="s">
        <v>40</v>
      </c>
      <c r="K1005" t="s">
        <v>219</v>
      </c>
      <c r="L1005" s="17">
        <v>1</v>
      </c>
      <c r="M1005" s="28" t="s">
        <v>178</v>
      </c>
    </row>
    <row r="1006" spans="1:13" s="25" customFormat="1" x14ac:dyDescent="0.2">
      <c r="A1006">
        <f t="shared" si="15"/>
        <v>1000</v>
      </c>
      <c r="B1006">
        <v>2016</v>
      </c>
      <c r="C1006" t="s">
        <v>184</v>
      </c>
      <c r="D1006" t="s">
        <v>1110</v>
      </c>
      <c r="E1006" s="65">
        <v>100</v>
      </c>
      <c r="F1006" s="33">
        <v>0.06</v>
      </c>
      <c r="G1006" t="s">
        <v>1227</v>
      </c>
      <c r="H1006" t="s">
        <v>147</v>
      </c>
      <c r="J1006" t="s">
        <v>9</v>
      </c>
      <c r="K1006" t="s">
        <v>9</v>
      </c>
      <c r="L1006" s="17">
        <v>0</v>
      </c>
      <c r="M1006" s="28"/>
    </row>
    <row r="1007" spans="1:13" s="25" customFormat="1" x14ac:dyDescent="0.2">
      <c r="A1007">
        <f t="shared" si="15"/>
        <v>1001</v>
      </c>
      <c r="B1007">
        <v>2016</v>
      </c>
      <c r="C1007" t="s">
        <v>184</v>
      </c>
      <c r="D1007" t="s">
        <v>418</v>
      </c>
      <c r="E1007" s="65">
        <v>280</v>
      </c>
      <c r="F1007" s="33">
        <v>3.3000000000000002E-2</v>
      </c>
      <c r="G1007" t="s">
        <v>1192</v>
      </c>
      <c r="H1007" t="s">
        <v>153</v>
      </c>
      <c r="J1007" t="s">
        <v>42</v>
      </c>
      <c r="K1007" t="s">
        <v>195</v>
      </c>
      <c r="L1007" s="17">
        <v>0</v>
      </c>
      <c r="M1007" s="28"/>
    </row>
    <row r="1008" spans="1:13" s="25" customFormat="1" x14ac:dyDescent="0.2">
      <c r="A1008">
        <f t="shared" si="15"/>
        <v>1002</v>
      </c>
      <c r="B1008">
        <v>2016</v>
      </c>
      <c r="C1008" t="s">
        <v>184</v>
      </c>
      <c r="D1008" t="s">
        <v>373</v>
      </c>
      <c r="E1008" s="65">
        <v>190</v>
      </c>
      <c r="F1008" s="33"/>
      <c r="H1008" t="s">
        <v>151</v>
      </c>
      <c r="I1008" t="s">
        <v>224</v>
      </c>
      <c r="J1008" t="s">
        <v>20</v>
      </c>
      <c r="K1008" t="s">
        <v>195</v>
      </c>
      <c r="L1008" s="17">
        <v>0</v>
      </c>
      <c r="M1008" s="28"/>
    </row>
    <row r="1009" spans="1:13" s="25" customFormat="1" x14ac:dyDescent="0.2">
      <c r="A1009">
        <f t="shared" si="15"/>
        <v>1003</v>
      </c>
      <c r="B1009">
        <v>2016</v>
      </c>
      <c r="C1009" t="s">
        <v>184</v>
      </c>
      <c r="D1009" t="s">
        <v>822</v>
      </c>
      <c r="E1009" s="65">
        <v>1000</v>
      </c>
      <c r="F1009" s="33">
        <v>0.51</v>
      </c>
      <c r="G1009" t="s">
        <v>1243</v>
      </c>
      <c r="H1009" t="s">
        <v>150</v>
      </c>
      <c r="I1009" t="s">
        <v>556</v>
      </c>
      <c r="J1009" t="s">
        <v>108</v>
      </c>
      <c r="K1009" t="s">
        <v>183</v>
      </c>
      <c r="L1009" s="17">
        <v>1</v>
      </c>
      <c r="M1009" s="28"/>
    </row>
    <row r="1010" spans="1:13" s="25" customFormat="1" x14ac:dyDescent="0.2">
      <c r="A1010">
        <f t="shared" si="15"/>
        <v>1004</v>
      </c>
      <c r="B1010">
        <v>2016</v>
      </c>
      <c r="C1010" t="s">
        <v>184</v>
      </c>
      <c r="D1010" t="s">
        <v>373</v>
      </c>
      <c r="E1010" s="65">
        <v>1440</v>
      </c>
      <c r="F1010" s="33">
        <v>1</v>
      </c>
      <c r="G1010" t="s">
        <v>1244</v>
      </c>
      <c r="H1010" t="s">
        <v>153</v>
      </c>
      <c r="J1010" t="s">
        <v>119</v>
      </c>
      <c r="K1010" t="s">
        <v>195</v>
      </c>
      <c r="L1010" s="17">
        <v>0</v>
      </c>
      <c r="M1010" s="28"/>
    </row>
    <row r="1011" spans="1:13" s="25" customFormat="1" x14ac:dyDescent="0.2">
      <c r="A1011">
        <f t="shared" si="15"/>
        <v>1005</v>
      </c>
      <c r="B1011">
        <v>2016</v>
      </c>
      <c r="C1011" t="s">
        <v>184</v>
      </c>
      <c r="D1011" t="s">
        <v>797</v>
      </c>
      <c r="E1011" s="65">
        <v>1540</v>
      </c>
      <c r="F1011" s="33"/>
      <c r="G1011" t="s">
        <v>1245</v>
      </c>
      <c r="H1011" t="s">
        <v>143</v>
      </c>
      <c r="J1011" t="s">
        <v>19</v>
      </c>
      <c r="K1011" t="s">
        <v>205</v>
      </c>
      <c r="L1011" s="17">
        <v>0</v>
      </c>
      <c r="M1011" s="28"/>
    </row>
    <row r="1012" spans="1:13" s="25" customFormat="1" x14ac:dyDescent="0.2">
      <c r="A1012">
        <f t="shared" si="15"/>
        <v>1006</v>
      </c>
      <c r="B1012">
        <v>2016</v>
      </c>
      <c r="C1012" t="s">
        <v>184</v>
      </c>
      <c r="D1012" t="s">
        <v>1246</v>
      </c>
      <c r="E1012" s="65">
        <v>820</v>
      </c>
      <c r="F1012" s="33"/>
      <c r="G1012" t="s">
        <v>1247</v>
      </c>
      <c r="H1012" t="s">
        <v>144</v>
      </c>
      <c r="I1012" t="s">
        <v>273</v>
      </c>
      <c r="J1012" t="s">
        <v>130</v>
      </c>
      <c r="K1012" t="s">
        <v>214</v>
      </c>
      <c r="L1012" s="17">
        <v>1</v>
      </c>
      <c r="M1012" s="28" t="s">
        <v>178</v>
      </c>
    </row>
    <row r="1013" spans="1:13" s="25" customFormat="1" x14ac:dyDescent="0.2">
      <c r="A1013">
        <f t="shared" si="15"/>
        <v>1007</v>
      </c>
      <c r="B1013">
        <v>2016</v>
      </c>
      <c r="C1013" t="s">
        <v>184</v>
      </c>
      <c r="D1013" t="s">
        <v>962</v>
      </c>
      <c r="E1013" s="65">
        <v>510</v>
      </c>
      <c r="F1013" s="33">
        <v>0.66</v>
      </c>
      <c r="G1013" t="s">
        <v>1248</v>
      </c>
      <c r="H1013" t="s">
        <v>151</v>
      </c>
      <c r="I1013" t="s">
        <v>224</v>
      </c>
      <c r="J1013" t="s">
        <v>25</v>
      </c>
      <c r="K1013" t="s">
        <v>177</v>
      </c>
      <c r="L1013" s="17">
        <v>0</v>
      </c>
      <c r="M1013" s="28"/>
    </row>
    <row r="1014" spans="1:13" s="25" customFormat="1" x14ac:dyDescent="0.2">
      <c r="A1014">
        <f t="shared" si="15"/>
        <v>1008</v>
      </c>
      <c r="B1014">
        <v>2016</v>
      </c>
      <c r="C1014" t="s">
        <v>184</v>
      </c>
      <c r="D1014" t="s">
        <v>488</v>
      </c>
      <c r="E1014" s="65">
        <v>350</v>
      </c>
      <c r="F1014" s="33">
        <v>0.1</v>
      </c>
      <c r="G1014" t="s">
        <v>1249</v>
      </c>
      <c r="H1014" t="s">
        <v>146</v>
      </c>
      <c r="I1014" t="s">
        <v>253</v>
      </c>
      <c r="J1014" t="s">
        <v>131</v>
      </c>
      <c r="K1014" t="s">
        <v>131</v>
      </c>
      <c r="L1014" s="17">
        <v>0</v>
      </c>
      <c r="M1014" s="28"/>
    </row>
    <row r="1015" spans="1:13" s="25" customFormat="1" x14ac:dyDescent="0.2">
      <c r="A1015">
        <f t="shared" si="15"/>
        <v>1009</v>
      </c>
      <c r="B1015">
        <v>2016</v>
      </c>
      <c r="C1015" t="s">
        <v>184</v>
      </c>
      <c r="D1015" t="s">
        <v>1250</v>
      </c>
      <c r="E1015" s="65">
        <v>270</v>
      </c>
      <c r="F1015" s="33">
        <v>0.49</v>
      </c>
      <c r="G1015" t="s">
        <v>1251</v>
      </c>
      <c r="H1015" t="s">
        <v>151</v>
      </c>
      <c r="I1015" t="s">
        <v>224</v>
      </c>
      <c r="J1015" t="s">
        <v>131</v>
      </c>
      <c r="K1015" t="s">
        <v>131</v>
      </c>
      <c r="L1015" s="17">
        <v>0</v>
      </c>
      <c r="M1015" s="28"/>
    </row>
    <row r="1016" spans="1:13" s="25" customFormat="1" x14ac:dyDescent="0.2">
      <c r="A1016">
        <f t="shared" si="15"/>
        <v>1010</v>
      </c>
      <c r="B1016">
        <v>2016</v>
      </c>
      <c r="C1016" t="s">
        <v>184</v>
      </c>
      <c r="D1016" t="s">
        <v>1252</v>
      </c>
      <c r="E1016" s="65">
        <v>780</v>
      </c>
      <c r="F1016" s="33">
        <v>1</v>
      </c>
      <c r="G1016" t="s">
        <v>1253</v>
      </c>
      <c r="H1016" t="s">
        <v>146</v>
      </c>
      <c r="I1016" t="s">
        <v>253</v>
      </c>
      <c r="J1016" t="s">
        <v>131</v>
      </c>
      <c r="K1016" t="s">
        <v>131</v>
      </c>
      <c r="L1016" s="17">
        <v>0</v>
      </c>
      <c r="M1016" s="28"/>
    </row>
    <row r="1017" spans="1:13" s="25" customFormat="1" x14ac:dyDescent="0.2">
      <c r="A1017">
        <f t="shared" si="15"/>
        <v>1011</v>
      </c>
      <c r="B1017">
        <v>2016</v>
      </c>
      <c r="C1017" t="s">
        <v>184</v>
      </c>
      <c r="D1017" t="s">
        <v>1254</v>
      </c>
      <c r="E1017" s="65">
        <v>3400</v>
      </c>
      <c r="F1017" s="33"/>
      <c r="G1017" t="s">
        <v>1255</v>
      </c>
      <c r="H1017" t="s">
        <v>152</v>
      </c>
      <c r="J1017" t="s">
        <v>131</v>
      </c>
      <c r="K1017" t="s">
        <v>131</v>
      </c>
      <c r="L1017" s="17">
        <v>0</v>
      </c>
      <c r="M1017" s="28"/>
    </row>
    <row r="1018" spans="1:13" s="25" customFormat="1" x14ac:dyDescent="0.2">
      <c r="A1018">
        <f t="shared" si="15"/>
        <v>1012</v>
      </c>
      <c r="B1018">
        <v>2016</v>
      </c>
      <c r="C1018" t="s">
        <v>184</v>
      </c>
      <c r="D1018" t="s">
        <v>627</v>
      </c>
      <c r="E1018" s="65">
        <v>300</v>
      </c>
      <c r="F1018" s="33">
        <v>1</v>
      </c>
      <c r="G1018" t="s">
        <v>1256</v>
      </c>
      <c r="H1018" t="s">
        <v>154</v>
      </c>
      <c r="I1018" t="s">
        <v>194</v>
      </c>
      <c r="J1018" t="s">
        <v>131</v>
      </c>
      <c r="K1018" t="s">
        <v>131</v>
      </c>
      <c r="L1018" s="17">
        <v>0</v>
      </c>
      <c r="M1018" s="28"/>
    </row>
    <row r="1019" spans="1:13" s="25" customFormat="1" x14ac:dyDescent="0.2">
      <c r="A1019">
        <f t="shared" si="15"/>
        <v>1013</v>
      </c>
      <c r="B1019">
        <v>2016</v>
      </c>
      <c r="C1019" t="s">
        <v>184</v>
      </c>
      <c r="D1019" t="s">
        <v>1257</v>
      </c>
      <c r="E1019" s="65">
        <v>1990</v>
      </c>
      <c r="F1019" s="33">
        <v>1</v>
      </c>
      <c r="G1019" t="s">
        <v>1258</v>
      </c>
      <c r="H1019" t="s">
        <v>153</v>
      </c>
      <c r="J1019" t="s">
        <v>131</v>
      </c>
      <c r="K1019" t="s">
        <v>131</v>
      </c>
      <c r="L1019" s="17">
        <v>0</v>
      </c>
      <c r="M1019" s="28"/>
    </row>
    <row r="1020" spans="1:13" s="25" customFormat="1" x14ac:dyDescent="0.2">
      <c r="A1020">
        <f t="shared" si="15"/>
        <v>1014</v>
      </c>
      <c r="B1020">
        <v>2016</v>
      </c>
      <c r="C1020" t="s">
        <v>184</v>
      </c>
      <c r="D1020" t="s">
        <v>1259</v>
      </c>
      <c r="E1020" s="65">
        <v>360</v>
      </c>
      <c r="F1020" s="33">
        <v>1</v>
      </c>
      <c r="H1020" t="s">
        <v>142</v>
      </c>
      <c r="J1020" t="s">
        <v>23</v>
      </c>
      <c r="K1020" t="s">
        <v>183</v>
      </c>
      <c r="L1020" s="17">
        <v>1</v>
      </c>
      <c r="M1020" s="28" t="s">
        <v>178</v>
      </c>
    </row>
    <row r="1021" spans="1:13" s="25" customFormat="1" x14ac:dyDescent="0.2">
      <c r="A1021">
        <f t="shared" si="15"/>
        <v>1015</v>
      </c>
      <c r="B1021">
        <v>2016</v>
      </c>
      <c r="C1021" t="s">
        <v>184</v>
      </c>
      <c r="D1021" t="s">
        <v>1035</v>
      </c>
      <c r="E1021" s="65">
        <v>2030</v>
      </c>
      <c r="F1021" s="33">
        <v>0.85</v>
      </c>
      <c r="H1021" t="s">
        <v>144</v>
      </c>
      <c r="I1021" t="s">
        <v>197</v>
      </c>
      <c r="J1021" t="s">
        <v>67</v>
      </c>
      <c r="K1021" t="s">
        <v>183</v>
      </c>
      <c r="L1021" s="17">
        <v>1</v>
      </c>
      <c r="M1021" s="28" t="s">
        <v>178</v>
      </c>
    </row>
    <row r="1022" spans="1:13" s="25" customFormat="1" x14ac:dyDescent="0.2">
      <c r="A1022">
        <f t="shared" si="15"/>
        <v>1016</v>
      </c>
      <c r="B1022">
        <v>2016</v>
      </c>
      <c r="C1022" t="s">
        <v>184</v>
      </c>
      <c r="D1022" t="s">
        <v>269</v>
      </c>
      <c r="E1022" s="65">
        <v>190</v>
      </c>
      <c r="F1022" s="33">
        <v>0.77</v>
      </c>
      <c r="G1022" t="s">
        <v>1260</v>
      </c>
      <c r="H1022" t="s">
        <v>148</v>
      </c>
      <c r="J1022" t="s">
        <v>108</v>
      </c>
      <c r="K1022" t="s">
        <v>183</v>
      </c>
      <c r="L1022" s="17">
        <v>1</v>
      </c>
      <c r="M1022" s="28"/>
    </row>
    <row r="1023" spans="1:13" s="25" customFormat="1" x14ac:dyDescent="0.2">
      <c r="A1023">
        <f t="shared" si="15"/>
        <v>1017</v>
      </c>
      <c r="B1023">
        <v>2016</v>
      </c>
      <c r="C1023" t="s">
        <v>184</v>
      </c>
      <c r="D1023" t="s">
        <v>1261</v>
      </c>
      <c r="E1023" s="65">
        <v>120</v>
      </c>
      <c r="F1023" s="33">
        <v>0.95</v>
      </c>
      <c r="G1023" t="s">
        <v>1262</v>
      </c>
      <c r="H1023" t="s">
        <v>154</v>
      </c>
      <c r="I1023" t="s">
        <v>250</v>
      </c>
      <c r="J1023" t="s">
        <v>114</v>
      </c>
      <c r="K1023" t="s">
        <v>195</v>
      </c>
      <c r="L1023" s="17">
        <v>0</v>
      </c>
      <c r="M1023" s="28"/>
    </row>
    <row r="1024" spans="1:13" s="25" customFormat="1" x14ac:dyDescent="0.2">
      <c r="A1024">
        <f t="shared" si="15"/>
        <v>1018</v>
      </c>
      <c r="B1024">
        <v>2016</v>
      </c>
      <c r="C1024" t="s">
        <v>184</v>
      </c>
      <c r="D1024" t="s">
        <v>210</v>
      </c>
      <c r="E1024" s="65">
        <v>200</v>
      </c>
      <c r="F1024" s="33">
        <v>1</v>
      </c>
      <c r="H1024" t="s">
        <v>154</v>
      </c>
      <c r="I1024" t="s">
        <v>194</v>
      </c>
      <c r="J1024" t="s">
        <v>77</v>
      </c>
      <c r="K1024" t="s">
        <v>177</v>
      </c>
      <c r="L1024" s="17">
        <v>0</v>
      </c>
      <c r="M1024" s="28" t="s">
        <v>178</v>
      </c>
    </row>
    <row r="1025" spans="1:13" s="25" customFormat="1" x14ac:dyDescent="0.2">
      <c r="A1025">
        <f t="shared" si="15"/>
        <v>1019</v>
      </c>
      <c r="B1025">
        <v>2016</v>
      </c>
      <c r="C1025" t="s">
        <v>184</v>
      </c>
      <c r="D1025" t="s">
        <v>444</v>
      </c>
      <c r="E1025" s="65">
        <v>420</v>
      </c>
      <c r="F1025" s="33">
        <v>0.35</v>
      </c>
      <c r="G1025" t="s">
        <v>1153</v>
      </c>
      <c r="H1025" t="s">
        <v>144</v>
      </c>
      <c r="I1025" t="s">
        <v>273</v>
      </c>
      <c r="J1025" t="s">
        <v>93</v>
      </c>
      <c r="K1025" t="s">
        <v>201</v>
      </c>
      <c r="L1025" s="17">
        <v>1</v>
      </c>
      <c r="M1025" s="28" t="s">
        <v>178</v>
      </c>
    </row>
    <row r="1026" spans="1:13" s="25" customFormat="1" x14ac:dyDescent="0.2">
      <c r="A1026">
        <f t="shared" si="15"/>
        <v>1020</v>
      </c>
      <c r="B1026">
        <v>2016</v>
      </c>
      <c r="C1026" t="s">
        <v>184</v>
      </c>
      <c r="D1026" t="s">
        <v>286</v>
      </c>
      <c r="E1026" s="65">
        <v>290</v>
      </c>
      <c r="F1026" s="33">
        <v>1</v>
      </c>
      <c r="G1026" t="s">
        <v>912</v>
      </c>
      <c r="H1026" t="s">
        <v>150</v>
      </c>
      <c r="I1026" t="s">
        <v>556</v>
      </c>
      <c r="J1026" t="s">
        <v>20</v>
      </c>
      <c r="K1026" t="s">
        <v>195</v>
      </c>
      <c r="L1026" s="17">
        <v>0</v>
      </c>
      <c r="M1026" s="28"/>
    </row>
    <row r="1027" spans="1:13" s="25" customFormat="1" x14ac:dyDescent="0.2">
      <c r="A1027">
        <f t="shared" si="15"/>
        <v>1021</v>
      </c>
      <c r="B1027">
        <v>2016</v>
      </c>
      <c r="C1027" t="s">
        <v>184</v>
      </c>
      <c r="D1027" t="s">
        <v>1263</v>
      </c>
      <c r="E1027" s="65">
        <v>790</v>
      </c>
      <c r="F1027" s="33">
        <v>0.95</v>
      </c>
      <c r="G1027" t="s">
        <v>1264</v>
      </c>
      <c r="H1027" t="s">
        <v>144</v>
      </c>
      <c r="I1027" t="s">
        <v>232</v>
      </c>
      <c r="J1027" t="s">
        <v>53</v>
      </c>
      <c r="K1027" t="s">
        <v>183</v>
      </c>
      <c r="L1027" s="17">
        <v>1</v>
      </c>
      <c r="M1027" s="28"/>
    </row>
    <row r="1028" spans="1:13" s="25" customFormat="1" x14ac:dyDescent="0.2">
      <c r="A1028">
        <f t="shared" si="15"/>
        <v>1022</v>
      </c>
      <c r="B1028">
        <v>2016</v>
      </c>
      <c r="C1028" t="s">
        <v>225</v>
      </c>
      <c r="D1028" t="s">
        <v>797</v>
      </c>
      <c r="E1028" s="65">
        <v>2550</v>
      </c>
      <c r="F1028" s="33">
        <v>0.56000000000000005</v>
      </c>
      <c r="G1028" t="s">
        <v>1265</v>
      </c>
      <c r="H1028" t="s">
        <v>149</v>
      </c>
      <c r="I1028" t="s">
        <v>236</v>
      </c>
      <c r="J1028" t="s">
        <v>34</v>
      </c>
      <c r="K1028" t="s">
        <v>219</v>
      </c>
      <c r="L1028" s="17">
        <v>1</v>
      </c>
      <c r="M1028" s="28"/>
    </row>
    <row r="1029" spans="1:13" s="25" customFormat="1" x14ac:dyDescent="0.2">
      <c r="A1029">
        <f t="shared" si="15"/>
        <v>1023</v>
      </c>
      <c r="B1029">
        <v>2016</v>
      </c>
      <c r="C1029" t="s">
        <v>225</v>
      </c>
      <c r="D1029" t="s">
        <v>581</v>
      </c>
      <c r="E1029" s="65">
        <v>150</v>
      </c>
      <c r="F1029" s="33">
        <v>3.4000000000000002E-2</v>
      </c>
      <c r="G1029" t="s">
        <v>1112</v>
      </c>
      <c r="H1029" t="s">
        <v>152</v>
      </c>
      <c r="J1029" t="s">
        <v>45</v>
      </c>
      <c r="K1029" t="s">
        <v>195</v>
      </c>
      <c r="L1029" s="17">
        <v>0</v>
      </c>
      <c r="M1029" s="28"/>
    </row>
    <row r="1030" spans="1:13" s="25" customFormat="1" x14ac:dyDescent="0.2">
      <c r="A1030">
        <f t="shared" si="15"/>
        <v>1024</v>
      </c>
      <c r="B1030">
        <v>2016</v>
      </c>
      <c r="C1030" t="s">
        <v>225</v>
      </c>
      <c r="D1030" t="s">
        <v>653</v>
      </c>
      <c r="E1030" s="65">
        <v>290</v>
      </c>
      <c r="F1030" s="33">
        <v>0.56999999999999995</v>
      </c>
      <c r="G1030" t="s">
        <v>1266</v>
      </c>
      <c r="H1030" t="s">
        <v>142</v>
      </c>
      <c r="J1030" t="s">
        <v>19</v>
      </c>
      <c r="K1030" t="s">
        <v>205</v>
      </c>
      <c r="L1030" s="17">
        <v>0</v>
      </c>
      <c r="M1030" s="28"/>
    </row>
    <row r="1031" spans="1:13" s="25" customFormat="1" x14ac:dyDescent="0.2">
      <c r="A1031">
        <f t="shared" ref="A1031:A1094" si="16">ROW()-6</f>
        <v>1025</v>
      </c>
      <c r="B1031">
        <v>2016</v>
      </c>
      <c r="C1031" t="s">
        <v>225</v>
      </c>
      <c r="D1031" t="s">
        <v>1267</v>
      </c>
      <c r="E1031" s="65">
        <v>300</v>
      </c>
      <c r="F1031" s="33">
        <v>1</v>
      </c>
      <c r="G1031" t="s">
        <v>1268</v>
      </c>
      <c r="H1031" t="s">
        <v>145</v>
      </c>
      <c r="J1031" t="s">
        <v>20</v>
      </c>
      <c r="K1031" t="s">
        <v>195</v>
      </c>
      <c r="L1031" s="17">
        <v>0</v>
      </c>
      <c r="M1031" s="28"/>
    </row>
    <row r="1032" spans="1:13" s="25" customFormat="1" x14ac:dyDescent="0.2">
      <c r="A1032">
        <f t="shared" si="16"/>
        <v>1026</v>
      </c>
      <c r="B1032">
        <v>2016</v>
      </c>
      <c r="C1032" t="s">
        <v>225</v>
      </c>
      <c r="D1032" t="s">
        <v>334</v>
      </c>
      <c r="E1032" s="65">
        <v>220</v>
      </c>
      <c r="F1032" s="33">
        <v>0.79</v>
      </c>
      <c r="G1032" t="s">
        <v>1269</v>
      </c>
      <c r="H1032" t="s">
        <v>142</v>
      </c>
      <c r="J1032" t="s">
        <v>9</v>
      </c>
      <c r="K1032" t="s">
        <v>9</v>
      </c>
      <c r="L1032" s="17">
        <v>0</v>
      </c>
      <c r="M1032" s="28"/>
    </row>
    <row r="1033" spans="1:13" s="25" customFormat="1" x14ac:dyDescent="0.2">
      <c r="A1033">
        <f t="shared" si="16"/>
        <v>1027</v>
      </c>
      <c r="B1033">
        <v>2016</v>
      </c>
      <c r="C1033" t="s">
        <v>225</v>
      </c>
      <c r="D1033" t="s">
        <v>1270</v>
      </c>
      <c r="E1033" s="65">
        <v>120</v>
      </c>
      <c r="F1033" s="33">
        <v>0.02</v>
      </c>
      <c r="G1033" t="s">
        <v>1271</v>
      </c>
      <c r="H1033" t="s">
        <v>152</v>
      </c>
      <c r="J1033" t="s">
        <v>131</v>
      </c>
      <c r="K1033" t="s">
        <v>131</v>
      </c>
      <c r="L1033" s="17">
        <v>0</v>
      </c>
      <c r="M1033" s="28"/>
    </row>
    <row r="1034" spans="1:13" s="25" customFormat="1" x14ac:dyDescent="0.2">
      <c r="A1034">
        <f t="shared" si="16"/>
        <v>1028</v>
      </c>
      <c r="B1034">
        <v>2016</v>
      </c>
      <c r="C1034" t="s">
        <v>225</v>
      </c>
      <c r="D1034" t="s">
        <v>1272</v>
      </c>
      <c r="E1034" s="65">
        <v>140</v>
      </c>
      <c r="F1034" s="33">
        <v>0.35</v>
      </c>
      <c r="G1034" t="s">
        <v>1273</v>
      </c>
      <c r="H1034" t="s">
        <v>148</v>
      </c>
      <c r="J1034" t="s">
        <v>85</v>
      </c>
      <c r="K1034" t="s">
        <v>195</v>
      </c>
      <c r="L1034" s="17">
        <v>0</v>
      </c>
      <c r="M1034" s="28"/>
    </row>
    <row r="1035" spans="1:13" s="25" customFormat="1" x14ac:dyDescent="0.2">
      <c r="A1035">
        <f t="shared" si="16"/>
        <v>1029</v>
      </c>
      <c r="B1035">
        <v>2016</v>
      </c>
      <c r="C1035" t="s">
        <v>225</v>
      </c>
      <c r="D1035" t="s">
        <v>1274</v>
      </c>
      <c r="E1035" s="65">
        <v>200</v>
      </c>
      <c r="F1035" s="33"/>
      <c r="H1035" t="s">
        <v>154</v>
      </c>
      <c r="I1035" t="s">
        <v>271</v>
      </c>
      <c r="J1035" t="s">
        <v>53</v>
      </c>
      <c r="K1035" t="s">
        <v>183</v>
      </c>
      <c r="L1035" s="17">
        <v>1</v>
      </c>
      <c r="M1035" s="28" t="s">
        <v>178</v>
      </c>
    </row>
    <row r="1036" spans="1:13" s="25" customFormat="1" x14ac:dyDescent="0.2">
      <c r="A1036">
        <f t="shared" si="16"/>
        <v>1030</v>
      </c>
      <c r="B1036">
        <v>2016</v>
      </c>
      <c r="C1036" t="s">
        <v>225</v>
      </c>
      <c r="D1036" t="s">
        <v>1275</v>
      </c>
      <c r="E1036" s="65">
        <v>100</v>
      </c>
      <c r="F1036" s="33">
        <v>1</v>
      </c>
      <c r="G1036" t="s">
        <v>1276</v>
      </c>
      <c r="H1036" t="s">
        <v>145</v>
      </c>
      <c r="J1036" t="s">
        <v>20</v>
      </c>
      <c r="K1036" t="s">
        <v>195</v>
      </c>
      <c r="L1036" s="17">
        <v>0</v>
      </c>
      <c r="M1036" s="28"/>
    </row>
    <row r="1037" spans="1:13" s="25" customFormat="1" x14ac:dyDescent="0.2">
      <c r="A1037">
        <f t="shared" si="16"/>
        <v>1031</v>
      </c>
      <c r="B1037">
        <v>2016</v>
      </c>
      <c r="C1037" t="s">
        <v>225</v>
      </c>
      <c r="D1037" t="s">
        <v>263</v>
      </c>
      <c r="E1037" s="65">
        <v>680</v>
      </c>
      <c r="F1037" s="33">
        <v>0.49</v>
      </c>
      <c r="G1037" t="s">
        <v>1277</v>
      </c>
      <c r="H1037" t="s">
        <v>151</v>
      </c>
      <c r="I1037" t="s">
        <v>224</v>
      </c>
      <c r="J1037" t="s">
        <v>131</v>
      </c>
      <c r="K1037" t="s">
        <v>131</v>
      </c>
      <c r="L1037" s="17">
        <v>0</v>
      </c>
      <c r="M1037" s="28"/>
    </row>
    <row r="1038" spans="1:13" s="25" customFormat="1" x14ac:dyDescent="0.2">
      <c r="A1038">
        <f t="shared" si="16"/>
        <v>1032</v>
      </c>
      <c r="B1038">
        <v>2016</v>
      </c>
      <c r="C1038" t="s">
        <v>225</v>
      </c>
      <c r="D1038" t="s">
        <v>1278</v>
      </c>
      <c r="E1038" s="65">
        <v>660</v>
      </c>
      <c r="F1038" s="33">
        <v>0.65</v>
      </c>
      <c r="G1038" t="s">
        <v>1279</v>
      </c>
      <c r="H1038" t="s">
        <v>145</v>
      </c>
      <c r="J1038" t="s">
        <v>20</v>
      </c>
      <c r="K1038" t="s">
        <v>195</v>
      </c>
      <c r="L1038" s="17">
        <v>0</v>
      </c>
      <c r="M1038" s="28"/>
    </row>
    <row r="1039" spans="1:13" s="25" customFormat="1" x14ac:dyDescent="0.2">
      <c r="A1039">
        <f t="shared" si="16"/>
        <v>1033</v>
      </c>
      <c r="B1039">
        <v>2016</v>
      </c>
      <c r="C1039" t="s">
        <v>225</v>
      </c>
      <c r="D1039" t="s">
        <v>488</v>
      </c>
      <c r="E1039" s="65">
        <v>150</v>
      </c>
      <c r="F1039" s="33">
        <v>0.12</v>
      </c>
      <c r="G1039" t="s">
        <v>1280</v>
      </c>
      <c r="H1039" t="s">
        <v>146</v>
      </c>
      <c r="J1039" t="s">
        <v>131</v>
      </c>
      <c r="K1039" t="s">
        <v>131</v>
      </c>
      <c r="L1039" s="17">
        <v>0</v>
      </c>
      <c r="M1039" s="28"/>
    </row>
    <row r="1040" spans="1:13" s="25" customFormat="1" x14ac:dyDescent="0.2">
      <c r="A1040">
        <f t="shared" si="16"/>
        <v>1034</v>
      </c>
      <c r="B1040">
        <v>2016</v>
      </c>
      <c r="C1040" t="s">
        <v>225</v>
      </c>
      <c r="D1040" t="s">
        <v>373</v>
      </c>
      <c r="E1040" s="65">
        <v>110</v>
      </c>
      <c r="F1040" s="33">
        <v>0.13</v>
      </c>
      <c r="G1040" t="s">
        <v>1281</v>
      </c>
      <c r="H1040" t="s">
        <v>154</v>
      </c>
      <c r="I1040" t="s">
        <v>250</v>
      </c>
      <c r="J1040" t="s">
        <v>9</v>
      </c>
      <c r="K1040" t="s">
        <v>9</v>
      </c>
      <c r="L1040" s="17">
        <v>0</v>
      </c>
      <c r="M1040" s="28"/>
    </row>
    <row r="1041" spans="1:13" s="25" customFormat="1" x14ac:dyDescent="0.2">
      <c r="A1041">
        <f t="shared" si="16"/>
        <v>1035</v>
      </c>
      <c r="B1041">
        <v>2016</v>
      </c>
      <c r="C1041" t="s">
        <v>225</v>
      </c>
      <c r="D1041" t="s">
        <v>927</v>
      </c>
      <c r="E1041" s="65">
        <v>160</v>
      </c>
      <c r="F1041" s="33"/>
      <c r="G1041" t="s">
        <v>1282</v>
      </c>
      <c r="H1041" t="s">
        <v>146</v>
      </c>
      <c r="I1041" t="s">
        <v>253</v>
      </c>
      <c r="J1041" t="s">
        <v>20</v>
      </c>
      <c r="K1041" t="s">
        <v>195</v>
      </c>
      <c r="L1041" s="17">
        <v>0</v>
      </c>
      <c r="M1041" s="28"/>
    </row>
    <row r="1042" spans="1:13" s="25" customFormat="1" x14ac:dyDescent="0.2">
      <c r="A1042">
        <f t="shared" si="16"/>
        <v>1036</v>
      </c>
      <c r="B1042">
        <v>2016</v>
      </c>
      <c r="C1042" t="s">
        <v>225</v>
      </c>
      <c r="D1042" t="s">
        <v>248</v>
      </c>
      <c r="E1042" s="65">
        <v>110</v>
      </c>
      <c r="F1042" s="33">
        <v>1</v>
      </c>
      <c r="H1042" t="s">
        <v>146</v>
      </c>
      <c r="I1042" t="s">
        <v>275</v>
      </c>
      <c r="J1042" t="s">
        <v>128</v>
      </c>
      <c r="K1042" t="s">
        <v>201</v>
      </c>
      <c r="L1042" s="17">
        <v>1</v>
      </c>
      <c r="M1042" s="28"/>
    </row>
    <row r="1043" spans="1:13" s="25" customFormat="1" x14ac:dyDescent="0.2">
      <c r="A1043">
        <f t="shared" si="16"/>
        <v>1037</v>
      </c>
      <c r="B1043">
        <v>2016</v>
      </c>
      <c r="C1043" t="s">
        <v>225</v>
      </c>
      <c r="D1043" t="s">
        <v>557</v>
      </c>
      <c r="E1043" s="65">
        <v>300</v>
      </c>
      <c r="F1043" s="33">
        <v>1</v>
      </c>
      <c r="H1043" t="s">
        <v>150</v>
      </c>
      <c r="I1043" t="s">
        <v>217</v>
      </c>
      <c r="J1043" t="s">
        <v>131</v>
      </c>
      <c r="K1043" t="s">
        <v>131</v>
      </c>
      <c r="L1043" s="17">
        <v>0</v>
      </c>
      <c r="M1043" s="28" t="s">
        <v>178</v>
      </c>
    </row>
    <row r="1044" spans="1:13" s="25" customFormat="1" x14ac:dyDescent="0.2">
      <c r="A1044">
        <f t="shared" si="16"/>
        <v>1038</v>
      </c>
      <c r="B1044">
        <v>2016</v>
      </c>
      <c r="C1044" t="s">
        <v>225</v>
      </c>
      <c r="D1044" t="s">
        <v>1283</v>
      </c>
      <c r="E1044" s="65">
        <v>950</v>
      </c>
      <c r="F1044" s="33">
        <v>0.45</v>
      </c>
      <c r="H1044" t="s">
        <v>144</v>
      </c>
      <c r="I1044" t="s">
        <v>187</v>
      </c>
      <c r="J1044" t="s">
        <v>62</v>
      </c>
      <c r="K1044" t="s">
        <v>214</v>
      </c>
      <c r="L1044" s="17">
        <v>1</v>
      </c>
      <c r="M1044" s="28"/>
    </row>
    <row r="1045" spans="1:13" s="25" customFormat="1" x14ac:dyDescent="0.2">
      <c r="A1045">
        <f t="shared" si="16"/>
        <v>1039</v>
      </c>
      <c r="B1045">
        <v>2016</v>
      </c>
      <c r="C1045" t="s">
        <v>225</v>
      </c>
      <c r="D1045" t="s">
        <v>1284</v>
      </c>
      <c r="E1045" s="65">
        <v>140</v>
      </c>
      <c r="F1045" s="33"/>
      <c r="H1045" t="s">
        <v>149</v>
      </c>
      <c r="I1045" t="s">
        <v>238</v>
      </c>
      <c r="J1045" t="s">
        <v>72</v>
      </c>
      <c r="K1045" t="s">
        <v>183</v>
      </c>
      <c r="L1045" s="17">
        <v>1</v>
      </c>
      <c r="M1045" s="28" t="s">
        <v>178</v>
      </c>
    </row>
    <row r="1046" spans="1:13" s="25" customFormat="1" x14ac:dyDescent="0.2">
      <c r="A1046">
        <f t="shared" si="16"/>
        <v>1040</v>
      </c>
      <c r="B1046">
        <v>2016</v>
      </c>
      <c r="C1046" t="s">
        <v>225</v>
      </c>
      <c r="D1046" t="s">
        <v>319</v>
      </c>
      <c r="E1046" s="65">
        <v>720</v>
      </c>
      <c r="F1046" s="33"/>
      <c r="H1046" t="s">
        <v>151</v>
      </c>
      <c r="I1046" t="s">
        <v>224</v>
      </c>
      <c r="J1046" t="s">
        <v>131</v>
      </c>
      <c r="K1046" t="s">
        <v>131</v>
      </c>
      <c r="L1046" s="17">
        <v>0</v>
      </c>
      <c r="M1046" s="28"/>
    </row>
    <row r="1047" spans="1:13" s="25" customFormat="1" x14ac:dyDescent="0.2">
      <c r="A1047">
        <f t="shared" si="16"/>
        <v>1041</v>
      </c>
      <c r="B1047">
        <v>2016</v>
      </c>
      <c r="C1047" t="s">
        <v>225</v>
      </c>
      <c r="D1047" t="s">
        <v>962</v>
      </c>
      <c r="E1047" s="65">
        <v>270</v>
      </c>
      <c r="F1047" s="33">
        <v>0.33</v>
      </c>
      <c r="G1047" t="s">
        <v>1285</v>
      </c>
      <c r="H1047" t="s">
        <v>151</v>
      </c>
      <c r="I1047" t="s">
        <v>224</v>
      </c>
      <c r="J1047" t="s">
        <v>25</v>
      </c>
      <c r="K1047" t="s">
        <v>177</v>
      </c>
      <c r="L1047" s="17">
        <v>0</v>
      </c>
      <c r="M1047" s="28"/>
    </row>
    <row r="1048" spans="1:13" s="25" customFormat="1" x14ac:dyDescent="0.2">
      <c r="A1048">
        <f t="shared" si="16"/>
        <v>1042</v>
      </c>
      <c r="B1048">
        <v>2016</v>
      </c>
      <c r="C1048" t="s">
        <v>225</v>
      </c>
      <c r="D1048" t="s">
        <v>313</v>
      </c>
      <c r="E1048" s="65">
        <v>110</v>
      </c>
      <c r="F1048" s="33"/>
      <c r="G1048" t="s">
        <v>1286</v>
      </c>
      <c r="H1048" t="s">
        <v>143</v>
      </c>
      <c r="J1048" t="s">
        <v>131</v>
      </c>
      <c r="K1048" t="s">
        <v>131</v>
      </c>
      <c r="L1048" s="17">
        <v>0</v>
      </c>
      <c r="M1048" s="28"/>
    </row>
    <row r="1049" spans="1:13" s="25" customFormat="1" x14ac:dyDescent="0.2">
      <c r="A1049">
        <f t="shared" si="16"/>
        <v>1043</v>
      </c>
      <c r="B1049">
        <v>2016</v>
      </c>
      <c r="C1049" t="s">
        <v>225</v>
      </c>
      <c r="D1049" t="s">
        <v>1287</v>
      </c>
      <c r="E1049" s="65">
        <v>100</v>
      </c>
      <c r="F1049" s="33">
        <v>0.5</v>
      </c>
      <c r="G1049" t="s">
        <v>1288</v>
      </c>
      <c r="H1049" t="s">
        <v>144</v>
      </c>
      <c r="I1049" t="s">
        <v>232</v>
      </c>
      <c r="J1049" t="s">
        <v>77</v>
      </c>
      <c r="K1049" t="s">
        <v>177</v>
      </c>
      <c r="L1049" s="17">
        <v>0</v>
      </c>
      <c r="M1049" s="28" t="s">
        <v>178</v>
      </c>
    </row>
    <row r="1050" spans="1:13" s="25" customFormat="1" x14ac:dyDescent="0.2">
      <c r="A1050">
        <f t="shared" si="16"/>
        <v>1044</v>
      </c>
      <c r="B1050">
        <v>2016</v>
      </c>
      <c r="C1050" t="s">
        <v>225</v>
      </c>
      <c r="D1050" t="s">
        <v>980</v>
      </c>
      <c r="E1050" s="65">
        <v>200</v>
      </c>
      <c r="F1050" s="33"/>
      <c r="H1050" t="s">
        <v>154</v>
      </c>
      <c r="I1050" t="s">
        <v>271</v>
      </c>
      <c r="J1050" t="s">
        <v>94</v>
      </c>
      <c r="K1050" t="s">
        <v>177</v>
      </c>
      <c r="L1050" s="17">
        <v>0</v>
      </c>
      <c r="M1050" s="28"/>
    </row>
    <row r="1051" spans="1:13" s="25" customFormat="1" x14ac:dyDescent="0.2">
      <c r="A1051">
        <f t="shared" si="16"/>
        <v>1045</v>
      </c>
      <c r="B1051">
        <v>2016</v>
      </c>
      <c r="C1051" t="s">
        <v>225</v>
      </c>
      <c r="D1051" t="s">
        <v>1289</v>
      </c>
      <c r="E1051" s="65">
        <v>460</v>
      </c>
      <c r="F1051" s="33"/>
      <c r="H1051" t="s">
        <v>151</v>
      </c>
      <c r="I1051" t="s">
        <v>224</v>
      </c>
      <c r="J1051" t="s">
        <v>108</v>
      </c>
      <c r="K1051" t="s">
        <v>183</v>
      </c>
      <c r="L1051" s="17">
        <v>1</v>
      </c>
      <c r="M1051" s="28"/>
    </row>
    <row r="1052" spans="1:13" s="25" customFormat="1" x14ac:dyDescent="0.2">
      <c r="A1052">
        <f t="shared" si="16"/>
        <v>1046</v>
      </c>
      <c r="B1052">
        <v>2016</v>
      </c>
      <c r="C1052" t="s">
        <v>225</v>
      </c>
      <c r="D1052" t="s">
        <v>397</v>
      </c>
      <c r="E1052" s="65">
        <v>340</v>
      </c>
      <c r="F1052" s="33">
        <v>1</v>
      </c>
      <c r="H1052" t="s">
        <v>151</v>
      </c>
      <c r="I1052" t="s">
        <v>224</v>
      </c>
      <c r="J1052" t="s">
        <v>131</v>
      </c>
      <c r="K1052" t="s">
        <v>131</v>
      </c>
      <c r="L1052" s="17">
        <v>0</v>
      </c>
      <c r="M1052" s="28" t="s">
        <v>178</v>
      </c>
    </row>
    <row r="1053" spans="1:13" s="25" customFormat="1" x14ac:dyDescent="0.2">
      <c r="A1053">
        <f t="shared" si="16"/>
        <v>1047</v>
      </c>
      <c r="B1053">
        <v>2016</v>
      </c>
      <c r="C1053" t="s">
        <v>225</v>
      </c>
      <c r="D1053" t="s">
        <v>1290</v>
      </c>
      <c r="E1053" s="65">
        <v>310</v>
      </c>
      <c r="F1053" s="33"/>
      <c r="G1053" t="s">
        <v>1291</v>
      </c>
      <c r="H1053" t="s">
        <v>144</v>
      </c>
      <c r="I1053" t="s">
        <v>232</v>
      </c>
      <c r="J1053" t="s">
        <v>9</v>
      </c>
      <c r="K1053" t="s">
        <v>9</v>
      </c>
      <c r="L1053" s="17">
        <v>0</v>
      </c>
      <c r="M1053" s="28" t="s">
        <v>178</v>
      </c>
    </row>
    <row r="1054" spans="1:13" s="25" customFormat="1" x14ac:dyDescent="0.2">
      <c r="A1054">
        <f t="shared" si="16"/>
        <v>1048</v>
      </c>
      <c r="B1054">
        <v>2016</v>
      </c>
      <c r="C1054" t="s">
        <v>225</v>
      </c>
      <c r="D1054" t="s">
        <v>1292</v>
      </c>
      <c r="E1054" s="65">
        <v>140</v>
      </c>
      <c r="F1054" s="33">
        <v>1</v>
      </c>
      <c r="G1054" t="s">
        <v>1293</v>
      </c>
      <c r="H1054" t="s">
        <v>147</v>
      </c>
      <c r="J1054" t="s">
        <v>131</v>
      </c>
      <c r="K1054" t="s">
        <v>131</v>
      </c>
      <c r="L1054" s="17">
        <v>0</v>
      </c>
      <c r="M1054" s="28"/>
    </row>
    <row r="1055" spans="1:13" s="25" customFormat="1" x14ac:dyDescent="0.2">
      <c r="A1055">
        <f t="shared" si="16"/>
        <v>1049</v>
      </c>
      <c r="B1055">
        <v>2016</v>
      </c>
      <c r="C1055" t="s">
        <v>225</v>
      </c>
      <c r="D1055" t="s">
        <v>1294</v>
      </c>
      <c r="E1055" s="65">
        <v>1190</v>
      </c>
      <c r="F1055" s="33">
        <v>0.8</v>
      </c>
      <c r="G1055" t="s">
        <v>1295</v>
      </c>
      <c r="H1055" t="s">
        <v>147</v>
      </c>
      <c r="J1055" t="s">
        <v>20</v>
      </c>
      <c r="K1055" t="s">
        <v>195</v>
      </c>
      <c r="L1055" s="17">
        <v>0</v>
      </c>
      <c r="M1055" s="28"/>
    </row>
    <row r="1056" spans="1:13" s="25" customFormat="1" x14ac:dyDescent="0.2">
      <c r="A1056">
        <f t="shared" si="16"/>
        <v>1050</v>
      </c>
      <c r="B1056">
        <v>2016</v>
      </c>
      <c r="C1056" t="s">
        <v>225</v>
      </c>
      <c r="D1056" t="s">
        <v>319</v>
      </c>
      <c r="E1056" s="65">
        <v>810</v>
      </c>
      <c r="F1056" s="33">
        <v>0.49</v>
      </c>
      <c r="H1056" t="s">
        <v>151</v>
      </c>
      <c r="I1056" t="s">
        <v>224</v>
      </c>
      <c r="J1056" t="s">
        <v>131</v>
      </c>
      <c r="K1056" t="s">
        <v>131</v>
      </c>
      <c r="L1056" s="17">
        <v>0</v>
      </c>
      <c r="M1056" s="28"/>
    </row>
    <row r="1057" spans="1:13" s="25" customFormat="1" x14ac:dyDescent="0.2">
      <c r="A1057">
        <f t="shared" si="16"/>
        <v>1051</v>
      </c>
      <c r="B1057">
        <v>2016</v>
      </c>
      <c r="C1057" t="s">
        <v>225</v>
      </c>
      <c r="D1057" t="s">
        <v>474</v>
      </c>
      <c r="E1057" s="65">
        <v>120</v>
      </c>
      <c r="F1057" s="33">
        <v>0.4</v>
      </c>
      <c r="G1057" t="s">
        <v>874</v>
      </c>
      <c r="H1057" t="s">
        <v>144</v>
      </c>
      <c r="I1057" t="s">
        <v>273</v>
      </c>
      <c r="J1057" t="s">
        <v>53</v>
      </c>
      <c r="K1057" t="s">
        <v>183</v>
      </c>
      <c r="L1057" s="17">
        <v>1</v>
      </c>
      <c r="M1057" s="28"/>
    </row>
    <row r="1058" spans="1:13" s="25" customFormat="1" x14ac:dyDescent="0.2">
      <c r="A1058">
        <f t="shared" si="16"/>
        <v>1052</v>
      </c>
      <c r="B1058">
        <v>2016</v>
      </c>
      <c r="C1058" t="s">
        <v>188</v>
      </c>
      <c r="D1058" t="s">
        <v>565</v>
      </c>
      <c r="E1058" s="65">
        <v>310</v>
      </c>
      <c r="F1058" s="33">
        <v>0.69</v>
      </c>
      <c r="G1058" t="s">
        <v>1296</v>
      </c>
      <c r="H1058" t="s">
        <v>145</v>
      </c>
      <c r="J1058" t="s">
        <v>58</v>
      </c>
      <c r="K1058" t="s">
        <v>195</v>
      </c>
      <c r="L1058" s="17">
        <v>0</v>
      </c>
      <c r="M1058" s="28"/>
    </row>
    <row r="1059" spans="1:13" s="25" customFormat="1" x14ac:dyDescent="0.2">
      <c r="A1059">
        <f t="shared" si="16"/>
        <v>1053</v>
      </c>
      <c r="B1059">
        <v>2016</v>
      </c>
      <c r="C1059" t="s">
        <v>188</v>
      </c>
      <c r="D1059" t="s">
        <v>538</v>
      </c>
      <c r="E1059" s="65">
        <v>200</v>
      </c>
      <c r="F1059" s="33">
        <v>0.2</v>
      </c>
      <c r="G1059" t="s">
        <v>1281</v>
      </c>
      <c r="H1059" t="s">
        <v>154</v>
      </c>
      <c r="I1059" t="s">
        <v>250</v>
      </c>
      <c r="J1059" t="s">
        <v>9</v>
      </c>
      <c r="K1059" t="s">
        <v>9</v>
      </c>
      <c r="L1059" s="17">
        <v>0</v>
      </c>
      <c r="M1059" s="28"/>
    </row>
    <row r="1060" spans="1:13" s="25" customFormat="1" x14ac:dyDescent="0.2">
      <c r="A1060">
        <f t="shared" si="16"/>
        <v>1054</v>
      </c>
      <c r="B1060">
        <v>2016</v>
      </c>
      <c r="C1060" t="s">
        <v>188</v>
      </c>
      <c r="D1060" t="s">
        <v>1297</v>
      </c>
      <c r="E1060" s="65">
        <v>150</v>
      </c>
      <c r="F1060" s="33"/>
      <c r="G1060" t="s">
        <v>1298</v>
      </c>
      <c r="H1060" t="s">
        <v>152</v>
      </c>
      <c r="J1060" t="s">
        <v>131</v>
      </c>
      <c r="K1060" t="s">
        <v>131</v>
      </c>
      <c r="L1060" s="17">
        <v>0</v>
      </c>
      <c r="M1060" s="28"/>
    </row>
    <row r="1061" spans="1:13" s="25" customFormat="1" x14ac:dyDescent="0.2">
      <c r="A1061">
        <f t="shared" si="16"/>
        <v>1055</v>
      </c>
      <c r="B1061">
        <v>2016</v>
      </c>
      <c r="C1061" t="s">
        <v>188</v>
      </c>
      <c r="D1061" t="s">
        <v>909</v>
      </c>
      <c r="E1061" s="65">
        <v>250</v>
      </c>
      <c r="F1061" s="33"/>
      <c r="G1061" t="s">
        <v>913</v>
      </c>
      <c r="H1061" t="s">
        <v>151</v>
      </c>
      <c r="I1061" t="s">
        <v>224</v>
      </c>
      <c r="J1061" t="s">
        <v>131</v>
      </c>
      <c r="K1061" t="s">
        <v>131</v>
      </c>
      <c r="L1061" s="17">
        <v>0</v>
      </c>
      <c r="M1061" s="28"/>
    </row>
    <row r="1062" spans="1:13" s="25" customFormat="1" x14ac:dyDescent="0.2">
      <c r="A1062">
        <f t="shared" si="16"/>
        <v>1056</v>
      </c>
      <c r="B1062">
        <v>2016</v>
      </c>
      <c r="C1062" t="s">
        <v>188</v>
      </c>
      <c r="D1062" t="s">
        <v>1299</v>
      </c>
      <c r="E1062" s="65">
        <v>2750</v>
      </c>
      <c r="F1062" s="33"/>
      <c r="G1062" t="s">
        <v>1300</v>
      </c>
      <c r="H1062" t="s">
        <v>152</v>
      </c>
      <c r="J1062" t="s">
        <v>85</v>
      </c>
      <c r="K1062" t="s">
        <v>195</v>
      </c>
      <c r="L1062" s="17">
        <v>0</v>
      </c>
      <c r="M1062" s="28"/>
    </row>
    <row r="1063" spans="1:13" s="25" customFormat="1" x14ac:dyDescent="0.2">
      <c r="A1063">
        <f t="shared" si="16"/>
        <v>1057</v>
      </c>
      <c r="B1063">
        <v>2016</v>
      </c>
      <c r="C1063" t="s">
        <v>188</v>
      </c>
      <c r="D1063" t="s">
        <v>286</v>
      </c>
      <c r="E1063" s="65">
        <v>210</v>
      </c>
      <c r="F1063" s="33"/>
      <c r="G1063" t="s">
        <v>1301</v>
      </c>
      <c r="H1063" t="s">
        <v>150</v>
      </c>
      <c r="I1063" t="s">
        <v>556</v>
      </c>
      <c r="J1063" t="s">
        <v>131</v>
      </c>
      <c r="K1063" t="s">
        <v>131</v>
      </c>
      <c r="L1063" s="17">
        <v>0</v>
      </c>
      <c r="M1063" s="28"/>
    </row>
    <row r="1064" spans="1:13" s="25" customFormat="1" x14ac:dyDescent="0.2">
      <c r="A1064">
        <f t="shared" si="16"/>
        <v>1058</v>
      </c>
      <c r="B1064">
        <v>2016</v>
      </c>
      <c r="C1064" t="s">
        <v>188</v>
      </c>
      <c r="D1064" t="s">
        <v>246</v>
      </c>
      <c r="E1064" s="65">
        <v>1540</v>
      </c>
      <c r="F1064" s="33">
        <v>0.8</v>
      </c>
      <c r="G1064" t="s">
        <v>1302</v>
      </c>
      <c r="H1064" t="s">
        <v>144</v>
      </c>
      <c r="I1064" t="s">
        <v>232</v>
      </c>
      <c r="J1064" t="s">
        <v>45</v>
      </c>
      <c r="K1064" t="s">
        <v>195</v>
      </c>
      <c r="L1064" s="17">
        <v>0</v>
      </c>
      <c r="M1064" s="28"/>
    </row>
    <row r="1065" spans="1:13" s="25" customFormat="1" x14ac:dyDescent="0.2">
      <c r="A1065">
        <f t="shared" si="16"/>
        <v>1059</v>
      </c>
      <c r="B1065">
        <v>2016</v>
      </c>
      <c r="C1065" t="s">
        <v>188</v>
      </c>
      <c r="D1065" s="17" t="s">
        <v>630</v>
      </c>
      <c r="E1065" s="65">
        <v>2060</v>
      </c>
      <c r="F1065" s="33"/>
      <c r="G1065" t="s">
        <v>1303</v>
      </c>
      <c r="H1065" t="s">
        <v>148</v>
      </c>
      <c r="J1065" t="s">
        <v>131</v>
      </c>
      <c r="K1065" t="s">
        <v>131</v>
      </c>
      <c r="L1065" s="17">
        <v>0</v>
      </c>
      <c r="M1065" s="28"/>
    </row>
    <row r="1066" spans="1:13" s="25" customFormat="1" x14ac:dyDescent="0.2">
      <c r="A1066">
        <f t="shared" si="16"/>
        <v>1060</v>
      </c>
      <c r="B1066">
        <v>2016</v>
      </c>
      <c r="C1066" t="s">
        <v>188</v>
      </c>
      <c r="D1066" t="s">
        <v>1304</v>
      </c>
      <c r="E1066" s="65">
        <v>140</v>
      </c>
      <c r="F1066" s="33"/>
      <c r="G1066" t="s">
        <v>1305</v>
      </c>
      <c r="H1066" t="s">
        <v>155</v>
      </c>
      <c r="J1066" t="s">
        <v>98</v>
      </c>
      <c r="K1066" t="s">
        <v>195</v>
      </c>
      <c r="L1066" s="17">
        <v>1</v>
      </c>
      <c r="M1066" s="28"/>
    </row>
    <row r="1067" spans="1:13" s="25" customFormat="1" x14ac:dyDescent="0.2">
      <c r="A1067">
        <f t="shared" si="16"/>
        <v>1061</v>
      </c>
      <c r="B1067">
        <v>2016</v>
      </c>
      <c r="C1067" t="s">
        <v>188</v>
      </c>
      <c r="D1067" t="s">
        <v>739</v>
      </c>
      <c r="E1067" s="65">
        <v>120</v>
      </c>
      <c r="F1067" s="33"/>
      <c r="G1067" t="s">
        <v>1306</v>
      </c>
      <c r="H1067" t="s">
        <v>151</v>
      </c>
      <c r="I1067" t="s">
        <v>279</v>
      </c>
      <c r="J1067" t="s">
        <v>23</v>
      </c>
      <c r="K1067" t="s">
        <v>183</v>
      </c>
      <c r="L1067" s="17">
        <v>1</v>
      </c>
      <c r="M1067" s="28" t="s">
        <v>178</v>
      </c>
    </row>
    <row r="1068" spans="1:13" s="25" customFormat="1" x14ac:dyDescent="0.2">
      <c r="A1068">
        <f t="shared" si="16"/>
        <v>1062</v>
      </c>
      <c r="B1068">
        <v>2016</v>
      </c>
      <c r="C1068" t="s">
        <v>188</v>
      </c>
      <c r="D1068" t="s">
        <v>1307</v>
      </c>
      <c r="E1068" s="65">
        <v>8600</v>
      </c>
      <c r="F1068" s="33">
        <v>0.84</v>
      </c>
      <c r="G1068" t="s">
        <v>1308</v>
      </c>
      <c r="H1068" t="s">
        <v>145</v>
      </c>
      <c r="J1068" t="s">
        <v>41</v>
      </c>
      <c r="K1068" t="s">
        <v>195</v>
      </c>
      <c r="L1068" s="17">
        <v>0</v>
      </c>
      <c r="M1068" s="28"/>
    </row>
    <row r="1069" spans="1:13" s="25" customFormat="1" x14ac:dyDescent="0.2">
      <c r="A1069">
        <f t="shared" si="16"/>
        <v>1063</v>
      </c>
      <c r="B1069">
        <v>2016</v>
      </c>
      <c r="C1069" t="s">
        <v>188</v>
      </c>
      <c r="D1069" t="s">
        <v>1309</v>
      </c>
      <c r="E1069" s="65">
        <v>580</v>
      </c>
      <c r="F1069" s="33" t="s">
        <v>1310</v>
      </c>
      <c r="G1069" t="s">
        <v>1311</v>
      </c>
      <c r="H1069" t="s">
        <v>142</v>
      </c>
      <c r="J1069" t="s">
        <v>25</v>
      </c>
      <c r="K1069" t="s">
        <v>177</v>
      </c>
      <c r="L1069" s="17">
        <v>0</v>
      </c>
      <c r="M1069" s="28"/>
    </row>
    <row r="1070" spans="1:13" s="25" customFormat="1" x14ac:dyDescent="0.2">
      <c r="A1070">
        <f t="shared" si="16"/>
        <v>1064</v>
      </c>
      <c r="B1070">
        <v>2016</v>
      </c>
      <c r="C1070" t="s">
        <v>188</v>
      </c>
      <c r="D1070" t="s">
        <v>1018</v>
      </c>
      <c r="E1070" s="65">
        <v>150</v>
      </c>
      <c r="F1070" s="33">
        <v>1</v>
      </c>
      <c r="G1070" t="s">
        <v>1312</v>
      </c>
      <c r="H1070" t="s">
        <v>154</v>
      </c>
      <c r="I1070" t="s">
        <v>194</v>
      </c>
      <c r="J1070" t="s">
        <v>45</v>
      </c>
      <c r="K1070" t="s">
        <v>195</v>
      </c>
      <c r="L1070" s="17">
        <v>0</v>
      </c>
      <c r="M1070" s="28"/>
    </row>
    <row r="1071" spans="1:13" s="25" customFormat="1" x14ac:dyDescent="0.2">
      <c r="A1071">
        <f t="shared" si="16"/>
        <v>1065</v>
      </c>
      <c r="B1071">
        <v>2016</v>
      </c>
      <c r="C1071" t="s">
        <v>188</v>
      </c>
      <c r="D1071" t="s">
        <v>649</v>
      </c>
      <c r="E1071" s="65">
        <v>250</v>
      </c>
      <c r="F1071" s="33">
        <v>1</v>
      </c>
      <c r="H1071" t="s">
        <v>151</v>
      </c>
      <c r="I1071" t="s">
        <v>279</v>
      </c>
      <c r="J1071" t="s">
        <v>52</v>
      </c>
      <c r="K1071" t="s">
        <v>201</v>
      </c>
      <c r="L1071" s="17">
        <v>0</v>
      </c>
      <c r="M1071" s="28" t="s">
        <v>178</v>
      </c>
    </row>
    <row r="1072" spans="1:13" s="25" customFormat="1" x14ac:dyDescent="0.2">
      <c r="A1072">
        <f t="shared" si="16"/>
        <v>1066</v>
      </c>
      <c r="B1072">
        <v>2016</v>
      </c>
      <c r="C1072" t="s">
        <v>188</v>
      </c>
      <c r="D1072" t="s">
        <v>1129</v>
      </c>
      <c r="E1072" s="65">
        <v>240</v>
      </c>
      <c r="F1072" s="33">
        <v>1</v>
      </c>
      <c r="H1072" t="s">
        <v>144</v>
      </c>
      <c r="I1072" t="s">
        <v>232</v>
      </c>
      <c r="J1072" t="s">
        <v>72</v>
      </c>
      <c r="K1072" t="s">
        <v>183</v>
      </c>
      <c r="L1072" s="17">
        <v>1</v>
      </c>
      <c r="M1072" s="28" t="s">
        <v>178</v>
      </c>
    </row>
    <row r="1073" spans="1:13" s="25" customFormat="1" x14ac:dyDescent="0.2">
      <c r="A1073">
        <f t="shared" si="16"/>
        <v>1067</v>
      </c>
      <c r="B1073">
        <v>2016</v>
      </c>
      <c r="C1073" t="s">
        <v>188</v>
      </c>
      <c r="D1073" t="s">
        <v>980</v>
      </c>
      <c r="E1073" s="65">
        <v>110</v>
      </c>
      <c r="F1073" s="33"/>
      <c r="H1073" t="s">
        <v>154</v>
      </c>
      <c r="I1073" t="s">
        <v>271</v>
      </c>
      <c r="J1073" t="s">
        <v>94</v>
      </c>
      <c r="K1073" t="s">
        <v>177</v>
      </c>
      <c r="L1073" s="17">
        <v>0</v>
      </c>
      <c r="M1073" s="28"/>
    </row>
    <row r="1074" spans="1:13" s="25" customFormat="1" x14ac:dyDescent="0.2">
      <c r="A1074">
        <f t="shared" si="16"/>
        <v>1068</v>
      </c>
      <c r="B1074">
        <v>2016</v>
      </c>
      <c r="C1074" t="s">
        <v>188</v>
      </c>
      <c r="D1074" t="s">
        <v>397</v>
      </c>
      <c r="E1074" s="65">
        <v>200</v>
      </c>
      <c r="F1074" s="33"/>
      <c r="H1074" t="s">
        <v>151</v>
      </c>
      <c r="I1074" t="s">
        <v>224</v>
      </c>
      <c r="J1074" t="s">
        <v>20</v>
      </c>
      <c r="K1074" t="s">
        <v>195</v>
      </c>
      <c r="L1074" s="17">
        <v>0</v>
      </c>
      <c r="M1074" s="28"/>
    </row>
    <row r="1075" spans="1:13" s="25" customFormat="1" x14ac:dyDescent="0.2">
      <c r="A1075">
        <f t="shared" si="16"/>
        <v>1069</v>
      </c>
      <c r="B1075">
        <v>2016</v>
      </c>
      <c r="C1075" t="s">
        <v>188</v>
      </c>
      <c r="D1075" t="s">
        <v>1149</v>
      </c>
      <c r="E1075" s="65">
        <v>130</v>
      </c>
      <c r="F1075" s="33"/>
      <c r="G1075" t="s">
        <v>1313</v>
      </c>
      <c r="H1075" t="s">
        <v>151</v>
      </c>
      <c r="I1075" t="s">
        <v>224</v>
      </c>
      <c r="J1075" t="s">
        <v>9</v>
      </c>
      <c r="K1075" t="s">
        <v>9</v>
      </c>
      <c r="L1075" s="17">
        <v>0</v>
      </c>
      <c r="M1075" s="28"/>
    </row>
    <row r="1076" spans="1:13" s="25" customFormat="1" x14ac:dyDescent="0.2">
      <c r="A1076">
        <f t="shared" si="16"/>
        <v>1070</v>
      </c>
      <c r="B1076">
        <v>2016</v>
      </c>
      <c r="C1076" t="s">
        <v>188</v>
      </c>
      <c r="D1076" t="s">
        <v>175</v>
      </c>
      <c r="E1076" s="65">
        <v>180</v>
      </c>
      <c r="F1076" s="33"/>
      <c r="H1076" t="s">
        <v>149</v>
      </c>
      <c r="J1076" t="s">
        <v>9</v>
      </c>
      <c r="K1076" t="s">
        <v>9</v>
      </c>
      <c r="L1076" s="17">
        <v>0</v>
      </c>
      <c r="M1076" s="28"/>
    </row>
    <row r="1077" spans="1:13" s="25" customFormat="1" x14ac:dyDescent="0.2">
      <c r="A1077">
        <f t="shared" si="16"/>
        <v>1071</v>
      </c>
      <c r="B1077">
        <v>2016</v>
      </c>
      <c r="C1077" t="s">
        <v>191</v>
      </c>
      <c r="D1077" t="s">
        <v>1314</v>
      </c>
      <c r="E1077" s="65">
        <v>610</v>
      </c>
      <c r="F1077" s="33"/>
      <c r="G1077" t="s">
        <v>1315</v>
      </c>
      <c r="H1077" t="s">
        <v>152</v>
      </c>
      <c r="I1077" t="s">
        <v>257</v>
      </c>
      <c r="J1077" t="s">
        <v>91</v>
      </c>
      <c r="K1077" t="s">
        <v>195</v>
      </c>
      <c r="L1077" s="17">
        <v>0</v>
      </c>
      <c r="M1077" s="28"/>
    </row>
    <row r="1078" spans="1:13" s="25" customFormat="1" x14ac:dyDescent="0.2">
      <c r="A1078">
        <f t="shared" si="16"/>
        <v>1072</v>
      </c>
      <c r="B1078">
        <v>2016</v>
      </c>
      <c r="C1078" t="s">
        <v>191</v>
      </c>
      <c r="D1078" t="s">
        <v>661</v>
      </c>
      <c r="E1078" s="65">
        <v>1210</v>
      </c>
      <c r="F1078" s="33">
        <v>1</v>
      </c>
      <c r="G1078" t="s">
        <v>1316</v>
      </c>
      <c r="H1078" t="s">
        <v>145</v>
      </c>
      <c r="J1078" t="s">
        <v>20</v>
      </c>
      <c r="K1078" t="s">
        <v>195</v>
      </c>
      <c r="L1078" s="17">
        <v>0</v>
      </c>
      <c r="M1078" s="28"/>
    </row>
    <row r="1079" spans="1:13" s="25" customFormat="1" x14ac:dyDescent="0.2">
      <c r="A1079">
        <f t="shared" si="16"/>
        <v>1073</v>
      </c>
      <c r="B1079">
        <v>2016</v>
      </c>
      <c r="C1079" t="s">
        <v>191</v>
      </c>
      <c r="D1079" t="s">
        <v>997</v>
      </c>
      <c r="E1079" s="65">
        <v>230</v>
      </c>
      <c r="F1079" s="33">
        <v>0.14000000000000001</v>
      </c>
      <c r="G1079" t="s">
        <v>1317</v>
      </c>
      <c r="H1079" t="s">
        <v>150</v>
      </c>
      <c r="J1079" t="s">
        <v>131</v>
      </c>
      <c r="K1079" t="s">
        <v>131</v>
      </c>
      <c r="L1079" s="17">
        <v>0</v>
      </c>
      <c r="M1079" s="28"/>
    </row>
    <row r="1080" spans="1:13" s="25" customFormat="1" x14ac:dyDescent="0.2">
      <c r="A1080">
        <f t="shared" si="16"/>
        <v>1074</v>
      </c>
      <c r="B1080">
        <v>2016</v>
      </c>
      <c r="C1080" t="s">
        <v>191</v>
      </c>
      <c r="D1080" t="s">
        <v>1318</v>
      </c>
      <c r="E1080" s="65">
        <v>370</v>
      </c>
      <c r="F1080" s="33">
        <v>0.28999999999999998</v>
      </c>
      <c r="G1080" t="s">
        <v>1319</v>
      </c>
      <c r="H1080" t="s">
        <v>147</v>
      </c>
      <c r="J1080" t="s">
        <v>9</v>
      </c>
      <c r="K1080" t="s">
        <v>9</v>
      </c>
      <c r="L1080" s="17">
        <v>0</v>
      </c>
      <c r="M1080" s="28"/>
    </row>
    <row r="1081" spans="1:13" s="25" customFormat="1" x14ac:dyDescent="0.2">
      <c r="A1081">
        <f t="shared" si="16"/>
        <v>1075</v>
      </c>
      <c r="B1081">
        <v>2016</v>
      </c>
      <c r="C1081" t="s">
        <v>191</v>
      </c>
      <c r="D1081" t="s">
        <v>1178</v>
      </c>
      <c r="E1081" s="65">
        <v>270</v>
      </c>
      <c r="F1081" s="33"/>
      <c r="G1081" t="s">
        <v>1320</v>
      </c>
      <c r="H1081" t="s">
        <v>147</v>
      </c>
      <c r="J1081" t="s">
        <v>119</v>
      </c>
      <c r="K1081" t="s">
        <v>195</v>
      </c>
      <c r="L1081" s="17">
        <v>0</v>
      </c>
      <c r="M1081" s="28"/>
    </row>
    <row r="1082" spans="1:13" s="25" customFormat="1" x14ac:dyDescent="0.2">
      <c r="A1082">
        <f t="shared" si="16"/>
        <v>1076</v>
      </c>
      <c r="B1082">
        <v>2016</v>
      </c>
      <c r="C1082" t="s">
        <v>191</v>
      </c>
      <c r="D1082" t="s">
        <v>1321</v>
      </c>
      <c r="E1082" s="65">
        <v>180</v>
      </c>
      <c r="F1082" s="33">
        <v>0.72</v>
      </c>
      <c r="G1082" t="s">
        <v>1322</v>
      </c>
      <c r="H1082" t="s">
        <v>142</v>
      </c>
      <c r="J1082" t="s">
        <v>86</v>
      </c>
      <c r="K1082" t="s">
        <v>183</v>
      </c>
      <c r="L1082" s="17">
        <v>1</v>
      </c>
      <c r="M1082" s="28"/>
    </row>
    <row r="1083" spans="1:13" s="25" customFormat="1" x14ac:dyDescent="0.2">
      <c r="A1083">
        <f t="shared" si="16"/>
        <v>1077</v>
      </c>
      <c r="B1083">
        <v>2016</v>
      </c>
      <c r="C1083" t="s">
        <v>191</v>
      </c>
      <c r="D1083" t="s">
        <v>210</v>
      </c>
      <c r="E1083" s="65">
        <v>1400</v>
      </c>
      <c r="F1083" s="33">
        <v>0.4</v>
      </c>
      <c r="G1083" t="s">
        <v>1323</v>
      </c>
      <c r="H1083" t="s">
        <v>142</v>
      </c>
      <c r="J1083" t="s">
        <v>57</v>
      </c>
      <c r="K1083" t="s">
        <v>195</v>
      </c>
      <c r="L1083" s="17">
        <v>0</v>
      </c>
      <c r="M1083" s="28"/>
    </row>
    <row r="1084" spans="1:13" s="25" customFormat="1" x14ac:dyDescent="0.2">
      <c r="A1084">
        <f t="shared" si="16"/>
        <v>1078</v>
      </c>
      <c r="B1084">
        <v>2016</v>
      </c>
      <c r="C1084" t="s">
        <v>191</v>
      </c>
      <c r="D1084" t="s">
        <v>1324</v>
      </c>
      <c r="E1084" s="65">
        <v>300</v>
      </c>
      <c r="F1084" s="33">
        <v>1</v>
      </c>
      <c r="G1084" t="s">
        <v>1325</v>
      </c>
      <c r="H1084" t="s">
        <v>149</v>
      </c>
      <c r="J1084" t="s">
        <v>60</v>
      </c>
      <c r="K1084" t="s">
        <v>177</v>
      </c>
      <c r="L1084" s="17">
        <v>1</v>
      </c>
      <c r="M1084" s="28"/>
    </row>
    <row r="1085" spans="1:13" s="25" customFormat="1" x14ac:dyDescent="0.2">
      <c r="A1085">
        <f t="shared" si="16"/>
        <v>1079</v>
      </c>
      <c r="B1085">
        <v>2016</v>
      </c>
      <c r="C1085" t="s">
        <v>191</v>
      </c>
      <c r="D1085" t="s">
        <v>246</v>
      </c>
      <c r="E1085" s="65">
        <v>220</v>
      </c>
      <c r="F1085" s="33">
        <v>1</v>
      </c>
      <c r="H1085" t="s">
        <v>144</v>
      </c>
      <c r="I1085" t="s">
        <v>232</v>
      </c>
      <c r="J1085" t="s">
        <v>93</v>
      </c>
      <c r="K1085" t="s">
        <v>201</v>
      </c>
      <c r="L1085" s="17">
        <v>1</v>
      </c>
      <c r="M1085" s="28" t="s">
        <v>178</v>
      </c>
    </row>
    <row r="1086" spans="1:13" s="25" customFormat="1" x14ac:dyDescent="0.2">
      <c r="A1086">
        <f t="shared" si="16"/>
        <v>1080</v>
      </c>
      <c r="B1086">
        <v>2016</v>
      </c>
      <c r="C1086" t="s">
        <v>191</v>
      </c>
      <c r="D1086" t="s">
        <v>649</v>
      </c>
      <c r="E1086" s="65">
        <v>100</v>
      </c>
      <c r="F1086" s="33"/>
      <c r="H1086" t="s">
        <v>151</v>
      </c>
      <c r="I1086" t="s">
        <v>279</v>
      </c>
      <c r="J1086" t="s">
        <v>19</v>
      </c>
      <c r="K1086" t="s">
        <v>205</v>
      </c>
      <c r="L1086" s="17">
        <v>0</v>
      </c>
      <c r="M1086" s="28"/>
    </row>
    <row r="1087" spans="1:13" s="25" customFormat="1" x14ac:dyDescent="0.2">
      <c r="A1087">
        <f t="shared" si="16"/>
        <v>1081</v>
      </c>
      <c r="B1087">
        <v>2016</v>
      </c>
      <c r="C1087" t="s">
        <v>191</v>
      </c>
      <c r="D1087" t="s">
        <v>661</v>
      </c>
      <c r="E1087" s="65">
        <v>1160</v>
      </c>
      <c r="F1087" s="33"/>
      <c r="G1087" t="s">
        <v>1326</v>
      </c>
      <c r="H1087" t="s">
        <v>145</v>
      </c>
      <c r="J1087" t="s">
        <v>131</v>
      </c>
      <c r="K1087" t="s">
        <v>131</v>
      </c>
      <c r="L1087" s="17">
        <v>0</v>
      </c>
      <c r="M1087" s="28"/>
    </row>
    <row r="1088" spans="1:13" s="25" customFormat="1" x14ac:dyDescent="0.2">
      <c r="A1088">
        <f t="shared" si="16"/>
        <v>1082</v>
      </c>
      <c r="B1088">
        <v>2016</v>
      </c>
      <c r="C1088" t="s">
        <v>191</v>
      </c>
      <c r="D1088" t="s">
        <v>1327</v>
      </c>
      <c r="E1088" s="65">
        <v>440</v>
      </c>
      <c r="F1088" s="33"/>
      <c r="G1088" t="s">
        <v>1328</v>
      </c>
      <c r="H1088" t="s">
        <v>150</v>
      </c>
      <c r="I1088" t="s">
        <v>217</v>
      </c>
      <c r="J1088" t="s">
        <v>45</v>
      </c>
      <c r="K1088" t="s">
        <v>195</v>
      </c>
      <c r="L1088" s="17">
        <v>0</v>
      </c>
      <c r="M1088" s="28"/>
    </row>
    <row r="1089" spans="1:13" s="25" customFormat="1" x14ac:dyDescent="0.2">
      <c r="A1089">
        <f t="shared" si="16"/>
        <v>1083</v>
      </c>
      <c r="B1089">
        <v>2016</v>
      </c>
      <c r="C1089" t="s">
        <v>191</v>
      </c>
      <c r="D1089" t="s">
        <v>520</v>
      </c>
      <c r="E1089" s="65">
        <v>200</v>
      </c>
      <c r="F1089" s="33">
        <v>0.44</v>
      </c>
      <c r="G1089" t="s">
        <v>521</v>
      </c>
      <c r="H1089" t="s">
        <v>152</v>
      </c>
      <c r="J1089" t="s">
        <v>61</v>
      </c>
      <c r="K1089" t="s">
        <v>183</v>
      </c>
      <c r="L1089" s="17">
        <v>0</v>
      </c>
      <c r="M1089" s="28"/>
    </row>
    <row r="1090" spans="1:13" s="25" customFormat="1" x14ac:dyDescent="0.2">
      <c r="A1090">
        <f t="shared" si="16"/>
        <v>1084</v>
      </c>
      <c r="B1090">
        <v>2016</v>
      </c>
      <c r="C1090" t="s">
        <v>191</v>
      </c>
      <c r="D1090" t="s">
        <v>1329</v>
      </c>
      <c r="E1090" s="65">
        <v>140</v>
      </c>
      <c r="F1090" s="33"/>
      <c r="H1090" t="s">
        <v>151</v>
      </c>
      <c r="I1090" t="s">
        <v>224</v>
      </c>
      <c r="J1090" t="s">
        <v>9</v>
      </c>
      <c r="K1090" t="s">
        <v>9</v>
      </c>
      <c r="L1090" s="17">
        <v>0</v>
      </c>
      <c r="M1090" s="28" t="s">
        <v>178</v>
      </c>
    </row>
    <row r="1091" spans="1:13" s="25" customFormat="1" x14ac:dyDescent="0.2">
      <c r="A1091">
        <f t="shared" si="16"/>
        <v>1085</v>
      </c>
      <c r="B1091">
        <v>2016</v>
      </c>
      <c r="C1091" t="s">
        <v>191</v>
      </c>
      <c r="D1091" t="s">
        <v>1330</v>
      </c>
      <c r="E1091" s="65">
        <v>410</v>
      </c>
      <c r="F1091" s="33">
        <v>0.91</v>
      </c>
      <c r="G1091" t="s">
        <v>1331</v>
      </c>
      <c r="H1091" t="s">
        <v>153</v>
      </c>
      <c r="J1091" t="s">
        <v>131</v>
      </c>
      <c r="K1091" t="s">
        <v>131</v>
      </c>
      <c r="L1091" s="17">
        <v>0</v>
      </c>
      <c r="M1091" s="28"/>
    </row>
    <row r="1092" spans="1:13" s="25" customFormat="1" x14ac:dyDescent="0.2">
      <c r="A1092">
        <f t="shared" si="16"/>
        <v>1086</v>
      </c>
      <c r="B1092">
        <v>2016</v>
      </c>
      <c r="C1092" t="s">
        <v>191</v>
      </c>
      <c r="D1092" t="s">
        <v>953</v>
      </c>
      <c r="E1092" s="65">
        <v>110</v>
      </c>
      <c r="F1092" s="33"/>
      <c r="H1092" t="s">
        <v>151</v>
      </c>
      <c r="I1092" t="s">
        <v>279</v>
      </c>
      <c r="J1092" t="s">
        <v>9</v>
      </c>
      <c r="K1092" t="s">
        <v>9</v>
      </c>
      <c r="L1092" s="17">
        <v>0</v>
      </c>
      <c r="M1092" s="28"/>
    </row>
    <row r="1093" spans="1:13" s="25" customFormat="1" x14ac:dyDescent="0.2">
      <c r="A1093">
        <f t="shared" si="16"/>
        <v>1087</v>
      </c>
      <c r="B1093">
        <v>2016</v>
      </c>
      <c r="C1093" t="s">
        <v>191</v>
      </c>
      <c r="D1093" t="s">
        <v>1332</v>
      </c>
      <c r="E1093" s="65">
        <v>130</v>
      </c>
      <c r="F1093" s="33"/>
      <c r="H1093" t="s">
        <v>151</v>
      </c>
      <c r="I1093" t="s">
        <v>224</v>
      </c>
      <c r="J1093" t="s">
        <v>9</v>
      </c>
      <c r="K1093" t="s">
        <v>9</v>
      </c>
      <c r="L1093" s="17">
        <v>0</v>
      </c>
      <c r="M1093" s="28"/>
    </row>
    <row r="1094" spans="1:13" s="25" customFormat="1" x14ac:dyDescent="0.2">
      <c r="A1094">
        <f t="shared" si="16"/>
        <v>1088</v>
      </c>
      <c r="B1094">
        <v>2016</v>
      </c>
      <c r="C1094" t="s">
        <v>191</v>
      </c>
      <c r="D1094" t="s">
        <v>373</v>
      </c>
      <c r="E1094" s="65">
        <v>700</v>
      </c>
      <c r="F1094" s="33">
        <v>0.8</v>
      </c>
      <c r="G1094" t="s">
        <v>1333</v>
      </c>
      <c r="H1094" t="s">
        <v>154</v>
      </c>
      <c r="I1094" t="s">
        <v>250</v>
      </c>
      <c r="J1094" t="s">
        <v>119</v>
      </c>
      <c r="K1094" t="s">
        <v>195</v>
      </c>
      <c r="L1094" s="17">
        <v>0</v>
      </c>
      <c r="M1094" s="28"/>
    </row>
    <row r="1095" spans="1:13" s="25" customFormat="1" x14ac:dyDescent="0.2">
      <c r="A1095">
        <f t="shared" ref="A1095:A1158" si="17">ROW()-6</f>
        <v>1089</v>
      </c>
      <c r="B1095">
        <v>2016</v>
      </c>
      <c r="C1095" t="s">
        <v>191</v>
      </c>
      <c r="D1095" t="s">
        <v>1334</v>
      </c>
      <c r="E1095" s="65">
        <v>4400</v>
      </c>
      <c r="F1095" s="33"/>
      <c r="G1095" t="s">
        <v>1335</v>
      </c>
      <c r="H1095" t="s">
        <v>145</v>
      </c>
      <c r="J1095" t="s">
        <v>57</v>
      </c>
      <c r="K1095" t="s">
        <v>195</v>
      </c>
      <c r="L1095" s="17">
        <v>0</v>
      </c>
      <c r="M1095" s="28"/>
    </row>
    <row r="1096" spans="1:13" s="25" customFormat="1" x14ac:dyDescent="0.2">
      <c r="A1096">
        <f t="shared" si="17"/>
        <v>1090</v>
      </c>
      <c r="B1096">
        <v>2016</v>
      </c>
      <c r="C1096" t="s">
        <v>191</v>
      </c>
      <c r="D1096" t="s">
        <v>554</v>
      </c>
      <c r="E1096" s="65">
        <v>500</v>
      </c>
      <c r="F1096" s="33">
        <v>0.67</v>
      </c>
      <c r="H1096" t="s">
        <v>151</v>
      </c>
      <c r="I1096" t="s">
        <v>224</v>
      </c>
      <c r="J1096" t="s">
        <v>61</v>
      </c>
      <c r="K1096" t="s">
        <v>183</v>
      </c>
      <c r="L1096" s="17">
        <v>0</v>
      </c>
      <c r="M1096" s="28"/>
    </row>
    <row r="1097" spans="1:13" s="25" customFormat="1" x14ac:dyDescent="0.2">
      <c r="A1097">
        <f t="shared" si="17"/>
        <v>1091</v>
      </c>
      <c r="B1097">
        <v>2016</v>
      </c>
      <c r="C1097" t="s">
        <v>191</v>
      </c>
      <c r="D1097" t="s">
        <v>269</v>
      </c>
      <c r="E1097" s="65">
        <v>120</v>
      </c>
      <c r="F1097" s="33">
        <v>1</v>
      </c>
      <c r="G1097" t="s">
        <v>1336</v>
      </c>
      <c r="H1097" t="s">
        <v>154</v>
      </c>
      <c r="I1097" t="s">
        <v>194</v>
      </c>
      <c r="J1097" t="s">
        <v>20</v>
      </c>
      <c r="K1097" t="s">
        <v>195</v>
      </c>
      <c r="L1097" s="17">
        <v>0</v>
      </c>
      <c r="M1097" s="28"/>
    </row>
    <row r="1098" spans="1:13" s="25" customFormat="1" x14ac:dyDescent="0.2">
      <c r="A1098">
        <f t="shared" si="17"/>
        <v>1092</v>
      </c>
      <c r="B1098">
        <v>2016</v>
      </c>
      <c r="C1098" t="s">
        <v>191</v>
      </c>
      <c r="D1098" t="s">
        <v>1337</v>
      </c>
      <c r="E1098" s="65">
        <v>610</v>
      </c>
      <c r="F1098" s="33"/>
      <c r="G1098" t="s">
        <v>1338</v>
      </c>
      <c r="H1098" t="s">
        <v>152</v>
      </c>
      <c r="J1098" t="s">
        <v>131</v>
      </c>
      <c r="K1098" t="s">
        <v>131</v>
      </c>
      <c r="L1098" s="17">
        <v>0</v>
      </c>
      <c r="M1098" s="28"/>
    </row>
    <row r="1099" spans="1:13" s="25" customFormat="1" x14ac:dyDescent="0.2">
      <c r="A1099">
        <f t="shared" si="17"/>
        <v>1093</v>
      </c>
      <c r="B1099">
        <v>2016</v>
      </c>
      <c r="C1099" t="s">
        <v>191</v>
      </c>
      <c r="D1099" t="s">
        <v>269</v>
      </c>
      <c r="E1099" s="65">
        <v>320</v>
      </c>
      <c r="F1099" s="33">
        <v>0.51</v>
      </c>
      <c r="H1099" t="s">
        <v>154</v>
      </c>
      <c r="I1099" t="s">
        <v>271</v>
      </c>
      <c r="J1099" t="s">
        <v>47</v>
      </c>
      <c r="K1099" t="s">
        <v>195</v>
      </c>
      <c r="L1099" s="17">
        <v>1</v>
      </c>
      <c r="M1099" s="28"/>
    </row>
    <row r="1100" spans="1:13" s="25" customFormat="1" x14ac:dyDescent="0.2">
      <c r="A1100">
        <f t="shared" si="17"/>
        <v>1094</v>
      </c>
      <c r="B1100">
        <v>2016</v>
      </c>
      <c r="C1100" t="s">
        <v>191</v>
      </c>
      <c r="D1100" t="s">
        <v>754</v>
      </c>
      <c r="E1100" s="65">
        <v>150</v>
      </c>
      <c r="F1100" s="33"/>
      <c r="H1100" t="s">
        <v>149</v>
      </c>
      <c r="I1100" t="s">
        <v>182</v>
      </c>
      <c r="J1100" t="s">
        <v>72</v>
      </c>
      <c r="K1100" t="s">
        <v>183</v>
      </c>
      <c r="L1100" s="17">
        <v>1</v>
      </c>
      <c r="M1100" s="28"/>
    </row>
    <row r="1101" spans="1:13" s="25" customFormat="1" x14ac:dyDescent="0.2">
      <c r="A1101">
        <f t="shared" si="17"/>
        <v>1095</v>
      </c>
      <c r="B1101">
        <v>2016</v>
      </c>
      <c r="C1101" t="s">
        <v>198</v>
      </c>
      <c r="D1101" t="s">
        <v>1339</v>
      </c>
      <c r="E1101" s="65">
        <v>150</v>
      </c>
      <c r="F1101" s="33"/>
      <c r="G1101" t="s">
        <v>1340</v>
      </c>
      <c r="H1101" t="s">
        <v>149</v>
      </c>
      <c r="I1101" t="s">
        <v>182</v>
      </c>
      <c r="J1101" t="s">
        <v>52</v>
      </c>
      <c r="K1101" t="s">
        <v>201</v>
      </c>
      <c r="L1101" s="17">
        <v>0</v>
      </c>
      <c r="M1101" s="28"/>
    </row>
    <row r="1102" spans="1:13" s="25" customFormat="1" x14ac:dyDescent="0.2">
      <c r="A1102">
        <f t="shared" si="17"/>
        <v>1096</v>
      </c>
      <c r="B1102">
        <v>2016</v>
      </c>
      <c r="C1102" t="s">
        <v>198</v>
      </c>
      <c r="D1102" t="s">
        <v>1341</v>
      </c>
      <c r="E1102" s="65">
        <v>230</v>
      </c>
      <c r="F1102" s="33"/>
      <c r="G1102" t="s">
        <v>1342</v>
      </c>
      <c r="H1102" t="s">
        <v>142</v>
      </c>
      <c r="J1102" t="s">
        <v>9</v>
      </c>
      <c r="K1102" t="s">
        <v>9</v>
      </c>
      <c r="L1102" s="17">
        <v>0</v>
      </c>
      <c r="M1102" s="28"/>
    </row>
    <row r="1103" spans="1:13" s="25" customFormat="1" x14ac:dyDescent="0.2">
      <c r="A1103">
        <f t="shared" si="17"/>
        <v>1097</v>
      </c>
      <c r="B1103">
        <v>2016</v>
      </c>
      <c r="C1103" t="s">
        <v>198</v>
      </c>
      <c r="D1103" t="s">
        <v>373</v>
      </c>
      <c r="E1103" s="65">
        <v>340</v>
      </c>
      <c r="F1103" s="33"/>
      <c r="G1103" t="s">
        <v>1343</v>
      </c>
      <c r="H1103" t="s">
        <v>152</v>
      </c>
      <c r="J1103" t="s">
        <v>131</v>
      </c>
      <c r="K1103" t="s">
        <v>131</v>
      </c>
      <c r="L1103" s="17">
        <v>0</v>
      </c>
      <c r="M1103" s="28"/>
    </row>
    <row r="1104" spans="1:13" s="25" customFormat="1" x14ac:dyDescent="0.2">
      <c r="A1104">
        <f t="shared" si="17"/>
        <v>1098</v>
      </c>
      <c r="B1104">
        <v>2016</v>
      </c>
      <c r="C1104" t="s">
        <v>198</v>
      </c>
      <c r="D1104" t="s">
        <v>1344</v>
      </c>
      <c r="E1104" s="65">
        <v>1000</v>
      </c>
      <c r="F1104" s="33">
        <v>1.4999999999999999E-2</v>
      </c>
      <c r="G1104" t="s">
        <v>1345</v>
      </c>
      <c r="H1104" t="s">
        <v>154</v>
      </c>
      <c r="I1104" t="s">
        <v>194</v>
      </c>
      <c r="J1104" t="s">
        <v>131</v>
      </c>
      <c r="K1104" t="s">
        <v>131</v>
      </c>
      <c r="L1104" s="17">
        <v>0</v>
      </c>
      <c r="M1104" s="28"/>
    </row>
    <row r="1105" spans="1:13" s="25" customFormat="1" x14ac:dyDescent="0.2">
      <c r="A1105">
        <f t="shared" si="17"/>
        <v>1099</v>
      </c>
      <c r="B1105">
        <v>2016</v>
      </c>
      <c r="C1105" t="s">
        <v>198</v>
      </c>
      <c r="D1105" t="s">
        <v>1346</v>
      </c>
      <c r="E1105" s="65">
        <v>170</v>
      </c>
      <c r="F1105" s="33"/>
      <c r="H1105" t="s">
        <v>152</v>
      </c>
      <c r="J1105" t="s">
        <v>131</v>
      </c>
      <c r="K1105" t="s">
        <v>131</v>
      </c>
      <c r="L1105" s="17">
        <v>0</v>
      </c>
      <c r="M1105" s="28" t="s">
        <v>178</v>
      </c>
    </row>
    <row r="1106" spans="1:13" s="25" customFormat="1" x14ac:dyDescent="0.2">
      <c r="A1106">
        <f t="shared" si="17"/>
        <v>1100</v>
      </c>
      <c r="B1106">
        <v>2016</v>
      </c>
      <c r="C1106" t="s">
        <v>198</v>
      </c>
      <c r="D1106" t="s">
        <v>1347</v>
      </c>
      <c r="E1106" s="65">
        <v>150</v>
      </c>
      <c r="F1106" s="33"/>
      <c r="G1106" t="s">
        <v>1348</v>
      </c>
      <c r="H1106" t="s">
        <v>144</v>
      </c>
      <c r="I1106" t="s">
        <v>232</v>
      </c>
      <c r="J1106" t="s">
        <v>131</v>
      </c>
      <c r="K1106" t="s">
        <v>131</v>
      </c>
      <c r="L1106" s="17">
        <v>0</v>
      </c>
      <c r="M1106" s="28"/>
    </row>
    <row r="1107" spans="1:13" s="25" customFormat="1" x14ac:dyDescent="0.2">
      <c r="A1107">
        <f t="shared" si="17"/>
        <v>1101</v>
      </c>
      <c r="B1107">
        <v>2016</v>
      </c>
      <c r="C1107" t="s">
        <v>198</v>
      </c>
      <c r="D1107" t="s">
        <v>488</v>
      </c>
      <c r="E1107" s="65">
        <v>120</v>
      </c>
      <c r="F1107" s="33">
        <v>9.9000000000000005E-2</v>
      </c>
      <c r="G1107" t="s">
        <v>1349</v>
      </c>
      <c r="H1107" t="s">
        <v>147</v>
      </c>
      <c r="J1107" t="s">
        <v>131</v>
      </c>
      <c r="K1107" t="s">
        <v>131</v>
      </c>
      <c r="L1107" s="17">
        <v>0</v>
      </c>
      <c r="M1107" s="28"/>
    </row>
    <row r="1108" spans="1:13" s="25" customFormat="1" x14ac:dyDescent="0.2">
      <c r="A1108">
        <f t="shared" si="17"/>
        <v>1102</v>
      </c>
      <c r="B1108">
        <v>2016</v>
      </c>
      <c r="C1108" t="s">
        <v>198</v>
      </c>
      <c r="D1108" t="s">
        <v>1250</v>
      </c>
      <c r="E1108" s="65">
        <v>140</v>
      </c>
      <c r="F1108" s="33"/>
      <c r="G1108" t="s">
        <v>1350</v>
      </c>
      <c r="H1108" t="s">
        <v>151</v>
      </c>
      <c r="I1108" t="s">
        <v>224</v>
      </c>
      <c r="J1108" t="s">
        <v>131</v>
      </c>
      <c r="K1108" t="s">
        <v>131</v>
      </c>
      <c r="L1108" s="17">
        <v>0</v>
      </c>
      <c r="M1108" s="28"/>
    </row>
    <row r="1109" spans="1:13" s="25" customFormat="1" x14ac:dyDescent="0.2">
      <c r="A1109">
        <f t="shared" si="17"/>
        <v>1103</v>
      </c>
      <c r="B1109">
        <v>2016</v>
      </c>
      <c r="C1109" t="s">
        <v>198</v>
      </c>
      <c r="D1109" t="s">
        <v>1351</v>
      </c>
      <c r="E1109" s="65">
        <v>190</v>
      </c>
      <c r="F1109" s="33"/>
      <c r="G1109" t="s">
        <v>1352</v>
      </c>
      <c r="H1109" t="s">
        <v>145</v>
      </c>
      <c r="J1109" t="s">
        <v>20</v>
      </c>
      <c r="K1109" t="s">
        <v>195</v>
      </c>
      <c r="L1109" s="17">
        <v>0</v>
      </c>
      <c r="M1109" s="28"/>
    </row>
    <row r="1110" spans="1:13" s="25" customFormat="1" x14ac:dyDescent="0.2">
      <c r="A1110">
        <f t="shared" si="17"/>
        <v>1104</v>
      </c>
      <c r="B1110">
        <v>2016</v>
      </c>
      <c r="C1110" t="s">
        <v>198</v>
      </c>
      <c r="D1110" t="s">
        <v>1353</v>
      </c>
      <c r="E1110" s="65">
        <v>4680</v>
      </c>
      <c r="F1110" s="33">
        <v>0.82</v>
      </c>
      <c r="G1110" t="s">
        <v>1112</v>
      </c>
      <c r="H1110" t="s">
        <v>152</v>
      </c>
      <c r="J1110" t="s">
        <v>45</v>
      </c>
      <c r="K1110" t="s">
        <v>195</v>
      </c>
      <c r="L1110" s="17">
        <v>0</v>
      </c>
      <c r="M1110" s="28"/>
    </row>
    <row r="1111" spans="1:13" s="25" customFormat="1" x14ac:dyDescent="0.2">
      <c r="A1111">
        <f t="shared" si="17"/>
        <v>1105</v>
      </c>
      <c r="B1111">
        <v>2016</v>
      </c>
      <c r="C1111" t="s">
        <v>198</v>
      </c>
      <c r="D1111" t="s">
        <v>414</v>
      </c>
      <c r="E1111" s="65">
        <v>520</v>
      </c>
      <c r="F1111" s="33">
        <v>0.65</v>
      </c>
      <c r="G1111" t="s">
        <v>1354</v>
      </c>
      <c r="H1111" t="s">
        <v>154</v>
      </c>
      <c r="I1111" t="s">
        <v>194</v>
      </c>
      <c r="J1111" t="s">
        <v>112</v>
      </c>
      <c r="K1111" t="s">
        <v>219</v>
      </c>
      <c r="L1111" s="17">
        <v>1</v>
      </c>
      <c r="M1111" s="28" t="s">
        <v>178</v>
      </c>
    </row>
    <row r="1112" spans="1:13" s="25" customFormat="1" x14ac:dyDescent="0.2">
      <c r="A1112">
        <f t="shared" si="17"/>
        <v>1106</v>
      </c>
      <c r="B1112">
        <v>2016</v>
      </c>
      <c r="C1112" t="s">
        <v>198</v>
      </c>
      <c r="D1112" t="s">
        <v>399</v>
      </c>
      <c r="E1112" s="65">
        <v>220</v>
      </c>
      <c r="F1112" s="33">
        <v>1</v>
      </c>
      <c r="G1112" t="s">
        <v>1355</v>
      </c>
      <c r="H1112" t="s">
        <v>154</v>
      </c>
      <c r="I1112" t="s">
        <v>250</v>
      </c>
      <c r="J1112" t="s">
        <v>45</v>
      </c>
      <c r="K1112" t="s">
        <v>195</v>
      </c>
      <c r="L1112" s="17">
        <v>0</v>
      </c>
      <c r="M1112" s="28"/>
    </row>
    <row r="1113" spans="1:13" s="25" customFormat="1" x14ac:dyDescent="0.2">
      <c r="A1113">
        <f t="shared" si="17"/>
        <v>1107</v>
      </c>
      <c r="B1113">
        <v>2016</v>
      </c>
      <c r="C1113" t="s">
        <v>198</v>
      </c>
      <c r="D1113" t="s">
        <v>334</v>
      </c>
      <c r="E1113" s="65">
        <v>1440</v>
      </c>
      <c r="F1113" s="33">
        <v>0.49</v>
      </c>
      <c r="G1113" t="s">
        <v>861</v>
      </c>
      <c r="H1113" t="s">
        <v>142</v>
      </c>
      <c r="J1113" t="s">
        <v>85</v>
      </c>
      <c r="K1113" t="s">
        <v>195</v>
      </c>
      <c r="L1113" s="17">
        <v>0</v>
      </c>
      <c r="M1113" s="28"/>
    </row>
    <row r="1114" spans="1:13" s="25" customFormat="1" x14ac:dyDescent="0.2">
      <c r="A1114">
        <f t="shared" si="17"/>
        <v>1108</v>
      </c>
      <c r="B1114">
        <v>2016</v>
      </c>
      <c r="C1114" t="s">
        <v>198</v>
      </c>
      <c r="D1114" t="s">
        <v>1356</v>
      </c>
      <c r="E1114" s="65">
        <v>100</v>
      </c>
      <c r="F1114" s="33">
        <v>1</v>
      </c>
      <c r="H1114" t="s">
        <v>151</v>
      </c>
      <c r="I1114" t="s">
        <v>279</v>
      </c>
      <c r="J1114" t="s">
        <v>64</v>
      </c>
      <c r="K1114" t="s">
        <v>219</v>
      </c>
      <c r="L1114" s="17">
        <v>1</v>
      </c>
      <c r="M1114" s="28" t="s">
        <v>178</v>
      </c>
    </row>
    <row r="1115" spans="1:13" s="25" customFormat="1" x14ac:dyDescent="0.2">
      <c r="A1115">
        <f t="shared" si="17"/>
        <v>1109</v>
      </c>
      <c r="B1115">
        <v>2016</v>
      </c>
      <c r="C1115" t="s">
        <v>198</v>
      </c>
      <c r="D1115" t="s">
        <v>1357</v>
      </c>
      <c r="E1115" s="65">
        <v>130</v>
      </c>
      <c r="F1115" s="33">
        <v>0.51</v>
      </c>
      <c r="G1115" t="s">
        <v>1358</v>
      </c>
      <c r="H1115" t="s">
        <v>144</v>
      </c>
      <c r="J1115" t="s">
        <v>52</v>
      </c>
      <c r="K1115" t="s">
        <v>201</v>
      </c>
      <c r="L1115" s="17">
        <v>0</v>
      </c>
      <c r="M1115" s="28"/>
    </row>
    <row r="1116" spans="1:13" s="25" customFormat="1" x14ac:dyDescent="0.2">
      <c r="A1116">
        <f t="shared" si="17"/>
        <v>1110</v>
      </c>
      <c r="B1116">
        <v>2016</v>
      </c>
      <c r="C1116" t="s">
        <v>198</v>
      </c>
      <c r="D1116" t="s">
        <v>1359</v>
      </c>
      <c r="E1116" s="65">
        <v>110</v>
      </c>
      <c r="F1116" s="33">
        <v>0.2</v>
      </c>
      <c r="G1116" t="s">
        <v>1360</v>
      </c>
      <c r="H1116" t="s">
        <v>145</v>
      </c>
      <c r="J1116" t="s">
        <v>42</v>
      </c>
      <c r="K1116" t="s">
        <v>195</v>
      </c>
      <c r="L1116" s="17">
        <v>0</v>
      </c>
      <c r="M1116" s="28"/>
    </row>
    <row r="1117" spans="1:13" s="25" customFormat="1" x14ac:dyDescent="0.2">
      <c r="A1117">
        <f t="shared" si="17"/>
        <v>1111</v>
      </c>
      <c r="B1117">
        <v>2016</v>
      </c>
      <c r="C1117" t="s">
        <v>198</v>
      </c>
      <c r="D1117" t="s">
        <v>875</v>
      </c>
      <c r="E1117" s="65">
        <v>100</v>
      </c>
      <c r="F1117" s="33">
        <v>1</v>
      </c>
      <c r="H1117" t="s">
        <v>144</v>
      </c>
      <c r="I1117" t="s">
        <v>197</v>
      </c>
      <c r="J1117" t="s">
        <v>78</v>
      </c>
      <c r="K1117" t="s">
        <v>183</v>
      </c>
      <c r="L1117" s="17">
        <v>1</v>
      </c>
      <c r="M1117" s="28" t="s">
        <v>178</v>
      </c>
    </row>
    <row r="1118" spans="1:13" s="25" customFormat="1" x14ac:dyDescent="0.2">
      <c r="A1118">
        <f t="shared" si="17"/>
        <v>1112</v>
      </c>
      <c r="B1118">
        <v>2016</v>
      </c>
      <c r="C1118" t="s">
        <v>198</v>
      </c>
      <c r="D1118" t="s">
        <v>875</v>
      </c>
      <c r="E1118" s="65">
        <v>180</v>
      </c>
      <c r="F1118" s="33">
        <v>0.7</v>
      </c>
      <c r="G1118" t="s">
        <v>1361</v>
      </c>
      <c r="H1118" t="s">
        <v>151</v>
      </c>
      <c r="I1118" t="s">
        <v>279</v>
      </c>
      <c r="J1118" t="s">
        <v>63</v>
      </c>
      <c r="K1118" t="s">
        <v>201</v>
      </c>
      <c r="L1118" s="17">
        <v>1</v>
      </c>
      <c r="M1118" s="28" t="s">
        <v>178</v>
      </c>
    </row>
    <row r="1119" spans="1:13" s="25" customFormat="1" x14ac:dyDescent="0.2">
      <c r="A1119">
        <f t="shared" si="17"/>
        <v>1113</v>
      </c>
      <c r="B1119">
        <v>2016</v>
      </c>
      <c r="C1119" t="s">
        <v>198</v>
      </c>
      <c r="D1119" t="s">
        <v>223</v>
      </c>
      <c r="E1119" s="65">
        <v>300</v>
      </c>
      <c r="F1119" s="33">
        <v>0.13</v>
      </c>
      <c r="H1119" t="s">
        <v>151</v>
      </c>
      <c r="I1119" t="s">
        <v>224</v>
      </c>
      <c r="J1119" t="s">
        <v>131</v>
      </c>
      <c r="K1119" t="s">
        <v>131</v>
      </c>
      <c r="L1119" s="17">
        <v>0</v>
      </c>
      <c r="M1119" s="28"/>
    </row>
    <row r="1120" spans="1:13" s="25" customFormat="1" x14ac:dyDescent="0.2">
      <c r="A1120">
        <f t="shared" si="17"/>
        <v>1114</v>
      </c>
      <c r="B1120">
        <v>2016</v>
      </c>
      <c r="C1120" t="s">
        <v>198</v>
      </c>
      <c r="D1120" t="s">
        <v>373</v>
      </c>
      <c r="E1120" s="65">
        <v>260</v>
      </c>
      <c r="F1120" s="33"/>
      <c r="H1120" t="s">
        <v>151</v>
      </c>
      <c r="I1120" t="s">
        <v>224</v>
      </c>
      <c r="J1120" t="s">
        <v>131</v>
      </c>
      <c r="K1120" t="s">
        <v>131</v>
      </c>
      <c r="L1120" s="17">
        <v>0</v>
      </c>
      <c r="M1120" s="28"/>
    </row>
    <row r="1121" spans="1:13" s="25" customFormat="1" x14ac:dyDescent="0.2">
      <c r="A1121">
        <f t="shared" si="17"/>
        <v>1115</v>
      </c>
      <c r="B1121">
        <v>2016</v>
      </c>
      <c r="C1121" t="s">
        <v>198</v>
      </c>
      <c r="D1121" t="s">
        <v>1362</v>
      </c>
      <c r="E1121" s="65">
        <v>110</v>
      </c>
      <c r="F1121" s="33">
        <v>0.85</v>
      </c>
      <c r="G1121" t="s">
        <v>1363</v>
      </c>
      <c r="H1121" t="s">
        <v>150</v>
      </c>
      <c r="I1121" t="s">
        <v>217</v>
      </c>
      <c r="J1121" t="s">
        <v>45</v>
      </c>
      <c r="K1121" t="s">
        <v>195</v>
      </c>
      <c r="L1121" s="17">
        <v>0</v>
      </c>
      <c r="M1121" s="28"/>
    </row>
    <row r="1122" spans="1:13" s="25" customFormat="1" x14ac:dyDescent="0.2">
      <c r="A1122">
        <f t="shared" si="17"/>
        <v>1116</v>
      </c>
      <c r="B1122">
        <v>2016</v>
      </c>
      <c r="C1122" t="s">
        <v>198</v>
      </c>
      <c r="D1122" t="s">
        <v>1364</v>
      </c>
      <c r="E1122" s="65">
        <v>100</v>
      </c>
      <c r="F1122" s="33"/>
      <c r="G1122" t="s">
        <v>1365</v>
      </c>
      <c r="H1122" t="s">
        <v>145</v>
      </c>
      <c r="J1122" t="s">
        <v>131</v>
      </c>
      <c r="K1122" t="s">
        <v>131</v>
      </c>
      <c r="L1122" s="17">
        <v>0</v>
      </c>
      <c r="M1122" s="28"/>
    </row>
    <row r="1123" spans="1:13" s="25" customFormat="1" x14ac:dyDescent="0.2">
      <c r="A1123">
        <f t="shared" si="17"/>
        <v>1117</v>
      </c>
      <c r="B1123">
        <v>2016</v>
      </c>
      <c r="C1123" t="s">
        <v>198</v>
      </c>
      <c r="D1123" t="s">
        <v>1366</v>
      </c>
      <c r="E1123" s="65">
        <v>660</v>
      </c>
      <c r="F1123" s="33"/>
      <c r="H1123" t="s">
        <v>144</v>
      </c>
      <c r="I1123" t="s">
        <v>197</v>
      </c>
      <c r="J1123" t="s">
        <v>34</v>
      </c>
      <c r="K1123" t="s">
        <v>219</v>
      </c>
      <c r="L1123" s="17">
        <v>1</v>
      </c>
      <c r="M1123" s="28" t="s">
        <v>178</v>
      </c>
    </row>
    <row r="1124" spans="1:13" s="25" customFormat="1" x14ac:dyDescent="0.2">
      <c r="A1124">
        <f t="shared" si="17"/>
        <v>1118</v>
      </c>
      <c r="B1124">
        <v>2016</v>
      </c>
      <c r="C1124" t="s">
        <v>202</v>
      </c>
      <c r="D1124" t="s">
        <v>263</v>
      </c>
      <c r="E1124" s="65">
        <v>1460</v>
      </c>
      <c r="F1124" s="33">
        <v>0.2</v>
      </c>
      <c r="H1124" t="s">
        <v>154</v>
      </c>
      <c r="I1124" t="s">
        <v>271</v>
      </c>
      <c r="J1124" t="s">
        <v>9</v>
      </c>
      <c r="K1124" t="s">
        <v>9</v>
      </c>
      <c r="L1124" s="17">
        <v>0</v>
      </c>
      <c r="M1124" s="28"/>
    </row>
    <row r="1125" spans="1:13" s="25" customFormat="1" x14ac:dyDescent="0.2">
      <c r="A1125">
        <f t="shared" si="17"/>
        <v>1119</v>
      </c>
      <c r="B1125">
        <v>2016</v>
      </c>
      <c r="C1125" t="s">
        <v>202</v>
      </c>
      <c r="D1125" t="s">
        <v>1367</v>
      </c>
      <c r="E1125" s="65">
        <v>210</v>
      </c>
      <c r="F1125" s="33"/>
      <c r="H1125" t="s">
        <v>149</v>
      </c>
      <c r="J1125" t="s">
        <v>9</v>
      </c>
      <c r="K1125" t="s">
        <v>9</v>
      </c>
      <c r="L1125" s="17">
        <v>0</v>
      </c>
      <c r="M1125" s="28" t="s">
        <v>178</v>
      </c>
    </row>
    <row r="1126" spans="1:13" s="25" customFormat="1" x14ac:dyDescent="0.2">
      <c r="A1126">
        <f t="shared" si="17"/>
        <v>1120</v>
      </c>
      <c r="B1126">
        <v>2016</v>
      </c>
      <c r="C1126" t="s">
        <v>202</v>
      </c>
      <c r="D1126" t="s">
        <v>1367</v>
      </c>
      <c r="E1126" s="65">
        <v>210</v>
      </c>
      <c r="F1126" s="33">
        <v>0.02</v>
      </c>
      <c r="G1126" t="s">
        <v>1368</v>
      </c>
      <c r="H1126" t="s">
        <v>149</v>
      </c>
      <c r="J1126" t="s">
        <v>27</v>
      </c>
      <c r="K1126" t="s">
        <v>205</v>
      </c>
      <c r="L1126" s="17">
        <v>1</v>
      </c>
      <c r="M1126" s="28"/>
    </row>
    <row r="1127" spans="1:13" s="25" customFormat="1" x14ac:dyDescent="0.2">
      <c r="A1127">
        <f t="shared" si="17"/>
        <v>1121</v>
      </c>
      <c r="B1127">
        <v>2016</v>
      </c>
      <c r="C1127" t="s">
        <v>202</v>
      </c>
      <c r="D1127" t="s">
        <v>269</v>
      </c>
      <c r="E1127" s="65">
        <v>670</v>
      </c>
      <c r="F1127" s="33">
        <v>0.9</v>
      </c>
      <c r="H1127" t="s">
        <v>148</v>
      </c>
      <c r="J1127" t="s">
        <v>130</v>
      </c>
      <c r="K1127" t="s">
        <v>214</v>
      </c>
      <c r="L1127" s="17">
        <v>1</v>
      </c>
      <c r="M1127" s="28"/>
    </row>
    <row r="1128" spans="1:13" s="25" customFormat="1" x14ac:dyDescent="0.2">
      <c r="A1128">
        <f t="shared" si="17"/>
        <v>1122</v>
      </c>
      <c r="B1128">
        <v>2016</v>
      </c>
      <c r="C1128" t="s">
        <v>202</v>
      </c>
      <c r="D1128" t="s">
        <v>1071</v>
      </c>
      <c r="E1128" s="65">
        <v>110</v>
      </c>
      <c r="F1128" s="33"/>
      <c r="G1128" t="s">
        <v>1369</v>
      </c>
      <c r="H1128" t="s">
        <v>151</v>
      </c>
      <c r="I1128" t="s">
        <v>224</v>
      </c>
      <c r="J1128" t="s">
        <v>20</v>
      </c>
      <c r="K1128" t="s">
        <v>195</v>
      </c>
      <c r="L1128" s="17">
        <v>0</v>
      </c>
      <c r="M1128" s="28"/>
    </row>
    <row r="1129" spans="1:13" s="25" customFormat="1" x14ac:dyDescent="0.2">
      <c r="A1129">
        <f t="shared" si="17"/>
        <v>1123</v>
      </c>
      <c r="B1129">
        <v>2016</v>
      </c>
      <c r="C1129" t="s">
        <v>202</v>
      </c>
      <c r="D1129" t="s">
        <v>751</v>
      </c>
      <c r="E1129" s="65">
        <v>150</v>
      </c>
      <c r="F1129" s="33"/>
      <c r="G1129" t="s">
        <v>1370</v>
      </c>
      <c r="H1129" t="s">
        <v>151</v>
      </c>
      <c r="I1129" t="s">
        <v>224</v>
      </c>
      <c r="J1129" t="s">
        <v>20</v>
      </c>
      <c r="K1129" t="s">
        <v>195</v>
      </c>
      <c r="L1129" s="17">
        <v>0</v>
      </c>
      <c r="M1129" s="28"/>
    </row>
    <row r="1130" spans="1:13" s="25" customFormat="1" x14ac:dyDescent="0.2">
      <c r="A1130">
        <f t="shared" si="17"/>
        <v>1124</v>
      </c>
      <c r="B1130">
        <v>2016</v>
      </c>
      <c r="C1130" t="s">
        <v>202</v>
      </c>
      <c r="D1130" t="s">
        <v>1066</v>
      </c>
      <c r="E1130" s="65">
        <v>110</v>
      </c>
      <c r="F1130" s="33">
        <v>0.35</v>
      </c>
      <c r="G1130" t="s">
        <v>1371</v>
      </c>
      <c r="H1130" t="s">
        <v>144</v>
      </c>
      <c r="I1130" t="s">
        <v>187</v>
      </c>
      <c r="J1130" t="s">
        <v>26</v>
      </c>
      <c r="K1130" t="s">
        <v>219</v>
      </c>
      <c r="L1130" s="17">
        <v>1</v>
      </c>
      <c r="M1130" s="28"/>
    </row>
    <row r="1131" spans="1:13" s="25" customFormat="1" x14ac:dyDescent="0.2">
      <c r="A1131">
        <f t="shared" si="17"/>
        <v>1125</v>
      </c>
      <c r="B1131">
        <v>2016</v>
      </c>
      <c r="C1131" t="s">
        <v>202</v>
      </c>
      <c r="D1131" t="s">
        <v>1372</v>
      </c>
      <c r="E1131" s="65">
        <v>260</v>
      </c>
      <c r="F1131" s="33"/>
      <c r="G1131" t="s">
        <v>1373</v>
      </c>
      <c r="H1131" t="s">
        <v>150</v>
      </c>
      <c r="I1131" t="s">
        <v>217</v>
      </c>
      <c r="J1131" t="s">
        <v>45</v>
      </c>
      <c r="K1131" t="s">
        <v>195</v>
      </c>
      <c r="L1131" s="17">
        <v>0</v>
      </c>
      <c r="M1131" s="28"/>
    </row>
    <row r="1132" spans="1:13" s="25" customFormat="1" x14ac:dyDescent="0.2">
      <c r="A1132">
        <f t="shared" si="17"/>
        <v>1126</v>
      </c>
      <c r="B1132">
        <v>2016</v>
      </c>
      <c r="C1132" t="s">
        <v>202</v>
      </c>
      <c r="D1132" t="s">
        <v>1374</v>
      </c>
      <c r="E1132" s="65">
        <v>260</v>
      </c>
      <c r="F1132" s="33">
        <v>0.56000000000000005</v>
      </c>
      <c r="G1132" t="s">
        <v>1375</v>
      </c>
      <c r="H1132" t="s">
        <v>150</v>
      </c>
      <c r="I1132" t="s">
        <v>556</v>
      </c>
      <c r="J1132" t="s">
        <v>131</v>
      </c>
      <c r="K1132" t="s">
        <v>131</v>
      </c>
      <c r="L1132" s="17">
        <v>0</v>
      </c>
      <c r="M1132" s="28"/>
    </row>
    <row r="1133" spans="1:13" s="25" customFormat="1" x14ac:dyDescent="0.2">
      <c r="A1133">
        <f t="shared" si="17"/>
        <v>1127</v>
      </c>
      <c r="B1133">
        <v>2016</v>
      </c>
      <c r="C1133" t="s">
        <v>202</v>
      </c>
      <c r="D1133" t="s">
        <v>1376</v>
      </c>
      <c r="E1133" s="65">
        <v>430</v>
      </c>
      <c r="F1133" s="33">
        <v>1</v>
      </c>
      <c r="G1133" t="s">
        <v>1377</v>
      </c>
      <c r="H1133" t="s">
        <v>150</v>
      </c>
      <c r="J1133" t="s">
        <v>131</v>
      </c>
      <c r="K1133" t="s">
        <v>131</v>
      </c>
      <c r="L1133" s="17">
        <v>0</v>
      </c>
      <c r="M1133" s="28"/>
    </row>
    <row r="1134" spans="1:13" s="25" customFormat="1" x14ac:dyDescent="0.2">
      <c r="A1134">
        <f t="shared" si="17"/>
        <v>1128</v>
      </c>
      <c r="B1134">
        <v>2016</v>
      </c>
      <c r="C1134" t="s">
        <v>202</v>
      </c>
      <c r="D1134" t="s">
        <v>943</v>
      </c>
      <c r="E1134" s="65">
        <v>110</v>
      </c>
      <c r="F1134" s="33"/>
      <c r="G1134" t="s">
        <v>1378</v>
      </c>
      <c r="H1134" t="s">
        <v>144</v>
      </c>
      <c r="I1134" t="s">
        <v>232</v>
      </c>
      <c r="J1134" t="s">
        <v>42</v>
      </c>
      <c r="K1134" t="s">
        <v>195</v>
      </c>
      <c r="L1134" s="17">
        <v>0</v>
      </c>
      <c r="M1134" s="28" t="s">
        <v>178</v>
      </c>
    </row>
    <row r="1135" spans="1:13" s="25" customFormat="1" x14ac:dyDescent="0.2">
      <c r="A1135">
        <f t="shared" si="17"/>
        <v>1129</v>
      </c>
      <c r="B1135">
        <v>2016</v>
      </c>
      <c r="C1135" t="s">
        <v>202</v>
      </c>
      <c r="D1135" t="s">
        <v>263</v>
      </c>
      <c r="E1135" s="65">
        <v>1090</v>
      </c>
      <c r="F1135" s="33"/>
      <c r="G1135" t="s">
        <v>830</v>
      </c>
      <c r="H1135" t="s">
        <v>144</v>
      </c>
      <c r="I1135" t="s">
        <v>299</v>
      </c>
      <c r="J1135" t="s">
        <v>19</v>
      </c>
      <c r="K1135" t="s">
        <v>205</v>
      </c>
      <c r="L1135" s="17">
        <v>0</v>
      </c>
      <c r="M1135" s="28"/>
    </row>
    <row r="1136" spans="1:13" s="25" customFormat="1" x14ac:dyDescent="0.2">
      <c r="A1136">
        <f t="shared" si="17"/>
        <v>1130</v>
      </c>
      <c r="B1136">
        <v>2016</v>
      </c>
      <c r="C1136" t="s">
        <v>202</v>
      </c>
      <c r="D1136" t="s">
        <v>1379</v>
      </c>
      <c r="E1136" s="65">
        <v>1570</v>
      </c>
      <c r="F1136" s="33"/>
      <c r="G1136" t="s">
        <v>663</v>
      </c>
      <c r="H1136" t="s">
        <v>155</v>
      </c>
      <c r="J1136" t="s">
        <v>114</v>
      </c>
      <c r="K1136" t="s">
        <v>195</v>
      </c>
      <c r="L1136" s="17">
        <v>0</v>
      </c>
      <c r="M1136" s="28"/>
    </row>
    <row r="1137" spans="1:13" s="25" customFormat="1" x14ac:dyDescent="0.2">
      <c r="A1137">
        <f t="shared" si="17"/>
        <v>1131</v>
      </c>
      <c r="B1137">
        <v>2016</v>
      </c>
      <c r="C1137" t="s">
        <v>202</v>
      </c>
      <c r="D1137" t="s">
        <v>1380</v>
      </c>
      <c r="E1137" s="65">
        <v>510</v>
      </c>
      <c r="F1137" s="33">
        <v>1</v>
      </c>
      <c r="G1137" t="s">
        <v>1381</v>
      </c>
      <c r="H1137" t="s">
        <v>152</v>
      </c>
      <c r="J1137" t="s">
        <v>131</v>
      </c>
      <c r="K1137" t="s">
        <v>131</v>
      </c>
      <c r="L1137" s="17">
        <v>0</v>
      </c>
      <c r="M1137" s="28"/>
    </row>
    <row r="1138" spans="1:13" s="25" customFormat="1" x14ac:dyDescent="0.2">
      <c r="A1138">
        <f t="shared" si="17"/>
        <v>1132</v>
      </c>
      <c r="B1138">
        <v>2016</v>
      </c>
      <c r="C1138" t="s">
        <v>202</v>
      </c>
      <c r="D1138" t="s">
        <v>248</v>
      </c>
      <c r="E1138" s="65">
        <v>100</v>
      </c>
      <c r="F1138" s="33"/>
      <c r="H1138" t="s">
        <v>146</v>
      </c>
      <c r="I1138" t="s">
        <v>275</v>
      </c>
      <c r="J1138" t="s">
        <v>9</v>
      </c>
      <c r="K1138" t="s">
        <v>9</v>
      </c>
      <c r="L1138" s="17">
        <v>0</v>
      </c>
      <c r="M1138" s="28" t="s">
        <v>178</v>
      </c>
    </row>
    <row r="1139" spans="1:13" s="25" customFormat="1" x14ac:dyDescent="0.2">
      <c r="A1139">
        <f t="shared" si="17"/>
        <v>1133</v>
      </c>
      <c r="B1139">
        <v>2016</v>
      </c>
      <c r="C1139" t="s">
        <v>202</v>
      </c>
      <c r="D1139" t="s">
        <v>1382</v>
      </c>
      <c r="E1139" s="65">
        <v>100</v>
      </c>
      <c r="F1139" s="33"/>
      <c r="G1139" t="s">
        <v>1383</v>
      </c>
      <c r="H1139" t="s">
        <v>144</v>
      </c>
      <c r="I1139" t="s">
        <v>299</v>
      </c>
      <c r="J1139" t="s">
        <v>25</v>
      </c>
      <c r="K1139" t="s">
        <v>177</v>
      </c>
      <c r="L1139" s="17">
        <v>0</v>
      </c>
      <c r="M1139" s="28"/>
    </row>
    <row r="1140" spans="1:13" s="25" customFormat="1" x14ac:dyDescent="0.2">
      <c r="A1140">
        <f t="shared" si="17"/>
        <v>1134</v>
      </c>
      <c r="B1140">
        <v>2016</v>
      </c>
      <c r="C1140" t="s">
        <v>202</v>
      </c>
      <c r="D1140" t="s">
        <v>1384</v>
      </c>
      <c r="E1140" s="65">
        <v>210</v>
      </c>
      <c r="F1140" s="33"/>
      <c r="G1140" t="s">
        <v>1385</v>
      </c>
      <c r="H1140" t="s">
        <v>154</v>
      </c>
      <c r="I1140" t="s">
        <v>194</v>
      </c>
      <c r="J1140" t="s">
        <v>45</v>
      </c>
      <c r="K1140" t="s">
        <v>195</v>
      </c>
      <c r="L1140" s="17">
        <v>0</v>
      </c>
      <c r="M1140" s="28"/>
    </row>
    <row r="1141" spans="1:13" s="25" customFormat="1" x14ac:dyDescent="0.2">
      <c r="A1141">
        <f t="shared" si="17"/>
        <v>1135</v>
      </c>
      <c r="B1141">
        <v>2016</v>
      </c>
      <c r="C1141" t="s">
        <v>202</v>
      </c>
      <c r="D1141" t="s">
        <v>263</v>
      </c>
      <c r="E1141" s="65">
        <v>410</v>
      </c>
      <c r="F1141" s="33"/>
      <c r="H1141" t="s">
        <v>144</v>
      </c>
      <c r="I1141" t="s">
        <v>299</v>
      </c>
      <c r="J1141" t="s">
        <v>19</v>
      </c>
      <c r="K1141" t="s">
        <v>205</v>
      </c>
      <c r="L1141" s="17">
        <v>0</v>
      </c>
      <c r="M1141" s="28"/>
    </row>
    <row r="1142" spans="1:13" s="25" customFormat="1" x14ac:dyDescent="0.2">
      <c r="A1142">
        <f t="shared" si="17"/>
        <v>1136</v>
      </c>
      <c r="B1142">
        <v>2016</v>
      </c>
      <c r="C1142" t="s">
        <v>202</v>
      </c>
      <c r="D1142" t="s">
        <v>837</v>
      </c>
      <c r="E1142" s="65">
        <v>280</v>
      </c>
      <c r="F1142" s="33"/>
      <c r="H1142" t="s">
        <v>153</v>
      </c>
      <c r="J1142" t="s">
        <v>131</v>
      </c>
      <c r="K1142" t="s">
        <v>131</v>
      </c>
      <c r="L1142" s="17">
        <v>0</v>
      </c>
      <c r="M1142" s="28" t="s">
        <v>178</v>
      </c>
    </row>
    <row r="1143" spans="1:13" s="25" customFormat="1" x14ac:dyDescent="0.2">
      <c r="A1143">
        <f t="shared" si="17"/>
        <v>1137</v>
      </c>
      <c r="B1143">
        <v>2016</v>
      </c>
      <c r="C1143" t="s">
        <v>202</v>
      </c>
      <c r="D1143" t="s">
        <v>943</v>
      </c>
      <c r="E1143" s="65">
        <v>120</v>
      </c>
      <c r="F1143" s="33">
        <v>0.2</v>
      </c>
      <c r="G1143" t="s">
        <v>1386</v>
      </c>
      <c r="H1143" t="s">
        <v>144</v>
      </c>
      <c r="J1143" t="s">
        <v>20</v>
      </c>
      <c r="K1143" t="s">
        <v>195</v>
      </c>
      <c r="L1143" s="17">
        <v>0</v>
      </c>
      <c r="M1143" s="28" t="s">
        <v>178</v>
      </c>
    </row>
    <row r="1144" spans="1:13" s="25" customFormat="1" x14ac:dyDescent="0.2">
      <c r="A1144">
        <f t="shared" si="17"/>
        <v>1138</v>
      </c>
      <c r="B1144">
        <v>2016</v>
      </c>
      <c r="C1144" t="s">
        <v>207</v>
      </c>
      <c r="D1144" t="s">
        <v>1128</v>
      </c>
      <c r="E1144" s="65">
        <v>990</v>
      </c>
      <c r="F1144" s="33">
        <v>1</v>
      </c>
      <c r="G1144" t="s">
        <v>1387</v>
      </c>
      <c r="H1144" t="s">
        <v>146</v>
      </c>
      <c r="J1144" t="s">
        <v>108</v>
      </c>
      <c r="K1144" t="s">
        <v>183</v>
      </c>
      <c r="L1144" s="17">
        <v>1</v>
      </c>
      <c r="M1144" s="28"/>
    </row>
    <row r="1145" spans="1:13" s="25" customFormat="1" x14ac:dyDescent="0.2">
      <c r="A1145">
        <f t="shared" si="17"/>
        <v>1139</v>
      </c>
      <c r="B1145">
        <v>2016</v>
      </c>
      <c r="C1145" t="s">
        <v>207</v>
      </c>
      <c r="D1145" t="s">
        <v>1388</v>
      </c>
      <c r="E1145" s="65">
        <v>1200</v>
      </c>
      <c r="F1145" s="33"/>
      <c r="G1145" t="s">
        <v>1389</v>
      </c>
      <c r="H1145" t="s">
        <v>144</v>
      </c>
      <c r="J1145" t="s">
        <v>19</v>
      </c>
      <c r="K1145" t="s">
        <v>205</v>
      </c>
      <c r="L1145" s="17">
        <v>0</v>
      </c>
      <c r="M1145" s="28"/>
    </row>
    <row r="1146" spans="1:13" s="25" customFormat="1" x14ac:dyDescent="0.2">
      <c r="A1146">
        <f t="shared" si="17"/>
        <v>1140</v>
      </c>
      <c r="B1146">
        <v>2016</v>
      </c>
      <c r="C1146" t="s">
        <v>207</v>
      </c>
      <c r="D1146" t="s">
        <v>373</v>
      </c>
      <c r="E1146" s="65">
        <v>140</v>
      </c>
      <c r="F1146" s="33"/>
      <c r="H1146" t="s">
        <v>145</v>
      </c>
      <c r="J1146" t="s">
        <v>131</v>
      </c>
      <c r="K1146" t="s">
        <v>131</v>
      </c>
      <c r="L1146" s="17">
        <v>0</v>
      </c>
      <c r="M1146" s="28"/>
    </row>
    <row r="1147" spans="1:13" s="25" customFormat="1" x14ac:dyDescent="0.2">
      <c r="A1147">
        <f t="shared" si="17"/>
        <v>1141</v>
      </c>
      <c r="B1147">
        <v>2016</v>
      </c>
      <c r="C1147" t="s">
        <v>207</v>
      </c>
      <c r="D1147" t="s">
        <v>1208</v>
      </c>
      <c r="E1147" s="65">
        <v>340</v>
      </c>
      <c r="F1147" s="33">
        <v>0.6</v>
      </c>
      <c r="G1147" t="s">
        <v>1390</v>
      </c>
      <c r="H1147" t="s">
        <v>150</v>
      </c>
      <c r="I1147" t="s">
        <v>217</v>
      </c>
      <c r="J1147" t="s">
        <v>45</v>
      </c>
      <c r="K1147" t="s">
        <v>195</v>
      </c>
      <c r="L1147" s="17">
        <v>0</v>
      </c>
      <c r="M1147" s="28"/>
    </row>
    <row r="1148" spans="1:13" s="25" customFormat="1" x14ac:dyDescent="0.2">
      <c r="A1148">
        <f t="shared" si="17"/>
        <v>1142</v>
      </c>
      <c r="B1148">
        <v>2016</v>
      </c>
      <c r="C1148" t="s">
        <v>207</v>
      </c>
      <c r="D1148" t="s">
        <v>307</v>
      </c>
      <c r="E1148" s="65">
        <v>350</v>
      </c>
      <c r="F1148" s="33">
        <v>0.24</v>
      </c>
      <c r="G1148" t="s">
        <v>1391</v>
      </c>
      <c r="H1148" t="s">
        <v>144</v>
      </c>
      <c r="J1148" t="s">
        <v>47</v>
      </c>
      <c r="K1148" t="s">
        <v>195</v>
      </c>
      <c r="L1148" s="17">
        <v>1</v>
      </c>
      <c r="M1148" s="28"/>
    </row>
    <row r="1149" spans="1:13" s="25" customFormat="1" x14ac:dyDescent="0.2">
      <c r="A1149">
        <f t="shared" si="17"/>
        <v>1143</v>
      </c>
      <c r="B1149">
        <v>2016</v>
      </c>
      <c r="C1149" t="s">
        <v>207</v>
      </c>
      <c r="D1149" t="s">
        <v>962</v>
      </c>
      <c r="E1149" s="65">
        <v>560</v>
      </c>
      <c r="F1149" s="33"/>
      <c r="G1149" t="s">
        <v>264</v>
      </c>
      <c r="H1149" t="s">
        <v>151</v>
      </c>
      <c r="I1149" t="s">
        <v>224</v>
      </c>
      <c r="J1149" t="s">
        <v>85</v>
      </c>
      <c r="K1149" t="s">
        <v>195</v>
      </c>
      <c r="L1149" s="17">
        <v>0</v>
      </c>
      <c r="M1149" s="28"/>
    </row>
    <row r="1150" spans="1:13" s="25" customFormat="1" x14ac:dyDescent="0.2">
      <c r="A1150">
        <f t="shared" si="17"/>
        <v>1144</v>
      </c>
      <c r="B1150">
        <v>2016</v>
      </c>
      <c r="C1150" t="s">
        <v>207</v>
      </c>
      <c r="D1150" t="s">
        <v>373</v>
      </c>
      <c r="E1150" s="65">
        <v>6500</v>
      </c>
      <c r="F1150" s="33">
        <v>0.25</v>
      </c>
      <c r="G1150" t="s">
        <v>264</v>
      </c>
      <c r="H1150" t="s">
        <v>153</v>
      </c>
      <c r="J1150" t="s">
        <v>131</v>
      </c>
      <c r="K1150" t="s">
        <v>131</v>
      </c>
      <c r="L1150" s="17">
        <v>0</v>
      </c>
      <c r="M1150" s="28"/>
    </row>
    <row r="1151" spans="1:13" s="25" customFormat="1" x14ac:dyDescent="0.2">
      <c r="A1151">
        <f t="shared" si="17"/>
        <v>1145</v>
      </c>
      <c r="B1151">
        <v>2016</v>
      </c>
      <c r="C1151" t="s">
        <v>207</v>
      </c>
      <c r="D1151" t="s">
        <v>319</v>
      </c>
      <c r="E1151" s="65">
        <v>810</v>
      </c>
      <c r="F1151" s="33"/>
      <c r="G1151" t="s">
        <v>973</v>
      </c>
      <c r="H1151" t="s">
        <v>153</v>
      </c>
      <c r="J1151" t="s">
        <v>131</v>
      </c>
      <c r="K1151" t="s">
        <v>131</v>
      </c>
      <c r="L1151" s="17">
        <v>0</v>
      </c>
      <c r="M1151" s="28"/>
    </row>
    <row r="1152" spans="1:13" s="25" customFormat="1" x14ac:dyDescent="0.2">
      <c r="A1152">
        <f t="shared" si="17"/>
        <v>1146</v>
      </c>
      <c r="B1152">
        <v>2016</v>
      </c>
      <c r="C1152" t="s">
        <v>207</v>
      </c>
      <c r="D1152" t="s">
        <v>1287</v>
      </c>
      <c r="E1152" s="65">
        <v>290</v>
      </c>
      <c r="F1152" s="33">
        <v>1</v>
      </c>
      <c r="H1152" t="s">
        <v>144</v>
      </c>
      <c r="I1152" t="s">
        <v>232</v>
      </c>
      <c r="J1152" t="s">
        <v>8</v>
      </c>
      <c r="K1152" t="s">
        <v>205</v>
      </c>
      <c r="L1152" s="17">
        <v>1</v>
      </c>
      <c r="M1152" s="28" t="s">
        <v>178</v>
      </c>
    </row>
    <row r="1153" spans="1:13" s="25" customFormat="1" x14ac:dyDescent="0.2">
      <c r="A1153">
        <f t="shared" si="17"/>
        <v>1147</v>
      </c>
      <c r="B1153">
        <v>2016</v>
      </c>
      <c r="C1153" t="s">
        <v>207</v>
      </c>
      <c r="D1153" t="s">
        <v>263</v>
      </c>
      <c r="E1153" s="65">
        <v>1130</v>
      </c>
      <c r="F1153" s="33"/>
      <c r="G1153" t="s">
        <v>1392</v>
      </c>
      <c r="H1153" t="s">
        <v>151</v>
      </c>
      <c r="I1153" t="s">
        <v>224</v>
      </c>
      <c r="J1153" t="s">
        <v>45</v>
      </c>
      <c r="K1153" t="s">
        <v>195</v>
      </c>
      <c r="L1153" s="17">
        <v>0</v>
      </c>
      <c r="M1153" s="28"/>
    </row>
    <row r="1154" spans="1:13" s="25" customFormat="1" x14ac:dyDescent="0.2">
      <c r="A1154">
        <f t="shared" si="17"/>
        <v>1148</v>
      </c>
      <c r="B1154">
        <v>2016</v>
      </c>
      <c r="C1154" t="s">
        <v>207</v>
      </c>
      <c r="D1154" t="s">
        <v>751</v>
      </c>
      <c r="E1154" s="65">
        <v>100</v>
      </c>
      <c r="F1154" s="33">
        <v>0.33</v>
      </c>
      <c r="G1154" t="s">
        <v>1393</v>
      </c>
      <c r="H1154" t="s">
        <v>142</v>
      </c>
      <c r="J1154" t="s">
        <v>9</v>
      </c>
      <c r="K1154" t="s">
        <v>9</v>
      </c>
      <c r="L1154" s="17">
        <v>0</v>
      </c>
      <c r="M1154" s="28"/>
    </row>
    <row r="1155" spans="1:13" s="25" customFormat="1" x14ac:dyDescent="0.2">
      <c r="A1155">
        <f t="shared" si="17"/>
        <v>1149</v>
      </c>
      <c r="B1155">
        <v>2016</v>
      </c>
      <c r="C1155" t="s">
        <v>207</v>
      </c>
      <c r="D1155" t="s">
        <v>1035</v>
      </c>
      <c r="E1155" s="65">
        <v>250</v>
      </c>
      <c r="F1155" s="33">
        <v>0.7</v>
      </c>
      <c r="G1155" t="s">
        <v>1188</v>
      </c>
      <c r="H1155" t="s">
        <v>144</v>
      </c>
      <c r="I1155" t="s">
        <v>273</v>
      </c>
      <c r="J1155" t="s">
        <v>53</v>
      </c>
      <c r="K1155" t="s">
        <v>183</v>
      </c>
      <c r="L1155" s="17">
        <v>1</v>
      </c>
      <c r="M1155" s="28" t="s">
        <v>178</v>
      </c>
    </row>
    <row r="1156" spans="1:13" s="25" customFormat="1" x14ac:dyDescent="0.2">
      <c r="A1156">
        <f t="shared" si="17"/>
        <v>1150</v>
      </c>
      <c r="B1156">
        <v>2016</v>
      </c>
      <c r="C1156" t="s">
        <v>207</v>
      </c>
      <c r="D1156" t="s">
        <v>418</v>
      </c>
      <c r="E1156" s="65">
        <v>130</v>
      </c>
      <c r="F1156" s="33"/>
      <c r="G1156" t="s">
        <v>1394</v>
      </c>
      <c r="H1156" t="s">
        <v>150</v>
      </c>
      <c r="J1156" t="s">
        <v>131</v>
      </c>
      <c r="K1156" t="s">
        <v>131</v>
      </c>
      <c r="L1156" s="17">
        <v>0</v>
      </c>
      <c r="M1156" s="28"/>
    </row>
    <row r="1157" spans="1:13" s="25" customFormat="1" x14ac:dyDescent="0.2">
      <c r="A1157">
        <f t="shared" si="17"/>
        <v>1151</v>
      </c>
      <c r="B1157">
        <v>2016</v>
      </c>
      <c r="C1157" t="s">
        <v>207</v>
      </c>
      <c r="D1157" t="s">
        <v>1395</v>
      </c>
      <c r="E1157" s="65">
        <v>190</v>
      </c>
      <c r="F1157" s="33"/>
      <c r="H1157" t="s">
        <v>151</v>
      </c>
      <c r="I1157" t="s">
        <v>224</v>
      </c>
      <c r="J1157" t="s">
        <v>9</v>
      </c>
      <c r="K1157" t="s">
        <v>9</v>
      </c>
      <c r="L1157" s="17">
        <v>0</v>
      </c>
      <c r="M1157" s="28" t="s">
        <v>178</v>
      </c>
    </row>
    <row r="1158" spans="1:13" s="25" customFormat="1" x14ac:dyDescent="0.2">
      <c r="A1158">
        <f t="shared" si="17"/>
        <v>1152</v>
      </c>
      <c r="B1158">
        <v>2016</v>
      </c>
      <c r="C1158" t="s">
        <v>207</v>
      </c>
      <c r="D1158" t="s">
        <v>269</v>
      </c>
      <c r="E1158" s="65">
        <v>150</v>
      </c>
      <c r="F1158" s="33">
        <v>0.4</v>
      </c>
      <c r="G1158" t="s">
        <v>1396</v>
      </c>
      <c r="H1158" t="s">
        <v>154</v>
      </c>
      <c r="I1158" t="s">
        <v>271</v>
      </c>
      <c r="J1158" t="s">
        <v>58</v>
      </c>
      <c r="K1158" t="s">
        <v>195</v>
      </c>
      <c r="L1158" s="17">
        <v>0</v>
      </c>
      <c r="M1158" s="28" t="s">
        <v>178</v>
      </c>
    </row>
    <row r="1159" spans="1:13" s="25" customFormat="1" x14ac:dyDescent="0.2">
      <c r="A1159">
        <f t="shared" ref="A1159:A1222" si="18">ROW()-6</f>
        <v>1153</v>
      </c>
      <c r="B1159">
        <v>2016</v>
      </c>
      <c r="C1159" t="s">
        <v>207</v>
      </c>
      <c r="D1159" t="s">
        <v>837</v>
      </c>
      <c r="E1159" s="65">
        <v>100</v>
      </c>
      <c r="F1159" s="33"/>
      <c r="H1159" t="s">
        <v>153</v>
      </c>
      <c r="J1159" t="s">
        <v>131</v>
      </c>
      <c r="K1159" t="s">
        <v>131</v>
      </c>
      <c r="L1159" s="17">
        <v>0</v>
      </c>
      <c r="M1159" s="28" t="s">
        <v>178</v>
      </c>
    </row>
    <row r="1160" spans="1:13" s="25" customFormat="1" x14ac:dyDescent="0.2">
      <c r="A1160">
        <f t="shared" si="18"/>
        <v>1154</v>
      </c>
      <c r="B1160">
        <v>2016</v>
      </c>
      <c r="C1160" t="s">
        <v>240</v>
      </c>
      <c r="D1160" t="s">
        <v>199</v>
      </c>
      <c r="E1160" s="65">
        <v>600</v>
      </c>
      <c r="F1160" s="33">
        <v>0.3</v>
      </c>
      <c r="G1160" t="s">
        <v>325</v>
      </c>
      <c r="H1160" t="s">
        <v>144</v>
      </c>
      <c r="I1160" t="s">
        <v>299</v>
      </c>
      <c r="J1160" t="s">
        <v>54</v>
      </c>
      <c r="K1160" t="s">
        <v>201</v>
      </c>
      <c r="L1160" s="17">
        <v>1</v>
      </c>
      <c r="M1160" s="28"/>
    </row>
    <row r="1161" spans="1:13" s="25" customFormat="1" x14ac:dyDescent="0.2">
      <c r="A1161">
        <f t="shared" si="18"/>
        <v>1155</v>
      </c>
      <c r="B1161">
        <v>2016</v>
      </c>
      <c r="C1161" t="s">
        <v>240</v>
      </c>
      <c r="D1161" t="s">
        <v>756</v>
      </c>
      <c r="E1161" s="65">
        <v>1080</v>
      </c>
      <c r="F1161" s="33">
        <v>0.2</v>
      </c>
      <c r="G1161" t="s">
        <v>228</v>
      </c>
      <c r="H1161" t="s">
        <v>144</v>
      </c>
      <c r="I1161" t="s">
        <v>299</v>
      </c>
      <c r="J1161" t="s">
        <v>101</v>
      </c>
      <c r="K1161" t="s">
        <v>201</v>
      </c>
      <c r="L1161" s="17">
        <v>1</v>
      </c>
      <c r="M1161" s="28"/>
    </row>
    <row r="1162" spans="1:13" s="25" customFormat="1" x14ac:dyDescent="0.2">
      <c r="A1162">
        <f t="shared" si="18"/>
        <v>1156</v>
      </c>
      <c r="B1162">
        <v>2016</v>
      </c>
      <c r="C1162" t="s">
        <v>240</v>
      </c>
      <c r="D1162" t="s">
        <v>927</v>
      </c>
      <c r="E1162" s="65">
        <v>120</v>
      </c>
      <c r="F1162" s="33">
        <v>0.02</v>
      </c>
      <c r="G1162" t="s">
        <v>1232</v>
      </c>
      <c r="H1162" t="s">
        <v>144</v>
      </c>
      <c r="I1162" t="s">
        <v>299</v>
      </c>
      <c r="J1162" t="s">
        <v>9</v>
      </c>
      <c r="K1162" t="s">
        <v>9</v>
      </c>
      <c r="L1162" s="17">
        <v>0</v>
      </c>
      <c r="M1162" s="28"/>
    </row>
    <row r="1163" spans="1:13" s="25" customFormat="1" x14ac:dyDescent="0.2">
      <c r="A1163">
        <f t="shared" si="18"/>
        <v>1157</v>
      </c>
      <c r="B1163">
        <v>2016</v>
      </c>
      <c r="C1163" t="s">
        <v>240</v>
      </c>
      <c r="D1163" t="s">
        <v>1397</v>
      </c>
      <c r="E1163" s="65">
        <v>140</v>
      </c>
      <c r="F1163" s="33">
        <v>0.75</v>
      </c>
      <c r="G1163" t="s">
        <v>1398</v>
      </c>
      <c r="H1163" t="s">
        <v>145</v>
      </c>
      <c r="J1163" t="s">
        <v>20</v>
      </c>
      <c r="K1163" t="s">
        <v>195</v>
      </c>
      <c r="L1163" s="17">
        <v>0</v>
      </c>
      <c r="M1163" s="28"/>
    </row>
    <row r="1164" spans="1:13" s="25" customFormat="1" x14ac:dyDescent="0.2">
      <c r="A1164">
        <f t="shared" si="18"/>
        <v>1158</v>
      </c>
      <c r="B1164">
        <v>2016</v>
      </c>
      <c r="C1164" t="s">
        <v>240</v>
      </c>
      <c r="D1164" t="s">
        <v>1066</v>
      </c>
      <c r="E1164" s="65">
        <v>310</v>
      </c>
      <c r="F1164" s="33"/>
      <c r="G1164" t="s">
        <v>1399</v>
      </c>
      <c r="H1164" t="s">
        <v>151</v>
      </c>
      <c r="I1164" t="s">
        <v>224</v>
      </c>
      <c r="J1164" t="s">
        <v>33</v>
      </c>
      <c r="K1164" t="s">
        <v>195</v>
      </c>
      <c r="L1164" s="17">
        <v>1</v>
      </c>
      <c r="M1164" s="28"/>
    </row>
    <row r="1165" spans="1:13" s="25" customFormat="1" x14ac:dyDescent="0.2">
      <c r="A1165">
        <f t="shared" si="18"/>
        <v>1159</v>
      </c>
      <c r="B1165">
        <v>2016</v>
      </c>
      <c r="C1165" t="s">
        <v>240</v>
      </c>
      <c r="D1165" t="s">
        <v>999</v>
      </c>
      <c r="E1165" s="65">
        <v>1740</v>
      </c>
      <c r="F1165" s="33">
        <v>1</v>
      </c>
      <c r="G1165" t="s">
        <v>1400</v>
      </c>
      <c r="H1165" t="s">
        <v>153</v>
      </c>
      <c r="J1165" t="s">
        <v>20</v>
      </c>
      <c r="K1165" t="s">
        <v>195</v>
      </c>
      <c r="L1165" s="17">
        <v>0</v>
      </c>
      <c r="M1165" s="28"/>
    </row>
    <row r="1166" spans="1:13" s="25" customFormat="1" x14ac:dyDescent="0.2">
      <c r="A1166">
        <f t="shared" si="18"/>
        <v>1160</v>
      </c>
      <c r="B1166">
        <v>2016</v>
      </c>
      <c r="C1166" t="s">
        <v>240</v>
      </c>
      <c r="D1166" t="s">
        <v>554</v>
      </c>
      <c r="E1166" s="65">
        <v>180</v>
      </c>
      <c r="F1166" s="33">
        <v>0.17</v>
      </c>
      <c r="G1166" t="s">
        <v>1401</v>
      </c>
      <c r="H1166" t="s">
        <v>146</v>
      </c>
      <c r="I1166" t="s">
        <v>275</v>
      </c>
      <c r="J1166" t="s">
        <v>99</v>
      </c>
      <c r="K1166" t="s">
        <v>195</v>
      </c>
      <c r="L1166" s="17">
        <v>1</v>
      </c>
      <c r="M1166" s="28"/>
    </row>
    <row r="1167" spans="1:13" s="25" customFormat="1" x14ac:dyDescent="0.2">
      <c r="A1167">
        <f t="shared" si="18"/>
        <v>1161</v>
      </c>
      <c r="B1167">
        <v>2016</v>
      </c>
      <c r="C1167" t="s">
        <v>240</v>
      </c>
      <c r="D1167" t="s">
        <v>997</v>
      </c>
      <c r="E1167" s="65">
        <v>860</v>
      </c>
      <c r="F1167" s="33">
        <v>0.19</v>
      </c>
      <c r="G1167" t="s">
        <v>1402</v>
      </c>
      <c r="H1167" t="s">
        <v>151</v>
      </c>
      <c r="I1167" t="s">
        <v>224</v>
      </c>
      <c r="J1167" t="s">
        <v>131</v>
      </c>
      <c r="K1167" t="s">
        <v>131</v>
      </c>
      <c r="L1167" s="17">
        <v>0</v>
      </c>
      <c r="M1167" s="28"/>
    </row>
    <row r="1168" spans="1:13" s="25" customFormat="1" x14ac:dyDescent="0.2">
      <c r="A1168">
        <f t="shared" si="18"/>
        <v>1162</v>
      </c>
      <c r="B1168">
        <v>2016</v>
      </c>
      <c r="C1168" t="s">
        <v>240</v>
      </c>
      <c r="D1168" t="s">
        <v>199</v>
      </c>
      <c r="E1168" s="65">
        <v>1460</v>
      </c>
      <c r="F1168" s="33"/>
      <c r="G1168" t="s">
        <v>453</v>
      </c>
      <c r="H1168" t="s">
        <v>144</v>
      </c>
      <c r="I1168" t="s">
        <v>187</v>
      </c>
      <c r="J1168" t="s">
        <v>135</v>
      </c>
      <c r="K1168" t="s">
        <v>205</v>
      </c>
      <c r="L1168" s="17">
        <v>1</v>
      </c>
      <c r="M1168" s="28"/>
    </row>
    <row r="1169" spans="1:13" s="25" customFormat="1" x14ac:dyDescent="0.2">
      <c r="A1169">
        <f t="shared" si="18"/>
        <v>1163</v>
      </c>
      <c r="B1169">
        <v>2016</v>
      </c>
      <c r="C1169" t="s">
        <v>240</v>
      </c>
      <c r="D1169" t="s">
        <v>557</v>
      </c>
      <c r="E1169" s="65">
        <v>180</v>
      </c>
      <c r="F1169" s="33"/>
      <c r="G1169" t="s">
        <v>1403</v>
      </c>
      <c r="H1169" t="s">
        <v>144</v>
      </c>
      <c r="I1169" t="s">
        <v>232</v>
      </c>
      <c r="J1169" t="s">
        <v>133</v>
      </c>
      <c r="K1169" t="s">
        <v>195</v>
      </c>
      <c r="L1169" s="17">
        <v>1</v>
      </c>
      <c r="M1169" s="28"/>
    </row>
    <row r="1170" spans="1:13" s="25" customFormat="1" x14ac:dyDescent="0.2">
      <c r="A1170">
        <f t="shared" si="18"/>
        <v>1164</v>
      </c>
      <c r="B1170">
        <v>2016</v>
      </c>
      <c r="C1170" t="s">
        <v>240</v>
      </c>
      <c r="D1170" t="s">
        <v>1404</v>
      </c>
      <c r="E1170" s="65">
        <v>700</v>
      </c>
      <c r="F1170" s="33">
        <v>0.75</v>
      </c>
      <c r="G1170" t="s">
        <v>1405</v>
      </c>
      <c r="H1170" t="s">
        <v>151</v>
      </c>
      <c r="I1170" t="s">
        <v>224</v>
      </c>
      <c r="J1170" t="s">
        <v>131</v>
      </c>
      <c r="K1170" t="s">
        <v>131</v>
      </c>
      <c r="L1170" s="17">
        <v>0</v>
      </c>
      <c r="M1170" s="28"/>
    </row>
    <row r="1171" spans="1:13" s="25" customFormat="1" x14ac:dyDescent="0.2">
      <c r="A1171">
        <f t="shared" si="18"/>
        <v>1165</v>
      </c>
      <c r="B1171">
        <v>2016</v>
      </c>
      <c r="C1171" t="s">
        <v>240</v>
      </c>
      <c r="D1171" t="s">
        <v>705</v>
      </c>
      <c r="E1171" s="65">
        <v>120</v>
      </c>
      <c r="F1171" s="33"/>
      <c r="H1171" t="s">
        <v>151</v>
      </c>
      <c r="I1171" t="s">
        <v>279</v>
      </c>
      <c r="J1171" t="s">
        <v>25</v>
      </c>
      <c r="K1171" t="s">
        <v>177</v>
      </c>
      <c r="L1171" s="17">
        <v>0</v>
      </c>
      <c r="M1171" s="28" t="s">
        <v>178</v>
      </c>
    </row>
    <row r="1172" spans="1:13" s="25" customFormat="1" x14ac:dyDescent="0.2">
      <c r="A1172">
        <f t="shared" si="18"/>
        <v>1166</v>
      </c>
      <c r="B1172">
        <v>2016</v>
      </c>
      <c r="C1172" t="s">
        <v>240</v>
      </c>
      <c r="D1172" t="s">
        <v>1406</v>
      </c>
      <c r="E1172" s="65">
        <v>120</v>
      </c>
      <c r="F1172" s="33"/>
      <c r="H1172" t="s">
        <v>151</v>
      </c>
      <c r="I1172" t="s">
        <v>224</v>
      </c>
      <c r="J1172" t="s">
        <v>9</v>
      </c>
      <c r="K1172" t="s">
        <v>9</v>
      </c>
      <c r="L1172" s="17">
        <v>0</v>
      </c>
      <c r="M1172" s="28"/>
    </row>
    <row r="1173" spans="1:13" s="25" customFormat="1" x14ac:dyDescent="0.2">
      <c r="A1173">
        <f t="shared" si="18"/>
        <v>1167</v>
      </c>
      <c r="B1173">
        <v>2016</v>
      </c>
      <c r="C1173" t="s">
        <v>240</v>
      </c>
      <c r="D1173" t="s">
        <v>962</v>
      </c>
      <c r="E1173" s="65">
        <v>260</v>
      </c>
      <c r="F1173" s="33">
        <v>0.04</v>
      </c>
      <c r="G1173" t="s">
        <v>1407</v>
      </c>
      <c r="H1173" t="s">
        <v>146</v>
      </c>
      <c r="I1173" t="s">
        <v>275</v>
      </c>
      <c r="J1173" t="s">
        <v>113</v>
      </c>
      <c r="K1173" t="s">
        <v>183</v>
      </c>
      <c r="L1173" s="17">
        <v>0</v>
      </c>
      <c r="M1173" s="28"/>
    </row>
    <row r="1174" spans="1:13" s="25" customFormat="1" x14ac:dyDescent="0.2">
      <c r="A1174">
        <f t="shared" si="18"/>
        <v>1168</v>
      </c>
      <c r="B1174">
        <v>2016</v>
      </c>
      <c r="C1174" t="s">
        <v>240</v>
      </c>
      <c r="D1174" t="s">
        <v>1408</v>
      </c>
      <c r="E1174" s="65">
        <v>400</v>
      </c>
      <c r="F1174" s="33"/>
      <c r="G1174" t="s">
        <v>1409</v>
      </c>
      <c r="H1174" t="s">
        <v>154</v>
      </c>
      <c r="I1174" t="s">
        <v>250</v>
      </c>
      <c r="J1174" t="s">
        <v>20</v>
      </c>
      <c r="K1174" t="s">
        <v>195</v>
      </c>
      <c r="L1174" s="17">
        <v>0</v>
      </c>
      <c r="M1174" s="28"/>
    </row>
    <row r="1175" spans="1:13" s="25" customFormat="1" x14ac:dyDescent="0.2">
      <c r="A1175">
        <f t="shared" si="18"/>
        <v>1169</v>
      </c>
      <c r="B1175">
        <v>2016</v>
      </c>
      <c r="C1175" t="s">
        <v>240</v>
      </c>
      <c r="D1175" t="s">
        <v>373</v>
      </c>
      <c r="E1175" s="65">
        <v>320</v>
      </c>
      <c r="F1175" s="33"/>
      <c r="H1175" t="s">
        <v>151</v>
      </c>
      <c r="I1175" t="s">
        <v>224</v>
      </c>
      <c r="J1175" t="s">
        <v>131</v>
      </c>
      <c r="K1175" t="s">
        <v>131</v>
      </c>
      <c r="L1175" s="17">
        <v>0</v>
      </c>
      <c r="M1175" s="28"/>
    </row>
    <row r="1176" spans="1:13" s="25" customFormat="1" x14ac:dyDescent="0.2">
      <c r="A1176">
        <f t="shared" si="18"/>
        <v>1170</v>
      </c>
      <c r="B1176">
        <v>2016</v>
      </c>
      <c r="C1176" t="s">
        <v>240</v>
      </c>
      <c r="D1176" t="s">
        <v>1018</v>
      </c>
      <c r="E1176" s="65">
        <v>200</v>
      </c>
      <c r="F1176" s="33">
        <v>1</v>
      </c>
      <c r="G1176" t="s">
        <v>1410</v>
      </c>
      <c r="H1176" t="s">
        <v>154</v>
      </c>
      <c r="I1176" t="s">
        <v>194</v>
      </c>
      <c r="J1176" t="s">
        <v>45</v>
      </c>
      <c r="K1176" t="s">
        <v>195</v>
      </c>
      <c r="L1176" s="17">
        <v>0</v>
      </c>
      <c r="M1176" s="28"/>
    </row>
    <row r="1177" spans="1:13" s="25" customFormat="1" x14ac:dyDescent="0.2">
      <c r="A1177">
        <f t="shared" si="18"/>
        <v>1171</v>
      </c>
      <c r="B1177">
        <v>2016</v>
      </c>
      <c r="C1177" t="s">
        <v>240</v>
      </c>
      <c r="D1177" t="s">
        <v>873</v>
      </c>
      <c r="E1177" s="65">
        <v>420</v>
      </c>
      <c r="F1177" s="33"/>
      <c r="H1177" t="s">
        <v>153</v>
      </c>
      <c r="J1177" t="s">
        <v>113</v>
      </c>
      <c r="K1177" t="s">
        <v>183</v>
      </c>
      <c r="L1177" s="17">
        <v>0</v>
      </c>
      <c r="M1177" s="28"/>
    </row>
    <row r="1178" spans="1:13" s="25" customFormat="1" x14ac:dyDescent="0.2">
      <c r="A1178">
        <f t="shared" si="18"/>
        <v>1172</v>
      </c>
      <c r="B1178">
        <v>2016</v>
      </c>
      <c r="C1178" t="s">
        <v>240</v>
      </c>
      <c r="D1178" t="s">
        <v>1180</v>
      </c>
      <c r="E1178" s="65">
        <v>140</v>
      </c>
      <c r="F1178" s="33"/>
      <c r="H1178" t="s">
        <v>144</v>
      </c>
      <c r="I1178" t="s">
        <v>232</v>
      </c>
      <c r="J1178" t="s">
        <v>27</v>
      </c>
      <c r="K1178" t="s">
        <v>205</v>
      </c>
      <c r="L1178" s="17">
        <v>1</v>
      </c>
      <c r="M1178" s="28" t="s">
        <v>178</v>
      </c>
    </row>
    <row r="1179" spans="1:13" s="25" customFormat="1" x14ac:dyDescent="0.2">
      <c r="A1179">
        <f t="shared" si="18"/>
        <v>1173</v>
      </c>
      <c r="B1179">
        <v>2016</v>
      </c>
      <c r="C1179" t="s">
        <v>240</v>
      </c>
      <c r="D1179" t="s">
        <v>246</v>
      </c>
      <c r="E1179" s="65">
        <v>1740</v>
      </c>
      <c r="F1179" s="33"/>
      <c r="H1179" t="s">
        <v>144</v>
      </c>
      <c r="I1179" t="s">
        <v>197</v>
      </c>
      <c r="J1179" t="s">
        <v>93</v>
      </c>
      <c r="K1179" t="s">
        <v>201</v>
      </c>
      <c r="L1179" s="17">
        <v>1</v>
      </c>
      <c r="M1179" s="28" t="s">
        <v>178</v>
      </c>
    </row>
    <row r="1180" spans="1:13" s="25" customFormat="1" x14ac:dyDescent="0.2">
      <c r="A1180">
        <f t="shared" si="18"/>
        <v>1174</v>
      </c>
      <c r="B1180">
        <v>2016</v>
      </c>
      <c r="C1180" t="s">
        <v>240</v>
      </c>
      <c r="D1180" t="s">
        <v>1318</v>
      </c>
      <c r="E1180" s="65">
        <v>480</v>
      </c>
      <c r="F1180" s="33">
        <v>0.3</v>
      </c>
      <c r="G1180" t="s">
        <v>1411</v>
      </c>
      <c r="H1180" t="s">
        <v>142</v>
      </c>
      <c r="J1180" t="s">
        <v>118</v>
      </c>
      <c r="K1180" t="s">
        <v>195</v>
      </c>
      <c r="L1180" s="17">
        <v>0</v>
      </c>
      <c r="M1180" s="28"/>
    </row>
    <row r="1181" spans="1:13" s="25" customFormat="1" x14ac:dyDescent="0.2">
      <c r="A1181">
        <f t="shared" si="18"/>
        <v>1175</v>
      </c>
      <c r="B1181">
        <v>2016</v>
      </c>
      <c r="C1181" t="s">
        <v>240</v>
      </c>
      <c r="D1181" t="s">
        <v>352</v>
      </c>
      <c r="E1181" s="65">
        <v>570</v>
      </c>
      <c r="F1181" s="33">
        <v>0.75</v>
      </c>
      <c r="G1181" t="s">
        <v>1412</v>
      </c>
      <c r="H1181" t="s">
        <v>144</v>
      </c>
      <c r="I1181" t="s">
        <v>273</v>
      </c>
      <c r="J1181" t="s">
        <v>53</v>
      </c>
      <c r="K1181" t="s">
        <v>183</v>
      </c>
      <c r="L1181" s="17">
        <v>1</v>
      </c>
      <c r="M1181" s="28" t="s">
        <v>178</v>
      </c>
    </row>
    <row r="1182" spans="1:13" s="25" customFormat="1" x14ac:dyDescent="0.2">
      <c r="A1182">
        <f t="shared" si="18"/>
        <v>1176</v>
      </c>
      <c r="B1182">
        <v>2016</v>
      </c>
      <c r="C1182" t="s">
        <v>212</v>
      </c>
      <c r="D1182" t="s">
        <v>543</v>
      </c>
      <c r="E1182" s="65">
        <v>100</v>
      </c>
      <c r="F1182" s="33">
        <v>0.48</v>
      </c>
      <c r="G1182" t="s">
        <v>1413</v>
      </c>
      <c r="H1182" t="s">
        <v>152</v>
      </c>
      <c r="I1182" t="s">
        <v>257</v>
      </c>
      <c r="J1182" t="s">
        <v>128</v>
      </c>
      <c r="K1182" t="s">
        <v>201</v>
      </c>
      <c r="L1182" s="17">
        <v>1</v>
      </c>
      <c r="M1182" s="28"/>
    </row>
    <row r="1183" spans="1:13" s="25" customFormat="1" x14ac:dyDescent="0.2">
      <c r="A1183">
        <f t="shared" si="18"/>
        <v>1177</v>
      </c>
      <c r="B1183">
        <v>2016</v>
      </c>
      <c r="C1183" t="s">
        <v>212</v>
      </c>
      <c r="D1183" t="s">
        <v>943</v>
      </c>
      <c r="E1183" s="65">
        <v>430</v>
      </c>
      <c r="F1183" s="33"/>
      <c r="G1183" t="s">
        <v>1414</v>
      </c>
      <c r="H1183" t="s">
        <v>144</v>
      </c>
      <c r="I1183" t="s">
        <v>232</v>
      </c>
      <c r="J1183" t="s">
        <v>56</v>
      </c>
      <c r="K1183" t="s">
        <v>195</v>
      </c>
      <c r="L1183" s="17">
        <v>0</v>
      </c>
      <c r="M1183" s="28"/>
    </row>
    <row r="1184" spans="1:13" s="25" customFormat="1" x14ac:dyDescent="0.2">
      <c r="A1184">
        <f t="shared" si="18"/>
        <v>1178</v>
      </c>
      <c r="B1184">
        <v>2016</v>
      </c>
      <c r="C1184" t="s">
        <v>212</v>
      </c>
      <c r="D1184" t="s">
        <v>651</v>
      </c>
      <c r="E1184" s="65">
        <v>120</v>
      </c>
      <c r="F1184" s="33"/>
      <c r="H1184" t="s">
        <v>149</v>
      </c>
      <c r="I1184" t="s">
        <v>182</v>
      </c>
      <c r="J1184" t="s">
        <v>106</v>
      </c>
      <c r="K1184" t="s">
        <v>195</v>
      </c>
      <c r="L1184" s="17">
        <v>1</v>
      </c>
      <c r="M1184" s="28"/>
    </row>
    <row r="1185" spans="1:13" s="25" customFormat="1" x14ac:dyDescent="0.2">
      <c r="A1185">
        <f t="shared" si="18"/>
        <v>1179</v>
      </c>
      <c r="B1185">
        <v>2016</v>
      </c>
      <c r="C1185" t="s">
        <v>212</v>
      </c>
      <c r="D1185" t="s">
        <v>1415</v>
      </c>
      <c r="E1185" s="65">
        <v>140</v>
      </c>
      <c r="F1185" s="33"/>
      <c r="H1185" t="s">
        <v>151</v>
      </c>
      <c r="I1185" t="s">
        <v>224</v>
      </c>
      <c r="J1185" t="s">
        <v>9</v>
      </c>
      <c r="K1185" t="s">
        <v>9</v>
      </c>
      <c r="L1185" s="17">
        <v>0</v>
      </c>
      <c r="M1185" s="28" t="s">
        <v>178</v>
      </c>
    </row>
    <row r="1186" spans="1:13" s="25" customFormat="1" x14ac:dyDescent="0.2">
      <c r="A1186">
        <f t="shared" si="18"/>
        <v>1180</v>
      </c>
      <c r="B1186">
        <v>2016</v>
      </c>
      <c r="C1186" t="s">
        <v>212</v>
      </c>
      <c r="D1186" t="s">
        <v>1416</v>
      </c>
      <c r="E1186" s="65">
        <v>2960</v>
      </c>
      <c r="F1186" s="33">
        <v>0.49</v>
      </c>
      <c r="G1186" t="s">
        <v>1417</v>
      </c>
      <c r="H1186" t="s">
        <v>152</v>
      </c>
      <c r="I1186" t="s">
        <v>257</v>
      </c>
      <c r="J1186" t="s">
        <v>20</v>
      </c>
      <c r="K1186" t="s">
        <v>195</v>
      </c>
      <c r="L1186" s="17">
        <v>0</v>
      </c>
      <c r="M1186" s="28"/>
    </row>
    <row r="1187" spans="1:13" s="25" customFormat="1" x14ac:dyDescent="0.2">
      <c r="A1187">
        <f t="shared" si="18"/>
        <v>1181</v>
      </c>
      <c r="B1187">
        <v>2016</v>
      </c>
      <c r="C1187" t="s">
        <v>212</v>
      </c>
      <c r="D1187" t="s">
        <v>1418</v>
      </c>
      <c r="E1187" s="65">
        <v>240</v>
      </c>
      <c r="F1187" s="33">
        <v>0.85</v>
      </c>
      <c r="G1187" t="s">
        <v>1419</v>
      </c>
      <c r="H1187" t="s">
        <v>150</v>
      </c>
      <c r="I1187" t="s">
        <v>556</v>
      </c>
      <c r="J1187" t="s">
        <v>58</v>
      </c>
      <c r="K1187" t="s">
        <v>195</v>
      </c>
      <c r="L1187" s="17">
        <v>0</v>
      </c>
      <c r="M1187" s="28"/>
    </row>
    <row r="1188" spans="1:13" s="25" customFormat="1" x14ac:dyDescent="0.2">
      <c r="A1188">
        <f t="shared" si="18"/>
        <v>1182</v>
      </c>
      <c r="B1188">
        <v>2016</v>
      </c>
      <c r="C1188" t="s">
        <v>212</v>
      </c>
      <c r="D1188" t="s">
        <v>300</v>
      </c>
      <c r="E1188" s="65">
        <v>1150</v>
      </c>
      <c r="F1188" s="33">
        <v>0.1</v>
      </c>
      <c r="G1188" t="s">
        <v>1176</v>
      </c>
      <c r="H1188" t="s">
        <v>144</v>
      </c>
      <c r="I1188" t="s">
        <v>299</v>
      </c>
      <c r="J1188" t="s">
        <v>101</v>
      </c>
      <c r="K1188" t="s">
        <v>201</v>
      </c>
      <c r="L1188" s="17">
        <v>1</v>
      </c>
      <c r="M1188" s="28"/>
    </row>
    <row r="1189" spans="1:13" s="25" customFormat="1" x14ac:dyDescent="0.2">
      <c r="A1189">
        <f t="shared" si="18"/>
        <v>1183</v>
      </c>
      <c r="B1189">
        <v>2016</v>
      </c>
      <c r="C1189" t="s">
        <v>212</v>
      </c>
      <c r="D1189" t="s">
        <v>1420</v>
      </c>
      <c r="E1189" s="65">
        <v>170</v>
      </c>
      <c r="F1189" s="33">
        <v>1</v>
      </c>
      <c r="H1189" t="s">
        <v>142</v>
      </c>
      <c r="J1189" t="s">
        <v>25</v>
      </c>
      <c r="K1189" t="s">
        <v>177</v>
      </c>
      <c r="L1189" s="17">
        <v>0</v>
      </c>
      <c r="M1189" s="28" t="s">
        <v>178</v>
      </c>
    </row>
    <row r="1190" spans="1:13" s="25" customFormat="1" x14ac:dyDescent="0.2">
      <c r="A1190">
        <f t="shared" si="18"/>
        <v>1184</v>
      </c>
      <c r="B1190">
        <v>2016</v>
      </c>
      <c r="C1190" t="s">
        <v>212</v>
      </c>
      <c r="D1190" t="s">
        <v>307</v>
      </c>
      <c r="E1190" s="65">
        <v>4910</v>
      </c>
      <c r="F1190" s="33">
        <v>0.55000000000000004</v>
      </c>
      <c r="G1190" t="s">
        <v>1421</v>
      </c>
      <c r="H1190" t="s">
        <v>144</v>
      </c>
      <c r="J1190" t="s">
        <v>19</v>
      </c>
      <c r="K1190" t="s">
        <v>205</v>
      </c>
      <c r="L1190" s="17">
        <v>0</v>
      </c>
      <c r="M1190" s="28"/>
    </row>
    <row r="1191" spans="1:13" s="25" customFormat="1" x14ac:dyDescent="0.2">
      <c r="A1191">
        <f t="shared" si="18"/>
        <v>1185</v>
      </c>
      <c r="B1191">
        <v>2016</v>
      </c>
      <c r="C1191" t="s">
        <v>212</v>
      </c>
      <c r="D1191" t="s">
        <v>1035</v>
      </c>
      <c r="E1191" s="65">
        <v>100</v>
      </c>
      <c r="F1191" s="33"/>
      <c r="G1191" t="s">
        <v>1422</v>
      </c>
      <c r="H1191" t="s">
        <v>151</v>
      </c>
      <c r="I1191" t="s">
        <v>224</v>
      </c>
      <c r="J1191" t="s">
        <v>131</v>
      </c>
      <c r="K1191" t="s">
        <v>131</v>
      </c>
      <c r="L1191" s="17">
        <v>0</v>
      </c>
      <c r="M1191" s="28" t="s">
        <v>178</v>
      </c>
    </row>
    <row r="1192" spans="1:13" s="25" customFormat="1" ht="15" customHeight="1" x14ac:dyDescent="0.2">
      <c r="A1192">
        <f t="shared" si="18"/>
        <v>1186</v>
      </c>
      <c r="B1192">
        <v>2016</v>
      </c>
      <c r="C1192" t="s">
        <v>212</v>
      </c>
      <c r="D1192" t="s">
        <v>185</v>
      </c>
      <c r="E1192" s="65">
        <v>1110</v>
      </c>
      <c r="F1192" s="33"/>
      <c r="H1192" t="s">
        <v>144</v>
      </c>
      <c r="I1192" t="s">
        <v>187</v>
      </c>
      <c r="J1192" t="s">
        <v>77</v>
      </c>
      <c r="K1192" t="s">
        <v>177</v>
      </c>
      <c r="L1192" s="17">
        <v>0</v>
      </c>
      <c r="M1192" s="28" t="s">
        <v>178</v>
      </c>
    </row>
    <row r="1193" spans="1:13" s="25" customFormat="1" x14ac:dyDescent="0.2">
      <c r="A1193">
        <f t="shared" si="18"/>
        <v>1187</v>
      </c>
      <c r="B1193">
        <v>2016</v>
      </c>
      <c r="C1193" t="s">
        <v>212</v>
      </c>
      <c r="D1193" t="s">
        <v>263</v>
      </c>
      <c r="E1193" s="65">
        <v>1030</v>
      </c>
      <c r="F1193" s="33">
        <v>0.45</v>
      </c>
      <c r="G1193" t="s">
        <v>1423</v>
      </c>
      <c r="H1193" t="s">
        <v>151</v>
      </c>
      <c r="I1193" t="s">
        <v>224</v>
      </c>
      <c r="J1193" t="s">
        <v>131</v>
      </c>
      <c r="K1193" t="s">
        <v>131</v>
      </c>
      <c r="L1193" s="17">
        <v>0</v>
      </c>
      <c r="M1193" s="28"/>
    </row>
    <row r="1194" spans="1:13" s="25" customFormat="1" x14ac:dyDescent="0.2">
      <c r="A1194">
        <f t="shared" si="18"/>
        <v>1188</v>
      </c>
      <c r="B1194">
        <v>2016</v>
      </c>
      <c r="C1194" t="s">
        <v>212</v>
      </c>
      <c r="D1194" t="s">
        <v>1344</v>
      </c>
      <c r="E1194" s="65">
        <v>100</v>
      </c>
      <c r="F1194" s="33"/>
      <c r="G1194" t="s">
        <v>1424</v>
      </c>
      <c r="H1194" t="s">
        <v>154</v>
      </c>
      <c r="I1194" t="s">
        <v>194</v>
      </c>
      <c r="J1194" t="s">
        <v>19</v>
      </c>
      <c r="K1194" t="s">
        <v>205</v>
      </c>
      <c r="L1194" s="17">
        <v>0</v>
      </c>
      <c r="M1194" s="28"/>
    </row>
    <row r="1195" spans="1:13" s="25" customFormat="1" x14ac:dyDescent="0.2">
      <c r="A1195">
        <f t="shared" si="18"/>
        <v>1189</v>
      </c>
      <c r="B1195">
        <v>2016</v>
      </c>
      <c r="C1195" t="s">
        <v>212</v>
      </c>
      <c r="D1195" t="s">
        <v>554</v>
      </c>
      <c r="E1195" s="65">
        <v>200</v>
      </c>
      <c r="F1195" s="33"/>
      <c r="G1195" t="s">
        <v>1425</v>
      </c>
      <c r="H1195" t="s">
        <v>154</v>
      </c>
      <c r="I1195" t="s">
        <v>250</v>
      </c>
      <c r="J1195" t="s">
        <v>47</v>
      </c>
      <c r="K1195" t="s">
        <v>195</v>
      </c>
      <c r="L1195" s="17">
        <v>1</v>
      </c>
      <c r="M1195" s="28"/>
    </row>
    <row r="1196" spans="1:13" s="25" customFormat="1" x14ac:dyDescent="0.2">
      <c r="A1196">
        <f t="shared" si="18"/>
        <v>1190</v>
      </c>
      <c r="B1196">
        <v>2016</v>
      </c>
      <c r="C1196" t="s">
        <v>212</v>
      </c>
      <c r="D1196" t="s">
        <v>479</v>
      </c>
      <c r="E1196" s="65">
        <v>1680</v>
      </c>
      <c r="F1196" s="33">
        <v>0.5</v>
      </c>
      <c r="G1196" t="s">
        <v>1426</v>
      </c>
      <c r="H1196" t="s">
        <v>153</v>
      </c>
      <c r="J1196" t="s">
        <v>72</v>
      </c>
      <c r="K1196" t="s">
        <v>183</v>
      </c>
      <c r="L1196" s="17">
        <v>1</v>
      </c>
      <c r="M1196" s="28" t="s">
        <v>178</v>
      </c>
    </row>
    <row r="1197" spans="1:13" s="25" customFormat="1" x14ac:dyDescent="0.2">
      <c r="A1197">
        <f t="shared" si="18"/>
        <v>1191</v>
      </c>
      <c r="B1197">
        <v>2016</v>
      </c>
      <c r="C1197" t="s">
        <v>212</v>
      </c>
      <c r="D1197" t="s">
        <v>1427</v>
      </c>
      <c r="E1197" s="65">
        <v>350</v>
      </c>
      <c r="F1197" s="33">
        <v>0.37</v>
      </c>
      <c r="G1197" t="s">
        <v>1428</v>
      </c>
      <c r="H1197" t="s">
        <v>142</v>
      </c>
      <c r="J1197" t="s">
        <v>114</v>
      </c>
      <c r="K1197" t="s">
        <v>195</v>
      </c>
      <c r="L1197" s="17">
        <v>0</v>
      </c>
      <c r="M1197" s="28"/>
    </row>
    <row r="1198" spans="1:13" s="25" customFormat="1" x14ac:dyDescent="0.2">
      <c r="A1198">
        <f t="shared" si="18"/>
        <v>1192</v>
      </c>
      <c r="B1198">
        <v>2016</v>
      </c>
      <c r="C1198" t="s">
        <v>212</v>
      </c>
      <c r="D1198" t="s">
        <v>479</v>
      </c>
      <c r="E1198" s="65">
        <v>290</v>
      </c>
      <c r="F1198" s="33"/>
      <c r="H1198" t="s">
        <v>151</v>
      </c>
      <c r="I1198" t="s">
        <v>224</v>
      </c>
      <c r="J1198" t="s">
        <v>131</v>
      </c>
      <c r="K1198" t="s">
        <v>131</v>
      </c>
      <c r="L1198" s="17">
        <v>0</v>
      </c>
      <c r="M1198" s="28" t="s">
        <v>178</v>
      </c>
    </row>
    <row r="1199" spans="1:13" s="25" customFormat="1" x14ac:dyDescent="0.2">
      <c r="A1199">
        <f t="shared" si="18"/>
        <v>1193</v>
      </c>
      <c r="B1199">
        <v>2016</v>
      </c>
      <c r="C1199" t="s">
        <v>212</v>
      </c>
      <c r="D1199" t="s">
        <v>530</v>
      </c>
      <c r="E1199" s="65">
        <v>150</v>
      </c>
      <c r="F1199" s="33"/>
      <c r="G1199" t="s">
        <v>1429</v>
      </c>
      <c r="H1199" t="s">
        <v>152</v>
      </c>
      <c r="I1199" t="s">
        <v>257</v>
      </c>
      <c r="J1199" t="s">
        <v>57</v>
      </c>
      <c r="K1199" t="s">
        <v>195</v>
      </c>
      <c r="L1199" s="17">
        <v>0</v>
      </c>
      <c r="M1199" s="28"/>
    </row>
    <row r="1200" spans="1:13" s="25" customFormat="1" x14ac:dyDescent="0.2">
      <c r="A1200">
        <f t="shared" si="18"/>
        <v>1194</v>
      </c>
      <c r="B1200">
        <v>2016</v>
      </c>
      <c r="C1200" t="s">
        <v>212</v>
      </c>
      <c r="D1200" t="s">
        <v>698</v>
      </c>
      <c r="E1200" s="65">
        <v>120</v>
      </c>
      <c r="F1200" s="33">
        <v>1</v>
      </c>
      <c r="G1200" t="s">
        <v>1430</v>
      </c>
      <c r="H1200" t="s">
        <v>150</v>
      </c>
      <c r="I1200" t="s">
        <v>292</v>
      </c>
      <c r="J1200" t="s">
        <v>20</v>
      </c>
      <c r="K1200" t="s">
        <v>195</v>
      </c>
      <c r="L1200" s="17">
        <v>0</v>
      </c>
      <c r="M1200" s="28"/>
    </row>
    <row r="1201" spans="1:13" s="25" customFormat="1" x14ac:dyDescent="0.2">
      <c r="A1201">
        <f t="shared" si="18"/>
        <v>1195</v>
      </c>
      <c r="B1201">
        <v>2016</v>
      </c>
      <c r="C1201" t="s">
        <v>212</v>
      </c>
      <c r="D1201" t="s">
        <v>1123</v>
      </c>
      <c r="E1201" s="65">
        <v>220</v>
      </c>
      <c r="F1201" s="33">
        <v>0.17</v>
      </c>
      <c r="G1201" t="s">
        <v>1124</v>
      </c>
      <c r="H1201" t="s">
        <v>147</v>
      </c>
      <c r="J1201" t="s">
        <v>9</v>
      </c>
      <c r="K1201" t="s">
        <v>9</v>
      </c>
      <c r="L1201" s="17">
        <v>0</v>
      </c>
      <c r="M1201" s="28"/>
    </row>
    <row r="1202" spans="1:13" s="25" customFormat="1" x14ac:dyDescent="0.2">
      <c r="A1202">
        <f t="shared" si="18"/>
        <v>1196</v>
      </c>
      <c r="B1202">
        <v>2016</v>
      </c>
      <c r="C1202" t="s">
        <v>212</v>
      </c>
      <c r="D1202" t="s">
        <v>1289</v>
      </c>
      <c r="E1202" s="65">
        <v>220</v>
      </c>
      <c r="F1202" s="33"/>
      <c r="H1202" t="s">
        <v>151</v>
      </c>
      <c r="I1202" t="s">
        <v>224</v>
      </c>
      <c r="J1202" t="s">
        <v>108</v>
      </c>
      <c r="K1202" t="s">
        <v>183</v>
      </c>
      <c r="L1202" s="17">
        <v>1</v>
      </c>
      <c r="M1202" s="28" t="s">
        <v>178</v>
      </c>
    </row>
    <row r="1203" spans="1:13" s="25" customFormat="1" x14ac:dyDescent="0.2">
      <c r="A1203">
        <f t="shared" si="18"/>
        <v>1197</v>
      </c>
      <c r="B1203">
        <v>2016</v>
      </c>
      <c r="C1203" t="s">
        <v>212</v>
      </c>
      <c r="D1203" t="s">
        <v>798</v>
      </c>
      <c r="E1203" s="65">
        <v>490</v>
      </c>
      <c r="F1203" s="33"/>
      <c r="G1203" t="s">
        <v>834</v>
      </c>
      <c r="H1203" t="s">
        <v>149</v>
      </c>
      <c r="I1203" t="s">
        <v>182</v>
      </c>
      <c r="J1203" t="s">
        <v>53</v>
      </c>
      <c r="K1203" t="s">
        <v>183</v>
      </c>
      <c r="L1203" s="17">
        <v>1</v>
      </c>
      <c r="M1203" s="28" t="s">
        <v>178</v>
      </c>
    </row>
    <row r="1204" spans="1:13" s="25" customFormat="1" x14ac:dyDescent="0.2">
      <c r="A1204">
        <f t="shared" si="18"/>
        <v>1198</v>
      </c>
      <c r="B1204">
        <v>2016</v>
      </c>
      <c r="C1204" t="s">
        <v>212</v>
      </c>
      <c r="D1204" t="s">
        <v>1431</v>
      </c>
      <c r="E1204" s="65">
        <v>170</v>
      </c>
      <c r="F1204" s="33"/>
      <c r="H1204" t="s">
        <v>150</v>
      </c>
      <c r="I1204" t="s">
        <v>556</v>
      </c>
      <c r="J1204" t="s">
        <v>136</v>
      </c>
      <c r="K1204" t="s">
        <v>183</v>
      </c>
      <c r="L1204" s="17">
        <v>1</v>
      </c>
      <c r="M1204" s="28" t="s">
        <v>178</v>
      </c>
    </row>
    <row r="1205" spans="1:13" s="25" customFormat="1" ht="14.25" customHeight="1" x14ac:dyDescent="0.2">
      <c r="A1205">
        <f t="shared" si="18"/>
        <v>1199</v>
      </c>
      <c r="B1205">
        <v>2016</v>
      </c>
      <c r="C1205" t="s">
        <v>212</v>
      </c>
      <c r="D1205" t="s">
        <v>1329</v>
      </c>
      <c r="E1205" s="65">
        <v>100</v>
      </c>
      <c r="F1205" s="33"/>
      <c r="H1205" t="s">
        <v>149</v>
      </c>
      <c r="I1205" t="s">
        <v>236</v>
      </c>
      <c r="J1205" t="s">
        <v>41</v>
      </c>
      <c r="K1205" t="s">
        <v>195</v>
      </c>
      <c r="L1205" s="17">
        <v>0</v>
      </c>
      <c r="M1205" s="28"/>
    </row>
    <row r="1206" spans="1:13" s="25" customFormat="1" ht="14.25" customHeight="1" x14ac:dyDescent="0.2">
      <c r="A1206">
        <f t="shared" si="18"/>
        <v>1200</v>
      </c>
      <c r="B1206">
        <v>2016</v>
      </c>
      <c r="C1206" t="s">
        <v>212</v>
      </c>
      <c r="D1206" t="s">
        <v>1432</v>
      </c>
      <c r="E1206" s="65">
        <v>270</v>
      </c>
      <c r="F1206" s="33"/>
      <c r="H1206" t="s">
        <v>154</v>
      </c>
      <c r="I1206" t="s">
        <v>194</v>
      </c>
      <c r="J1206" t="s">
        <v>42</v>
      </c>
      <c r="K1206" t="s">
        <v>195</v>
      </c>
      <c r="L1206" s="17">
        <v>0</v>
      </c>
      <c r="M1206" s="28"/>
    </row>
    <row r="1207" spans="1:13" s="25" customFormat="1" x14ac:dyDescent="0.2">
      <c r="A1207">
        <f t="shared" si="18"/>
        <v>1201</v>
      </c>
      <c r="B1207">
        <v>2017</v>
      </c>
      <c r="C1207" t="s">
        <v>172</v>
      </c>
      <c r="D1207" t="s">
        <v>895</v>
      </c>
      <c r="E1207" s="65">
        <v>820</v>
      </c>
      <c r="F1207" s="33"/>
      <c r="G1207" t="s">
        <v>1433</v>
      </c>
      <c r="H1207" t="s">
        <v>147</v>
      </c>
      <c r="J1207" t="s">
        <v>25</v>
      </c>
      <c r="K1207" t="s">
        <v>177</v>
      </c>
      <c r="L1207" s="17">
        <v>0</v>
      </c>
      <c r="M1207" s="28"/>
    </row>
    <row r="1208" spans="1:13" s="25" customFormat="1" x14ac:dyDescent="0.2">
      <c r="A1208">
        <f t="shared" si="18"/>
        <v>1202</v>
      </c>
      <c r="B1208">
        <v>2017</v>
      </c>
      <c r="C1208" t="s">
        <v>172</v>
      </c>
      <c r="D1208" t="s">
        <v>661</v>
      </c>
      <c r="E1208" s="65">
        <v>960</v>
      </c>
      <c r="F1208" s="33"/>
      <c r="G1208" t="s">
        <v>1434</v>
      </c>
      <c r="H1208" t="s">
        <v>145</v>
      </c>
      <c r="J1208" t="s">
        <v>118</v>
      </c>
      <c r="K1208" t="s">
        <v>195</v>
      </c>
      <c r="L1208" s="17">
        <v>0</v>
      </c>
      <c r="M1208" s="28"/>
    </row>
    <row r="1209" spans="1:13" s="25" customFormat="1" x14ac:dyDescent="0.2">
      <c r="A1209">
        <f t="shared" si="18"/>
        <v>1203</v>
      </c>
      <c r="B1209">
        <v>2017</v>
      </c>
      <c r="C1209" t="s">
        <v>172</v>
      </c>
      <c r="D1209" t="s">
        <v>1435</v>
      </c>
      <c r="E1209" s="65">
        <v>160</v>
      </c>
      <c r="F1209" s="33">
        <v>0.4</v>
      </c>
      <c r="G1209" t="s">
        <v>1436</v>
      </c>
      <c r="H1209" t="s">
        <v>150</v>
      </c>
      <c r="I1209" t="s">
        <v>556</v>
      </c>
      <c r="J1209" t="s">
        <v>131</v>
      </c>
      <c r="K1209" t="s">
        <v>131</v>
      </c>
      <c r="L1209" s="17">
        <v>0</v>
      </c>
      <c r="M1209" s="28"/>
    </row>
    <row r="1210" spans="1:13" s="25" customFormat="1" x14ac:dyDescent="0.2">
      <c r="A1210">
        <f t="shared" si="18"/>
        <v>1204</v>
      </c>
      <c r="B1210">
        <v>2017</v>
      </c>
      <c r="C1210" t="s">
        <v>172</v>
      </c>
      <c r="D1210" t="s">
        <v>373</v>
      </c>
      <c r="E1210" s="65">
        <v>360</v>
      </c>
      <c r="F1210" s="33"/>
      <c r="G1210" t="s">
        <v>1437</v>
      </c>
      <c r="H1210" t="s">
        <v>151</v>
      </c>
      <c r="I1210" t="s">
        <v>224</v>
      </c>
      <c r="J1210" t="s">
        <v>131</v>
      </c>
      <c r="K1210" t="s">
        <v>131</v>
      </c>
      <c r="L1210" s="17">
        <v>0</v>
      </c>
      <c r="M1210" s="28"/>
    </row>
    <row r="1211" spans="1:13" s="25" customFormat="1" x14ac:dyDescent="0.2">
      <c r="A1211">
        <f t="shared" si="18"/>
        <v>1205</v>
      </c>
      <c r="B1211">
        <v>2017</v>
      </c>
      <c r="C1211" t="s">
        <v>172</v>
      </c>
      <c r="D1211" t="s">
        <v>1438</v>
      </c>
      <c r="E1211" s="65">
        <v>540</v>
      </c>
      <c r="F1211" s="33">
        <v>1</v>
      </c>
      <c r="G1211" t="s">
        <v>1439</v>
      </c>
      <c r="H1211" t="s">
        <v>152</v>
      </c>
      <c r="J1211" t="s">
        <v>131</v>
      </c>
      <c r="K1211" t="s">
        <v>131</v>
      </c>
      <c r="L1211" s="17">
        <v>0</v>
      </c>
      <c r="M1211" s="28"/>
    </row>
    <row r="1212" spans="1:13" s="25" customFormat="1" x14ac:dyDescent="0.2">
      <c r="A1212">
        <f t="shared" si="18"/>
        <v>1206</v>
      </c>
      <c r="B1212">
        <v>2017</v>
      </c>
      <c r="C1212" t="s">
        <v>172</v>
      </c>
      <c r="D1212" t="s">
        <v>1440</v>
      </c>
      <c r="E1212" s="65">
        <v>1050</v>
      </c>
      <c r="F1212" s="33"/>
      <c r="G1212" t="s">
        <v>1441</v>
      </c>
      <c r="H1212" t="s">
        <v>145</v>
      </c>
      <c r="J1212" t="s">
        <v>110</v>
      </c>
      <c r="K1212" t="s">
        <v>195</v>
      </c>
      <c r="L1212" s="17">
        <v>1</v>
      </c>
      <c r="M1212" s="28"/>
    </row>
    <row r="1213" spans="1:13" s="25" customFormat="1" x14ac:dyDescent="0.2">
      <c r="A1213">
        <f t="shared" si="18"/>
        <v>1207</v>
      </c>
      <c r="B1213">
        <v>2017</v>
      </c>
      <c r="C1213" t="s">
        <v>172</v>
      </c>
      <c r="D1213" t="s">
        <v>479</v>
      </c>
      <c r="E1213" s="65">
        <v>100</v>
      </c>
      <c r="F1213" s="33">
        <v>0.8</v>
      </c>
      <c r="G1213" t="s">
        <v>1442</v>
      </c>
      <c r="H1213" t="s">
        <v>151</v>
      </c>
      <c r="I1213" t="s">
        <v>279</v>
      </c>
      <c r="J1213" t="s">
        <v>19</v>
      </c>
      <c r="K1213" t="s">
        <v>205</v>
      </c>
      <c r="L1213" s="17">
        <v>0</v>
      </c>
      <c r="M1213" s="28"/>
    </row>
    <row r="1214" spans="1:13" s="25" customFormat="1" x14ac:dyDescent="0.2">
      <c r="A1214">
        <f t="shared" si="18"/>
        <v>1208</v>
      </c>
      <c r="B1214">
        <v>2017</v>
      </c>
      <c r="C1214" t="s">
        <v>172</v>
      </c>
      <c r="D1214" t="s">
        <v>245</v>
      </c>
      <c r="E1214" s="65">
        <v>210</v>
      </c>
      <c r="F1214" s="33"/>
      <c r="G1214" t="s">
        <v>1443</v>
      </c>
      <c r="H1214" t="s">
        <v>152</v>
      </c>
      <c r="I1214" t="s">
        <v>257</v>
      </c>
      <c r="J1214" t="s">
        <v>51</v>
      </c>
      <c r="K1214" t="s">
        <v>195</v>
      </c>
      <c r="L1214" s="17">
        <v>1</v>
      </c>
      <c r="M1214" s="28"/>
    </row>
    <row r="1215" spans="1:13" s="25" customFormat="1" x14ac:dyDescent="0.2">
      <c r="A1215">
        <f t="shared" si="18"/>
        <v>1209</v>
      </c>
      <c r="B1215">
        <v>2017</v>
      </c>
      <c r="C1215" t="s">
        <v>172</v>
      </c>
      <c r="D1215" t="s">
        <v>1444</v>
      </c>
      <c r="E1215" s="65">
        <v>110</v>
      </c>
      <c r="F1215" s="33">
        <v>1</v>
      </c>
      <c r="H1215" t="s">
        <v>151</v>
      </c>
      <c r="I1215" t="s">
        <v>279</v>
      </c>
      <c r="J1215" t="s">
        <v>134</v>
      </c>
      <c r="K1215" t="s">
        <v>201</v>
      </c>
      <c r="L1215" s="17">
        <v>1</v>
      </c>
      <c r="M1215" s="28" t="s">
        <v>178</v>
      </c>
    </row>
    <row r="1216" spans="1:13" s="25" customFormat="1" x14ac:dyDescent="0.2">
      <c r="A1216">
        <f t="shared" si="18"/>
        <v>1210</v>
      </c>
      <c r="B1216">
        <v>2017</v>
      </c>
      <c r="C1216" t="s">
        <v>172</v>
      </c>
      <c r="D1216" t="s">
        <v>424</v>
      </c>
      <c r="E1216" s="65">
        <v>290</v>
      </c>
      <c r="F1216" s="33">
        <v>1</v>
      </c>
      <c r="H1216" t="s">
        <v>150</v>
      </c>
      <c r="I1216" t="s">
        <v>226</v>
      </c>
      <c r="J1216" t="s">
        <v>67</v>
      </c>
      <c r="K1216" t="s">
        <v>183</v>
      </c>
      <c r="L1216" s="17">
        <v>1</v>
      </c>
      <c r="M1216" s="28" t="s">
        <v>178</v>
      </c>
    </row>
    <row r="1217" spans="1:13" s="25" customFormat="1" x14ac:dyDescent="0.2">
      <c r="A1217">
        <f t="shared" si="18"/>
        <v>1211</v>
      </c>
      <c r="B1217">
        <v>2017</v>
      </c>
      <c r="C1217" t="s">
        <v>172</v>
      </c>
      <c r="D1217" t="s">
        <v>797</v>
      </c>
      <c r="E1217" s="65">
        <v>1140</v>
      </c>
      <c r="F1217" s="33">
        <v>0.24</v>
      </c>
      <c r="G1217" t="s">
        <v>1445</v>
      </c>
      <c r="H1217" t="s">
        <v>149</v>
      </c>
      <c r="I1217" t="s">
        <v>236</v>
      </c>
      <c r="J1217" t="s">
        <v>34</v>
      </c>
      <c r="K1217" t="s">
        <v>219</v>
      </c>
      <c r="L1217" s="17">
        <v>1</v>
      </c>
      <c r="M1217" s="28"/>
    </row>
    <row r="1218" spans="1:13" s="25" customFormat="1" x14ac:dyDescent="0.2">
      <c r="A1218">
        <f t="shared" si="18"/>
        <v>1212</v>
      </c>
      <c r="B1218">
        <v>2017</v>
      </c>
      <c r="C1218" t="s">
        <v>172</v>
      </c>
      <c r="D1218" t="s">
        <v>185</v>
      </c>
      <c r="E1218" s="65">
        <v>1040</v>
      </c>
      <c r="F1218" s="33">
        <v>0.14000000000000001</v>
      </c>
      <c r="H1218" t="s">
        <v>144</v>
      </c>
      <c r="I1218" t="s">
        <v>299</v>
      </c>
      <c r="J1218" t="s">
        <v>53</v>
      </c>
      <c r="K1218" t="s">
        <v>183</v>
      </c>
      <c r="L1218" s="17">
        <v>1</v>
      </c>
      <c r="M1218" s="28"/>
    </row>
    <row r="1219" spans="1:13" s="25" customFormat="1" x14ac:dyDescent="0.2">
      <c r="A1219">
        <f t="shared" si="18"/>
        <v>1213</v>
      </c>
      <c r="B1219">
        <v>2017</v>
      </c>
      <c r="C1219" t="s">
        <v>172</v>
      </c>
      <c r="D1219" t="s">
        <v>1057</v>
      </c>
      <c r="E1219" s="65">
        <v>100</v>
      </c>
      <c r="F1219" s="33">
        <v>1</v>
      </c>
      <c r="H1219" t="s">
        <v>144</v>
      </c>
      <c r="I1219" t="s">
        <v>232</v>
      </c>
      <c r="J1219" t="s">
        <v>136</v>
      </c>
      <c r="K1219" t="s">
        <v>183</v>
      </c>
      <c r="L1219" s="17">
        <v>1</v>
      </c>
      <c r="M1219" s="28" t="s">
        <v>178</v>
      </c>
    </row>
    <row r="1220" spans="1:13" s="25" customFormat="1" x14ac:dyDescent="0.2">
      <c r="A1220">
        <f t="shared" si="18"/>
        <v>1214</v>
      </c>
      <c r="B1220">
        <v>2017</v>
      </c>
      <c r="C1220" t="s">
        <v>172</v>
      </c>
      <c r="D1220" t="s">
        <v>1446</v>
      </c>
      <c r="E1220" s="65">
        <v>140</v>
      </c>
      <c r="F1220" s="33">
        <v>0.1</v>
      </c>
      <c r="G1220" t="s">
        <v>1447</v>
      </c>
      <c r="H1220" t="s">
        <v>145</v>
      </c>
      <c r="J1220" t="s">
        <v>131</v>
      </c>
      <c r="K1220" t="s">
        <v>131</v>
      </c>
      <c r="L1220" s="17">
        <v>0</v>
      </c>
      <c r="M1220" s="28"/>
    </row>
    <row r="1221" spans="1:13" s="25" customFormat="1" x14ac:dyDescent="0.2">
      <c r="A1221">
        <f t="shared" si="18"/>
        <v>1215</v>
      </c>
      <c r="B1221">
        <v>2017</v>
      </c>
      <c r="C1221" t="s">
        <v>172</v>
      </c>
      <c r="D1221" t="s">
        <v>1448</v>
      </c>
      <c r="E1221" s="65">
        <v>170</v>
      </c>
      <c r="F1221" s="33">
        <v>0.2</v>
      </c>
      <c r="G1221" t="s">
        <v>1449</v>
      </c>
      <c r="H1221" t="s">
        <v>149</v>
      </c>
      <c r="J1221" t="s">
        <v>25</v>
      </c>
      <c r="K1221" t="s">
        <v>177</v>
      </c>
      <c r="L1221" s="17">
        <v>0</v>
      </c>
      <c r="M1221" s="28"/>
    </row>
    <row r="1222" spans="1:13" s="25" customFormat="1" x14ac:dyDescent="0.2">
      <c r="A1222">
        <f t="shared" si="18"/>
        <v>1216</v>
      </c>
      <c r="B1222">
        <v>2017</v>
      </c>
      <c r="C1222" t="s">
        <v>172</v>
      </c>
      <c r="D1222" t="s">
        <v>246</v>
      </c>
      <c r="E1222" s="65">
        <v>220</v>
      </c>
      <c r="F1222" s="33">
        <v>0.65</v>
      </c>
      <c r="H1222" t="s">
        <v>144</v>
      </c>
      <c r="I1222" t="s">
        <v>197</v>
      </c>
      <c r="J1222" t="s">
        <v>67</v>
      </c>
      <c r="K1222" t="s">
        <v>183</v>
      </c>
      <c r="L1222" s="17">
        <v>1</v>
      </c>
      <c r="M1222" s="28" t="s">
        <v>178</v>
      </c>
    </row>
    <row r="1223" spans="1:13" s="25" customFormat="1" x14ac:dyDescent="0.2">
      <c r="A1223">
        <f t="shared" ref="A1223:A1286" si="19">ROW()-6</f>
        <v>1217</v>
      </c>
      <c r="B1223">
        <v>2017</v>
      </c>
      <c r="C1223" t="s">
        <v>172</v>
      </c>
      <c r="D1223" t="s">
        <v>1329</v>
      </c>
      <c r="E1223" s="65">
        <v>110</v>
      </c>
      <c r="F1223" s="33"/>
      <c r="G1223" t="s">
        <v>1450</v>
      </c>
      <c r="H1223" t="s">
        <v>149</v>
      </c>
      <c r="I1223" t="s">
        <v>236</v>
      </c>
      <c r="J1223" t="s">
        <v>45</v>
      </c>
      <c r="K1223" t="s">
        <v>195</v>
      </c>
      <c r="L1223" s="17">
        <v>0</v>
      </c>
      <c r="M1223" s="28"/>
    </row>
    <row r="1224" spans="1:13" s="25" customFormat="1" x14ac:dyDescent="0.2">
      <c r="A1224">
        <f t="shared" si="19"/>
        <v>1218</v>
      </c>
      <c r="B1224">
        <v>2017</v>
      </c>
      <c r="C1224" t="s">
        <v>258</v>
      </c>
      <c r="D1224" t="s">
        <v>1353</v>
      </c>
      <c r="E1224" s="65">
        <v>170</v>
      </c>
      <c r="F1224" s="33"/>
      <c r="G1224" t="s">
        <v>1451</v>
      </c>
      <c r="H1224" t="s">
        <v>150</v>
      </c>
      <c r="I1224" t="s">
        <v>217</v>
      </c>
      <c r="J1224" t="s">
        <v>57</v>
      </c>
      <c r="K1224" t="s">
        <v>195</v>
      </c>
      <c r="L1224" s="17">
        <v>0</v>
      </c>
      <c r="M1224" s="28"/>
    </row>
    <row r="1225" spans="1:13" s="25" customFormat="1" x14ac:dyDescent="0.2">
      <c r="A1225">
        <f t="shared" si="19"/>
        <v>1219</v>
      </c>
      <c r="B1225">
        <v>2017</v>
      </c>
      <c r="C1225" t="s">
        <v>258</v>
      </c>
      <c r="D1225" t="s">
        <v>1452</v>
      </c>
      <c r="E1225" s="65">
        <v>190</v>
      </c>
      <c r="F1225" s="33">
        <v>0.98</v>
      </c>
      <c r="G1225" t="s">
        <v>1453</v>
      </c>
      <c r="H1225" t="s">
        <v>152</v>
      </c>
      <c r="I1225" t="s">
        <v>257</v>
      </c>
      <c r="J1225" t="s">
        <v>113</v>
      </c>
      <c r="K1225" t="s">
        <v>183</v>
      </c>
      <c r="L1225" s="17">
        <v>0</v>
      </c>
      <c r="M1225" s="28"/>
    </row>
    <row r="1226" spans="1:13" s="25" customFormat="1" x14ac:dyDescent="0.2">
      <c r="A1226">
        <f t="shared" si="19"/>
        <v>1220</v>
      </c>
      <c r="B1226">
        <v>2017</v>
      </c>
      <c r="C1226" t="s">
        <v>258</v>
      </c>
      <c r="D1226" t="s">
        <v>554</v>
      </c>
      <c r="E1226" s="65">
        <v>310</v>
      </c>
      <c r="F1226" s="33">
        <v>7.0000000000000007E-2</v>
      </c>
      <c r="G1226" t="s">
        <v>1401</v>
      </c>
      <c r="H1226" t="s">
        <v>146</v>
      </c>
      <c r="I1226" t="s">
        <v>275</v>
      </c>
      <c r="J1226" t="s">
        <v>99</v>
      </c>
      <c r="K1226" t="s">
        <v>195</v>
      </c>
      <c r="L1226" s="17">
        <v>1</v>
      </c>
      <c r="M1226" s="28"/>
    </row>
    <row r="1227" spans="1:13" s="25" customFormat="1" x14ac:dyDescent="0.2">
      <c r="A1227">
        <f t="shared" si="19"/>
        <v>1221</v>
      </c>
      <c r="B1227">
        <v>2017</v>
      </c>
      <c r="C1227" t="s">
        <v>258</v>
      </c>
      <c r="D1227" t="s">
        <v>373</v>
      </c>
      <c r="E1227" s="65">
        <v>800</v>
      </c>
      <c r="F1227" s="33">
        <v>0.03</v>
      </c>
      <c r="G1227" t="s">
        <v>716</v>
      </c>
      <c r="H1227" t="s">
        <v>146</v>
      </c>
      <c r="I1227" t="s">
        <v>275</v>
      </c>
      <c r="J1227" t="s">
        <v>45</v>
      </c>
      <c r="K1227" t="s">
        <v>195</v>
      </c>
      <c r="L1227" s="17">
        <v>0</v>
      </c>
      <c r="M1227" s="28"/>
    </row>
    <row r="1228" spans="1:13" s="25" customFormat="1" x14ac:dyDescent="0.2">
      <c r="A1228">
        <f t="shared" si="19"/>
        <v>1222</v>
      </c>
      <c r="B1228">
        <v>2017</v>
      </c>
      <c r="C1228" t="s">
        <v>258</v>
      </c>
      <c r="D1228" t="s">
        <v>818</v>
      </c>
      <c r="E1228" s="65">
        <v>1770</v>
      </c>
      <c r="F1228" s="33">
        <v>0.08</v>
      </c>
      <c r="H1228" t="s">
        <v>144</v>
      </c>
      <c r="I1228" t="s">
        <v>187</v>
      </c>
      <c r="J1228" t="s">
        <v>130</v>
      </c>
      <c r="K1228" t="s">
        <v>214</v>
      </c>
      <c r="L1228" s="17">
        <v>1</v>
      </c>
      <c r="M1228" s="28" t="s">
        <v>178</v>
      </c>
    </row>
    <row r="1229" spans="1:13" s="25" customFormat="1" x14ac:dyDescent="0.2">
      <c r="A1229">
        <f t="shared" si="19"/>
        <v>1223</v>
      </c>
      <c r="B1229">
        <v>2017</v>
      </c>
      <c r="C1229" t="s">
        <v>258</v>
      </c>
      <c r="D1229" t="s">
        <v>483</v>
      </c>
      <c r="E1229" s="65">
        <v>890</v>
      </c>
      <c r="F1229" s="33">
        <v>0.04</v>
      </c>
      <c r="H1229" t="s">
        <v>144</v>
      </c>
      <c r="I1229" t="s">
        <v>187</v>
      </c>
      <c r="J1229" t="s">
        <v>130</v>
      </c>
      <c r="K1229" t="s">
        <v>214</v>
      </c>
      <c r="L1229" s="17">
        <v>1</v>
      </c>
      <c r="M1229" s="28" t="s">
        <v>178</v>
      </c>
    </row>
    <row r="1230" spans="1:13" s="25" customFormat="1" x14ac:dyDescent="0.2">
      <c r="A1230">
        <f t="shared" si="19"/>
        <v>1224</v>
      </c>
      <c r="B1230">
        <v>2017</v>
      </c>
      <c r="C1230" t="s">
        <v>258</v>
      </c>
      <c r="D1230" t="s">
        <v>822</v>
      </c>
      <c r="E1230" s="65">
        <v>200</v>
      </c>
      <c r="F1230" s="33"/>
      <c r="G1230" t="s">
        <v>1454</v>
      </c>
      <c r="H1230" t="s">
        <v>146</v>
      </c>
      <c r="J1230" t="s">
        <v>113</v>
      </c>
      <c r="K1230" t="s">
        <v>183</v>
      </c>
      <c r="L1230" s="17">
        <v>0</v>
      </c>
      <c r="M1230" s="28"/>
    </row>
    <row r="1231" spans="1:13" s="25" customFormat="1" x14ac:dyDescent="0.2">
      <c r="A1231">
        <f t="shared" si="19"/>
        <v>1225</v>
      </c>
      <c r="B1231">
        <v>2017</v>
      </c>
      <c r="C1231" t="s">
        <v>258</v>
      </c>
      <c r="D1231" t="s">
        <v>585</v>
      </c>
      <c r="E1231" s="65">
        <v>110</v>
      </c>
      <c r="F1231" s="33"/>
      <c r="G1231" t="s">
        <v>1455</v>
      </c>
      <c r="H1231" t="s">
        <v>154</v>
      </c>
      <c r="I1231" t="s">
        <v>194</v>
      </c>
      <c r="J1231" t="s">
        <v>77</v>
      </c>
      <c r="K1231" t="s">
        <v>177</v>
      </c>
      <c r="L1231" s="17">
        <v>0</v>
      </c>
      <c r="M1231" s="28"/>
    </row>
    <row r="1232" spans="1:13" s="25" customFormat="1" x14ac:dyDescent="0.2">
      <c r="A1232">
        <f t="shared" si="19"/>
        <v>1226</v>
      </c>
      <c r="B1232">
        <v>2017</v>
      </c>
      <c r="C1232" t="s">
        <v>258</v>
      </c>
      <c r="D1232" t="s">
        <v>962</v>
      </c>
      <c r="E1232" s="65">
        <v>510</v>
      </c>
      <c r="F1232" s="33"/>
      <c r="G1232" t="s">
        <v>1456</v>
      </c>
      <c r="H1232" t="s">
        <v>151</v>
      </c>
      <c r="I1232" t="s">
        <v>224</v>
      </c>
      <c r="J1232" t="s">
        <v>25</v>
      </c>
      <c r="K1232" t="s">
        <v>177</v>
      </c>
      <c r="L1232" s="17">
        <v>0</v>
      </c>
      <c r="M1232" s="28"/>
    </row>
    <row r="1233" spans="1:13" s="25" customFormat="1" x14ac:dyDescent="0.2">
      <c r="A1233">
        <f t="shared" si="19"/>
        <v>1227</v>
      </c>
      <c r="B1233">
        <v>2017</v>
      </c>
      <c r="C1233" t="s">
        <v>258</v>
      </c>
      <c r="D1233" t="s">
        <v>246</v>
      </c>
      <c r="E1233" s="65">
        <v>260</v>
      </c>
      <c r="F1233" s="33">
        <v>0.49</v>
      </c>
      <c r="G1233" t="s">
        <v>737</v>
      </c>
      <c r="H1233" t="s">
        <v>144</v>
      </c>
      <c r="I1233" t="s">
        <v>232</v>
      </c>
      <c r="J1233" t="s">
        <v>99</v>
      </c>
      <c r="K1233" t="s">
        <v>195</v>
      </c>
      <c r="L1233" s="17">
        <v>1</v>
      </c>
      <c r="M1233" s="28"/>
    </row>
    <row r="1234" spans="1:13" s="25" customFormat="1" x14ac:dyDescent="0.2">
      <c r="A1234">
        <f t="shared" si="19"/>
        <v>1228</v>
      </c>
      <c r="B1234">
        <v>2017</v>
      </c>
      <c r="C1234" t="s">
        <v>258</v>
      </c>
      <c r="D1234" t="s">
        <v>1457</v>
      </c>
      <c r="E1234" s="65">
        <v>170</v>
      </c>
      <c r="F1234" s="33">
        <v>0.93</v>
      </c>
      <c r="H1234" t="s">
        <v>144</v>
      </c>
      <c r="I1234" t="s">
        <v>232</v>
      </c>
      <c r="J1234" t="s">
        <v>49</v>
      </c>
      <c r="K1234" t="s">
        <v>219</v>
      </c>
      <c r="L1234" s="17">
        <v>1</v>
      </c>
      <c r="M1234" s="28" t="s">
        <v>178</v>
      </c>
    </row>
    <row r="1235" spans="1:13" s="25" customFormat="1" x14ac:dyDescent="0.2">
      <c r="A1235">
        <f t="shared" si="19"/>
        <v>1229</v>
      </c>
      <c r="B1235">
        <v>2017</v>
      </c>
      <c r="C1235" t="s">
        <v>258</v>
      </c>
      <c r="D1235" t="s">
        <v>397</v>
      </c>
      <c r="E1235" s="65">
        <v>220</v>
      </c>
      <c r="F1235" s="33"/>
      <c r="H1235" t="s">
        <v>151</v>
      </c>
      <c r="I1235" t="s">
        <v>224</v>
      </c>
      <c r="J1235" t="s">
        <v>108</v>
      </c>
      <c r="K1235" t="s">
        <v>183</v>
      </c>
      <c r="L1235" s="17">
        <v>1</v>
      </c>
      <c r="M1235" s="28" t="s">
        <v>178</v>
      </c>
    </row>
    <row r="1236" spans="1:13" s="25" customFormat="1" x14ac:dyDescent="0.2">
      <c r="A1236">
        <f t="shared" si="19"/>
        <v>1230</v>
      </c>
      <c r="B1236">
        <v>2017</v>
      </c>
      <c r="C1236" t="s">
        <v>258</v>
      </c>
      <c r="D1236" t="s">
        <v>1458</v>
      </c>
      <c r="E1236" s="65">
        <v>510</v>
      </c>
      <c r="F1236" s="33">
        <v>0.39</v>
      </c>
      <c r="H1236" t="s">
        <v>151</v>
      </c>
      <c r="I1236" t="s">
        <v>224</v>
      </c>
      <c r="J1236" t="s">
        <v>64</v>
      </c>
      <c r="K1236" t="s">
        <v>219</v>
      </c>
      <c r="L1236" s="17">
        <v>1</v>
      </c>
      <c r="M1236" s="28"/>
    </row>
    <row r="1237" spans="1:13" s="25" customFormat="1" x14ac:dyDescent="0.2">
      <c r="A1237">
        <f t="shared" si="19"/>
        <v>1231</v>
      </c>
      <c r="B1237">
        <v>2017</v>
      </c>
      <c r="C1237" t="s">
        <v>258</v>
      </c>
      <c r="D1237" t="s">
        <v>1459</v>
      </c>
      <c r="E1237" s="65">
        <v>190</v>
      </c>
      <c r="F1237" s="33">
        <v>0.98</v>
      </c>
      <c r="G1237" t="s">
        <v>1460</v>
      </c>
      <c r="H1237" t="s">
        <v>152</v>
      </c>
      <c r="I1237" t="s">
        <v>257</v>
      </c>
      <c r="J1237" t="s">
        <v>61</v>
      </c>
      <c r="K1237" t="s">
        <v>183</v>
      </c>
      <c r="L1237" s="17">
        <v>0</v>
      </c>
      <c r="M1237" s="28"/>
    </row>
    <row r="1238" spans="1:13" s="25" customFormat="1" x14ac:dyDescent="0.2">
      <c r="A1238">
        <f t="shared" si="19"/>
        <v>1232</v>
      </c>
      <c r="B1238">
        <v>2017</v>
      </c>
      <c r="C1238" t="s">
        <v>258</v>
      </c>
      <c r="D1238" s="52" t="s">
        <v>255</v>
      </c>
      <c r="E1238" s="65">
        <v>200</v>
      </c>
      <c r="F1238" s="33"/>
      <c r="H1238" t="s">
        <v>152</v>
      </c>
      <c r="I1238" t="s">
        <v>257</v>
      </c>
      <c r="J1238" t="s">
        <v>93</v>
      </c>
      <c r="K1238" t="s">
        <v>201</v>
      </c>
      <c r="L1238" s="17">
        <v>1</v>
      </c>
      <c r="M1238" s="28" t="s">
        <v>178</v>
      </c>
    </row>
    <row r="1239" spans="1:13" s="25" customFormat="1" x14ac:dyDescent="0.2">
      <c r="A1239">
        <f t="shared" si="19"/>
        <v>1233</v>
      </c>
      <c r="B1239">
        <v>2017</v>
      </c>
      <c r="C1239" t="s">
        <v>258</v>
      </c>
      <c r="D1239" t="s">
        <v>1461</v>
      </c>
      <c r="E1239" s="65">
        <v>230</v>
      </c>
      <c r="F1239" s="33">
        <v>1</v>
      </c>
      <c r="G1239" t="s">
        <v>1462</v>
      </c>
      <c r="H1239" t="s">
        <v>149</v>
      </c>
      <c r="J1239" t="s">
        <v>9</v>
      </c>
      <c r="K1239" t="s">
        <v>9</v>
      </c>
      <c r="L1239" s="17">
        <v>0</v>
      </c>
      <c r="M1239" s="28"/>
    </row>
    <row r="1240" spans="1:13" s="25" customFormat="1" x14ac:dyDescent="0.2">
      <c r="A1240">
        <f t="shared" si="19"/>
        <v>1234</v>
      </c>
      <c r="B1240">
        <v>2017</v>
      </c>
      <c r="C1240" t="s">
        <v>258</v>
      </c>
      <c r="D1240" t="s">
        <v>962</v>
      </c>
      <c r="E1240" s="65">
        <v>2310</v>
      </c>
      <c r="F1240" s="33"/>
      <c r="G1240" t="s">
        <v>264</v>
      </c>
      <c r="H1240" t="s">
        <v>151</v>
      </c>
      <c r="I1240" t="s">
        <v>224</v>
      </c>
      <c r="J1240" t="s">
        <v>61</v>
      </c>
      <c r="K1240" t="s">
        <v>183</v>
      </c>
      <c r="L1240" s="17">
        <v>0</v>
      </c>
      <c r="M1240" s="28"/>
    </row>
    <row r="1241" spans="1:13" s="25" customFormat="1" x14ac:dyDescent="0.2">
      <c r="A1241">
        <f t="shared" si="19"/>
        <v>1235</v>
      </c>
      <c r="B1241">
        <v>2017</v>
      </c>
      <c r="C1241" t="s">
        <v>258</v>
      </c>
      <c r="D1241" t="s">
        <v>175</v>
      </c>
      <c r="E1241" s="65">
        <v>110</v>
      </c>
      <c r="F1241" s="33">
        <v>1</v>
      </c>
      <c r="H1241" t="s">
        <v>151</v>
      </c>
      <c r="I1241" t="s">
        <v>224</v>
      </c>
      <c r="J1241" t="s">
        <v>108</v>
      </c>
      <c r="K1241" t="s">
        <v>183</v>
      </c>
      <c r="L1241" s="17">
        <v>1</v>
      </c>
      <c r="M1241" s="28" t="s">
        <v>178</v>
      </c>
    </row>
    <row r="1242" spans="1:13" s="25" customFormat="1" x14ac:dyDescent="0.2">
      <c r="A1242">
        <f t="shared" si="19"/>
        <v>1236</v>
      </c>
      <c r="B1242">
        <v>2017</v>
      </c>
      <c r="C1242" t="s">
        <v>258</v>
      </c>
      <c r="D1242" t="s">
        <v>822</v>
      </c>
      <c r="E1242" s="65">
        <v>190</v>
      </c>
      <c r="F1242" s="33">
        <v>0.23</v>
      </c>
      <c r="G1242" t="s">
        <v>1463</v>
      </c>
      <c r="H1242" t="s">
        <v>146</v>
      </c>
      <c r="J1242" t="s">
        <v>97</v>
      </c>
      <c r="K1242" t="s">
        <v>183</v>
      </c>
      <c r="L1242" s="17">
        <v>1</v>
      </c>
      <c r="M1242" s="28"/>
    </row>
    <row r="1243" spans="1:13" s="25" customFormat="1" x14ac:dyDescent="0.2">
      <c r="A1243">
        <f t="shared" si="19"/>
        <v>1237</v>
      </c>
      <c r="B1243">
        <v>2017</v>
      </c>
      <c r="C1243" t="s">
        <v>258</v>
      </c>
      <c r="D1243" t="s">
        <v>1464</v>
      </c>
      <c r="E1243" s="65">
        <v>250</v>
      </c>
      <c r="F1243" s="33"/>
      <c r="H1243" t="s">
        <v>151</v>
      </c>
      <c r="I1243" t="s">
        <v>224</v>
      </c>
      <c r="J1243" t="s">
        <v>23</v>
      </c>
      <c r="K1243" t="s">
        <v>183</v>
      </c>
      <c r="L1243" s="17">
        <v>1</v>
      </c>
      <c r="M1243" s="28" t="s">
        <v>178</v>
      </c>
    </row>
    <row r="1244" spans="1:13" s="25" customFormat="1" x14ac:dyDescent="0.2">
      <c r="A1244">
        <f t="shared" si="19"/>
        <v>1238</v>
      </c>
      <c r="B1244">
        <v>2017</v>
      </c>
      <c r="C1244" t="s">
        <v>258</v>
      </c>
      <c r="D1244" t="s">
        <v>1465</v>
      </c>
      <c r="E1244" s="65">
        <v>360</v>
      </c>
      <c r="F1244" s="33"/>
      <c r="H1244" t="s">
        <v>151</v>
      </c>
      <c r="I1244" t="s">
        <v>224</v>
      </c>
      <c r="J1244" t="s">
        <v>20</v>
      </c>
      <c r="K1244" t="s">
        <v>195</v>
      </c>
      <c r="L1244" s="17">
        <v>0</v>
      </c>
      <c r="M1244" s="28"/>
    </row>
    <row r="1245" spans="1:13" s="25" customFormat="1" x14ac:dyDescent="0.2">
      <c r="A1245">
        <f t="shared" si="19"/>
        <v>1239</v>
      </c>
      <c r="B1245">
        <v>2017</v>
      </c>
      <c r="C1245" t="s">
        <v>258</v>
      </c>
      <c r="D1245" t="s">
        <v>1466</v>
      </c>
      <c r="E1245" s="65">
        <v>510</v>
      </c>
      <c r="F1245" s="33"/>
      <c r="G1245" t="s">
        <v>1467</v>
      </c>
      <c r="H1245" t="s">
        <v>151</v>
      </c>
      <c r="I1245" t="s">
        <v>224</v>
      </c>
      <c r="J1245" t="s">
        <v>108</v>
      </c>
      <c r="K1245" t="s">
        <v>183</v>
      </c>
      <c r="L1245" s="17">
        <v>1</v>
      </c>
      <c r="M1245" s="28"/>
    </row>
    <row r="1246" spans="1:13" s="25" customFormat="1" x14ac:dyDescent="0.2">
      <c r="A1246">
        <f t="shared" si="19"/>
        <v>1240</v>
      </c>
      <c r="B1246">
        <v>2017</v>
      </c>
      <c r="C1246" t="s">
        <v>258</v>
      </c>
      <c r="D1246" t="s">
        <v>554</v>
      </c>
      <c r="E1246" s="65">
        <v>100</v>
      </c>
      <c r="F1246" s="33">
        <v>7.0000000000000007E-2</v>
      </c>
      <c r="G1246" t="s">
        <v>1401</v>
      </c>
      <c r="H1246" t="s">
        <v>146</v>
      </c>
      <c r="I1246" t="s">
        <v>275</v>
      </c>
      <c r="J1246" t="s">
        <v>99</v>
      </c>
      <c r="K1246" t="s">
        <v>195</v>
      </c>
      <c r="L1246" s="17">
        <v>1</v>
      </c>
      <c r="M1246" s="28"/>
    </row>
    <row r="1247" spans="1:13" s="25" customFormat="1" x14ac:dyDescent="0.2">
      <c r="A1247">
        <f t="shared" si="19"/>
        <v>1241</v>
      </c>
      <c r="B1247">
        <v>2017</v>
      </c>
      <c r="C1247" t="s">
        <v>179</v>
      </c>
      <c r="D1247" t="s">
        <v>1330</v>
      </c>
      <c r="E1247" s="65">
        <v>430</v>
      </c>
      <c r="F1247" s="33">
        <v>0.21</v>
      </c>
      <c r="G1247" t="s">
        <v>1468</v>
      </c>
      <c r="H1247" t="s">
        <v>145</v>
      </c>
      <c r="J1247" t="s">
        <v>131</v>
      </c>
      <c r="K1247" t="s">
        <v>131</v>
      </c>
      <c r="L1247" s="17">
        <v>0</v>
      </c>
      <c r="M1247" s="28"/>
    </row>
    <row r="1248" spans="1:13" s="25" customFormat="1" x14ac:dyDescent="0.2">
      <c r="A1248">
        <f t="shared" si="19"/>
        <v>1242</v>
      </c>
      <c r="B1248">
        <v>2017</v>
      </c>
      <c r="C1248" t="s">
        <v>179</v>
      </c>
      <c r="D1248" t="s">
        <v>454</v>
      </c>
      <c r="E1248" s="65">
        <v>1780</v>
      </c>
      <c r="F1248" s="33">
        <v>0.05</v>
      </c>
      <c r="G1248" t="s">
        <v>1469</v>
      </c>
      <c r="H1248" t="s">
        <v>154</v>
      </c>
      <c r="J1248" t="s">
        <v>131</v>
      </c>
      <c r="K1248" t="s">
        <v>131</v>
      </c>
      <c r="L1248" s="17">
        <v>0</v>
      </c>
      <c r="M1248" s="28"/>
    </row>
    <row r="1249" spans="1:13" s="25" customFormat="1" x14ac:dyDescent="0.2">
      <c r="A1249">
        <f t="shared" si="19"/>
        <v>1243</v>
      </c>
      <c r="B1249">
        <v>2017</v>
      </c>
      <c r="C1249" t="s">
        <v>179</v>
      </c>
      <c r="D1249" t="s">
        <v>373</v>
      </c>
      <c r="E1249" s="65">
        <v>450</v>
      </c>
      <c r="F1249" s="33">
        <v>0.25</v>
      </c>
      <c r="G1249" t="s">
        <v>1470</v>
      </c>
      <c r="H1249" t="s">
        <v>146</v>
      </c>
      <c r="J1249" t="s">
        <v>131</v>
      </c>
      <c r="K1249" t="s">
        <v>131</v>
      </c>
      <c r="L1249" s="17">
        <v>0</v>
      </c>
      <c r="M1249" s="28"/>
    </row>
    <row r="1250" spans="1:13" s="25" customFormat="1" x14ac:dyDescent="0.2">
      <c r="A1250">
        <f t="shared" si="19"/>
        <v>1244</v>
      </c>
      <c r="B1250">
        <v>2017</v>
      </c>
      <c r="C1250" t="s">
        <v>179</v>
      </c>
      <c r="D1250" t="s">
        <v>373</v>
      </c>
      <c r="E1250" s="65">
        <v>460</v>
      </c>
      <c r="F1250" s="33">
        <v>0.02</v>
      </c>
      <c r="G1250" t="s">
        <v>716</v>
      </c>
      <c r="H1250" t="s">
        <v>146</v>
      </c>
      <c r="I1250" t="s">
        <v>275</v>
      </c>
      <c r="J1250" t="s">
        <v>45</v>
      </c>
      <c r="K1250" t="s">
        <v>195</v>
      </c>
      <c r="L1250" s="17">
        <v>0</v>
      </c>
      <c r="M1250" s="28"/>
    </row>
    <row r="1251" spans="1:13" s="25" customFormat="1" x14ac:dyDescent="0.2">
      <c r="A1251">
        <f t="shared" si="19"/>
        <v>1245</v>
      </c>
      <c r="B1251">
        <v>2017</v>
      </c>
      <c r="C1251" t="s">
        <v>179</v>
      </c>
      <c r="D1251" t="s">
        <v>1471</v>
      </c>
      <c r="E1251" s="65">
        <v>530</v>
      </c>
      <c r="F1251" s="33"/>
      <c r="G1251" t="s">
        <v>1472</v>
      </c>
      <c r="H1251" t="s">
        <v>145</v>
      </c>
      <c r="J1251" t="s">
        <v>58</v>
      </c>
      <c r="K1251" t="s">
        <v>195</v>
      </c>
      <c r="L1251" s="17">
        <v>0</v>
      </c>
      <c r="M1251" s="28"/>
    </row>
    <row r="1252" spans="1:13" s="25" customFormat="1" x14ac:dyDescent="0.2">
      <c r="A1252">
        <f t="shared" si="19"/>
        <v>1246</v>
      </c>
      <c r="B1252">
        <v>2017</v>
      </c>
      <c r="C1252" t="s">
        <v>179</v>
      </c>
      <c r="D1252" t="s">
        <v>1465</v>
      </c>
      <c r="E1252" s="65">
        <v>1410</v>
      </c>
      <c r="F1252" s="33"/>
      <c r="G1252" t="s">
        <v>1473</v>
      </c>
      <c r="H1252" t="s">
        <v>151</v>
      </c>
      <c r="I1252" t="s">
        <v>224</v>
      </c>
      <c r="J1252" t="s">
        <v>20</v>
      </c>
      <c r="K1252" t="s">
        <v>195</v>
      </c>
      <c r="L1252" s="17">
        <v>0</v>
      </c>
      <c r="M1252" s="28"/>
    </row>
    <row r="1253" spans="1:13" s="25" customFormat="1" x14ac:dyDescent="0.2">
      <c r="A1253">
        <f t="shared" si="19"/>
        <v>1247</v>
      </c>
      <c r="B1253">
        <v>2017</v>
      </c>
      <c r="C1253" t="s">
        <v>179</v>
      </c>
      <c r="D1253" t="s">
        <v>822</v>
      </c>
      <c r="E1253" s="65">
        <v>180</v>
      </c>
      <c r="F1253" s="33">
        <v>0.22</v>
      </c>
      <c r="G1253" t="s">
        <v>1474</v>
      </c>
      <c r="H1253" t="s">
        <v>150</v>
      </c>
      <c r="I1253" t="s">
        <v>556</v>
      </c>
      <c r="J1253" t="s">
        <v>52</v>
      </c>
      <c r="K1253" t="s">
        <v>201</v>
      </c>
      <c r="L1253" s="17">
        <v>0</v>
      </c>
      <c r="M1253" s="28"/>
    </row>
    <row r="1254" spans="1:13" s="25" customFormat="1" x14ac:dyDescent="0.2">
      <c r="A1254">
        <f t="shared" si="19"/>
        <v>1248</v>
      </c>
      <c r="B1254">
        <v>2017</v>
      </c>
      <c r="C1254" t="s">
        <v>179</v>
      </c>
      <c r="D1254" t="s">
        <v>263</v>
      </c>
      <c r="E1254" s="65">
        <v>100</v>
      </c>
      <c r="F1254" s="33"/>
      <c r="G1254" t="s">
        <v>1475</v>
      </c>
      <c r="H1254" t="s">
        <v>153</v>
      </c>
      <c r="J1254" t="s">
        <v>131</v>
      </c>
      <c r="K1254" t="s">
        <v>131</v>
      </c>
      <c r="L1254" s="17">
        <v>0</v>
      </c>
      <c r="M1254" s="28"/>
    </row>
    <row r="1255" spans="1:13" s="25" customFormat="1" x14ac:dyDescent="0.2">
      <c r="A1255">
        <f t="shared" si="19"/>
        <v>1249</v>
      </c>
      <c r="B1255">
        <v>2017</v>
      </c>
      <c r="C1255" t="s">
        <v>179</v>
      </c>
      <c r="D1255" t="s">
        <v>1189</v>
      </c>
      <c r="E1255" s="65">
        <v>110</v>
      </c>
      <c r="F1255" s="33">
        <v>1</v>
      </c>
      <c r="G1255" t="s">
        <v>1476</v>
      </c>
      <c r="H1255" t="s">
        <v>150</v>
      </c>
      <c r="J1255" t="s">
        <v>98</v>
      </c>
      <c r="K1255" t="s">
        <v>195</v>
      </c>
      <c r="L1255" s="17">
        <v>1</v>
      </c>
      <c r="M1255" s="28"/>
    </row>
    <row r="1256" spans="1:13" s="25" customFormat="1" x14ac:dyDescent="0.2">
      <c r="A1256">
        <f t="shared" si="19"/>
        <v>1250</v>
      </c>
      <c r="B1256">
        <v>2017</v>
      </c>
      <c r="C1256" t="s">
        <v>179</v>
      </c>
      <c r="D1256" t="s">
        <v>1477</v>
      </c>
      <c r="E1256" s="65">
        <v>280</v>
      </c>
      <c r="F1256" s="33">
        <v>1</v>
      </c>
      <c r="H1256" t="s">
        <v>142</v>
      </c>
      <c r="J1256" t="s">
        <v>72</v>
      </c>
      <c r="K1256" t="s">
        <v>183</v>
      </c>
      <c r="L1256" s="17">
        <v>1</v>
      </c>
      <c r="M1256" s="28" t="s">
        <v>178</v>
      </c>
    </row>
    <row r="1257" spans="1:13" s="25" customFormat="1" x14ac:dyDescent="0.2">
      <c r="A1257">
        <f t="shared" si="19"/>
        <v>1251</v>
      </c>
      <c r="B1257">
        <v>2017</v>
      </c>
      <c r="C1257" t="s">
        <v>179</v>
      </c>
      <c r="D1257" t="s">
        <v>1180</v>
      </c>
      <c r="E1257" s="65">
        <v>1480</v>
      </c>
      <c r="F1257" s="33">
        <v>0.74</v>
      </c>
      <c r="G1257" t="s">
        <v>1478</v>
      </c>
      <c r="H1257" t="s">
        <v>144</v>
      </c>
      <c r="I1257" t="s">
        <v>273</v>
      </c>
      <c r="J1257" t="s">
        <v>93</v>
      </c>
      <c r="K1257" t="s">
        <v>201</v>
      </c>
      <c r="L1257" s="17">
        <v>1</v>
      </c>
      <c r="M1257" s="28" t="s">
        <v>178</v>
      </c>
    </row>
    <row r="1258" spans="1:13" s="25" customFormat="1" x14ac:dyDescent="0.2">
      <c r="A1258">
        <f t="shared" si="19"/>
        <v>1252</v>
      </c>
      <c r="B1258">
        <v>2017</v>
      </c>
      <c r="C1258" t="s">
        <v>179</v>
      </c>
      <c r="D1258" t="s">
        <v>806</v>
      </c>
      <c r="E1258" s="65">
        <v>100</v>
      </c>
      <c r="F1258" s="33">
        <v>1</v>
      </c>
      <c r="H1258" t="s">
        <v>154</v>
      </c>
      <c r="I1258" t="s">
        <v>529</v>
      </c>
      <c r="J1258" t="s">
        <v>131</v>
      </c>
      <c r="K1258" t="s">
        <v>131</v>
      </c>
      <c r="L1258" s="17">
        <v>0</v>
      </c>
      <c r="M1258" s="28" t="s">
        <v>178</v>
      </c>
    </row>
    <row r="1259" spans="1:13" s="25" customFormat="1" x14ac:dyDescent="0.2">
      <c r="A1259">
        <f t="shared" si="19"/>
        <v>1253</v>
      </c>
      <c r="B1259">
        <v>2017</v>
      </c>
      <c r="C1259" t="s">
        <v>179</v>
      </c>
      <c r="D1259" t="s">
        <v>479</v>
      </c>
      <c r="E1259" s="65">
        <v>110</v>
      </c>
      <c r="F1259" s="33"/>
      <c r="H1259" t="s">
        <v>151</v>
      </c>
      <c r="I1259" t="s">
        <v>224</v>
      </c>
      <c r="J1259" t="s">
        <v>53</v>
      </c>
      <c r="K1259" t="s">
        <v>183</v>
      </c>
      <c r="L1259" s="17">
        <v>1</v>
      </c>
      <c r="M1259" s="28"/>
    </row>
    <row r="1260" spans="1:13" s="25" customFormat="1" x14ac:dyDescent="0.2">
      <c r="A1260">
        <f t="shared" si="19"/>
        <v>1254</v>
      </c>
      <c r="B1260">
        <v>2017</v>
      </c>
      <c r="C1260" t="s">
        <v>179</v>
      </c>
      <c r="D1260" t="s">
        <v>373</v>
      </c>
      <c r="E1260" s="65">
        <v>580</v>
      </c>
      <c r="F1260" s="33">
        <v>0.51</v>
      </c>
      <c r="G1260" t="s">
        <v>560</v>
      </c>
      <c r="H1260" t="s">
        <v>144</v>
      </c>
      <c r="I1260" t="s">
        <v>187</v>
      </c>
      <c r="J1260" t="s">
        <v>119</v>
      </c>
      <c r="K1260" t="s">
        <v>195</v>
      </c>
      <c r="L1260" s="17">
        <v>0</v>
      </c>
      <c r="M1260" s="28"/>
    </row>
    <row r="1261" spans="1:13" s="25" customFormat="1" x14ac:dyDescent="0.2">
      <c r="A1261">
        <f t="shared" si="19"/>
        <v>1255</v>
      </c>
      <c r="B1261">
        <v>2017</v>
      </c>
      <c r="C1261" t="s">
        <v>179</v>
      </c>
      <c r="D1261" t="s">
        <v>1479</v>
      </c>
      <c r="E1261" s="65">
        <v>300</v>
      </c>
      <c r="F1261" s="33"/>
      <c r="H1261" t="s">
        <v>151</v>
      </c>
      <c r="I1261" t="s">
        <v>224</v>
      </c>
      <c r="J1261" t="s">
        <v>53</v>
      </c>
      <c r="K1261" t="s">
        <v>183</v>
      </c>
      <c r="L1261" s="17">
        <v>1</v>
      </c>
      <c r="M1261" s="28" t="s">
        <v>178</v>
      </c>
    </row>
    <row r="1262" spans="1:13" s="25" customFormat="1" x14ac:dyDescent="0.2">
      <c r="A1262">
        <f t="shared" si="19"/>
        <v>1256</v>
      </c>
      <c r="B1262">
        <v>2017</v>
      </c>
      <c r="C1262" t="s">
        <v>179</v>
      </c>
      <c r="D1262" t="s">
        <v>530</v>
      </c>
      <c r="E1262" s="65">
        <v>280</v>
      </c>
      <c r="F1262" s="33"/>
      <c r="H1262" t="s">
        <v>152</v>
      </c>
      <c r="I1262" t="s">
        <v>257</v>
      </c>
      <c r="J1262" t="s">
        <v>86</v>
      </c>
      <c r="K1262" t="s">
        <v>183</v>
      </c>
      <c r="L1262" s="17">
        <v>1</v>
      </c>
      <c r="M1262" s="28" t="s">
        <v>178</v>
      </c>
    </row>
    <row r="1263" spans="1:13" s="25" customFormat="1" x14ac:dyDescent="0.2">
      <c r="A1263">
        <f t="shared" si="19"/>
        <v>1257</v>
      </c>
      <c r="B1263">
        <v>2017</v>
      </c>
      <c r="C1263" t="s">
        <v>179</v>
      </c>
      <c r="D1263" t="s">
        <v>1480</v>
      </c>
      <c r="E1263" s="65">
        <v>160</v>
      </c>
      <c r="F1263" s="33"/>
      <c r="H1263" t="s">
        <v>144</v>
      </c>
      <c r="I1263" t="s">
        <v>197</v>
      </c>
      <c r="J1263" t="s">
        <v>67</v>
      </c>
      <c r="K1263" t="s">
        <v>183</v>
      </c>
      <c r="L1263" s="17">
        <v>1</v>
      </c>
      <c r="M1263" s="28" t="s">
        <v>178</v>
      </c>
    </row>
    <row r="1264" spans="1:13" s="25" customFormat="1" x14ac:dyDescent="0.2">
      <c r="A1264">
        <f t="shared" si="19"/>
        <v>1258</v>
      </c>
      <c r="B1264">
        <v>2017</v>
      </c>
      <c r="C1264" t="s">
        <v>179</v>
      </c>
      <c r="D1264" t="s">
        <v>869</v>
      </c>
      <c r="E1264" s="65">
        <v>120</v>
      </c>
      <c r="F1264" s="33"/>
      <c r="H1264" t="s">
        <v>151</v>
      </c>
      <c r="I1264" t="s">
        <v>224</v>
      </c>
      <c r="J1264" t="s">
        <v>20</v>
      </c>
      <c r="K1264" t="s">
        <v>195</v>
      </c>
      <c r="L1264" s="17">
        <v>0</v>
      </c>
      <c r="M1264" s="28"/>
    </row>
    <row r="1265" spans="1:13" s="25" customFormat="1" x14ac:dyDescent="0.2">
      <c r="A1265">
        <f t="shared" si="19"/>
        <v>1259</v>
      </c>
      <c r="B1265">
        <v>2017</v>
      </c>
      <c r="C1265" t="s">
        <v>179</v>
      </c>
      <c r="D1265" t="s">
        <v>705</v>
      </c>
      <c r="E1265" s="65">
        <v>230</v>
      </c>
      <c r="F1265" s="33"/>
      <c r="H1265" t="s">
        <v>151</v>
      </c>
      <c r="I1265" t="s">
        <v>279</v>
      </c>
      <c r="J1265" t="s">
        <v>9</v>
      </c>
      <c r="K1265" t="s">
        <v>9</v>
      </c>
      <c r="L1265" s="17">
        <v>0</v>
      </c>
      <c r="M1265" s="28" t="s">
        <v>178</v>
      </c>
    </row>
    <row r="1266" spans="1:13" s="25" customFormat="1" x14ac:dyDescent="0.2">
      <c r="A1266">
        <f t="shared" si="19"/>
        <v>1260</v>
      </c>
      <c r="B1266">
        <v>2017</v>
      </c>
      <c r="C1266" t="s">
        <v>179</v>
      </c>
      <c r="D1266" t="s">
        <v>359</v>
      </c>
      <c r="E1266" s="65">
        <v>500</v>
      </c>
      <c r="F1266" s="33"/>
      <c r="G1266" t="s">
        <v>1481</v>
      </c>
      <c r="H1266" t="s">
        <v>149</v>
      </c>
      <c r="I1266" t="s">
        <v>182</v>
      </c>
      <c r="J1266" t="s">
        <v>96</v>
      </c>
      <c r="K1266" t="s">
        <v>205</v>
      </c>
      <c r="L1266" s="17">
        <v>1</v>
      </c>
      <c r="M1266" s="28"/>
    </row>
    <row r="1267" spans="1:13" s="25" customFormat="1" x14ac:dyDescent="0.2">
      <c r="A1267">
        <f t="shared" si="19"/>
        <v>1261</v>
      </c>
      <c r="B1267">
        <v>2017</v>
      </c>
      <c r="C1267" t="s">
        <v>179</v>
      </c>
      <c r="D1267" t="s">
        <v>1482</v>
      </c>
      <c r="E1267" s="65">
        <v>130</v>
      </c>
      <c r="F1267" s="33">
        <v>1</v>
      </c>
      <c r="G1267" t="s">
        <v>1483</v>
      </c>
      <c r="H1267" t="s">
        <v>143</v>
      </c>
      <c r="J1267" t="s">
        <v>20</v>
      </c>
      <c r="K1267" t="s">
        <v>195</v>
      </c>
      <c r="L1267" s="17">
        <v>0</v>
      </c>
      <c r="M1267" s="28"/>
    </row>
    <row r="1268" spans="1:13" s="25" customFormat="1" x14ac:dyDescent="0.2">
      <c r="A1268">
        <f t="shared" si="19"/>
        <v>1262</v>
      </c>
      <c r="B1268">
        <v>2017</v>
      </c>
      <c r="C1268" t="s">
        <v>184</v>
      </c>
      <c r="D1268" t="s">
        <v>694</v>
      </c>
      <c r="E1268" s="65">
        <v>960</v>
      </c>
      <c r="F1268" s="33">
        <v>0.5</v>
      </c>
      <c r="G1268" t="s">
        <v>1484</v>
      </c>
      <c r="H1268" t="s">
        <v>149</v>
      </c>
      <c r="J1268" t="s">
        <v>8</v>
      </c>
      <c r="K1268" t="s">
        <v>205</v>
      </c>
      <c r="L1268" s="17">
        <v>1</v>
      </c>
      <c r="M1268" s="28"/>
    </row>
    <row r="1269" spans="1:13" s="25" customFormat="1" x14ac:dyDescent="0.2">
      <c r="A1269">
        <f t="shared" si="19"/>
        <v>1263</v>
      </c>
      <c r="B1269">
        <v>2017</v>
      </c>
      <c r="C1269" t="s">
        <v>184</v>
      </c>
      <c r="D1269" t="s">
        <v>1485</v>
      </c>
      <c r="E1269" s="65">
        <v>160</v>
      </c>
      <c r="F1269" s="33">
        <v>0.59</v>
      </c>
      <c r="G1269" t="s">
        <v>1486</v>
      </c>
      <c r="H1269" t="s">
        <v>147</v>
      </c>
      <c r="J1269" t="s">
        <v>114</v>
      </c>
      <c r="K1269" t="s">
        <v>195</v>
      </c>
      <c r="L1269" s="17">
        <v>0</v>
      </c>
      <c r="M1269" s="28"/>
    </row>
    <row r="1270" spans="1:13" s="25" customFormat="1" x14ac:dyDescent="0.2">
      <c r="A1270">
        <f t="shared" si="19"/>
        <v>1264</v>
      </c>
      <c r="B1270">
        <v>2017</v>
      </c>
      <c r="C1270" t="s">
        <v>184</v>
      </c>
      <c r="D1270" t="s">
        <v>454</v>
      </c>
      <c r="E1270" s="65">
        <v>700</v>
      </c>
      <c r="F1270" s="33"/>
      <c r="G1270" t="s">
        <v>1487</v>
      </c>
      <c r="H1270" t="s">
        <v>150</v>
      </c>
      <c r="I1270" t="s">
        <v>556</v>
      </c>
      <c r="J1270" t="s">
        <v>52</v>
      </c>
      <c r="K1270" t="s">
        <v>201</v>
      </c>
      <c r="L1270" s="17">
        <v>0</v>
      </c>
      <c r="M1270" s="28"/>
    </row>
    <row r="1271" spans="1:13" s="25" customFormat="1" x14ac:dyDescent="0.2">
      <c r="A1271">
        <f t="shared" si="19"/>
        <v>1265</v>
      </c>
      <c r="B1271">
        <v>2017</v>
      </c>
      <c r="C1271" t="s">
        <v>184</v>
      </c>
      <c r="D1271" t="s">
        <v>373</v>
      </c>
      <c r="E1271" s="65">
        <v>1360</v>
      </c>
      <c r="F1271" s="33">
        <v>0.16</v>
      </c>
      <c r="G1271" t="s">
        <v>1488</v>
      </c>
      <c r="H1271" t="s">
        <v>153</v>
      </c>
      <c r="J1271" t="s">
        <v>119</v>
      </c>
      <c r="K1271" t="s">
        <v>195</v>
      </c>
      <c r="L1271" s="17">
        <v>0</v>
      </c>
      <c r="M1271" s="28"/>
    </row>
    <row r="1272" spans="1:13" s="25" customFormat="1" x14ac:dyDescent="0.2">
      <c r="A1272">
        <f t="shared" si="19"/>
        <v>1266</v>
      </c>
      <c r="B1272">
        <v>2017</v>
      </c>
      <c r="C1272" t="s">
        <v>184</v>
      </c>
      <c r="D1272" t="s">
        <v>373</v>
      </c>
      <c r="E1272" s="65">
        <v>10380</v>
      </c>
      <c r="F1272" s="33"/>
      <c r="G1272" t="s">
        <v>1489</v>
      </c>
      <c r="H1272" t="s">
        <v>154</v>
      </c>
      <c r="I1272" t="s">
        <v>250</v>
      </c>
      <c r="J1272" t="s">
        <v>131</v>
      </c>
      <c r="K1272" t="s">
        <v>131</v>
      </c>
      <c r="L1272" s="17">
        <v>0</v>
      </c>
      <c r="M1272" s="28"/>
    </row>
    <row r="1273" spans="1:13" s="25" customFormat="1" x14ac:dyDescent="0.2">
      <c r="A1273">
        <f t="shared" si="19"/>
        <v>1267</v>
      </c>
      <c r="B1273">
        <v>2017</v>
      </c>
      <c r="C1273" t="s">
        <v>184</v>
      </c>
      <c r="D1273" t="s">
        <v>421</v>
      </c>
      <c r="E1273" s="65">
        <v>110</v>
      </c>
      <c r="F1273" s="33">
        <v>0.5</v>
      </c>
      <c r="G1273" t="s">
        <v>1490</v>
      </c>
      <c r="H1273" t="s">
        <v>154</v>
      </c>
      <c r="I1273" t="s">
        <v>194</v>
      </c>
      <c r="J1273" t="s">
        <v>25</v>
      </c>
      <c r="K1273" t="s">
        <v>177</v>
      </c>
      <c r="L1273" s="17">
        <v>0</v>
      </c>
      <c r="M1273" s="28"/>
    </row>
    <row r="1274" spans="1:13" s="25" customFormat="1" x14ac:dyDescent="0.2">
      <c r="A1274">
        <f t="shared" si="19"/>
        <v>1268</v>
      </c>
      <c r="B1274">
        <v>2017</v>
      </c>
      <c r="C1274" t="s">
        <v>184</v>
      </c>
      <c r="D1274" t="s">
        <v>479</v>
      </c>
      <c r="E1274" s="65">
        <v>240</v>
      </c>
      <c r="F1274" s="33">
        <v>0.51</v>
      </c>
      <c r="H1274" t="s">
        <v>154</v>
      </c>
      <c r="I1274" t="s">
        <v>271</v>
      </c>
      <c r="J1274" t="s">
        <v>19</v>
      </c>
      <c r="K1274" t="s">
        <v>205</v>
      </c>
      <c r="L1274" s="17">
        <v>0</v>
      </c>
      <c r="M1274" s="28" t="s">
        <v>178</v>
      </c>
    </row>
    <row r="1275" spans="1:13" s="25" customFormat="1" x14ac:dyDescent="0.2">
      <c r="A1275">
        <f t="shared" si="19"/>
        <v>1269</v>
      </c>
      <c r="B1275">
        <v>2017</v>
      </c>
      <c r="C1275" t="s">
        <v>184</v>
      </c>
      <c r="D1275" t="s">
        <v>244</v>
      </c>
      <c r="E1275" s="65">
        <v>420</v>
      </c>
      <c r="F1275" s="33"/>
      <c r="H1275" t="s">
        <v>149</v>
      </c>
      <c r="I1275" t="s">
        <v>236</v>
      </c>
      <c r="J1275" t="s">
        <v>34</v>
      </c>
      <c r="K1275" t="s">
        <v>219</v>
      </c>
      <c r="L1275" s="17">
        <v>1</v>
      </c>
      <c r="M1275" s="28" t="s">
        <v>178</v>
      </c>
    </row>
    <row r="1276" spans="1:13" s="25" customFormat="1" x14ac:dyDescent="0.2">
      <c r="A1276">
        <f t="shared" si="19"/>
        <v>1270</v>
      </c>
      <c r="B1276">
        <v>2017</v>
      </c>
      <c r="C1276" t="s">
        <v>184</v>
      </c>
      <c r="D1276" t="s">
        <v>444</v>
      </c>
      <c r="E1276" s="65">
        <v>170</v>
      </c>
      <c r="F1276" s="33">
        <v>0.35</v>
      </c>
      <c r="G1276" t="s">
        <v>1491</v>
      </c>
      <c r="H1276" t="s">
        <v>144</v>
      </c>
      <c r="I1276" t="s">
        <v>273</v>
      </c>
      <c r="J1276" t="s">
        <v>93</v>
      </c>
      <c r="K1276" t="s">
        <v>201</v>
      </c>
      <c r="L1276" s="17">
        <v>1</v>
      </c>
      <c r="M1276" s="28" t="s">
        <v>178</v>
      </c>
    </row>
    <row r="1277" spans="1:13" s="25" customFormat="1" x14ac:dyDescent="0.2">
      <c r="A1277">
        <f t="shared" si="19"/>
        <v>1271</v>
      </c>
      <c r="B1277">
        <v>2017</v>
      </c>
      <c r="C1277" t="s">
        <v>184</v>
      </c>
      <c r="D1277" t="s">
        <v>840</v>
      </c>
      <c r="E1277" s="65">
        <v>190</v>
      </c>
      <c r="F1277" s="33"/>
      <c r="H1277" t="s">
        <v>151</v>
      </c>
      <c r="I1277" t="s">
        <v>224</v>
      </c>
      <c r="J1277" t="s">
        <v>20</v>
      </c>
      <c r="K1277" t="s">
        <v>195</v>
      </c>
      <c r="L1277" s="17">
        <v>0</v>
      </c>
      <c r="M1277" s="28"/>
    </row>
    <row r="1278" spans="1:13" s="25" customFormat="1" x14ac:dyDescent="0.2">
      <c r="A1278">
        <f t="shared" si="19"/>
        <v>1272</v>
      </c>
      <c r="B1278">
        <v>2017</v>
      </c>
      <c r="C1278" t="s">
        <v>225</v>
      </c>
      <c r="D1278" t="s">
        <v>373</v>
      </c>
      <c r="E1278" s="65">
        <v>1600</v>
      </c>
      <c r="F1278" s="33">
        <v>0.7</v>
      </c>
      <c r="H1278" t="s">
        <v>151</v>
      </c>
      <c r="I1278" t="s">
        <v>224</v>
      </c>
      <c r="J1278" t="s">
        <v>131</v>
      </c>
      <c r="K1278" t="s">
        <v>131</v>
      </c>
      <c r="L1278" s="17">
        <v>0</v>
      </c>
      <c r="M1278" s="28"/>
    </row>
    <row r="1279" spans="1:13" s="25" customFormat="1" x14ac:dyDescent="0.2">
      <c r="A1279">
        <f t="shared" si="19"/>
        <v>1273</v>
      </c>
      <c r="B1279">
        <v>2017</v>
      </c>
      <c r="C1279" t="s">
        <v>225</v>
      </c>
      <c r="D1279" t="s">
        <v>373</v>
      </c>
      <c r="E1279" s="65">
        <v>230</v>
      </c>
      <c r="F1279" s="33">
        <v>0.74</v>
      </c>
      <c r="G1279" t="s">
        <v>1492</v>
      </c>
      <c r="H1279" t="s">
        <v>146</v>
      </c>
      <c r="I1279" t="s">
        <v>253</v>
      </c>
      <c r="J1279" t="s">
        <v>10</v>
      </c>
      <c r="K1279" t="s">
        <v>195</v>
      </c>
      <c r="L1279" s="17">
        <v>1</v>
      </c>
      <c r="M1279" s="28"/>
    </row>
    <row r="1280" spans="1:13" s="25" customFormat="1" x14ac:dyDescent="0.2">
      <c r="A1280">
        <f t="shared" si="19"/>
        <v>1274</v>
      </c>
      <c r="B1280">
        <v>2017</v>
      </c>
      <c r="C1280" t="s">
        <v>225</v>
      </c>
      <c r="D1280" t="s">
        <v>373</v>
      </c>
      <c r="E1280" s="65">
        <v>1360</v>
      </c>
      <c r="F1280" s="33">
        <v>0.05</v>
      </c>
      <c r="G1280" t="s">
        <v>716</v>
      </c>
      <c r="H1280" t="s">
        <v>146</v>
      </c>
      <c r="I1280" t="s">
        <v>275</v>
      </c>
      <c r="J1280" t="s">
        <v>45</v>
      </c>
      <c r="K1280" t="s">
        <v>195</v>
      </c>
      <c r="L1280" s="17">
        <v>0</v>
      </c>
      <c r="M1280" s="28"/>
    </row>
    <row r="1281" spans="1:13" s="25" customFormat="1" x14ac:dyDescent="0.2">
      <c r="A1281">
        <f t="shared" si="19"/>
        <v>1275</v>
      </c>
      <c r="B1281">
        <v>2017</v>
      </c>
      <c r="C1281" t="s">
        <v>225</v>
      </c>
      <c r="D1281" t="s">
        <v>373</v>
      </c>
      <c r="E1281" s="65">
        <v>370</v>
      </c>
      <c r="F1281" s="33">
        <v>0.04</v>
      </c>
      <c r="G1281" t="s">
        <v>1488</v>
      </c>
      <c r="H1281" t="s">
        <v>153</v>
      </c>
      <c r="J1281" t="s">
        <v>119</v>
      </c>
      <c r="K1281" t="s">
        <v>195</v>
      </c>
      <c r="L1281" s="17">
        <v>0</v>
      </c>
      <c r="M1281" s="28"/>
    </row>
    <row r="1282" spans="1:13" s="25" customFormat="1" x14ac:dyDescent="0.2">
      <c r="A1282">
        <f t="shared" si="19"/>
        <v>1276</v>
      </c>
      <c r="B1282">
        <v>2017</v>
      </c>
      <c r="C1282" t="s">
        <v>225</v>
      </c>
      <c r="D1282" t="s">
        <v>1493</v>
      </c>
      <c r="E1282" s="65">
        <v>600</v>
      </c>
      <c r="F1282" s="33"/>
      <c r="G1282" t="s">
        <v>1494</v>
      </c>
      <c r="H1282" t="s">
        <v>154</v>
      </c>
      <c r="I1282" t="s">
        <v>194</v>
      </c>
      <c r="J1282" t="s">
        <v>45</v>
      </c>
      <c r="K1282" t="s">
        <v>195</v>
      </c>
      <c r="L1282" s="17">
        <v>0</v>
      </c>
      <c r="M1282" s="28"/>
    </row>
    <row r="1283" spans="1:13" s="25" customFormat="1" x14ac:dyDescent="0.2">
      <c r="A1283">
        <f t="shared" si="19"/>
        <v>1277</v>
      </c>
      <c r="B1283">
        <v>2017</v>
      </c>
      <c r="C1283" t="s">
        <v>225</v>
      </c>
      <c r="D1283" t="s">
        <v>927</v>
      </c>
      <c r="E1283" s="65">
        <v>140</v>
      </c>
      <c r="F1283" s="33">
        <v>0.02</v>
      </c>
      <c r="G1283" t="s">
        <v>1232</v>
      </c>
      <c r="H1283" t="s">
        <v>144</v>
      </c>
      <c r="I1283" t="s">
        <v>299</v>
      </c>
      <c r="J1283" t="s">
        <v>9</v>
      </c>
      <c r="K1283" t="s">
        <v>9</v>
      </c>
      <c r="L1283" s="17">
        <v>0</v>
      </c>
      <c r="M1283" s="28"/>
    </row>
    <row r="1284" spans="1:13" s="25" customFormat="1" x14ac:dyDescent="0.2">
      <c r="A1284">
        <f t="shared" si="19"/>
        <v>1278</v>
      </c>
      <c r="B1284">
        <v>2017</v>
      </c>
      <c r="C1284" t="s">
        <v>225</v>
      </c>
      <c r="D1284" t="s">
        <v>438</v>
      </c>
      <c r="E1284" s="65">
        <v>390</v>
      </c>
      <c r="F1284" s="33">
        <v>0.26</v>
      </c>
      <c r="G1284" t="s">
        <v>1495</v>
      </c>
      <c r="H1284" t="s">
        <v>146</v>
      </c>
      <c r="I1284" t="s">
        <v>275</v>
      </c>
      <c r="J1284" t="s">
        <v>35</v>
      </c>
      <c r="K1284" t="s">
        <v>195</v>
      </c>
      <c r="L1284" s="17">
        <v>0</v>
      </c>
      <c r="M1284" s="28"/>
    </row>
    <row r="1285" spans="1:13" s="25" customFormat="1" x14ac:dyDescent="0.2">
      <c r="A1285">
        <f t="shared" si="19"/>
        <v>1279</v>
      </c>
      <c r="B1285">
        <v>2017</v>
      </c>
      <c r="C1285" t="s">
        <v>225</v>
      </c>
      <c r="D1285" t="s">
        <v>319</v>
      </c>
      <c r="E1285" s="65">
        <v>900</v>
      </c>
      <c r="F1285" s="33">
        <v>0.95</v>
      </c>
      <c r="G1285" t="s">
        <v>1496</v>
      </c>
      <c r="H1285" t="s">
        <v>151</v>
      </c>
      <c r="I1285" t="s">
        <v>224</v>
      </c>
      <c r="J1285" t="s">
        <v>131</v>
      </c>
      <c r="K1285" t="s">
        <v>131</v>
      </c>
      <c r="L1285" s="17">
        <v>0</v>
      </c>
      <c r="M1285" s="28"/>
    </row>
    <row r="1286" spans="1:13" s="25" customFormat="1" x14ac:dyDescent="0.2">
      <c r="A1286">
        <f t="shared" si="19"/>
        <v>1280</v>
      </c>
      <c r="B1286">
        <v>2017</v>
      </c>
      <c r="C1286" t="s">
        <v>225</v>
      </c>
      <c r="D1286" t="s">
        <v>1497</v>
      </c>
      <c r="E1286" s="65">
        <v>600</v>
      </c>
      <c r="F1286" s="33"/>
      <c r="G1286" t="s">
        <v>1498</v>
      </c>
      <c r="H1286" t="s">
        <v>147</v>
      </c>
      <c r="J1286" t="s">
        <v>9</v>
      </c>
      <c r="K1286" t="s">
        <v>9</v>
      </c>
      <c r="L1286" s="17">
        <v>0</v>
      </c>
      <c r="M1286" s="28"/>
    </row>
    <row r="1287" spans="1:13" s="25" customFormat="1" x14ac:dyDescent="0.2">
      <c r="A1287">
        <f t="shared" ref="A1287:A1350" si="20">ROW()-6</f>
        <v>1281</v>
      </c>
      <c r="B1287">
        <v>2017</v>
      </c>
      <c r="C1287" t="s">
        <v>225</v>
      </c>
      <c r="D1287" t="s">
        <v>1499</v>
      </c>
      <c r="E1287" s="65">
        <v>100</v>
      </c>
      <c r="F1287" s="33"/>
      <c r="G1287" t="s">
        <v>1500</v>
      </c>
      <c r="H1287" t="s">
        <v>153</v>
      </c>
      <c r="J1287" t="s">
        <v>9</v>
      </c>
      <c r="K1287" t="s">
        <v>9</v>
      </c>
      <c r="L1287" s="17">
        <v>0</v>
      </c>
      <c r="M1287" s="28"/>
    </row>
    <row r="1288" spans="1:13" s="25" customFormat="1" x14ac:dyDescent="0.2">
      <c r="A1288">
        <f t="shared" si="20"/>
        <v>1282</v>
      </c>
      <c r="B1288">
        <v>2017</v>
      </c>
      <c r="C1288" t="s">
        <v>225</v>
      </c>
      <c r="D1288" t="s">
        <v>1501</v>
      </c>
      <c r="E1288" s="65">
        <v>750</v>
      </c>
      <c r="F1288" s="33"/>
      <c r="H1288" t="s">
        <v>151</v>
      </c>
      <c r="I1288" t="s">
        <v>224</v>
      </c>
      <c r="J1288" t="s">
        <v>108</v>
      </c>
      <c r="K1288" t="s">
        <v>183</v>
      </c>
      <c r="L1288" s="17">
        <v>1</v>
      </c>
      <c r="M1288" s="28" t="s">
        <v>178</v>
      </c>
    </row>
    <row r="1289" spans="1:13" s="25" customFormat="1" x14ac:dyDescent="0.2">
      <c r="A1289">
        <f t="shared" si="20"/>
        <v>1283</v>
      </c>
      <c r="B1289">
        <v>2017</v>
      </c>
      <c r="C1289" t="s">
        <v>225</v>
      </c>
      <c r="D1289" t="s">
        <v>307</v>
      </c>
      <c r="E1289" s="65">
        <v>290</v>
      </c>
      <c r="F1289" s="33"/>
      <c r="G1289" t="s">
        <v>1502</v>
      </c>
      <c r="H1289" t="s">
        <v>144</v>
      </c>
      <c r="I1289" t="s">
        <v>299</v>
      </c>
      <c r="J1289" t="s">
        <v>9</v>
      </c>
      <c r="K1289" t="s">
        <v>9</v>
      </c>
      <c r="L1289" s="17">
        <v>0</v>
      </c>
      <c r="M1289" s="28"/>
    </row>
    <row r="1290" spans="1:13" s="25" customFormat="1" x14ac:dyDescent="0.2">
      <c r="A1290">
        <f t="shared" si="20"/>
        <v>1284</v>
      </c>
      <c r="B1290">
        <v>2017</v>
      </c>
      <c r="C1290" t="s">
        <v>225</v>
      </c>
      <c r="D1290" t="s">
        <v>1318</v>
      </c>
      <c r="E1290" s="65">
        <v>190</v>
      </c>
      <c r="F1290" s="33"/>
      <c r="G1290" t="s">
        <v>1402</v>
      </c>
      <c r="H1290" t="s">
        <v>151</v>
      </c>
      <c r="I1290" t="s">
        <v>224</v>
      </c>
      <c r="J1290" t="s">
        <v>20</v>
      </c>
      <c r="K1290" t="s">
        <v>195</v>
      </c>
      <c r="L1290" s="17">
        <v>0</v>
      </c>
      <c r="M1290" s="28"/>
    </row>
    <row r="1291" spans="1:13" s="25" customFormat="1" x14ac:dyDescent="0.2">
      <c r="A1291">
        <f t="shared" si="20"/>
        <v>1285</v>
      </c>
      <c r="B1291">
        <v>2017</v>
      </c>
      <c r="C1291" t="s">
        <v>225</v>
      </c>
      <c r="D1291" t="s">
        <v>1503</v>
      </c>
      <c r="E1291" s="65">
        <v>110</v>
      </c>
      <c r="F1291" s="33">
        <v>0.75</v>
      </c>
      <c r="G1291" t="s">
        <v>1504</v>
      </c>
      <c r="H1291" t="s">
        <v>147</v>
      </c>
      <c r="J1291" t="s">
        <v>45</v>
      </c>
      <c r="K1291" t="s">
        <v>195</v>
      </c>
      <c r="L1291" s="17">
        <v>0</v>
      </c>
      <c r="M1291" s="28"/>
    </row>
    <row r="1292" spans="1:13" s="25" customFormat="1" x14ac:dyDescent="0.2">
      <c r="A1292">
        <f t="shared" si="20"/>
        <v>1286</v>
      </c>
      <c r="B1292">
        <v>2017</v>
      </c>
      <c r="C1292" t="s">
        <v>225</v>
      </c>
      <c r="D1292" t="s">
        <v>1505</v>
      </c>
      <c r="E1292" s="65">
        <v>130</v>
      </c>
      <c r="F1292" s="33"/>
      <c r="G1292" t="s">
        <v>1506</v>
      </c>
      <c r="H1292" t="s">
        <v>150</v>
      </c>
      <c r="I1292" t="s">
        <v>217</v>
      </c>
      <c r="J1292" t="s">
        <v>131</v>
      </c>
      <c r="K1292" t="s">
        <v>131</v>
      </c>
      <c r="L1292" s="17">
        <v>0</v>
      </c>
      <c r="M1292" s="28"/>
    </row>
    <row r="1293" spans="1:13" s="25" customFormat="1" x14ac:dyDescent="0.2">
      <c r="A1293">
        <f t="shared" si="20"/>
        <v>1287</v>
      </c>
      <c r="B1293">
        <v>2017</v>
      </c>
      <c r="C1293" t="s">
        <v>225</v>
      </c>
      <c r="D1293" t="s">
        <v>1071</v>
      </c>
      <c r="E1293" s="65">
        <v>110</v>
      </c>
      <c r="F1293" s="33">
        <v>0.8</v>
      </c>
      <c r="H1293" t="s">
        <v>151</v>
      </c>
      <c r="I1293" t="s">
        <v>224</v>
      </c>
      <c r="J1293" t="s">
        <v>131</v>
      </c>
      <c r="K1293" t="s">
        <v>131</v>
      </c>
      <c r="L1293" s="17">
        <v>0</v>
      </c>
      <c r="M1293" s="28"/>
    </row>
    <row r="1294" spans="1:13" s="25" customFormat="1" x14ac:dyDescent="0.2">
      <c r="A1294">
        <f t="shared" si="20"/>
        <v>1288</v>
      </c>
      <c r="B1294">
        <v>2017</v>
      </c>
      <c r="C1294" t="s">
        <v>225</v>
      </c>
      <c r="D1294" t="s">
        <v>1507</v>
      </c>
      <c r="E1294" s="65">
        <v>100</v>
      </c>
      <c r="F1294" s="33"/>
      <c r="G1294" t="s">
        <v>1508</v>
      </c>
      <c r="H1294" t="s">
        <v>147</v>
      </c>
      <c r="J1294" t="s">
        <v>9</v>
      </c>
      <c r="K1294" t="s">
        <v>9</v>
      </c>
      <c r="L1294" s="17">
        <v>0</v>
      </c>
      <c r="M1294" s="28"/>
    </row>
    <row r="1295" spans="1:13" s="25" customFormat="1" x14ac:dyDescent="0.2">
      <c r="A1295">
        <f t="shared" si="20"/>
        <v>1289</v>
      </c>
      <c r="B1295">
        <v>2017</v>
      </c>
      <c r="C1295" t="s">
        <v>225</v>
      </c>
      <c r="D1295" t="s">
        <v>1509</v>
      </c>
      <c r="E1295" s="65">
        <v>1240</v>
      </c>
      <c r="F1295" s="33"/>
      <c r="H1295" t="s">
        <v>154</v>
      </c>
      <c r="I1295" t="s">
        <v>194</v>
      </c>
      <c r="J1295" t="s">
        <v>45</v>
      </c>
      <c r="K1295" t="s">
        <v>195</v>
      </c>
      <c r="L1295" s="17">
        <v>0</v>
      </c>
      <c r="M1295" s="28" t="s">
        <v>178</v>
      </c>
    </row>
    <row r="1296" spans="1:13" s="25" customFormat="1" x14ac:dyDescent="0.2">
      <c r="A1296">
        <f t="shared" si="20"/>
        <v>1290</v>
      </c>
      <c r="B1296">
        <v>2017</v>
      </c>
      <c r="C1296" t="s">
        <v>225</v>
      </c>
      <c r="D1296" t="s">
        <v>1510</v>
      </c>
      <c r="E1296" s="65">
        <v>560</v>
      </c>
      <c r="F1296" s="33"/>
      <c r="G1296" t="s">
        <v>1511</v>
      </c>
      <c r="H1296" t="s">
        <v>152</v>
      </c>
      <c r="I1296" t="s">
        <v>257</v>
      </c>
      <c r="J1296" t="s">
        <v>47</v>
      </c>
      <c r="K1296" t="s">
        <v>195</v>
      </c>
      <c r="L1296" s="17">
        <v>1</v>
      </c>
      <c r="M1296" s="28" t="s">
        <v>178</v>
      </c>
    </row>
    <row r="1297" spans="1:13" s="25" customFormat="1" x14ac:dyDescent="0.2">
      <c r="A1297">
        <f t="shared" si="20"/>
        <v>1291</v>
      </c>
      <c r="B1297">
        <v>2017</v>
      </c>
      <c r="C1297" t="s">
        <v>225</v>
      </c>
      <c r="D1297" t="s">
        <v>397</v>
      </c>
      <c r="E1297" s="65">
        <v>140</v>
      </c>
      <c r="F1297" s="33"/>
      <c r="H1297" t="s">
        <v>151</v>
      </c>
      <c r="I1297" t="s">
        <v>224</v>
      </c>
      <c r="J1297" t="s">
        <v>131</v>
      </c>
      <c r="K1297" t="s">
        <v>131</v>
      </c>
      <c r="L1297" s="17">
        <v>0</v>
      </c>
      <c r="M1297" s="28"/>
    </row>
    <row r="1298" spans="1:13" s="25" customFormat="1" x14ac:dyDescent="0.2">
      <c r="A1298">
        <f t="shared" si="20"/>
        <v>1292</v>
      </c>
      <c r="B1298">
        <v>2017</v>
      </c>
      <c r="C1298" t="s">
        <v>225</v>
      </c>
      <c r="D1298" t="s">
        <v>1089</v>
      </c>
      <c r="E1298" s="65">
        <v>190</v>
      </c>
      <c r="F1298" s="33"/>
      <c r="G1298" t="s">
        <v>1512</v>
      </c>
      <c r="H1298" t="s">
        <v>144</v>
      </c>
      <c r="I1298" t="s">
        <v>187</v>
      </c>
      <c r="J1298" t="s">
        <v>25</v>
      </c>
      <c r="K1298" t="s">
        <v>177</v>
      </c>
      <c r="L1298" s="17">
        <v>0</v>
      </c>
      <c r="M1298" s="28"/>
    </row>
    <row r="1299" spans="1:13" s="25" customFormat="1" x14ac:dyDescent="0.2">
      <c r="A1299">
        <f t="shared" si="20"/>
        <v>1293</v>
      </c>
      <c r="B1299">
        <v>2017</v>
      </c>
      <c r="C1299" t="s">
        <v>225</v>
      </c>
      <c r="D1299" s="17" t="s">
        <v>630</v>
      </c>
      <c r="E1299" s="65">
        <v>1420</v>
      </c>
      <c r="F1299" s="33">
        <v>0.18</v>
      </c>
      <c r="G1299" t="s">
        <v>691</v>
      </c>
      <c r="H1299" t="s">
        <v>151</v>
      </c>
      <c r="I1299" t="s">
        <v>279</v>
      </c>
      <c r="J1299" t="s">
        <v>45</v>
      </c>
      <c r="K1299" t="s">
        <v>195</v>
      </c>
      <c r="L1299" s="17">
        <v>0</v>
      </c>
      <c r="M1299" s="28"/>
    </row>
    <row r="1300" spans="1:13" s="25" customFormat="1" x14ac:dyDescent="0.2">
      <c r="A1300">
        <f t="shared" si="20"/>
        <v>1294</v>
      </c>
      <c r="B1300">
        <v>2017</v>
      </c>
      <c r="C1300" t="s">
        <v>225</v>
      </c>
      <c r="D1300" t="s">
        <v>1178</v>
      </c>
      <c r="E1300" s="65">
        <v>120</v>
      </c>
      <c r="F1300" s="33"/>
      <c r="G1300" t="s">
        <v>1513</v>
      </c>
      <c r="H1300" t="s">
        <v>147</v>
      </c>
      <c r="J1300" t="s">
        <v>9</v>
      </c>
      <c r="K1300" t="s">
        <v>9</v>
      </c>
      <c r="L1300" s="17">
        <v>0</v>
      </c>
      <c r="M1300" s="28"/>
    </row>
    <row r="1301" spans="1:13" s="25" customFormat="1" x14ac:dyDescent="0.2">
      <c r="A1301">
        <f t="shared" si="20"/>
        <v>1295</v>
      </c>
      <c r="B1301">
        <v>2017</v>
      </c>
      <c r="C1301" t="s">
        <v>225</v>
      </c>
      <c r="D1301" t="s">
        <v>596</v>
      </c>
      <c r="E1301" s="65">
        <v>250</v>
      </c>
      <c r="F1301" s="33">
        <v>1</v>
      </c>
      <c r="H1301" t="s">
        <v>144</v>
      </c>
      <c r="I1301" t="s">
        <v>232</v>
      </c>
      <c r="J1301" t="s">
        <v>131</v>
      </c>
      <c r="K1301" t="s">
        <v>131</v>
      </c>
      <c r="L1301" s="17">
        <v>0</v>
      </c>
      <c r="M1301" s="28"/>
    </row>
    <row r="1302" spans="1:13" s="25" customFormat="1" x14ac:dyDescent="0.2">
      <c r="A1302">
        <f t="shared" si="20"/>
        <v>1296</v>
      </c>
      <c r="B1302">
        <v>2017</v>
      </c>
      <c r="C1302" t="s">
        <v>225</v>
      </c>
      <c r="D1302" t="s">
        <v>962</v>
      </c>
      <c r="E1302" s="65">
        <v>390</v>
      </c>
      <c r="F1302" s="33"/>
      <c r="G1302" t="s">
        <v>264</v>
      </c>
      <c r="H1302" t="s">
        <v>153</v>
      </c>
      <c r="J1302" t="s">
        <v>85</v>
      </c>
      <c r="K1302" t="s">
        <v>195</v>
      </c>
      <c r="L1302" s="17">
        <v>0</v>
      </c>
      <c r="M1302" s="28"/>
    </row>
    <row r="1303" spans="1:13" s="25" customFormat="1" x14ac:dyDescent="0.2">
      <c r="A1303">
        <f t="shared" si="20"/>
        <v>1297</v>
      </c>
      <c r="B1303">
        <v>2017</v>
      </c>
      <c r="C1303" t="s">
        <v>225</v>
      </c>
      <c r="D1303" t="s">
        <v>479</v>
      </c>
      <c r="E1303" s="65">
        <v>470</v>
      </c>
      <c r="F1303" s="33"/>
      <c r="H1303" t="s">
        <v>144</v>
      </c>
      <c r="I1303" t="s">
        <v>273</v>
      </c>
      <c r="J1303" t="s">
        <v>93</v>
      </c>
      <c r="K1303" t="s">
        <v>201</v>
      </c>
      <c r="L1303" s="17">
        <v>1</v>
      </c>
      <c r="M1303" s="28" t="s">
        <v>178</v>
      </c>
    </row>
    <row r="1304" spans="1:13" s="25" customFormat="1" x14ac:dyDescent="0.2">
      <c r="A1304">
        <f t="shared" si="20"/>
        <v>1298</v>
      </c>
      <c r="B1304">
        <v>2017</v>
      </c>
      <c r="C1304" t="s">
        <v>188</v>
      </c>
      <c r="D1304" t="s">
        <v>661</v>
      </c>
      <c r="E1304" s="65">
        <v>260</v>
      </c>
      <c r="F1304" s="33"/>
      <c r="G1304" t="s">
        <v>1514</v>
      </c>
      <c r="H1304" t="s">
        <v>145</v>
      </c>
      <c r="J1304" t="s">
        <v>131</v>
      </c>
      <c r="K1304" t="s">
        <v>131</v>
      </c>
      <c r="L1304" s="17">
        <v>0</v>
      </c>
      <c r="M1304" s="28"/>
    </row>
    <row r="1305" spans="1:13" s="25" customFormat="1" x14ac:dyDescent="0.2">
      <c r="A1305">
        <f t="shared" si="20"/>
        <v>1299</v>
      </c>
      <c r="B1305">
        <v>2017</v>
      </c>
      <c r="C1305" t="s">
        <v>188</v>
      </c>
      <c r="D1305" t="s">
        <v>1515</v>
      </c>
      <c r="E1305" s="65">
        <v>180</v>
      </c>
      <c r="F1305" s="33">
        <v>0.89</v>
      </c>
      <c r="G1305" t="s">
        <v>1516</v>
      </c>
      <c r="H1305" t="s">
        <v>150</v>
      </c>
      <c r="J1305" t="s">
        <v>42</v>
      </c>
      <c r="K1305" t="s">
        <v>195</v>
      </c>
      <c r="L1305" s="17">
        <v>0</v>
      </c>
      <c r="M1305" s="28"/>
    </row>
    <row r="1306" spans="1:13" s="25" customFormat="1" x14ac:dyDescent="0.2">
      <c r="A1306">
        <f t="shared" si="20"/>
        <v>1300</v>
      </c>
      <c r="B1306">
        <v>2017</v>
      </c>
      <c r="C1306" t="s">
        <v>188</v>
      </c>
      <c r="D1306" t="s">
        <v>1517</v>
      </c>
      <c r="E1306" s="65">
        <v>120</v>
      </c>
      <c r="F1306" s="33">
        <v>0.5</v>
      </c>
      <c r="G1306" t="s">
        <v>1518</v>
      </c>
      <c r="H1306" t="s">
        <v>146</v>
      </c>
      <c r="I1306" t="s">
        <v>253</v>
      </c>
      <c r="J1306" t="s">
        <v>72</v>
      </c>
      <c r="K1306" t="s">
        <v>183</v>
      </c>
      <c r="L1306" s="17">
        <v>1</v>
      </c>
      <c r="M1306" s="28"/>
    </row>
    <row r="1307" spans="1:13" s="25" customFormat="1" x14ac:dyDescent="0.2">
      <c r="A1307">
        <f t="shared" si="20"/>
        <v>1301</v>
      </c>
      <c r="B1307">
        <v>2017</v>
      </c>
      <c r="C1307" t="s">
        <v>188</v>
      </c>
      <c r="D1307" t="s">
        <v>221</v>
      </c>
      <c r="E1307" s="65">
        <v>110</v>
      </c>
      <c r="F1307" s="33">
        <v>0.6</v>
      </c>
      <c r="G1307" t="s">
        <v>1519</v>
      </c>
      <c r="H1307" t="s">
        <v>146</v>
      </c>
      <c r="I1307" t="s">
        <v>275</v>
      </c>
      <c r="J1307" t="s">
        <v>63</v>
      </c>
      <c r="K1307" t="s">
        <v>201</v>
      </c>
      <c r="L1307" s="17">
        <v>1</v>
      </c>
      <c r="M1307" s="28"/>
    </row>
    <row r="1308" spans="1:13" s="25" customFormat="1" x14ac:dyDescent="0.2">
      <c r="A1308">
        <f t="shared" si="20"/>
        <v>1302</v>
      </c>
      <c r="B1308">
        <v>2017</v>
      </c>
      <c r="C1308" t="s">
        <v>188</v>
      </c>
      <c r="D1308" t="s">
        <v>269</v>
      </c>
      <c r="E1308" s="65">
        <v>230</v>
      </c>
      <c r="F1308" s="33">
        <v>0.51</v>
      </c>
      <c r="H1308" t="s">
        <v>154</v>
      </c>
      <c r="I1308" t="s">
        <v>271</v>
      </c>
      <c r="J1308" t="s">
        <v>114</v>
      </c>
      <c r="K1308" t="s">
        <v>195</v>
      </c>
      <c r="L1308" s="17">
        <v>0</v>
      </c>
      <c r="M1308" s="28"/>
    </row>
    <row r="1309" spans="1:13" s="25" customFormat="1" x14ac:dyDescent="0.2">
      <c r="A1309">
        <f t="shared" si="20"/>
        <v>1303</v>
      </c>
      <c r="B1309">
        <v>2017</v>
      </c>
      <c r="C1309" t="s">
        <v>188</v>
      </c>
      <c r="D1309" t="s">
        <v>1520</v>
      </c>
      <c r="E1309" s="65">
        <v>400</v>
      </c>
      <c r="F1309" s="33"/>
      <c r="G1309" t="s">
        <v>1521</v>
      </c>
      <c r="H1309" t="s">
        <v>150</v>
      </c>
      <c r="I1309" t="s">
        <v>556</v>
      </c>
      <c r="J1309" t="s">
        <v>20</v>
      </c>
      <c r="K1309" t="s">
        <v>195</v>
      </c>
      <c r="L1309" s="17">
        <v>0</v>
      </c>
      <c r="M1309" s="28"/>
    </row>
    <row r="1310" spans="1:13" s="25" customFormat="1" x14ac:dyDescent="0.2">
      <c r="A1310">
        <f t="shared" si="20"/>
        <v>1304</v>
      </c>
      <c r="B1310">
        <v>2017</v>
      </c>
      <c r="C1310" t="s">
        <v>188</v>
      </c>
      <c r="D1310" t="s">
        <v>438</v>
      </c>
      <c r="E1310" s="65">
        <v>110</v>
      </c>
      <c r="F1310" s="33">
        <v>0.5</v>
      </c>
      <c r="G1310" t="s">
        <v>1522</v>
      </c>
      <c r="H1310" t="s">
        <v>154</v>
      </c>
      <c r="I1310" t="s">
        <v>194</v>
      </c>
      <c r="J1310" t="s">
        <v>72</v>
      </c>
      <c r="K1310" t="s">
        <v>183</v>
      </c>
      <c r="L1310" s="17">
        <v>1</v>
      </c>
      <c r="M1310" s="28"/>
    </row>
    <row r="1311" spans="1:13" s="25" customFormat="1" x14ac:dyDescent="0.2">
      <c r="A1311">
        <f t="shared" si="20"/>
        <v>1305</v>
      </c>
      <c r="B1311">
        <v>2017</v>
      </c>
      <c r="C1311" t="s">
        <v>188</v>
      </c>
      <c r="D1311" t="s">
        <v>389</v>
      </c>
      <c r="E1311" s="65">
        <v>1480</v>
      </c>
      <c r="F1311" s="33"/>
      <c r="G1311" t="s">
        <v>315</v>
      </c>
      <c r="H1311" t="s">
        <v>144</v>
      </c>
      <c r="I1311" t="s">
        <v>273</v>
      </c>
      <c r="J1311" t="s">
        <v>9</v>
      </c>
      <c r="K1311" t="s">
        <v>9</v>
      </c>
      <c r="L1311" s="17">
        <v>0</v>
      </c>
      <c r="M1311" s="28"/>
    </row>
    <row r="1312" spans="1:13" s="25" customFormat="1" x14ac:dyDescent="0.2">
      <c r="A1312">
        <f t="shared" si="20"/>
        <v>1306</v>
      </c>
      <c r="B1312">
        <v>2017</v>
      </c>
      <c r="C1312" t="s">
        <v>188</v>
      </c>
      <c r="D1312" t="s">
        <v>389</v>
      </c>
      <c r="E1312" s="65">
        <v>710</v>
      </c>
      <c r="F1312" s="33">
        <v>0.28999999999999998</v>
      </c>
      <c r="G1312" t="s">
        <v>1523</v>
      </c>
      <c r="H1312" t="s">
        <v>144</v>
      </c>
      <c r="I1312" t="s">
        <v>273</v>
      </c>
      <c r="J1312" t="s">
        <v>9</v>
      </c>
      <c r="K1312" t="s">
        <v>9</v>
      </c>
      <c r="L1312" s="17">
        <v>0</v>
      </c>
      <c r="M1312" s="28"/>
    </row>
    <row r="1313" spans="1:13" s="25" customFormat="1" x14ac:dyDescent="0.2">
      <c r="A1313">
        <f t="shared" si="20"/>
        <v>1307</v>
      </c>
      <c r="B1313">
        <v>2017</v>
      </c>
      <c r="C1313" t="s">
        <v>188</v>
      </c>
      <c r="D1313" t="s">
        <v>1524</v>
      </c>
      <c r="E1313" s="65">
        <v>43060</v>
      </c>
      <c r="F1313" s="33">
        <v>0.98</v>
      </c>
      <c r="G1313" t="s">
        <v>1525</v>
      </c>
      <c r="H1313" t="s">
        <v>142</v>
      </c>
      <c r="J1313" t="s">
        <v>119</v>
      </c>
      <c r="K1313" t="s">
        <v>195</v>
      </c>
      <c r="L1313" s="17">
        <v>0</v>
      </c>
      <c r="M1313" s="28"/>
    </row>
    <row r="1314" spans="1:13" s="25" customFormat="1" x14ac:dyDescent="0.2">
      <c r="A1314">
        <f t="shared" si="20"/>
        <v>1308</v>
      </c>
      <c r="B1314">
        <v>2017</v>
      </c>
      <c r="C1314" t="s">
        <v>188</v>
      </c>
      <c r="D1314" t="s">
        <v>1526</v>
      </c>
      <c r="E1314" s="65">
        <v>600</v>
      </c>
      <c r="F1314" s="33">
        <v>1</v>
      </c>
      <c r="H1314" t="s">
        <v>151</v>
      </c>
      <c r="I1314" t="s">
        <v>224</v>
      </c>
      <c r="J1314" t="s">
        <v>20</v>
      </c>
      <c r="K1314" t="s">
        <v>195</v>
      </c>
      <c r="L1314" s="17">
        <v>0</v>
      </c>
      <c r="M1314" s="28" t="s">
        <v>178</v>
      </c>
    </row>
    <row r="1315" spans="1:13" s="25" customFormat="1" x14ac:dyDescent="0.2">
      <c r="A1315">
        <f t="shared" si="20"/>
        <v>1309</v>
      </c>
      <c r="B1315">
        <v>2017</v>
      </c>
      <c r="C1315" t="s">
        <v>188</v>
      </c>
      <c r="D1315" t="s">
        <v>724</v>
      </c>
      <c r="E1315" s="65">
        <v>280</v>
      </c>
      <c r="F1315" s="33"/>
      <c r="H1315" t="s">
        <v>151</v>
      </c>
      <c r="I1315" t="s">
        <v>224</v>
      </c>
      <c r="J1315" t="s">
        <v>72</v>
      </c>
      <c r="K1315" t="s">
        <v>183</v>
      </c>
      <c r="L1315" s="17">
        <v>1</v>
      </c>
      <c r="M1315" s="28" t="s">
        <v>178</v>
      </c>
    </row>
    <row r="1316" spans="1:13" s="25" customFormat="1" x14ac:dyDescent="0.2">
      <c r="A1316">
        <f t="shared" si="20"/>
        <v>1310</v>
      </c>
      <c r="B1316">
        <v>2017</v>
      </c>
      <c r="C1316" t="s">
        <v>188</v>
      </c>
      <c r="D1316" t="s">
        <v>822</v>
      </c>
      <c r="E1316" s="65">
        <v>1000</v>
      </c>
      <c r="F1316" s="33">
        <v>0.32</v>
      </c>
      <c r="G1316" t="s">
        <v>1243</v>
      </c>
      <c r="H1316" t="s">
        <v>150</v>
      </c>
      <c r="I1316" t="s">
        <v>556</v>
      </c>
      <c r="J1316" t="s">
        <v>108</v>
      </c>
      <c r="K1316" t="s">
        <v>183</v>
      </c>
      <c r="L1316" s="17">
        <v>1</v>
      </c>
      <c r="M1316" s="28"/>
    </row>
    <row r="1317" spans="1:13" s="25" customFormat="1" x14ac:dyDescent="0.2">
      <c r="A1317">
        <f t="shared" si="20"/>
        <v>1311</v>
      </c>
      <c r="B1317">
        <v>2017</v>
      </c>
      <c r="C1317" t="s">
        <v>188</v>
      </c>
      <c r="D1317" t="s">
        <v>1527</v>
      </c>
      <c r="E1317" s="65">
        <v>110</v>
      </c>
      <c r="F1317" s="33"/>
      <c r="G1317" t="s">
        <v>1528</v>
      </c>
      <c r="H1317" t="s">
        <v>154</v>
      </c>
      <c r="I1317" t="s">
        <v>194</v>
      </c>
      <c r="J1317" t="s">
        <v>131</v>
      </c>
      <c r="K1317" t="s">
        <v>131</v>
      </c>
      <c r="L1317" s="17">
        <v>0</v>
      </c>
      <c r="M1317" s="28"/>
    </row>
    <row r="1318" spans="1:13" s="25" customFormat="1" x14ac:dyDescent="0.2">
      <c r="A1318">
        <f t="shared" si="20"/>
        <v>1312</v>
      </c>
      <c r="B1318">
        <v>2017</v>
      </c>
      <c r="C1318" t="s">
        <v>188</v>
      </c>
      <c r="D1318" t="s">
        <v>1236</v>
      </c>
      <c r="E1318" s="65">
        <v>180</v>
      </c>
      <c r="F1318" s="33">
        <v>0.3</v>
      </c>
      <c r="G1318" t="s">
        <v>1529</v>
      </c>
      <c r="H1318" t="s">
        <v>147</v>
      </c>
      <c r="J1318" t="s">
        <v>131</v>
      </c>
      <c r="K1318" t="s">
        <v>131</v>
      </c>
      <c r="L1318" s="17">
        <v>0</v>
      </c>
      <c r="M1318" s="28"/>
    </row>
    <row r="1319" spans="1:13" s="25" customFormat="1" x14ac:dyDescent="0.2">
      <c r="A1319">
        <f t="shared" si="20"/>
        <v>1313</v>
      </c>
      <c r="B1319">
        <v>2017</v>
      </c>
      <c r="C1319" t="s">
        <v>188</v>
      </c>
      <c r="D1319" t="s">
        <v>248</v>
      </c>
      <c r="E1319" s="65">
        <v>230</v>
      </c>
      <c r="F1319" s="33"/>
      <c r="G1319" t="s">
        <v>1530</v>
      </c>
      <c r="H1319" t="s">
        <v>147</v>
      </c>
      <c r="J1319" t="s">
        <v>131</v>
      </c>
      <c r="K1319" t="s">
        <v>131</v>
      </c>
      <c r="L1319" s="17">
        <v>0</v>
      </c>
      <c r="M1319" s="28"/>
    </row>
    <row r="1320" spans="1:13" s="25" customFormat="1" x14ac:dyDescent="0.2">
      <c r="A1320">
        <f t="shared" si="20"/>
        <v>1314</v>
      </c>
      <c r="B1320">
        <v>2017</v>
      </c>
      <c r="C1320" t="s">
        <v>188</v>
      </c>
      <c r="D1320" t="s">
        <v>653</v>
      </c>
      <c r="E1320" s="65">
        <v>250</v>
      </c>
      <c r="F1320" s="33"/>
      <c r="G1320" t="s">
        <v>1531</v>
      </c>
      <c r="H1320" t="s">
        <v>142</v>
      </c>
      <c r="J1320" t="s">
        <v>19</v>
      </c>
      <c r="K1320" t="s">
        <v>205</v>
      </c>
      <c r="L1320" s="17">
        <v>0</v>
      </c>
      <c r="M1320" s="28"/>
    </row>
    <row r="1321" spans="1:13" s="25" customFormat="1" x14ac:dyDescent="0.2">
      <c r="A1321">
        <f t="shared" si="20"/>
        <v>1315</v>
      </c>
      <c r="B1321">
        <v>2017</v>
      </c>
      <c r="C1321" t="s">
        <v>188</v>
      </c>
      <c r="D1321" t="s">
        <v>479</v>
      </c>
      <c r="E1321" s="65">
        <v>110</v>
      </c>
      <c r="F1321" s="33"/>
      <c r="H1321" t="s">
        <v>150</v>
      </c>
      <c r="I1321" t="s">
        <v>217</v>
      </c>
      <c r="J1321" t="s">
        <v>13</v>
      </c>
      <c r="K1321" t="s">
        <v>201</v>
      </c>
      <c r="L1321" s="17">
        <v>1</v>
      </c>
      <c r="M1321" s="28" t="s">
        <v>178</v>
      </c>
    </row>
    <row r="1322" spans="1:13" s="25" customFormat="1" x14ac:dyDescent="0.2">
      <c r="A1322">
        <f t="shared" si="20"/>
        <v>1316</v>
      </c>
      <c r="B1322">
        <v>2017</v>
      </c>
      <c r="C1322" t="s">
        <v>188</v>
      </c>
      <c r="D1322" t="s">
        <v>1339</v>
      </c>
      <c r="E1322" s="65">
        <v>250</v>
      </c>
      <c r="F1322" s="33">
        <v>1</v>
      </c>
      <c r="H1322" t="s">
        <v>149</v>
      </c>
      <c r="I1322" t="s">
        <v>182</v>
      </c>
      <c r="J1322" t="s">
        <v>68</v>
      </c>
      <c r="K1322" t="s">
        <v>219</v>
      </c>
      <c r="L1322" s="17">
        <v>1</v>
      </c>
      <c r="M1322" s="28" t="s">
        <v>178</v>
      </c>
    </row>
    <row r="1323" spans="1:13" s="25" customFormat="1" x14ac:dyDescent="0.2">
      <c r="A1323">
        <f t="shared" si="20"/>
        <v>1317</v>
      </c>
      <c r="B1323">
        <v>2017</v>
      </c>
      <c r="C1323" t="s">
        <v>188</v>
      </c>
      <c r="D1323" t="s">
        <v>244</v>
      </c>
      <c r="E1323" s="65">
        <v>200</v>
      </c>
      <c r="F1323" s="33">
        <v>0.51</v>
      </c>
      <c r="G1323" t="s">
        <v>931</v>
      </c>
      <c r="H1323" t="s">
        <v>149</v>
      </c>
      <c r="J1323" t="s">
        <v>53</v>
      </c>
      <c r="K1323" t="s">
        <v>183</v>
      </c>
      <c r="L1323" s="17">
        <v>1</v>
      </c>
      <c r="M1323" s="28"/>
    </row>
    <row r="1324" spans="1:13" s="25" customFormat="1" x14ac:dyDescent="0.2">
      <c r="A1324">
        <f t="shared" si="20"/>
        <v>1318</v>
      </c>
      <c r="B1324">
        <v>2017</v>
      </c>
      <c r="C1324" t="s">
        <v>188</v>
      </c>
      <c r="D1324" t="s">
        <v>1532</v>
      </c>
      <c r="E1324" s="65">
        <v>1830</v>
      </c>
      <c r="F1324" s="33"/>
      <c r="H1324" t="s">
        <v>153</v>
      </c>
      <c r="J1324" t="s">
        <v>113</v>
      </c>
      <c r="K1324" t="s">
        <v>183</v>
      </c>
      <c r="L1324" s="17">
        <v>0</v>
      </c>
      <c r="M1324" s="28"/>
    </row>
    <row r="1325" spans="1:13" s="25" customFormat="1" x14ac:dyDescent="0.2">
      <c r="A1325">
        <f t="shared" si="20"/>
        <v>1319</v>
      </c>
      <c r="B1325">
        <v>2017</v>
      </c>
      <c r="C1325" t="s">
        <v>191</v>
      </c>
      <c r="D1325" t="s">
        <v>263</v>
      </c>
      <c r="E1325" s="65">
        <v>13790</v>
      </c>
      <c r="F1325" s="33">
        <v>1</v>
      </c>
      <c r="G1325" t="s">
        <v>264</v>
      </c>
      <c r="H1325" t="s">
        <v>148</v>
      </c>
      <c r="J1325" t="s">
        <v>20</v>
      </c>
      <c r="K1325" t="s">
        <v>195</v>
      </c>
      <c r="L1325" s="17">
        <v>0</v>
      </c>
      <c r="M1325" s="28"/>
    </row>
    <row r="1326" spans="1:13" s="25" customFormat="1" x14ac:dyDescent="0.2">
      <c r="A1326">
        <f t="shared" si="20"/>
        <v>1320</v>
      </c>
      <c r="B1326">
        <v>2017</v>
      </c>
      <c r="C1326" t="s">
        <v>191</v>
      </c>
      <c r="D1326" t="s">
        <v>1533</v>
      </c>
      <c r="E1326" s="65">
        <v>1100</v>
      </c>
      <c r="F1326" s="33"/>
      <c r="G1326" t="s">
        <v>1534</v>
      </c>
      <c r="H1326" t="s">
        <v>142</v>
      </c>
      <c r="J1326" t="s">
        <v>19</v>
      </c>
      <c r="K1326" t="s">
        <v>205</v>
      </c>
      <c r="L1326" s="17">
        <v>0</v>
      </c>
      <c r="M1326" s="28"/>
    </row>
    <row r="1327" spans="1:13" s="25" customFormat="1" x14ac:dyDescent="0.2">
      <c r="A1327">
        <f t="shared" si="20"/>
        <v>1321</v>
      </c>
      <c r="B1327">
        <v>2017</v>
      </c>
      <c r="C1327" t="s">
        <v>191</v>
      </c>
      <c r="D1327" t="s">
        <v>1535</v>
      </c>
      <c r="E1327" s="65">
        <v>730</v>
      </c>
      <c r="F1327" s="33"/>
      <c r="G1327" t="s">
        <v>1536</v>
      </c>
      <c r="H1327" t="s">
        <v>142</v>
      </c>
      <c r="J1327" t="s">
        <v>42</v>
      </c>
      <c r="K1327" t="s">
        <v>195</v>
      </c>
      <c r="L1327" s="17">
        <v>0</v>
      </c>
      <c r="M1327" s="28"/>
    </row>
    <row r="1328" spans="1:13" s="25" customFormat="1" x14ac:dyDescent="0.2">
      <c r="A1328">
        <f t="shared" si="20"/>
        <v>1322</v>
      </c>
      <c r="B1328">
        <v>2017</v>
      </c>
      <c r="C1328" t="s">
        <v>191</v>
      </c>
      <c r="D1328" t="s">
        <v>1537</v>
      </c>
      <c r="E1328" s="65">
        <v>440</v>
      </c>
      <c r="F1328" s="33">
        <v>0.1</v>
      </c>
      <c r="G1328" t="s">
        <v>1538</v>
      </c>
      <c r="H1328" t="s">
        <v>154</v>
      </c>
      <c r="I1328" t="s">
        <v>250</v>
      </c>
      <c r="J1328" t="s">
        <v>42</v>
      </c>
      <c r="K1328" t="s">
        <v>195</v>
      </c>
      <c r="L1328" s="17">
        <v>0</v>
      </c>
      <c r="M1328" s="28"/>
    </row>
    <row r="1329" spans="1:13" s="25" customFormat="1" x14ac:dyDescent="0.2">
      <c r="A1329">
        <f t="shared" si="20"/>
        <v>1323</v>
      </c>
      <c r="B1329">
        <v>2017</v>
      </c>
      <c r="C1329" t="s">
        <v>191</v>
      </c>
      <c r="D1329" t="s">
        <v>263</v>
      </c>
      <c r="E1329" s="65">
        <v>190</v>
      </c>
      <c r="F1329" s="33">
        <v>0.16</v>
      </c>
      <c r="G1329" t="s">
        <v>333</v>
      </c>
      <c r="H1329" t="s">
        <v>151</v>
      </c>
      <c r="I1329" t="s">
        <v>224</v>
      </c>
      <c r="J1329" t="s">
        <v>131</v>
      </c>
      <c r="K1329" t="s">
        <v>131</v>
      </c>
      <c r="L1329" s="17">
        <v>0</v>
      </c>
      <c r="M1329" s="28"/>
    </row>
    <row r="1330" spans="1:13" s="25" customFormat="1" x14ac:dyDescent="0.2">
      <c r="A1330">
        <f t="shared" si="20"/>
        <v>1324</v>
      </c>
      <c r="B1330">
        <v>2017</v>
      </c>
      <c r="C1330" t="s">
        <v>191</v>
      </c>
      <c r="D1330" t="s">
        <v>454</v>
      </c>
      <c r="E1330" s="65">
        <v>150</v>
      </c>
      <c r="F1330" s="33"/>
      <c r="G1330" t="s">
        <v>1539</v>
      </c>
      <c r="H1330" t="s">
        <v>154</v>
      </c>
      <c r="I1330" t="s">
        <v>194</v>
      </c>
      <c r="J1330" t="s">
        <v>53</v>
      </c>
      <c r="K1330" t="s">
        <v>183</v>
      </c>
      <c r="L1330" s="17">
        <v>1</v>
      </c>
      <c r="M1330" s="28"/>
    </row>
    <row r="1331" spans="1:13" s="25" customFormat="1" x14ac:dyDescent="0.2">
      <c r="A1331">
        <f t="shared" si="20"/>
        <v>1325</v>
      </c>
      <c r="B1331">
        <v>2017</v>
      </c>
      <c r="C1331" t="s">
        <v>191</v>
      </c>
      <c r="D1331" t="s">
        <v>1344</v>
      </c>
      <c r="E1331" s="65">
        <v>500</v>
      </c>
      <c r="F1331" s="33"/>
      <c r="G1331" t="s">
        <v>1143</v>
      </c>
      <c r="H1331" t="s">
        <v>154</v>
      </c>
      <c r="I1331" t="s">
        <v>194</v>
      </c>
      <c r="J1331" t="s">
        <v>108</v>
      </c>
      <c r="K1331" t="s">
        <v>183</v>
      </c>
      <c r="L1331" s="17">
        <v>1</v>
      </c>
      <c r="M1331" s="28"/>
    </row>
    <row r="1332" spans="1:13" s="25" customFormat="1" x14ac:dyDescent="0.2">
      <c r="A1332">
        <f t="shared" si="20"/>
        <v>1326</v>
      </c>
      <c r="B1332">
        <v>2017</v>
      </c>
      <c r="C1332" t="s">
        <v>191</v>
      </c>
      <c r="D1332" t="s">
        <v>1540</v>
      </c>
      <c r="E1332" s="65">
        <v>190</v>
      </c>
      <c r="F1332" s="33"/>
      <c r="G1332" t="s">
        <v>1541</v>
      </c>
      <c r="H1332" t="s">
        <v>151</v>
      </c>
      <c r="I1332" t="s">
        <v>224</v>
      </c>
      <c r="J1332" t="s">
        <v>52</v>
      </c>
      <c r="K1332" t="s">
        <v>201</v>
      </c>
      <c r="L1332" s="17">
        <v>0</v>
      </c>
      <c r="M1332" s="28" t="s">
        <v>178</v>
      </c>
    </row>
    <row r="1333" spans="1:13" s="25" customFormat="1" x14ac:dyDescent="0.2">
      <c r="A1333">
        <f t="shared" si="20"/>
        <v>1327</v>
      </c>
      <c r="B1333">
        <v>2017</v>
      </c>
      <c r="C1333" t="s">
        <v>191</v>
      </c>
      <c r="D1333" t="s">
        <v>724</v>
      </c>
      <c r="E1333" s="65">
        <v>300</v>
      </c>
      <c r="F1333" s="33"/>
      <c r="H1333" t="s">
        <v>151</v>
      </c>
      <c r="I1333" t="s">
        <v>224</v>
      </c>
      <c r="J1333" t="s">
        <v>9</v>
      </c>
      <c r="K1333" t="s">
        <v>9</v>
      </c>
      <c r="L1333" s="17">
        <v>0</v>
      </c>
      <c r="M1333" s="28" t="s">
        <v>178</v>
      </c>
    </row>
    <row r="1334" spans="1:13" s="25" customFormat="1" x14ac:dyDescent="0.2">
      <c r="A1334">
        <f t="shared" si="20"/>
        <v>1328</v>
      </c>
      <c r="B1334">
        <v>2017</v>
      </c>
      <c r="C1334" t="s">
        <v>191</v>
      </c>
      <c r="D1334" t="s">
        <v>1091</v>
      </c>
      <c r="E1334" s="65">
        <v>210</v>
      </c>
      <c r="F1334" s="33">
        <v>0.7</v>
      </c>
      <c r="H1334" t="s">
        <v>151</v>
      </c>
      <c r="I1334" t="s">
        <v>279</v>
      </c>
      <c r="J1334" t="s">
        <v>67</v>
      </c>
      <c r="K1334" t="s">
        <v>183</v>
      </c>
      <c r="L1334" s="17">
        <v>1</v>
      </c>
      <c r="M1334" s="28" t="s">
        <v>178</v>
      </c>
    </row>
    <row r="1335" spans="1:13" s="25" customFormat="1" x14ac:dyDescent="0.2">
      <c r="A1335">
        <f t="shared" si="20"/>
        <v>1329</v>
      </c>
      <c r="B1335">
        <v>2017</v>
      </c>
      <c r="C1335" t="s">
        <v>191</v>
      </c>
      <c r="D1335" t="s">
        <v>1542</v>
      </c>
      <c r="E1335" s="65">
        <v>300</v>
      </c>
      <c r="F1335" s="33"/>
      <c r="H1335" t="s">
        <v>150</v>
      </c>
      <c r="I1335" t="s">
        <v>217</v>
      </c>
      <c r="J1335" t="s">
        <v>130</v>
      </c>
      <c r="K1335" t="s">
        <v>214</v>
      </c>
      <c r="L1335" s="17">
        <v>1</v>
      </c>
      <c r="M1335" s="28" t="s">
        <v>178</v>
      </c>
    </row>
    <row r="1336" spans="1:13" s="25" customFormat="1" x14ac:dyDescent="0.2">
      <c r="A1336">
        <f t="shared" si="20"/>
        <v>1330</v>
      </c>
      <c r="B1336">
        <v>2017</v>
      </c>
      <c r="C1336" t="s">
        <v>191</v>
      </c>
      <c r="D1336" t="s">
        <v>1543</v>
      </c>
      <c r="E1336" s="65">
        <v>240</v>
      </c>
      <c r="F1336" s="33">
        <v>0.7</v>
      </c>
      <c r="G1336" t="s">
        <v>1544</v>
      </c>
      <c r="H1336" t="s">
        <v>147</v>
      </c>
      <c r="J1336" t="s">
        <v>9</v>
      </c>
      <c r="K1336" t="s">
        <v>9</v>
      </c>
      <c r="L1336" s="17">
        <v>0</v>
      </c>
      <c r="M1336" s="28"/>
    </row>
    <row r="1337" spans="1:13" s="25" customFormat="1" x14ac:dyDescent="0.2">
      <c r="A1337">
        <f t="shared" si="20"/>
        <v>1331</v>
      </c>
      <c r="B1337">
        <v>2017</v>
      </c>
      <c r="C1337" t="s">
        <v>191</v>
      </c>
      <c r="D1337" t="s">
        <v>1545</v>
      </c>
      <c r="E1337" s="65">
        <v>290</v>
      </c>
      <c r="F1337" s="33">
        <v>1</v>
      </c>
      <c r="G1337" t="s">
        <v>1546</v>
      </c>
      <c r="H1337" t="s">
        <v>150</v>
      </c>
      <c r="I1337" t="s">
        <v>226</v>
      </c>
      <c r="J1337" t="s">
        <v>118</v>
      </c>
      <c r="K1337" t="s">
        <v>195</v>
      </c>
      <c r="L1337" s="17">
        <v>0</v>
      </c>
      <c r="M1337" s="28"/>
    </row>
    <row r="1338" spans="1:13" s="25" customFormat="1" x14ac:dyDescent="0.2">
      <c r="A1338">
        <f t="shared" si="20"/>
        <v>1332</v>
      </c>
      <c r="B1338">
        <v>2017</v>
      </c>
      <c r="C1338" t="s">
        <v>191</v>
      </c>
      <c r="D1338" t="s">
        <v>1547</v>
      </c>
      <c r="E1338" s="65">
        <v>160</v>
      </c>
      <c r="F1338" s="33"/>
      <c r="G1338" t="s">
        <v>1548</v>
      </c>
      <c r="H1338" t="s">
        <v>147</v>
      </c>
      <c r="J1338" t="s">
        <v>131</v>
      </c>
      <c r="K1338" t="s">
        <v>131</v>
      </c>
      <c r="L1338" s="17">
        <v>0</v>
      </c>
      <c r="M1338" s="28"/>
    </row>
    <row r="1339" spans="1:13" s="25" customFormat="1" x14ac:dyDescent="0.2">
      <c r="A1339">
        <f t="shared" si="20"/>
        <v>1333</v>
      </c>
      <c r="B1339">
        <v>2017</v>
      </c>
      <c r="C1339" t="s">
        <v>191</v>
      </c>
      <c r="D1339" t="s">
        <v>1071</v>
      </c>
      <c r="E1339" s="65">
        <v>160</v>
      </c>
      <c r="F1339" s="33"/>
      <c r="H1339" t="s">
        <v>153</v>
      </c>
      <c r="J1339" t="s">
        <v>25</v>
      </c>
      <c r="K1339" t="s">
        <v>177</v>
      </c>
      <c r="L1339" s="17">
        <v>0</v>
      </c>
      <c r="M1339" s="28"/>
    </row>
    <row r="1340" spans="1:13" s="25" customFormat="1" x14ac:dyDescent="0.2">
      <c r="A1340">
        <f t="shared" si="20"/>
        <v>1334</v>
      </c>
      <c r="B1340">
        <v>2017</v>
      </c>
      <c r="C1340" t="s">
        <v>191</v>
      </c>
      <c r="D1340" t="s">
        <v>554</v>
      </c>
      <c r="E1340" s="65">
        <v>140</v>
      </c>
      <c r="F1340" s="33"/>
      <c r="G1340" t="s">
        <v>1549</v>
      </c>
      <c r="H1340" t="s">
        <v>151</v>
      </c>
      <c r="I1340" t="s">
        <v>224</v>
      </c>
      <c r="J1340" t="s">
        <v>19</v>
      </c>
      <c r="K1340" t="s">
        <v>205</v>
      </c>
      <c r="L1340" s="17">
        <v>0</v>
      </c>
      <c r="M1340" s="28"/>
    </row>
    <row r="1341" spans="1:13" s="25" customFormat="1" x14ac:dyDescent="0.2">
      <c r="A1341">
        <f t="shared" si="20"/>
        <v>1335</v>
      </c>
      <c r="B1341">
        <v>2017</v>
      </c>
      <c r="C1341" t="s">
        <v>198</v>
      </c>
      <c r="D1341" t="s">
        <v>927</v>
      </c>
      <c r="E1341" s="65">
        <v>1760</v>
      </c>
      <c r="F1341" s="33">
        <v>0.9</v>
      </c>
      <c r="G1341" t="s">
        <v>1550</v>
      </c>
      <c r="H1341" t="s">
        <v>146</v>
      </c>
      <c r="I1341" t="s">
        <v>275</v>
      </c>
      <c r="J1341" t="s">
        <v>69</v>
      </c>
      <c r="K1341" t="s">
        <v>195</v>
      </c>
      <c r="L1341" s="17">
        <v>1</v>
      </c>
      <c r="M1341" s="28"/>
    </row>
    <row r="1342" spans="1:13" s="25" customFormat="1" x14ac:dyDescent="0.2">
      <c r="A1342">
        <f t="shared" si="20"/>
        <v>1336</v>
      </c>
      <c r="B1342">
        <v>2017</v>
      </c>
      <c r="C1342" t="s">
        <v>198</v>
      </c>
      <c r="D1342" t="s">
        <v>1520</v>
      </c>
      <c r="E1342" s="65">
        <v>100</v>
      </c>
      <c r="F1342" s="33"/>
      <c r="G1342" t="s">
        <v>1539</v>
      </c>
      <c r="H1342" t="s">
        <v>154</v>
      </c>
      <c r="I1342" t="s">
        <v>194</v>
      </c>
      <c r="J1342" t="s">
        <v>53</v>
      </c>
      <c r="K1342" t="s">
        <v>183</v>
      </c>
      <c r="L1342" s="17">
        <v>1</v>
      </c>
      <c r="M1342" s="28"/>
    </row>
    <row r="1343" spans="1:13" s="25" customFormat="1" x14ac:dyDescent="0.2">
      <c r="A1343">
        <f t="shared" si="20"/>
        <v>1337</v>
      </c>
      <c r="B1343">
        <v>2017</v>
      </c>
      <c r="C1343" t="s">
        <v>198</v>
      </c>
      <c r="D1343" t="s">
        <v>1551</v>
      </c>
      <c r="E1343" s="65">
        <v>220</v>
      </c>
      <c r="F1343" s="33">
        <v>0.18</v>
      </c>
      <c r="G1343" t="s">
        <v>1552</v>
      </c>
      <c r="H1343" t="s">
        <v>151</v>
      </c>
      <c r="I1343" t="s">
        <v>224</v>
      </c>
      <c r="J1343" t="s">
        <v>108</v>
      </c>
      <c r="K1343" t="s">
        <v>183</v>
      </c>
      <c r="L1343" s="17">
        <v>1</v>
      </c>
      <c r="M1343" s="28"/>
    </row>
    <row r="1344" spans="1:13" s="25" customFormat="1" x14ac:dyDescent="0.2">
      <c r="A1344">
        <f t="shared" si="20"/>
        <v>1338</v>
      </c>
      <c r="B1344">
        <v>2017</v>
      </c>
      <c r="C1344" t="s">
        <v>198</v>
      </c>
      <c r="D1344" t="s">
        <v>822</v>
      </c>
      <c r="E1344" s="65">
        <v>500</v>
      </c>
      <c r="F1344" s="33"/>
      <c r="G1344" t="s">
        <v>1553</v>
      </c>
      <c r="H1344" t="s">
        <v>150</v>
      </c>
      <c r="I1344" t="s">
        <v>556</v>
      </c>
      <c r="J1344" t="s">
        <v>53</v>
      </c>
      <c r="K1344" t="s">
        <v>183</v>
      </c>
      <c r="L1344" s="17">
        <v>1</v>
      </c>
      <c r="M1344" s="28"/>
    </row>
    <row r="1345" spans="1:13" s="25" customFormat="1" x14ac:dyDescent="0.2">
      <c r="A1345">
        <f t="shared" si="20"/>
        <v>1339</v>
      </c>
      <c r="B1345">
        <v>2017</v>
      </c>
      <c r="C1345" t="s">
        <v>198</v>
      </c>
      <c r="D1345" t="s">
        <v>1554</v>
      </c>
      <c r="E1345" s="65">
        <v>270</v>
      </c>
      <c r="F1345" s="33">
        <v>0.8</v>
      </c>
      <c r="G1345" t="s">
        <v>1555</v>
      </c>
      <c r="H1345" t="s">
        <v>145</v>
      </c>
      <c r="J1345" t="s">
        <v>20</v>
      </c>
      <c r="K1345" t="s">
        <v>195</v>
      </c>
      <c r="L1345" s="17">
        <v>0</v>
      </c>
      <c r="M1345" s="28"/>
    </row>
    <row r="1346" spans="1:13" s="25" customFormat="1" x14ac:dyDescent="0.2">
      <c r="A1346">
        <f t="shared" si="20"/>
        <v>1340</v>
      </c>
      <c r="B1346">
        <v>2017</v>
      </c>
      <c r="C1346" t="s">
        <v>198</v>
      </c>
      <c r="D1346" t="s">
        <v>1431</v>
      </c>
      <c r="E1346" s="65">
        <v>770</v>
      </c>
      <c r="F1346" s="33"/>
      <c r="G1346" t="s">
        <v>1556</v>
      </c>
      <c r="H1346" t="s">
        <v>154</v>
      </c>
      <c r="I1346" t="s">
        <v>194</v>
      </c>
      <c r="J1346" t="s">
        <v>45</v>
      </c>
      <c r="K1346" t="s">
        <v>195</v>
      </c>
      <c r="L1346" s="17">
        <v>0</v>
      </c>
      <c r="M1346" s="28"/>
    </row>
    <row r="1347" spans="1:13" s="25" customFormat="1" x14ac:dyDescent="0.2">
      <c r="A1347">
        <f t="shared" si="20"/>
        <v>1341</v>
      </c>
      <c r="B1347">
        <v>2017</v>
      </c>
      <c r="C1347" t="s">
        <v>198</v>
      </c>
      <c r="D1347" t="s">
        <v>1557</v>
      </c>
      <c r="E1347" s="65">
        <v>100</v>
      </c>
      <c r="F1347" s="33">
        <v>1</v>
      </c>
      <c r="H1347" t="s">
        <v>150</v>
      </c>
      <c r="I1347" t="s">
        <v>556</v>
      </c>
      <c r="J1347" t="s">
        <v>98</v>
      </c>
      <c r="K1347" t="s">
        <v>195</v>
      </c>
      <c r="L1347" s="17">
        <v>1</v>
      </c>
      <c r="M1347" s="28" t="s">
        <v>178</v>
      </c>
    </row>
    <row r="1348" spans="1:13" s="25" customFormat="1" x14ac:dyDescent="0.2">
      <c r="A1348">
        <f t="shared" si="20"/>
        <v>1342</v>
      </c>
      <c r="B1348">
        <v>2017</v>
      </c>
      <c r="C1348" t="s">
        <v>198</v>
      </c>
      <c r="D1348" t="s">
        <v>596</v>
      </c>
      <c r="E1348" s="65">
        <v>110</v>
      </c>
      <c r="F1348" s="33">
        <v>1</v>
      </c>
      <c r="G1348" t="s">
        <v>1558</v>
      </c>
      <c r="H1348" t="s">
        <v>155</v>
      </c>
      <c r="J1348" t="s">
        <v>103</v>
      </c>
      <c r="K1348" t="s">
        <v>183</v>
      </c>
      <c r="L1348" s="17">
        <v>1</v>
      </c>
      <c r="M1348" s="28"/>
    </row>
    <row r="1349" spans="1:13" s="25" customFormat="1" x14ac:dyDescent="0.2">
      <c r="A1349">
        <f t="shared" si="20"/>
        <v>1343</v>
      </c>
      <c r="B1349">
        <v>2017</v>
      </c>
      <c r="C1349" t="s">
        <v>198</v>
      </c>
      <c r="D1349" t="s">
        <v>1559</v>
      </c>
      <c r="E1349" s="65">
        <v>220</v>
      </c>
      <c r="F1349" s="33"/>
      <c r="H1349" t="s">
        <v>152</v>
      </c>
      <c r="J1349" t="s">
        <v>15</v>
      </c>
      <c r="K1349" t="s">
        <v>195</v>
      </c>
      <c r="L1349" s="17">
        <v>0</v>
      </c>
      <c r="M1349" s="28" t="s">
        <v>178</v>
      </c>
    </row>
    <row r="1350" spans="1:13" s="25" customFormat="1" x14ac:dyDescent="0.2">
      <c r="A1350">
        <f t="shared" si="20"/>
        <v>1344</v>
      </c>
      <c r="B1350">
        <v>2017</v>
      </c>
      <c r="C1350" t="s">
        <v>198</v>
      </c>
      <c r="D1350" t="s">
        <v>1560</v>
      </c>
      <c r="E1350" s="65">
        <v>130</v>
      </c>
      <c r="F1350" s="33">
        <v>0.75</v>
      </c>
      <c r="G1350" t="s">
        <v>1561</v>
      </c>
      <c r="H1350" t="s">
        <v>144</v>
      </c>
      <c r="I1350" t="s">
        <v>187</v>
      </c>
      <c r="J1350" t="s">
        <v>67</v>
      </c>
      <c r="K1350" t="s">
        <v>183</v>
      </c>
      <c r="L1350" s="17">
        <v>1</v>
      </c>
      <c r="M1350" s="28" t="s">
        <v>178</v>
      </c>
    </row>
    <row r="1351" spans="1:13" s="25" customFormat="1" x14ac:dyDescent="0.2">
      <c r="A1351">
        <f t="shared" ref="A1351:A1414" si="21">ROW()-6</f>
        <v>1345</v>
      </c>
      <c r="B1351">
        <v>2017</v>
      </c>
      <c r="C1351" t="s">
        <v>198</v>
      </c>
      <c r="D1351" t="s">
        <v>454</v>
      </c>
      <c r="E1351" s="65">
        <v>100</v>
      </c>
      <c r="F1351" s="33"/>
      <c r="G1351" t="s">
        <v>1562</v>
      </c>
      <c r="H1351" t="s">
        <v>152</v>
      </c>
      <c r="I1351" t="s">
        <v>257</v>
      </c>
      <c r="J1351" t="s">
        <v>131</v>
      </c>
      <c r="K1351" t="s">
        <v>131</v>
      </c>
      <c r="L1351" s="17">
        <v>0</v>
      </c>
      <c r="M1351" s="28"/>
    </row>
    <row r="1352" spans="1:13" s="25" customFormat="1" x14ac:dyDescent="0.2">
      <c r="A1352">
        <f t="shared" si="21"/>
        <v>1346</v>
      </c>
      <c r="B1352">
        <v>2017</v>
      </c>
      <c r="C1352" t="s">
        <v>202</v>
      </c>
      <c r="D1352" t="s">
        <v>389</v>
      </c>
      <c r="E1352" s="65">
        <v>230</v>
      </c>
      <c r="F1352" s="33">
        <v>0.28999999999999998</v>
      </c>
      <c r="G1352" t="s">
        <v>1563</v>
      </c>
      <c r="H1352" t="s">
        <v>144</v>
      </c>
      <c r="I1352" t="s">
        <v>273</v>
      </c>
      <c r="J1352" t="s">
        <v>9</v>
      </c>
      <c r="K1352" t="s">
        <v>9</v>
      </c>
      <c r="L1352" s="17">
        <v>0</v>
      </c>
      <c r="M1352" s="28"/>
    </row>
    <row r="1353" spans="1:13" s="25" customFormat="1" x14ac:dyDescent="0.2">
      <c r="A1353">
        <f t="shared" si="21"/>
        <v>1347</v>
      </c>
      <c r="B1353">
        <v>2017</v>
      </c>
      <c r="C1353" t="s">
        <v>202</v>
      </c>
      <c r="D1353" t="s">
        <v>373</v>
      </c>
      <c r="E1353" s="65">
        <v>1030</v>
      </c>
      <c r="F1353" s="33">
        <v>1</v>
      </c>
      <c r="G1353" t="s">
        <v>1564</v>
      </c>
      <c r="H1353" t="s">
        <v>148</v>
      </c>
      <c r="J1353" t="s">
        <v>108</v>
      </c>
      <c r="K1353" t="s">
        <v>183</v>
      </c>
      <c r="L1353" s="17">
        <v>1</v>
      </c>
      <c r="M1353" s="28"/>
    </row>
    <row r="1354" spans="1:13" s="25" customFormat="1" x14ac:dyDescent="0.2">
      <c r="A1354">
        <f t="shared" si="21"/>
        <v>1348</v>
      </c>
      <c r="B1354">
        <v>2017</v>
      </c>
      <c r="C1354" t="s">
        <v>202</v>
      </c>
      <c r="D1354" t="s">
        <v>477</v>
      </c>
      <c r="E1354" s="65">
        <v>920</v>
      </c>
      <c r="F1354" s="33">
        <v>0.9</v>
      </c>
      <c r="G1354" t="s">
        <v>1565</v>
      </c>
      <c r="H1354" t="s">
        <v>154</v>
      </c>
      <c r="I1354" t="s">
        <v>271</v>
      </c>
      <c r="J1354" t="s">
        <v>19</v>
      </c>
      <c r="K1354" t="s">
        <v>205</v>
      </c>
      <c r="L1354" s="17">
        <v>0</v>
      </c>
      <c r="M1354" s="28"/>
    </row>
    <row r="1355" spans="1:13" s="25" customFormat="1" x14ac:dyDescent="0.2">
      <c r="A1355">
        <f t="shared" si="21"/>
        <v>1349</v>
      </c>
      <c r="B1355">
        <v>2017</v>
      </c>
      <c r="C1355" t="s">
        <v>202</v>
      </c>
      <c r="D1355" t="s">
        <v>286</v>
      </c>
      <c r="E1355" s="65">
        <v>240</v>
      </c>
      <c r="F1355" s="33">
        <v>0.1</v>
      </c>
      <c r="G1355" t="s">
        <v>1566</v>
      </c>
      <c r="H1355" t="s">
        <v>147</v>
      </c>
      <c r="J1355" t="s">
        <v>61</v>
      </c>
      <c r="K1355" t="s">
        <v>183</v>
      </c>
      <c r="L1355" s="17">
        <v>0</v>
      </c>
      <c r="M1355" s="28"/>
    </row>
    <row r="1356" spans="1:13" s="25" customFormat="1" x14ac:dyDescent="0.2">
      <c r="A1356">
        <f t="shared" si="21"/>
        <v>1350</v>
      </c>
      <c r="B1356">
        <v>2017</v>
      </c>
      <c r="C1356" t="s">
        <v>202</v>
      </c>
      <c r="D1356" t="s">
        <v>1567</v>
      </c>
      <c r="E1356" s="65">
        <v>850</v>
      </c>
      <c r="F1356" s="33"/>
      <c r="G1356" t="s">
        <v>1568</v>
      </c>
      <c r="H1356" t="s">
        <v>147</v>
      </c>
      <c r="J1356" t="s">
        <v>131</v>
      </c>
      <c r="K1356" t="s">
        <v>131</v>
      </c>
      <c r="L1356" s="17">
        <v>0</v>
      </c>
      <c r="M1356" s="28"/>
    </row>
    <row r="1357" spans="1:13" s="25" customFormat="1" x14ac:dyDescent="0.2">
      <c r="A1357">
        <f t="shared" si="21"/>
        <v>1351</v>
      </c>
      <c r="B1357">
        <v>2017</v>
      </c>
      <c r="C1357" t="s">
        <v>202</v>
      </c>
      <c r="D1357" t="s">
        <v>1569</v>
      </c>
      <c r="E1357" s="65">
        <v>100</v>
      </c>
      <c r="F1357" s="33"/>
      <c r="G1357" t="s">
        <v>1570</v>
      </c>
      <c r="H1357" t="s">
        <v>150</v>
      </c>
      <c r="J1357" t="s">
        <v>131</v>
      </c>
      <c r="K1357" t="s">
        <v>131</v>
      </c>
      <c r="L1357" s="17">
        <v>0</v>
      </c>
      <c r="M1357" s="28"/>
    </row>
    <row r="1358" spans="1:13" s="25" customFormat="1" x14ac:dyDescent="0.2">
      <c r="A1358">
        <f t="shared" si="21"/>
        <v>1352</v>
      </c>
      <c r="B1358">
        <v>2017</v>
      </c>
      <c r="C1358" t="s">
        <v>202</v>
      </c>
      <c r="D1358" t="s">
        <v>880</v>
      </c>
      <c r="E1358" s="65">
        <v>350</v>
      </c>
      <c r="F1358" s="33">
        <v>0.5</v>
      </c>
      <c r="G1358" t="s">
        <v>1571</v>
      </c>
      <c r="H1358" t="s">
        <v>153</v>
      </c>
      <c r="J1358" t="s">
        <v>20</v>
      </c>
      <c r="K1358" t="s">
        <v>195</v>
      </c>
      <c r="L1358" s="17">
        <v>0</v>
      </c>
      <c r="M1358" s="28"/>
    </row>
    <row r="1359" spans="1:13" s="25" customFormat="1" x14ac:dyDescent="0.2">
      <c r="A1359">
        <f t="shared" si="21"/>
        <v>1353</v>
      </c>
      <c r="B1359">
        <v>2017</v>
      </c>
      <c r="C1359" t="s">
        <v>202</v>
      </c>
      <c r="D1359" t="s">
        <v>1572</v>
      </c>
      <c r="E1359" s="65">
        <v>290</v>
      </c>
      <c r="F1359" s="33"/>
      <c r="G1359" t="s">
        <v>1573</v>
      </c>
      <c r="H1359" t="s">
        <v>147</v>
      </c>
      <c r="J1359" t="s">
        <v>25</v>
      </c>
      <c r="K1359" t="s">
        <v>177</v>
      </c>
      <c r="L1359" s="17">
        <v>0</v>
      </c>
      <c r="M1359" s="28"/>
    </row>
    <row r="1360" spans="1:13" s="25" customFormat="1" x14ac:dyDescent="0.2">
      <c r="A1360">
        <f t="shared" si="21"/>
        <v>1354</v>
      </c>
      <c r="B1360">
        <v>2017</v>
      </c>
      <c r="C1360" t="s">
        <v>202</v>
      </c>
      <c r="D1360" t="s">
        <v>1520</v>
      </c>
      <c r="E1360" s="65">
        <v>230</v>
      </c>
      <c r="F1360" s="33">
        <v>0.5</v>
      </c>
      <c r="G1360" t="s">
        <v>1574</v>
      </c>
      <c r="H1360" t="s">
        <v>150</v>
      </c>
      <c r="I1360" t="s">
        <v>556</v>
      </c>
      <c r="J1360" t="s">
        <v>124</v>
      </c>
      <c r="K1360" t="s">
        <v>183</v>
      </c>
      <c r="L1360" s="17">
        <v>1</v>
      </c>
      <c r="M1360" s="28" t="s">
        <v>178</v>
      </c>
    </row>
    <row r="1361" spans="1:13" s="25" customFormat="1" x14ac:dyDescent="0.2">
      <c r="A1361">
        <f t="shared" si="21"/>
        <v>1355</v>
      </c>
      <c r="B1361">
        <v>2017</v>
      </c>
      <c r="C1361" t="s">
        <v>202</v>
      </c>
      <c r="D1361" t="s">
        <v>1575</v>
      </c>
      <c r="E1361" s="65">
        <v>230</v>
      </c>
      <c r="F1361" s="33">
        <v>1</v>
      </c>
      <c r="G1361" t="s">
        <v>1576</v>
      </c>
      <c r="H1361" t="s">
        <v>149</v>
      </c>
      <c r="I1361" t="s">
        <v>238</v>
      </c>
      <c r="J1361" t="s">
        <v>45</v>
      </c>
      <c r="K1361" t="s">
        <v>195</v>
      </c>
      <c r="L1361" s="17">
        <v>0</v>
      </c>
      <c r="M1361" s="28"/>
    </row>
    <row r="1362" spans="1:13" s="25" customFormat="1" ht="15" customHeight="1" x14ac:dyDescent="0.2">
      <c r="A1362">
        <f t="shared" si="21"/>
        <v>1356</v>
      </c>
      <c r="B1362">
        <v>2017</v>
      </c>
      <c r="C1362" t="s">
        <v>202</v>
      </c>
      <c r="D1362" t="s">
        <v>1577</v>
      </c>
      <c r="E1362" s="65">
        <v>740</v>
      </c>
      <c r="F1362" s="33">
        <v>1</v>
      </c>
      <c r="G1362" t="s">
        <v>1578</v>
      </c>
      <c r="H1362" t="s">
        <v>152</v>
      </c>
      <c r="J1362" t="s">
        <v>20</v>
      </c>
      <c r="K1362" t="s">
        <v>195</v>
      </c>
      <c r="L1362" s="17">
        <v>0</v>
      </c>
      <c r="M1362" s="28"/>
    </row>
    <row r="1363" spans="1:13" s="25" customFormat="1" x14ac:dyDescent="0.2">
      <c r="A1363">
        <f t="shared" si="21"/>
        <v>1357</v>
      </c>
      <c r="B1363">
        <v>2017</v>
      </c>
      <c r="C1363" t="s">
        <v>202</v>
      </c>
      <c r="D1363" t="s">
        <v>373</v>
      </c>
      <c r="E1363" s="65">
        <v>140</v>
      </c>
      <c r="F1363" s="33">
        <v>0.19</v>
      </c>
      <c r="G1363" t="s">
        <v>1579</v>
      </c>
      <c r="H1363" t="s">
        <v>153</v>
      </c>
      <c r="J1363" t="s">
        <v>118</v>
      </c>
      <c r="K1363" t="s">
        <v>195</v>
      </c>
      <c r="L1363" s="17">
        <v>0</v>
      </c>
      <c r="M1363" s="28"/>
    </row>
    <row r="1364" spans="1:13" s="25" customFormat="1" x14ac:dyDescent="0.2">
      <c r="A1364">
        <f t="shared" si="21"/>
        <v>1358</v>
      </c>
      <c r="B1364">
        <v>2017</v>
      </c>
      <c r="C1364" t="s">
        <v>202</v>
      </c>
      <c r="D1364" t="s">
        <v>1180</v>
      </c>
      <c r="E1364" s="65">
        <v>2260</v>
      </c>
      <c r="F1364" s="33"/>
      <c r="H1364" t="s">
        <v>144</v>
      </c>
      <c r="I1364" t="s">
        <v>197</v>
      </c>
      <c r="J1364" t="s">
        <v>19</v>
      </c>
      <c r="K1364" t="s">
        <v>205</v>
      </c>
      <c r="L1364" s="17">
        <v>0</v>
      </c>
      <c r="M1364" s="28"/>
    </row>
    <row r="1365" spans="1:13" s="25" customFormat="1" x14ac:dyDescent="0.2">
      <c r="A1365">
        <f t="shared" si="21"/>
        <v>1359</v>
      </c>
      <c r="B1365">
        <v>2017</v>
      </c>
      <c r="C1365" t="s">
        <v>202</v>
      </c>
      <c r="D1365" t="s">
        <v>1580</v>
      </c>
      <c r="E1365" s="65">
        <v>180</v>
      </c>
      <c r="F1365" s="33"/>
      <c r="H1365" t="s">
        <v>142</v>
      </c>
      <c r="J1365" t="s">
        <v>20</v>
      </c>
      <c r="K1365" t="s">
        <v>195</v>
      </c>
      <c r="L1365" s="17">
        <v>0</v>
      </c>
      <c r="M1365" s="28"/>
    </row>
    <row r="1366" spans="1:13" s="25" customFormat="1" x14ac:dyDescent="0.2">
      <c r="A1366">
        <f t="shared" si="21"/>
        <v>1360</v>
      </c>
      <c r="B1366">
        <v>2017</v>
      </c>
      <c r="C1366" t="s">
        <v>202</v>
      </c>
      <c r="D1366" t="s">
        <v>1581</v>
      </c>
      <c r="E1366" s="65">
        <v>180</v>
      </c>
      <c r="F1366" s="33"/>
      <c r="G1366" t="s">
        <v>1582</v>
      </c>
      <c r="H1366" t="s">
        <v>154</v>
      </c>
      <c r="I1366" t="s">
        <v>194</v>
      </c>
      <c r="J1366" t="s">
        <v>113</v>
      </c>
      <c r="K1366" t="s">
        <v>183</v>
      </c>
      <c r="L1366" s="17">
        <v>0</v>
      </c>
      <c r="M1366" s="28"/>
    </row>
    <row r="1367" spans="1:13" s="25" customFormat="1" x14ac:dyDescent="0.2">
      <c r="A1367">
        <f t="shared" si="21"/>
        <v>1361</v>
      </c>
      <c r="B1367">
        <v>2017</v>
      </c>
      <c r="C1367" t="s">
        <v>202</v>
      </c>
      <c r="D1367" t="s">
        <v>438</v>
      </c>
      <c r="E1367" s="65">
        <v>600</v>
      </c>
      <c r="F1367" s="33"/>
      <c r="H1367" t="s">
        <v>154</v>
      </c>
      <c r="I1367" t="s">
        <v>194</v>
      </c>
      <c r="J1367" t="s">
        <v>131</v>
      </c>
      <c r="K1367" t="s">
        <v>131</v>
      </c>
      <c r="L1367" s="17">
        <v>0</v>
      </c>
      <c r="M1367" s="28"/>
    </row>
    <row r="1368" spans="1:13" s="25" customFormat="1" x14ac:dyDescent="0.2">
      <c r="A1368">
        <f t="shared" si="21"/>
        <v>1362</v>
      </c>
      <c r="B1368">
        <v>2017</v>
      </c>
      <c r="C1368" t="s">
        <v>202</v>
      </c>
      <c r="D1368" t="s">
        <v>1583</v>
      </c>
      <c r="E1368" s="65">
        <v>130</v>
      </c>
      <c r="F1368" s="33"/>
      <c r="G1368" t="s">
        <v>1584</v>
      </c>
      <c r="H1368" t="s">
        <v>154</v>
      </c>
      <c r="I1368" t="s">
        <v>250</v>
      </c>
      <c r="J1368" t="s">
        <v>45</v>
      </c>
      <c r="K1368" t="s">
        <v>195</v>
      </c>
      <c r="L1368" s="17">
        <v>0</v>
      </c>
      <c r="M1368" s="28"/>
    </row>
    <row r="1369" spans="1:13" s="25" customFormat="1" x14ac:dyDescent="0.2">
      <c r="A1369">
        <f t="shared" si="21"/>
        <v>1363</v>
      </c>
      <c r="B1369">
        <v>2017</v>
      </c>
      <c r="C1369" t="s">
        <v>202</v>
      </c>
      <c r="D1369" t="s">
        <v>1093</v>
      </c>
      <c r="E1369" s="65">
        <v>300</v>
      </c>
      <c r="F1369" s="33"/>
      <c r="G1369" t="s">
        <v>1585</v>
      </c>
      <c r="H1369" t="s">
        <v>151</v>
      </c>
      <c r="I1369" t="s">
        <v>224</v>
      </c>
      <c r="J1369" t="s">
        <v>131</v>
      </c>
      <c r="K1369" t="s">
        <v>131</v>
      </c>
      <c r="L1369" s="17">
        <v>0</v>
      </c>
      <c r="M1369" s="28"/>
    </row>
    <row r="1370" spans="1:13" s="25" customFormat="1" x14ac:dyDescent="0.2">
      <c r="A1370">
        <f t="shared" si="21"/>
        <v>1364</v>
      </c>
      <c r="B1370">
        <v>2017</v>
      </c>
      <c r="C1370" t="s">
        <v>202</v>
      </c>
      <c r="D1370" t="s">
        <v>1586</v>
      </c>
      <c r="E1370" s="65">
        <v>1040</v>
      </c>
      <c r="F1370" s="33"/>
      <c r="H1370" t="s">
        <v>150</v>
      </c>
      <c r="I1370" t="s">
        <v>217</v>
      </c>
      <c r="J1370" t="s">
        <v>92</v>
      </c>
      <c r="K1370" t="s">
        <v>214</v>
      </c>
      <c r="L1370" s="17">
        <v>1</v>
      </c>
      <c r="M1370" s="28" t="s">
        <v>178</v>
      </c>
    </row>
    <row r="1371" spans="1:13" s="25" customFormat="1" x14ac:dyDescent="0.2">
      <c r="A1371">
        <f t="shared" si="21"/>
        <v>1365</v>
      </c>
      <c r="B1371">
        <v>2017</v>
      </c>
      <c r="C1371" t="s">
        <v>202</v>
      </c>
      <c r="D1371" t="s">
        <v>554</v>
      </c>
      <c r="E1371" s="65">
        <v>140</v>
      </c>
      <c r="F1371" s="33">
        <v>0.01</v>
      </c>
      <c r="G1371" t="s">
        <v>1587</v>
      </c>
      <c r="H1371" t="s">
        <v>146</v>
      </c>
      <c r="J1371" t="s">
        <v>15</v>
      </c>
      <c r="K1371" t="s">
        <v>195</v>
      </c>
      <c r="L1371" s="17">
        <v>0</v>
      </c>
      <c r="M1371" s="28"/>
    </row>
    <row r="1372" spans="1:13" s="25" customFormat="1" x14ac:dyDescent="0.2">
      <c r="A1372">
        <f t="shared" si="21"/>
        <v>1366</v>
      </c>
      <c r="B1372">
        <v>2017</v>
      </c>
      <c r="C1372" t="s">
        <v>207</v>
      </c>
      <c r="D1372" t="s">
        <v>263</v>
      </c>
      <c r="E1372" s="65">
        <v>370</v>
      </c>
      <c r="F1372" s="33">
        <v>0.1</v>
      </c>
      <c r="G1372" t="s">
        <v>1588</v>
      </c>
      <c r="H1372" t="s">
        <v>144</v>
      </c>
      <c r="I1372" t="s">
        <v>232</v>
      </c>
      <c r="J1372" t="s">
        <v>108</v>
      </c>
      <c r="K1372" t="s">
        <v>183</v>
      </c>
      <c r="L1372" s="17">
        <v>1</v>
      </c>
      <c r="M1372" s="28"/>
    </row>
    <row r="1373" spans="1:13" s="25" customFormat="1" x14ac:dyDescent="0.2">
      <c r="A1373">
        <f t="shared" si="21"/>
        <v>1367</v>
      </c>
      <c r="B1373">
        <v>2017</v>
      </c>
      <c r="C1373" t="s">
        <v>207</v>
      </c>
      <c r="D1373" t="s">
        <v>438</v>
      </c>
      <c r="E1373" s="65">
        <v>340</v>
      </c>
      <c r="F1373" s="33">
        <v>0.22</v>
      </c>
      <c r="G1373" t="s">
        <v>1589</v>
      </c>
      <c r="H1373" t="s">
        <v>146</v>
      </c>
      <c r="I1373" t="s">
        <v>275</v>
      </c>
      <c r="J1373" t="s">
        <v>35</v>
      </c>
      <c r="K1373" t="s">
        <v>195</v>
      </c>
      <c r="L1373" s="17">
        <v>0</v>
      </c>
      <c r="M1373" s="28"/>
    </row>
    <row r="1374" spans="1:13" s="25" customFormat="1" x14ac:dyDescent="0.2">
      <c r="A1374">
        <f t="shared" si="21"/>
        <v>1368</v>
      </c>
      <c r="B1374">
        <v>2017</v>
      </c>
      <c r="C1374" t="s">
        <v>207</v>
      </c>
      <c r="D1374" t="s">
        <v>554</v>
      </c>
      <c r="E1374" s="65">
        <v>1080</v>
      </c>
      <c r="F1374" s="33">
        <v>0.74</v>
      </c>
      <c r="G1374" t="s">
        <v>1590</v>
      </c>
      <c r="H1374" t="s">
        <v>147</v>
      </c>
      <c r="J1374" t="s">
        <v>52</v>
      </c>
      <c r="K1374" t="s">
        <v>201</v>
      </c>
      <c r="L1374" s="17">
        <v>0</v>
      </c>
      <c r="M1374" s="28"/>
    </row>
    <row r="1375" spans="1:13" s="25" customFormat="1" x14ac:dyDescent="0.2">
      <c r="A1375">
        <f t="shared" si="21"/>
        <v>1369</v>
      </c>
      <c r="B1375">
        <v>2017</v>
      </c>
      <c r="C1375" t="s">
        <v>207</v>
      </c>
      <c r="D1375" t="s">
        <v>454</v>
      </c>
      <c r="E1375" s="65">
        <v>400</v>
      </c>
      <c r="F1375" s="33"/>
      <c r="G1375" t="s">
        <v>1591</v>
      </c>
      <c r="H1375" t="s">
        <v>154</v>
      </c>
      <c r="I1375" t="s">
        <v>194</v>
      </c>
      <c r="J1375" t="s">
        <v>52</v>
      </c>
      <c r="K1375" t="s">
        <v>201</v>
      </c>
      <c r="L1375" s="17">
        <v>0</v>
      </c>
      <c r="M1375" s="28"/>
    </row>
    <row r="1376" spans="1:13" s="25" customFormat="1" x14ac:dyDescent="0.2">
      <c r="A1376">
        <f t="shared" si="21"/>
        <v>1370</v>
      </c>
      <c r="B1376">
        <v>2017</v>
      </c>
      <c r="C1376" t="s">
        <v>207</v>
      </c>
      <c r="D1376" t="s">
        <v>1592</v>
      </c>
      <c r="E1376" s="65">
        <v>270</v>
      </c>
      <c r="F1376" s="33"/>
      <c r="G1376" t="s">
        <v>1593</v>
      </c>
      <c r="H1376" t="s">
        <v>142</v>
      </c>
      <c r="J1376" t="s">
        <v>9</v>
      </c>
      <c r="K1376" t="s">
        <v>9</v>
      </c>
      <c r="L1376" s="17">
        <v>0</v>
      </c>
      <c r="M1376" s="28"/>
    </row>
    <row r="1377" spans="1:13" s="25" customFormat="1" x14ac:dyDescent="0.2">
      <c r="A1377">
        <f t="shared" si="21"/>
        <v>1371</v>
      </c>
      <c r="B1377">
        <v>2017</v>
      </c>
      <c r="C1377" t="s">
        <v>207</v>
      </c>
      <c r="D1377" t="s">
        <v>1594</v>
      </c>
      <c r="E1377" s="65">
        <v>360</v>
      </c>
      <c r="F1377" s="33"/>
      <c r="G1377" t="s">
        <v>1595</v>
      </c>
      <c r="H1377" t="s">
        <v>144</v>
      </c>
      <c r="J1377" t="s">
        <v>25</v>
      </c>
      <c r="K1377" t="s">
        <v>177</v>
      </c>
      <c r="L1377" s="17">
        <v>0</v>
      </c>
      <c r="M1377" s="28"/>
    </row>
    <row r="1378" spans="1:13" s="25" customFormat="1" x14ac:dyDescent="0.2">
      <c r="A1378">
        <f t="shared" si="21"/>
        <v>1372</v>
      </c>
      <c r="B1378">
        <v>2017</v>
      </c>
      <c r="C1378" t="s">
        <v>207</v>
      </c>
      <c r="D1378" t="s">
        <v>199</v>
      </c>
      <c r="E1378" s="65">
        <v>120</v>
      </c>
      <c r="F1378" s="33">
        <v>0.2</v>
      </c>
      <c r="H1378" t="s">
        <v>144</v>
      </c>
      <c r="I1378" t="s">
        <v>187</v>
      </c>
      <c r="J1378" t="s">
        <v>19</v>
      </c>
      <c r="K1378" t="s">
        <v>205</v>
      </c>
      <c r="L1378" s="17">
        <v>0</v>
      </c>
      <c r="M1378" s="28" t="s">
        <v>178</v>
      </c>
    </row>
    <row r="1379" spans="1:13" s="25" customFormat="1" x14ac:dyDescent="0.2">
      <c r="A1379">
        <f t="shared" si="21"/>
        <v>1373</v>
      </c>
      <c r="B1379">
        <v>2017</v>
      </c>
      <c r="C1379" t="s">
        <v>207</v>
      </c>
      <c r="D1379" t="s">
        <v>1066</v>
      </c>
      <c r="E1379" s="65">
        <v>500</v>
      </c>
      <c r="F1379" s="33"/>
      <c r="G1379" t="s">
        <v>506</v>
      </c>
      <c r="H1379" t="s">
        <v>144</v>
      </c>
      <c r="J1379" t="s">
        <v>101</v>
      </c>
      <c r="K1379" t="s">
        <v>201</v>
      </c>
      <c r="L1379" s="17">
        <v>1</v>
      </c>
      <c r="M1379" s="28"/>
    </row>
    <row r="1380" spans="1:13" s="25" customFormat="1" x14ac:dyDescent="0.2">
      <c r="A1380">
        <f t="shared" si="21"/>
        <v>1374</v>
      </c>
      <c r="B1380">
        <v>2017</v>
      </c>
      <c r="C1380" t="s">
        <v>207</v>
      </c>
      <c r="D1380" t="s">
        <v>822</v>
      </c>
      <c r="E1380" s="65">
        <v>100</v>
      </c>
      <c r="F1380" s="33"/>
      <c r="G1380" t="s">
        <v>1218</v>
      </c>
      <c r="H1380" t="s">
        <v>145</v>
      </c>
      <c r="J1380" t="s">
        <v>131</v>
      </c>
      <c r="K1380" t="s">
        <v>131</v>
      </c>
      <c r="L1380" s="17">
        <v>0</v>
      </c>
      <c r="M1380" s="28"/>
    </row>
    <row r="1381" spans="1:13" s="25" customFormat="1" x14ac:dyDescent="0.2">
      <c r="A1381">
        <f t="shared" si="21"/>
        <v>1375</v>
      </c>
      <c r="B1381">
        <v>2017</v>
      </c>
      <c r="C1381" t="s">
        <v>207</v>
      </c>
      <c r="D1381" t="s">
        <v>454</v>
      </c>
      <c r="E1381" s="65">
        <v>470</v>
      </c>
      <c r="F1381" s="33">
        <v>0.2</v>
      </c>
      <c r="G1381" t="s">
        <v>1596</v>
      </c>
      <c r="H1381" t="s">
        <v>145</v>
      </c>
      <c r="J1381" t="s">
        <v>108</v>
      </c>
      <c r="K1381" t="s">
        <v>183</v>
      </c>
      <c r="L1381" s="17">
        <v>1</v>
      </c>
      <c r="M1381" s="28"/>
    </row>
    <row r="1382" spans="1:13" s="25" customFormat="1" x14ac:dyDescent="0.2">
      <c r="A1382">
        <f t="shared" si="21"/>
        <v>1376</v>
      </c>
      <c r="B1382">
        <v>2017</v>
      </c>
      <c r="C1382" t="s">
        <v>207</v>
      </c>
      <c r="D1382" t="s">
        <v>1597</v>
      </c>
      <c r="E1382" s="65">
        <v>150</v>
      </c>
      <c r="F1382" s="33"/>
      <c r="H1382" t="s">
        <v>151</v>
      </c>
      <c r="I1382" t="s">
        <v>279</v>
      </c>
      <c r="J1382" t="s">
        <v>134</v>
      </c>
      <c r="K1382" t="s">
        <v>201</v>
      </c>
      <c r="L1382" s="17">
        <v>1</v>
      </c>
      <c r="M1382" s="28" t="s">
        <v>178</v>
      </c>
    </row>
    <row r="1383" spans="1:13" s="25" customFormat="1" x14ac:dyDescent="0.2">
      <c r="A1383">
        <f t="shared" si="21"/>
        <v>1377</v>
      </c>
      <c r="B1383">
        <v>2017</v>
      </c>
      <c r="C1383" t="s">
        <v>240</v>
      </c>
      <c r="D1383" t="s">
        <v>520</v>
      </c>
      <c r="E1383" s="65">
        <v>220</v>
      </c>
      <c r="F1383" s="33">
        <v>0.51</v>
      </c>
      <c r="G1383" t="s">
        <v>1598</v>
      </c>
      <c r="H1383" t="s">
        <v>152</v>
      </c>
      <c r="J1383" t="s">
        <v>61</v>
      </c>
      <c r="K1383" t="s">
        <v>183</v>
      </c>
      <c r="L1383" s="17">
        <v>0</v>
      </c>
      <c r="M1383" s="28"/>
    </row>
    <row r="1384" spans="1:13" s="25" customFormat="1" x14ac:dyDescent="0.2">
      <c r="A1384">
        <f t="shared" si="21"/>
        <v>1378</v>
      </c>
      <c r="B1384">
        <v>2017</v>
      </c>
      <c r="C1384" t="s">
        <v>240</v>
      </c>
      <c r="D1384" t="s">
        <v>1599</v>
      </c>
      <c r="E1384" s="65">
        <v>9060</v>
      </c>
      <c r="F1384" s="33">
        <v>0.79</v>
      </c>
      <c r="G1384" t="s">
        <v>1600</v>
      </c>
      <c r="H1384" t="s">
        <v>148</v>
      </c>
      <c r="J1384" t="s">
        <v>108</v>
      </c>
      <c r="K1384" t="s">
        <v>183</v>
      </c>
      <c r="L1384" s="17">
        <v>1</v>
      </c>
      <c r="M1384" s="28"/>
    </row>
    <row r="1385" spans="1:13" s="25" customFormat="1" x14ac:dyDescent="0.2">
      <c r="A1385">
        <f t="shared" si="21"/>
        <v>1379</v>
      </c>
      <c r="B1385">
        <v>2017</v>
      </c>
      <c r="C1385" t="s">
        <v>240</v>
      </c>
      <c r="D1385" t="s">
        <v>547</v>
      </c>
      <c r="E1385" s="65">
        <v>1590</v>
      </c>
      <c r="F1385" s="33">
        <v>1</v>
      </c>
      <c r="G1385" t="s">
        <v>1601</v>
      </c>
      <c r="H1385" t="s">
        <v>154</v>
      </c>
      <c r="I1385" t="s">
        <v>194</v>
      </c>
      <c r="J1385" t="s">
        <v>61</v>
      </c>
      <c r="K1385" t="s">
        <v>183</v>
      </c>
      <c r="L1385" s="17">
        <v>0</v>
      </c>
      <c r="M1385" s="28"/>
    </row>
    <row r="1386" spans="1:13" s="25" customFormat="1" x14ac:dyDescent="0.2">
      <c r="A1386">
        <f t="shared" si="21"/>
        <v>1380</v>
      </c>
      <c r="B1386">
        <v>2017</v>
      </c>
      <c r="C1386" t="s">
        <v>240</v>
      </c>
      <c r="D1386" t="s">
        <v>1602</v>
      </c>
      <c r="E1386" s="65">
        <v>110</v>
      </c>
      <c r="F1386" s="33">
        <v>0.95</v>
      </c>
      <c r="G1386" t="s">
        <v>1603</v>
      </c>
      <c r="H1386" t="s">
        <v>145</v>
      </c>
      <c r="J1386" t="s">
        <v>61</v>
      </c>
      <c r="K1386" t="s">
        <v>183</v>
      </c>
      <c r="L1386" s="17">
        <v>0</v>
      </c>
      <c r="M1386" s="28"/>
    </row>
    <row r="1387" spans="1:13" s="25" customFormat="1" x14ac:dyDescent="0.2">
      <c r="A1387">
        <f t="shared" si="21"/>
        <v>1381</v>
      </c>
      <c r="B1387">
        <v>2017</v>
      </c>
      <c r="C1387" t="s">
        <v>240</v>
      </c>
      <c r="D1387" t="s">
        <v>454</v>
      </c>
      <c r="E1387" s="65">
        <v>2240</v>
      </c>
      <c r="F1387" s="33">
        <v>0.12</v>
      </c>
      <c r="G1387" t="s">
        <v>1028</v>
      </c>
      <c r="H1387" t="s">
        <v>145</v>
      </c>
      <c r="J1387" t="s">
        <v>131</v>
      </c>
      <c r="K1387" t="s">
        <v>131</v>
      </c>
      <c r="L1387" s="17">
        <v>0</v>
      </c>
      <c r="M1387" s="28"/>
    </row>
    <row r="1388" spans="1:13" s="25" customFormat="1" x14ac:dyDescent="0.2">
      <c r="A1388">
        <f t="shared" si="21"/>
        <v>1382</v>
      </c>
      <c r="B1388">
        <v>2017</v>
      </c>
      <c r="C1388" t="s">
        <v>240</v>
      </c>
      <c r="D1388" t="s">
        <v>1604</v>
      </c>
      <c r="E1388" s="65">
        <v>1640</v>
      </c>
      <c r="F1388" s="33">
        <v>0.75</v>
      </c>
      <c r="G1388" t="s">
        <v>1605</v>
      </c>
      <c r="H1388" t="s">
        <v>144</v>
      </c>
      <c r="I1388" t="s">
        <v>232</v>
      </c>
      <c r="J1388" t="s">
        <v>47</v>
      </c>
      <c r="K1388" t="s">
        <v>195</v>
      </c>
      <c r="L1388" s="17">
        <v>1</v>
      </c>
      <c r="M1388" s="28" t="s">
        <v>178</v>
      </c>
    </row>
    <row r="1389" spans="1:13" s="25" customFormat="1" x14ac:dyDescent="0.2">
      <c r="A1389">
        <f t="shared" si="21"/>
        <v>1383</v>
      </c>
      <c r="B1389">
        <v>2017</v>
      </c>
      <c r="C1389" t="s">
        <v>240</v>
      </c>
      <c r="D1389" t="s">
        <v>1270</v>
      </c>
      <c r="E1389" s="65">
        <v>140</v>
      </c>
      <c r="F1389" s="33">
        <v>0.08</v>
      </c>
      <c r="G1389" t="s">
        <v>1606</v>
      </c>
      <c r="H1389" t="s">
        <v>152</v>
      </c>
      <c r="J1389" t="s">
        <v>20</v>
      </c>
      <c r="K1389" t="s">
        <v>195</v>
      </c>
      <c r="L1389" s="17">
        <v>0</v>
      </c>
      <c r="M1389" s="28"/>
    </row>
    <row r="1390" spans="1:13" s="25" customFormat="1" x14ac:dyDescent="0.2">
      <c r="A1390">
        <f t="shared" si="21"/>
        <v>1384</v>
      </c>
      <c r="B1390">
        <v>2017</v>
      </c>
      <c r="C1390" t="s">
        <v>240</v>
      </c>
      <c r="D1390" t="s">
        <v>307</v>
      </c>
      <c r="E1390" s="65">
        <v>3440</v>
      </c>
      <c r="F1390" s="33">
        <v>0.4</v>
      </c>
      <c r="G1390" t="s">
        <v>1421</v>
      </c>
      <c r="H1390" t="s">
        <v>144</v>
      </c>
      <c r="J1390" t="s">
        <v>19</v>
      </c>
      <c r="K1390" t="s">
        <v>205</v>
      </c>
      <c r="L1390" s="17">
        <v>0</v>
      </c>
      <c r="M1390" s="28"/>
    </row>
    <row r="1391" spans="1:13" s="25" customFormat="1" x14ac:dyDescent="0.2">
      <c r="A1391">
        <f t="shared" si="21"/>
        <v>1385</v>
      </c>
      <c r="B1391">
        <v>2017</v>
      </c>
      <c r="C1391" t="s">
        <v>240</v>
      </c>
      <c r="D1391" t="s">
        <v>1607</v>
      </c>
      <c r="E1391" s="65">
        <v>120</v>
      </c>
      <c r="F1391" s="33">
        <v>0.2</v>
      </c>
      <c r="G1391" t="s">
        <v>1608</v>
      </c>
      <c r="H1391" t="s">
        <v>150</v>
      </c>
      <c r="I1391" t="s">
        <v>744</v>
      </c>
      <c r="J1391" t="s">
        <v>131</v>
      </c>
      <c r="K1391" t="s">
        <v>131</v>
      </c>
      <c r="L1391" s="17">
        <v>0</v>
      </c>
      <c r="M1391" s="28"/>
    </row>
    <row r="1392" spans="1:13" s="25" customFormat="1" x14ac:dyDescent="0.2">
      <c r="A1392">
        <f t="shared" si="21"/>
        <v>1386</v>
      </c>
      <c r="B1392">
        <v>2017</v>
      </c>
      <c r="C1392" t="s">
        <v>240</v>
      </c>
      <c r="D1392" t="s">
        <v>263</v>
      </c>
      <c r="E1392" s="65">
        <v>100</v>
      </c>
      <c r="F1392" s="33">
        <v>0.06</v>
      </c>
      <c r="G1392" t="s">
        <v>1609</v>
      </c>
      <c r="H1392" t="s">
        <v>144</v>
      </c>
      <c r="I1392" t="s">
        <v>187</v>
      </c>
      <c r="J1392" t="s">
        <v>101</v>
      </c>
      <c r="K1392" t="s">
        <v>201</v>
      </c>
      <c r="L1392" s="17">
        <v>1</v>
      </c>
      <c r="M1392" s="28"/>
    </row>
    <row r="1393" spans="1:14" s="25" customFormat="1" x14ac:dyDescent="0.2">
      <c r="A1393">
        <f t="shared" si="21"/>
        <v>1387</v>
      </c>
      <c r="B1393">
        <v>2017</v>
      </c>
      <c r="C1393" t="s">
        <v>240</v>
      </c>
      <c r="D1393" t="s">
        <v>246</v>
      </c>
      <c r="E1393" s="65">
        <v>220</v>
      </c>
      <c r="F1393" s="33">
        <v>0.5</v>
      </c>
      <c r="H1393" t="s">
        <v>144</v>
      </c>
      <c r="I1393" t="s">
        <v>197</v>
      </c>
      <c r="J1393" t="s">
        <v>96</v>
      </c>
      <c r="K1393" t="s">
        <v>205</v>
      </c>
      <c r="L1393" s="17">
        <v>1</v>
      </c>
      <c r="M1393" s="28" t="s">
        <v>178</v>
      </c>
    </row>
    <row r="1394" spans="1:14" s="25" customFormat="1" x14ac:dyDescent="0.2">
      <c r="A1394">
        <f t="shared" si="21"/>
        <v>1388</v>
      </c>
      <c r="B1394">
        <v>2017</v>
      </c>
      <c r="C1394" t="s">
        <v>240</v>
      </c>
      <c r="D1394" t="s">
        <v>1180</v>
      </c>
      <c r="E1394" s="65">
        <v>100</v>
      </c>
      <c r="F1394" s="33"/>
      <c r="H1394" t="s">
        <v>144</v>
      </c>
      <c r="I1394" t="s">
        <v>232</v>
      </c>
      <c r="J1394" t="s">
        <v>79</v>
      </c>
      <c r="K1394" t="s">
        <v>195</v>
      </c>
      <c r="L1394" s="17">
        <v>1</v>
      </c>
      <c r="M1394" s="28" t="s">
        <v>178</v>
      </c>
    </row>
    <row r="1395" spans="1:14" s="36" customFormat="1" x14ac:dyDescent="0.2">
      <c r="A1395">
        <f t="shared" si="21"/>
        <v>1389</v>
      </c>
      <c r="B1395">
        <v>2017</v>
      </c>
      <c r="C1395" t="s">
        <v>212</v>
      </c>
      <c r="D1395" t="s">
        <v>199</v>
      </c>
      <c r="E1395" s="65">
        <v>190</v>
      </c>
      <c r="F1395" s="33">
        <v>0.5</v>
      </c>
      <c r="G1395" t="s">
        <v>1610</v>
      </c>
      <c r="H1395" t="s">
        <v>144</v>
      </c>
      <c r="I1395" t="s">
        <v>299</v>
      </c>
      <c r="J1395" t="s">
        <v>134</v>
      </c>
      <c r="K1395" t="s">
        <v>201</v>
      </c>
      <c r="L1395" s="17">
        <v>1</v>
      </c>
      <c r="M1395" s="28" t="s">
        <v>178</v>
      </c>
    </row>
    <row r="1396" spans="1:14" s="25" customFormat="1" x14ac:dyDescent="0.2">
      <c r="A1396">
        <f t="shared" si="21"/>
        <v>1390</v>
      </c>
      <c r="B1396">
        <v>2017</v>
      </c>
      <c r="C1396" t="s">
        <v>212</v>
      </c>
      <c r="D1396" t="s">
        <v>1318</v>
      </c>
      <c r="E1396" s="65">
        <v>740</v>
      </c>
      <c r="F1396" s="33">
        <v>0.3</v>
      </c>
      <c r="G1396" t="s">
        <v>1611</v>
      </c>
      <c r="H1396" t="s">
        <v>144</v>
      </c>
      <c r="I1396" t="s">
        <v>232</v>
      </c>
      <c r="J1396" t="s">
        <v>20</v>
      </c>
      <c r="K1396" t="s">
        <v>195</v>
      </c>
      <c r="L1396" s="17">
        <v>0</v>
      </c>
      <c r="M1396" s="28"/>
    </row>
    <row r="1397" spans="1:14" s="25" customFormat="1" x14ac:dyDescent="0.2">
      <c r="A1397">
        <f t="shared" si="21"/>
        <v>1391</v>
      </c>
      <c r="B1397">
        <v>2017</v>
      </c>
      <c r="C1397" t="s">
        <v>212</v>
      </c>
      <c r="D1397" t="s">
        <v>286</v>
      </c>
      <c r="E1397" s="65">
        <v>9660</v>
      </c>
      <c r="F1397" s="33">
        <v>0.05</v>
      </c>
      <c r="G1397" t="s">
        <v>1612</v>
      </c>
      <c r="H1397" t="s">
        <v>146</v>
      </c>
      <c r="I1397" t="s">
        <v>275</v>
      </c>
      <c r="J1397" t="s">
        <v>20</v>
      </c>
      <c r="K1397" t="s">
        <v>195</v>
      </c>
      <c r="L1397" s="17">
        <v>0</v>
      </c>
      <c r="M1397" s="28"/>
    </row>
    <row r="1398" spans="1:14" s="25" customFormat="1" x14ac:dyDescent="0.2">
      <c r="A1398">
        <f t="shared" si="21"/>
        <v>1392</v>
      </c>
      <c r="B1398">
        <v>2017</v>
      </c>
      <c r="C1398" t="s">
        <v>212</v>
      </c>
      <c r="D1398" t="s">
        <v>661</v>
      </c>
      <c r="E1398" s="65">
        <v>210</v>
      </c>
      <c r="F1398" s="33"/>
      <c r="G1398" t="s">
        <v>1613</v>
      </c>
      <c r="H1398" t="s">
        <v>151</v>
      </c>
      <c r="I1398" t="s">
        <v>224</v>
      </c>
      <c r="J1398" t="s">
        <v>20</v>
      </c>
      <c r="K1398" t="s">
        <v>195</v>
      </c>
      <c r="L1398" s="17">
        <v>0</v>
      </c>
      <c r="M1398" s="28"/>
    </row>
    <row r="1399" spans="1:14" s="25" customFormat="1" x14ac:dyDescent="0.2">
      <c r="A1399">
        <f t="shared" si="21"/>
        <v>1393</v>
      </c>
      <c r="B1399">
        <v>2017</v>
      </c>
      <c r="C1399" t="s">
        <v>212</v>
      </c>
      <c r="D1399" t="s">
        <v>1614</v>
      </c>
      <c r="E1399" s="65">
        <v>360</v>
      </c>
      <c r="F1399" s="33"/>
      <c r="G1399" t="s">
        <v>1615</v>
      </c>
      <c r="H1399" t="s">
        <v>147</v>
      </c>
      <c r="J1399" t="s">
        <v>58</v>
      </c>
      <c r="K1399" t="s">
        <v>195</v>
      </c>
      <c r="L1399" s="17">
        <v>0</v>
      </c>
      <c r="M1399" s="28"/>
    </row>
    <row r="1400" spans="1:14" s="25" customFormat="1" x14ac:dyDescent="0.2">
      <c r="A1400">
        <f t="shared" si="21"/>
        <v>1394</v>
      </c>
      <c r="B1400">
        <v>2017</v>
      </c>
      <c r="C1400" t="s">
        <v>212</v>
      </c>
      <c r="D1400" t="s">
        <v>554</v>
      </c>
      <c r="E1400" s="65">
        <v>290</v>
      </c>
      <c r="F1400" s="33"/>
      <c r="G1400" t="s">
        <v>1616</v>
      </c>
      <c r="H1400" t="s">
        <v>147</v>
      </c>
      <c r="J1400" t="s">
        <v>131</v>
      </c>
      <c r="K1400" t="s">
        <v>131</v>
      </c>
      <c r="L1400" s="17">
        <v>0</v>
      </c>
      <c r="M1400" s="28"/>
    </row>
    <row r="1401" spans="1:14" s="25" customFormat="1" x14ac:dyDescent="0.2">
      <c r="A1401">
        <f t="shared" si="21"/>
        <v>1395</v>
      </c>
      <c r="B1401">
        <v>2017</v>
      </c>
      <c r="C1401" t="s">
        <v>212</v>
      </c>
      <c r="D1401" t="s">
        <v>1617</v>
      </c>
      <c r="E1401" s="65">
        <v>210</v>
      </c>
      <c r="F1401" s="33"/>
      <c r="H1401" t="s">
        <v>144</v>
      </c>
      <c r="I1401" t="s">
        <v>197</v>
      </c>
      <c r="J1401" t="s">
        <v>84</v>
      </c>
      <c r="K1401" t="s">
        <v>201</v>
      </c>
      <c r="L1401" s="17">
        <v>1</v>
      </c>
      <c r="M1401" s="28" t="s">
        <v>178</v>
      </c>
    </row>
    <row r="1402" spans="1:14" s="25" customFormat="1" x14ac:dyDescent="0.2">
      <c r="A1402">
        <f t="shared" si="21"/>
        <v>1396</v>
      </c>
      <c r="B1402">
        <v>2018</v>
      </c>
      <c r="C1402" t="s">
        <v>172</v>
      </c>
      <c r="D1402" t="s">
        <v>477</v>
      </c>
      <c r="E1402" s="65">
        <v>1120</v>
      </c>
      <c r="F1402" s="33">
        <v>0.7</v>
      </c>
      <c r="G1402" t="s">
        <v>1618</v>
      </c>
      <c r="H1402" t="s">
        <v>154</v>
      </c>
      <c r="I1402" t="s">
        <v>271</v>
      </c>
      <c r="J1402" t="s">
        <v>115</v>
      </c>
      <c r="K1402" t="s">
        <v>201</v>
      </c>
      <c r="L1402" s="17">
        <v>1</v>
      </c>
      <c r="M1402" s="28" t="s">
        <v>178</v>
      </c>
    </row>
    <row r="1403" spans="1:14" s="25" customFormat="1" x14ac:dyDescent="0.2">
      <c r="A1403">
        <f t="shared" si="21"/>
        <v>1397</v>
      </c>
      <c r="B1403">
        <v>2018</v>
      </c>
      <c r="C1403" t="s">
        <v>172</v>
      </c>
      <c r="D1403" t="s">
        <v>285</v>
      </c>
      <c r="E1403" s="65">
        <v>1300</v>
      </c>
      <c r="F1403" s="33">
        <v>0.28000000000000003</v>
      </c>
      <c r="G1403" t="s">
        <v>1619</v>
      </c>
      <c r="H1403" t="s">
        <v>144</v>
      </c>
      <c r="J1403" t="s">
        <v>27</v>
      </c>
      <c r="K1403" t="s">
        <v>205</v>
      </c>
      <c r="L1403" s="17">
        <v>1</v>
      </c>
      <c r="M1403" s="28"/>
    </row>
    <row r="1404" spans="1:14" s="25" customFormat="1" x14ac:dyDescent="0.2">
      <c r="A1404">
        <f t="shared" si="21"/>
        <v>1398</v>
      </c>
      <c r="B1404" s="17">
        <v>2018</v>
      </c>
      <c r="C1404" s="17" t="s">
        <v>172</v>
      </c>
      <c r="D1404" s="17" t="s">
        <v>797</v>
      </c>
      <c r="E1404" s="66">
        <v>470</v>
      </c>
      <c r="F1404" s="37">
        <v>1</v>
      </c>
      <c r="G1404" s="17" t="s">
        <v>1620</v>
      </c>
      <c r="H1404" s="17" t="s">
        <v>149</v>
      </c>
      <c r="I1404" s="17"/>
      <c r="J1404" s="17" t="s">
        <v>85</v>
      </c>
      <c r="K1404" s="17" t="s">
        <v>195</v>
      </c>
      <c r="L1404" s="17">
        <v>0</v>
      </c>
      <c r="M1404" s="67"/>
    </row>
    <row r="1405" spans="1:14" s="25" customFormat="1" x14ac:dyDescent="0.2">
      <c r="A1405">
        <f t="shared" si="21"/>
        <v>1399</v>
      </c>
      <c r="B1405">
        <v>2018</v>
      </c>
      <c r="C1405" t="s">
        <v>172</v>
      </c>
      <c r="D1405" t="s">
        <v>267</v>
      </c>
      <c r="E1405" s="65">
        <v>160</v>
      </c>
      <c r="F1405" s="33">
        <v>0.85</v>
      </c>
      <c r="H1405" t="s">
        <v>149</v>
      </c>
      <c r="I1405" t="s">
        <v>238</v>
      </c>
      <c r="J1405" t="s">
        <v>48</v>
      </c>
      <c r="K1405" t="s">
        <v>219</v>
      </c>
      <c r="L1405" s="17">
        <v>1</v>
      </c>
      <c r="M1405" s="28" t="s">
        <v>178</v>
      </c>
    </row>
    <row r="1406" spans="1:14" s="25" customFormat="1" x14ac:dyDescent="0.2">
      <c r="A1406">
        <f t="shared" si="21"/>
        <v>1400</v>
      </c>
      <c r="B1406">
        <v>2018</v>
      </c>
      <c r="C1406" t="s">
        <v>172</v>
      </c>
      <c r="D1406" t="s">
        <v>454</v>
      </c>
      <c r="E1406" s="65">
        <v>150</v>
      </c>
      <c r="F1406" s="33">
        <v>0.1</v>
      </c>
      <c r="G1406" t="s">
        <v>1621</v>
      </c>
      <c r="H1406" t="s">
        <v>145</v>
      </c>
      <c r="J1406" t="s">
        <v>131</v>
      </c>
      <c r="K1406" t="s">
        <v>131</v>
      </c>
      <c r="L1406" s="17">
        <v>0</v>
      </c>
      <c r="M1406" s="28"/>
    </row>
    <row r="1407" spans="1:14" s="44" customFormat="1" x14ac:dyDescent="0.2">
      <c r="A1407">
        <f t="shared" si="21"/>
        <v>1401</v>
      </c>
      <c r="B1407">
        <v>2018</v>
      </c>
      <c r="C1407" t="s">
        <v>172</v>
      </c>
      <c r="D1407" t="s">
        <v>1294</v>
      </c>
      <c r="E1407" s="65">
        <v>1150</v>
      </c>
      <c r="F1407" s="33">
        <v>0.9</v>
      </c>
      <c r="G1407" t="s">
        <v>1622</v>
      </c>
      <c r="H1407" t="s">
        <v>147</v>
      </c>
      <c r="J1407" t="s">
        <v>45</v>
      </c>
      <c r="K1407" t="s">
        <v>195</v>
      </c>
      <c r="L1407" s="17">
        <v>0</v>
      </c>
      <c r="M1407" s="28"/>
      <c r="N1407" s="41"/>
    </row>
    <row r="1408" spans="1:14" s="25" customFormat="1" x14ac:dyDescent="0.2">
      <c r="A1408">
        <f t="shared" si="21"/>
        <v>1402</v>
      </c>
      <c r="B1408">
        <v>2018</v>
      </c>
      <c r="C1408" t="s">
        <v>172</v>
      </c>
      <c r="D1408" t="s">
        <v>1344</v>
      </c>
      <c r="E1408" s="65">
        <v>600</v>
      </c>
      <c r="F1408" s="33"/>
      <c r="G1408" t="s">
        <v>1424</v>
      </c>
      <c r="H1408" t="s">
        <v>154</v>
      </c>
      <c r="I1408" t="s">
        <v>194</v>
      </c>
      <c r="J1408" t="s">
        <v>19</v>
      </c>
      <c r="K1408" t="s">
        <v>205</v>
      </c>
      <c r="L1408" s="17">
        <v>0</v>
      </c>
      <c r="M1408" s="28"/>
    </row>
    <row r="1409" spans="1:13" s="25" customFormat="1" x14ac:dyDescent="0.2">
      <c r="A1409">
        <f t="shared" si="21"/>
        <v>1403</v>
      </c>
      <c r="B1409">
        <v>2018</v>
      </c>
      <c r="C1409" t="s">
        <v>172</v>
      </c>
      <c r="D1409" t="s">
        <v>221</v>
      </c>
      <c r="E1409" s="65">
        <v>490</v>
      </c>
      <c r="F1409" s="33">
        <v>1</v>
      </c>
      <c r="G1409" t="s">
        <v>1623</v>
      </c>
      <c r="H1409" t="s">
        <v>150</v>
      </c>
      <c r="I1409" t="s">
        <v>556</v>
      </c>
      <c r="J1409" t="s">
        <v>42</v>
      </c>
      <c r="K1409" t="s">
        <v>195</v>
      </c>
      <c r="L1409" s="17">
        <v>0</v>
      </c>
      <c r="M1409" s="28"/>
    </row>
    <row r="1410" spans="1:13" s="25" customFormat="1" x14ac:dyDescent="0.2">
      <c r="A1410">
        <f t="shared" si="21"/>
        <v>1404</v>
      </c>
      <c r="B1410">
        <v>2018</v>
      </c>
      <c r="C1410" t="s">
        <v>172</v>
      </c>
      <c r="D1410" t="s">
        <v>705</v>
      </c>
      <c r="E1410" s="65">
        <v>920</v>
      </c>
      <c r="F1410" s="33">
        <v>0.2</v>
      </c>
      <c r="H1410" t="s">
        <v>151</v>
      </c>
      <c r="I1410" t="s">
        <v>224</v>
      </c>
      <c r="J1410" t="s">
        <v>131</v>
      </c>
      <c r="K1410" t="s">
        <v>131</v>
      </c>
      <c r="L1410" s="17">
        <v>0</v>
      </c>
      <c r="M1410" s="28"/>
    </row>
    <row r="1411" spans="1:13" s="25" customFormat="1" x14ac:dyDescent="0.2">
      <c r="A1411">
        <f t="shared" si="21"/>
        <v>1405</v>
      </c>
      <c r="B1411">
        <v>2018</v>
      </c>
      <c r="C1411" t="s">
        <v>172</v>
      </c>
      <c r="D1411" t="s">
        <v>1624</v>
      </c>
      <c r="E1411" s="65">
        <v>140</v>
      </c>
      <c r="F1411" s="33">
        <v>1</v>
      </c>
      <c r="H1411" t="s">
        <v>151</v>
      </c>
      <c r="I1411" t="s">
        <v>279</v>
      </c>
      <c r="J1411" t="s">
        <v>84</v>
      </c>
      <c r="K1411" t="s">
        <v>201</v>
      </c>
      <c r="L1411" s="17">
        <v>1</v>
      </c>
      <c r="M1411" s="28" t="s">
        <v>178</v>
      </c>
    </row>
    <row r="1412" spans="1:13" s="25" customFormat="1" x14ac:dyDescent="0.2">
      <c r="A1412">
        <f t="shared" si="21"/>
        <v>1406</v>
      </c>
      <c r="B1412">
        <v>2018</v>
      </c>
      <c r="C1412" t="s">
        <v>172</v>
      </c>
      <c r="D1412" t="s">
        <v>1625</v>
      </c>
      <c r="E1412" s="65">
        <v>100</v>
      </c>
      <c r="F1412" s="33">
        <v>1</v>
      </c>
      <c r="H1412" t="s">
        <v>144</v>
      </c>
      <c r="I1412" t="s">
        <v>232</v>
      </c>
      <c r="J1412" t="s">
        <v>9</v>
      </c>
      <c r="K1412" t="s">
        <v>9</v>
      </c>
      <c r="L1412" s="17">
        <v>0</v>
      </c>
      <c r="M1412" s="28"/>
    </row>
    <row r="1413" spans="1:13" s="25" customFormat="1" x14ac:dyDescent="0.2">
      <c r="A1413">
        <f t="shared" si="21"/>
        <v>1407</v>
      </c>
      <c r="B1413">
        <v>2018</v>
      </c>
      <c r="C1413" t="s">
        <v>172</v>
      </c>
      <c r="D1413" t="s">
        <v>424</v>
      </c>
      <c r="E1413" s="65">
        <v>140</v>
      </c>
      <c r="F1413" s="33"/>
      <c r="H1413" t="s">
        <v>150</v>
      </c>
      <c r="I1413" t="s">
        <v>226</v>
      </c>
      <c r="J1413" t="s">
        <v>67</v>
      </c>
      <c r="K1413" t="s">
        <v>183</v>
      </c>
      <c r="L1413" s="17">
        <v>1</v>
      </c>
      <c r="M1413" s="28"/>
    </row>
    <row r="1414" spans="1:13" s="25" customFormat="1" x14ac:dyDescent="0.2">
      <c r="A1414">
        <f t="shared" si="21"/>
        <v>1408</v>
      </c>
      <c r="B1414">
        <v>2018</v>
      </c>
      <c r="C1414" t="s">
        <v>172</v>
      </c>
      <c r="D1414" t="s">
        <v>438</v>
      </c>
      <c r="E1414" s="65">
        <v>3270</v>
      </c>
      <c r="F1414" s="33">
        <v>0.08</v>
      </c>
      <c r="G1414" t="s">
        <v>1626</v>
      </c>
      <c r="H1414" t="s">
        <v>154</v>
      </c>
      <c r="I1414" t="s">
        <v>194</v>
      </c>
      <c r="J1414" t="s">
        <v>118</v>
      </c>
      <c r="K1414" t="s">
        <v>195</v>
      </c>
      <c r="L1414" s="17">
        <v>0</v>
      </c>
      <c r="M1414" s="28"/>
    </row>
    <row r="1415" spans="1:13" s="25" customFormat="1" x14ac:dyDescent="0.2">
      <c r="A1415">
        <f t="shared" ref="A1415:A1478" si="22">ROW()-6</f>
        <v>1409</v>
      </c>
      <c r="B1415">
        <v>2018</v>
      </c>
      <c r="C1415" t="s">
        <v>172</v>
      </c>
      <c r="D1415" t="s">
        <v>1607</v>
      </c>
      <c r="E1415" s="65">
        <v>490</v>
      </c>
      <c r="F1415" s="33"/>
      <c r="G1415" t="s">
        <v>1627</v>
      </c>
      <c r="H1415" t="s">
        <v>150</v>
      </c>
      <c r="I1415" t="s">
        <v>744</v>
      </c>
      <c r="J1415" t="s">
        <v>131</v>
      </c>
      <c r="K1415" t="s">
        <v>131</v>
      </c>
      <c r="L1415" s="17">
        <v>0</v>
      </c>
      <c r="M1415" s="28"/>
    </row>
    <row r="1416" spans="1:13" s="25" customFormat="1" x14ac:dyDescent="0.2">
      <c r="A1416">
        <f t="shared" si="22"/>
        <v>1410</v>
      </c>
      <c r="B1416">
        <v>2018</v>
      </c>
      <c r="C1416" t="s">
        <v>172</v>
      </c>
      <c r="D1416" t="s">
        <v>596</v>
      </c>
      <c r="E1416" s="65">
        <v>290</v>
      </c>
      <c r="F1416" s="33">
        <v>1</v>
      </c>
      <c r="G1416" t="s">
        <v>1502</v>
      </c>
      <c r="H1416" t="s">
        <v>144</v>
      </c>
      <c r="I1416" t="s">
        <v>232</v>
      </c>
      <c r="J1416" t="s">
        <v>9</v>
      </c>
      <c r="K1416" t="s">
        <v>9</v>
      </c>
      <c r="L1416" s="17">
        <v>0</v>
      </c>
      <c r="M1416" s="28"/>
    </row>
    <row r="1417" spans="1:13" s="25" customFormat="1" x14ac:dyDescent="0.2">
      <c r="A1417">
        <f t="shared" si="22"/>
        <v>1411</v>
      </c>
      <c r="B1417">
        <v>2018</v>
      </c>
      <c r="C1417" t="s">
        <v>172</v>
      </c>
      <c r="D1417" t="s">
        <v>373</v>
      </c>
      <c r="E1417" s="65">
        <v>240</v>
      </c>
      <c r="F1417" s="33">
        <v>7.0000000000000007E-2</v>
      </c>
      <c r="G1417" t="s">
        <v>1281</v>
      </c>
      <c r="H1417" t="s">
        <v>154</v>
      </c>
      <c r="I1417" t="s">
        <v>250</v>
      </c>
      <c r="J1417" t="s">
        <v>9</v>
      </c>
      <c r="K1417" t="s">
        <v>9</v>
      </c>
      <c r="L1417" s="17">
        <v>0</v>
      </c>
      <c r="M1417" s="28"/>
    </row>
    <row r="1418" spans="1:13" s="25" customFormat="1" x14ac:dyDescent="0.2">
      <c r="A1418">
        <f t="shared" si="22"/>
        <v>1412</v>
      </c>
      <c r="B1418">
        <v>2018</v>
      </c>
      <c r="C1418" t="s">
        <v>172</v>
      </c>
      <c r="D1418" t="s">
        <v>341</v>
      </c>
      <c r="E1418" s="65">
        <v>2940</v>
      </c>
      <c r="F1418" s="33">
        <v>0.4</v>
      </c>
      <c r="H1418" t="s">
        <v>154</v>
      </c>
      <c r="I1418" t="s">
        <v>529</v>
      </c>
      <c r="J1418" t="s">
        <v>53</v>
      </c>
      <c r="K1418" t="s">
        <v>183</v>
      </c>
      <c r="L1418" s="17">
        <v>1</v>
      </c>
      <c r="M1418" s="28" t="s">
        <v>178</v>
      </c>
    </row>
    <row r="1419" spans="1:13" s="25" customFormat="1" x14ac:dyDescent="0.2">
      <c r="A1419">
        <f t="shared" si="22"/>
        <v>1413</v>
      </c>
      <c r="B1419">
        <v>2018</v>
      </c>
      <c r="C1419" t="s">
        <v>172</v>
      </c>
      <c r="D1419" t="s">
        <v>798</v>
      </c>
      <c r="E1419" s="65">
        <v>400</v>
      </c>
      <c r="F1419" s="33">
        <v>0.56999999999999995</v>
      </c>
      <c r="G1419" t="s">
        <v>1628</v>
      </c>
      <c r="H1419" t="s">
        <v>149</v>
      </c>
      <c r="I1419" t="s">
        <v>182</v>
      </c>
      <c r="J1419" t="s">
        <v>53</v>
      </c>
      <c r="K1419" t="s">
        <v>183</v>
      </c>
      <c r="L1419" s="17">
        <v>1</v>
      </c>
      <c r="M1419" s="28"/>
    </row>
    <row r="1420" spans="1:13" s="25" customFormat="1" x14ac:dyDescent="0.2">
      <c r="A1420">
        <f t="shared" si="22"/>
        <v>1414</v>
      </c>
      <c r="B1420">
        <v>2018</v>
      </c>
      <c r="C1420" t="s">
        <v>172</v>
      </c>
      <c r="D1420" t="s">
        <v>1395</v>
      </c>
      <c r="E1420" s="65">
        <v>240</v>
      </c>
      <c r="F1420" s="33"/>
      <c r="G1420" t="s">
        <v>1629</v>
      </c>
      <c r="H1420" t="s">
        <v>151</v>
      </c>
      <c r="I1420" t="s">
        <v>224</v>
      </c>
      <c r="J1420" t="s">
        <v>9</v>
      </c>
      <c r="K1420" t="s">
        <v>9</v>
      </c>
      <c r="L1420" s="17">
        <v>0</v>
      </c>
      <c r="M1420" s="28"/>
    </row>
    <row r="1421" spans="1:13" s="25" customFormat="1" x14ac:dyDescent="0.2">
      <c r="A1421">
        <f t="shared" si="22"/>
        <v>1415</v>
      </c>
      <c r="B1421">
        <v>2018</v>
      </c>
      <c r="C1421" t="s">
        <v>258</v>
      </c>
      <c r="D1421" t="s">
        <v>1446</v>
      </c>
      <c r="E1421" s="65">
        <v>1260</v>
      </c>
      <c r="F1421" s="33">
        <v>0.54</v>
      </c>
      <c r="G1421" t="s">
        <v>1630</v>
      </c>
      <c r="H1421" t="s">
        <v>145</v>
      </c>
      <c r="J1421" t="s">
        <v>114</v>
      </c>
      <c r="K1421" t="s">
        <v>195</v>
      </c>
      <c r="L1421" s="17">
        <v>0</v>
      </c>
      <c r="M1421" s="28"/>
    </row>
    <row r="1422" spans="1:13" s="25" customFormat="1" x14ac:dyDescent="0.2">
      <c r="A1422">
        <f t="shared" si="22"/>
        <v>1416</v>
      </c>
      <c r="B1422">
        <v>2018</v>
      </c>
      <c r="C1422" t="s">
        <v>258</v>
      </c>
      <c r="D1422" t="s">
        <v>822</v>
      </c>
      <c r="E1422" s="65">
        <v>150</v>
      </c>
      <c r="F1422" s="33"/>
      <c r="G1422" t="s">
        <v>1631</v>
      </c>
      <c r="H1422" t="s">
        <v>142</v>
      </c>
      <c r="J1422" t="s">
        <v>52</v>
      </c>
      <c r="K1422" t="s">
        <v>201</v>
      </c>
      <c r="L1422" s="17">
        <v>0</v>
      </c>
      <c r="M1422" s="28"/>
    </row>
    <row r="1423" spans="1:13" s="25" customFormat="1" x14ac:dyDescent="0.2">
      <c r="A1423">
        <f t="shared" si="22"/>
        <v>1417</v>
      </c>
      <c r="B1423">
        <v>2018</v>
      </c>
      <c r="C1423" t="s">
        <v>258</v>
      </c>
      <c r="D1423" t="s">
        <v>822</v>
      </c>
      <c r="E1423" s="65">
        <v>150</v>
      </c>
      <c r="F1423" s="33"/>
      <c r="G1423" t="s">
        <v>1632</v>
      </c>
      <c r="H1423" t="s">
        <v>142</v>
      </c>
      <c r="J1423" t="s">
        <v>52</v>
      </c>
      <c r="K1423" t="s">
        <v>201</v>
      </c>
      <c r="L1423" s="17">
        <v>0</v>
      </c>
      <c r="M1423" s="28"/>
    </row>
    <row r="1424" spans="1:13" s="25" customFormat="1" x14ac:dyDescent="0.2">
      <c r="A1424">
        <f t="shared" si="22"/>
        <v>1418</v>
      </c>
      <c r="B1424">
        <v>2018</v>
      </c>
      <c r="C1424" t="s">
        <v>258</v>
      </c>
      <c r="D1424" t="s">
        <v>1633</v>
      </c>
      <c r="E1424" s="65">
        <v>550</v>
      </c>
      <c r="F1424" s="33">
        <v>1</v>
      </c>
      <c r="G1424" t="s">
        <v>1634</v>
      </c>
      <c r="H1424" t="s">
        <v>147</v>
      </c>
      <c r="J1424" t="s">
        <v>9</v>
      </c>
      <c r="K1424" t="s">
        <v>9</v>
      </c>
      <c r="L1424" s="17">
        <v>0</v>
      </c>
      <c r="M1424" s="28"/>
    </row>
    <row r="1425" spans="1:13" s="25" customFormat="1" x14ac:dyDescent="0.2">
      <c r="A1425">
        <f t="shared" si="22"/>
        <v>1419</v>
      </c>
      <c r="B1425">
        <v>2018</v>
      </c>
      <c r="C1425" t="s">
        <v>258</v>
      </c>
      <c r="D1425" t="s">
        <v>1635</v>
      </c>
      <c r="E1425" s="65">
        <v>180</v>
      </c>
      <c r="F1425" s="33"/>
      <c r="G1425" t="s">
        <v>1636</v>
      </c>
      <c r="H1425" t="s">
        <v>146</v>
      </c>
      <c r="J1425" t="s">
        <v>20</v>
      </c>
      <c r="K1425" t="s">
        <v>195</v>
      </c>
      <c r="L1425" s="17">
        <v>0</v>
      </c>
      <c r="M1425" s="28"/>
    </row>
    <row r="1426" spans="1:13" s="25" customFormat="1" x14ac:dyDescent="0.2">
      <c r="A1426">
        <f t="shared" si="22"/>
        <v>1420</v>
      </c>
      <c r="B1426">
        <v>2018</v>
      </c>
      <c r="C1426" t="s">
        <v>258</v>
      </c>
      <c r="D1426" t="s">
        <v>1129</v>
      </c>
      <c r="E1426" s="65">
        <v>310</v>
      </c>
      <c r="F1426" s="33"/>
      <c r="H1426" t="s">
        <v>144</v>
      </c>
      <c r="I1426" t="s">
        <v>232</v>
      </c>
      <c r="J1426" t="s">
        <v>52</v>
      </c>
      <c r="K1426" t="s">
        <v>201</v>
      </c>
      <c r="L1426" s="17">
        <v>0</v>
      </c>
      <c r="M1426" s="28"/>
    </row>
    <row r="1427" spans="1:13" s="25" customFormat="1" x14ac:dyDescent="0.2">
      <c r="A1427">
        <f t="shared" si="22"/>
        <v>1421</v>
      </c>
      <c r="B1427">
        <v>2018</v>
      </c>
      <c r="C1427" t="s">
        <v>258</v>
      </c>
      <c r="D1427" t="s">
        <v>554</v>
      </c>
      <c r="E1427" s="65">
        <v>150</v>
      </c>
      <c r="F1427" s="33"/>
      <c r="G1427" t="s">
        <v>1637</v>
      </c>
      <c r="H1427" t="s">
        <v>150</v>
      </c>
      <c r="I1427" t="s">
        <v>292</v>
      </c>
      <c r="J1427" t="s">
        <v>42</v>
      </c>
      <c r="K1427" t="s">
        <v>195</v>
      </c>
      <c r="L1427" s="17">
        <v>0</v>
      </c>
      <c r="M1427" s="28"/>
    </row>
    <row r="1428" spans="1:13" s="25" customFormat="1" x14ac:dyDescent="0.2">
      <c r="A1428">
        <f t="shared" si="22"/>
        <v>1422</v>
      </c>
      <c r="B1428">
        <v>2018</v>
      </c>
      <c r="C1428" t="s">
        <v>258</v>
      </c>
      <c r="D1428" t="s">
        <v>221</v>
      </c>
      <c r="E1428" s="65">
        <v>300</v>
      </c>
      <c r="F1428" s="33">
        <v>0.4</v>
      </c>
      <c r="G1428" t="s">
        <v>1638</v>
      </c>
      <c r="H1428" t="s">
        <v>150</v>
      </c>
      <c r="I1428" t="s">
        <v>556</v>
      </c>
      <c r="J1428" t="s">
        <v>131</v>
      </c>
      <c r="K1428" t="s">
        <v>131</v>
      </c>
      <c r="L1428" s="17">
        <v>0</v>
      </c>
      <c r="M1428" s="28"/>
    </row>
    <row r="1429" spans="1:13" s="25" customFormat="1" x14ac:dyDescent="0.2">
      <c r="A1429">
        <f t="shared" si="22"/>
        <v>1423</v>
      </c>
      <c r="B1429">
        <v>2018</v>
      </c>
      <c r="C1429" t="s">
        <v>258</v>
      </c>
      <c r="D1429" t="s">
        <v>1149</v>
      </c>
      <c r="E1429" s="65">
        <v>100</v>
      </c>
      <c r="F1429" s="33"/>
      <c r="H1429" t="s">
        <v>151</v>
      </c>
      <c r="I1429" t="s">
        <v>224</v>
      </c>
      <c r="J1429" t="s">
        <v>20</v>
      </c>
      <c r="K1429" t="s">
        <v>195</v>
      </c>
      <c r="L1429" s="17">
        <v>0</v>
      </c>
      <c r="M1429" s="28" t="s">
        <v>178</v>
      </c>
    </row>
    <row r="1430" spans="1:13" s="25" customFormat="1" x14ac:dyDescent="0.2">
      <c r="A1430">
        <f t="shared" si="22"/>
        <v>1424</v>
      </c>
      <c r="B1430">
        <v>2018</v>
      </c>
      <c r="C1430" t="s">
        <v>258</v>
      </c>
      <c r="D1430" t="s">
        <v>1639</v>
      </c>
      <c r="E1430" s="65">
        <v>160</v>
      </c>
      <c r="F1430" s="33">
        <v>0.25</v>
      </c>
      <c r="H1430" t="s">
        <v>146</v>
      </c>
      <c r="I1430" t="s">
        <v>253</v>
      </c>
      <c r="J1430" t="s">
        <v>13</v>
      </c>
      <c r="K1430" t="s">
        <v>201</v>
      </c>
      <c r="L1430" s="17">
        <v>1</v>
      </c>
      <c r="M1430" s="28"/>
    </row>
    <row r="1431" spans="1:13" s="25" customFormat="1" x14ac:dyDescent="0.2">
      <c r="A1431">
        <f t="shared" si="22"/>
        <v>1425</v>
      </c>
      <c r="B1431">
        <v>2018</v>
      </c>
      <c r="C1431" t="s">
        <v>258</v>
      </c>
      <c r="D1431" t="s">
        <v>438</v>
      </c>
      <c r="E1431" s="65">
        <v>9030</v>
      </c>
      <c r="F1431" s="33">
        <v>0.1</v>
      </c>
      <c r="G1431" t="s">
        <v>1640</v>
      </c>
      <c r="H1431" t="s">
        <v>154</v>
      </c>
      <c r="I1431" t="s">
        <v>194</v>
      </c>
      <c r="J1431" t="s">
        <v>45</v>
      </c>
      <c r="K1431" t="s">
        <v>195</v>
      </c>
      <c r="L1431" s="17">
        <v>0</v>
      </c>
      <c r="M1431" s="28"/>
    </row>
    <row r="1432" spans="1:13" s="25" customFormat="1" x14ac:dyDescent="0.2">
      <c r="A1432">
        <f t="shared" si="22"/>
        <v>1426</v>
      </c>
      <c r="B1432">
        <v>2018</v>
      </c>
      <c r="C1432" t="s">
        <v>258</v>
      </c>
      <c r="D1432" t="s">
        <v>1641</v>
      </c>
      <c r="E1432" s="65">
        <v>220</v>
      </c>
      <c r="F1432" s="33">
        <v>1</v>
      </c>
      <c r="H1432" t="s">
        <v>149</v>
      </c>
      <c r="J1432" t="s">
        <v>29</v>
      </c>
      <c r="K1432" t="s">
        <v>219</v>
      </c>
      <c r="L1432" s="17">
        <v>1</v>
      </c>
      <c r="M1432" s="28" t="s">
        <v>178</v>
      </c>
    </row>
    <row r="1433" spans="1:13" s="25" customFormat="1" x14ac:dyDescent="0.2">
      <c r="A1433">
        <f t="shared" si="22"/>
        <v>1427</v>
      </c>
      <c r="B1433">
        <v>2018</v>
      </c>
      <c r="C1433" t="s">
        <v>258</v>
      </c>
      <c r="D1433" t="s">
        <v>798</v>
      </c>
      <c r="E1433" s="65">
        <v>1160</v>
      </c>
      <c r="F1433" s="33">
        <v>1</v>
      </c>
      <c r="H1433" t="s">
        <v>149</v>
      </c>
      <c r="I1433" t="s">
        <v>182</v>
      </c>
      <c r="J1433" t="s">
        <v>52</v>
      </c>
      <c r="K1433" t="s">
        <v>201</v>
      </c>
      <c r="L1433" s="17">
        <v>0</v>
      </c>
      <c r="M1433" s="28" t="s">
        <v>178</v>
      </c>
    </row>
    <row r="1434" spans="1:13" s="25" customFormat="1" x14ac:dyDescent="0.2">
      <c r="A1434">
        <f t="shared" si="22"/>
        <v>1428</v>
      </c>
      <c r="B1434">
        <v>2018</v>
      </c>
      <c r="C1434" t="s">
        <v>258</v>
      </c>
      <c r="D1434" t="s">
        <v>1149</v>
      </c>
      <c r="E1434" s="65">
        <v>360</v>
      </c>
      <c r="F1434" s="33"/>
      <c r="H1434" t="s">
        <v>144</v>
      </c>
      <c r="I1434" t="s">
        <v>299</v>
      </c>
      <c r="J1434" t="s">
        <v>40</v>
      </c>
      <c r="K1434" t="s">
        <v>219</v>
      </c>
      <c r="L1434" s="17">
        <v>1</v>
      </c>
      <c r="M1434" s="28" t="s">
        <v>178</v>
      </c>
    </row>
    <row r="1435" spans="1:13" s="25" customFormat="1" x14ac:dyDescent="0.2">
      <c r="A1435">
        <f t="shared" si="22"/>
        <v>1429</v>
      </c>
      <c r="B1435">
        <v>2018</v>
      </c>
      <c r="C1435" t="s">
        <v>258</v>
      </c>
      <c r="D1435" t="s">
        <v>1642</v>
      </c>
      <c r="E1435" s="65">
        <v>160</v>
      </c>
      <c r="F1435" s="33"/>
      <c r="G1435" t="s">
        <v>1643</v>
      </c>
      <c r="H1435" t="s">
        <v>147</v>
      </c>
      <c r="J1435" t="s">
        <v>131</v>
      </c>
      <c r="K1435" t="s">
        <v>131</v>
      </c>
      <c r="L1435" s="17">
        <v>0</v>
      </c>
      <c r="M1435" s="28"/>
    </row>
    <row r="1436" spans="1:13" s="25" customFormat="1" x14ac:dyDescent="0.2">
      <c r="A1436">
        <f t="shared" si="22"/>
        <v>1430</v>
      </c>
      <c r="B1436">
        <v>2018</v>
      </c>
      <c r="C1436" t="s">
        <v>258</v>
      </c>
      <c r="D1436" t="s">
        <v>1644</v>
      </c>
      <c r="E1436" s="65">
        <v>850</v>
      </c>
      <c r="F1436" s="33"/>
      <c r="H1436" t="s">
        <v>143</v>
      </c>
      <c r="J1436" t="s">
        <v>131</v>
      </c>
      <c r="K1436" t="s">
        <v>131</v>
      </c>
      <c r="L1436" s="17">
        <v>0</v>
      </c>
      <c r="M1436" s="28" t="s">
        <v>178</v>
      </c>
    </row>
    <row r="1437" spans="1:13" s="25" customFormat="1" x14ac:dyDescent="0.2">
      <c r="A1437">
        <f t="shared" si="22"/>
        <v>1431</v>
      </c>
      <c r="B1437">
        <v>2018</v>
      </c>
      <c r="C1437" t="s">
        <v>258</v>
      </c>
      <c r="D1437" t="s">
        <v>1645</v>
      </c>
      <c r="E1437" s="65">
        <v>140</v>
      </c>
      <c r="F1437" s="33"/>
      <c r="H1437" t="s">
        <v>144</v>
      </c>
      <c r="I1437" t="s">
        <v>197</v>
      </c>
      <c r="J1437" t="s">
        <v>67</v>
      </c>
      <c r="K1437" t="s">
        <v>183</v>
      </c>
      <c r="L1437" s="17">
        <v>1</v>
      </c>
      <c r="M1437" s="28" t="s">
        <v>178</v>
      </c>
    </row>
    <row r="1438" spans="1:13" s="25" customFormat="1" x14ac:dyDescent="0.2">
      <c r="A1438">
        <f t="shared" si="22"/>
        <v>1432</v>
      </c>
      <c r="B1438">
        <v>2018</v>
      </c>
      <c r="C1438" t="s">
        <v>258</v>
      </c>
      <c r="D1438" t="s">
        <v>267</v>
      </c>
      <c r="E1438" s="65">
        <v>430</v>
      </c>
      <c r="F1438" s="33"/>
      <c r="H1438" t="s">
        <v>149</v>
      </c>
      <c r="I1438" t="s">
        <v>238</v>
      </c>
      <c r="J1438" t="s">
        <v>48</v>
      </c>
      <c r="K1438" t="s">
        <v>219</v>
      </c>
      <c r="L1438" s="17">
        <v>1</v>
      </c>
      <c r="M1438" s="28" t="s">
        <v>178</v>
      </c>
    </row>
    <row r="1439" spans="1:13" s="25" customFormat="1" x14ac:dyDescent="0.2">
      <c r="A1439">
        <f t="shared" si="22"/>
        <v>1433</v>
      </c>
      <c r="B1439">
        <v>2018</v>
      </c>
      <c r="C1439" t="s">
        <v>258</v>
      </c>
      <c r="D1439" t="s">
        <v>479</v>
      </c>
      <c r="E1439" s="65">
        <v>170</v>
      </c>
      <c r="F1439" s="33"/>
      <c r="H1439" t="s">
        <v>151</v>
      </c>
      <c r="I1439" t="s">
        <v>224</v>
      </c>
      <c r="J1439" t="s">
        <v>9</v>
      </c>
      <c r="K1439" t="s">
        <v>9</v>
      </c>
      <c r="L1439" s="17">
        <v>0</v>
      </c>
      <c r="M1439" s="28" t="s">
        <v>178</v>
      </c>
    </row>
    <row r="1440" spans="1:13" s="25" customFormat="1" x14ac:dyDescent="0.2">
      <c r="A1440">
        <f t="shared" si="22"/>
        <v>1434</v>
      </c>
      <c r="B1440">
        <v>2018</v>
      </c>
      <c r="C1440" t="s">
        <v>258</v>
      </c>
      <c r="D1440" t="s">
        <v>1646</v>
      </c>
      <c r="E1440" s="65">
        <v>190</v>
      </c>
      <c r="F1440" s="33"/>
      <c r="G1440" t="s">
        <v>1647</v>
      </c>
      <c r="H1440" t="s">
        <v>152</v>
      </c>
      <c r="J1440" t="s">
        <v>108</v>
      </c>
      <c r="K1440" t="s">
        <v>195</v>
      </c>
      <c r="L1440" s="17">
        <v>1</v>
      </c>
      <c r="M1440" s="28"/>
    </row>
    <row r="1441" spans="1:20" s="25" customFormat="1" x14ac:dyDescent="0.2">
      <c r="A1441">
        <f t="shared" si="22"/>
        <v>1435</v>
      </c>
      <c r="B1441">
        <v>2018</v>
      </c>
      <c r="C1441" t="s">
        <v>258</v>
      </c>
      <c r="D1441" t="s">
        <v>185</v>
      </c>
      <c r="E1441" s="65">
        <v>1820</v>
      </c>
      <c r="F1441" s="33">
        <v>0.28000000000000003</v>
      </c>
      <c r="H1441" t="s">
        <v>144</v>
      </c>
      <c r="I1441" t="s">
        <v>187</v>
      </c>
      <c r="J1441" t="s">
        <v>132</v>
      </c>
      <c r="K1441" t="s">
        <v>219</v>
      </c>
      <c r="L1441" s="17">
        <v>1</v>
      </c>
      <c r="M1441" s="28" t="s">
        <v>178</v>
      </c>
    </row>
    <row r="1442" spans="1:20" s="25" customFormat="1" x14ac:dyDescent="0.2">
      <c r="A1442">
        <f t="shared" si="22"/>
        <v>1436</v>
      </c>
      <c r="B1442">
        <v>2018</v>
      </c>
      <c r="C1442" t="s">
        <v>179</v>
      </c>
      <c r="D1442" t="s">
        <v>199</v>
      </c>
      <c r="E1442" s="65">
        <v>1180</v>
      </c>
      <c r="F1442" s="33">
        <v>0.1</v>
      </c>
      <c r="H1442" t="s">
        <v>144</v>
      </c>
      <c r="I1442" t="s">
        <v>187</v>
      </c>
      <c r="J1442" t="s">
        <v>130</v>
      </c>
      <c r="K1442" t="s">
        <v>214</v>
      </c>
      <c r="L1442" s="17">
        <v>1</v>
      </c>
      <c r="M1442" s="28" t="s">
        <v>178</v>
      </c>
    </row>
    <row r="1443" spans="1:20" s="25" customFormat="1" x14ac:dyDescent="0.2">
      <c r="A1443">
        <f t="shared" si="22"/>
        <v>1437</v>
      </c>
      <c r="B1443">
        <v>2018</v>
      </c>
      <c r="C1443" t="s">
        <v>179</v>
      </c>
      <c r="D1443" t="s">
        <v>822</v>
      </c>
      <c r="E1443" s="65">
        <v>180</v>
      </c>
      <c r="F1443" s="33">
        <v>0.45</v>
      </c>
      <c r="G1443" t="s">
        <v>1648</v>
      </c>
      <c r="H1443" t="s">
        <v>146</v>
      </c>
      <c r="I1443" t="s">
        <v>275</v>
      </c>
      <c r="J1443" t="s">
        <v>93</v>
      </c>
      <c r="K1443" t="s">
        <v>201</v>
      </c>
      <c r="L1443" s="17">
        <v>1</v>
      </c>
      <c r="M1443" s="28"/>
    </row>
    <row r="1444" spans="1:20" s="25" customFormat="1" x14ac:dyDescent="0.2">
      <c r="A1444">
        <f t="shared" si="22"/>
        <v>1438</v>
      </c>
      <c r="B1444">
        <v>2018</v>
      </c>
      <c r="C1444" t="s">
        <v>179</v>
      </c>
      <c r="D1444" t="s">
        <v>1649</v>
      </c>
      <c r="E1444" s="65">
        <v>500</v>
      </c>
      <c r="F1444" s="33"/>
      <c r="G1444" t="s">
        <v>1650</v>
      </c>
      <c r="H1444" t="s">
        <v>154</v>
      </c>
      <c r="I1444" t="s">
        <v>194</v>
      </c>
      <c r="J1444" t="s">
        <v>118</v>
      </c>
      <c r="K1444" t="s">
        <v>195</v>
      </c>
      <c r="L1444" s="17">
        <v>0</v>
      </c>
      <c r="M1444" s="28"/>
    </row>
    <row r="1445" spans="1:20" s="25" customFormat="1" x14ac:dyDescent="0.2">
      <c r="A1445">
        <f t="shared" si="22"/>
        <v>1439</v>
      </c>
      <c r="B1445">
        <v>2018</v>
      </c>
      <c r="C1445" t="s">
        <v>179</v>
      </c>
      <c r="D1445" t="s">
        <v>454</v>
      </c>
      <c r="E1445" s="65">
        <v>460</v>
      </c>
      <c r="F1445" s="33">
        <v>0.05</v>
      </c>
      <c r="G1445" t="s">
        <v>1651</v>
      </c>
      <c r="H1445" t="s">
        <v>145</v>
      </c>
      <c r="J1445" t="s">
        <v>42</v>
      </c>
      <c r="K1445" t="s">
        <v>195</v>
      </c>
      <c r="L1445" s="17">
        <v>0</v>
      </c>
      <c r="M1445" s="28"/>
    </row>
    <row r="1446" spans="1:20" s="25" customFormat="1" x14ac:dyDescent="0.2">
      <c r="A1446">
        <f t="shared" si="22"/>
        <v>1440</v>
      </c>
      <c r="B1446">
        <v>2018</v>
      </c>
      <c r="C1446" t="s">
        <v>179</v>
      </c>
      <c r="D1446" t="s">
        <v>1652</v>
      </c>
      <c r="E1446" s="65">
        <v>600</v>
      </c>
      <c r="F1446" s="33">
        <v>0.45</v>
      </c>
      <c r="G1446" t="s">
        <v>1653</v>
      </c>
      <c r="H1446" t="s">
        <v>154</v>
      </c>
      <c r="I1446" t="s">
        <v>194</v>
      </c>
      <c r="J1446" t="s">
        <v>113</v>
      </c>
      <c r="K1446" t="s">
        <v>183</v>
      </c>
      <c r="L1446" s="17">
        <v>0</v>
      </c>
      <c r="M1446" s="28"/>
    </row>
    <row r="1447" spans="1:20" s="25" customFormat="1" x14ac:dyDescent="0.2">
      <c r="A1447">
        <f t="shared" si="22"/>
        <v>1441</v>
      </c>
      <c r="B1447">
        <v>2018</v>
      </c>
      <c r="C1447" t="s">
        <v>179</v>
      </c>
      <c r="D1447" t="s">
        <v>1654</v>
      </c>
      <c r="E1447" s="65">
        <v>610</v>
      </c>
      <c r="F1447" s="33"/>
      <c r="H1447" t="s">
        <v>150</v>
      </c>
      <c r="I1447" t="s">
        <v>226</v>
      </c>
      <c r="J1447" t="s">
        <v>41</v>
      </c>
      <c r="K1447" t="s">
        <v>195</v>
      </c>
      <c r="L1447" s="17">
        <v>0</v>
      </c>
      <c r="M1447" s="28" t="s">
        <v>178</v>
      </c>
    </row>
    <row r="1448" spans="1:20" s="36" customFormat="1" x14ac:dyDescent="0.2">
      <c r="A1448">
        <f t="shared" si="22"/>
        <v>1442</v>
      </c>
      <c r="B1448">
        <v>2018</v>
      </c>
      <c r="C1448" t="s">
        <v>179</v>
      </c>
      <c r="D1448" t="s">
        <v>822</v>
      </c>
      <c r="E1448" s="65">
        <v>2000</v>
      </c>
      <c r="F1448" s="33"/>
      <c r="H1448" t="s">
        <v>150</v>
      </c>
      <c r="I1448" t="s">
        <v>556</v>
      </c>
      <c r="J1448" t="s">
        <v>108</v>
      </c>
      <c r="K1448" t="s">
        <v>183</v>
      </c>
      <c r="L1448" s="17">
        <v>1</v>
      </c>
      <c r="M1448" s="28"/>
    </row>
    <row r="1449" spans="1:20" s="36" customFormat="1" x14ac:dyDescent="0.2">
      <c r="A1449">
        <f t="shared" si="22"/>
        <v>1443</v>
      </c>
      <c r="B1449">
        <v>2018</v>
      </c>
      <c r="C1449" t="s">
        <v>179</v>
      </c>
      <c r="D1449" t="s">
        <v>1655</v>
      </c>
      <c r="E1449" s="65">
        <v>500</v>
      </c>
      <c r="F1449" s="33">
        <v>1</v>
      </c>
      <c r="H1449" t="s">
        <v>154</v>
      </c>
      <c r="I1449" t="s">
        <v>250</v>
      </c>
      <c r="J1449" t="s">
        <v>23</v>
      </c>
      <c r="K1449" t="s">
        <v>183</v>
      </c>
      <c r="L1449" s="17">
        <v>1</v>
      </c>
      <c r="M1449" s="28" t="s">
        <v>178</v>
      </c>
    </row>
    <row r="1450" spans="1:20" s="17" customFormat="1" x14ac:dyDescent="0.2">
      <c r="A1450">
        <f t="shared" si="22"/>
        <v>1444</v>
      </c>
      <c r="B1450">
        <v>2018</v>
      </c>
      <c r="C1450" t="s">
        <v>179</v>
      </c>
      <c r="D1450" t="s">
        <v>1656</v>
      </c>
      <c r="E1450" s="65">
        <v>300</v>
      </c>
      <c r="F1450" s="33"/>
      <c r="H1450" t="s">
        <v>145</v>
      </c>
      <c r="J1450" t="s">
        <v>9</v>
      </c>
      <c r="K1450" t="s">
        <v>9</v>
      </c>
      <c r="L1450" s="17">
        <v>0</v>
      </c>
      <c r="M1450" s="28" t="s">
        <v>178</v>
      </c>
      <c r="O1450" s="2"/>
      <c r="P1450" s="2"/>
      <c r="Q1450" s="4"/>
      <c r="R1450" s="4"/>
      <c r="S1450" s="4"/>
      <c r="T1450" s="4"/>
    </row>
    <row r="1451" spans="1:20" s="17" customFormat="1" x14ac:dyDescent="0.2">
      <c r="A1451">
        <f t="shared" si="22"/>
        <v>1445</v>
      </c>
      <c r="B1451">
        <v>2018</v>
      </c>
      <c r="C1451" t="s">
        <v>179</v>
      </c>
      <c r="D1451" t="s">
        <v>706</v>
      </c>
      <c r="E1451" s="65">
        <v>230</v>
      </c>
      <c r="F1451" s="33"/>
      <c r="H1451" t="s">
        <v>154</v>
      </c>
      <c r="I1451" t="s">
        <v>194</v>
      </c>
      <c r="J1451" t="s">
        <v>124</v>
      </c>
      <c r="K1451" t="s">
        <v>183</v>
      </c>
      <c r="L1451" s="17">
        <v>1</v>
      </c>
      <c r="M1451" s="28"/>
      <c r="O1451" s="2"/>
      <c r="P1451" s="2"/>
      <c r="Q1451" s="4"/>
      <c r="R1451" s="4"/>
      <c r="S1451" s="4"/>
      <c r="T1451" s="4"/>
    </row>
    <row r="1452" spans="1:20" s="25" customFormat="1" x14ac:dyDescent="0.2">
      <c r="A1452">
        <f t="shared" si="22"/>
        <v>1446</v>
      </c>
      <c r="B1452">
        <v>2018</v>
      </c>
      <c r="C1452" t="s">
        <v>179</v>
      </c>
      <c r="D1452" t="s">
        <v>173</v>
      </c>
      <c r="E1452" s="65">
        <v>360</v>
      </c>
      <c r="F1452" s="33">
        <v>0.9</v>
      </c>
      <c r="G1452" t="s">
        <v>1657</v>
      </c>
      <c r="H1452" t="s">
        <v>147</v>
      </c>
      <c r="J1452" t="s">
        <v>58</v>
      </c>
      <c r="K1452" t="s">
        <v>195</v>
      </c>
      <c r="L1452" s="17">
        <v>0</v>
      </c>
      <c r="M1452" s="28"/>
    </row>
    <row r="1453" spans="1:20" s="25" customFormat="1" x14ac:dyDescent="0.2">
      <c r="A1453">
        <f t="shared" si="22"/>
        <v>1447</v>
      </c>
      <c r="B1453">
        <v>2018</v>
      </c>
      <c r="C1453" t="s">
        <v>179</v>
      </c>
      <c r="D1453" t="s">
        <v>1658</v>
      </c>
      <c r="E1453" s="65">
        <v>850</v>
      </c>
      <c r="F1453" s="33">
        <v>0.53</v>
      </c>
      <c r="H1453" t="s">
        <v>144</v>
      </c>
      <c r="I1453" t="s">
        <v>197</v>
      </c>
      <c r="J1453" t="s">
        <v>53</v>
      </c>
      <c r="K1453" t="s">
        <v>183</v>
      </c>
      <c r="L1453" s="17">
        <v>1</v>
      </c>
      <c r="M1453" s="28" t="s">
        <v>178</v>
      </c>
    </row>
    <row r="1454" spans="1:20" s="25" customFormat="1" x14ac:dyDescent="0.2">
      <c r="A1454">
        <f t="shared" si="22"/>
        <v>1448</v>
      </c>
      <c r="B1454">
        <v>2018</v>
      </c>
      <c r="C1454" t="s">
        <v>179</v>
      </c>
      <c r="D1454" t="s">
        <v>1071</v>
      </c>
      <c r="E1454" s="65">
        <v>300</v>
      </c>
      <c r="F1454" s="33">
        <v>1</v>
      </c>
      <c r="G1454" t="s">
        <v>1659</v>
      </c>
      <c r="H1454" t="s">
        <v>146</v>
      </c>
      <c r="J1454" t="s">
        <v>112</v>
      </c>
      <c r="K1454" t="s">
        <v>219</v>
      </c>
      <c r="L1454" s="17">
        <v>1</v>
      </c>
      <c r="M1454" s="28"/>
    </row>
    <row r="1455" spans="1:20" s="25" customFormat="1" x14ac:dyDescent="0.2">
      <c r="A1455">
        <f t="shared" si="22"/>
        <v>1449</v>
      </c>
      <c r="B1455">
        <v>2018</v>
      </c>
      <c r="C1455" t="s">
        <v>179</v>
      </c>
      <c r="D1455" t="s">
        <v>199</v>
      </c>
      <c r="E1455" s="65">
        <v>300</v>
      </c>
      <c r="F1455" s="33">
        <v>0.3</v>
      </c>
      <c r="G1455" t="s">
        <v>1660</v>
      </c>
      <c r="H1455" t="s">
        <v>144</v>
      </c>
      <c r="J1455" t="s">
        <v>19</v>
      </c>
      <c r="K1455" t="s">
        <v>205</v>
      </c>
      <c r="L1455" s="17">
        <v>0</v>
      </c>
      <c r="M1455" s="28"/>
    </row>
    <row r="1456" spans="1:20" s="25" customFormat="1" x14ac:dyDescent="0.2">
      <c r="A1456">
        <f t="shared" si="22"/>
        <v>1450</v>
      </c>
      <c r="B1456" s="17">
        <v>2018</v>
      </c>
      <c r="C1456" s="17" t="s">
        <v>179</v>
      </c>
      <c r="D1456" s="17" t="s">
        <v>221</v>
      </c>
      <c r="E1456" s="66">
        <v>170</v>
      </c>
      <c r="F1456" s="37"/>
      <c r="G1456" s="17" t="s">
        <v>1661</v>
      </c>
      <c r="H1456" s="17" t="s">
        <v>150</v>
      </c>
      <c r="I1456" s="17" t="s">
        <v>556</v>
      </c>
      <c r="J1456" s="17" t="s">
        <v>86</v>
      </c>
      <c r="K1456" s="17" t="s">
        <v>183</v>
      </c>
      <c r="L1456" s="17">
        <v>1</v>
      </c>
      <c r="M1456" s="67"/>
    </row>
    <row r="1457" spans="1:13" s="25" customFormat="1" x14ac:dyDescent="0.2">
      <c r="A1457">
        <f t="shared" si="22"/>
        <v>1451</v>
      </c>
      <c r="B1457" s="17">
        <v>2018</v>
      </c>
      <c r="C1457" s="17" t="s">
        <v>179</v>
      </c>
      <c r="D1457" s="17" t="s">
        <v>1662</v>
      </c>
      <c r="E1457" s="66">
        <v>110</v>
      </c>
      <c r="F1457" s="37">
        <v>0.2</v>
      </c>
      <c r="G1457" s="17" t="s">
        <v>1663</v>
      </c>
      <c r="H1457" s="17" t="s">
        <v>154</v>
      </c>
      <c r="I1457" s="17" t="s">
        <v>250</v>
      </c>
      <c r="J1457" s="17" t="s">
        <v>73</v>
      </c>
      <c r="K1457" s="17" t="s">
        <v>201</v>
      </c>
      <c r="L1457" s="17">
        <v>1</v>
      </c>
      <c r="M1457" s="67"/>
    </row>
    <row r="1458" spans="1:13" s="25" customFormat="1" x14ac:dyDescent="0.2">
      <c r="A1458">
        <f t="shared" si="22"/>
        <v>1452</v>
      </c>
      <c r="B1458" s="17">
        <v>2018</v>
      </c>
      <c r="C1458" s="17" t="s">
        <v>179</v>
      </c>
      <c r="D1458" s="17" t="s">
        <v>1664</v>
      </c>
      <c r="E1458" s="66">
        <v>210</v>
      </c>
      <c r="F1458" s="37">
        <v>1</v>
      </c>
      <c r="G1458" s="17" t="s">
        <v>1665</v>
      </c>
      <c r="H1458" s="17" t="s">
        <v>149</v>
      </c>
      <c r="I1458" s="17"/>
      <c r="J1458" s="17" t="s">
        <v>8</v>
      </c>
      <c r="K1458" s="17" t="s">
        <v>205</v>
      </c>
      <c r="L1458" s="17">
        <v>1</v>
      </c>
      <c r="M1458" s="67"/>
    </row>
    <row r="1459" spans="1:13" s="25" customFormat="1" x14ac:dyDescent="0.2">
      <c r="A1459">
        <f t="shared" si="22"/>
        <v>1453</v>
      </c>
      <c r="B1459" s="17">
        <v>2018</v>
      </c>
      <c r="C1459" s="17" t="s">
        <v>179</v>
      </c>
      <c r="D1459" s="17" t="s">
        <v>1289</v>
      </c>
      <c r="E1459" s="66">
        <v>460</v>
      </c>
      <c r="F1459" s="37"/>
      <c r="G1459" s="17"/>
      <c r="H1459" s="17" t="s">
        <v>151</v>
      </c>
      <c r="I1459" s="17" t="s">
        <v>224</v>
      </c>
      <c r="J1459" s="17" t="s">
        <v>108</v>
      </c>
      <c r="K1459" s="17" t="s">
        <v>183</v>
      </c>
      <c r="L1459" s="17">
        <v>1</v>
      </c>
      <c r="M1459" s="67" t="s">
        <v>178</v>
      </c>
    </row>
    <row r="1460" spans="1:13" s="25" customFormat="1" x14ac:dyDescent="0.2">
      <c r="A1460">
        <f t="shared" si="22"/>
        <v>1454</v>
      </c>
      <c r="B1460">
        <v>2018</v>
      </c>
      <c r="C1460" t="s">
        <v>184</v>
      </c>
      <c r="D1460" t="s">
        <v>1666</v>
      </c>
      <c r="E1460" s="65">
        <v>470</v>
      </c>
      <c r="F1460" s="33"/>
      <c r="G1460" t="s">
        <v>1667</v>
      </c>
      <c r="H1460" t="s">
        <v>147</v>
      </c>
      <c r="J1460" t="s">
        <v>9</v>
      </c>
      <c r="K1460" t="s">
        <v>9</v>
      </c>
      <c r="L1460" s="17">
        <v>0</v>
      </c>
      <c r="M1460" s="28"/>
    </row>
    <row r="1461" spans="1:13" s="25" customFormat="1" x14ac:dyDescent="0.2">
      <c r="A1461">
        <f t="shared" si="22"/>
        <v>1455</v>
      </c>
      <c r="B1461">
        <v>2018</v>
      </c>
      <c r="C1461" t="s">
        <v>184</v>
      </c>
      <c r="D1461" t="s">
        <v>1086</v>
      </c>
      <c r="E1461" s="65">
        <v>140</v>
      </c>
      <c r="F1461" s="33">
        <v>1</v>
      </c>
      <c r="G1461" t="s">
        <v>1668</v>
      </c>
      <c r="H1461" t="s">
        <v>150</v>
      </c>
      <c r="I1461" t="s">
        <v>744</v>
      </c>
      <c r="J1461" t="s">
        <v>131</v>
      </c>
      <c r="K1461" t="s">
        <v>131</v>
      </c>
      <c r="L1461" s="17">
        <v>0</v>
      </c>
      <c r="M1461" s="28"/>
    </row>
    <row r="1462" spans="1:13" s="25" customFormat="1" x14ac:dyDescent="0.2">
      <c r="A1462">
        <f t="shared" si="22"/>
        <v>1456</v>
      </c>
      <c r="B1462">
        <v>2018</v>
      </c>
      <c r="C1462" t="s">
        <v>184</v>
      </c>
      <c r="D1462" t="s">
        <v>822</v>
      </c>
      <c r="E1462" s="65">
        <v>320</v>
      </c>
      <c r="F1462" s="33"/>
      <c r="H1462" t="s">
        <v>148</v>
      </c>
      <c r="J1462" t="s">
        <v>124</v>
      </c>
      <c r="K1462" t="s">
        <v>183</v>
      </c>
      <c r="L1462" s="17">
        <v>1</v>
      </c>
      <c r="M1462" s="28" t="s">
        <v>178</v>
      </c>
    </row>
    <row r="1463" spans="1:13" s="25" customFormat="1" x14ac:dyDescent="0.2">
      <c r="A1463">
        <f t="shared" si="22"/>
        <v>1457</v>
      </c>
      <c r="B1463">
        <v>2018</v>
      </c>
      <c r="C1463" t="s">
        <v>184</v>
      </c>
      <c r="D1463" t="s">
        <v>822</v>
      </c>
      <c r="E1463" s="65">
        <v>150</v>
      </c>
      <c r="F1463" s="33">
        <v>1</v>
      </c>
      <c r="G1463" t="s">
        <v>1669</v>
      </c>
      <c r="H1463" t="s">
        <v>150</v>
      </c>
      <c r="I1463" t="s">
        <v>556</v>
      </c>
      <c r="J1463" t="s">
        <v>93</v>
      </c>
      <c r="K1463" t="s">
        <v>201</v>
      </c>
      <c r="L1463" s="17">
        <v>1</v>
      </c>
      <c r="M1463" s="28"/>
    </row>
    <row r="1464" spans="1:13" s="25" customFormat="1" x14ac:dyDescent="0.2">
      <c r="A1464">
        <f t="shared" si="22"/>
        <v>1458</v>
      </c>
      <c r="B1464">
        <v>2018</v>
      </c>
      <c r="C1464" t="s">
        <v>184</v>
      </c>
      <c r="D1464" t="s">
        <v>756</v>
      </c>
      <c r="E1464" s="65">
        <v>210</v>
      </c>
      <c r="F1464" s="33">
        <v>1</v>
      </c>
      <c r="G1464" t="s">
        <v>1670</v>
      </c>
      <c r="H1464" t="s">
        <v>155</v>
      </c>
      <c r="J1464" t="s">
        <v>9</v>
      </c>
      <c r="K1464" t="s">
        <v>9</v>
      </c>
      <c r="L1464" s="17">
        <v>0</v>
      </c>
      <c r="M1464" s="28"/>
    </row>
    <row r="1465" spans="1:13" s="25" customFormat="1" x14ac:dyDescent="0.2">
      <c r="A1465">
        <f t="shared" si="22"/>
        <v>1459</v>
      </c>
      <c r="B1465">
        <v>2018</v>
      </c>
      <c r="C1465" t="s">
        <v>184</v>
      </c>
      <c r="D1465" t="s">
        <v>1671</v>
      </c>
      <c r="E1465" s="65">
        <v>320</v>
      </c>
      <c r="F1465" s="33">
        <v>1</v>
      </c>
      <c r="H1465" t="s">
        <v>142</v>
      </c>
      <c r="J1465" t="s">
        <v>42</v>
      </c>
      <c r="K1465" t="s">
        <v>195</v>
      </c>
      <c r="L1465" s="17">
        <v>0</v>
      </c>
      <c r="M1465" s="28" t="s">
        <v>178</v>
      </c>
    </row>
    <row r="1466" spans="1:13" s="25" customFormat="1" ht="14.25" customHeight="1" x14ac:dyDescent="0.2">
      <c r="A1466">
        <f t="shared" si="22"/>
        <v>1460</v>
      </c>
      <c r="B1466">
        <v>2018</v>
      </c>
      <c r="C1466" t="s">
        <v>184</v>
      </c>
      <c r="D1466" t="s">
        <v>1672</v>
      </c>
      <c r="E1466" s="65">
        <v>390</v>
      </c>
      <c r="F1466" s="33">
        <v>1</v>
      </c>
      <c r="H1466" t="s">
        <v>147</v>
      </c>
      <c r="J1466" t="s">
        <v>56</v>
      </c>
      <c r="K1466" t="s">
        <v>195</v>
      </c>
      <c r="L1466" s="17">
        <v>0</v>
      </c>
      <c r="M1466" s="28" t="s">
        <v>178</v>
      </c>
    </row>
    <row r="1467" spans="1:13" s="25" customFormat="1" x14ac:dyDescent="0.2">
      <c r="A1467">
        <f t="shared" si="22"/>
        <v>1461</v>
      </c>
      <c r="B1467">
        <v>2018</v>
      </c>
      <c r="C1467" t="s">
        <v>184</v>
      </c>
      <c r="D1467" t="s">
        <v>783</v>
      </c>
      <c r="E1467" s="65">
        <v>190</v>
      </c>
      <c r="F1467" s="33">
        <v>1</v>
      </c>
      <c r="G1467" t="s">
        <v>1673</v>
      </c>
      <c r="H1467" t="s">
        <v>147</v>
      </c>
      <c r="J1467" t="s">
        <v>42</v>
      </c>
      <c r="K1467" t="s">
        <v>195</v>
      </c>
      <c r="L1467" s="17">
        <v>0</v>
      </c>
      <c r="M1467" s="28"/>
    </row>
    <row r="1468" spans="1:13" s="25" customFormat="1" x14ac:dyDescent="0.2">
      <c r="A1468">
        <f t="shared" si="22"/>
        <v>1462</v>
      </c>
      <c r="B1468">
        <v>2018</v>
      </c>
      <c r="C1468" t="s">
        <v>184</v>
      </c>
      <c r="D1468" t="s">
        <v>1581</v>
      </c>
      <c r="E1468" s="65">
        <v>550</v>
      </c>
      <c r="F1468" s="33"/>
      <c r="G1468" s="16" t="s">
        <v>1674</v>
      </c>
      <c r="H1468" t="s">
        <v>152</v>
      </c>
      <c r="I1468" t="s">
        <v>257</v>
      </c>
      <c r="J1468" t="s">
        <v>89</v>
      </c>
      <c r="K1468" t="s">
        <v>219</v>
      </c>
      <c r="L1468" s="17">
        <v>1</v>
      </c>
      <c r="M1468" s="28"/>
    </row>
    <row r="1469" spans="1:13" s="25" customFormat="1" x14ac:dyDescent="0.2">
      <c r="A1469">
        <f t="shared" si="22"/>
        <v>1463</v>
      </c>
      <c r="B1469">
        <v>2018</v>
      </c>
      <c r="C1469" t="s">
        <v>184</v>
      </c>
      <c r="D1469" t="s">
        <v>1347</v>
      </c>
      <c r="E1469" s="65">
        <v>370</v>
      </c>
      <c r="F1469" s="33">
        <v>0.4</v>
      </c>
      <c r="G1469" t="s">
        <v>1675</v>
      </c>
      <c r="H1469" t="s">
        <v>144</v>
      </c>
      <c r="I1469" t="s">
        <v>232</v>
      </c>
      <c r="J1469" t="s">
        <v>52</v>
      </c>
      <c r="K1469" t="s">
        <v>201</v>
      </c>
      <c r="L1469" s="17">
        <v>0</v>
      </c>
      <c r="M1469" s="28" t="s">
        <v>178</v>
      </c>
    </row>
    <row r="1470" spans="1:13" s="25" customFormat="1" x14ac:dyDescent="0.2">
      <c r="A1470">
        <f t="shared" si="22"/>
        <v>1464</v>
      </c>
      <c r="B1470">
        <v>2018</v>
      </c>
      <c r="C1470" t="s">
        <v>184</v>
      </c>
      <c r="D1470" t="s">
        <v>246</v>
      </c>
      <c r="E1470" s="65">
        <v>190</v>
      </c>
      <c r="F1470" s="33"/>
      <c r="H1470" t="s">
        <v>144</v>
      </c>
      <c r="I1470" t="s">
        <v>197</v>
      </c>
      <c r="J1470" t="s">
        <v>19</v>
      </c>
      <c r="K1470" t="s">
        <v>205</v>
      </c>
      <c r="L1470" s="17">
        <v>0</v>
      </c>
      <c r="M1470" s="28"/>
    </row>
    <row r="1471" spans="1:13" s="25" customFormat="1" x14ac:dyDescent="0.2">
      <c r="A1471">
        <f t="shared" si="22"/>
        <v>1465</v>
      </c>
      <c r="B1471">
        <v>2018</v>
      </c>
      <c r="C1471" t="s">
        <v>184</v>
      </c>
      <c r="D1471" t="s">
        <v>221</v>
      </c>
      <c r="E1471" s="65">
        <v>120</v>
      </c>
      <c r="F1471" s="33"/>
      <c r="H1471" t="s">
        <v>144</v>
      </c>
      <c r="J1471" t="s">
        <v>130</v>
      </c>
      <c r="K1471" t="s">
        <v>214</v>
      </c>
      <c r="L1471" s="17">
        <v>1</v>
      </c>
      <c r="M1471" s="28"/>
    </row>
    <row r="1472" spans="1:13" s="25" customFormat="1" x14ac:dyDescent="0.2">
      <c r="A1472">
        <f t="shared" si="22"/>
        <v>1466</v>
      </c>
      <c r="B1472">
        <v>2018</v>
      </c>
      <c r="C1472" t="s">
        <v>184</v>
      </c>
      <c r="D1472" t="s">
        <v>1035</v>
      </c>
      <c r="E1472" s="65">
        <v>360</v>
      </c>
      <c r="F1472" s="33">
        <v>0.92</v>
      </c>
      <c r="G1472" t="s">
        <v>1676</v>
      </c>
      <c r="H1472" t="s">
        <v>144</v>
      </c>
      <c r="I1472" t="s">
        <v>273</v>
      </c>
      <c r="J1472" t="s">
        <v>13</v>
      </c>
      <c r="K1472" t="s">
        <v>201</v>
      </c>
      <c r="L1472" s="17">
        <v>1</v>
      </c>
      <c r="M1472" s="28" t="s">
        <v>178</v>
      </c>
    </row>
    <row r="1473" spans="1:13" s="25" customFormat="1" x14ac:dyDescent="0.2">
      <c r="A1473">
        <f t="shared" si="22"/>
        <v>1467</v>
      </c>
      <c r="B1473">
        <v>2018</v>
      </c>
      <c r="C1473" t="s">
        <v>184</v>
      </c>
      <c r="D1473" t="s">
        <v>1677</v>
      </c>
      <c r="E1473" s="65">
        <v>200</v>
      </c>
      <c r="F1473" s="33">
        <v>1</v>
      </c>
      <c r="G1473" t="s">
        <v>1678</v>
      </c>
      <c r="H1473" t="s">
        <v>144</v>
      </c>
      <c r="I1473" t="s">
        <v>232</v>
      </c>
      <c r="J1473" t="s">
        <v>9</v>
      </c>
      <c r="K1473" t="s">
        <v>9</v>
      </c>
      <c r="L1473" s="17">
        <v>0</v>
      </c>
      <c r="M1473" s="28" t="s">
        <v>178</v>
      </c>
    </row>
    <row r="1474" spans="1:13" s="25" customFormat="1" x14ac:dyDescent="0.2">
      <c r="A1474">
        <f t="shared" si="22"/>
        <v>1468</v>
      </c>
      <c r="B1474">
        <v>2018</v>
      </c>
      <c r="C1474" t="s">
        <v>184</v>
      </c>
      <c r="D1474" t="s">
        <v>724</v>
      </c>
      <c r="E1474" s="65">
        <v>110</v>
      </c>
      <c r="F1474" s="33"/>
      <c r="G1474" t="s">
        <v>1679</v>
      </c>
      <c r="H1474" t="s">
        <v>151</v>
      </c>
      <c r="I1474" t="s">
        <v>224</v>
      </c>
      <c r="J1474" t="s">
        <v>20</v>
      </c>
      <c r="K1474" t="s">
        <v>195</v>
      </c>
      <c r="L1474" s="17">
        <v>0</v>
      </c>
      <c r="M1474" s="28" t="s">
        <v>178</v>
      </c>
    </row>
    <row r="1475" spans="1:13" s="25" customFormat="1" x14ac:dyDescent="0.2">
      <c r="A1475">
        <f t="shared" si="22"/>
        <v>1469</v>
      </c>
      <c r="B1475">
        <v>2018</v>
      </c>
      <c r="C1475" t="s">
        <v>184</v>
      </c>
      <c r="D1475" t="s">
        <v>1332</v>
      </c>
      <c r="E1475" s="65">
        <v>110</v>
      </c>
      <c r="F1475" s="33"/>
      <c r="H1475" t="s">
        <v>151</v>
      </c>
      <c r="I1475" t="s">
        <v>224</v>
      </c>
      <c r="J1475" t="s">
        <v>9</v>
      </c>
      <c r="K1475" t="s">
        <v>9</v>
      </c>
      <c r="L1475" s="17">
        <v>0</v>
      </c>
      <c r="M1475" s="28"/>
    </row>
    <row r="1476" spans="1:13" s="25" customFormat="1" x14ac:dyDescent="0.2">
      <c r="A1476">
        <f t="shared" si="22"/>
        <v>1470</v>
      </c>
      <c r="B1476">
        <v>2018</v>
      </c>
      <c r="C1476" t="s">
        <v>184</v>
      </c>
      <c r="D1476" t="s">
        <v>596</v>
      </c>
      <c r="E1476" s="65">
        <v>280</v>
      </c>
      <c r="F1476" s="33">
        <v>1</v>
      </c>
      <c r="H1476" t="s">
        <v>144</v>
      </c>
      <c r="I1476" t="s">
        <v>232</v>
      </c>
      <c r="J1476" t="s">
        <v>9</v>
      </c>
      <c r="K1476" t="s">
        <v>9</v>
      </c>
      <c r="L1476" s="17">
        <v>0</v>
      </c>
      <c r="M1476" s="28" t="s">
        <v>178</v>
      </c>
    </row>
    <row r="1477" spans="1:13" s="25" customFormat="1" x14ac:dyDescent="0.2">
      <c r="A1477">
        <f t="shared" si="22"/>
        <v>1471</v>
      </c>
      <c r="B1477">
        <v>2018</v>
      </c>
      <c r="C1477" t="s">
        <v>184</v>
      </c>
      <c r="D1477" t="s">
        <v>454</v>
      </c>
      <c r="E1477" s="65">
        <v>1690</v>
      </c>
      <c r="F1477" s="33">
        <v>0.09</v>
      </c>
      <c r="G1477" t="s">
        <v>1680</v>
      </c>
      <c r="H1477" t="s">
        <v>145</v>
      </c>
      <c r="J1477" t="s">
        <v>118</v>
      </c>
      <c r="K1477" t="s">
        <v>195</v>
      </c>
      <c r="L1477" s="17">
        <v>0</v>
      </c>
      <c r="M1477" s="28"/>
    </row>
    <row r="1478" spans="1:13" s="25" customFormat="1" x14ac:dyDescent="0.2">
      <c r="A1478">
        <f t="shared" si="22"/>
        <v>1472</v>
      </c>
      <c r="B1478">
        <v>2018</v>
      </c>
      <c r="C1478" t="s">
        <v>184</v>
      </c>
      <c r="D1478" t="s">
        <v>1184</v>
      </c>
      <c r="E1478" s="65">
        <v>1230</v>
      </c>
      <c r="F1478" s="33">
        <v>0.95</v>
      </c>
      <c r="H1478" t="s">
        <v>154</v>
      </c>
      <c r="I1478" t="s">
        <v>194</v>
      </c>
      <c r="J1478" t="s">
        <v>67</v>
      </c>
      <c r="K1478" t="s">
        <v>183</v>
      </c>
      <c r="L1478" s="17">
        <v>1</v>
      </c>
      <c r="M1478" s="28" t="s">
        <v>178</v>
      </c>
    </row>
    <row r="1479" spans="1:13" s="25" customFormat="1" x14ac:dyDescent="0.2">
      <c r="A1479">
        <f t="shared" ref="A1479:A1542" si="23">ROW()-6</f>
        <v>1473</v>
      </c>
      <c r="B1479">
        <v>2018</v>
      </c>
      <c r="C1479" t="s">
        <v>225</v>
      </c>
      <c r="D1479" t="s">
        <v>1178</v>
      </c>
      <c r="E1479" s="65">
        <v>540</v>
      </c>
      <c r="F1479" s="33"/>
      <c r="G1479" t="s">
        <v>1681</v>
      </c>
      <c r="H1479" t="s">
        <v>147</v>
      </c>
      <c r="J1479" t="s">
        <v>20</v>
      </c>
      <c r="K1479" t="s">
        <v>195</v>
      </c>
      <c r="L1479" s="17">
        <v>0</v>
      </c>
      <c r="M1479" s="28"/>
    </row>
    <row r="1480" spans="1:13" s="25" customFormat="1" ht="14.25" customHeight="1" x14ac:dyDescent="0.2">
      <c r="A1480">
        <f t="shared" si="23"/>
        <v>1474</v>
      </c>
      <c r="B1480">
        <v>2018</v>
      </c>
      <c r="C1480" t="s">
        <v>225</v>
      </c>
      <c r="D1480" t="s">
        <v>1602</v>
      </c>
      <c r="E1480" s="65">
        <v>340</v>
      </c>
      <c r="F1480" s="33">
        <v>1</v>
      </c>
      <c r="G1480" t="s">
        <v>1682</v>
      </c>
      <c r="H1480" t="s">
        <v>150</v>
      </c>
      <c r="I1480" t="s">
        <v>556</v>
      </c>
      <c r="J1480" t="s">
        <v>110</v>
      </c>
      <c r="K1480" t="s">
        <v>195</v>
      </c>
      <c r="L1480" s="17">
        <v>1</v>
      </c>
      <c r="M1480" s="28"/>
    </row>
    <row r="1481" spans="1:13" s="25" customFormat="1" x14ac:dyDescent="0.2">
      <c r="A1481">
        <f t="shared" si="23"/>
        <v>1475</v>
      </c>
      <c r="B1481">
        <v>2018</v>
      </c>
      <c r="C1481" t="s">
        <v>225</v>
      </c>
      <c r="D1481" t="s">
        <v>1683</v>
      </c>
      <c r="E1481" s="65">
        <v>630</v>
      </c>
      <c r="F1481" s="33">
        <v>1</v>
      </c>
      <c r="G1481" t="s">
        <v>1684</v>
      </c>
      <c r="H1481" t="s">
        <v>150</v>
      </c>
      <c r="I1481" t="s">
        <v>556</v>
      </c>
      <c r="J1481" t="s">
        <v>91</v>
      </c>
      <c r="K1481" t="s">
        <v>195</v>
      </c>
      <c r="L1481" s="17">
        <v>0</v>
      </c>
      <c r="M1481" s="28"/>
    </row>
    <row r="1482" spans="1:13" s="25" customFormat="1" x14ac:dyDescent="0.2">
      <c r="A1482">
        <f t="shared" si="23"/>
        <v>1476</v>
      </c>
      <c r="B1482">
        <v>2018</v>
      </c>
      <c r="C1482" t="s">
        <v>225</v>
      </c>
      <c r="D1482" t="s">
        <v>1685</v>
      </c>
      <c r="E1482" s="65">
        <v>240</v>
      </c>
      <c r="F1482" s="33">
        <v>1</v>
      </c>
      <c r="G1482" t="s">
        <v>1686</v>
      </c>
      <c r="H1482" t="s">
        <v>142</v>
      </c>
      <c r="J1482" t="s">
        <v>121</v>
      </c>
      <c r="K1482" t="s">
        <v>183</v>
      </c>
      <c r="L1482" s="17">
        <v>0</v>
      </c>
      <c r="M1482" s="28"/>
    </row>
    <row r="1483" spans="1:13" s="25" customFormat="1" x14ac:dyDescent="0.2">
      <c r="A1483">
        <f t="shared" si="23"/>
        <v>1477</v>
      </c>
      <c r="B1483">
        <v>2018</v>
      </c>
      <c r="C1483" t="s">
        <v>225</v>
      </c>
      <c r="D1483" t="s">
        <v>1687</v>
      </c>
      <c r="E1483" s="65">
        <v>180</v>
      </c>
      <c r="F1483" s="33">
        <v>1</v>
      </c>
      <c r="G1483" t="s">
        <v>1688</v>
      </c>
      <c r="H1483" t="s">
        <v>150</v>
      </c>
      <c r="I1483" t="s">
        <v>226</v>
      </c>
      <c r="J1483" t="s">
        <v>131</v>
      </c>
      <c r="K1483" t="s">
        <v>131</v>
      </c>
      <c r="L1483" s="17">
        <v>0</v>
      </c>
      <c r="M1483" s="28"/>
    </row>
    <row r="1484" spans="1:13" s="25" customFormat="1" x14ac:dyDescent="0.2">
      <c r="A1484">
        <f t="shared" si="23"/>
        <v>1478</v>
      </c>
      <c r="B1484">
        <v>2018</v>
      </c>
      <c r="C1484" t="s">
        <v>225</v>
      </c>
      <c r="D1484" t="s">
        <v>1689</v>
      </c>
      <c r="E1484" s="65">
        <v>230</v>
      </c>
      <c r="F1484" s="33"/>
      <c r="G1484" t="s">
        <v>504</v>
      </c>
      <c r="H1484" t="s">
        <v>143</v>
      </c>
      <c r="J1484" t="s">
        <v>85</v>
      </c>
      <c r="K1484" t="s">
        <v>195</v>
      </c>
      <c r="L1484" s="17">
        <v>0</v>
      </c>
      <c r="M1484" s="28"/>
    </row>
    <row r="1485" spans="1:13" s="25" customFormat="1" x14ac:dyDescent="0.2">
      <c r="A1485">
        <f t="shared" si="23"/>
        <v>1479</v>
      </c>
      <c r="B1485">
        <v>2018</v>
      </c>
      <c r="C1485" t="s">
        <v>225</v>
      </c>
      <c r="D1485" t="s">
        <v>1690</v>
      </c>
      <c r="E1485" s="65">
        <v>560</v>
      </c>
      <c r="F1485" s="33">
        <v>0.05</v>
      </c>
      <c r="G1485" t="s">
        <v>1192</v>
      </c>
      <c r="H1485" t="s">
        <v>153</v>
      </c>
      <c r="J1485" t="s">
        <v>42</v>
      </c>
      <c r="K1485" t="s">
        <v>195</v>
      </c>
      <c r="L1485" s="17">
        <v>0</v>
      </c>
      <c r="M1485" s="28"/>
    </row>
    <row r="1486" spans="1:13" s="25" customFormat="1" x14ac:dyDescent="0.2">
      <c r="A1486">
        <f t="shared" si="23"/>
        <v>1480</v>
      </c>
      <c r="B1486">
        <v>2018</v>
      </c>
      <c r="C1486" t="s">
        <v>225</v>
      </c>
      <c r="D1486" t="s">
        <v>221</v>
      </c>
      <c r="E1486" s="65">
        <v>350</v>
      </c>
      <c r="F1486" s="33"/>
      <c r="G1486" t="s">
        <v>1691</v>
      </c>
      <c r="H1486" t="s">
        <v>146</v>
      </c>
      <c r="I1486" t="s">
        <v>253</v>
      </c>
      <c r="J1486" t="s">
        <v>33</v>
      </c>
      <c r="K1486" t="s">
        <v>195</v>
      </c>
      <c r="L1486" s="17">
        <v>1</v>
      </c>
      <c r="M1486" s="28"/>
    </row>
    <row r="1487" spans="1:13" s="25" customFormat="1" x14ac:dyDescent="0.2">
      <c r="A1487">
        <f t="shared" si="23"/>
        <v>1481</v>
      </c>
      <c r="B1487">
        <v>2018</v>
      </c>
      <c r="C1487" t="s">
        <v>225</v>
      </c>
      <c r="D1487" t="s">
        <v>875</v>
      </c>
      <c r="E1487" s="65">
        <v>910</v>
      </c>
      <c r="F1487" s="33">
        <v>1</v>
      </c>
      <c r="G1487" t="s">
        <v>1692</v>
      </c>
      <c r="H1487" t="s">
        <v>155</v>
      </c>
      <c r="J1487" t="s">
        <v>19</v>
      </c>
      <c r="K1487" t="s">
        <v>205</v>
      </c>
      <c r="L1487" s="17">
        <v>0</v>
      </c>
      <c r="M1487" s="28"/>
    </row>
    <row r="1488" spans="1:13" s="25" customFormat="1" x14ac:dyDescent="0.2">
      <c r="A1488">
        <f t="shared" si="23"/>
        <v>1482</v>
      </c>
      <c r="B1488">
        <v>2018</v>
      </c>
      <c r="C1488" t="s">
        <v>225</v>
      </c>
      <c r="D1488" t="s">
        <v>1642</v>
      </c>
      <c r="E1488" s="65">
        <v>180</v>
      </c>
      <c r="F1488" s="33"/>
      <c r="G1488" t="s">
        <v>1693</v>
      </c>
      <c r="H1488" t="s">
        <v>147</v>
      </c>
      <c r="J1488" t="s">
        <v>131</v>
      </c>
      <c r="K1488" t="s">
        <v>131</v>
      </c>
      <c r="L1488" s="17">
        <v>0</v>
      </c>
      <c r="M1488" s="28"/>
    </row>
    <row r="1489" spans="1:13" s="25" customFormat="1" x14ac:dyDescent="0.2">
      <c r="A1489">
        <f t="shared" si="23"/>
        <v>1483</v>
      </c>
      <c r="B1489">
        <v>2018</v>
      </c>
      <c r="C1489" t="s">
        <v>225</v>
      </c>
      <c r="D1489" t="s">
        <v>1694</v>
      </c>
      <c r="E1489" s="65">
        <v>200</v>
      </c>
      <c r="F1489" s="33">
        <v>0.8</v>
      </c>
      <c r="G1489" t="s">
        <v>1695</v>
      </c>
      <c r="H1489" t="s">
        <v>152</v>
      </c>
      <c r="J1489" t="s">
        <v>85</v>
      </c>
      <c r="K1489" t="s">
        <v>195</v>
      </c>
      <c r="L1489" s="17">
        <v>0</v>
      </c>
      <c r="M1489" s="28"/>
    </row>
    <row r="1490" spans="1:13" s="25" customFormat="1" x14ac:dyDescent="0.2">
      <c r="A1490">
        <f t="shared" si="23"/>
        <v>1484</v>
      </c>
      <c r="B1490">
        <v>2018</v>
      </c>
      <c r="C1490" t="s">
        <v>225</v>
      </c>
      <c r="D1490" t="s">
        <v>1696</v>
      </c>
      <c r="E1490" s="65">
        <v>130</v>
      </c>
      <c r="F1490" s="33"/>
      <c r="G1490" t="s">
        <v>1697</v>
      </c>
      <c r="H1490" t="s">
        <v>150</v>
      </c>
      <c r="I1490" t="s">
        <v>292</v>
      </c>
      <c r="J1490" t="s">
        <v>42</v>
      </c>
      <c r="K1490" t="s">
        <v>195</v>
      </c>
      <c r="L1490" s="17">
        <v>0</v>
      </c>
      <c r="M1490" s="28"/>
    </row>
    <row r="1491" spans="1:13" s="25" customFormat="1" x14ac:dyDescent="0.2">
      <c r="A1491">
        <f t="shared" si="23"/>
        <v>1485</v>
      </c>
      <c r="B1491">
        <v>2018</v>
      </c>
      <c r="C1491" t="s">
        <v>225</v>
      </c>
      <c r="D1491" t="s">
        <v>1367</v>
      </c>
      <c r="E1491" s="65">
        <v>4070</v>
      </c>
      <c r="F1491" s="33">
        <v>0.24</v>
      </c>
      <c r="G1491" t="s">
        <v>1698</v>
      </c>
      <c r="H1491" t="s">
        <v>149</v>
      </c>
      <c r="J1491" t="s">
        <v>27</v>
      </c>
      <c r="K1491" t="s">
        <v>205</v>
      </c>
      <c r="L1491" s="17">
        <v>1</v>
      </c>
      <c r="M1491" s="28"/>
    </row>
    <row r="1492" spans="1:13" s="25" customFormat="1" x14ac:dyDescent="0.2">
      <c r="A1492">
        <f t="shared" si="23"/>
        <v>1486</v>
      </c>
      <c r="B1492">
        <v>2018</v>
      </c>
      <c r="C1492" t="s">
        <v>225</v>
      </c>
      <c r="D1492" t="s">
        <v>1699</v>
      </c>
      <c r="E1492" s="65">
        <v>110</v>
      </c>
      <c r="F1492" s="33">
        <v>0.95</v>
      </c>
      <c r="G1492" t="s">
        <v>1700</v>
      </c>
      <c r="H1492" t="s">
        <v>144</v>
      </c>
      <c r="I1492" t="s">
        <v>232</v>
      </c>
      <c r="J1492" t="s">
        <v>53</v>
      </c>
      <c r="K1492" t="s">
        <v>183</v>
      </c>
      <c r="L1492" s="17">
        <v>1</v>
      </c>
      <c r="M1492" s="28"/>
    </row>
    <row r="1493" spans="1:13" s="25" customFormat="1" x14ac:dyDescent="0.2">
      <c r="A1493">
        <f t="shared" si="23"/>
        <v>1487</v>
      </c>
      <c r="B1493">
        <v>2018</v>
      </c>
      <c r="C1493" t="s">
        <v>225</v>
      </c>
      <c r="D1493" t="s">
        <v>1701</v>
      </c>
      <c r="E1493" s="65">
        <v>450</v>
      </c>
      <c r="F1493" s="33">
        <v>0.5</v>
      </c>
      <c r="G1493" t="s">
        <v>1702</v>
      </c>
      <c r="H1493" t="s">
        <v>154</v>
      </c>
      <c r="I1493" t="s">
        <v>194</v>
      </c>
      <c r="J1493" t="s">
        <v>45</v>
      </c>
      <c r="K1493" t="s">
        <v>195</v>
      </c>
      <c r="L1493" s="17">
        <v>0</v>
      </c>
      <c r="M1493" s="28"/>
    </row>
    <row r="1494" spans="1:13" s="25" customFormat="1" x14ac:dyDescent="0.2">
      <c r="A1494">
        <f t="shared" si="23"/>
        <v>1488</v>
      </c>
      <c r="B1494">
        <v>2018</v>
      </c>
      <c r="C1494" t="s">
        <v>225</v>
      </c>
      <c r="D1494" t="s">
        <v>208</v>
      </c>
      <c r="E1494" s="65">
        <v>980</v>
      </c>
      <c r="F1494" s="33"/>
      <c r="H1494" t="s">
        <v>144</v>
      </c>
      <c r="I1494" t="s">
        <v>299</v>
      </c>
      <c r="J1494" t="s">
        <v>139</v>
      </c>
      <c r="K1494" t="s">
        <v>219</v>
      </c>
      <c r="L1494" s="17">
        <v>1</v>
      </c>
      <c r="M1494" s="28" t="s">
        <v>178</v>
      </c>
    </row>
    <row r="1495" spans="1:13" s="25" customFormat="1" x14ac:dyDescent="0.2">
      <c r="A1495">
        <f t="shared" si="23"/>
        <v>1489</v>
      </c>
      <c r="B1495">
        <v>2018</v>
      </c>
      <c r="C1495" t="s">
        <v>225</v>
      </c>
      <c r="D1495" t="s">
        <v>185</v>
      </c>
      <c r="E1495" s="65">
        <v>1130</v>
      </c>
      <c r="F1495" s="33">
        <v>0.25</v>
      </c>
      <c r="G1495" t="s">
        <v>1703</v>
      </c>
      <c r="H1495" t="s">
        <v>144</v>
      </c>
      <c r="I1495" t="s">
        <v>187</v>
      </c>
      <c r="J1495" t="s">
        <v>50</v>
      </c>
      <c r="K1495" t="s">
        <v>205</v>
      </c>
      <c r="L1495" s="17">
        <v>1</v>
      </c>
      <c r="M1495" s="28" t="s">
        <v>178</v>
      </c>
    </row>
    <row r="1496" spans="1:13" s="25" customFormat="1" x14ac:dyDescent="0.2">
      <c r="A1496">
        <f t="shared" si="23"/>
        <v>1490</v>
      </c>
      <c r="B1496">
        <v>2018</v>
      </c>
      <c r="C1496" t="s">
        <v>225</v>
      </c>
      <c r="D1496" t="s">
        <v>185</v>
      </c>
      <c r="E1496" s="65">
        <v>220</v>
      </c>
      <c r="F1496" s="33"/>
      <c r="H1496" t="s">
        <v>144</v>
      </c>
      <c r="I1496" t="s">
        <v>187</v>
      </c>
      <c r="J1496" t="s">
        <v>55</v>
      </c>
      <c r="K1496" t="s">
        <v>214</v>
      </c>
      <c r="L1496" s="17">
        <v>1</v>
      </c>
      <c r="M1496" s="28"/>
    </row>
    <row r="1497" spans="1:13" s="25" customFormat="1" x14ac:dyDescent="0.2">
      <c r="A1497">
        <f t="shared" si="23"/>
        <v>1491</v>
      </c>
      <c r="B1497">
        <v>2018</v>
      </c>
      <c r="C1497" t="s">
        <v>225</v>
      </c>
      <c r="D1497" t="s">
        <v>1231</v>
      </c>
      <c r="E1497" s="65">
        <v>460</v>
      </c>
      <c r="F1497" s="33">
        <v>0.05</v>
      </c>
      <c r="G1497" t="s">
        <v>1232</v>
      </c>
      <c r="H1497" t="s">
        <v>144</v>
      </c>
      <c r="I1497" t="s">
        <v>299</v>
      </c>
      <c r="J1497" t="s">
        <v>9</v>
      </c>
      <c r="K1497" t="s">
        <v>9</v>
      </c>
      <c r="L1497" s="17">
        <v>0</v>
      </c>
      <c r="M1497" s="28"/>
    </row>
    <row r="1498" spans="1:13" s="25" customFormat="1" x14ac:dyDescent="0.2">
      <c r="A1498">
        <f t="shared" si="23"/>
        <v>1492</v>
      </c>
      <c r="B1498">
        <v>2018</v>
      </c>
      <c r="C1498" t="s">
        <v>188</v>
      </c>
      <c r="D1498" t="s">
        <v>246</v>
      </c>
      <c r="E1498" s="65">
        <v>240</v>
      </c>
      <c r="F1498" s="33">
        <v>1</v>
      </c>
      <c r="G1498" t="s">
        <v>1704</v>
      </c>
      <c r="H1498" t="s">
        <v>144</v>
      </c>
      <c r="I1498" t="s">
        <v>197</v>
      </c>
      <c r="J1498" t="s">
        <v>27</v>
      </c>
      <c r="K1498" t="s">
        <v>205</v>
      </c>
      <c r="L1498" s="17">
        <v>1</v>
      </c>
      <c r="M1498" s="28"/>
    </row>
    <row r="1499" spans="1:13" s="25" customFormat="1" x14ac:dyDescent="0.2">
      <c r="A1499">
        <f t="shared" si="23"/>
        <v>1493</v>
      </c>
      <c r="B1499">
        <v>2018</v>
      </c>
      <c r="C1499" t="s">
        <v>188</v>
      </c>
      <c r="D1499" t="s">
        <v>1705</v>
      </c>
      <c r="E1499" s="65">
        <v>860</v>
      </c>
      <c r="F1499" s="33">
        <v>0.45</v>
      </c>
      <c r="G1499" t="s">
        <v>1706</v>
      </c>
      <c r="H1499" t="s">
        <v>154</v>
      </c>
      <c r="I1499" t="s">
        <v>194</v>
      </c>
      <c r="J1499" t="s">
        <v>131</v>
      </c>
      <c r="K1499" t="s">
        <v>131</v>
      </c>
      <c r="L1499" s="17">
        <v>0</v>
      </c>
      <c r="M1499" s="28"/>
    </row>
    <row r="1500" spans="1:13" s="25" customFormat="1" x14ac:dyDescent="0.2">
      <c r="A1500">
        <f t="shared" si="23"/>
        <v>1494</v>
      </c>
      <c r="B1500">
        <v>2018</v>
      </c>
      <c r="C1500" t="s">
        <v>188</v>
      </c>
      <c r="D1500" t="s">
        <v>221</v>
      </c>
      <c r="E1500" s="65">
        <v>560</v>
      </c>
      <c r="F1500" s="33">
        <v>0.2</v>
      </c>
      <c r="G1500" t="s">
        <v>1707</v>
      </c>
      <c r="H1500" t="s">
        <v>149</v>
      </c>
      <c r="J1500" t="s">
        <v>25</v>
      </c>
      <c r="K1500" t="s">
        <v>177</v>
      </c>
      <c r="L1500" s="17">
        <v>0</v>
      </c>
      <c r="M1500" s="28"/>
    </row>
    <row r="1501" spans="1:13" s="25" customFormat="1" x14ac:dyDescent="0.2">
      <c r="A1501">
        <f t="shared" si="23"/>
        <v>1495</v>
      </c>
      <c r="B1501">
        <v>2018</v>
      </c>
      <c r="C1501" t="s">
        <v>188</v>
      </c>
      <c r="D1501" t="s">
        <v>1708</v>
      </c>
      <c r="E1501" s="65">
        <v>1430</v>
      </c>
      <c r="F1501" s="33">
        <v>1</v>
      </c>
      <c r="G1501" t="s">
        <v>1709</v>
      </c>
      <c r="H1501" t="s">
        <v>147</v>
      </c>
      <c r="J1501" t="s">
        <v>9</v>
      </c>
      <c r="K1501" t="s">
        <v>9</v>
      </c>
      <c r="L1501" s="17">
        <v>0</v>
      </c>
      <c r="M1501" s="28"/>
    </row>
    <row r="1502" spans="1:13" s="25" customFormat="1" x14ac:dyDescent="0.2">
      <c r="A1502">
        <f t="shared" si="23"/>
        <v>1496</v>
      </c>
      <c r="B1502">
        <v>2018</v>
      </c>
      <c r="C1502" t="s">
        <v>188</v>
      </c>
      <c r="D1502" t="s">
        <v>1710</v>
      </c>
      <c r="E1502" s="65">
        <v>100</v>
      </c>
      <c r="F1502" s="33"/>
      <c r="G1502" t="s">
        <v>1711</v>
      </c>
      <c r="H1502" t="s">
        <v>145</v>
      </c>
      <c r="J1502" t="s">
        <v>131</v>
      </c>
      <c r="K1502" t="s">
        <v>131</v>
      </c>
      <c r="L1502" s="17">
        <v>0</v>
      </c>
      <c r="M1502" s="28"/>
    </row>
    <row r="1503" spans="1:13" s="25" customFormat="1" x14ac:dyDescent="0.2">
      <c r="A1503">
        <f t="shared" si="23"/>
        <v>1497</v>
      </c>
      <c r="B1503">
        <v>2018</v>
      </c>
      <c r="C1503" t="s">
        <v>188</v>
      </c>
      <c r="D1503" t="s">
        <v>267</v>
      </c>
      <c r="E1503" s="65">
        <v>1300</v>
      </c>
      <c r="F1503" s="33"/>
      <c r="H1503" t="s">
        <v>149</v>
      </c>
      <c r="I1503" t="s">
        <v>236</v>
      </c>
      <c r="J1503" t="s">
        <v>96</v>
      </c>
      <c r="K1503" t="s">
        <v>205</v>
      </c>
      <c r="L1503" s="17">
        <v>1</v>
      </c>
      <c r="M1503" s="28"/>
    </row>
    <row r="1504" spans="1:13" s="25" customFormat="1" x14ac:dyDescent="0.2">
      <c r="A1504">
        <f t="shared" si="23"/>
        <v>1498</v>
      </c>
      <c r="B1504">
        <v>2018</v>
      </c>
      <c r="C1504" t="s">
        <v>188</v>
      </c>
      <c r="D1504" t="s">
        <v>1712</v>
      </c>
      <c r="E1504" s="65">
        <v>150</v>
      </c>
      <c r="F1504" s="33"/>
      <c r="G1504" t="s">
        <v>1713</v>
      </c>
      <c r="H1504" t="s">
        <v>147</v>
      </c>
      <c r="J1504" t="s">
        <v>131</v>
      </c>
      <c r="K1504" t="s">
        <v>131</v>
      </c>
      <c r="L1504" s="17">
        <v>0</v>
      </c>
      <c r="M1504" s="28"/>
    </row>
    <row r="1505" spans="1:13" s="25" customFormat="1" x14ac:dyDescent="0.2">
      <c r="A1505">
        <f t="shared" si="23"/>
        <v>1499</v>
      </c>
      <c r="B1505">
        <v>2018</v>
      </c>
      <c r="C1505" t="s">
        <v>188</v>
      </c>
      <c r="D1505" t="s">
        <v>606</v>
      </c>
      <c r="E1505" s="65">
        <v>160</v>
      </c>
      <c r="F1505" s="33">
        <v>1</v>
      </c>
      <c r="G1505" t="s">
        <v>828</v>
      </c>
      <c r="H1505" t="s">
        <v>154</v>
      </c>
      <c r="I1505" t="s">
        <v>194</v>
      </c>
      <c r="J1505" t="s">
        <v>131</v>
      </c>
      <c r="K1505" t="s">
        <v>131</v>
      </c>
      <c r="L1505" s="17">
        <v>0</v>
      </c>
      <c r="M1505" s="28"/>
    </row>
    <row r="1506" spans="1:13" s="25" customFormat="1" x14ac:dyDescent="0.2">
      <c r="A1506">
        <f t="shared" si="23"/>
        <v>1500</v>
      </c>
      <c r="B1506">
        <v>2018</v>
      </c>
      <c r="C1506" t="s">
        <v>188</v>
      </c>
      <c r="D1506" t="s">
        <v>1505</v>
      </c>
      <c r="E1506" s="65">
        <v>190</v>
      </c>
      <c r="F1506" s="33">
        <v>1</v>
      </c>
      <c r="G1506" t="s">
        <v>1714</v>
      </c>
      <c r="H1506" t="s">
        <v>150</v>
      </c>
      <c r="I1506" t="s">
        <v>217</v>
      </c>
      <c r="J1506" t="s">
        <v>119</v>
      </c>
      <c r="K1506" t="s">
        <v>195</v>
      </c>
      <c r="L1506" s="17">
        <v>0</v>
      </c>
      <c r="M1506" s="28"/>
    </row>
    <row r="1507" spans="1:13" s="25" customFormat="1" x14ac:dyDescent="0.2">
      <c r="A1507">
        <f t="shared" si="23"/>
        <v>1501</v>
      </c>
      <c r="B1507">
        <v>2018</v>
      </c>
      <c r="C1507" t="s">
        <v>188</v>
      </c>
      <c r="D1507" t="s">
        <v>479</v>
      </c>
      <c r="E1507" s="65">
        <v>200</v>
      </c>
      <c r="F1507" s="33">
        <v>1</v>
      </c>
      <c r="H1507" t="s">
        <v>154</v>
      </c>
      <c r="I1507" t="s">
        <v>271</v>
      </c>
      <c r="J1507" t="s">
        <v>108</v>
      </c>
      <c r="K1507" t="s">
        <v>183</v>
      </c>
      <c r="L1507" s="17">
        <v>1</v>
      </c>
      <c r="M1507" s="28"/>
    </row>
    <row r="1508" spans="1:13" s="25" customFormat="1" x14ac:dyDescent="0.2">
      <c r="A1508">
        <f t="shared" si="23"/>
        <v>1502</v>
      </c>
      <c r="B1508">
        <v>2018</v>
      </c>
      <c r="C1508" t="s">
        <v>188</v>
      </c>
      <c r="D1508" t="s">
        <v>554</v>
      </c>
      <c r="E1508" s="65">
        <v>650</v>
      </c>
      <c r="F1508" s="33">
        <v>1</v>
      </c>
      <c r="G1508" t="s">
        <v>1715</v>
      </c>
      <c r="H1508" t="s">
        <v>150</v>
      </c>
      <c r="I1508" t="s">
        <v>217</v>
      </c>
      <c r="J1508" t="s">
        <v>45</v>
      </c>
      <c r="K1508" t="s">
        <v>195</v>
      </c>
      <c r="L1508" s="17">
        <v>0</v>
      </c>
      <c r="M1508" s="28"/>
    </row>
    <row r="1509" spans="1:13" s="25" customFormat="1" x14ac:dyDescent="0.2">
      <c r="A1509">
        <f t="shared" si="23"/>
        <v>1503</v>
      </c>
      <c r="B1509">
        <v>2018</v>
      </c>
      <c r="C1509" t="s">
        <v>188</v>
      </c>
      <c r="D1509" t="s">
        <v>414</v>
      </c>
      <c r="E1509" s="65">
        <v>710</v>
      </c>
      <c r="F1509" s="33"/>
      <c r="G1509" t="s">
        <v>1158</v>
      </c>
      <c r="H1509" t="s">
        <v>154</v>
      </c>
      <c r="I1509" t="s">
        <v>194</v>
      </c>
      <c r="J1509" t="s">
        <v>45</v>
      </c>
      <c r="K1509" t="s">
        <v>195</v>
      </c>
      <c r="L1509" s="17">
        <v>0</v>
      </c>
      <c r="M1509" s="28"/>
    </row>
    <row r="1510" spans="1:13" s="25" customFormat="1" x14ac:dyDescent="0.2">
      <c r="A1510">
        <f t="shared" si="23"/>
        <v>1504</v>
      </c>
      <c r="B1510">
        <v>2018</v>
      </c>
      <c r="C1510" t="s">
        <v>188</v>
      </c>
      <c r="D1510" t="s">
        <v>1716</v>
      </c>
      <c r="E1510" s="65">
        <v>280</v>
      </c>
      <c r="F1510" s="33">
        <v>0.9</v>
      </c>
      <c r="G1510" t="s">
        <v>175</v>
      </c>
      <c r="H1510" t="s">
        <v>149</v>
      </c>
      <c r="J1510" t="s">
        <v>67</v>
      </c>
      <c r="K1510" t="s">
        <v>183</v>
      </c>
      <c r="L1510" s="17">
        <v>1</v>
      </c>
      <c r="M1510" s="28"/>
    </row>
    <row r="1511" spans="1:13" s="25" customFormat="1" x14ac:dyDescent="0.2">
      <c r="A1511">
        <f t="shared" si="23"/>
        <v>1505</v>
      </c>
      <c r="B1511">
        <v>2018</v>
      </c>
      <c r="C1511" t="s">
        <v>188</v>
      </c>
      <c r="D1511" t="s">
        <v>1717</v>
      </c>
      <c r="E1511" s="65">
        <v>370</v>
      </c>
      <c r="F1511" s="33">
        <v>0.32</v>
      </c>
      <c r="G1511" t="s">
        <v>1718</v>
      </c>
      <c r="H1511" t="s">
        <v>145</v>
      </c>
      <c r="J1511" t="s">
        <v>108</v>
      </c>
      <c r="K1511" t="s">
        <v>183</v>
      </c>
      <c r="L1511" s="17">
        <v>1</v>
      </c>
      <c r="M1511" s="28"/>
    </row>
    <row r="1512" spans="1:13" s="25" customFormat="1" x14ac:dyDescent="0.2">
      <c r="A1512">
        <f t="shared" si="23"/>
        <v>1506</v>
      </c>
      <c r="B1512">
        <v>2018</v>
      </c>
      <c r="C1512" t="s">
        <v>188</v>
      </c>
      <c r="D1512" t="s">
        <v>185</v>
      </c>
      <c r="E1512" s="65">
        <v>310</v>
      </c>
      <c r="F1512" s="33"/>
      <c r="H1512" t="s">
        <v>144</v>
      </c>
      <c r="I1512" t="s">
        <v>187</v>
      </c>
      <c r="J1512" t="s">
        <v>25</v>
      </c>
      <c r="K1512" t="s">
        <v>177</v>
      </c>
      <c r="L1512" s="17">
        <v>0</v>
      </c>
      <c r="M1512" s="28"/>
    </row>
    <row r="1513" spans="1:13" s="25" customFormat="1" x14ac:dyDescent="0.2">
      <c r="A1513">
        <f t="shared" si="23"/>
        <v>1507</v>
      </c>
      <c r="B1513">
        <v>2018</v>
      </c>
      <c r="C1513" t="s">
        <v>188</v>
      </c>
      <c r="D1513" t="s">
        <v>577</v>
      </c>
      <c r="E1513" s="65">
        <v>120</v>
      </c>
      <c r="F1513" s="33"/>
      <c r="H1513" t="s">
        <v>150</v>
      </c>
      <c r="I1513" t="s">
        <v>556</v>
      </c>
      <c r="J1513" t="s">
        <v>131</v>
      </c>
      <c r="K1513" t="s">
        <v>131</v>
      </c>
      <c r="L1513" s="17">
        <v>0</v>
      </c>
      <c r="M1513" s="28"/>
    </row>
    <row r="1514" spans="1:13" s="25" customFormat="1" x14ac:dyDescent="0.2">
      <c r="A1514">
        <f t="shared" si="23"/>
        <v>1508</v>
      </c>
      <c r="B1514">
        <v>2018</v>
      </c>
      <c r="C1514" t="s">
        <v>188</v>
      </c>
      <c r="D1514" t="s">
        <v>880</v>
      </c>
      <c r="E1514" s="65">
        <v>140</v>
      </c>
      <c r="F1514" s="33">
        <v>0.51</v>
      </c>
      <c r="G1514" t="s">
        <v>1719</v>
      </c>
      <c r="H1514" t="s">
        <v>147</v>
      </c>
      <c r="J1514" t="s">
        <v>20</v>
      </c>
      <c r="K1514" t="s">
        <v>195</v>
      </c>
      <c r="L1514" s="17">
        <v>0</v>
      </c>
      <c r="M1514" s="28"/>
    </row>
    <row r="1515" spans="1:13" s="25" customFormat="1" x14ac:dyDescent="0.2">
      <c r="A1515">
        <f t="shared" si="23"/>
        <v>1509</v>
      </c>
      <c r="B1515">
        <v>2018</v>
      </c>
      <c r="C1515" t="s">
        <v>191</v>
      </c>
      <c r="D1515" t="s">
        <v>1270</v>
      </c>
      <c r="E1515" s="65">
        <v>110</v>
      </c>
      <c r="F1515" s="33"/>
      <c r="G1515" t="s">
        <v>1720</v>
      </c>
      <c r="H1515" t="s">
        <v>154</v>
      </c>
      <c r="I1515" t="s">
        <v>194</v>
      </c>
      <c r="J1515" t="s">
        <v>20</v>
      </c>
      <c r="K1515" t="s">
        <v>195</v>
      </c>
      <c r="L1515" s="17">
        <v>0</v>
      </c>
      <c r="M1515" s="28"/>
    </row>
    <row r="1516" spans="1:13" s="25" customFormat="1" x14ac:dyDescent="0.2">
      <c r="A1516">
        <f t="shared" si="23"/>
        <v>1510</v>
      </c>
      <c r="B1516">
        <v>2018</v>
      </c>
      <c r="C1516" t="s">
        <v>191</v>
      </c>
      <c r="D1516" t="s">
        <v>1270</v>
      </c>
      <c r="E1516" s="65">
        <v>2570</v>
      </c>
      <c r="F1516" s="33">
        <v>1</v>
      </c>
      <c r="G1516" t="s">
        <v>1721</v>
      </c>
      <c r="H1516" t="s">
        <v>152</v>
      </c>
      <c r="J1516" t="s">
        <v>42</v>
      </c>
      <c r="K1516" t="s">
        <v>195</v>
      </c>
      <c r="L1516" s="17">
        <v>0</v>
      </c>
      <c r="M1516" s="28"/>
    </row>
    <row r="1517" spans="1:13" s="25" customFormat="1" x14ac:dyDescent="0.2">
      <c r="A1517">
        <f t="shared" si="23"/>
        <v>1511</v>
      </c>
      <c r="B1517">
        <v>2018</v>
      </c>
      <c r="C1517" t="s">
        <v>191</v>
      </c>
      <c r="D1517" t="s">
        <v>1722</v>
      </c>
      <c r="E1517" s="65">
        <v>2440</v>
      </c>
      <c r="F1517" s="33">
        <v>0.25</v>
      </c>
      <c r="G1517" t="s">
        <v>1417</v>
      </c>
      <c r="H1517" t="s">
        <v>152</v>
      </c>
      <c r="I1517" t="s">
        <v>257</v>
      </c>
      <c r="J1517" t="s">
        <v>20</v>
      </c>
      <c r="K1517" t="s">
        <v>195</v>
      </c>
      <c r="L1517" s="17">
        <v>0</v>
      </c>
      <c r="M1517" s="28"/>
    </row>
    <row r="1518" spans="1:13" s="25" customFormat="1" x14ac:dyDescent="0.2">
      <c r="A1518">
        <f t="shared" si="23"/>
        <v>1512</v>
      </c>
      <c r="B1518">
        <v>2018</v>
      </c>
      <c r="C1518" t="s">
        <v>191</v>
      </c>
      <c r="D1518" t="s">
        <v>285</v>
      </c>
      <c r="E1518" s="65">
        <v>470</v>
      </c>
      <c r="F1518" s="33">
        <v>0.25</v>
      </c>
      <c r="G1518" t="s">
        <v>1723</v>
      </c>
      <c r="H1518" t="s">
        <v>155</v>
      </c>
      <c r="J1518" t="s">
        <v>69</v>
      </c>
      <c r="K1518" t="s">
        <v>195</v>
      </c>
      <c r="L1518" s="17">
        <v>1</v>
      </c>
      <c r="M1518" s="28"/>
    </row>
    <row r="1519" spans="1:13" s="25" customFormat="1" x14ac:dyDescent="0.2">
      <c r="A1519">
        <f t="shared" si="23"/>
        <v>1513</v>
      </c>
      <c r="B1519">
        <v>2018</v>
      </c>
      <c r="C1519" t="s">
        <v>191</v>
      </c>
      <c r="D1519" t="s">
        <v>474</v>
      </c>
      <c r="E1519" s="65">
        <v>500</v>
      </c>
      <c r="F1519" s="33">
        <v>0.28000000000000003</v>
      </c>
      <c r="G1519" t="s">
        <v>1698</v>
      </c>
      <c r="H1519" t="s">
        <v>142</v>
      </c>
      <c r="J1519" t="s">
        <v>62</v>
      </c>
      <c r="K1519" t="s">
        <v>214</v>
      </c>
      <c r="L1519" s="17">
        <v>1</v>
      </c>
      <c r="M1519" s="28"/>
    </row>
    <row r="1520" spans="1:13" s="25" customFormat="1" x14ac:dyDescent="0.2">
      <c r="A1520">
        <f t="shared" si="23"/>
        <v>1514</v>
      </c>
      <c r="B1520">
        <v>2018</v>
      </c>
      <c r="C1520" t="s">
        <v>191</v>
      </c>
      <c r="D1520" t="s">
        <v>241</v>
      </c>
      <c r="E1520" s="65">
        <v>250</v>
      </c>
      <c r="F1520" s="33"/>
      <c r="G1520" t="s">
        <v>453</v>
      </c>
      <c r="H1520" t="s">
        <v>144</v>
      </c>
      <c r="I1520" t="s">
        <v>187</v>
      </c>
      <c r="J1520" t="s">
        <v>135</v>
      </c>
      <c r="K1520" t="s">
        <v>205</v>
      </c>
      <c r="L1520" s="17">
        <v>1</v>
      </c>
      <c r="M1520" s="28" t="s">
        <v>178</v>
      </c>
    </row>
    <row r="1521" spans="1:13" s="25" customFormat="1" x14ac:dyDescent="0.2">
      <c r="A1521">
        <f t="shared" si="23"/>
        <v>1515</v>
      </c>
      <c r="B1521">
        <v>2018</v>
      </c>
      <c r="C1521" t="s">
        <v>191</v>
      </c>
      <c r="D1521" t="s">
        <v>300</v>
      </c>
      <c r="E1521" s="65">
        <v>1030</v>
      </c>
      <c r="F1521" s="33">
        <v>0.24</v>
      </c>
      <c r="G1521" t="s">
        <v>1247</v>
      </c>
      <c r="H1521" t="s">
        <v>144</v>
      </c>
      <c r="I1521" t="s">
        <v>232</v>
      </c>
      <c r="J1521" t="s">
        <v>130</v>
      </c>
      <c r="K1521" t="s">
        <v>214</v>
      </c>
      <c r="L1521" s="17">
        <v>1</v>
      </c>
      <c r="M1521" s="28"/>
    </row>
    <row r="1522" spans="1:13" s="25" customFormat="1" x14ac:dyDescent="0.2">
      <c r="A1522">
        <f t="shared" si="23"/>
        <v>1516</v>
      </c>
      <c r="B1522">
        <v>2018</v>
      </c>
      <c r="C1522" t="s">
        <v>191</v>
      </c>
      <c r="D1522" t="s">
        <v>943</v>
      </c>
      <c r="E1522" s="65">
        <v>710</v>
      </c>
      <c r="F1522" s="33">
        <v>0.75</v>
      </c>
      <c r="G1522" t="s">
        <v>1724</v>
      </c>
      <c r="H1522" t="s">
        <v>144</v>
      </c>
      <c r="I1522" t="s">
        <v>232</v>
      </c>
      <c r="J1522" t="s">
        <v>118</v>
      </c>
      <c r="K1522" t="s">
        <v>195</v>
      </c>
      <c r="L1522" s="17">
        <v>0</v>
      </c>
      <c r="M1522" s="28"/>
    </row>
    <row r="1523" spans="1:13" s="25" customFormat="1" x14ac:dyDescent="0.2">
      <c r="A1523">
        <f t="shared" si="23"/>
        <v>1517</v>
      </c>
      <c r="B1523">
        <v>2018</v>
      </c>
      <c r="C1523" t="s">
        <v>191</v>
      </c>
      <c r="D1523" t="s">
        <v>1725</v>
      </c>
      <c r="E1523" s="65">
        <v>160</v>
      </c>
      <c r="F1523" s="33">
        <v>1</v>
      </c>
      <c r="H1523" t="s">
        <v>150</v>
      </c>
      <c r="I1523" t="s">
        <v>226</v>
      </c>
      <c r="J1523" t="s">
        <v>63</v>
      </c>
      <c r="K1523" t="s">
        <v>201</v>
      </c>
      <c r="L1523" s="17">
        <v>1</v>
      </c>
      <c r="M1523" s="28"/>
    </row>
    <row r="1524" spans="1:13" s="25" customFormat="1" x14ac:dyDescent="0.2">
      <c r="A1524">
        <f t="shared" si="23"/>
        <v>1518</v>
      </c>
      <c r="B1524">
        <v>2018</v>
      </c>
      <c r="C1524" t="s">
        <v>191</v>
      </c>
      <c r="D1524" t="s">
        <v>424</v>
      </c>
      <c r="E1524" s="65">
        <v>640</v>
      </c>
      <c r="F1524" s="33"/>
      <c r="H1524" t="s">
        <v>150</v>
      </c>
      <c r="I1524" t="s">
        <v>226</v>
      </c>
      <c r="J1524" t="s">
        <v>67</v>
      </c>
      <c r="K1524" t="s">
        <v>183</v>
      </c>
      <c r="L1524" s="17">
        <v>1</v>
      </c>
      <c r="M1524" s="28"/>
    </row>
    <row r="1525" spans="1:13" s="25" customFormat="1" x14ac:dyDescent="0.2">
      <c r="A1525">
        <f t="shared" si="23"/>
        <v>1519</v>
      </c>
      <c r="B1525">
        <v>2018</v>
      </c>
      <c r="C1525" t="s">
        <v>191</v>
      </c>
      <c r="D1525" t="s">
        <v>751</v>
      </c>
      <c r="E1525" s="65">
        <v>170</v>
      </c>
      <c r="F1525" s="33">
        <v>0.05</v>
      </c>
      <c r="G1525" t="s">
        <v>1726</v>
      </c>
      <c r="H1525" t="s">
        <v>151</v>
      </c>
      <c r="I1525" t="s">
        <v>224</v>
      </c>
      <c r="J1525" t="s">
        <v>131</v>
      </c>
      <c r="K1525" t="s">
        <v>131</v>
      </c>
      <c r="L1525" s="17">
        <v>0</v>
      </c>
      <c r="M1525" s="28"/>
    </row>
    <row r="1526" spans="1:13" s="25" customFormat="1" x14ac:dyDescent="0.2">
      <c r="A1526">
        <f t="shared" si="23"/>
        <v>1520</v>
      </c>
      <c r="B1526">
        <v>2018</v>
      </c>
      <c r="C1526" t="s">
        <v>191</v>
      </c>
      <c r="D1526" t="s">
        <v>1061</v>
      </c>
      <c r="E1526" s="65">
        <v>100</v>
      </c>
      <c r="F1526" s="33">
        <v>0.5</v>
      </c>
      <c r="G1526" t="s">
        <v>1727</v>
      </c>
      <c r="H1526" t="s">
        <v>154</v>
      </c>
      <c r="I1526" t="s">
        <v>194</v>
      </c>
      <c r="J1526" t="s">
        <v>131</v>
      </c>
      <c r="K1526" t="s">
        <v>131</v>
      </c>
      <c r="L1526" s="17">
        <v>0</v>
      </c>
      <c r="M1526" s="28" t="s">
        <v>178</v>
      </c>
    </row>
    <row r="1527" spans="1:13" s="25" customFormat="1" x14ac:dyDescent="0.2">
      <c r="A1527">
        <f t="shared" si="23"/>
        <v>1521</v>
      </c>
      <c r="B1527">
        <v>2018</v>
      </c>
      <c r="C1527" t="s">
        <v>191</v>
      </c>
      <c r="D1527" t="s">
        <v>1607</v>
      </c>
      <c r="E1527" s="65">
        <v>100</v>
      </c>
      <c r="F1527" s="33"/>
      <c r="G1527" t="s">
        <v>1728</v>
      </c>
      <c r="H1527" t="s">
        <v>154</v>
      </c>
      <c r="I1527" t="s">
        <v>194</v>
      </c>
      <c r="J1527" t="s">
        <v>131</v>
      </c>
      <c r="K1527" t="s">
        <v>131</v>
      </c>
      <c r="L1527" s="17">
        <v>0</v>
      </c>
      <c r="M1527" s="28"/>
    </row>
    <row r="1528" spans="1:13" s="25" customFormat="1" x14ac:dyDescent="0.2">
      <c r="A1528">
        <f t="shared" si="23"/>
        <v>1522</v>
      </c>
      <c r="B1528">
        <v>2018</v>
      </c>
      <c r="C1528" t="s">
        <v>191</v>
      </c>
      <c r="D1528" t="s">
        <v>1729</v>
      </c>
      <c r="E1528" s="65">
        <v>120</v>
      </c>
      <c r="F1528" s="33"/>
      <c r="H1528" t="s">
        <v>151</v>
      </c>
      <c r="I1528" t="s">
        <v>224</v>
      </c>
      <c r="J1528" t="s">
        <v>9</v>
      </c>
      <c r="K1528" t="s">
        <v>9</v>
      </c>
      <c r="L1528" s="17">
        <v>0</v>
      </c>
      <c r="M1528" s="28" t="s">
        <v>178</v>
      </c>
    </row>
    <row r="1529" spans="1:13" s="25" customFormat="1" x14ac:dyDescent="0.2">
      <c r="A1529">
        <f t="shared" si="23"/>
        <v>1523</v>
      </c>
      <c r="B1529">
        <v>2018</v>
      </c>
      <c r="C1529" t="s">
        <v>191</v>
      </c>
      <c r="D1529" t="s">
        <v>1730</v>
      </c>
      <c r="E1529" s="65">
        <v>840</v>
      </c>
      <c r="F1529" s="33"/>
      <c r="H1529" t="s">
        <v>151</v>
      </c>
      <c r="I1529" t="s">
        <v>224</v>
      </c>
      <c r="J1529" t="s">
        <v>72</v>
      </c>
      <c r="K1529" t="s">
        <v>183</v>
      </c>
      <c r="L1529" s="17">
        <v>1</v>
      </c>
      <c r="M1529" s="28" t="s">
        <v>178</v>
      </c>
    </row>
    <row r="1530" spans="1:13" s="25" customFormat="1" x14ac:dyDescent="0.2">
      <c r="A1530">
        <f t="shared" si="23"/>
        <v>1524</v>
      </c>
      <c r="B1530">
        <v>2018</v>
      </c>
      <c r="C1530" t="s">
        <v>198</v>
      </c>
      <c r="D1530" t="s">
        <v>1318</v>
      </c>
      <c r="E1530" s="65">
        <v>540</v>
      </c>
      <c r="F1530" s="33">
        <v>0.01</v>
      </c>
      <c r="G1530" t="s">
        <v>1731</v>
      </c>
      <c r="H1530" t="s">
        <v>142</v>
      </c>
      <c r="J1530" t="s">
        <v>85</v>
      </c>
      <c r="K1530" t="s">
        <v>195</v>
      </c>
      <c r="L1530" s="17">
        <v>0</v>
      </c>
      <c r="M1530" s="28"/>
    </row>
    <row r="1531" spans="1:13" s="25" customFormat="1" x14ac:dyDescent="0.2">
      <c r="A1531">
        <f t="shared" si="23"/>
        <v>1525</v>
      </c>
      <c r="B1531">
        <v>2018</v>
      </c>
      <c r="C1531" t="s">
        <v>198</v>
      </c>
      <c r="D1531" t="s">
        <v>559</v>
      </c>
      <c r="E1531" s="65">
        <v>690</v>
      </c>
      <c r="F1531" s="33">
        <v>0.63</v>
      </c>
      <c r="G1531" t="s">
        <v>1732</v>
      </c>
      <c r="H1531" t="s">
        <v>149</v>
      </c>
      <c r="I1531" t="s">
        <v>236</v>
      </c>
      <c r="J1531" t="s">
        <v>106</v>
      </c>
      <c r="K1531" t="s">
        <v>195</v>
      </c>
      <c r="L1531" s="17">
        <v>1</v>
      </c>
      <c r="M1531" s="28"/>
    </row>
    <row r="1532" spans="1:13" s="25" customFormat="1" x14ac:dyDescent="0.2">
      <c r="A1532">
        <f t="shared" si="23"/>
        <v>1526</v>
      </c>
      <c r="B1532">
        <v>2018</v>
      </c>
      <c r="C1532" t="s">
        <v>198</v>
      </c>
      <c r="D1532" t="s">
        <v>1655</v>
      </c>
      <c r="E1532" s="65">
        <v>2130</v>
      </c>
      <c r="F1532" s="33"/>
      <c r="H1532" t="s">
        <v>149</v>
      </c>
      <c r="I1532" t="s">
        <v>182</v>
      </c>
      <c r="J1532" t="s">
        <v>13</v>
      </c>
      <c r="K1532" t="s">
        <v>201</v>
      </c>
      <c r="L1532" s="17">
        <v>1</v>
      </c>
      <c r="M1532" s="28" t="s">
        <v>178</v>
      </c>
    </row>
    <row r="1533" spans="1:13" s="25" customFormat="1" x14ac:dyDescent="0.2">
      <c r="A1533">
        <f t="shared" si="23"/>
        <v>1527</v>
      </c>
      <c r="B1533">
        <v>2018</v>
      </c>
      <c r="C1533" t="s">
        <v>198</v>
      </c>
      <c r="D1533" t="s">
        <v>557</v>
      </c>
      <c r="E1533" s="65">
        <v>180</v>
      </c>
      <c r="F1533" s="33"/>
      <c r="H1533" t="s">
        <v>150</v>
      </c>
      <c r="I1533" t="s">
        <v>217</v>
      </c>
      <c r="J1533" t="s">
        <v>38</v>
      </c>
      <c r="K1533" t="s">
        <v>214</v>
      </c>
      <c r="L1533" s="17">
        <v>1</v>
      </c>
      <c r="M1533" s="28"/>
    </row>
    <row r="1534" spans="1:13" s="25" customFormat="1" x14ac:dyDescent="0.2">
      <c r="A1534">
        <f t="shared" si="23"/>
        <v>1528</v>
      </c>
      <c r="B1534">
        <v>2018</v>
      </c>
      <c r="C1534" t="s">
        <v>198</v>
      </c>
      <c r="D1534" t="s">
        <v>1654</v>
      </c>
      <c r="E1534" s="65">
        <v>170</v>
      </c>
      <c r="F1534" s="33">
        <v>1</v>
      </c>
      <c r="H1534" t="s">
        <v>150</v>
      </c>
      <c r="I1534" t="s">
        <v>226</v>
      </c>
      <c r="J1534" t="s">
        <v>131</v>
      </c>
      <c r="K1534" t="s">
        <v>131</v>
      </c>
      <c r="L1534" s="17">
        <v>0</v>
      </c>
      <c r="M1534" s="28"/>
    </row>
    <row r="1535" spans="1:13" s="25" customFormat="1" x14ac:dyDescent="0.2">
      <c r="A1535">
        <f t="shared" si="23"/>
        <v>1529</v>
      </c>
      <c r="B1535">
        <v>2018</v>
      </c>
      <c r="C1535" t="s">
        <v>198</v>
      </c>
      <c r="D1535" t="s">
        <v>1685</v>
      </c>
      <c r="E1535" s="65">
        <v>220</v>
      </c>
      <c r="F1535" s="33">
        <v>1</v>
      </c>
      <c r="G1535" t="s">
        <v>1733</v>
      </c>
      <c r="H1535" t="s">
        <v>147</v>
      </c>
      <c r="J1535" t="s">
        <v>20</v>
      </c>
      <c r="K1535" t="s">
        <v>195</v>
      </c>
      <c r="L1535" s="17">
        <v>0</v>
      </c>
      <c r="M1535" s="28"/>
    </row>
    <row r="1536" spans="1:13" s="25" customFormat="1" x14ac:dyDescent="0.2">
      <c r="A1536">
        <f t="shared" si="23"/>
        <v>1530</v>
      </c>
      <c r="B1536">
        <v>2018</v>
      </c>
      <c r="C1536" t="s">
        <v>198</v>
      </c>
      <c r="D1536" s="17" t="s">
        <v>630</v>
      </c>
      <c r="E1536" s="65">
        <v>160</v>
      </c>
      <c r="F1536" s="33">
        <v>0.2</v>
      </c>
      <c r="G1536" t="s">
        <v>1734</v>
      </c>
      <c r="H1536" t="s">
        <v>154</v>
      </c>
      <c r="I1536" t="s">
        <v>194</v>
      </c>
      <c r="J1536" t="s">
        <v>25</v>
      </c>
      <c r="K1536" t="s">
        <v>177</v>
      </c>
      <c r="L1536" s="17">
        <v>0</v>
      </c>
      <c r="M1536" s="28"/>
    </row>
    <row r="1537" spans="1:13" s="25" customFormat="1" x14ac:dyDescent="0.2">
      <c r="A1537">
        <f t="shared" si="23"/>
        <v>1531</v>
      </c>
      <c r="B1537">
        <v>2018</v>
      </c>
      <c r="C1537" t="s">
        <v>198</v>
      </c>
      <c r="D1537" t="s">
        <v>1287</v>
      </c>
      <c r="E1537" s="65">
        <v>1070</v>
      </c>
      <c r="F1537" s="33">
        <v>0.75</v>
      </c>
      <c r="G1537" t="s">
        <v>1735</v>
      </c>
      <c r="H1537" t="s">
        <v>154</v>
      </c>
      <c r="I1537" t="s">
        <v>194</v>
      </c>
      <c r="J1537" t="s">
        <v>61</v>
      </c>
      <c r="K1537" t="s">
        <v>183</v>
      </c>
      <c r="L1537" s="17">
        <v>0</v>
      </c>
      <c r="M1537" s="28"/>
    </row>
    <row r="1538" spans="1:13" s="25" customFormat="1" x14ac:dyDescent="0.2">
      <c r="A1538">
        <f t="shared" si="23"/>
        <v>1532</v>
      </c>
      <c r="B1538">
        <v>2018</v>
      </c>
      <c r="C1538" t="s">
        <v>198</v>
      </c>
      <c r="D1538" t="s">
        <v>1736</v>
      </c>
      <c r="E1538" s="65">
        <v>200</v>
      </c>
      <c r="F1538" s="33">
        <v>1</v>
      </c>
      <c r="H1538" t="s">
        <v>152</v>
      </c>
      <c r="I1538" t="s">
        <v>257</v>
      </c>
      <c r="J1538" t="s">
        <v>52</v>
      </c>
      <c r="K1538" t="s">
        <v>201</v>
      </c>
      <c r="L1538" s="17">
        <v>0</v>
      </c>
      <c r="M1538" s="28" t="s">
        <v>178</v>
      </c>
    </row>
    <row r="1539" spans="1:13" s="25" customFormat="1" x14ac:dyDescent="0.2">
      <c r="A1539">
        <f t="shared" si="23"/>
        <v>1533</v>
      </c>
      <c r="B1539">
        <v>2018</v>
      </c>
      <c r="C1539" t="s">
        <v>198</v>
      </c>
      <c r="D1539" t="s">
        <v>246</v>
      </c>
      <c r="E1539" s="65">
        <v>1390</v>
      </c>
      <c r="F1539" s="33"/>
      <c r="G1539" t="s">
        <v>1737</v>
      </c>
      <c r="H1539" t="s">
        <v>144</v>
      </c>
      <c r="I1539" t="s">
        <v>197</v>
      </c>
      <c r="J1539" t="s">
        <v>96</v>
      </c>
      <c r="K1539" t="s">
        <v>205</v>
      </c>
      <c r="L1539" s="17">
        <v>1</v>
      </c>
      <c r="M1539" s="28"/>
    </row>
    <row r="1540" spans="1:13" s="25" customFormat="1" x14ac:dyDescent="0.2">
      <c r="A1540">
        <f t="shared" si="23"/>
        <v>1534</v>
      </c>
      <c r="B1540">
        <v>2018</v>
      </c>
      <c r="C1540" t="s">
        <v>198</v>
      </c>
      <c r="D1540" t="s">
        <v>822</v>
      </c>
      <c r="E1540" s="65">
        <v>730</v>
      </c>
      <c r="F1540" s="33">
        <v>0.76</v>
      </c>
      <c r="G1540" t="s">
        <v>1738</v>
      </c>
      <c r="H1540" t="s">
        <v>150</v>
      </c>
      <c r="I1540" t="s">
        <v>556</v>
      </c>
      <c r="J1540" t="s">
        <v>128</v>
      </c>
      <c r="K1540" t="s">
        <v>201</v>
      </c>
      <c r="L1540" s="17">
        <v>1</v>
      </c>
      <c r="M1540" s="28"/>
    </row>
    <row r="1541" spans="1:13" s="25" customFormat="1" x14ac:dyDescent="0.2">
      <c r="A1541">
        <f t="shared" si="23"/>
        <v>1535</v>
      </c>
      <c r="B1541">
        <v>2018</v>
      </c>
      <c r="C1541" t="s">
        <v>202</v>
      </c>
      <c r="D1541" t="s">
        <v>559</v>
      </c>
      <c r="E1541" s="65">
        <v>1410</v>
      </c>
      <c r="F1541" s="33">
        <v>1</v>
      </c>
      <c r="G1541" t="s">
        <v>1739</v>
      </c>
      <c r="H1541" t="s">
        <v>149</v>
      </c>
      <c r="I1541" t="s">
        <v>236</v>
      </c>
      <c r="J1541" t="s">
        <v>25</v>
      </c>
      <c r="K1541" t="s">
        <v>177</v>
      </c>
      <c r="L1541" s="17">
        <v>0</v>
      </c>
      <c r="M1541" s="28"/>
    </row>
    <row r="1542" spans="1:13" s="25" customFormat="1" x14ac:dyDescent="0.2">
      <c r="A1542">
        <f t="shared" si="23"/>
        <v>1536</v>
      </c>
      <c r="B1542">
        <v>2018</v>
      </c>
      <c r="C1542" t="s">
        <v>202</v>
      </c>
      <c r="D1542" t="s">
        <v>1740</v>
      </c>
      <c r="E1542" s="65">
        <v>950</v>
      </c>
      <c r="F1542" s="33">
        <v>1</v>
      </c>
      <c r="G1542" t="s">
        <v>1741</v>
      </c>
      <c r="H1542" t="s">
        <v>146</v>
      </c>
      <c r="J1542" t="s">
        <v>20</v>
      </c>
      <c r="K1542" t="s">
        <v>195</v>
      </c>
      <c r="L1542" s="17">
        <v>0</v>
      </c>
      <c r="M1542" s="28"/>
    </row>
    <row r="1543" spans="1:13" s="25" customFormat="1" x14ac:dyDescent="0.2">
      <c r="A1543">
        <f t="shared" ref="A1543:A1606" si="24">ROW()-6</f>
        <v>1537</v>
      </c>
      <c r="B1543">
        <v>2018</v>
      </c>
      <c r="C1543" t="s">
        <v>202</v>
      </c>
      <c r="D1543" t="s">
        <v>698</v>
      </c>
      <c r="E1543" s="65">
        <v>200</v>
      </c>
      <c r="F1543" s="33">
        <v>1</v>
      </c>
      <c r="H1543" t="s">
        <v>150</v>
      </c>
      <c r="I1543" t="s">
        <v>292</v>
      </c>
      <c r="J1543" t="s">
        <v>89</v>
      </c>
      <c r="K1543" t="s">
        <v>219</v>
      </c>
      <c r="L1543" s="17">
        <v>1</v>
      </c>
      <c r="M1543" s="28" t="s">
        <v>178</v>
      </c>
    </row>
    <row r="1544" spans="1:13" s="25" customFormat="1" x14ac:dyDescent="0.2">
      <c r="A1544">
        <f t="shared" si="24"/>
        <v>1538</v>
      </c>
      <c r="B1544">
        <v>2018</v>
      </c>
      <c r="C1544" t="s">
        <v>202</v>
      </c>
      <c r="D1544" t="s">
        <v>479</v>
      </c>
      <c r="E1544" s="65">
        <v>260</v>
      </c>
      <c r="F1544" s="33"/>
      <c r="H1544" t="s">
        <v>150</v>
      </c>
      <c r="I1544" t="s">
        <v>217</v>
      </c>
      <c r="J1544" t="s">
        <v>106</v>
      </c>
      <c r="K1544" t="s">
        <v>195</v>
      </c>
      <c r="L1544" s="17">
        <v>1</v>
      </c>
      <c r="M1544" s="28" t="s">
        <v>178</v>
      </c>
    </row>
    <row r="1545" spans="1:13" s="25" customFormat="1" x14ac:dyDescent="0.2">
      <c r="A1545">
        <f t="shared" si="24"/>
        <v>1539</v>
      </c>
      <c r="B1545">
        <v>2018</v>
      </c>
      <c r="C1545" t="s">
        <v>202</v>
      </c>
      <c r="D1545" t="s">
        <v>554</v>
      </c>
      <c r="E1545" s="65">
        <v>110</v>
      </c>
      <c r="F1545" s="33">
        <v>0.8</v>
      </c>
      <c r="G1545" t="s">
        <v>1742</v>
      </c>
      <c r="H1545" t="s">
        <v>150</v>
      </c>
      <c r="I1545" t="s">
        <v>556</v>
      </c>
      <c r="J1545" t="s">
        <v>85</v>
      </c>
      <c r="K1545" t="s">
        <v>195</v>
      </c>
      <c r="L1545" s="17">
        <v>0</v>
      </c>
      <c r="M1545" s="28"/>
    </row>
    <row r="1546" spans="1:13" s="25" customFormat="1" x14ac:dyDescent="0.2">
      <c r="A1546">
        <f t="shared" si="24"/>
        <v>1540</v>
      </c>
      <c r="B1546">
        <v>2018</v>
      </c>
      <c r="C1546" t="s">
        <v>202</v>
      </c>
      <c r="D1546" t="s">
        <v>822</v>
      </c>
      <c r="E1546" s="65">
        <v>480</v>
      </c>
      <c r="F1546" s="33">
        <v>0.1</v>
      </c>
      <c r="G1546" t="s">
        <v>1743</v>
      </c>
      <c r="H1546" t="s">
        <v>152</v>
      </c>
      <c r="J1546" t="s">
        <v>101</v>
      </c>
      <c r="K1546" t="s">
        <v>201</v>
      </c>
      <c r="L1546" s="17">
        <v>1</v>
      </c>
      <c r="M1546" s="28"/>
    </row>
    <row r="1547" spans="1:13" s="25" customFormat="1" x14ac:dyDescent="0.2">
      <c r="A1547">
        <f t="shared" si="24"/>
        <v>1541</v>
      </c>
      <c r="B1547">
        <v>2018</v>
      </c>
      <c r="C1547" t="s">
        <v>202</v>
      </c>
      <c r="D1547" t="s">
        <v>1744</v>
      </c>
      <c r="E1547" s="65">
        <v>440</v>
      </c>
      <c r="F1547" s="33">
        <v>0.76</v>
      </c>
      <c r="G1547" t="s">
        <v>1745</v>
      </c>
      <c r="H1547" t="s">
        <v>152</v>
      </c>
      <c r="J1547" t="s">
        <v>72</v>
      </c>
      <c r="K1547" t="s">
        <v>183</v>
      </c>
      <c r="L1547" s="17">
        <v>1</v>
      </c>
      <c r="M1547" s="28"/>
    </row>
    <row r="1548" spans="1:13" s="25" customFormat="1" x14ac:dyDescent="0.2">
      <c r="A1548">
        <f t="shared" si="24"/>
        <v>1542</v>
      </c>
      <c r="B1548">
        <v>2018</v>
      </c>
      <c r="C1548" t="s">
        <v>202</v>
      </c>
      <c r="D1548" t="s">
        <v>1746</v>
      </c>
      <c r="E1548" s="65">
        <v>100</v>
      </c>
      <c r="F1548" s="33">
        <v>1</v>
      </c>
      <c r="G1548" t="s">
        <v>1747</v>
      </c>
      <c r="H1548" t="s">
        <v>147</v>
      </c>
      <c r="J1548" t="s">
        <v>57</v>
      </c>
      <c r="K1548" t="s">
        <v>195</v>
      </c>
      <c r="L1548" s="17">
        <v>0</v>
      </c>
      <c r="M1548" s="28"/>
    </row>
    <row r="1549" spans="1:13" s="25" customFormat="1" x14ac:dyDescent="0.2">
      <c r="A1549">
        <f t="shared" si="24"/>
        <v>1543</v>
      </c>
      <c r="B1549">
        <v>2018</v>
      </c>
      <c r="C1549" t="s">
        <v>202</v>
      </c>
      <c r="D1549" t="s">
        <v>600</v>
      </c>
      <c r="E1549" s="65">
        <v>650</v>
      </c>
      <c r="F1549" s="33">
        <v>1</v>
      </c>
      <c r="G1549" t="s">
        <v>1748</v>
      </c>
      <c r="H1549" t="s">
        <v>144</v>
      </c>
      <c r="J1549" t="s">
        <v>65</v>
      </c>
      <c r="K1549" t="s">
        <v>214</v>
      </c>
      <c r="L1549" s="17">
        <v>1</v>
      </c>
      <c r="M1549" s="28"/>
    </row>
    <row r="1550" spans="1:13" s="25" customFormat="1" x14ac:dyDescent="0.2">
      <c r="A1550">
        <f t="shared" si="24"/>
        <v>1544</v>
      </c>
      <c r="B1550">
        <v>2018</v>
      </c>
      <c r="C1550" t="s">
        <v>202</v>
      </c>
      <c r="D1550" t="s">
        <v>263</v>
      </c>
      <c r="E1550" s="65">
        <v>690</v>
      </c>
      <c r="F1550" s="33"/>
      <c r="G1550" t="s">
        <v>1749</v>
      </c>
      <c r="H1550" t="s">
        <v>150</v>
      </c>
      <c r="I1550" t="s">
        <v>217</v>
      </c>
      <c r="J1550" t="s">
        <v>131</v>
      </c>
      <c r="K1550" t="s">
        <v>131</v>
      </c>
      <c r="L1550" s="17">
        <v>0</v>
      </c>
      <c r="M1550" s="28"/>
    </row>
    <row r="1551" spans="1:13" s="25" customFormat="1" ht="15" customHeight="1" x14ac:dyDescent="0.2">
      <c r="A1551">
        <f t="shared" si="24"/>
        <v>1545</v>
      </c>
      <c r="B1551">
        <v>2018</v>
      </c>
      <c r="C1551" t="s">
        <v>202</v>
      </c>
      <c r="D1551" t="s">
        <v>1750</v>
      </c>
      <c r="E1551" s="65">
        <v>300</v>
      </c>
      <c r="F1551" s="33">
        <v>1</v>
      </c>
      <c r="H1551" t="s">
        <v>154</v>
      </c>
      <c r="I1551" t="s">
        <v>194</v>
      </c>
      <c r="J1551" t="s">
        <v>124</v>
      </c>
      <c r="K1551" t="s">
        <v>183</v>
      </c>
      <c r="L1551" s="17">
        <v>1</v>
      </c>
      <c r="M1551" s="28" t="s">
        <v>178</v>
      </c>
    </row>
    <row r="1552" spans="1:13" s="25" customFormat="1" x14ac:dyDescent="0.2">
      <c r="A1552">
        <f t="shared" si="24"/>
        <v>1546</v>
      </c>
      <c r="B1552">
        <v>2018</v>
      </c>
      <c r="C1552" t="s">
        <v>202</v>
      </c>
      <c r="D1552" t="s">
        <v>199</v>
      </c>
      <c r="E1552" s="65">
        <v>360</v>
      </c>
      <c r="F1552" s="33">
        <v>0.1</v>
      </c>
      <c r="G1552" t="s">
        <v>453</v>
      </c>
      <c r="H1552" t="s">
        <v>144</v>
      </c>
      <c r="I1552" t="s">
        <v>187</v>
      </c>
      <c r="J1552" t="s">
        <v>135</v>
      </c>
      <c r="K1552" t="s">
        <v>205</v>
      </c>
      <c r="L1552" s="17">
        <v>1</v>
      </c>
      <c r="M1552" s="28"/>
    </row>
    <row r="1553" spans="1:13" s="25" customFormat="1" x14ac:dyDescent="0.2">
      <c r="A1553">
        <f t="shared" si="24"/>
        <v>1547</v>
      </c>
      <c r="B1553">
        <v>2018</v>
      </c>
      <c r="C1553" t="s">
        <v>202</v>
      </c>
      <c r="D1553" t="s">
        <v>1751</v>
      </c>
      <c r="E1553" s="65">
        <v>150</v>
      </c>
      <c r="F1553" s="33">
        <v>0.49</v>
      </c>
      <c r="G1553" t="s">
        <v>1752</v>
      </c>
      <c r="H1553" t="s">
        <v>148</v>
      </c>
      <c r="J1553" t="s">
        <v>101</v>
      </c>
      <c r="K1553" t="s">
        <v>201</v>
      </c>
      <c r="L1553" s="17">
        <v>1</v>
      </c>
      <c r="M1553" s="28" t="s">
        <v>178</v>
      </c>
    </row>
    <row r="1554" spans="1:13" s="25" customFormat="1" x14ac:dyDescent="0.2">
      <c r="A1554">
        <f t="shared" si="24"/>
        <v>1548</v>
      </c>
      <c r="B1554">
        <v>2018</v>
      </c>
      <c r="C1554" t="s">
        <v>202</v>
      </c>
      <c r="D1554" t="s">
        <v>1091</v>
      </c>
      <c r="E1554" s="65">
        <v>300</v>
      </c>
      <c r="F1554" s="33"/>
      <c r="H1554" t="s">
        <v>151</v>
      </c>
      <c r="I1554" t="s">
        <v>279</v>
      </c>
      <c r="J1554" t="s">
        <v>53</v>
      </c>
      <c r="K1554" t="s">
        <v>183</v>
      </c>
      <c r="L1554" s="17">
        <v>1</v>
      </c>
      <c r="M1554" s="28" t="s">
        <v>178</v>
      </c>
    </row>
    <row r="1555" spans="1:13" s="25" customFormat="1" x14ac:dyDescent="0.2">
      <c r="A1555">
        <f t="shared" si="24"/>
        <v>1549</v>
      </c>
      <c r="B1555">
        <v>2018</v>
      </c>
      <c r="C1555" t="s">
        <v>202</v>
      </c>
      <c r="D1555" t="s">
        <v>399</v>
      </c>
      <c r="E1555" s="65">
        <v>980</v>
      </c>
      <c r="F1555" s="33">
        <v>0.51</v>
      </c>
      <c r="H1555" t="s">
        <v>144</v>
      </c>
      <c r="I1555" t="s">
        <v>273</v>
      </c>
      <c r="J1555" t="s">
        <v>93</v>
      </c>
      <c r="K1555" t="s">
        <v>201</v>
      </c>
      <c r="L1555" s="17">
        <v>1</v>
      </c>
      <c r="M1555" s="28" t="s">
        <v>178</v>
      </c>
    </row>
    <row r="1556" spans="1:13" s="25" customFormat="1" x14ac:dyDescent="0.2">
      <c r="A1556">
        <f t="shared" si="24"/>
        <v>1550</v>
      </c>
      <c r="B1556">
        <v>2018</v>
      </c>
      <c r="C1556" t="s">
        <v>202</v>
      </c>
      <c r="D1556" t="s">
        <v>1093</v>
      </c>
      <c r="E1556" s="65">
        <v>400</v>
      </c>
      <c r="F1556" s="33">
        <v>0.5</v>
      </c>
      <c r="G1556" t="s">
        <v>1753</v>
      </c>
      <c r="H1556" t="s">
        <v>151</v>
      </c>
      <c r="I1556" t="s">
        <v>224</v>
      </c>
      <c r="J1556" t="s">
        <v>131</v>
      </c>
      <c r="K1556" t="s">
        <v>131</v>
      </c>
      <c r="L1556" s="17">
        <v>0</v>
      </c>
      <c r="M1556" s="28" t="s">
        <v>178</v>
      </c>
    </row>
    <row r="1557" spans="1:13" s="25" customFormat="1" x14ac:dyDescent="0.2">
      <c r="A1557">
        <f t="shared" si="24"/>
        <v>1551</v>
      </c>
      <c r="B1557">
        <v>2018</v>
      </c>
      <c r="C1557" t="s">
        <v>202</v>
      </c>
      <c r="D1557" t="s">
        <v>336</v>
      </c>
      <c r="E1557" s="65">
        <v>150</v>
      </c>
      <c r="F1557" s="33"/>
      <c r="H1557" t="s">
        <v>149</v>
      </c>
      <c r="J1557" t="s">
        <v>83</v>
      </c>
      <c r="K1557" t="s">
        <v>219</v>
      </c>
      <c r="L1557" s="17">
        <v>1</v>
      </c>
      <c r="M1557" s="28"/>
    </row>
    <row r="1558" spans="1:13" s="25" customFormat="1" x14ac:dyDescent="0.2">
      <c r="A1558">
        <f t="shared" si="24"/>
        <v>1552</v>
      </c>
      <c r="B1558">
        <v>2018</v>
      </c>
      <c r="C1558" t="s">
        <v>207</v>
      </c>
      <c r="D1558" t="s">
        <v>199</v>
      </c>
      <c r="E1558" s="65">
        <v>2830</v>
      </c>
      <c r="F1558" s="33">
        <v>0.15</v>
      </c>
      <c r="G1558" t="s">
        <v>462</v>
      </c>
      <c r="H1558" t="s">
        <v>144</v>
      </c>
      <c r="I1558" t="s">
        <v>299</v>
      </c>
      <c r="J1558" t="s">
        <v>25</v>
      </c>
      <c r="K1558" t="s">
        <v>177</v>
      </c>
      <c r="L1558" s="17">
        <v>0</v>
      </c>
      <c r="M1558" s="28" t="s">
        <v>178</v>
      </c>
    </row>
    <row r="1559" spans="1:13" s="25" customFormat="1" x14ac:dyDescent="0.2">
      <c r="A1559">
        <f t="shared" si="24"/>
        <v>1553</v>
      </c>
      <c r="B1559">
        <v>2018</v>
      </c>
      <c r="C1559" t="s">
        <v>207</v>
      </c>
      <c r="D1559" t="s">
        <v>1754</v>
      </c>
      <c r="E1559" s="65">
        <v>270</v>
      </c>
      <c r="F1559" s="33">
        <v>0.6</v>
      </c>
      <c r="G1559" t="s">
        <v>1755</v>
      </c>
      <c r="H1559" t="s">
        <v>145</v>
      </c>
      <c r="J1559" t="s">
        <v>138</v>
      </c>
      <c r="K1559" t="s">
        <v>219</v>
      </c>
      <c r="L1559" s="17">
        <v>1</v>
      </c>
      <c r="M1559" s="28"/>
    </row>
    <row r="1560" spans="1:13" s="25" customFormat="1" x14ac:dyDescent="0.2">
      <c r="A1560">
        <f t="shared" si="24"/>
        <v>1554</v>
      </c>
      <c r="B1560">
        <v>2018</v>
      </c>
      <c r="C1560" t="s">
        <v>207</v>
      </c>
      <c r="D1560" t="s">
        <v>454</v>
      </c>
      <c r="E1560" s="65">
        <v>180</v>
      </c>
      <c r="F1560" s="33">
        <v>0.05</v>
      </c>
      <c r="G1560" t="s">
        <v>1756</v>
      </c>
      <c r="H1560" t="s">
        <v>146</v>
      </c>
      <c r="I1560" t="s">
        <v>275</v>
      </c>
      <c r="J1560" t="s">
        <v>19</v>
      </c>
      <c r="K1560" t="s">
        <v>205</v>
      </c>
      <c r="L1560" s="17">
        <v>0</v>
      </c>
      <c r="M1560" s="28"/>
    </row>
    <row r="1561" spans="1:13" s="25" customFormat="1" x14ac:dyDescent="0.2">
      <c r="A1561">
        <f t="shared" si="24"/>
        <v>1555</v>
      </c>
      <c r="B1561">
        <v>2018</v>
      </c>
      <c r="C1561" t="s">
        <v>207</v>
      </c>
      <c r="D1561" t="s">
        <v>822</v>
      </c>
      <c r="E1561" s="65">
        <v>100</v>
      </c>
      <c r="F1561" s="33"/>
      <c r="G1561" t="s">
        <v>1757</v>
      </c>
      <c r="H1561" t="s">
        <v>146</v>
      </c>
      <c r="J1561" t="s">
        <v>19</v>
      </c>
      <c r="K1561" t="s">
        <v>205</v>
      </c>
      <c r="L1561" s="17">
        <v>0</v>
      </c>
      <c r="M1561" s="28"/>
    </row>
    <row r="1562" spans="1:13" s="25" customFormat="1" x14ac:dyDescent="0.2">
      <c r="A1562">
        <f t="shared" si="24"/>
        <v>1556</v>
      </c>
      <c r="B1562">
        <v>2018</v>
      </c>
      <c r="C1562" t="s">
        <v>207</v>
      </c>
      <c r="D1562" t="s">
        <v>822</v>
      </c>
      <c r="E1562" s="65">
        <v>210</v>
      </c>
      <c r="F1562" s="33">
        <v>0.1</v>
      </c>
      <c r="G1562" t="s">
        <v>1632</v>
      </c>
      <c r="H1562" t="s">
        <v>142</v>
      </c>
      <c r="J1562" t="s">
        <v>52</v>
      </c>
      <c r="K1562" t="s">
        <v>201</v>
      </c>
      <c r="L1562" s="17">
        <v>0</v>
      </c>
      <c r="M1562" s="28"/>
    </row>
    <row r="1563" spans="1:13" s="25" customFormat="1" x14ac:dyDescent="0.2">
      <c r="A1563">
        <f t="shared" si="24"/>
        <v>1557</v>
      </c>
      <c r="B1563">
        <v>2018</v>
      </c>
      <c r="C1563" t="s">
        <v>207</v>
      </c>
      <c r="D1563" t="s">
        <v>577</v>
      </c>
      <c r="E1563" s="65">
        <v>550</v>
      </c>
      <c r="F1563" s="33">
        <v>1</v>
      </c>
      <c r="G1563" t="s">
        <v>1758</v>
      </c>
      <c r="H1563" t="s">
        <v>150</v>
      </c>
      <c r="I1563" t="s">
        <v>556</v>
      </c>
      <c r="J1563" t="s">
        <v>58</v>
      </c>
      <c r="K1563" t="s">
        <v>195</v>
      </c>
      <c r="L1563" s="17">
        <v>0</v>
      </c>
      <c r="M1563" s="28"/>
    </row>
    <row r="1564" spans="1:13" s="25" customFormat="1" x14ac:dyDescent="0.2">
      <c r="A1564">
        <f t="shared" si="24"/>
        <v>1558</v>
      </c>
      <c r="B1564">
        <v>2018</v>
      </c>
      <c r="C1564" t="s">
        <v>207</v>
      </c>
      <c r="D1564" t="s">
        <v>1625</v>
      </c>
      <c r="E1564" s="65">
        <v>120</v>
      </c>
      <c r="F1564" s="33"/>
      <c r="H1564" t="s">
        <v>144</v>
      </c>
      <c r="I1564" t="s">
        <v>232</v>
      </c>
      <c r="J1564" t="s">
        <v>9</v>
      </c>
      <c r="K1564" t="s">
        <v>9</v>
      </c>
      <c r="L1564" s="17">
        <v>0</v>
      </c>
      <c r="M1564" s="28"/>
    </row>
    <row r="1565" spans="1:13" s="25" customFormat="1" x14ac:dyDescent="0.2">
      <c r="A1565">
        <f t="shared" si="24"/>
        <v>1559</v>
      </c>
      <c r="B1565">
        <v>2018</v>
      </c>
      <c r="C1565" t="s">
        <v>207</v>
      </c>
      <c r="D1565" t="s">
        <v>474</v>
      </c>
      <c r="E1565" s="65">
        <v>150</v>
      </c>
      <c r="F1565" s="33"/>
      <c r="G1565" t="s">
        <v>1759</v>
      </c>
      <c r="H1565" t="s">
        <v>144</v>
      </c>
      <c r="I1565" t="s">
        <v>232</v>
      </c>
      <c r="J1565" t="s">
        <v>20</v>
      </c>
      <c r="K1565" t="s">
        <v>195</v>
      </c>
      <c r="L1565" s="17">
        <v>0</v>
      </c>
      <c r="M1565" s="28"/>
    </row>
    <row r="1566" spans="1:13" s="25" customFormat="1" x14ac:dyDescent="0.2">
      <c r="A1566">
        <f t="shared" si="24"/>
        <v>1560</v>
      </c>
      <c r="B1566">
        <v>2018</v>
      </c>
      <c r="C1566" t="s">
        <v>207</v>
      </c>
      <c r="D1566" t="s">
        <v>1180</v>
      </c>
      <c r="E1566" s="65">
        <v>110</v>
      </c>
      <c r="F1566" s="33"/>
      <c r="H1566" t="s">
        <v>144</v>
      </c>
      <c r="I1566" t="s">
        <v>232</v>
      </c>
      <c r="J1566" t="s">
        <v>9</v>
      </c>
      <c r="K1566" t="s">
        <v>9</v>
      </c>
      <c r="L1566" s="17">
        <v>0</v>
      </c>
      <c r="M1566" s="28" t="s">
        <v>178</v>
      </c>
    </row>
    <row r="1567" spans="1:13" s="25" customFormat="1" x14ac:dyDescent="0.2">
      <c r="A1567">
        <f t="shared" si="24"/>
        <v>1561</v>
      </c>
      <c r="B1567">
        <v>2018</v>
      </c>
      <c r="C1567" t="s">
        <v>207</v>
      </c>
      <c r="D1567" t="s">
        <v>953</v>
      </c>
      <c r="E1567" s="65">
        <v>340</v>
      </c>
      <c r="F1567" s="33"/>
      <c r="H1567" t="s">
        <v>151</v>
      </c>
      <c r="I1567" t="s">
        <v>224</v>
      </c>
      <c r="J1567" t="s">
        <v>9</v>
      </c>
      <c r="K1567" t="s">
        <v>9</v>
      </c>
      <c r="L1567" s="17">
        <v>0</v>
      </c>
      <c r="M1567" s="28" t="s">
        <v>178</v>
      </c>
    </row>
    <row r="1568" spans="1:13" s="25" customFormat="1" x14ac:dyDescent="0.2">
      <c r="A1568">
        <f t="shared" si="24"/>
        <v>1562</v>
      </c>
      <c r="B1568">
        <v>2018</v>
      </c>
      <c r="C1568" t="s">
        <v>207</v>
      </c>
      <c r="D1568" t="s">
        <v>1760</v>
      </c>
      <c r="E1568" s="65">
        <v>4170</v>
      </c>
      <c r="F1568" s="33">
        <v>0.7</v>
      </c>
      <c r="H1568" t="s">
        <v>154</v>
      </c>
      <c r="I1568" t="s">
        <v>529</v>
      </c>
      <c r="J1568" t="s">
        <v>67</v>
      </c>
      <c r="K1568" t="s">
        <v>183</v>
      </c>
      <c r="L1568" s="17">
        <v>1</v>
      </c>
      <c r="M1568" s="28" t="s">
        <v>178</v>
      </c>
    </row>
    <row r="1569" spans="1:13" s="25" customFormat="1" ht="15" customHeight="1" x14ac:dyDescent="0.2">
      <c r="A1569">
        <f t="shared" si="24"/>
        <v>1563</v>
      </c>
      <c r="B1569">
        <v>2018</v>
      </c>
      <c r="C1569" t="s">
        <v>207</v>
      </c>
      <c r="D1569" t="s">
        <v>483</v>
      </c>
      <c r="E1569" s="65">
        <v>220</v>
      </c>
      <c r="F1569" s="33"/>
      <c r="H1569" t="s">
        <v>144</v>
      </c>
      <c r="I1569" t="s">
        <v>232</v>
      </c>
      <c r="J1569" t="s">
        <v>30</v>
      </c>
      <c r="K1569" t="s">
        <v>195</v>
      </c>
      <c r="L1569" s="17">
        <v>1</v>
      </c>
      <c r="M1569" s="28" t="s">
        <v>178</v>
      </c>
    </row>
    <row r="1570" spans="1:13" s="25" customFormat="1" x14ac:dyDescent="0.2">
      <c r="A1570">
        <f t="shared" si="24"/>
        <v>1564</v>
      </c>
      <c r="B1570">
        <v>2018</v>
      </c>
      <c r="C1570" t="s">
        <v>207</v>
      </c>
      <c r="D1570" t="s">
        <v>1761</v>
      </c>
      <c r="E1570" s="65">
        <v>140</v>
      </c>
      <c r="F1570" s="33"/>
      <c r="H1570" t="s">
        <v>144</v>
      </c>
      <c r="I1570" t="s">
        <v>187</v>
      </c>
      <c r="J1570" t="s">
        <v>72</v>
      </c>
      <c r="K1570" t="s">
        <v>183</v>
      </c>
      <c r="L1570" s="17">
        <v>1</v>
      </c>
      <c r="M1570" s="28"/>
    </row>
    <row r="1571" spans="1:13" s="25" customFormat="1" x14ac:dyDescent="0.2">
      <c r="A1571">
        <f t="shared" si="24"/>
        <v>1565</v>
      </c>
      <c r="B1571">
        <v>2018</v>
      </c>
      <c r="C1571" t="s">
        <v>207</v>
      </c>
      <c r="D1571" t="s">
        <v>244</v>
      </c>
      <c r="E1571" s="65">
        <v>180</v>
      </c>
      <c r="F1571" s="33"/>
      <c r="H1571" t="s">
        <v>149</v>
      </c>
      <c r="I1571" t="s">
        <v>236</v>
      </c>
      <c r="J1571" t="s">
        <v>138</v>
      </c>
      <c r="K1571" t="s">
        <v>219</v>
      </c>
      <c r="L1571" s="17">
        <v>1</v>
      </c>
      <c r="M1571" s="28"/>
    </row>
    <row r="1572" spans="1:13" s="25" customFormat="1" x14ac:dyDescent="0.2">
      <c r="A1572">
        <f t="shared" si="24"/>
        <v>1566</v>
      </c>
      <c r="B1572">
        <v>2018</v>
      </c>
      <c r="C1572" t="s">
        <v>240</v>
      </c>
      <c r="D1572" t="s">
        <v>286</v>
      </c>
      <c r="E1572" s="65">
        <v>2300</v>
      </c>
      <c r="F1572" s="33">
        <v>0.02</v>
      </c>
      <c r="G1572" t="s">
        <v>1612</v>
      </c>
      <c r="H1572" t="s">
        <v>146</v>
      </c>
      <c r="I1572" t="s">
        <v>275</v>
      </c>
      <c r="J1572" t="s">
        <v>20</v>
      </c>
      <c r="K1572" t="s">
        <v>195</v>
      </c>
      <c r="L1572" s="17">
        <v>0</v>
      </c>
      <c r="M1572" s="28"/>
    </row>
    <row r="1573" spans="1:13" s="25" customFormat="1" x14ac:dyDescent="0.2">
      <c r="A1573">
        <f t="shared" si="24"/>
        <v>1567</v>
      </c>
      <c r="B1573">
        <v>2018</v>
      </c>
      <c r="C1573" t="s">
        <v>240</v>
      </c>
      <c r="D1573" t="s">
        <v>927</v>
      </c>
      <c r="E1573" s="65">
        <v>830</v>
      </c>
      <c r="F1573" s="33">
        <v>0.94</v>
      </c>
      <c r="G1573" t="s">
        <v>1762</v>
      </c>
      <c r="H1573" t="s">
        <v>142</v>
      </c>
      <c r="J1573" t="s">
        <v>27</v>
      </c>
      <c r="K1573" t="s">
        <v>205</v>
      </c>
      <c r="L1573" s="17">
        <v>1</v>
      </c>
      <c r="M1573" s="28"/>
    </row>
    <row r="1574" spans="1:13" s="25" customFormat="1" x14ac:dyDescent="0.2">
      <c r="A1574">
        <f t="shared" si="24"/>
        <v>1568</v>
      </c>
      <c r="B1574">
        <v>2018</v>
      </c>
      <c r="C1574" t="s">
        <v>240</v>
      </c>
      <c r="D1574" t="s">
        <v>223</v>
      </c>
      <c r="E1574" s="65">
        <v>270</v>
      </c>
      <c r="F1574" s="33">
        <v>1</v>
      </c>
      <c r="G1574" t="s">
        <v>1763</v>
      </c>
      <c r="H1574" t="s">
        <v>150</v>
      </c>
      <c r="I1574" t="s">
        <v>292</v>
      </c>
      <c r="J1574" t="s">
        <v>45</v>
      </c>
      <c r="K1574" t="s">
        <v>195</v>
      </c>
      <c r="L1574" s="17">
        <v>0</v>
      </c>
      <c r="M1574" s="28"/>
    </row>
    <row r="1575" spans="1:13" s="25" customFormat="1" x14ac:dyDescent="0.2">
      <c r="A1575">
        <f t="shared" si="24"/>
        <v>1569</v>
      </c>
      <c r="B1575">
        <v>2018</v>
      </c>
      <c r="C1575" t="s">
        <v>240</v>
      </c>
      <c r="D1575" t="s">
        <v>1764</v>
      </c>
      <c r="E1575" s="65">
        <v>200</v>
      </c>
      <c r="F1575" s="33">
        <v>1</v>
      </c>
      <c r="H1575" t="s">
        <v>150</v>
      </c>
      <c r="J1575" t="s">
        <v>138</v>
      </c>
      <c r="K1575" t="s">
        <v>219</v>
      </c>
      <c r="L1575" s="17">
        <v>1</v>
      </c>
      <c r="M1575" s="28" t="s">
        <v>178</v>
      </c>
    </row>
    <row r="1576" spans="1:13" s="25" customFormat="1" x14ac:dyDescent="0.2">
      <c r="A1576">
        <f t="shared" si="24"/>
        <v>1570</v>
      </c>
      <c r="B1576">
        <v>2018</v>
      </c>
      <c r="C1576" t="s">
        <v>240</v>
      </c>
      <c r="D1576" t="s">
        <v>221</v>
      </c>
      <c r="E1576" s="65">
        <v>100</v>
      </c>
      <c r="F1576" s="33"/>
      <c r="G1576" t="s">
        <v>1765</v>
      </c>
      <c r="H1576" t="s">
        <v>144</v>
      </c>
      <c r="I1576" t="s">
        <v>187</v>
      </c>
      <c r="J1576" t="s">
        <v>61</v>
      </c>
      <c r="K1576" t="s">
        <v>183</v>
      </c>
      <c r="L1576" s="17">
        <v>0</v>
      </c>
      <c r="M1576" s="28"/>
    </row>
    <row r="1577" spans="1:13" s="25" customFormat="1" x14ac:dyDescent="0.2">
      <c r="A1577">
        <f t="shared" si="24"/>
        <v>1571</v>
      </c>
      <c r="B1577">
        <v>2018</v>
      </c>
      <c r="C1577" t="s">
        <v>240</v>
      </c>
      <c r="D1577" t="s">
        <v>319</v>
      </c>
      <c r="E1577" s="65">
        <v>490</v>
      </c>
      <c r="F1577" s="33">
        <v>0.8</v>
      </c>
      <c r="G1577" t="s">
        <v>1766</v>
      </c>
      <c r="H1577" t="s">
        <v>151</v>
      </c>
      <c r="I1577" t="s">
        <v>224</v>
      </c>
      <c r="J1577" t="s">
        <v>131</v>
      </c>
      <c r="K1577" t="s">
        <v>131</v>
      </c>
      <c r="L1577" s="17">
        <v>0</v>
      </c>
      <c r="M1577" s="28"/>
    </row>
    <row r="1578" spans="1:13" s="25" customFormat="1" x14ac:dyDescent="0.2">
      <c r="A1578">
        <f t="shared" si="24"/>
        <v>1572</v>
      </c>
      <c r="B1578">
        <v>2018</v>
      </c>
      <c r="C1578" t="s">
        <v>240</v>
      </c>
      <c r="D1578" t="s">
        <v>581</v>
      </c>
      <c r="E1578" s="65">
        <v>190</v>
      </c>
      <c r="F1578" s="33"/>
      <c r="H1578" t="s">
        <v>150</v>
      </c>
      <c r="I1578" t="s">
        <v>556</v>
      </c>
      <c r="J1578" t="s">
        <v>52</v>
      </c>
      <c r="K1578" t="s">
        <v>201</v>
      </c>
      <c r="L1578" s="17">
        <v>0</v>
      </c>
      <c r="M1578" s="28" t="s">
        <v>178</v>
      </c>
    </row>
    <row r="1579" spans="1:13" s="25" customFormat="1" x14ac:dyDescent="0.2">
      <c r="A1579">
        <f t="shared" si="24"/>
        <v>1573</v>
      </c>
      <c r="B1579">
        <v>2018</v>
      </c>
      <c r="C1579" t="s">
        <v>240</v>
      </c>
      <c r="D1579" t="s">
        <v>246</v>
      </c>
      <c r="E1579" s="65">
        <v>230</v>
      </c>
      <c r="F1579" s="33">
        <v>0.5</v>
      </c>
      <c r="G1579" t="s">
        <v>737</v>
      </c>
      <c r="H1579" t="s">
        <v>144</v>
      </c>
      <c r="I1579" t="s">
        <v>197</v>
      </c>
      <c r="J1579" t="s">
        <v>28</v>
      </c>
      <c r="K1579" t="s">
        <v>205</v>
      </c>
      <c r="L1579" s="17">
        <v>0</v>
      </c>
      <c r="M1579" s="28"/>
    </row>
    <row r="1580" spans="1:13" s="25" customFormat="1" x14ac:dyDescent="0.2">
      <c r="A1580">
        <f t="shared" si="24"/>
        <v>1574</v>
      </c>
      <c r="B1580">
        <v>2018</v>
      </c>
      <c r="C1580" t="s">
        <v>240</v>
      </c>
      <c r="D1580" t="s">
        <v>307</v>
      </c>
      <c r="E1580" s="65">
        <v>400</v>
      </c>
      <c r="F1580" s="33">
        <v>0.4</v>
      </c>
      <c r="H1580" t="s">
        <v>144</v>
      </c>
      <c r="J1580" t="s">
        <v>97</v>
      </c>
      <c r="K1580" t="s">
        <v>183</v>
      </c>
      <c r="L1580" s="17">
        <v>1</v>
      </c>
      <c r="M1580" s="28" t="s">
        <v>178</v>
      </c>
    </row>
    <row r="1581" spans="1:13" s="25" customFormat="1" x14ac:dyDescent="0.2">
      <c r="A1581">
        <f t="shared" si="24"/>
        <v>1575</v>
      </c>
      <c r="B1581">
        <v>2018</v>
      </c>
      <c r="C1581" t="s">
        <v>240</v>
      </c>
      <c r="D1581" t="s">
        <v>416</v>
      </c>
      <c r="E1581" s="65">
        <v>340</v>
      </c>
      <c r="F1581" s="33"/>
      <c r="H1581" t="s">
        <v>154</v>
      </c>
      <c r="I1581" t="s">
        <v>194</v>
      </c>
      <c r="J1581" t="s">
        <v>52</v>
      </c>
      <c r="K1581" t="s">
        <v>201</v>
      </c>
      <c r="L1581" s="17">
        <v>0</v>
      </c>
      <c r="M1581" s="28"/>
    </row>
    <row r="1582" spans="1:13" s="25" customFormat="1" x14ac:dyDescent="0.2">
      <c r="A1582">
        <f t="shared" si="24"/>
        <v>1576</v>
      </c>
      <c r="B1582">
        <v>2018</v>
      </c>
      <c r="C1582" t="s">
        <v>240</v>
      </c>
      <c r="D1582" t="s">
        <v>538</v>
      </c>
      <c r="E1582" s="65">
        <v>390</v>
      </c>
      <c r="F1582" s="33">
        <v>0.3</v>
      </c>
      <c r="G1582" t="s">
        <v>1767</v>
      </c>
      <c r="H1582" t="s">
        <v>149</v>
      </c>
      <c r="I1582" t="s">
        <v>238</v>
      </c>
      <c r="J1582" t="s">
        <v>53</v>
      </c>
      <c r="K1582" t="s">
        <v>183</v>
      </c>
      <c r="L1582" s="17">
        <v>1</v>
      </c>
      <c r="M1582" s="28" t="s">
        <v>178</v>
      </c>
    </row>
    <row r="1583" spans="1:13" s="25" customFormat="1" x14ac:dyDescent="0.2">
      <c r="A1583">
        <f t="shared" si="24"/>
        <v>1577</v>
      </c>
      <c r="B1583">
        <v>2018</v>
      </c>
      <c r="C1583" t="s">
        <v>212</v>
      </c>
      <c r="D1583" t="s">
        <v>557</v>
      </c>
      <c r="E1583" s="65">
        <v>250</v>
      </c>
      <c r="F1583" s="33">
        <v>0.51</v>
      </c>
      <c r="G1583" t="s">
        <v>1768</v>
      </c>
      <c r="H1583" t="s">
        <v>151</v>
      </c>
      <c r="I1583" t="s">
        <v>279</v>
      </c>
      <c r="J1583" t="s">
        <v>138</v>
      </c>
      <c r="K1583" t="s">
        <v>219</v>
      </c>
      <c r="L1583" s="17">
        <v>1</v>
      </c>
      <c r="M1583" s="28" t="s">
        <v>178</v>
      </c>
    </row>
    <row r="1584" spans="1:13" s="25" customFormat="1" x14ac:dyDescent="0.2">
      <c r="A1584">
        <f t="shared" si="24"/>
        <v>1578</v>
      </c>
      <c r="B1584">
        <v>2018</v>
      </c>
      <c r="C1584" t="s">
        <v>212</v>
      </c>
      <c r="D1584" t="s">
        <v>1011</v>
      </c>
      <c r="E1584" s="65">
        <v>150</v>
      </c>
      <c r="F1584" s="33"/>
      <c r="H1584" t="s">
        <v>149</v>
      </c>
      <c r="I1584" t="s">
        <v>236</v>
      </c>
      <c r="J1584" t="s">
        <v>34</v>
      </c>
      <c r="K1584" t="s">
        <v>219</v>
      </c>
      <c r="L1584" s="17">
        <v>1</v>
      </c>
      <c r="M1584" s="28" t="s">
        <v>178</v>
      </c>
    </row>
    <row r="1585" spans="1:13" s="25" customFormat="1" x14ac:dyDescent="0.2">
      <c r="A1585">
        <f t="shared" si="24"/>
        <v>1579</v>
      </c>
      <c r="B1585">
        <v>2018</v>
      </c>
      <c r="C1585" t="s">
        <v>212</v>
      </c>
      <c r="D1585" t="s">
        <v>1769</v>
      </c>
      <c r="E1585" s="65">
        <v>880</v>
      </c>
      <c r="F1585" s="33">
        <v>0.8</v>
      </c>
      <c r="G1585" t="s">
        <v>1770</v>
      </c>
      <c r="H1585" t="s">
        <v>152</v>
      </c>
      <c r="J1585" t="s">
        <v>85</v>
      </c>
      <c r="K1585" t="s">
        <v>195</v>
      </c>
      <c r="L1585" s="17">
        <v>0</v>
      </c>
      <c r="M1585" s="28"/>
    </row>
    <row r="1586" spans="1:13" s="25" customFormat="1" x14ac:dyDescent="0.2">
      <c r="A1586">
        <f t="shared" si="24"/>
        <v>1580</v>
      </c>
      <c r="B1586">
        <v>2018</v>
      </c>
      <c r="C1586" t="s">
        <v>212</v>
      </c>
      <c r="D1586" t="s">
        <v>1771</v>
      </c>
      <c r="E1586" s="65">
        <v>460</v>
      </c>
      <c r="F1586" s="33">
        <v>1</v>
      </c>
      <c r="H1586" t="s">
        <v>152</v>
      </c>
      <c r="I1586" t="s">
        <v>257</v>
      </c>
      <c r="J1586" t="s">
        <v>52</v>
      </c>
      <c r="K1586" t="s">
        <v>201</v>
      </c>
      <c r="L1586" s="17">
        <v>0</v>
      </c>
      <c r="M1586" s="28" t="s">
        <v>178</v>
      </c>
    </row>
    <row r="1587" spans="1:13" s="25" customFormat="1" x14ac:dyDescent="0.2">
      <c r="A1587">
        <f t="shared" si="24"/>
        <v>1581</v>
      </c>
      <c r="B1587">
        <v>2018</v>
      </c>
      <c r="C1587" t="s">
        <v>212</v>
      </c>
      <c r="D1587" t="s">
        <v>1772</v>
      </c>
      <c r="E1587" s="65">
        <v>280</v>
      </c>
      <c r="F1587" s="33">
        <v>1</v>
      </c>
      <c r="H1587" t="s">
        <v>154</v>
      </c>
      <c r="I1587" t="s">
        <v>194</v>
      </c>
      <c r="J1587" t="s">
        <v>45</v>
      </c>
      <c r="K1587" t="s">
        <v>195</v>
      </c>
      <c r="L1587" s="17">
        <v>0</v>
      </c>
      <c r="M1587" s="28" t="s">
        <v>178</v>
      </c>
    </row>
    <row r="1588" spans="1:13" s="25" customFormat="1" x14ac:dyDescent="0.2">
      <c r="A1588">
        <f t="shared" si="24"/>
        <v>1582</v>
      </c>
      <c r="B1588">
        <v>2018</v>
      </c>
      <c r="C1588" t="s">
        <v>212</v>
      </c>
      <c r="D1588" t="s">
        <v>698</v>
      </c>
      <c r="E1588" s="65">
        <v>2040</v>
      </c>
      <c r="F1588" s="33"/>
      <c r="G1588" t="s">
        <v>1773</v>
      </c>
      <c r="H1588" t="s">
        <v>150</v>
      </c>
      <c r="I1588" t="s">
        <v>292</v>
      </c>
      <c r="J1588" t="s">
        <v>131</v>
      </c>
      <c r="K1588" t="s">
        <v>131</v>
      </c>
      <c r="L1588" s="17">
        <v>0</v>
      </c>
      <c r="M1588" s="28"/>
    </row>
    <row r="1589" spans="1:13" s="25" customFormat="1" x14ac:dyDescent="0.2">
      <c r="A1589">
        <f t="shared" si="24"/>
        <v>1583</v>
      </c>
      <c r="B1589">
        <v>2018</v>
      </c>
      <c r="C1589" t="s">
        <v>212</v>
      </c>
      <c r="D1589" t="s">
        <v>263</v>
      </c>
      <c r="E1589" s="65">
        <v>1780</v>
      </c>
      <c r="F1589" s="33">
        <v>0.11</v>
      </c>
      <c r="G1589" t="s">
        <v>1774</v>
      </c>
      <c r="H1589" t="s">
        <v>144</v>
      </c>
      <c r="I1589" t="s">
        <v>299</v>
      </c>
      <c r="J1589" t="s">
        <v>20</v>
      </c>
      <c r="K1589" t="s">
        <v>195</v>
      </c>
      <c r="L1589" s="17">
        <v>0</v>
      </c>
      <c r="M1589" s="28"/>
    </row>
    <row r="1590" spans="1:13" s="25" customFormat="1" x14ac:dyDescent="0.2">
      <c r="A1590">
        <f t="shared" si="24"/>
        <v>1584</v>
      </c>
      <c r="B1590">
        <v>2018</v>
      </c>
      <c r="C1590" t="s">
        <v>212</v>
      </c>
      <c r="D1590" t="s">
        <v>530</v>
      </c>
      <c r="E1590" s="65">
        <v>130</v>
      </c>
      <c r="F1590" s="33"/>
      <c r="H1590" t="s">
        <v>152</v>
      </c>
      <c r="I1590" t="s">
        <v>257</v>
      </c>
      <c r="J1590" t="s">
        <v>25</v>
      </c>
      <c r="K1590" t="s">
        <v>177</v>
      </c>
      <c r="L1590" s="17">
        <v>0</v>
      </c>
      <c r="M1590" s="28"/>
    </row>
    <row r="1591" spans="1:13" x14ac:dyDescent="0.2">
      <c r="A1591">
        <f t="shared" si="24"/>
        <v>1585</v>
      </c>
      <c r="B1591">
        <v>2018</v>
      </c>
      <c r="C1591" t="s">
        <v>212</v>
      </c>
      <c r="D1591" t="s">
        <v>1775</v>
      </c>
      <c r="E1591" s="65">
        <v>120</v>
      </c>
      <c r="F1591" s="33">
        <v>1</v>
      </c>
      <c r="H1591" t="s">
        <v>150</v>
      </c>
      <c r="I1591" t="s">
        <v>217</v>
      </c>
      <c r="J1591" t="s">
        <v>139</v>
      </c>
      <c r="K1591" t="s">
        <v>219</v>
      </c>
      <c r="L1591" s="17">
        <v>1</v>
      </c>
      <c r="M1591" s="28" t="s">
        <v>178</v>
      </c>
    </row>
    <row r="1592" spans="1:13" x14ac:dyDescent="0.2">
      <c r="A1592">
        <f t="shared" si="24"/>
        <v>1586</v>
      </c>
      <c r="B1592">
        <v>2018</v>
      </c>
      <c r="C1592" t="s">
        <v>212</v>
      </c>
      <c r="D1592" t="s">
        <v>1776</v>
      </c>
      <c r="E1592" s="65">
        <v>150</v>
      </c>
      <c r="G1592" t="s">
        <v>1777</v>
      </c>
      <c r="H1592" t="s">
        <v>150</v>
      </c>
      <c r="I1592" t="s">
        <v>556</v>
      </c>
      <c r="J1592" t="s">
        <v>52</v>
      </c>
      <c r="K1592" t="s">
        <v>201</v>
      </c>
      <c r="L1592" s="17">
        <v>0</v>
      </c>
    </row>
    <row r="1593" spans="1:13" s="25" customFormat="1" x14ac:dyDescent="0.2">
      <c r="A1593">
        <f t="shared" si="24"/>
        <v>1587</v>
      </c>
      <c r="B1593">
        <v>2018</v>
      </c>
      <c r="C1593" t="s">
        <v>212</v>
      </c>
      <c r="D1593" t="s">
        <v>1778</v>
      </c>
      <c r="E1593" s="65">
        <v>360</v>
      </c>
      <c r="F1593" s="33"/>
      <c r="H1593" t="s">
        <v>150</v>
      </c>
      <c r="I1593" t="s">
        <v>292</v>
      </c>
      <c r="J1593" t="s">
        <v>136</v>
      </c>
      <c r="K1593" t="s">
        <v>183</v>
      </c>
      <c r="L1593" s="17">
        <v>1</v>
      </c>
      <c r="M1593" s="28" t="s">
        <v>178</v>
      </c>
    </row>
    <row r="1594" spans="1:13" x14ac:dyDescent="0.2">
      <c r="A1594">
        <f t="shared" si="24"/>
        <v>1588</v>
      </c>
      <c r="B1594">
        <v>2018</v>
      </c>
      <c r="C1594" t="s">
        <v>212</v>
      </c>
      <c r="D1594" t="s">
        <v>1779</v>
      </c>
      <c r="E1594" s="65">
        <v>110</v>
      </c>
      <c r="G1594" t="s">
        <v>1780</v>
      </c>
      <c r="H1594" t="s">
        <v>145</v>
      </c>
      <c r="J1594" t="s">
        <v>45</v>
      </c>
      <c r="K1594" t="s">
        <v>195</v>
      </c>
      <c r="L1594" s="17">
        <v>0</v>
      </c>
    </row>
    <row r="1595" spans="1:13" x14ac:dyDescent="0.2">
      <c r="A1595">
        <f t="shared" si="24"/>
        <v>1589</v>
      </c>
      <c r="B1595">
        <v>2018</v>
      </c>
      <c r="C1595" t="s">
        <v>212</v>
      </c>
      <c r="D1595" t="s">
        <v>714</v>
      </c>
      <c r="E1595" s="65">
        <v>180</v>
      </c>
      <c r="F1595" s="33">
        <v>0.65</v>
      </c>
      <c r="G1595" t="s">
        <v>1781</v>
      </c>
      <c r="H1595" t="s">
        <v>154</v>
      </c>
      <c r="I1595" t="s">
        <v>194</v>
      </c>
      <c r="J1595" t="s">
        <v>136</v>
      </c>
      <c r="K1595" t="s">
        <v>183</v>
      </c>
      <c r="L1595" s="17">
        <v>1</v>
      </c>
      <c r="M1595" s="28" t="s">
        <v>178</v>
      </c>
    </row>
    <row r="1596" spans="1:13" x14ac:dyDescent="0.2">
      <c r="A1596">
        <f t="shared" si="24"/>
        <v>1590</v>
      </c>
      <c r="B1596">
        <v>2018</v>
      </c>
      <c r="C1596" t="s">
        <v>212</v>
      </c>
      <c r="D1596" t="s">
        <v>449</v>
      </c>
      <c r="E1596" s="65">
        <v>920</v>
      </c>
      <c r="H1596" t="s">
        <v>149</v>
      </c>
      <c r="I1596" t="s">
        <v>236</v>
      </c>
      <c r="J1596" t="s">
        <v>37</v>
      </c>
      <c r="K1596" t="s">
        <v>205</v>
      </c>
      <c r="L1596" s="17">
        <v>1</v>
      </c>
    </row>
    <row r="1597" spans="1:13" x14ac:dyDescent="0.2">
      <c r="A1597">
        <f t="shared" si="24"/>
        <v>1591</v>
      </c>
      <c r="B1597">
        <v>2018</v>
      </c>
      <c r="C1597" t="s">
        <v>212</v>
      </c>
      <c r="D1597" t="s">
        <v>530</v>
      </c>
      <c r="E1597" s="65">
        <v>100</v>
      </c>
      <c r="H1597" t="s">
        <v>152</v>
      </c>
      <c r="I1597" t="s">
        <v>257</v>
      </c>
      <c r="J1597" t="s">
        <v>52</v>
      </c>
      <c r="K1597" t="s">
        <v>201</v>
      </c>
      <c r="L1597" s="17">
        <v>0</v>
      </c>
      <c r="M1597" s="28" t="s">
        <v>178</v>
      </c>
    </row>
    <row r="1598" spans="1:13" x14ac:dyDescent="0.2">
      <c r="A1598">
        <f t="shared" si="24"/>
        <v>1592</v>
      </c>
      <c r="B1598">
        <v>2018</v>
      </c>
      <c r="C1598" t="s">
        <v>212</v>
      </c>
      <c r="D1598" t="s">
        <v>554</v>
      </c>
      <c r="E1598" s="65">
        <v>110</v>
      </c>
      <c r="F1598" s="33">
        <v>0.51</v>
      </c>
      <c r="G1598" t="s">
        <v>1782</v>
      </c>
      <c r="H1598" t="s">
        <v>146</v>
      </c>
      <c r="J1598" t="s">
        <v>96</v>
      </c>
      <c r="K1598" t="s">
        <v>205</v>
      </c>
      <c r="L1598" s="17">
        <v>1</v>
      </c>
    </row>
    <row r="1599" spans="1:13" x14ac:dyDescent="0.2">
      <c r="A1599">
        <f t="shared" si="24"/>
        <v>1593</v>
      </c>
      <c r="B1599">
        <v>2018</v>
      </c>
      <c r="C1599" t="s">
        <v>212</v>
      </c>
      <c r="D1599" t="s">
        <v>1783</v>
      </c>
      <c r="E1599" s="65">
        <v>210</v>
      </c>
      <c r="F1599" s="33">
        <v>1</v>
      </c>
      <c r="H1599" t="s">
        <v>154</v>
      </c>
      <c r="I1599" t="s">
        <v>194</v>
      </c>
      <c r="J1599" t="s">
        <v>136</v>
      </c>
      <c r="K1599" t="s">
        <v>183</v>
      </c>
      <c r="L1599" s="17">
        <v>1</v>
      </c>
      <c r="M1599" s="28" t="s">
        <v>178</v>
      </c>
    </row>
    <row r="1600" spans="1:13" x14ac:dyDescent="0.2">
      <c r="A1600">
        <f t="shared" si="24"/>
        <v>1594</v>
      </c>
      <c r="B1600">
        <v>2019</v>
      </c>
      <c r="C1600" t="s">
        <v>172</v>
      </c>
      <c r="D1600" t="s">
        <v>822</v>
      </c>
      <c r="E1600" s="65">
        <v>100</v>
      </c>
      <c r="F1600" s="33">
        <v>1</v>
      </c>
      <c r="G1600" t="s">
        <v>1784</v>
      </c>
      <c r="H1600" t="s">
        <v>152</v>
      </c>
      <c r="J1600" t="s">
        <v>45</v>
      </c>
      <c r="K1600" t="s">
        <v>195</v>
      </c>
      <c r="L1600" s="17">
        <v>0</v>
      </c>
    </row>
    <row r="1601" spans="1:13" x14ac:dyDescent="0.2">
      <c r="A1601">
        <f t="shared" si="24"/>
        <v>1595</v>
      </c>
      <c r="B1601">
        <v>2019</v>
      </c>
      <c r="C1601" t="s">
        <v>172</v>
      </c>
      <c r="D1601" t="s">
        <v>943</v>
      </c>
      <c r="E1601" s="65">
        <v>780</v>
      </c>
      <c r="F1601" s="33">
        <v>1</v>
      </c>
      <c r="G1601" t="s">
        <v>1785</v>
      </c>
      <c r="H1601" t="s">
        <v>144</v>
      </c>
      <c r="I1601" t="s">
        <v>232</v>
      </c>
      <c r="J1601" t="s">
        <v>19</v>
      </c>
      <c r="K1601" t="s">
        <v>205</v>
      </c>
      <c r="L1601" s="17">
        <v>0</v>
      </c>
    </row>
    <row r="1602" spans="1:13" x14ac:dyDescent="0.2">
      <c r="A1602">
        <f t="shared" si="24"/>
        <v>1596</v>
      </c>
      <c r="B1602">
        <v>2019</v>
      </c>
      <c r="C1602" t="s">
        <v>172</v>
      </c>
      <c r="D1602" t="s">
        <v>1705</v>
      </c>
      <c r="E1602" s="65">
        <v>930</v>
      </c>
      <c r="F1602" s="33">
        <v>0.51</v>
      </c>
      <c r="G1602" t="s">
        <v>1650</v>
      </c>
      <c r="H1602" t="s">
        <v>154</v>
      </c>
      <c r="I1602" t="s">
        <v>194</v>
      </c>
      <c r="J1602" t="s">
        <v>118</v>
      </c>
      <c r="K1602" t="s">
        <v>195</v>
      </c>
      <c r="L1602" s="17">
        <v>0</v>
      </c>
    </row>
    <row r="1603" spans="1:13" x14ac:dyDescent="0.2">
      <c r="A1603">
        <f t="shared" si="24"/>
        <v>1597</v>
      </c>
      <c r="B1603">
        <v>2019</v>
      </c>
      <c r="C1603" t="s">
        <v>172</v>
      </c>
      <c r="D1603" t="s">
        <v>1705</v>
      </c>
      <c r="E1603" s="65">
        <v>320</v>
      </c>
      <c r="F1603" s="33">
        <v>0.65</v>
      </c>
      <c r="G1603" t="s">
        <v>1786</v>
      </c>
      <c r="H1603" t="s">
        <v>154</v>
      </c>
      <c r="I1603" t="s">
        <v>194</v>
      </c>
      <c r="J1603" t="s">
        <v>118</v>
      </c>
      <c r="K1603" t="s">
        <v>195</v>
      </c>
      <c r="L1603" s="17">
        <v>0</v>
      </c>
      <c r="M1603" s="28" t="s">
        <v>178</v>
      </c>
    </row>
    <row r="1604" spans="1:13" x14ac:dyDescent="0.2">
      <c r="A1604">
        <f t="shared" si="24"/>
        <v>1598</v>
      </c>
      <c r="B1604">
        <v>2019</v>
      </c>
      <c r="C1604" t="s">
        <v>172</v>
      </c>
      <c r="D1604" t="s">
        <v>651</v>
      </c>
      <c r="E1604" s="65">
        <v>130</v>
      </c>
      <c r="F1604" s="33">
        <v>0.7</v>
      </c>
      <c r="G1604" t="s">
        <v>1787</v>
      </c>
      <c r="H1604" t="s">
        <v>149</v>
      </c>
      <c r="I1604" t="s">
        <v>182</v>
      </c>
      <c r="J1604" t="s">
        <v>124</v>
      </c>
      <c r="K1604" t="s">
        <v>183</v>
      </c>
      <c r="L1604" s="17">
        <v>1</v>
      </c>
    </row>
    <row r="1605" spans="1:13" x14ac:dyDescent="0.2">
      <c r="A1605">
        <f t="shared" si="24"/>
        <v>1599</v>
      </c>
      <c r="B1605">
        <v>2019</v>
      </c>
      <c r="C1605" t="s">
        <v>172</v>
      </c>
      <c r="D1605" t="s">
        <v>651</v>
      </c>
      <c r="E1605" s="65">
        <v>330</v>
      </c>
      <c r="F1605" s="33">
        <v>0.7</v>
      </c>
      <c r="G1605" t="s">
        <v>1787</v>
      </c>
      <c r="H1605" t="s">
        <v>149</v>
      </c>
      <c r="I1605" t="s">
        <v>182</v>
      </c>
      <c r="J1605" t="s">
        <v>108</v>
      </c>
      <c r="K1605" t="s">
        <v>183</v>
      </c>
      <c r="L1605" s="17">
        <v>1</v>
      </c>
    </row>
    <row r="1606" spans="1:13" x14ac:dyDescent="0.2">
      <c r="A1606">
        <f t="shared" si="24"/>
        <v>1600</v>
      </c>
      <c r="B1606">
        <v>2019</v>
      </c>
      <c r="C1606" t="s">
        <v>172</v>
      </c>
      <c r="D1606" t="s">
        <v>269</v>
      </c>
      <c r="E1606" s="65">
        <v>230</v>
      </c>
      <c r="F1606" s="33">
        <v>0.6</v>
      </c>
      <c r="G1606" t="s">
        <v>1788</v>
      </c>
      <c r="H1606" t="s">
        <v>148</v>
      </c>
      <c r="J1606" t="s">
        <v>96</v>
      </c>
      <c r="K1606" t="s">
        <v>205</v>
      </c>
      <c r="L1606" s="17">
        <v>1</v>
      </c>
    </row>
    <row r="1607" spans="1:13" x14ac:dyDescent="0.2">
      <c r="A1607">
        <f t="shared" ref="A1607:A1670" si="25">ROW()-6</f>
        <v>1601</v>
      </c>
      <c r="B1607">
        <v>2019</v>
      </c>
      <c r="C1607" t="s">
        <v>172</v>
      </c>
      <c r="D1607" t="s">
        <v>449</v>
      </c>
      <c r="E1607" s="65">
        <v>300</v>
      </c>
      <c r="F1607" s="33">
        <v>0.09</v>
      </c>
      <c r="H1607" t="s">
        <v>154</v>
      </c>
      <c r="I1607" t="s">
        <v>529</v>
      </c>
      <c r="J1607" t="s">
        <v>97</v>
      </c>
      <c r="K1607" t="s">
        <v>183</v>
      </c>
      <c r="L1607" s="17">
        <v>1</v>
      </c>
      <c r="M1607" s="28" t="s">
        <v>178</v>
      </c>
    </row>
    <row r="1608" spans="1:13" x14ac:dyDescent="0.2">
      <c r="A1608">
        <f t="shared" si="25"/>
        <v>1602</v>
      </c>
      <c r="B1608">
        <v>2019</v>
      </c>
      <c r="C1608" t="s">
        <v>172</v>
      </c>
      <c r="D1608" t="s">
        <v>1789</v>
      </c>
      <c r="E1608" s="65">
        <v>260</v>
      </c>
      <c r="F1608" s="33">
        <v>1</v>
      </c>
      <c r="H1608" t="s">
        <v>150</v>
      </c>
      <c r="I1608" t="s">
        <v>556</v>
      </c>
      <c r="J1608" t="s">
        <v>136</v>
      </c>
      <c r="K1608" t="s">
        <v>183</v>
      </c>
      <c r="L1608" s="17">
        <v>1</v>
      </c>
      <c r="M1608" s="28" t="s">
        <v>178</v>
      </c>
    </row>
    <row r="1609" spans="1:13" x14ac:dyDescent="0.2">
      <c r="A1609">
        <f t="shared" si="25"/>
        <v>1603</v>
      </c>
      <c r="B1609">
        <v>2019</v>
      </c>
      <c r="C1609" t="s">
        <v>172</v>
      </c>
      <c r="D1609" t="s">
        <v>1790</v>
      </c>
      <c r="E1609" s="65">
        <v>340</v>
      </c>
      <c r="G1609" t="s">
        <v>1539</v>
      </c>
      <c r="H1609" t="s">
        <v>154</v>
      </c>
      <c r="I1609" t="s">
        <v>194</v>
      </c>
      <c r="J1609" t="s">
        <v>53</v>
      </c>
      <c r="K1609" t="s">
        <v>183</v>
      </c>
      <c r="L1609" s="17">
        <v>1</v>
      </c>
    </row>
    <row r="1610" spans="1:13" x14ac:dyDescent="0.2">
      <c r="A1610">
        <f t="shared" si="25"/>
        <v>1604</v>
      </c>
      <c r="B1610">
        <v>2019</v>
      </c>
      <c r="C1610" t="s">
        <v>172</v>
      </c>
      <c r="D1610" t="s">
        <v>244</v>
      </c>
      <c r="E1610" s="65">
        <v>140</v>
      </c>
      <c r="G1610" t="s">
        <v>1791</v>
      </c>
      <c r="H1610" t="s">
        <v>143</v>
      </c>
      <c r="J1610" t="s">
        <v>131</v>
      </c>
      <c r="K1610" t="s">
        <v>131</v>
      </c>
      <c r="L1610" s="17">
        <v>0</v>
      </c>
    </row>
    <row r="1611" spans="1:13" x14ac:dyDescent="0.2">
      <c r="A1611">
        <f t="shared" si="25"/>
        <v>1605</v>
      </c>
      <c r="B1611">
        <v>2019</v>
      </c>
      <c r="C1611" t="s">
        <v>172</v>
      </c>
      <c r="D1611" t="s">
        <v>557</v>
      </c>
      <c r="E1611" s="65">
        <v>990</v>
      </c>
      <c r="H1611" t="s">
        <v>151</v>
      </c>
      <c r="I1611" t="s">
        <v>279</v>
      </c>
      <c r="J1611" t="s">
        <v>123</v>
      </c>
      <c r="K1611" t="s">
        <v>219</v>
      </c>
      <c r="L1611" s="17">
        <v>1</v>
      </c>
      <c r="M1611" s="28" t="s">
        <v>178</v>
      </c>
    </row>
    <row r="1612" spans="1:13" x14ac:dyDescent="0.2">
      <c r="A1612">
        <f t="shared" si="25"/>
        <v>1606</v>
      </c>
      <c r="B1612">
        <v>2019</v>
      </c>
      <c r="C1612" t="s">
        <v>172</v>
      </c>
      <c r="D1612" t="s">
        <v>286</v>
      </c>
      <c r="E1612" s="65">
        <v>720</v>
      </c>
      <c r="F1612" s="33">
        <v>0.5</v>
      </c>
      <c r="G1612" t="s">
        <v>1792</v>
      </c>
      <c r="H1612" t="s">
        <v>151</v>
      </c>
      <c r="I1612" t="s">
        <v>224</v>
      </c>
      <c r="J1612" t="s">
        <v>9</v>
      </c>
      <c r="K1612" t="s">
        <v>9</v>
      </c>
      <c r="L1612" s="17">
        <v>0</v>
      </c>
      <c r="M1612" s="28" t="s">
        <v>178</v>
      </c>
    </row>
    <row r="1613" spans="1:13" x14ac:dyDescent="0.2">
      <c r="A1613">
        <f t="shared" si="25"/>
        <v>1607</v>
      </c>
      <c r="B1613">
        <v>2019</v>
      </c>
      <c r="C1613" t="s">
        <v>172</v>
      </c>
      <c r="D1613" t="s">
        <v>1793</v>
      </c>
      <c r="E1613" s="65">
        <v>180</v>
      </c>
      <c r="H1613" t="s">
        <v>154</v>
      </c>
      <c r="I1613" t="s">
        <v>194</v>
      </c>
      <c r="J1613" t="s">
        <v>13</v>
      </c>
      <c r="K1613" t="s">
        <v>201</v>
      </c>
      <c r="L1613" s="17">
        <v>1</v>
      </c>
    </row>
    <row r="1614" spans="1:13" x14ac:dyDescent="0.2">
      <c r="A1614">
        <f t="shared" si="25"/>
        <v>1608</v>
      </c>
      <c r="B1614">
        <v>2019</v>
      </c>
      <c r="C1614" t="s">
        <v>172</v>
      </c>
      <c r="D1614" t="s">
        <v>1794</v>
      </c>
      <c r="E1614" s="65">
        <v>180</v>
      </c>
      <c r="G1614" t="s">
        <v>1795</v>
      </c>
      <c r="H1614" t="s">
        <v>144</v>
      </c>
      <c r="I1614" t="s">
        <v>232</v>
      </c>
      <c r="J1614" t="s">
        <v>136</v>
      </c>
      <c r="K1614" t="s">
        <v>183</v>
      </c>
      <c r="L1614" s="17">
        <v>1</v>
      </c>
      <c r="M1614" s="28" t="s">
        <v>178</v>
      </c>
    </row>
    <row r="1615" spans="1:13" x14ac:dyDescent="0.2">
      <c r="A1615">
        <f t="shared" si="25"/>
        <v>1609</v>
      </c>
      <c r="B1615">
        <v>2019</v>
      </c>
      <c r="C1615" t="s">
        <v>258</v>
      </c>
      <c r="D1615" t="s">
        <v>454</v>
      </c>
      <c r="E1615" s="65">
        <v>150</v>
      </c>
      <c r="F1615" s="33">
        <v>0.05</v>
      </c>
      <c r="G1615" t="s">
        <v>1796</v>
      </c>
      <c r="H1615" t="s">
        <v>152</v>
      </c>
      <c r="I1615" t="s">
        <v>257</v>
      </c>
      <c r="J1615" t="s">
        <v>131</v>
      </c>
      <c r="K1615" t="s">
        <v>131</v>
      </c>
      <c r="L1615" s="17">
        <v>0</v>
      </c>
    </row>
    <row r="1616" spans="1:13" s="17" customFormat="1" x14ac:dyDescent="0.2">
      <c r="A1616">
        <f t="shared" si="25"/>
        <v>1610</v>
      </c>
      <c r="B1616">
        <v>2019</v>
      </c>
      <c r="C1616" t="s">
        <v>258</v>
      </c>
      <c r="D1616" t="s">
        <v>822</v>
      </c>
      <c r="E1616" s="65">
        <v>690</v>
      </c>
      <c r="F1616" s="33">
        <v>1</v>
      </c>
      <c r="G1616" t="s">
        <v>1797</v>
      </c>
      <c r="H1616" t="s">
        <v>146</v>
      </c>
      <c r="J1616" t="s">
        <v>20</v>
      </c>
      <c r="K1616" t="s">
        <v>195</v>
      </c>
      <c r="L1616" s="17">
        <v>0</v>
      </c>
      <c r="M1616" s="28"/>
    </row>
    <row r="1617" spans="1:13" x14ac:dyDescent="0.2">
      <c r="A1617">
        <f t="shared" si="25"/>
        <v>1611</v>
      </c>
      <c r="B1617">
        <v>2019</v>
      </c>
      <c r="C1617" t="s">
        <v>258</v>
      </c>
      <c r="D1617" t="s">
        <v>1129</v>
      </c>
      <c r="E1617" s="65">
        <v>240</v>
      </c>
      <c r="H1617" t="s">
        <v>144</v>
      </c>
      <c r="I1617" t="s">
        <v>232</v>
      </c>
      <c r="J1617" t="s">
        <v>72</v>
      </c>
      <c r="K1617" t="s">
        <v>183</v>
      </c>
      <c r="L1617" s="17">
        <v>1</v>
      </c>
      <c r="M1617" s="28" t="s">
        <v>178</v>
      </c>
    </row>
    <row r="1618" spans="1:13" x14ac:dyDescent="0.2">
      <c r="A1618">
        <f t="shared" si="25"/>
        <v>1612</v>
      </c>
      <c r="B1618">
        <v>2019</v>
      </c>
      <c r="C1618" t="s">
        <v>258</v>
      </c>
      <c r="D1618" t="s">
        <v>1180</v>
      </c>
      <c r="E1618" s="65">
        <v>220</v>
      </c>
      <c r="G1618" t="s">
        <v>1798</v>
      </c>
      <c r="H1618" t="s">
        <v>144</v>
      </c>
      <c r="I1618" t="s">
        <v>232</v>
      </c>
      <c r="J1618" t="s">
        <v>9</v>
      </c>
      <c r="K1618" t="s">
        <v>9</v>
      </c>
      <c r="L1618" s="17">
        <v>0</v>
      </c>
      <c r="M1618" s="28" t="s">
        <v>178</v>
      </c>
    </row>
    <row r="1619" spans="1:13" x14ac:dyDescent="0.2">
      <c r="A1619">
        <f t="shared" si="25"/>
        <v>1613</v>
      </c>
      <c r="B1619">
        <v>2019</v>
      </c>
      <c r="C1619" t="s">
        <v>258</v>
      </c>
      <c r="D1619" t="s">
        <v>596</v>
      </c>
      <c r="E1619" s="65">
        <v>470</v>
      </c>
      <c r="H1619" t="s">
        <v>144</v>
      </c>
      <c r="I1619" t="s">
        <v>232</v>
      </c>
      <c r="J1619" t="s">
        <v>8</v>
      </c>
      <c r="K1619" t="s">
        <v>205</v>
      </c>
      <c r="L1619" s="17">
        <v>1</v>
      </c>
      <c r="M1619" s="28" t="s">
        <v>178</v>
      </c>
    </row>
    <row r="1620" spans="1:13" x14ac:dyDescent="0.2">
      <c r="A1620">
        <f t="shared" si="25"/>
        <v>1614</v>
      </c>
      <c r="B1620">
        <v>2019</v>
      </c>
      <c r="C1620" t="s">
        <v>258</v>
      </c>
      <c r="D1620" t="s">
        <v>1799</v>
      </c>
      <c r="E1620" s="65">
        <v>220</v>
      </c>
      <c r="H1620" t="s">
        <v>150</v>
      </c>
      <c r="I1620" t="s">
        <v>292</v>
      </c>
      <c r="J1620" t="s">
        <v>40</v>
      </c>
      <c r="K1620" t="s">
        <v>219</v>
      </c>
      <c r="L1620" s="17">
        <v>1</v>
      </c>
      <c r="M1620" s="28" t="s">
        <v>178</v>
      </c>
    </row>
    <row r="1621" spans="1:13" x14ac:dyDescent="0.2">
      <c r="A1621">
        <f t="shared" si="25"/>
        <v>1615</v>
      </c>
      <c r="B1621">
        <v>2019</v>
      </c>
      <c r="C1621" t="s">
        <v>258</v>
      </c>
      <c r="D1621" t="s">
        <v>1625</v>
      </c>
      <c r="E1621" s="65">
        <v>230</v>
      </c>
      <c r="H1621" t="s">
        <v>144</v>
      </c>
      <c r="I1621" t="s">
        <v>232</v>
      </c>
      <c r="J1621" t="s">
        <v>77</v>
      </c>
      <c r="K1621" t="s">
        <v>177</v>
      </c>
      <c r="L1621" s="17">
        <v>0</v>
      </c>
      <c r="M1621" s="28" t="s">
        <v>178</v>
      </c>
    </row>
    <row r="1622" spans="1:13" x14ac:dyDescent="0.2">
      <c r="A1622">
        <f t="shared" si="25"/>
        <v>1616</v>
      </c>
      <c r="B1622">
        <v>2019</v>
      </c>
      <c r="C1622" t="s">
        <v>258</v>
      </c>
      <c r="D1622" t="s">
        <v>1800</v>
      </c>
      <c r="E1622" s="65">
        <v>1620</v>
      </c>
      <c r="H1622" t="s">
        <v>149</v>
      </c>
      <c r="I1622" t="s">
        <v>182</v>
      </c>
      <c r="J1622" t="s">
        <v>53</v>
      </c>
      <c r="K1622" t="s">
        <v>183</v>
      </c>
      <c r="L1622" s="17">
        <v>1</v>
      </c>
      <c r="M1622" s="28" t="s">
        <v>178</v>
      </c>
    </row>
    <row r="1623" spans="1:13" x14ac:dyDescent="0.2">
      <c r="A1623">
        <f t="shared" si="25"/>
        <v>1617</v>
      </c>
      <c r="B1623">
        <v>2019</v>
      </c>
      <c r="C1623" t="s">
        <v>258</v>
      </c>
      <c r="D1623" t="s">
        <v>1801</v>
      </c>
      <c r="E1623" s="65">
        <v>140</v>
      </c>
      <c r="H1623" t="s">
        <v>151</v>
      </c>
      <c r="I1623" t="s">
        <v>224</v>
      </c>
      <c r="J1623" t="s">
        <v>25</v>
      </c>
      <c r="K1623" t="s">
        <v>177</v>
      </c>
      <c r="L1623" s="17">
        <v>0</v>
      </c>
      <c r="M1623" s="28" t="s">
        <v>178</v>
      </c>
    </row>
    <row r="1624" spans="1:13" x14ac:dyDescent="0.2">
      <c r="A1624">
        <f t="shared" si="25"/>
        <v>1618</v>
      </c>
      <c r="B1624">
        <v>2019</v>
      </c>
      <c r="C1624" t="s">
        <v>258</v>
      </c>
      <c r="D1624" t="s">
        <v>724</v>
      </c>
      <c r="E1624" s="65">
        <v>220</v>
      </c>
      <c r="H1624" t="s">
        <v>151</v>
      </c>
      <c r="I1624" t="s">
        <v>224</v>
      </c>
      <c r="J1624" t="s">
        <v>9</v>
      </c>
      <c r="K1624" t="s">
        <v>9</v>
      </c>
      <c r="L1624" s="17">
        <v>0</v>
      </c>
      <c r="M1624" s="28" t="s">
        <v>178</v>
      </c>
    </row>
    <row r="1625" spans="1:13" x14ac:dyDescent="0.2">
      <c r="A1625">
        <f t="shared" si="25"/>
        <v>1619</v>
      </c>
      <c r="B1625">
        <v>2019</v>
      </c>
      <c r="C1625" t="s">
        <v>258</v>
      </c>
      <c r="D1625" t="s">
        <v>706</v>
      </c>
      <c r="E1625" s="65">
        <v>990</v>
      </c>
      <c r="F1625" s="33">
        <v>1</v>
      </c>
      <c r="H1625" t="s">
        <v>154</v>
      </c>
      <c r="I1625" t="s">
        <v>194</v>
      </c>
      <c r="J1625" t="s">
        <v>106</v>
      </c>
      <c r="K1625" t="s">
        <v>195</v>
      </c>
      <c r="L1625" s="17">
        <v>1</v>
      </c>
      <c r="M1625" s="28" t="s">
        <v>178</v>
      </c>
    </row>
    <row r="1626" spans="1:13" x14ac:dyDescent="0.2">
      <c r="A1626">
        <f t="shared" si="25"/>
        <v>1620</v>
      </c>
      <c r="B1626">
        <v>2019</v>
      </c>
      <c r="C1626" t="s">
        <v>258</v>
      </c>
      <c r="D1626" t="s">
        <v>1802</v>
      </c>
      <c r="E1626" s="65">
        <v>100</v>
      </c>
      <c r="H1626" t="s">
        <v>150</v>
      </c>
      <c r="I1626" t="s">
        <v>556</v>
      </c>
      <c r="J1626" t="s">
        <v>52</v>
      </c>
      <c r="K1626" t="s">
        <v>201</v>
      </c>
      <c r="L1626" s="17">
        <v>0</v>
      </c>
    </row>
    <row r="1627" spans="1:13" x14ac:dyDescent="0.2">
      <c r="A1627">
        <f t="shared" si="25"/>
        <v>1621</v>
      </c>
      <c r="B1627" s="17">
        <v>2019</v>
      </c>
      <c r="C1627" s="17" t="s">
        <v>179</v>
      </c>
      <c r="D1627" s="17" t="s">
        <v>1294</v>
      </c>
      <c r="E1627" s="66">
        <v>1930</v>
      </c>
      <c r="F1627" s="37">
        <v>0.45</v>
      </c>
      <c r="G1627" s="17" t="s">
        <v>1803</v>
      </c>
      <c r="H1627" s="17" t="s">
        <v>147</v>
      </c>
      <c r="I1627" s="17"/>
      <c r="J1627" s="17" t="s">
        <v>131</v>
      </c>
      <c r="K1627" s="17" t="s">
        <v>131</v>
      </c>
      <c r="L1627" s="17">
        <v>0</v>
      </c>
      <c r="M1627" s="67"/>
    </row>
    <row r="1628" spans="1:13" x14ac:dyDescent="0.2">
      <c r="A1628">
        <f t="shared" si="25"/>
        <v>1622</v>
      </c>
      <c r="B1628">
        <v>2019</v>
      </c>
      <c r="C1628" t="s">
        <v>179</v>
      </c>
      <c r="D1628" t="s">
        <v>577</v>
      </c>
      <c r="E1628" s="65">
        <v>520</v>
      </c>
      <c r="F1628" s="33">
        <v>1</v>
      </c>
      <c r="H1628" t="s">
        <v>150</v>
      </c>
      <c r="I1628" t="s">
        <v>556</v>
      </c>
      <c r="J1628" t="s">
        <v>52</v>
      </c>
      <c r="K1628" t="s">
        <v>201</v>
      </c>
      <c r="L1628" s="17">
        <v>0</v>
      </c>
      <c r="M1628" s="28" t="s">
        <v>178</v>
      </c>
    </row>
    <row r="1629" spans="1:13" x14ac:dyDescent="0.2">
      <c r="A1629">
        <f t="shared" si="25"/>
        <v>1623</v>
      </c>
      <c r="B1629">
        <v>2019</v>
      </c>
      <c r="C1629" t="s">
        <v>179</v>
      </c>
      <c r="D1629" t="s">
        <v>438</v>
      </c>
      <c r="E1629" s="65">
        <v>280</v>
      </c>
      <c r="F1629" s="33">
        <v>0.5</v>
      </c>
      <c r="H1629" t="s">
        <v>154</v>
      </c>
      <c r="I1629" t="s">
        <v>194</v>
      </c>
      <c r="J1629" t="s">
        <v>42</v>
      </c>
      <c r="K1629" t="s">
        <v>195</v>
      </c>
      <c r="L1629" s="17">
        <v>0</v>
      </c>
    </row>
    <row r="1630" spans="1:13" x14ac:dyDescent="0.2">
      <c r="A1630">
        <f t="shared" si="25"/>
        <v>1624</v>
      </c>
      <c r="B1630">
        <v>2019</v>
      </c>
      <c r="C1630" t="s">
        <v>179</v>
      </c>
      <c r="D1630" t="s">
        <v>263</v>
      </c>
      <c r="E1630" s="65">
        <v>100</v>
      </c>
      <c r="G1630" t="s">
        <v>1804</v>
      </c>
      <c r="H1630" t="s">
        <v>149</v>
      </c>
      <c r="I1630" t="s">
        <v>182</v>
      </c>
      <c r="J1630" t="s">
        <v>101</v>
      </c>
      <c r="K1630" t="s">
        <v>201</v>
      </c>
      <c r="L1630" s="17">
        <v>1</v>
      </c>
    </row>
    <row r="1631" spans="1:13" x14ac:dyDescent="0.2">
      <c r="A1631">
        <f t="shared" si="25"/>
        <v>1625</v>
      </c>
      <c r="B1631">
        <v>2019</v>
      </c>
      <c r="C1631" t="s">
        <v>179</v>
      </c>
      <c r="D1631" t="s">
        <v>1717</v>
      </c>
      <c r="E1631" s="65">
        <v>1080</v>
      </c>
      <c r="F1631" s="33">
        <v>0.68</v>
      </c>
      <c r="G1631" t="s">
        <v>1718</v>
      </c>
      <c r="H1631" t="s">
        <v>145</v>
      </c>
      <c r="J1631" t="s">
        <v>108</v>
      </c>
      <c r="K1631" t="s">
        <v>183</v>
      </c>
      <c r="L1631" s="17">
        <v>1</v>
      </c>
    </row>
    <row r="1632" spans="1:13" x14ac:dyDescent="0.2">
      <c r="A1632">
        <f t="shared" si="25"/>
        <v>1626</v>
      </c>
      <c r="B1632">
        <v>2019</v>
      </c>
      <c r="C1632" t="s">
        <v>179</v>
      </c>
      <c r="D1632" t="s">
        <v>479</v>
      </c>
      <c r="E1632" s="65">
        <v>2080</v>
      </c>
      <c r="H1632" t="s">
        <v>154</v>
      </c>
      <c r="I1632" t="s">
        <v>194</v>
      </c>
      <c r="J1632" t="s">
        <v>23</v>
      </c>
      <c r="K1632" t="s">
        <v>183</v>
      </c>
      <c r="L1632" s="17">
        <v>1</v>
      </c>
      <c r="M1632" s="28" t="s">
        <v>178</v>
      </c>
    </row>
    <row r="1633" spans="1:13" x14ac:dyDescent="0.2">
      <c r="A1633">
        <f t="shared" si="25"/>
        <v>1627</v>
      </c>
      <c r="B1633">
        <v>2019</v>
      </c>
      <c r="C1633" t="s">
        <v>179</v>
      </c>
      <c r="D1633" t="s">
        <v>734</v>
      </c>
      <c r="E1633" s="65">
        <v>400</v>
      </c>
      <c r="F1633" s="33">
        <v>1</v>
      </c>
      <c r="G1633" t="s">
        <v>1805</v>
      </c>
      <c r="H1633" t="s">
        <v>142</v>
      </c>
      <c r="J1633" t="s">
        <v>86</v>
      </c>
      <c r="K1633" t="s">
        <v>183</v>
      </c>
      <c r="L1633" s="17">
        <v>1</v>
      </c>
    </row>
    <row r="1634" spans="1:13" x14ac:dyDescent="0.2">
      <c r="A1634">
        <f t="shared" si="25"/>
        <v>1628</v>
      </c>
      <c r="B1634">
        <v>2019</v>
      </c>
      <c r="C1634" t="s">
        <v>179</v>
      </c>
      <c r="D1634" t="s">
        <v>479</v>
      </c>
      <c r="E1634" s="65">
        <v>110</v>
      </c>
      <c r="F1634" s="33">
        <v>0.75</v>
      </c>
      <c r="G1634" t="s">
        <v>1806</v>
      </c>
      <c r="H1634" t="s">
        <v>150</v>
      </c>
      <c r="I1634" t="s">
        <v>217</v>
      </c>
      <c r="J1634" t="s">
        <v>61</v>
      </c>
      <c r="K1634" t="s">
        <v>183</v>
      </c>
      <c r="L1634" s="17">
        <v>0</v>
      </c>
    </row>
    <row r="1635" spans="1:13" x14ac:dyDescent="0.2">
      <c r="A1635">
        <f t="shared" si="25"/>
        <v>1629</v>
      </c>
      <c r="B1635">
        <v>2019</v>
      </c>
      <c r="C1635" t="s">
        <v>179</v>
      </c>
      <c r="D1635" t="s">
        <v>1807</v>
      </c>
      <c r="E1635" s="65">
        <v>5050</v>
      </c>
      <c r="F1635" s="33">
        <v>0.79</v>
      </c>
      <c r="G1635" t="s">
        <v>1808</v>
      </c>
      <c r="H1635" t="s">
        <v>145</v>
      </c>
      <c r="J1635" t="s">
        <v>41</v>
      </c>
      <c r="K1635" t="s">
        <v>195</v>
      </c>
      <c r="L1635" s="17">
        <v>0</v>
      </c>
    </row>
    <row r="1636" spans="1:13" x14ac:dyDescent="0.2">
      <c r="A1636">
        <f t="shared" si="25"/>
        <v>1630</v>
      </c>
      <c r="B1636">
        <v>2019</v>
      </c>
      <c r="C1636" t="s">
        <v>179</v>
      </c>
      <c r="D1636" t="s">
        <v>1809</v>
      </c>
      <c r="E1636" s="65">
        <v>490</v>
      </c>
      <c r="H1636" t="s">
        <v>150</v>
      </c>
      <c r="I1636" t="s">
        <v>556</v>
      </c>
      <c r="J1636" t="s">
        <v>52</v>
      </c>
      <c r="K1636" t="s">
        <v>201</v>
      </c>
      <c r="L1636" s="17">
        <v>0</v>
      </c>
      <c r="M1636" s="28" t="s">
        <v>178</v>
      </c>
    </row>
    <row r="1637" spans="1:13" x14ac:dyDescent="0.2">
      <c r="A1637">
        <f t="shared" si="25"/>
        <v>1631</v>
      </c>
      <c r="B1637">
        <v>2019</v>
      </c>
      <c r="C1637" t="s">
        <v>179</v>
      </c>
      <c r="D1637" t="s">
        <v>300</v>
      </c>
      <c r="E1637" s="65">
        <v>690</v>
      </c>
      <c r="F1637" s="33">
        <v>0.01</v>
      </c>
      <c r="G1637" t="s">
        <v>1810</v>
      </c>
      <c r="H1637" t="s">
        <v>146</v>
      </c>
      <c r="I1637" t="s">
        <v>275</v>
      </c>
      <c r="J1637" t="s">
        <v>52</v>
      </c>
      <c r="K1637" t="s">
        <v>201</v>
      </c>
      <c r="L1637" s="17">
        <v>0</v>
      </c>
    </row>
    <row r="1638" spans="1:13" x14ac:dyDescent="0.2">
      <c r="A1638">
        <f t="shared" si="25"/>
        <v>1632</v>
      </c>
      <c r="B1638">
        <v>2019</v>
      </c>
      <c r="C1638" t="s">
        <v>179</v>
      </c>
      <c r="D1638" t="s">
        <v>1149</v>
      </c>
      <c r="E1638" s="65">
        <v>320</v>
      </c>
      <c r="H1638" t="s">
        <v>151</v>
      </c>
      <c r="I1638" t="s">
        <v>224</v>
      </c>
      <c r="J1638" t="s">
        <v>9</v>
      </c>
      <c r="K1638" t="s">
        <v>9</v>
      </c>
      <c r="L1638" s="17">
        <v>0</v>
      </c>
      <c r="M1638" s="28" t="s">
        <v>178</v>
      </c>
    </row>
    <row r="1639" spans="1:13" x14ac:dyDescent="0.2">
      <c r="A1639">
        <f t="shared" si="25"/>
        <v>1633</v>
      </c>
      <c r="B1639">
        <v>2019</v>
      </c>
      <c r="C1639" t="s">
        <v>184</v>
      </c>
      <c r="D1639" t="s">
        <v>1448</v>
      </c>
      <c r="E1639" s="65">
        <v>100</v>
      </c>
      <c r="F1639" s="33">
        <v>0.28999999999999998</v>
      </c>
      <c r="G1639" t="s">
        <v>1811</v>
      </c>
      <c r="H1639" t="s">
        <v>149</v>
      </c>
      <c r="J1639" t="s">
        <v>77</v>
      </c>
      <c r="K1639" t="s">
        <v>177</v>
      </c>
      <c r="L1639" s="17">
        <v>0</v>
      </c>
    </row>
    <row r="1640" spans="1:13" x14ac:dyDescent="0.2">
      <c r="A1640">
        <f t="shared" si="25"/>
        <v>1634</v>
      </c>
      <c r="B1640">
        <v>2019</v>
      </c>
      <c r="C1640" t="s">
        <v>184</v>
      </c>
      <c r="D1640" t="s">
        <v>221</v>
      </c>
      <c r="E1640" s="65">
        <v>450</v>
      </c>
      <c r="F1640" s="33">
        <v>0.1</v>
      </c>
      <c r="G1640" t="s">
        <v>1812</v>
      </c>
      <c r="H1640" t="s">
        <v>149</v>
      </c>
      <c r="J1640" t="s">
        <v>25</v>
      </c>
      <c r="K1640" t="s">
        <v>177</v>
      </c>
      <c r="L1640" s="17">
        <v>0</v>
      </c>
    </row>
    <row r="1641" spans="1:13" x14ac:dyDescent="0.2">
      <c r="A1641">
        <f t="shared" si="25"/>
        <v>1635</v>
      </c>
      <c r="B1641">
        <v>2019</v>
      </c>
      <c r="C1641" t="s">
        <v>184</v>
      </c>
      <c r="D1641" t="s">
        <v>818</v>
      </c>
      <c r="E1641" s="65">
        <v>4040</v>
      </c>
      <c r="F1641" s="33">
        <v>0.2</v>
      </c>
      <c r="G1641" t="s">
        <v>1003</v>
      </c>
      <c r="H1641" t="s">
        <v>144</v>
      </c>
      <c r="I1641" t="s">
        <v>299</v>
      </c>
      <c r="J1641" t="s">
        <v>101</v>
      </c>
      <c r="K1641" t="s">
        <v>201</v>
      </c>
      <c r="L1641" s="17">
        <v>1</v>
      </c>
    </row>
    <row r="1642" spans="1:13" x14ac:dyDescent="0.2">
      <c r="A1642">
        <f t="shared" si="25"/>
        <v>1636</v>
      </c>
      <c r="B1642">
        <v>2019</v>
      </c>
      <c r="C1642" t="s">
        <v>184</v>
      </c>
      <c r="D1642" t="s">
        <v>999</v>
      </c>
      <c r="E1642" s="65">
        <v>1090</v>
      </c>
      <c r="F1642" s="33">
        <v>0.22</v>
      </c>
      <c r="G1642" t="s">
        <v>1196</v>
      </c>
      <c r="H1642" t="s">
        <v>153</v>
      </c>
      <c r="J1642" t="s">
        <v>52</v>
      </c>
      <c r="K1642" t="s">
        <v>201</v>
      </c>
      <c r="L1642" s="17">
        <v>0</v>
      </c>
    </row>
    <row r="1643" spans="1:13" x14ac:dyDescent="0.2">
      <c r="A1643">
        <f t="shared" si="25"/>
        <v>1637</v>
      </c>
      <c r="B1643">
        <v>2019</v>
      </c>
      <c r="C1643" t="s">
        <v>184</v>
      </c>
      <c r="D1643" t="s">
        <v>530</v>
      </c>
      <c r="E1643" s="65">
        <v>170</v>
      </c>
      <c r="F1643" s="33">
        <v>1</v>
      </c>
      <c r="H1643" t="s">
        <v>152</v>
      </c>
      <c r="I1643" t="s">
        <v>257</v>
      </c>
      <c r="J1643" t="s">
        <v>64</v>
      </c>
      <c r="K1643" t="s">
        <v>219</v>
      </c>
      <c r="L1643" s="17">
        <v>1</v>
      </c>
      <c r="M1643" s="28" t="s">
        <v>178</v>
      </c>
    </row>
    <row r="1644" spans="1:13" x14ac:dyDescent="0.2">
      <c r="A1644">
        <f t="shared" si="25"/>
        <v>1638</v>
      </c>
      <c r="B1644">
        <v>2019</v>
      </c>
      <c r="C1644" t="s">
        <v>184</v>
      </c>
      <c r="D1644" t="s">
        <v>1813</v>
      </c>
      <c r="E1644" s="65">
        <v>170</v>
      </c>
      <c r="H1644" t="s">
        <v>142</v>
      </c>
      <c r="J1644" t="s">
        <v>136</v>
      </c>
      <c r="K1644" t="s">
        <v>183</v>
      </c>
      <c r="L1644" s="17">
        <v>1</v>
      </c>
      <c r="M1644" s="28" t="s">
        <v>178</v>
      </c>
    </row>
    <row r="1645" spans="1:13" x14ac:dyDescent="0.2">
      <c r="A1645">
        <f t="shared" si="25"/>
        <v>1639</v>
      </c>
      <c r="B1645">
        <v>2019</v>
      </c>
      <c r="C1645" t="s">
        <v>184</v>
      </c>
      <c r="D1645" t="s">
        <v>739</v>
      </c>
      <c r="E1645" s="65">
        <v>150</v>
      </c>
      <c r="H1645" t="s">
        <v>151</v>
      </c>
      <c r="I1645" t="s">
        <v>279</v>
      </c>
      <c r="J1645" t="s">
        <v>134</v>
      </c>
      <c r="K1645" t="s">
        <v>201</v>
      </c>
      <c r="L1645" s="17">
        <v>1</v>
      </c>
      <c r="M1645" s="28" t="s">
        <v>178</v>
      </c>
    </row>
    <row r="1646" spans="1:13" x14ac:dyDescent="0.2">
      <c r="A1646">
        <f t="shared" si="25"/>
        <v>1640</v>
      </c>
      <c r="B1646">
        <v>2019</v>
      </c>
      <c r="C1646" t="s">
        <v>184</v>
      </c>
      <c r="D1646" t="s">
        <v>405</v>
      </c>
      <c r="E1646" s="65">
        <v>220</v>
      </c>
      <c r="F1646" s="33">
        <v>0.08</v>
      </c>
      <c r="G1646" t="s">
        <v>1814</v>
      </c>
      <c r="H1646" t="s">
        <v>149</v>
      </c>
      <c r="I1646" t="s">
        <v>182</v>
      </c>
      <c r="J1646" t="s">
        <v>9</v>
      </c>
      <c r="K1646" t="s">
        <v>9</v>
      </c>
      <c r="L1646" s="17">
        <v>0</v>
      </c>
      <c r="M1646" s="28" t="s">
        <v>178</v>
      </c>
    </row>
    <row r="1647" spans="1:13" x14ac:dyDescent="0.2">
      <c r="A1647">
        <f t="shared" si="25"/>
        <v>1641</v>
      </c>
      <c r="B1647">
        <v>2019</v>
      </c>
      <c r="C1647" t="s">
        <v>184</v>
      </c>
      <c r="D1647" t="s">
        <v>479</v>
      </c>
      <c r="E1647" s="65">
        <v>120</v>
      </c>
      <c r="F1647" s="33">
        <v>0.91</v>
      </c>
      <c r="H1647" t="s">
        <v>150</v>
      </c>
      <c r="I1647" t="s">
        <v>217</v>
      </c>
      <c r="J1647" t="s">
        <v>93</v>
      </c>
      <c r="K1647" t="s">
        <v>201</v>
      </c>
      <c r="L1647" s="17">
        <v>1</v>
      </c>
      <c r="M1647" s="28" t="s">
        <v>178</v>
      </c>
    </row>
    <row r="1648" spans="1:13" s="25" customFormat="1" x14ac:dyDescent="0.2">
      <c r="A1648">
        <f t="shared" si="25"/>
        <v>1642</v>
      </c>
      <c r="B1648">
        <v>2019</v>
      </c>
      <c r="C1648" t="s">
        <v>184</v>
      </c>
      <c r="D1648" t="s">
        <v>483</v>
      </c>
      <c r="E1648" s="65">
        <v>790</v>
      </c>
      <c r="F1648" s="33">
        <v>0.5</v>
      </c>
      <c r="G1648" t="s">
        <v>1815</v>
      </c>
      <c r="H1648" t="s">
        <v>144</v>
      </c>
      <c r="I1648" t="s">
        <v>273</v>
      </c>
      <c r="J1648" t="s">
        <v>13</v>
      </c>
      <c r="K1648" t="s">
        <v>201</v>
      </c>
      <c r="L1648" s="17">
        <v>1</v>
      </c>
      <c r="M1648" s="28" t="s">
        <v>178</v>
      </c>
    </row>
    <row r="1649" spans="1:13" s="25" customFormat="1" x14ac:dyDescent="0.2">
      <c r="A1649">
        <f t="shared" si="25"/>
        <v>1643</v>
      </c>
      <c r="B1649">
        <v>2019</v>
      </c>
      <c r="C1649" t="s">
        <v>184</v>
      </c>
      <c r="D1649" t="s">
        <v>1801</v>
      </c>
      <c r="E1649" s="65">
        <v>140</v>
      </c>
      <c r="F1649" s="33">
        <v>1</v>
      </c>
      <c r="G1649" t="s">
        <v>1816</v>
      </c>
      <c r="H1649" t="s">
        <v>151</v>
      </c>
      <c r="I1649" t="s">
        <v>224</v>
      </c>
      <c r="J1649" t="s">
        <v>9</v>
      </c>
      <c r="K1649" t="s">
        <v>9</v>
      </c>
      <c r="L1649" s="17">
        <v>0</v>
      </c>
      <c r="M1649" s="28"/>
    </row>
    <row r="1650" spans="1:13" s="25" customFormat="1" x14ac:dyDescent="0.2">
      <c r="A1650">
        <f t="shared" si="25"/>
        <v>1644</v>
      </c>
      <c r="B1650">
        <v>2019</v>
      </c>
      <c r="C1650" t="s">
        <v>184</v>
      </c>
      <c r="D1650" t="s">
        <v>1817</v>
      </c>
      <c r="E1650" s="65">
        <v>110</v>
      </c>
      <c r="F1650" s="33"/>
      <c r="H1650" t="s">
        <v>154</v>
      </c>
      <c r="I1650" t="s">
        <v>194</v>
      </c>
      <c r="J1650" t="s">
        <v>106</v>
      </c>
      <c r="K1650" t="s">
        <v>195</v>
      </c>
      <c r="L1650" s="17">
        <v>1</v>
      </c>
      <c r="M1650" s="28" t="s">
        <v>178</v>
      </c>
    </row>
    <row r="1651" spans="1:13" s="25" customFormat="1" x14ac:dyDescent="0.2">
      <c r="A1651">
        <f t="shared" si="25"/>
        <v>1645</v>
      </c>
      <c r="B1651">
        <v>2019</v>
      </c>
      <c r="C1651" t="s">
        <v>184</v>
      </c>
      <c r="D1651" t="s">
        <v>1818</v>
      </c>
      <c r="E1651" s="65">
        <v>300</v>
      </c>
      <c r="F1651" s="33"/>
      <c r="H1651" t="s">
        <v>154</v>
      </c>
      <c r="I1651" t="s">
        <v>194</v>
      </c>
      <c r="J1651" t="s">
        <v>124</v>
      </c>
      <c r="K1651" t="s">
        <v>183</v>
      </c>
      <c r="L1651" s="17">
        <v>1</v>
      </c>
      <c r="M1651" s="28" t="s">
        <v>178</v>
      </c>
    </row>
    <row r="1652" spans="1:13" s="25" customFormat="1" x14ac:dyDescent="0.2">
      <c r="A1652">
        <f t="shared" si="25"/>
        <v>1646</v>
      </c>
      <c r="B1652">
        <v>2019</v>
      </c>
      <c r="C1652" t="s">
        <v>225</v>
      </c>
      <c r="D1652" t="s">
        <v>1819</v>
      </c>
      <c r="E1652" s="65">
        <v>260</v>
      </c>
      <c r="F1652" s="33">
        <v>1</v>
      </c>
      <c r="G1652" t="s">
        <v>1820</v>
      </c>
      <c r="H1652" t="s">
        <v>150</v>
      </c>
      <c r="I1652" t="s">
        <v>292</v>
      </c>
      <c r="J1652" t="s">
        <v>131</v>
      </c>
      <c r="K1652" t="s">
        <v>131</v>
      </c>
      <c r="L1652" s="17">
        <v>0</v>
      </c>
      <c r="M1652" s="28"/>
    </row>
    <row r="1653" spans="1:13" s="25" customFormat="1" x14ac:dyDescent="0.2">
      <c r="A1653">
        <f t="shared" si="25"/>
        <v>1647</v>
      </c>
      <c r="B1653">
        <v>2019</v>
      </c>
      <c r="C1653" t="s">
        <v>225</v>
      </c>
      <c r="D1653" t="s">
        <v>199</v>
      </c>
      <c r="E1653" s="65">
        <v>1070</v>
      </c>
      <c r="F1653" s="33">
        <v>1</v>
      </c>
      <c r="H1653" t="s">
        <v>144</v>
      </c>
      <c r="I1653" t="s">
        <v>299</v>
      </c>
      <c r="J1653" t="s">
        <v>55</v>
      </c>
      <c r="K1653" t="s">
        <v>214</v>
      </c>
      <c r="L1653" s="17">
        <v>1</v>
      </c>
      <c r="M1653" s="28" t="s">
        <v>178</v>
      </c>
    </row>
    <row r="1654" spans="1:13" s="25" customFormat="1" x14ac:dyDescent="0.2">
      <c r="A1654">
        <f t="shared" si="25"/>
        <v>1648</v>
      </c>
      <c r="B1654">
        <v>2019</v>
      </c>
      <c r="C1654" t="s">
        <v>225</v>
      </c>
      <c r="D1654" t="s">
        <v>449</v>
      </c>
      <c r="E1654" s="65">
        <v>250</v>
      </c>
      <c r="F1654" s="33">
        <v>1</v>
      </c>
      <c r="H1654" t="s">
        <v>154</v>
      </c>
      <c r="I1654" t="s">
        <v>271</v>
      </c>
      <c r="J1654" t="s">
        <v>89</v>
      </c>
      <c r="K1654" t="s">
        <v>219</v>
      </c>
      <c r="L1654" s="17">
        <v>1</v>
      </c>
      <c r="M1654" s="28" t="s">
        <v>178</v>
      </c>
    </row>
    <row r="1655" spans="1:13" x14ac:dyDescent="0.2">
      <c r="A1655">
        <f t="shared" si="25"/>
        <v>1649</v>
      </c>
      <c r="B1655">
        <v>2019</v>
      </c>
      <c r="C1655" t="s">
        <v>225</v>
      </c>
      <c r="D1655" t="s">
        <v>479</v>
      </c>
      <c r="E1655" s="65">
        <v>220</v>
      </c>
      <c r="F1655" s="33">
        <v>1</v>
      </c>
      <c r="H1655" t="s">
        <v>149</v>
      </c>
      <c r="I1655" t="s">
        <v>182</v>
      </c>
      <c r="J1655" t="s">
        <v>19</v>
      </c>
      <c r="K1655" t="s">
        <v>205</v>
      </c>
      <c r="L1655" s="17">
        <v>0</v>
      </c>
      <c r="M1655" s="28" t="s">
        <v>178</v>
      </c>
    </row>
    <row r="1656" spans="1:13" x14ac:dyDescent="0.2">
      <c r="A1656">
        <f t="shared" si="25"/>
        <v>1650</v>
      </c>
      <c r="B1656">
        <v>2019</v>
      </c>
      <c r="C1656" t="s">
        <v>225</v>
      </c>
      <c r="D1656" t="s">
        <v>1234</v>
      </c>
      <c r="E1656" s="65">
        <v>560</v>
      </c>
      <c r="F1656" s="33">
        <v>0.51</v>
      </c>
      <c r="G1656" t="s">
        <v>1821</v>
      </c>
      <c r="H1656" t="s">
        <v>154</v>
      </c>
      <c r="I1656" t="s">
        <v>194</v>
      </c>
      <c r="J1656" t="s">
        <v>63</v>
      </c>
      <c r="K1656" t="s">
        <v>201</v>
      </c>
      <c r="L1656" s="17">
        <v>1</v>
      </c>
    </row>
    <row r="1657" spans="1:13" x14ac:dyDescent="0.2">
      <c r="A1657">
        <f t="shared" si="25"/>
        <v>1651</v>
      </c>
      <c r="B1657">
        <v>2019</v>
      </c>
      <c r="C1657" t="s">
        <v>225</v>
      </c>
      <c r="D1657" t="s">
        <v>822</v>
      </c>
      <c r="E1657" s="65">
        <v>100</v>
      </c>
      <c r="G1657" t="s">
        <v>1822</v>
      </c>
      <c r="H1657" t="s">
        <v>145</v>
      </c>
      <c r="J1657" t="s">
        <v>52</v>
      </c>
      <c r="K1657" t="s">
        <v>201</v>
      </c>
      <c r="L1657" s="17">
        <v>0</v>
      </c>
    </row>
    <row r="1658" spans="1:13" x14ac:dyDescent="0.2">
      <c r="A1658">
        <f t="shared" si="25"/>
        <v>1652</v>
      </c>
      <c r="B1658">
        <v>2019</v>
      </c>
      <c r="C1658" t="s">
        <v>225</v>
      </c>
      <c r="D1658" t="s">
        <v>1823</v>
      </c>
      <c r="E1658" s="65">
        <v>100</v>
      </c>
      <c r="F1658" s="33">
        <v>0.5</v>
      </c>
      <c r="G1658" t="s">
        <v>1824</v>
      </c>
      <c r="H1658" t="s">
        <v>150</v>
      </c>
      <c r="I1658" t="s">
        <v>292</v>
      </c>
      <c r="J1658" t="s">
        <v>53</v>
      </c>
      <c r="K1658" t="s">
        <v>183</v>
      </c>
      <c r="L1658" s="17">
        <v>1</v>
      </c>
      <c r="M1658" s="28" t="s">
        <v>178</v>
      </c>
    </row>
    <row r="1659" spans="1:13" x14ac:dyDescent="0.2">
      <c r="A1659">
        <f t="shared" si="25"/>
        <v>1653</v>
      </c>
      <c r="B1659">
        <v>2019</v>
      </c>
      <c r="C1659" t="s">
        <v>225</v>
      </c>
      <c r="D1659" t="s">
        <v>932</v>
      </c>
      <c r="E1659" s="65">
        <v>100</v>
      </c>
      <c r="H1659" t="s">
        <v>150</v>
      </c>
      <c r="I1659" t="s">
        <v>217</v>
      </c>
      <c r="J1659" t="s">
        <v>40</v>
      </c>
      <c r="K1659" t="s">
        <v>219</v>
      </c>
      <c r="L1659" s="17">
        <v>1</v>
      </c>
      <c r="M1659" s="28" t="s">
        <v>178</v>
      </c>
    </row>
    <row r="1660" spans="1:13" x14ac:dyDescent="0.2">
      <c r="A1660">
        <f t="shared" si="25"/>
        <v>1654</v>
      </c>
      <c r="B1660">
        <v>2019</v>
      </c>
      <c r="C1660" t="s">
        <v>225</v>
      </c>
      <c r="D1660" t="s">
        <v>1624</v>
      </c>
      <c r="E1660" s="65">
        <v>150</v>
      </c>
      <c r="F1660" s="33">
        <v>1</v>
      </c>
      <c r="H1660" t="s">
        <v>151</v>
      </c>
      <c r="I1660" t="s">
        <v>279</v>
      </c>
      <c r="J1660" t="s">
        <v>134</v>
      </c>
      <c r="K1660" t="s">
        <v>201</v>
      </c>
      <c r="L1660" s="17">
        <v>1</v>
      </c>
      <c r="M1660" s="28" t="s">
        <v>178</v>
      </c>
    </row>
    <row r="1661" spans="1:13" x14ac:dyDescent="0.2">
      <c r="A1661">
        <f t="shared" si="25"/>
        <v>1655</v>
      </c>
      <c r="B1661">
        <v>2019</v>
      </c>
      <c r="C1661" t="s">
        <v>225</v>
      </c>
      <c r="D1661" t="s">
        <v>1825</v>
      </c>
      <c r="E1661" s="65">
        <v>350</v>
      </c>
      <c r="G1661" t="s">
        <v>1826</v>
      </c>
      <c r="H1661" t="s">
        <v>147</v>
      </c>
      <c r="J1661" t="s">
        <v>131</v>
      </c>
      <c r="K1661" t="s">
        <v>131</v>
      </c>
      <c r="L1661" s="17">
        <v>0</v>
      </c>
    </row>
    <row r="1662" spans="1:13" x14ac:dyDescent="0.2">
      <c r="A1662">
        <f t="shared" si="25"/>
        <v>1656</v>
      </c>
      <c r="B1662">
        <v>2019</v>
      </c>
      <c r="C1662" t="s">
        <v>225</v>
      </c>
      <c r="D1662" t="s">
        <v>234</v>
      </c>
      <c r="E1662" s="65">
        <v>240</v>
      </c>
      <c r="F1662" s="33">
        <v>0.9</v>
      </c>
      <c r="H1662" t="s">
        <v>149</v>
      </c>
      <c r="J1662" t="s">
        <v>63</v>
      </c>
      <c r="K1662" t="s">
        <v>201</v>
      </c>
      <c r="L1662" s="17">
        <v>1</v>
      </c>
      <c r="M1662" s="28" t="s">
        <v>178</v>
      </c>
    </row>
    <row r="1663" spans="1:13" x14ac:dyDescent="0.2">
      <c r="A1663">
        <f t="shared" si="25"/>
        <v>1657</v>
      </c>
      <c r="B1663">
        <v>2019</v>
      </c>
      <c r="C1663" t="s">
        <v>225</v>
      </c>
      <c r="D1663" t="s">
        <v>554</v>
      </c>
      <c r="E1663" s="65">
        <v>190</v>
      </c>
      <c r="F1663" s="33">
        <v>0.02</v>
      </c>
      <c r="G1663" t="s">
        <v>1587</v>
      </c>
      <c r="H1663" t="s">
        <v>146</v>
      </c>
      <c r="J1663" t="s">
        <v>15</v>
      </c>
      <c r="K1663" t="s">
        <v>195</v>
      </c>
      <c r="L1663" s="17">
        <v>0</v>
      </c>
    </row>
    <row r="1664" spans="1:13" x14ac:dyDescent="0.2">
      <c r="A1664">
        <f t="shared" si="25"/>
        <v>1658</v>
      </c>
      <c r="B1664">
        <v>2019</v>
      </c>
      <c r="C1664" t="s">
        <v>188</v>
      </c>
      <c r="D1664" t="s">
        <v>1827</v>
      </c>
      <c r="E1664" s="65">
        <v>740</v>
      </c>
      <c r="F1664" s="33">
        <v>1</v>
      </c>
      <c r="G1664" t="s">
        <v>1828</v>
      </c>
      <c r="H1664" t="s">
        <v>150</v>
      </c>
      <c r="I1664" t="s">
        <v>292</v>
      </c>
      <c r="J1664" t="s">
        <v>52</v>
      </c>
      <c r="K1664" t="s">
        <v>201</v>
      </c>
      <c r="L1664" s="17">
        <v>0</v>
      </c>
      <c r="M1664" s="28" t="s">
        <v>178</v>
      </c>
    </row>
    <row r="1665" spans="1:13" x14ac:dyDescent="0.2">
      <c r="A1665">
        <f t="shared" si="25"/>
        <v>1659</v>
      </c>
      <c r="B1665">
        <v>2019</v>
      </c>
      <c r="C1665" t="s">
        <v>188</v>
      </c>
      <c r="D1665" t="s">
        <v>1829</v>
      </c>
      <c r="E1665" s="65">
        <v>450</v>
      </c>
      <c r="F1665" s="33">
        <v>1</v>
      </c>
      <c r="G1665" t="s">
        <v>1830</v>
      </c>
      <c r="H1665" t="s">
        <v>142</v>
      </c>
      <c r="J1665" t="s">
        <v>20</v>
      </c>
      <c r="K1665" t="s">
        <v>195</v>
      </c>
      <c r="L1665" s="17">
        <v>0</v>
      </c>
    </row>
    <row r="1666" spans="1:13" x14ac:dyDescent="0.2">
      <c r="A1666">
        <f t="shared" si="25"/>
        <v>1660</v>
      </c>
      <c r="B1666">
        <v>2019</v>
      </c>
      <c r="C1666" t="s">
        <v>188</v>
      </c>
      <c r="D1666" t="s">
        <v>221</v>
      </c>
      <c r="E1666" s="65">
        <v>190</v>
      </c>
      <c r="H1666" t="s">
        <v>154</v>
      </c>
      <c r="I1666" t="s">
        <v>194</v>
      </c>
      <c r="J1666" t="s">
        <v>80</v>
      </c>
      <c r="K1666" t="s">
        <v>214</v>
      </c>
      <c r="L1666" s="17">
        <v>1</v>
      </c>
      <c r="M1666" s="28" t="s">
        <v>178</v>
      </c>
    </row>
    <row r="1667" spans="1:13" x14ac:dyDescent="0.2">
      <c r="A1667">
        <f t="shared" si="25"/>
        <v>1661</v>
      </c>
      <c r="B1667">
        <v>2019</v>
      </c>
      <c r="C1667" t="s">
        <v>188</v>
      </c>
      <c r="D1667" t="s">
        <v>300</v>
      </c>
      <c r="E1667" s="65">
        <v>960</v>
      </c>
      <c r="F1667" s="33">
        <v>0.25</v>
      </c>
      <c r="G1667" t="s">
        <v>1831</v>
      </c>
      <c r="H1667" t="s">
        <v>144</v>
      </c>
      <c r="I1667" t="s">
        <v>232</v>
      </c>
      <c r="J1667" t="s">
        <v>105</v>
      </c>
      <c r="K1667" t="s">
        <v>214</v>
      </c>
      <c r="L1667" s="17">
        <v>1</v>
      </c>
    </row>
    <row r="1668" spans="1:13" x14ac:dyDescent="0.2">
      <c r="A1668">
        <f t="shared" si="25"/>
        <v>1662</v>
      </c>
      <c r="B1668">
        <v>2019</v>
      </c>
      <c r="C1668" t="s">
        <v>188</v>
      </c>
      <c r="D1668" t="s">
        <v>1832</v>
      </c>
      <c r="E1668" s="65">
        <v>100</v>
      </c>
      <c r="F1668" s="33">
        <v>1</v>
      </c>
      <c r="G1668" t="s">
        <v>1833</v>
      </c>
      <c r="H1668" t="s">
        <v>150</v>
      </c>
      <c r="I1668" t="s">
        <v>556</v>
      </c>
      <c r="J1668" t="s">
        <v>41</v>
      </c>
      <c r="K1668" t="s">
        <v>195</v>
      </c>
      <c r="L1668" s="17">
        <v>0</v>
      </c>
    </row>
    <row r="1669" spans="1:13" x14ac:dyDescent="0.2">
      <c r="A1669">
        <f t="shared" si="25"/>
        <v>1663</v>
      </c>
      <c r="B1669">
        <v>2019</v>
      </c>
      <c r="C1669" t="s">
        <v>188</v>
      </c>
      <c r="D1669" t="s">
        <v>1234</v>
      </c>
      <c r="E1669" s="65">
        <v>110</v>
      </c>
      <c r="H1669" t="s">
        <v>144</v>
      </c>
      <c r="I1669" t="s">
        <v>232</v>
      </c>
      <c r="J1669" t="s">
        <v>51</v>
      </c>
      <c r="K1669" t="s">
        <v>195</v>
      </c>
      <c r="L1669" s="17">
        <v>1</v>
      </c>
      <c r="M1669" s="28" t="s">
        <v>178</v>
      </c>
    </row>
    <row r="1670" spans="1:13" x14ac:dyDescent="0.2">
      <c r="A1670">
        <f t="shared" si="25"/>
        <v>1664</v>
      </c>
      <c r="B1670">
        <v>2019</v>
      </c>
      <c r="C1670" t="s">
        <v>188</v>
      </c>
      <c r="D1670" t="s">
        <v>1834</v>
      </c>
      <c r="E1670" s="65">
        <v>110</v>
      </c>
      <c r="H1670" t="s">
        <v>151</v>
      </c>
      <c r="I1670" t="s">
        <v>224</v>
      </c>
      <c r="J1670" t="s">
        <v>9</v>
      </c>
      <c r="K1670" t="s">
        <v>9</v>
      </c>
      <c r="L1670" s="17">
        <v>0</v>
      </c>
    </row>
    <row r="1671" spans="1:13" x14ac:dyDescent="0.2">
      <c r="A1671">
        <f t="shared" ref="A1671:A1734" si="26">ROW()-6</f>
        <v>1665</v>
      </c>
      <c r="B1671">
        <v>2019</v>
      </c>
      <c r="C1671" t="s">
        <v>188</v>
      </c>
      <c r="D1671" t="s">
        <v>1035</v>
      </c>
      <c r="E1671" s="65">
        <v>210</v>
      </c>
      <c r="F1671" s="33">
        <v>0.51</v>
      </c>
      <c r="G1671" t="s">
        <v>1835</v>
      </c>
      <c r="H1671" t="s">
        <v>144</v>
      </c>
      <c r="I1671" t="s">
        <v>197</v>
      </c>
      <c r="J1671" t="s">
        <v>34</v>
      </c>
      <c r="K1671" t="s">
        <v>219</v>
      </c>
      <c r="L1671" s="17">
        <v>1</v>
      </c>
      <c r="M1671" s="28" t="s">
        <v>178</v>
      </c>
    </row>
    <row r="1672" spans="1:13" x14ac:dyDescent="0.2">
      <c r="A1672">
        <f t="shared" si="26"/>
        <v>1666</v>
      </c>
      <c r="B1672">
        <v>2019</v>
      </c>
      <c r="C1672" t="s">
        <v>188</v>
      </c>
      <c r="D1672" t="s">
        <v>943</v>
      </c>
      <c r="E1672" s="65">
        <v>7860</v>
      </c>
      <c r="F1672" s="33">
        <v>0.34</v>
      </c>
      <c r="G1672" t="s">
        <v>1836</v>
      </c>
      <c r="H1672" t="s">
        <v>144</v>
      </c>
      <c r="J1672" t="s">
        <v>20</v>
      </c>
      <c r="K1672" t="s">
        <v>195</v>
      </c>
      <c r="L1672" s="17">
        <v>0</v>
      </c>
      <c r="M1672" s="28" t="s">
        <v>178</v>
      </c>
    </row>
    <row r="1673" spans="1:13" x14ac:dyDescent="0.2">
      <c r="A1673">
        <f t="shared" si="26"/>
        <v>1667</v>
      </c>
      <c r="B1673">
        <v>2019</v>
      </c>
      <c r="C1673" t="s">
        <v>191</v>
      </c>
      <c r="D1673" t="s">
        <v>414</v>
      </c>
      <c r="E1673" s="65">
        <v>2750</v>
      </c>
      <c r="F1673" s="33">
        <v>0.05</v>
      </c>
      <c r="G1673" t="s">
        <v>1640</v>
      </c>
      <c r="H1673" t="s">
        <v>154</v>
      </c>
      <c r="I1673" t="s">
        <v>194</v>
      </c>
      <c r="J1673" t="s">
        <v>45</v>
      </c>
      <c r="K1673" t="s">
        <v>195</v>
      </c>
      <c r="L1673" s="17">
        <v>0</v>
      </c>
    </row>
    <row r="1674" spans="1:13" x14ac:dyDescent="0.2">
      <c r="A1674">
        <f t="shared" si="26"/>
        <v>1668</v>
      </c>
      <c r="B1674">
        <v>2019</v>
      </c>
      <c r="C1674" t="s">
        <v>191</v>
      </c>
      <c r="D1674" t="s">
        <v>483</v>
      </c>
      <c r="E1674" s="65">
        <v>130</v>
      </c>
      <c r="H1674" t="s">
        <v>154</v>
      </c>
      <c r="I1674" t="s">
        <v>194</v>
      </c>
      <c r="J1674" t="s">
        <v>45</v>
      </c>
      <c r="K1674" t="s">
        <v>195</v>
      </c>
      <c r="L1674" s="17">
        <v>0</v>
      </c>
    </row>
    <row r="1675" spans="1:13" x14ac:dyDescent="0.2">
      <c r="A1675">
        <f t="shared" si="26"/>
        <v>1669</v>
      </c>
      <c r="B1675">
        <v>2019</v>
      </c>
      <c r="C1675" t="s">
        <v>191</v>
      </c>
      <c r="D1675" t="s">
        <v>724</v>
      </c>
      <c r="E1675" s="65">
        <v>190</v>
      </c>
      <c r="G1675" t="s">
        <v>1837</v>
      </c>
      <c r="H1675" t="s">
        <v>150</v>
      </c>
      <c r="I1675" t="s">
        <v>744</v>
      </c>
      <c r="J1675" t="s">
        <v>20</v>
      </c>
      <c r="K1675" t="s">
        <v>195</v>
      </c>
      <c r="L1675" s="17">
        <v>0</v>
      </c>
    </row>
    <row r="1676" spans="1:13" x14ac:dyDescent="0.2">
      <c r="A1676">
        <f t="shared" si="26"/>
        <v>1670</v>
      </c>
      <c r="B1676">
        <v>2019</v>
      </c>
      <c r="C1676" t="s">
        <v>191</v>
      </c>
      <c r="D1676" t="s">
        <v>1834</v>
      </c>
      <c r="E1676" s="65">
        <v>100</v>
      </c>
      <c r="H1676" t="s">
        <v>153</v>
      </c>
      <c r="J1676" t="s">
        <v>9</v>
      </c>
      <c r="K1676" t="s">
        <v>9</v>
      </c>
      <c r="L1676" s="17">
        <v>0</v>
      </c>
    </row>
    <row r="1677" spans="1:13" x14ac:dyDescent="0.2">
      <c r="A1677">
        <f t="shared" si="26"/>
        <v>1671</v>
      </c>
      <c r="B1677">
        <v>2019</v>
      </c>
      <c r="C1677" t="s">
        <v>191</v>
      </c>
      <c r="D1677" t="s">
        <v>479</v>
      </c>
      <c r="E1677" s="65">
        <v>260</v>
      </c>
      <c r="F1677" s="33">
        <v>0.49</v>
      </c>
      <c r="G1677" t="s">
        <v>1838</v>
      </c>
      <c r="H1677" t="s">
        <v>144</v>
      </c>
      <c r="I1677" t="s">
        <v>299</v>
      </c>
      <c r="J1677" t="s">
        <v>57</v>
      </c>
      <c r="K1677" t="s">
        <v>195</v>
      </c>
      <c r="L1677" s="17">
        <v>0</v>
      </c>
    </row>
    <row r="1678" spans="1:13" x14ac:dyDescent="0.2">
      <c r="A1678">
        <f t="shared" si="26"/>
        <v>1672</v>
      </c>
      <c r="B1678">
        <v>2019</v>
      </c>
      <c r="C1678" t="s">
        <v>191</v>
      </c>
      <c r="D1678" t="s">
        <v>300</v>
      </c>
      <c r="E1678" s="65">
        <v>140</v>
      </c>
      <c r="F1678" s="33">
        <v>0.13</v>
      </c>
      <c r="G1678" t="s">
        <v>1839</v>
      </c>
      <c r="H1678" t="s">
        <v>144</v>
      </c>
      <c r="I1678" t="s">
        <v>232</v>
      </c>
      <c r="J1678" t="s">
        <v>8</v>
      </c>
      <c r="K1678" t="s">
        <v>205</v>
      </c>
      <c r="L1678" s="17">
        <v>1</v>
      </c>
    </row>
    <row r="1679" spans="1:13" x14ac:dyDescent="0.2">
      <c r="A1679">
        <f t="shared" si="26"/>
        <v>1673</v>
      </c>
      <c r="B1679">
        <v>2019</v>
      </c>
      <c r="C1679" t="s">
        <v>191</v>
      </c>
      <c r="D1679" t="s">
        <v>286</v>
      </c>
      <c r="E1679" s="65">
        <v>840</v>
      </c>
      <c r="F1679" s="33">
        <v>0.51</v>
      </c>
      <c r="G1679" t="s">
        <v>1840</v>
      </c>
      <c r="H1679" t="s">
        <v>150</v>
      </c>
      <c r="I1679" t="s">
        <v>744</v>
      </c>
      <c r="J1679" t="s">
        <v>121</v>
      </c>
      <c r="K1679" t="s">
        <v>183</v>
      </c>
      <c r="L1679" s="17">
        <v>0</v>
      </c>
    </row>
    <row r="1680" spans="1:13" x14ac:dyDescent="0.2">
      <c r="A1680">
        <f t="shared" si="26"/>
        <v>1674</v>
      </c>
      <c r="B1680">
        <v>2019</v>
      </c>
      <c r="C1680" t="s">
        <v>191</v>
      </c>
      <c r="D1680" s="52" t="s">
        <v>255</v>
      </c>
      <c r="E1680" s="65">
        <v>120</v>
      </c>
      <c r="H1680" t="s">
        <v>152</v>
      </c>
      <c r="I1680" t="s">
        <v>257</v>
      </c>
      <c r="J1680" t="s">
        <v>108</v>
      </c>
      <c r="K1680" t="s">
        <v>183</v>
      </c>
      <c r="L1680" s="17">
        <v>1</v>
      </c>
      <c r="M1680" s="28" t="s">
        <v>178</v>
      </c>
    </row>
    <row r="1681" spans="1:13" x14ac:dyDescent="0.2">
      <c r="A1681">
        <f t="shared" si="26"/>
        <v>1675</v>
      </c>
      <c r="B1681">
        <v>2019</v>
      </c>
      <c r="C1681" t="s">
        <v>191</v>
      </c>
      <c r="D1681" t="s">
        <v>307</v>
      </c>
      <c r="E1681" s="65">
        <v>100</v>
      </c>
      <c r="H1681" t="s">
        <v>144</v>
      </c>
      <c r="I1681" t="s">
        <v>299</v>
      </c>
      <c r="J1681" t="s">
        <v>9</v>
      </c>
      <c r="K1681" t="s">
        <v>9</v>
      </c>
      <c r="L1681" s="17">
        <v>0</v>
      </c>
      <c r="M1681" s="28" t="s">
        <v>178</v>
      </c>
    </row>
    <row r="1682" spans="1:13" x14ac:dyDescent="0.2">
      <c r="A1682">
        <f t="shared" si="26"/>
        <v>1676</v>
      </c>
      <c r="B1682">
        <v>2019</v>
      </c>
      <c r="C1682" t="s">
        <v>191</v>
      </c>
      <c r="D1682" t="s">
        <v>434</v>
      </c>
      <c r="E1682" s="65">
        <v>130</v>
      </c>
      <c r="G1682" t="s">
        <v>1841</v>
      </c>
      <c r="H1682" t="s">
        <v>143</v>
      </c>
      <c r="J1682" t="s">
        <v>118</v>
      </c>
      <c r="K1682" t="s">
        <v>195</v>
      </c>
      <c r="L1682" s="17">
        <v>0</v>
      </c>
    </row>
    <row r="1683" spans="1:13" x14ac:dyDescent="0.2">
      <c r="A1683">
        <f t="shared" si="26"/>
        <v>1677</v>
      </c>
      <c r="B1683">
        <v>2019</v>
      </c>
      <c r="C1683" t="s">
        <v>191</v>
      </c>
      <c r="D1683" t="s">
        <v>651</v>
      </c>
      <c r="E1683" s="65">
        <v>120</v>
      </c>
      <c r="H1683" t="s">
        <v>149</v>
      </c>
      <c r="I1683" t="s">
        <v>182</v>
      </c>
      <c r="J1683" t="s">
        <v>106</v>
      </c>
      <c r="K1683" t="s">
        <v>195</v>
      </c>
      <c r="L1683" s="17">
        <v>1</v>
      </c>
    </row>
    <row r="1684" spans="1:13" x14ac:dyDescent="0.2">
      <c r="A1684">
        <f t="shared" si="26"/>
        <v>1678</v>
      </c>
      <c r="B1684">
        <v>2019</v>
      </c>
      <c r="C1684" t="s">
        <v>191</v>
      </c>
      <c r="D1684" t="s">
        <v>530</v>
      </c>
      <c r="E1684" s="65">
        <v>1250</v>
      </c>
      <c r="H1684" t="s">
        <v>152</v>
      </c>
      <c r="I1684" t="s">
        <v>257</v>
      </c>
      <c r="J1684" t="s">
        <v>58</v>
      </c>
      <c r="K1684" t="s">
        <v>195</v>
      </c>
      <c r="L1684" s="17">
        <v>0</v>
      </c>
    </row>
    <row r="1685" spans="1:13" x14ac:dyDescent="0.2">
      <c r="A1685">
        <f t="shared" si="26"/>
        <v>1679</v>
      </c>
      <c r="B1685">
        <v>2019</v>
      </c>
      <c r="C1685" t="s">
        <v>191</v>
      </c>
      <c r="D1685" t="s">
        <v>1180</v>
      </c>
      <c r="E1685" s="65">
        <v>110</v>
      </c>
      <c r="F1685" s="33">
        <v>0.8</v>
      </c>
      <c r="H1685" t="s">
        <v>144</v>
      </c>
      <c r="I1685" t="s">
        <v>232</v>
      </c>
      <c r="J1685" t="s">
        <v>63</v>
      </c>
      <c r="K1685" t="s">
        <v>201</v>
      </c>
      <c r="L1685" s="17">
        <v>1</v>
      </c>
      <c r="M1685" s="28" t="s">
        <v>178</v>
      </c>
    </row>
    <row r="1686" spans="1:13" x14ac:dyDescent="0.2">
      <c r="A1686">
        <f t="shared" si="26"/>
        <v>1680</v>
      </c>
      <c r="B1686">
        <v>2019</v>
      </c>
      <c r="C1686" t="s">
        <v>191</v>
      </c>
      <c r="D1686" t="s">
        <v>1842</v>
      </c>
      <c r="E1686" s="65">
        <v>1040</v>
      </c>
      <c r="F1686" s="33">
        <v>1</v>
      </c>
      <c r="H1686" t="s">
        <v>149</v>
      </c>
      <c r="I1686" t="s">
        <v>182</v>
      </c>
      <c r="J1686" t="s">
        <v>107</v>
      </c>
      <c r="K1686" t="s">
        <v>219</v>
      </c>
      <c r="L1686" s="17">
        <v>1</v>
      </c>
      <c r="M1686" s="28" t="s">
        <v>178</v>
      </c>
    </row>
    <row r="1687" spans="1:13" s="17" customFormat="1" x14ac:dyDescent="0.2">
      <c r="A1687">
        <f t="shared" si="26"/>
        <v>1681</v>
      </c>
      <c r="B1687">
        <v>2019</v>
      </c>
      <c r="C1687" t="s">
        <v>198</v>
      </c>
      <c r="D1687" t="s">
        <v>1329</v>
      </c>
      <c r="E1687" s="65">
        <v>170</v>
      </c>
      <c r="F1687" s="33"/>
      <c r="H1687" t="s">
        <v>149</v>
      </c>
      <c r="I1687" t="s">
        <v>236</v>
      </c>
      <c r="J1687" t="s">
        <v>131</v>
      </c>
      <c r="K1687" t="s">
        <v>131</v>
      </c>
      <c r="L1687" s="17">
        <v>0</v>
      </c>
      <c r="M1687" s="28" t="s">
        <v>178</v>
      </c>
    </row>
    <row r="1688" spans="1:13" s="17" customFormat="1" x14ac:dyDescent="0.2">
      <c r="A1688">
        <f t="shared" si="26"/>
        <v>1682</v>
      </c>
      <c r="B1688">
        <v>2019</v>
      </c>
      <c r="C1688" t="s">
        <v>198</v>
      </c>
      <c r="D1688" t="s">
        <v>1843</v>
      </c>
      <c r="E1688" s="65">
        <v>150</v>
      </c>
      <c r="F1688" s="33">
        <v>0.36</v>
      </c>
      <c r="H1688" t="s">
        <v>149</v>
      </c>
      <c r="I1688" t="s">
        <v>182</v>
      </c>
      <c r="J1688" t="s">
        <v>53</v>
      </c>
      <c r="K1688" t="s">
        <v>183</v>
      </c>
      <c r="L1688" s="17">
        <v>1</v>
      </c>
      <c r="M1688" s="28" t="s">
        <v>178</v>
      </c>
    </row>
    <row r="1689" spans="1:13" x14ac:dyDescent="0.2">
      <c r="A1689">
        <f t="shared" si="26"/>
        <v>1683</v>
      </c>
      <c r="B1689">
        <v>2019</v>
      </c>
      <c r="C1689" t="s">
        <v>198</v>
      </c>
      <c r="D1689" t="s">
        <v>577</v>
      </c>
      <c r="E1689" s="65">
        <v>340</v>
      </c>
      <c r="H1689" t="s">
        <v>150</v>
      </c>
      <c r="I1689" t="s">
        <v>556</v>
      </c>
      <c r="J1689" t="s">
        <v>101</v>
      </c>
      <c r="K1689" t="s">
        <v>201</v>
      </c>
      <c r="L1689" s="17">
        <v>1</v>
      </c>
      <c r="M1689" s="28" t="s">
        <v>178</v>
      </c>
    </row>
    <row r="1690" spans="1:13" x14ac:dyDescent="0.2">
      <c r="A1690">
        <f t="shared" si="26"/>
        <v>1684</v>
      </c>
      <c r="B1690">
        <v>2019</v>
      </c>
      <c r="C1690" t="s">
        <v>198</v>
      </c>
      <c r="D1690" t="s">
        <v>1779</v>
      </c>
      <c r="E1690" s="65">
        <v>270</v>
      </c>
      <c r="G1690" t="s">
        <v>1844</v>
      </c>
      <c r="H1690" t="s">
        <v>145</v>
      </c>
      <c r="J1690" t="s">
        <v>41</v>
      </c>
      <c r="K1690" t="s">
        <v>195</v>
      </c>
      <c r="L1690" s="17">
        <v>0</v>
      </c>
    </row>
    <row r="1691" spans="1:13" x14ac:dyDescent="0.2">
      <c r="A1691">
        <f t="shared" si="26"/>
        <v>1685</v>
      </c>
      <c r="B1691">
        <v>2019</v>
      </c>
      <c r="C1691" t="s">
        <v>198</v>
      </c>
      <c r="D1691" t="s">
        <v>1845</v>
      </c>
      <c r="E1691" s="65">
        <v>2210</v>
      </c>
      <c r="F1691" s="33">
        <v>0.24</v>
      </c>
      <c r="G1691" t="s">
        <v>1417</v>
      </c>
      <c r="H1691" t="s">
        <v>152</v>
      </c>
      <c r="I1691" t="s">
        <v>257</v>
      </c>
      <c r="J1691" t="s">
        <v>20</v>
      </c>
      <c r="K1691" t="s">
        <v>195</v>
      </c>
      <c r="L1691" s="17">
        <v>0</v>
      </c>
    </row>
    <row r="1692" spans="1:13" x14ac:dyDescent="0.2">
      <c r="A1692">
        <f t="shared" si="26"/>
        <v>1686</v>
      </c>
      <c r="B1692">
        <v>2019</v>
      </c>
      <c r="C1692" t="s">
        <v>198</v>
      </c>
      <c r="D1692" t="s">
        <v>1846</v>
      </c>
      <c r="E1692" s="65">
        <v>100</v>
      </c>
      <c r="G1692" t="s">
        <v>1847</v>
      </c>
      <c r="H1692" t="s">
        <v>152</v>
      </c>
      <c r="J1692" t="s">
        <v>131</v>
      </c>
      <c r="K1692" t="s">
        <v>131</v>
      </c>
      <c r="L1692" s="17">
        <v>0</v>
      </c>
    </row>
    <row r="1693" spans="1:13" x14ac:dyDescent="0.2">
      <c r="A1693">
        <f t="shared" si="26"/>
        <v>1687</v>
      </c>
      <c r="B1693">
        <v>2019</v>
      </c>
      <c r="C1693" t="s">
        <v>198</v>
      </c>
      <c r="D1693" t="s">
        <v>530</v>
      </c>
      <c r="E1693" s="65">
        <v>100</v>
      </c>
      <c r="H1693" t="s">
        <v>152</v>
      </c>
      <c r="I1693" t="s">
        <v>257</v>
      </c>
      <c r="J1693" t="s">
        <v>27</v>
      </c>
      <c r="K1693" t="s">
        <v>205</v>
      </c>
      <c r="L1693" s="17">
        <v>1</v>
      </c>
      <c r="M1693" s="28" t="s">
        <v>178</v>
      </c>
    </row>
    <row r="1694" spans="1:13" x14ac:dyDescent="0.2">
      <c r="A1694">
        <f t="shared" si="26"/>
        <v>1688</v>
      </c>
      <c r="B1694">
        <v>2019</v>
      </c>
      <c r="C1694" t="s">
        <v>198</v>
      </c>
      <c r="D1694" t="s">
        <v>1448</v>
      </c>
      <c r="E1694" s="65">
        <v>260</v>
      </c>
      <c r="F1694" s="33">
        <v>0.51</v>
      </c>
      <c r="G1694" t="s">
        <v>1449</v>
      </c>
      <c r="H1694" t="s">
        <v>149</v>
      </c>
      <c r="J1694" t="s">
        <v>8</v>
      </c>
      <c r="K1694" t="s">
        <v>205</v>
      </c>
      <c r="L1694" s="17">
        <v>1</v>
      </c>
    </row>
    <row r="1695" spans="1:13" x14ac:dyDescent="0.2">
      <c r="A1695">
        <f t="shared" si="26"/>
        <v>1689</v>
      </c>
      <c r="B1695" s="17">
        <v>2019</v>
      </c>
      <c r="C1695" s="17" t="s">
        <v>198</v>
      </c>
      <c r="D1695" s="17" t="s">
        <v>1848</v>
      </c>
      <c r="E1695" s="66">
        <v>110</v>
      </c>
      <c r="F1695" s="37">
        <v>1</v>
      </c>
      <c r="G1695" s="17"/>
      <c r="H1695" s="17" t="s">
        <v>144</v>
      </c>
      <c r="I1695" s="17" t="s">
        <v>232</v>
      </c>
      <c r="J1695" s="17" t="s">
        <v>63</v>
      </c>
      <c r="K1695" s="17" t="s">
        <v>201</v>
      </c>
      <c r="L1695" s="17">
        <v>1</v>
      </c>
      <c r="M1695" s="67" t="s">
        <v>178</v>
      </c>
    </row>
    <row r="1696" spans="1:13" x14ac:dyDescent="0.2">
      <c r="A1696">
        <f t="shared" si="26"/>
        <v>1690</v>
      </c>
      <c r="B1696" s="17">
        <v>2019</v>
      </c>
      <c r="C1696" s="17" t="s">
        <v>198</v>
      </c>
      <c r="D1696" t="s">
        <v>479</v>
      </c>
      <c r="E1696" s="66">
        <v>410</v>
      </c>
      <c r="F1696" s="37">
        <v>0.4</v>
      </c>
      <c r="G1696" s="17"/>
      <c r="H1696" s="17" t="s">
        <v>154</v>
      </c>
      <c r="I1696" s="17" t="s">
        <v>194</v>
      </c>
      <c r="J1696" s="17" t="s">
        <v>28</v>
      </c>
      <c r="K1696" s="17" t="s">
        <v>205</v>
      </c>
      <c r="L1696" s="17">
        <v>0</v>
      </c>
      <c r="M1696" s="67" t="s">
        <v>178</v>
      </c>
    </row>
    <row r="1697" spans="1:13" x14ac:dyDescent="0.2">
      <c r="A1697">
        <f t="shared" si="26"/>
        <v>1691</v>
      </c>
      <c r="B1697" s="17">
        <v>2019</v>
      </c>
      <c r="C1697" s="17" t="s">
        <v>198</v>
      </c>
      <c r="D1697" t="s">
        <v>1849</v>
      </c>
      <c r="E1697" s="66">
        <v>140</v>
      </c>
      <c r="F1697" s="37"/>
      <c r="G1697" s="17"/>
      <c r="H1697" s="17" t="s">
        <v>152</v>
      </c>
      <c r="I1697" s="17" t="s">
        <v>257</v>
      </c>
      <c r="J1697" s="17" t="s">
        <v>52</v>
      </c>
      <c r="K1697" s="17" t="s">
        <v>201</v>
      </c>
      <c r="L1697" s="17">
        <v>0</v>
      </c>
      <c r="M1697" s="67" t="s">
        <v>178</v>
      </c>
    </row>
    <row r="1698" spans="1:13" x14ac:dyDescent="0.2">
      <c r="A1698">
        <f t="shared" si="26"/>
        <v>1692</v>
      </c>
      <c r="B1698">
        <v>2019</v>
      </c>
      <c r="C1698" t="s">
        <v>202</v>
      </c>
      <c r="D1698" t="s">
        <v>246</v>
      </c>
      <c r="E1698" s="65">
        <v>3590</v>
      </c>
      <c r="F1698" s="33">
        <v>0.84</v>
      </c>
      <c r="G1698" t="s">
        <v>1850</v>
      </c>
      <c r="H1698" t="s">
        <v>144</v>
      </c>
      <c r="J1698" t="s">
        <v>96</v>
      </c>
      <c r="K1698" t="s">
        <v>205</v>
      </c>
      <c r="L1698" s="17">
        <v>1</v>
      </c>
    </row>
    <row r="1699" spans="1:13" x14ac:dyDescent="0.2">
      <c r="A1699">
        <f t="shared" si="26"/>
        <v>1693</v>
      </c>
      <c r="B1699">
        <v>2019</v>
      </c>
      <c r="C1699" t="s">
        <v>202</v>
      </c>
      <c r="D1699" t="s">
        <v>1851</v>
      </c>
      <c r="E1699" s="65">
        <v>1320</v>
      </c>
      <c r="F1699" s="33">
        <v>0.79</v>
      </c>
      <c r="H1699" t="s">
        <v>144</v>
      </c>
      <c r="I1699" t="s">
        <v>273</v>
      </c>
      <c r="J1699" t="s">
        <v>128</v>
      </c>
      <c r="K1699" t="s">
        <v>201</v>
      </c>
      <c r="L1699" s="17">
        <v>1</v>
      </c>
      <c r="M1699" s="28" t="s">
        <v>178</v>
      </c>
    </row>
    <row r="1700" spans="1:13" x14ac:dyDescent="0.2">
      <c r="A1700">
        <f t="shared" si="26"/>
        <v>1694</v>
      </c>
      <c r="B1700">
        <v>2019</v>
      </c>
      <c r="C1700" t="s">
        <v>202</v>
      </c>
      <c r="D1700" t="s">
        <v>1852</v>
      </c>
      <c r="E1700" s="65">
        <v>310</v>
      </c>
      <c r="H1700" t="s">
        <v>145</v>
      </c>
      <c r="J1700" t="s">
        <v>52</v>
      </c>
      <c r="K1700" t="s">
        <v>201</v>
      </c>
      <c r="L1700" s="17">
        <v>0</v>
      </c>
      <c r="M1700" s="28" t="s">
        <v>178</v>
      </c>
    </row>
    <row r="1701" spans="1:13" x14ac:dyDescent="0.2">
      <c r="A1701">
        <f t="shared" si="26"/>
        <v>1695</v>
      </c>
      <c r="B1701">
        <v>2019</v>
      </c>
      <c r="C1701" t="s">
        <v>202</v>
      </c>
      <c r="D1701" t="s">
        <v>943</v>
      </c>
      <c r="E1701" s="65">
        <v>1030</v>
      </c>
      <c r="G1701" t="s">
        <v>1853</v>
      </c>
      <c r="H1701" t="s">
        <v>144</v>
      </c>
      <c r="I1701" t="s">
        <v>232</v>
      </c>
      <c r="J1701" t="s">
        <v>19</v>
      </c>
      <c r="K1701" t="s">
        <v>205</v>
      </c>
      <c r="L1701" s="17">
        <v>0</v>
      </c>
    </row>
    <row r="1702" spans="1:13" s="41" customFormat="1" x14ac:dyDescent="0.2">
      <c r="A1702">
        <f t="shared" si="26"/>
        <v>1696</v>
      </c>
      <c r="B1702">
        <v>2019</v>
      </c>
      <c r="C1702" t="s">
        <v>202</v>
      </c>
      <c r="D1702" t="s">
        <v>269</v>
      </c>
      <c r="E1702" s="65">
        <v>370</v>
      </c>
      <c r="F1702" s="33"/>
      <c r="H1702" t="s">
        <v>154</v>
      </c>
      <c r="I1702" t="s">
        <v>271</v>
      </c>
      <c r="J1702" t="s">
        <v>47</v>
      </c>
      <c r="K1702" t="s">
        <v>195</v>
      </c>
      <c r="L1702" s="17">
        <v>1</v>
      </c>
      <c r="M1702" s="28"/>
    </row>
    <row r="1703" spans="1:13" x14ac:dyDescent="0.2">
      <c r="A1703">
        <f t="shared" si="26"/>
        <v>1697</v>
      </c>
      <c r="B1703">
        <v>2019</v>
      </c>
      <c r="C1703" t="s">
        <v>202</v>
      </c>
      <c r="D1703" t="s">
        <v>1854</v>
      </c>
      <c r="E1703" s="65">
        <v>100</v>
      </c>
      <c r="F1703" s="33">
        <v>0.32</v>
      </c>
      <c r="G1703" t="s">
        <v>1855</v>
      </c>
      <c r="H1703" t="s">
        <v>147</v>
      </c>
      <c r="J1703" t="s">
        <v>98</v>
      </c>
      <c r="K1703" t="s">
        <v>195</v>
      </c>
      <c r="L1703" s="17">
        <v>1</v>
      </c>
    </row>
    <row r="1704" spans="1:13" x14ac:dyDescent="0.2">
      <c r="A1704">
        <f t="shared" si="26"/>
        <v>1698</v>
      </c>
      <c r="B1704">
        <v>2019</v>
      </c>
      <c r="C1704" t="s">
        <v>202</v>
      </c>
      <c r="D1704" t="s">
        <v>477</v>
      </c>
      <c r="E1704" s="65">
        <v>420</v>
      </c>
      <c r="F1704" s="33">
        <v>1</v>
      </c>
      <c r="G1704" t="s">
        <v>1856</v>
      </c>
      <c r="H1704" t="s">
        <v>154</v>
      </c>
      <c r="I1704" t="s">
        <v>271</v>
      </c>
      <c r="J1704" t="s">
        <v>85</v>
      </c>
      <c r="K1704" t="s">
        <v>195</v>
      </c>
      <c r="L1704" s="17">
        <v>0</v>
      </c>
    </row>
    <row r="1705" spans="1:13" x14ac:dyDescent="0.2">
      <c r="A1705">
        <f t="shared" si="26"/>
        <v>1699</v>
      </c>
      <c r="B1705">
        <v>2019</v>
      </c>
      <c r="C1705" t="s">
        <v>202</v>
      </c>
      <c r="D1705" t="s">
        <v>1624</v>
      </c>
      <c r="E1705" s="65">
        <v>150</v>
      </c>
      <c r="G1705" t="s">
        <v>1857</v>
      </c>
      <c r="H1705" t="s">
        <v>151</v>
      </c>
      <c r="I1705" t="s">
        <v>279</v>
      </c>
      <c r="J1705" t="s">
        <v>123</v>
      </c>
      <c r="K1705" t="s">
        <v>219</v>
      </c>
      <c r="L1705" s="17">
        <v>1</v>
      </c>
    </row>
    <row r="1706" spans="1:13" x14ac:dyDescent="0.2">
      <c r="A1706">
        <f t="shared" si="26"/>
        <v>1700</v>
      </c>
      <c r="B1706">
        <v>2019</v>
      </c>
      <c r="C1706" t="s">
        <v>202</v>
      </c>
      <c r="D1706" t="s">
        <v>554</v>
      </c>
      <c r="E1706" s="65">
        <v>120</v>
      </c>
      <c r="F1706" s="33">
        <v>0.51</v>
      </c>
      <c r="G1706" t="s">
        <v>1858</v>
      </c>
      <c r="H1706" t="s">
        <v>151</v>
      </c>
      <c r="I1706" t="s">
        <v>224</v>
      </c>
      <c r="J1706" t="s">
        <v>52</v>
      </c>
      <c r="K1706" t="s">
        <v>201</v>
      </c>
      <c r="L1706" s="17">
        <v>0</v>
      </c>
    </row>
    <row r="1707" spans="1:13" x14ac:dyDescent="0.2">
      <c r="A1707">
        <f t="shared" si="26"/>
        <v>1701</v>
      </c>
      <c r="B1707">
        <v>2019</v>
      </c>
      <c r="C1707" t="s">
        <v>202</v>
      </c>
      <c r="D1707" t="s">
        <v>1859</v>
      </c>
      <c r="E1707" s="65">
        <v>760</v>
      </c>
      <c r="F1707" s="33">
        <v>0.4</v>
      </c>
      <c r="G1707" t="s">
        <v>1860</v>
      </c>
      <c r="H1707" t="s">
        <v>152</v>
      </c>
      <c r="I1707" t="s">
        <v>257</v>
      </c>
      <c r="J1707" t="s">
        <v>97</v>
      </c>
      <c r="K1707" t="s">
        <v>183</v>
      </c>
      <c r="L1707" s="17">
        <v>1</v>
      </c>
      <c r="M1707" s="28" t="s">
        <v>178</v>
      </c>
    </row>
    <row r="1708" spans="1:13" x14ac:dyDescent="0.2">
      <c r="A1708">
        <f t="shared" si="26"/>
        <v>1702</v>
      </c>
      <c r="B1708">
        <v>2019</v>
      </c>
      <c r="C1708" t="s">
        <v>202</v>
      </c>
      <c r="D1708" t="s">
        <v>444</v>
      </c>
      <c r="E1708" s="65">
        <v>270</v>
      </c>
      <c r="F1708" s="33">
        <v>0.9</v>
      </c>
      <c r="H1708" t="s">
        <v>154</v>
      </c>
      <c r="I1708" t="s">
        <v>194</v>
      </c>
      <c r="J1708" t="s">
        <v>11</v>
      </c>
      <c r="K1708" t="s">
        <v>201</v>
      </c>
      <c r="L1708" s="17">
        <v>1</v>
      </c>
      <c r="M1708" s="28" t="s">
        <v>178</v>
      </c>
    </row>
    <row r="1709" spans="1:13" x14ac:dyDescent="0.2">
      <c r="A1709">
        <f t="shared" si="26"/>
        <v>1703</v>
      </c>
      <c r="B1709">
        <v>2019</v>
      </c>
      <c r="C1709" t="s">
        <v>202</v>
      </c>
      <c r="D1709" t="s">
        <v>822</v>
      </c>
      <c r="E1709" s="65">
        <v>110</v>
      </c>
      <c r="F1709" s="33">
        <v>1</v>
      </c>
      <c r="H1709" t="s">
        <v>148</v>
      </c>
      <c r="J1709" t="s">
        <v>15</v>
      </c>
      <c r="K1709" t="s">
        <v>195</v>
      </c>
      <c r="L1709" s="17">
        <v>0</v>
      </c>
      <c r="M1709" s="28" t="s">
        <v>178</v>
      </c>
    </row>
    <row r="1710" spans="1:13" x14ac:dyDescent="0.2">
      <c r="A1710">
        <f t="shared" si="26"/>
        <v>1704</v>
      </c>
      <c r="B1710">
        <v>2019</v>
      </c>
      <c r="C1710" t="s">
        <v>202</v>
      </c>
      <c r="D1710" t="s">
        <v>1861</v>
      </c>
      <c r="E1710" s="65">
        <v>860</v>
      </c>
      <c r="F1710" s="33">
        <v>0.87</v>
      </c>
      <c r="H1710" t="s">
        <v>149</v>
      </c>
      <c r="J1710" t="s">
        <v>53</v>
      </c>
      <c r="K1710" t="s">
        <v>183</v>
      </c>
      <c r="L1710" s="17">
        <v>1</v>
      </c>
      <c r="M1710" s="28" t="s">
        <v>178</v>
      </c>
    </row>
    <row r="1711" spans="1:13" x14ac:dyDescent="0.2">
      <c r="A1711">
        <f t="shared" si="26"/>
        <v>1705</v>
      </c>
      <c r="B1711">
        <v>2019</v>
      </c>
      <c r="C1711" t="s">
        <v>202</v>
      </c>
      <c r="D1711" t="s">
        <v>1862</v>
      </c>
      <c r="E1711" s="65">
        <v>160</v>
      </c>
      <c r="F1711" s="33">
        <v>1</v>
      </c>
      <c r="G1711" t="s">
        <v>1863</v>
      </c>
      <c r="H1711" t="s">
        <v>147</v>
      </c>
      <c r="J1711" t="s">
        <v>119</v>
      </c>
      <c r="K1711" t="s">
        <v>195</v>
      </c>
      <c r="L1711" s="17">
        <v>0</v>
      </c>
    </row>
    <row r="1712" spans="1:13" s="36" customFormat="1" x14ac:dyDescent="0.2">
      <c r="A1712">
        <f t="shared" si="26"/>
        <v>1706</v>
      </c>
      <c r="B1712">
        <v>2019</v>
      </c>
      <c r="C1712" t="s">
        <v>207</v>
      </c>
      <c r="D1712" t="s">
        <v>334</v>
      </c>
      <c r="E1712" s="65">
        <v>980</v>
      </c>
      <c r="F1712" s="33">
        <v>1</v>
      </c>
      <c r="G1712" t="s">
        <v>1864</v>
      </c>
      <c r="H1712" t="s">
        <v>142</v>
      </c>
      <c r="J1712" t="s">
        <v>9</v>
      </c>
      <c r="K1712" t="s">
        <v>9</v>
      </c>
      <c r="L1712" s="17">
        <v>0</v>
      </c>
      <c r="M1712" s="28"/>
    </row>
    <row r="1713" spans="1:13" s="36" customFormat="1" x14ac:dyDescent="0.2">
      <c r="A1713">
        <f t="shared" si="26"/>
        <v>1707</v>
      </c>
      <c r="B1713">
        <v>2019</v>
      </c>
      <c r="C1713" t="s">
        <v>207</v>
      </c>
      <c r="D1713" t="s">
        <v>307</v>
      </c>
      <c r="E1713" s="65">
        <v>2230</v>
      </c>
      <c r="F1713" s="33"/>
      <c r="G1713" t="s">
        <v>1865</v>
      </c>
      <c r="H1713" t="s">
        <v>144</v>
      </c>
      <c r="J1713" t="s">
        <v>27</v>
      </c>
      <c r="K1713" t="s">
        <v>205</v>
      </c>
      <c r="L1713" s="17">
        <v>1</v>
      </c>
      <c r="M1713" s="28"/>
    </row>
    <row r="1714" spans="1:13" s="36" customFormat="1" x14ac:dyDescent="0.2">
      <c r="A1714">
        <f t="shared" si="26"/>
        <v>1708</v>
      </c>
      <c r="B1714">
        <v>2019</v>
      </c>
      <c r="C1714" t="s">
        <v>207</v>
      </c>
      <c r="D1714" t="s">
        <v>559</v>
      </c>
      <c r="E1714" s="65">
        <v>150</v>
      </c>
      <c r="F1714" s="33">
        <v>0.04</v>
      </c>
      <c r="G1714" t="s">
        <v>1812</v>
      </c>
      <c r="H1714" t="s">
        <v>149</v>
      </c>
      <c r="J1714" t="s">
        <v>25</v>
      </c>
      <c r="K1714" t="s">
        <v>177</v>
      </c>
      <c r="L1714" s="17">
        <v>0</v>
      </c>
      <c r="M1714" s="28"/>
    </row>
    <row r="1715" spans="1:13" x14ac:dyDescent="0.2">
      <c r="A1715">
        <f t="shared" si="26"/>
        <v>1709</v>
      </c>
      <c r="B1715">
        <v>2019</v>
      </c>
      <c r="C1715" t="s">
        <v>207</v>
      </c>
      <c r="D1715" t="s">
        <v>479</v>
      </c>
      <c r="E1715" s="65">
        <v>1650</v>
      </c>
      <c r="F1715" s="33">
        <v>0.49</v>
      </c>
      <c r="G1715" t="s">
        <v>1866</v>
      </c>
      <c r="H1715" t="s">
        <v>154</v>
      </c>
      <c r="I1715" t="s">
        <v>194</v>
      </c>
      <c r="J1715" t="s">
        <v>53</v>
      </c>
      <c r="K1715" t="s">
        <v>183</v>
      </c>
      <c r="L1715" s="17">
        <v>1</v>
      </c>
    </row>
    <row r="1716" spans="1:13" x14ac:dyDescent="0.2">
      <c r="A1716">
        <f t="shared" si="26"/>
        <v>1710</v>
      </c>
      <c r="B1716">
        <v>2019</v>
      </c>
      <c r="C1716" t="s">
        <v>207</v>
      </c>
      <c r="D1716" t="s">
        <v>208</v>
      </c>
      <c r="E1716" s="65">
        <v>320</v>
      </c>
      <c r="F1716" s="33">
        <v>1</v>
      </c>
      <c r="G1716" t="s">
        <v>1867</v>
      </c>
      <c r="H1716" t="s">
        <v>149</v>
      </c>
      <c r="I1716" t="s">
        <v>182</v>
      </c>
      <c r="J1716" t="s">
        <v>9</v>
      </c>
      <c r="K1716" t="s">
        <v>9</v>
      </c>
      <c r="L1716" s="17">
        <v>0</v>
      </c>
    </row>
    <row r="1717" spans="1:13" x14ac:dyDescent="0.2">
      <c r="A1717">
        <f t="shared" si="26"/>
        <v>1711</v>
      </c>
      <c r="B1717">
        <v>2019</v>
      </c>
      <c r="C1717" t="s">
        <v>207</v>
      </c>
      <c r="D1717" t="s">
        <v>1868</v>
      </c>
      <c r="E1717" s="65">
        <v>100</v>
      </c>
      <c r="G1717" t="s">
        <v>1869</v>
      </c>
      <c r="H1717" t="s">
        <v>154</v>
      </c>
      <c r="I1717" t="s">
        <v>529</v>
      </c>
      <c r="J1717" t="s">
        <v>97</v>
      </c>
      <c r="K1717" t="s">
        <v>183</v>
      </c>
      <c r="L1717" s="17">
        <v>1</v>
      </c>
    </row>
    <row r="1718" spans="1:13" x14ac:dyDescent="0.2">
      <c r="A1718">
        <f t="shared" si="26"/>
        <v>1712</v>
      </c>
      <c r="B1718">
        <v>2019</v>
      </c>
      <c r="C1718" t="s">
        <v>207</v>
      </c>
      <c r="D1718" t="s">
        <v>1687</v>
      </c>
      <c r="E1718" s="65">
        <v>300</v>
      </c>
      <c r="G1718" t="s">
        <v>1870</v>
      </c>
      <c r="H1718" t="s">
        <v>150</v>
      </c>
      <c r="I1718" t="s">
        <v>226</v>
      </c>
      <c r="J1718" t="s">
        <v>131</v>
      </c>
      <c r="K1718" t="s">
        <v>131</v>
      </c>
      <c r="L1718" s="17">
        <v>0</v>
      </c>
    </row>
    <row r="1719" spans="1:13" x14ac:dyDescent="0.2">
      <c r="A1719">
        <f t="shared" si="26"/>
        <v>1713</v>
      </c>
      <c r="B1719">
        <v>2019</v>
      </c>
      <c r="C1719" t="s">
        <v>207</v>
      </c>
      <c r="D1719" t="s">
        <v>479</v>
      </c>
      <c r="E1719" s="65">
        <v>150</v>
      </c>
      <c r="H1719" t="s">
        <v>144</v>
      </c>
      <c r="I1719" t="s">
        <v>197</v>
      </c>
      <c r="J1719" t="s">
        <v>84</v>
      </c>
      <c r="K1719" t="s">
        <v>201</v>
      </c>
      <c r="L1719" s="17">
        <v>1</v>
      </c>
      <c r="M1719" s="28" t="s">
        <v>178</v>
      </c>
    </row>
    <row r="1720" spans="1:13" x14ac:dyDescent="0.2">
      <c r="A1720">
        <f t="shared" si="26"/>
        <v>1714</v>
      </c>
      <c r="B1720" s="17">
        <v>2019</v>
      </c>
      <c r="C1720" s="17" t="s">
        <v>207</v>
      </c>
      <c r="D1720" s="17" t="s">
        <v>336</v>
      </c>
      <c r="E1720" s="66">
        <v>110</v>
      </c>
      <c r="F1720" s="37">
        <v>0.69</v>
      </c>
      <c r="G1720" s="17" t="s">
        <v>315</v>
      </c>
      <c r="H1720" s="17" t="s">
        <v>149</v>
      </c>
      <c r="I1720" s="17"/>
      <c r="J1720" s="17" t="s">
        <v>83</v>
      </c>
      <c r="K1720" s="17" t="s">
        <v>219</v>
      </c>
      <c r="L1720" s="17">
        <v>1</v>
      </c>
      <c r="M1720" s="67"/>
    </row>
    <row r="1721" spans="1:13" x14ac:dyDescent="0.2">
      <c r="A1721">
        <f t="shared" si="26"/>
        <v>1715</v>
      </c>
      <c r="B1721" s="17">
        <v>2019</v>
      </c>
      <c r="C1721" s="17" t="s">
        <v>207</v>
      </c>
      <c r="D1721" t="s">
        <v>1871</v>
      </c>
      <c r="E1721" s="65">
        <v>610</v>
      </c>
      <c r="F1721" s="33">
        <v>1</v>
      </c>
      <c r="H1721" t="s">
        <v>154</v>
      </c>
      <c r="I1721" t="s">
        <v>194</v>
      </c>
      <c r="J1721" t="s">
        <v>130</v>
      </c>
      <c r="K1721" t="s">
        <v>214</v>
      </c>
      <c r="L1721" s="17">
        <v>1</v>
      </c>
      <c r="M1721" s="28" t="s">
        <v>178</v>
      </c>
    </row>
    <row r="1722" spans="1:13" x14ac:dyDescent="0.2">
      <c r="A1722">
        <f t="shared" si="26"/>
        <v>1716</v>
      </c>
      <c r="B1722" s="17">
        <v>2019</v>
      </c>
      <c r="C1722" s="17" t="s">
        <v>207</v>
      </c>
      <c r="D1722" t="s">
        <v>1061</v>
      </c>
      <c r="E1722" s="65">
        <v>140</v>
      </c>
      <c r="H1722" t="s">
        <v>154</v>
      </c>
      <c r="I1722" t="s">
        <v>194</v>
      </c>
      <c r="J1722" t="s">
        <v>52</v>
      </c>
      <c r="K1722" t="s">
        <v>201</v>
      </c>
      <c r="L1722" s="17">
        <v>0</v>
      </c>
      <c r="M1722" s="28" t="s">
        <v>178</v>
      </c>
    </row>
    <row r="1723" spans="1:13" x14ac:dyDescent="0.2">
      <c r="A1723">
        <f t="shared" si="26"/>
        <v>1717</v>
      </c>
      <c r="B1723" s="17">
        <v>2019</v>
      </c>
      <c r="C1723" s="17" t="s">
        <v>207</v>
      </c>
      <c r="D1723" t="s">
        <v>244</v>
      </c>
      <c r="E1723" s="65">
        <v>160</v>
      </c>
      <c r="H1723" t="s">
        <v>149</v>
      </c>
      <c r="I1723" t="s">
        <v>236</v>
      </c>
      <c r="J1723" t="s">
        <v>138</v>
      </c>
      <c r="K1723" t="s">
        <v>219</v>
      </c>
      <c r="L1723" s="17">
        <v>1</v>
      </c>
    </row>
    <row r="1724" spans="1:13" x14ac:dyDescent="0.2">
      <c r="A1724">
        <f t="shared" si="26"/>
        <v>1718</v>
      </c>
      <c r="B1724">
        <v>2019</v>
      </c>
      <c r="C1724" t="s">
        <v>240</v>
      </c>
      <c r="D1724" t="s">
        <v>822</v>
      </c>
      <c r="E1724" s="65">
        <v>400</v>
      </c>
      <c r="G1724" t="s">
        <v>1872</v>
      </c>
      <c r="H1724" t="s">
        <v>146</v>
      </c>
      <c r="J1724" t="s">
        <v>52</v>
      </c>
      <c r="K1724" t="s">
        <v>201</v>
      </c>
      <c r="L1724" s="17">
        <v>0</v>
      </c>
    </row>
    <row r="1725" spans="1:13" x14ac:dyDescent="0.2">
      <c r="A1725">
        <f t="shared" si="26"/>
        <v>1719</v>
      </c>
      <c r="B1725">
        <v>2019</v>
      </c>
      <c r="C1725" t="s">
        <v>240</v>
      </c>
      <c r="D1725" t="s">
        <v>477</v>
      </c>
      <c r="E1725" s="65">
        <v>870</v>
      </c>
      <c r="G1725" t="s">
        <v>741</v>
      </c>
      <c r="H1725" t="s">
        <v>148</v>
      </c>
      <c r="J1725" t="s">
        <v>42</v>
      </c>
      <c r="K1725" t="s">
        <v>195</v>
      </c>
      <c r="L1725" s="17">
        <v>0</v>
      </c>
    </row>
    <row r="1726" spans="1:13" x14ac:dyDescent="0.2">
      <c r="A1726">
        <f t="shared" si="26"/>
        <v>1720</v>
      </c>
      <c r="B1726">
        <v>2019</v>
      </c>
      <c r="C1726" t="s">
        <v>240</v>
      </c>
      <c r="D1726" t="s">
        <v>559</v>
      </c>
      <c r="E1726" s="65">
        <v>380</v>
      </c>
      <c r="F1726" s="33">
        <v>1</v>
      </c>
      <c r="G1726" t="s">
        <v>1873</v>
      </c>
      <c r="H1726" t="s">
        <v>149</v>
      </c>
      <c r="J1726" t="s">
        <v>106</v>
      </c>
      <c r="K1726" t="s">
        <v>195</v>
      </c>
      <c r="L1726" s="17">
        <v>1</v>
      </c>
    </row>
    <row r="1727" spans="1:13" x14ac:dyDescent="0.2">
      <c r="A1727">
        <f t="shared" si="26"/>
        <v>1721</v>
      </c>
      <c r="B1727">
        <v>2019</v>
      </c>
      <c r="C1727" t="s">
        <v>240</v>
      </c>
      <c r="D1727" t="s">
        <v>1690</v>
      </c>
      <c r="E1727" s="65">
        <v>780</v>
      </c>
      <c r="F1727" s="33">
        <v>1</v>
      </c>
      <c r="G1727" t="s">
        <v>1874</v>
      </c>
      <c r="H1727" t="s">
        <v>153</v>
      </c>
      <c r="J1727" t="s">
        <v>45</v>
      </c>
      <c r="K1727" t="s">
        <v>195</v>
      </c>
      <c r="L1727" s="17">
        <v>0</v>
      </c>
    </row>
    <row r="1728" spans="1:13" x14ac:dyDescent="0.2">
      <c r="A1728">
        <f t="shared" si="26"/>
        <v>1722</v>
      </c>
      <c r="B1728">
        <v>2019</v>
      </c>
      <c r="C1728" t="s">
        <v>240</v>
      </c>
      <c r="D1728" t="s">
        <v>1875</v>
      </c>
      <c r="E1728" s="65">
        <v>1240</v>
      </c>
      <c r="F1728" s="33">
        <v>0.97</v>
      </c>
      <c r="H1728" t="s">
        <v>149</v>
      </c>
      <c r="J1728" t="s">
        <v>53</v>
      </c>
      <c r="K1728" t="s">
        <v>183</v>
      </c>
      <c r="L1728" s="17">
        <v>1</v>
      </c>
      <c r="M1728" s="28" t="s">
        <v>178</v>
      </c>
    </row>
    <row r="1729" spans="1:13" x14ac:dyDescent="0.2">
      <c r="A1729">
        <f t="shared" si="26"/>
        <v>1723</v>
      </c>
      <c r="B1729">
        <v>2019</v>
      </c>
      <c r="C1729" t="s">
        <v>240</v>
      </c>
      <c r="D1729" t="s">
        <v>1876</v>
      </c>
      <c r="E1729" s="65">
        <v>100</v>
      </c>
      <c r="G1729" t="s">
        <v>1877</v>
      </c>
      <c r="H1729" t="s">
        <v>150</v>
      </c>
      <c r="I1729" t="s">
        <v>556</v>
      </c>
      <c r="J1729" t="s">
        <v>89</v>
      </c>
      <c r="K1729" t="s">
        <v>219</v>
      </c>
      <c r="L1729" s="17">
        <v>1</v>
      </c>
    </row>
    <row r="1730" spans="1:13" x14ac:dyDescent="0.2">
      <c r="A1730">
        <f t="shared" si="26"/>
        <v>1724</v>
      </c>
      <c r="B1730">
        <v>2019</v>
      </c>
      <c r="C1730" t="s">
        <v>240</v>
      </c>
      <c r="D1730" t="s">
        <v>1878</v>
      </c>
      <c r="E1730" s="65">
        <v>200</v>
      </c>
      <c r="H1730" t="s">
        <v>149</v>
      </c>
      <c r="J1730" t="s">
        <v>111</v>
      </c>
      <c r="K1730" t="s">
        <v>183</v>
      </c>
      <c r="L1730" s="17">
        <v>1</v>
      </c>
    </row>
    <row r="1731" spans="1:13" x14ac:dyDescent="0.2">
      <c r="A1731">
        <f t="shared" si="26"/>
        <v>1725</v>
      </c>
      <c r="B1731">
        <v>2019</v>
      </c>
      <c r="C1731" t="s">
        <v>240</v>
      </c>
      <c r="D1731" t="s">
        <v>1879</v>
      </c>
      <c r="E1731" s="65">
        <v>420</v>
      </c>
      <c r="F1731" s="33">
        <v>0.33</v>
      </c>
      <c r="G1731" t="s">
        <v>1552</v>
      </c>
      <c r="H1731" t="s">
        <v>151</v>
      </c>
      <c r="I1731" t="s">
        <v>224</v>
      </c>
      <c r="J1731" t="s">
        <v>108</v>
      </c>
      <c r="K1731" t="s">
        <v>183</v>
      </c>
      <c r="L1731" s="17">
        <v>1</v>
      </c>
    </row>
    <row r="1732" spans="1:13" x14ac:dyDescent="0.2">
      <c r="A1732">
        <f t="shared" si="26"/>
        <v>1726</v>
      </c>
      <c r="B1732">
        <v>2019</v>
      </c>
      <c r="C1732" t="s">
        <v>240</v>
      </c>
      <c r="D1732" t="s">
        <v>1880</v>
      </c>
      <c r="E1732" s="65">
        <v>300</v>
      </c>
      <c r="F1732" s="33">
        <v>0.28999999999999998</v>
      </c>
      <c r="G1732" t="s">
        <v>1881</v>
      </c>
      <c r="H1732" t="s">
        <v>144</v>
      </c>
      <c r="I1732" t="s">
        <v>232</v>
      </c>
      <c r="J1732" t="s">
        <v>108</v>
      </c>
      <c r="K1732" t="s">
        <v>183</v>
      </c>
      <c r="L1732" s="17">
        <v>1</v>
      </c>
    </row>
    <row r="1733" spans="1:13" x14ac:dyDescent="0.2">
      <c r="A1733">
        <f t="shared" si="26"/>
        <v>1727</v>
      </c>
      <c r="B1733">
        <v>2019</v>
      </c>
      <c r="C1733" t="s">
        <v>240</v>
      </c>
      <c r="D1733" t="s">
        <v>668</v>
      </c>
      <c r="E1733" s="65">
        <v>830</v>
      </c>
      <c r="H1733" t="s">
        <v>149</v>
      </c>
      <c r="I1733" t="s">
        <v>238</v>
      </c>
      <c r="J1733" t="s">
        <v>48</v>
      </c>
      <c r="K1733" t="s">
        <v>219</v>
      </c>
      <c r="L1733" s="17">
        <v>1</v>
      </c>
      <c r="M1733" s="28" t="s">
        <v>178</v>
      </c>
    </row>
    <row r="1734" spans="1:13" x14ac:dyDescent="0.2">
      <c r="A1734">
        <f t="shared" si="26"/>
        <v>1728</v>
      </c>
      <c r="B1734">
        <v>2019</v>
      </c>
      <c r="C1734" t="s">
        <v>240</v>
      </c>
      <c r="D1734" t="s">
        <v>1672</v>
      </c>
      <c r="E1734" s="65">
        <v>240</v>
      </c>
      <c r="H1734" t="s">
        <v>147</v>
      </c>
      <c r="J1734" t="s">
        <v>56</v>
      </c>
      <c r="K1734" t="s">
        <v>195</v>
      </c>
      <c r="L1734" s="17">
        <v>0</v>
      </c>
    </row>
    <row r="1735" spans="1:13" x14ac:dyDescent="0.2">
      <c r="A1735">
        <f t="shared" ref="A1735:A1798" si="27">ROW()-6</f>
        <v>1729</v>
      </c>
      <c r="B1735">
        <v>2019</v>
      </c>
      <c r="C1735" t="s">
        <v>240</v>
      </c>
      <c r="D1735" t="s">
        <v>449</v>
      </c>
      <c r="E1735" s="65">
        <v>390</v>
      </c>
      <c r="F1735" s="33">
        <v>0.1</v>
      </c>
      <c r="H1735" t="s">
        <v>154</v>
      </c>
      <c r="I1735" t="s">
        <v>529</v>
      </c>
      <c r="J1735" t="s">
        <v>89</v>
      </c>
      <c r="K1735" t="s">
        <v>219</v>
      </c>
      <c r="L1735" s="17">
        <v>1</v>
      </c>
      <c r="M1735" s="28" t="s">
        <v>178</v>
      </c>
    </row>
    <row r="1736" spans="1:13" x14ac:dyDescent="0.2">
      <c r="A1736">
        <f t="shared" si="27"/>
        <v>1730</v>
      </c>
      <c r="B1736">
        <v>2019</v>
      </c>
      <c r="C1736" t="s">
        <v>240</v>
      </c>
      <c r="D1736" t="s">
        <v>1705</v>
      </c>
      <c r="E1736" s="65">
        <v>440</v>
      </c>
      <c r="F1736" s="33">
        <v>0.31</v>
      </c>
      <c r="G1736" t="s">
        <v>1650</v>
      </c>
      <c r="H1736" t="s">
        <v>154</v>
      </c>
      <c r="I1736" t="s">
        <v>194</v>
      </c>
      <c r="J1736" t="s">
        <v>118</v>
      </c>
      <c r="K1736" t="s">
        <v>195</v>
      </c>
      <c r="L1736" s="17">
        <v>0</v>
      </c>
    </row>
    <row r="1737" spans="1:13" x14ac:dyDescent="0.2">
      <c r="A1737">
        <f t="shared" si="27"/>
        <v>1731</v>
      </c>
      <c r="B1737">
        <v>2019</v>
      </c>
      <c r="C1737" t="s">
        <v>240</v>
      </c>
      <c r="D1737" t="s">
        <v>477</v>
      </c>
      <c r="E1737" s="65">
        <v>100</v>
      </c>
      <c r="F1737" s="33">
        <v>0.8</v>
      </c>
      <c r="G1737" t="s">
        <v>1882</v>
      </c>
      <c r="H1737" t="s">
        <v>151</v>
      </c>
      <c r="I1737" t="s">
        <v>224</v>
      </c>
      <c r="J1737" t="s">
        <v>9</v>
      </c>
      <c r="K1737" t="s">
        <v>9</v>
      </c>
      <c r="L1737" s="17">
        <v>0</v>
      </c>
    </row>
    <row r="1738" spans="1:13" x14ac:dyDescent="0.2">
      <c r="A1738">
        <f t="shared" si="27"/>
        <v>1732</v>
      </c>
      <c r="B1738">
        <v>2019</v>
      </c>
      <c r="C1738" t="s">
        <v>240</v>
      </c>
      <c r="D1738" t="s">
        <v>454</v>
      </c>
      <c r="E1738" s="65">
        <v>150</v>
      </c>
      <c r="F1738" s="33">
        <v>0.1</v>
      </c>
      <c r="G1738" t="s">
        <v>1883</v>
      </c>
      <c r="H1738" t="s">
        <v>146</v>
      </c>
      <c r="J1738" t="s">
        <v>52</v>
      </c>
      <c r="K1738" t="s">
        <v>201</v>
      </c>
      <c r="L1738" s="17">
        <v>0</v>
      </c>
    </row>
    <row r="1739" spans="1:13" x14ac:dyDescent="0.2">
      <c r="A1739">
        <f t="shared" si="27"/>
        <v>1733</v>
      </c>
      <c r="B1739">
        <v>2019</v>
      </c>
      <c r="C1739" t="s">
        <v>240</v>
      </c>
      <c r="D1739" t="s">
        <v>1884</v>
      </c>
      <c r="E1739" s="65">
        <v>300</v>
      </c>
      <c r="H1739" t="s">
        <v>150</v>
      </c>
      <c r="I1739" t="s">
        <v>226</v>
      </c>
      <c r="J1739" t="s">
        <v>72</v>
      </c>
      <c r="K1739" t="s">
        <v>183</v>
      </c>
      <c r="L1739" s="17">
        <v>1</v>
      </c>
      <c r="M1739" s="28" t="s">
        <v>178</v>
      </c>
    </row>
    <row r="1740" spans="1:13" x14ac:dyDescent="0.2">
      <c r="A1740">
        <f t="shared" si="27"/>
        <v>1734</v>
      </c>
      <c r="B1740">
        <v>2019</v>
      </c>
      <c r="C1740" t="s">
        <v>240</v>
      </c>
      <c r="D1740" t="s">
        <v>1885</v>
      </c>
      <c r="E1740" s="65">
        <v>110</v>
      </c>
      <c r="H1740" t="s">
        <v>151</v>
      </c>
      <c r="I1740" t="s">
        <v>224</v>
      </c>
      <c r="J1740" t="s">
        <v>23</v>
      </c>
      <c r="K1740" t="s">
        <v>183</v>
      </c>
      <c r="L1740" s="17">
        <v>1</v>
      </c>
      <c r="M1740" s="28" t="s">
        <v>178</v>
      </c>
    </row>
    <row r="1741" spans="1:13" x14ac:dyDescent="0.2">
      <c r="A1741">
        <f t="shared" si="27"/>
        <v>1735</v>
      </c>
      <c r="B1741">
        <v>2019</v>
      </c>
      <c r="C1741" t="s">
        <v>240</v>
      </c>
      <c r="D1741" t="s">
        <v>221</v>
      </c>
      <c r="E1741" s="65">
        <v>980</v>
      </c>
      <c r="F1741" s="33">
        <v>0.5</v>
      </c>
      <c r="G1741" t="s">
        <v>1886</v>
      </c>
      <c r="H1741" t="s">
        <v>144</v>
      </c>
      <c r="I1741" t="s">
        <v>299</v>
      </c>
      <c r="J1741" t="s">
        <v>55</v>
      </c>
      <c r="K1741" t="s">
        <v>214</v>
      </c>
      <c r="L1741" s="17">
        <v>1</v>
      </c>
      <c r="M1741" s="28" t="s">
        <v>178</v>
      </c>
    </row>
    <row r="1742" spans="1:13" x14ac:dyDescent="0.2">
      <c r="A1742">
        <f t="shared" si="27"/>
        <v>1736</v>
      </c>
      <c r="B1742">
        <v>2019</v>
      </c>
      <c r="C1742" t="s">
        <v>240</v>
      </c>
      <c r="D1742" t="s">
        <v>479</v>
      </c>
      <c r="E1742" s="65">
        <v>160</v>
      </c>
      <c r="F1742" s="33">
        <v>0.8</v>
      </c>
      <c r="H1742" t="s">
        <v>151</v>
      </c>
      <c r="I1742" t="s">
        <v>224</v>
      </c>
      <c r="J1742" t="s">
        <v>72</v>
      </c>
      <c r="K1742" t="s">
        <v>183</v>
      </c>
      <c r="L1742" s="17">
        <v>1</v>
      </c>
      <c r="M1742" s="28" t="s">
        <v>178</v>
      </c>
    </row>
    <row r="1743" spans="1:13" ht="15" customHeight="1" x14ac:dyDescent="0.2">
      <c r="A1743">
        <f t="shared" si="27"/>
        <v>1737</v>
      </c>
      <c r="B1743">
        <v>2019</v>
      </c>
      <c r="C1743" t="s">
        <v>212</v>
      </c>
      <c r="D1743" t="s">
        <v>234</v>
      </c>
      <c r="E1743" s="65">
        <v>1120</v>
      </c>
      <c r="F1743" s="33">
        <v>0.18</v>
      </c>
      <c r="G1743" t="s">
        <v>1887</v>
      </c>
      <c r="H1743" t="s">
        <v>149</v>
      </c>
      <c r="I1743" t="s">
        <v>236</v>
      </c>
      <c r="J1743" t="s">
        <v>25</v>
      </c>
      <c r="K1743" t="s">
        <v>177</v>
      </c>
      <c r="L1743" s="17">
        <v>0</v>
      </c>
    </row>
    <row r="1744" spans="1:13" x14ac:dyDescent="0.2">
      <c r="A1744">
        <f t="shared" si="27"/>
        <v>1738</v>
      </c>
      <c r="B1744">
        <v>2019</v>
      </c>
      <c r="C1744" t="s">
        <v>212</v>
      </c>
      <c r="D1744" t="s">
        <v>559</v>
      </c>
      <c r="E1744" s="65">
        <v>1030</v>
      </c>
      <c r="F1744" s="33">
        <v>1</v>
      </c>
      <c r="G1744" t="s">
        <v>1888</v>
      </c>
      <c r="H1744" t="s">
        <v>149</v>
      </c>
      <c r="J1744" t="s">
        <v>28</v>
      </c>
      <c r="K1744" t="s">
        <v>177</v>
      </c>
      <c r="L1744" s="17">
        <v>0</v>
      </c>
    </row>
    <row r="1745" spans="1:13" x14ac:dyDescent="0.2">
      <c r="A1745">
        <f t="shared" si="27"/>
        <v>1739</v>
      </c>
      <c r="B1745">
        <v>2019</v>
      </c>
      <c r="C1745" t="s">
        <v>212</v>
      </c>
      <c r="D1745" t="s">
        <v>953</v>
      </c>
      <c r="E1745" s="65">
        <v>120</v>
      </c>
      <c r="H1745" t="s">
        <v>151</v>
      </c>
      <c r="I1745" t="s">
        <v>224</v>
      </c>
      <c r="J1745" t="s">
        <v>131</v>
      </c>
      <c r="K1745" t="s">
        <v>131</v>
      </c>
      <c r="L1745" s="17">
        <v>0</v>
      </c>
      <c r="M1745" s="28" t="s">
        <v>178</v>
      </c>
    </row>
    <row r="1746" spans="1:13" ht="14.25" customHeight="1" x14ac:dyDescent="0.2">
      <c r="A1746">
        <f t="shared" si="27"/>
        <v>1740</v>
      </c>
      <c r="B1746">
        <v>2019</v>
      </c>
      <c r="C1746" t="s">
        <v>212</v>
      </c>
      <c r="D1746" t="s">
        <v>1889</v>
      </c>
      <c r="E1746" s="65">
        <v>100</v>
      </c>
      <c r="H1746" t="s">
        <v>150</v>
      </c>
      <c r="I1746" t="s">
        <v>556</v>
      </c>
      <c r="J1746" t="s">
        <v>52</v>
      </c>
      <c r="K1746" t="s">
        <v>201</v>
      </c>
      <c r="L1746" s="17">
        <v>0</v>
      </c>
      <c r="M1746" s="28" t="s">
        <v>178</v>
      </c>
    </row>
    <row r="1747" spans="1:13" x14ac:dyDescent="0.2">
      <c r="A1747">
        <f t="shared" si="27"/>
        <v>1741</v>
      </c>
      <c r="B1747">
        <v>2019</v>
      </c>
      <c r="C1747" t="s">
        <v>212</v>
      </c>
      <c r="D1747" t="s">
        <v>1890</v>
      </c>
      <c r="E1747" s="65">
        <v>170</v>
      </c>
      <c r="G1747" t="s">
        <v>1891</v>
      </c>
      <c r="H1747" t="s">
        <v>152</v>
      </c>
      <c r="J1747" t="s">
        <v>85</v>
      </c>
      <c r="K1747" t="s">
        <v>195</v>
      </c>
      <c r="L1747" s="17">
        <v>0</v>
      </c>
    </row>
    <row r="1748" spans="1:13" x14ac:dyDescent="0.2">
      <c r="A1748">
        <f t="shared" si="27"/>
        <v>1742</v>
      </c>
      <c r="B1748">
        <v>2019</v>
      </c>
      <c r="C1748" t="s">
        <v>212</v>
      </c>
      <c r="D1748" t="s">
        <v>1270</v>
      </c>
      <c r="E1748" s="65">
        <v>120</v>
      </c>
      <c r="G1748" t="s">
        <v>1892</v>
      </c>
      <c r="H1748" t="s">
        <v>152</v>
      </c>
      <c r="J1748" t="s">
        <v>131</v>
      </c>
      <c r="K1748" t="s">
        <v>131</v>
      </c>
      <c r="L1748" s="17">
        <v>0</v>
      </c>
    </row>
    <row r="1749" spans="1:13" x14ac:dyDescent="0.2">
      <c r="A1749">
        <f t="shared" si="27"/>
        <v>1743</v>
      </c>
      <c r="B1749">
        <v>2019</v>
      </c>
      <c r="C1749" t="s">
        <v>212</v>
      </c>
      <c r="D1749" t="s">
        <v>307</v>
      </c>
      <c r="E1749" s="65">
        <v>970</v>
      </c>
      <c r="F1749" s="33">
        <v>0.49</v>
      </c>
      <c r="G1749" t="s">
        <v>1893</v>
      </c>
      <c r="H1749" t="s">
        <v>144</v>
      </c>
      <c r="J1749" t="s">
        <v>92</v>
      </c>
      <c r="K1749" t="s">
        <v>214</v>
      </c>
      <c r="L1749" s="17">
        <v>1</v>
      </c>
    </row>
    <row r="1750" spans="1:13" x14ac:dyDescent="0.2">
      <c r="A1750">
        <f t="shared" si="27"/>
        <v>1744</v>
      </c>
      <c r="B1750">
        <v>2019</v>
      </c>
      <c r="C1750" t="s">
        <v>212</v>
      </c>
      <c r="D1750" t="s">
        <v>341</v>
      </c>
      <c r="E1750" s="65">
        <v>340</v>
      </c>
      <c r="F1750" s="33">
        <v>0.24</v>
      </c>
      <c r="H1750" t="s">
        <v>151</v>
      </c>
      <c r="I1750" t="s">
        <v>279</v>
      </c>
      <c r="J1750" t="s">
        <v>72</v>
      </c>
      <c r="K1750" t="s">
        <v>183</v>
      </c>
      <c r="L1750" s="17">
        <v>1</v>
      </c>
      <c r="M1750" s="28" t="s">
        <v>178</v>
      </c>
    </row>
    <row r="1751" spans="1:13" x14ac:dyDescent="0.2">
      <c r="A1751">
        <f t="shared" si="27"/>
        <v>1745</v>
      </c>
      <c r="B1751">
        <v>2019</v>
      </c>
      <c r="C1751" t="s">
        <v>212</v>
      </c>
      <c r="D1751" t="s">
        <v>300</v>
      </c>
      <c r="E1751" s="65">
        <v>240</v>
      </c>
      <c r="F1751" s="33">
        <v>0.04</v>
      </c>
      <c r="G1751" t="s">
        <v>1894</v>
      </c>
      <c r="H1751" t="s">
        <v>146</v>
      </c>
      <c r="J1751" t="s">
        <v>15</v>
      </c>
      <c r="K1751" t="s">
        <v>195</v>
      </c>
      <c r="L1751" s="17">
        <v>0</v>
      </c>
    </row>
    <row r="1752" spans="1:13" x14ac:dyDescent="0.2">
      <c r="A1752">
        <f t="shared" si="27"/>
        <v>1746</v>
      </c>
      <c r="B1752">
        <v>2019</v>
      </c>
      <c r="C1752" t="s">
        <v>212</v>
      </c>
      <c r="D1752" t="s">
        <v>185</v>
      </c>
      <c r="E1752" s="65">
        <v>1500</v>
      </c>
      <c r="F1752" s="33">
        <v>0.25</v>
      </c>
      <c r="G1752" t="s">
        <v>1895</v>
      </c>
      <c r="H1752" t="s">
        <v>144</v>
      </c>
      <c r="I1752" t="s">
        <v>187</v>
      </c>
      <c r="J1752" t="s">
        <v>50</v>
      </c>
      <c r="K1752" t="s">
        <v>205</v>
      </c>
      <c r="L1752">
        <v>1</v>
      </c>
      <c r="M1752" s="28" t="s">
        <v>178</v>
      </c>
    </row>
    <row r="1753" spans="1:13" x14ac:dyDescent="0.2">
      <c r="A1753">
        <f t="shared" si="27"/>
        <v>1747</v>
      </c>
      <c r="B1753">
        <v>2019</v>
      </c>
      <c r="C1753" t="s">
        <v>212</v>
      </c>
      <c r="D1753" t="s">
        <v>454</v>
      </c>
      <c r="E1753" s="65">
        <v>3130</v>
      </c>
      <c r="G1753" t="s">
        <v>1651</v>
      </c>
      <c r="H1753" t="s">
        <v>145</v>
      </c>
      <c r="J1753" t="s">
        <v>42</v>
      </c>
      <c r="K1753" t="s">
        <v>195</v>
      </c>
      <c r="L1753" s="17">
        <v>0</v>
      </c>
    </row>
    <row r="1754" spans="1:13" x14ac:dyDescent="0.2">
      <c r="A1754">
        <f t="shared" si="27"/>
        <v>1748</v>
      </c>
      <c r="B1754">
        <v>2019</v>
      </c>
      <c r="C1754" t="s">
        <v>212</v>
      </c>
      <c r="D1754" t="s">
        <v>449</v>
      </c>
      <c r="E1754" s="65">
        <v>280</v>
      </c>
      <c r="F1754" s="33">
        <v>0.75</v>
      </c>
      <c r="G1754" t="s">
        <v>1896</v>
      </c>
      <c r="H1754" t="s">
        <v>151</v>
      </c>
      <c r="I1754" t="s">
        <v>279</v>
      </c>
      <c r="J1754" t="s">
        <v>114</v>
      </c>
      <c r="K1754" t="s">
        <v>195</v>
      </c>
      <c r="L1754" s="17">
        <v>0</v>
      </c>
    </row>
    <row r="1755" spans="1:13" x14ac:dyDescent="0.2">
      <c r="A1755">
        <f t="shared" si="27"/>
        <v>1749</v>
      </c>
      <c r="B1755">
        <v>2019</v>
      </c>
      <c r="C1755" t="s">
        <v>212</v>
      </c>
      <c r="D1755" t="s">
        <v>1897</v>
      </c>
      <c r="E1755" s="65">
        <v>170</v>
      </c>
      <c r="F1755" s="33">
        <v>0.62</v>
      </c>
      <c r="G1755" t="s">
        <v>1898</v>
      </c>
      <c r="H1755" t="s">
        <v>149</v>
      </c>
      <c r="I1755" t="s">
        <v>238</v>
      </c>
      <c r="J1755" t="s">
        <v>42</v>
      </c>
      <c r="K1755" t="s">
        <v>195</v>
      </c>
      <c r="L1755" s="17">
        <v>0</v>
      </c>
    </row>
    <row r="1756" spans="1:13" x14ac:dyDescent="0.2">
      <c r="A1756">
        <f t="shared" si="27"/>
        <v>1750</v>
      </c>
      <c r="B1756">
        <v>2019</v>
      </c>
      <c r="C1756" t="s">
        <v>212</v>
      </c>
      <c r="D1756" t="s">
        <v>1899</v>
      </c>
      <c r="E1756" s="65">
        <v>290</v>
      </c>
      <c r="H1756" t="s">
        <v>150</v>
      </c>
      <c r="I1756" t="s">
        <v>226</v>
      </c>
      <c r="J1756" t="s">
        <v>72</v>
      </c>
      <c r="K1756" t="s">
        <v>183</v>
      </c>
      <c r="L1756" s="17">
        <v>1</v>
      </c>
      <c r="M1756" s="28" t="s">
        <v>178</v>
      </c>
    </row>
    <row r="1757" spans="1:13" x14ac:dyDescent="0.2">
      <c r="A1757">
        <f t="shared" si="27"/>
        <v>1751</v>
      </c>
      <c r="B1757">
        <v>2019</v>
      </c>
      <c r="C1757" t="s">
        <v>212</v>
      </c>
      <c r="D1757" t="s">
        <v>414</v>
      </c>
      <c r="E1757" s="65">
        <v>2750</v>
      </c>
      <c r="F1757" s="33">
        <v>0.05</v>
      </c>
      <c r="G1757" t="s">
        <v>1640</v>
      </c>
      <c r="H1757" t="s">
        <v>154</v>
      </c>
      <c r="I1757" t="s">
        <v>194</v>
      </c>
      <c r="J1757" t="s">
        <v>45</v>
      </c>
      <c r="K1757" t="s">
        <v>195</v>
      </c>
      <c r="L1757" s="17">
        <v>0</v>
      </c>
    </row>
    <row r="1758" spans="1:13" x14ac:dyDescent="0.2">
      <c r="A1758">
        <f t="shared" si="27"/>
        <v>1752</v>
      </c>
      <c r="B1758">
        <v>2019</v>
      </c>
      <c r="C1758" t="s">
        <v>212</v>
      </c>
      <c r="D1758" t="s">
        <v>479</v>
      </c>
      <c r="E1758" s="65">
        <v>620</v>
      </c>
      <c r="H1758" t="s">
        <v>154</v>
      </c>
      <c r="I1758" t="s">
        <v>194</v>
      </c>
      <c r="J1758" t="s">
        <v>64</v>
      </c>
      <c r="K1758" t="s">
        <v>219</v>
      </c>
      <c r="L1758" s="17">
        <v>1</v>
      </c>
      <c r="M1758" s="28" t="s">
        <v>178</v>
      </c>
    </row>
    <row r="1759" spans="1:13" x14ac:dyDescent="0.2">
      <c r="A1759">
        <f t="shared" si="27"/>
        <v>1753</v>
      </c>
      <c r="B1759">
        <v>2019</v>
      </c>
      <c r="C1759" t="s">
        <v>212</v>
      </c>
      <c r="D1759" t="s">
        <v>880</v>
      </c>
      <c r="E1759" s="65">
        <v>120</v>
      </c>
      <c r="F1759" s="33">
        <v>0.49</v>
      </c>
      <c r="G1759" t="s">
        <v>1719</v>
      </c>
      <c r="H1759" t="s">
        <v>147</v>
      </c>
      <c r="J1759" t="s">
        <v>20</v>
      </c>
      <c r="K1759" t="s">
        <v>195</v>
      </c>
      <c r="L1759" s="17">
        <v>0</v>
      </c>
    </row>
    <row r="1760" spans="1:13" x14ac:dyDescent="0.2">
      <c r="A1760">
        <f t="shared" si="27"/>
        <v>1754</v>
      </c>
      <c r="B1760">
        <v>2019</v>
      </c>
      <c r="C1760" t="s">
        <v>212</v>
      </c>
      <c r="D1760" t="s">
        <v>1900</v>
      </c>
      <c r="E1760" s="65">
        <v>100</v>
      </c>
      <c r="H1760" t="s">
        <v>150</v>
      </c>
      <c r="I1760" t="s">
        <v>556</v>
      </c>
      <c r="J1760" t="s">
        <v>77</v>
      </c>
      <c r="K1760" t="s">
        <v>177</v>
      </c>
      <c r="L1760" s="17">
        <v>0</v>
      </c>
      <c r="M1760" s="28" t="s">
        <v>178</v>
      </c>
    </row>
    <row r="1761" spans="1:13" x14ac:dyDescent="0.2">
      <c r="A1761">
        <f t="shared" si="27"/>
        <v>1755</v>
      </c>
      <c r="B1761">
        <v>2019</v>
      </c>
      <c r="C1761" t="s">
        <v>212</v>
      </c>
      <c r="D1761" t="s">
        <v>1431</v>
      </c>
      <c r="E1761" s="65">
        <v>140</v>
      </c>
      <c r="H1761" t="s">
        <v>150</v>
      </c>
      <c r="I1761" t="s">
        <v>556</v>
      </c>
      <c r="J1761" t="s">
        <v>136</v>
      </c>
      <c r="K1761" t="s">
        <v>183</v>
      </c>
      <c r="L1761" s="17">
        <v>1</v>
      </c>
      <c r="M1761" s="28" t="s">
        <v>178</v>
      </c>
    </row>
    <row r="1762" spans="1:13" x14ac:dyDescent="0.2">
      <c r="A1762">
        <f t="shared" si="27"/>
        <v>1756</v>
      </c>
      <c r="B1762">
        <v>2019</v>
      </c>
      <c r="C1762" t="s">
        <v>212</v>
      </c>
      <c r="D1762" t="s">
        <v>1901</v>
      </c>
      <c r="E1762" s="65">
        <v>150</v>
      </c>
      <c r="H1762" t="s">
        <v>150</v>
      </c>
      <c r="I1762" t="s">
        <v>292</v>
      </c>
      <c r="J1762" t="s">
        <v>23</v>
      </c>
      <c r="K1762" t="s">
        <v>183</v>
      </c>
      <c r="L1762" s="17">
        <v>1</v>
      </c>
      <c r="M1762" s="28" t="s">
        <v>178</v>
      </c>
    </row>
    <row r="1763" spans="1:13" x14ac:dyDescent="0.2">
      <c r="A1763">
        <f t="shared" si="27"/>
        <v>1757</v>
      </c>
      <c r="B1763">
        <v>2020</v>
      </c>
      <c r="C1763" t="s">
        <v>172</v>
      </c>
      <c r="D1763" t="s">
        <v>449</v>
      </c>
      <c r="E1763" s="65">
        <v>140</v>
      </c>
      <c r="F1763" s="33">
        <v>0.2</v>
      </c>
      <c r="H1763" t="s">
        <v>154</v>
      </c>
      <c r="I1763" t="s">
        <v>529</v>
      </c>
      <c r="J1763" t="s">
        <v>28</v>
      </c>
      <c r="K1763" t="s">
        <v>205</v>
      </c>
      <c r="L1763">
        <v>0</v>
      </c>
      <c r="M1763" s="28" t="s">
        <v>178</v>
      </c>
    </row>
    <row r="1764" spans="1:13" x14ac:dyDescent="0.2">
      <c r="A1764">
        <f t="shared" si="27"/>
        <v>1758</v>
      </c>
      <c r="B1764">
        <v>2020</v>
      </c>
      <c r="C1764" t="s">
        <v>172</v>
      </c>
      <c r="D1764" t="s">
        <v>454</v>
      </c>
      <c r="E1764" s="65">
        <v>110</v>
      </c>
      <c r="F1764" s="33">
        <v>0.71</v>
      </c>
      <c r="G1764" t="s">
        <v>1902</v>
      </c>
      <c r="H1764" t="s">
        <v>145</v>
      </c>
      <c r="J1764" t="s">
        <v>91</v>
      </c>
      <c r="K1764" t="s">
        <v>195</v>
      </c>
      <c r="L1764" s="17">
        <v>0</v>
      </c>
    </row>
    <row r="1765" spans="1:13" x14ac:dyDescent="0.2">
      <c r="A1765">
        <f t="shared" si="27"/>
        <v>1759</v>
      </c>
      <c r="B1765">
        <v>2020</v>
      </c>
      <c r="C1765" t="s">
        <v>172</v>
      </c>
      <c r="D1765" t="s">
        <v>221</v>
      </c>
      <c r="E1765" s="65">
        <v>210</v>
      </c>
      <c r="F1765" s="33">
        <v>1</v>
      </c>
      <c r="G1765" t="s">
        <v>1903</v>
      </c>
      <c r="H1765" t="s">
        <v>149</v>
      </c>
      <c r="I1765" t="s">
        <v>182</v>
      </c>
      <c r="J1765" t="s">
        <v>20</v>
      </c>
      <c r="K1765" t="s">
        <v>195</v>
      </c>
      <c r="L1765">
        <v>0</v>
      </c>
    </row>
    <row r="1766" spans="1:13" x14ac:dyDescent="0.2">
      <c r="A1766">
        <f t="shared" si="27"/>
        <v>1760</v>
      </c>
      <c r="B1766">
        <v>2020</v>
      </c>
      <c r="C1766" t="s">
        <v>172</v>
      </c>
      <c r="D1766" t="s">
        <v>822</v>
      </c>
      <c r="E1766" s="65">
        <v>130</v>
      </c>
      <c r="G1766" t="s">
        <v>1904</v>
      </c>
      <c r="H1766" t="s">
        <v>146</v>
      </c>
      <c r="J1766" t="s">
        <v>119</v>
      </c>
      <c r="K1766" t="s">
        <v>195</v>
      </c>
      <c r="L1766" s="17">
        <v>0</v>
      </c>
    </row>
    <row r="1767" spans="1:13" x14ac:dyDescent="0.2">
      <c r="A1767">
        <f t="shared" si="27"/>
        <v>1761</v>
      </c>
      <c r="B1767">
        <v>2020</v>
      </c>
      <c r="C1767" t="s">
        <v>172</v>
      </c>
      <c r="D1767" t="s">
        <v>1465</v>
      </c>
      <c r="E1767" s="65">
        <v>260</v>
      </c>
      <c r="H1767" t="s">
        <v>151</v>
      </c>
      <c r="I1767" t="s">
        <v>224</v>
      </c>
      <c r="J1767" t="s">
        <v>20</v>
      </c>
      <c r="K1767" t="s">
        <v>195</v>
      </c>
      <c r="L1767">
        <v>0</v>
      </c>
    </row>
    <row r="1768" spans="1:13" x14ac:dyDescent="0.2">
      <c r="A1768">
        <f t="shared" si="27"/>
        <v>1762</v>
      </c>
      <c r="B1768">
        <v>2020</v>
      </c>
      <c r="C1768" t="s">
        <v>172</v>
      </c>
      <c r="D1768" t="s">
        <v>1905</v>
      </c>
      <c r="E1768" s="65">
        <v>100</v>
      </c>
      <c r="G1768" t="s">
        <v>1906</v>
      </c>
      <c r="H1768" t="s">
        <v>151</v>
      </c>
      <c r="I1768" t="s">
        <v>279</v>
      </c>
      <c r="J1768" t="s">
        <v>83</v>
      </c>
      <c r="K1768" t="s">
        <v>219</v>
      </c>
      <c r="L1768" s="17">
        <v>1</v>
      </c>
    </row>
    <row r="1769" spans="1:13" x14ac:dyDescent="0.2">
      <c r="A1769">
        <f t="shared" si="27"/>
        <v>1763</v>
      </c>
      <c r="B1769">
        <v>2020</v>
      </c>
      <c r="C1769" t="s">
        <v>172</v>
      </c>
      <c r="D1769" t="s">
        <v>1907</v>
      </c>
      <c r="E1769" s="65">
        <v>140</v>
      </c>
      <c r="F1769" s="33">
        <v>1</v>
      </c>
      <c r="H1769" t="s">
        <v>151</v>
      </c>
      <c r="I1769" t="s">
        <v>224</v>
      </c>
      <c r="J1769" t="s">
        <v>138</v>
      </c>
      <c r="K1769" t="s">
        <v>219</v>
      </c>
      <c r="L1769">
        <v>1</v>
      </c>
      <c r="M1769" s="28" t="s">
        <v>178</v>
      </c>
    </row>
    <row r="1770" spans="1:13" x14ac:dyDescent="0.2">
      <c r="A1770">
        <f t="shared" si="27"/>
        <v>1764</v>
      </c>
      <c r="B1770">
        <v>2020</v>
      </c>
      <c r="C1770" t="s">
        <v>172</v>
      </c>
      <c r="D1770" t="s">
        <v>244</v>
      </c>
      <c r="E1770" s="65">
        <v>240</v>
      </c>
      <c r="G1770" t="s">
        <v>1908</v>
      </c>
      <c r="H1770" t="s">
        <v>149</v>
      </c>
      <c r="I1770" t="s">
        <v>236</v>
      </c>
      <c r="J1770" t="s">
        <v>34</v>
      </c>
      <c r="K1770" t="s">
        <v>219</v>
      </c>
      <c r="L1770" s="17">
        <v>1</v>
      </c>
      <c r="M1770" s="28" t="s">
        <v>178</v>
      </c>
    </row>
    <row r="1771" spans="1:13" x14ac:dyDescent="0.2">
      <c r="A1771">
        <f t="shared" si="27"/>
        <v>1765</v>
      </c>
      <c r="B1771">
        <v>2020</v>
      </c>
      <c r="C1771" t="s">
        <v>258</v>
      </c>
      <c r="D1771" t="s">
        <v>559</v>
      </c>
      <c r="E1771" s="65">
        <v>360</v>
      </c>
      <c r="G1771" t="s">
        <v>1732</v>
      </c>
      <c r="H1771" t="s">
        <v>149</v>
      </c>
      <c r="I1771" t="s">
        <v>236</v>
      </c>
      <c r="J1771" t="s">
        <v>106</v>
      </c>
      <c r="K1771" t="s">
        <v>195</v>
      </c>
      <c r="L1771" s="17">
        <v>1</v>
      </c>
    </row>
    <row r="1772" spans="1:13" x14ac:dyDescent="0.2">
      <c r="A1772">
        <f t="shared" si="27"/>
        <v>1766</v>
      </c>
      <c r="B1772">
        <v>2020</v>
      </c>
      <c r="C1772" t="s">
        <v>258</v>
      </c>
      <c r="D1772" t="s">
        <v>410</v>
      </c>
      <c r="E1772" s="65">
        <v>200</v>
      </c>
      <c r="G1772" t="s">
        <v>476</v>
      </c>
      <c r="H1772" t="s">
        <v>154</v>
      </c>
      <c r="I1772" t="s">
        <v>194</v>
      </c>
      <c r="J1772" t="s">
        <v>124</v>
      </c>
      <c r="K1772" t="s">
        <v>183</v>
      </c>
      <c r="L1772" s="17">
        <v>1</v>
      </c>
    </row>
    <row r="1773" spans="1:13" x14ac:dyDescent="0.2">
      <c r="A1773">
        <f t="shared" si="27"/>
        <v>1767</v>
      </c>
      <c r="B1773">
        <v>2020</v>
      </c>
      <c r="C1773" t="s">
        <v>258</v>
      </c>
      <c r="D1773" t="s">
        <v>1909</v>
      </c>
      <c r="E1773" s="65">
        <v>860</v>
      </c>
      <c r="F1773" s="33">
        <v>0.7</v>
      </c>
      <c r="H1773" t="s">
        <v>154</v>
      </c>
      <c r="I1773" t="s">
        <v>194</v>
      </c>
      <c r="J1773" t="s">
        <v>13</v>
      </c>
      <c r="K1773" t="s">
        <v>201</v>
      </c>
      <c r="L1773" s="17">
        <v>1</v>
      </c>
      <c r="M1773" s="28" t="s">
        <v>178</v>
      </c>
    </row>
    <row r="1774" spans="1:13" x14ac:dyDescent="0.2">
      <c r="A1774">
        <f t="shared" si="27"/>
        <v>1768</v>
      </c>
      <c r="B1774">
        <v>2020</v>
      </c>
      <c r="C1774" t="s">
        <v>258</v>
      </c>
      <c r="D1774" t="s">
        <v>1149</v>
      </c>
      <c r="E1774" s="65">
        <v>180</v>
      </c>
      <c r="H1774" t="s">
        <v>151</v>
      </c>
      <c r="I1774" t="s">
        <v>224</v>
      </c>
      <c r="J1774" t="s">
        <v>9</v>
      </c>
      <c r="K1774" t="s">
        <v>9</v>
      </c>
      <c r="L1774" s="17">
        <v>0</v>
      </c>
    </row>
    <row r="1775" spans="1:13" x14ac:dyDescent="0.2">
      <c r="A1775">
        <f t="shared" si="27"/>
        <v>1769</v>
      </c>
      <c r="B1775">
        <v>2020</v>
      </c>
      <c r="C1775" t="s">
        <v>258</v>
      </c>
      <c r="D1775" t="s">
        <v>1102</v>
      </c>
      <c r="E1775" s="65">
        <v>180</v>
      </c>
      <c r="H1775" t="s">
        <v>154</v>
      </c>
      <c r="I1775" t="s">
        <v>194</v>
      </c>
      <c r="J1775" t="s">
        <v>131</v>
      </c>
      <c r="K1775" t="s">
        <v>131</v>
      </c>
      <c r="L1775" s="17">
        <v>0</v>
      </c>
    </row>
    <row r="1776" spans="1:13" x14ac:dyDescent="0.2">
      <c r="A1776">
        <f t="shared" si="27"/>
        <v>1770</v>
      </c>
      <c r="B1776">
        <v>2020</v>
      </c>
      <c r="C1776" t="s">
        <v>258</v>
      </c>
      <c r="D1776" t="s">
        <v>1910</v>
      </c>
      <c r="E1776" s="65">
        <v>1040</v>
      </c>
      <c r="H1776" t="s">
        <v>149</v>
      </c>
      <c r="I1776" t="s">
        <v>182</v>
      </c>
      <c r="J1776" t="s">
        <v>53</v>
      </c>
      <c r="K1776" t="s">
        <v>183</v>
      </c>
      <c r="L1776" s="17">
        <v>1</v>
      </c>
      <c r="M1776" s="28" t="s">
        <v>178</v>
      </c>
    </row>
    <row r="1777" spans="1:13" x14ac:dyDescent="0.2">
      <c r="A1777">
        <f t="shared" si="27"/>
        <v>1771</v>
      </c>
      <c r="B1777">
        <v>2020</v>
      </c>
      <c r="C1777" t="s">
        <v>179</v>
      </c>
      <c r="D1777" t="s">
        <v>1769</v>
      </c>
      <c r="E1777" s="65">
        <v>890</v>
      </c>
      <c r="F1777" s="33">
        <v>0.24</v>
      </c>
      <c r="G1777" t="s">
        <v>1911</v>
      </c>
      <c r="H1777" t="s">
        <v>152</v>
      </c>
      <c r="J1777" t="s">
        <v>85</v>
      </c>
      <c r="K1777" t="s">
        <v>195</v>
      </c>
      <c r="L1777" s="17">
        <v>0</v>
      </c>
    </row>
    <row r="1778" spans="1:13" s="36" customFormat="1" x14ac:dyDescent="0.2">
      <c r="A1778">
        <f t="shared" si="27"/>
        <v>1772</v>
      </c>
      <c r="B1778">
        <v>2020</v>
      </c>
      <c r="C1778" t="s">
        <v>179</v>
      </c>
      <c r="D1778" t="s">
        <v>554</v>
      </c>
      <c r="E1778" s="65">
        <v>140</v>
      </c>
      <c r="F1778" s="33"/>
      <c r="G1778" t="s">
        <v>1912</v>
      </c>
      <c r="H1778" t="s">
        <v>147</v>
      </c>
      <c r="J1778" t="s">
        <v>45</v>
      </c>
      <c r="K1778" t="s">
        <v>195</v>
      </c>
      <c r="L1778" s="17">
        <v>0</v>
      </c>
      <c r="M1778" s="28"/>
    </row>
    <row r="1779" spans="1:13" x14ac:dyDescent="0.2">
      <c r="A1779">
        <f t="shared" si="27"/>
        <v>1773</v>
      </c>
      <c r="B1779">
        <v>2020</v>
      </c>
      <c r="C1779" t="s">
        <v>179</v>
      </c>
      <c r="D1779" t="s">
        <v>300</v>
      </c>
      <c r="E1779" s="65">
        <v>100</v>
      </c>
      <c r="G1779" t="s">
        <v>1810</v>
      </c>
      <c r="H1779" t="s">
        <v>146</v>
      </c>
      <c r="I1779" t="s">
        <v>275</v>
      </c>
      <c r="J1779" t="s">
        <v>52</v>
      </c>
      <c r="K1779" t="s">
        <v>201</v>
      </c>
      <c r="L1779" s="17">
        <v>0</v>
      </c>
    </row>
    <row r="1780" spans="1:13" x14ac:dyDescent="0.2">
      <c r="A1780">
        <f t="shared" si="27"/>
        <v>1774</v>
      </c>
      <c r="B1780">
        <v>2020</v>
      </c>
      <c r="C1780" t="s">
        <v>179</v>
      </c>
      <c r="D1780" t="s">
        <v>1304</v>
      </c>
      <c r="E1780" s="65">
        <v>140</v>
      </c>
      <c r="F1780" s="33">
        <v>0.62</v>
      </c>
      <c r="G1780" t="s">
        <v>1913</v>
      </c>
      <c r="H1780" t="s">
        <v>150</v>
      </c>
      <c r="I1780" t="s">
        <v>744</v>
      </c>
      <c r="J1780" t="s">
        <v>72</v>
      </c>
      <c r="K1780" t="s">
        <v>183</v>
      </c>
      <c r="L1780" s="17">
        <v>1</v>
      </c>
    </row>
    <row r="1781" spans="1:13" x14ac:dyDescent="0.2">
      <c r="A1781">
        <f t="shared" si="27"/>
        <v>1775</v>
      </c>
      <c r="B1781">
        <v>2020</v>
      </c>
      <c r="C1781" t="s">
        <v>179</v>
      </c>
      <c r="D1781" t="s">
        <v>286</v>
      </c>
      <c r="E1781" s="65">
        <v>310</v>
      </c>
      <c r="F1781" s="33">
        <v>0.02</v>
      </c>
      <c r="G1781" t="s">
        <v>1914</v>
      </c>
      <c r="H1781" t="s">
        <v>147</v>
      </c>
      <c r="J1781" t="s">
        <v>61</v>
      </c>
      <c r="K1781" t="s">
        <v>183</v>
      </c>
      <c r="L1781" s="17">
        <v>0</v>
      </c>
    </row>
    <row r="1782" spans="1:13" x14ac:dyDescent="0.2">
      <c r="A1782">
        <f t="shared" si="27"/>
        <v>1776</v>
      </c>
      <c r="B1782">
        <v>2020</v>
      </c>
      <c r="C1782" t="s">
        <v>179</v>
      </c>
      <c r="D1782" t="s">
        <v>479</v>
      </c>
      <c r="E1782" s="65">
        <v>540</v>
      </c>
      <c r="F1782" s="33">
        <v>0.53</v>
      </c>
      <c r="G1782" t="s">
        <v>1915</v>
      </c>
      <c r="H1782" t="s">
        <v>154</v>
      </c>
      <c r="I1782" t="s">
        <v>271</v>
      </c>
      <c r="J1782" t="s">
        <v>89</v>
      </c>
      <c r="K1782" t="s">
        <v>219</v>
      </c>
      <c r="L1782" s="17">
        <v>1</v>
      </c>
      <c r="M1782" s="28" t="s">
        <v>178</v>
      </c>
    </row>
    <row r="1783" spans="1:13" x14ac:dyDescent="0.2">
      <c r="A1783">
        <f t="shared" si="27"/>
        <v>1777</v>
      </c>
      <c r="B1783">
        <v>2020</v>
      </c>
      <c r="C1783" t="s">
        <v>179</v>
      </c>
      <c r="D1783" t="s">
        <v>1916</v>
      </c>
      <c r="E1783" s="65">
        <v>600</v>
      </c>
      <c r="H1783" t="s">
        <v>149</v>
      </c>
      <c r="J1783" t="s">
        <v>53</v>
      </c>
      <c r="K1783" t="s">
        <v>183</v>
      </c>
      <c r="L1783" s="17">
        <v>1</v>
      </c>
      <c r="M1783" s="28" t="s">
        <v>178</v>
      </c>
    </row>
    <row r="1784" spans="1:13" x14ac:dyDescent="0.2">
      <c r="A1784">
        <f t="shared" si="27"/>
        <v>1778</v>
      </c>
      <c r="B1784">
        <v>2020</v>
      </c>
      <c r="C1784" t="s">
        <v>179</v>
      </c>
      <c r="D1784" t="s">
        <v>872</v>
      </c>
      <c r="E1784" s="65">
        <v>1120</v>
      </c>
      <c r="G1784" t="s">
        <v>391</v>
      </c>
      <c r="H1784" t="s">
        <v>148</v>
      </c>
      <c r="J1784" t="s">
        <v>9</v>
      </c>
      <c r="K1784" t="s">
        <v>9</v>
      </c>
      <c r="L1784" s="17">
        <v>0</v>
      </c>
    </row>
    <row r="1785" spans="1:13" x14ac:dyDescent="0.2">
      <c r="A1785">
        <f t="shared" si="27"/>
        <v>1779</v>
      </c>
      <c r="B1785">
        <v>2020</v>
      </c>
      <c r="C1785" t="s">
        <v>179</v>
      </c>
      <c r="D1785" t="s">
        <v>454</v>
      </c>
      <c r="E1785" s="65">
        <v>100</v>
      </c>
      <c r="G1785" t="s">
        <v>1917</v>
      </c>
      <c r="H1785" t="s">
        <v>154</v>
      </c>
      <c r="I1785" t="s">
        <v>250</v>
      </c>
      <c r="J1785" t="s">
        <v>45</v>
      </c>
      <c r="K1785" t="s">
        <v>195</v>
      </c>
      <c r="L1785" s="17">
        <v>0</v>
      </c>
    </row>
    <row r="1786" spans="1:13" x14ac:dyDescent="0.2">
      <c r="A1786">
        <f t="shared" si="27"/>
        <v>1780</v>
      </c>
      <c r="B1786">
        <v>2020</v>
      </c>
      <c r="C1786" t="s">
        <v>179</v>
      </c>
      <c r="D1786" t="s">
        <v>389</v>
      </c>
      <c r="E1786" s="65">
        <v>180</v>
      </c>
      <c r="F1786" s="33">
        <v>0.1</v>
      </c>
      <c r="G1786" t="s">
        <v>1918</v>
      </c>
      <c r="H1786" t="s">
        <v>144</v>
      </c>
      <c r="I1786" t="s">
        <v>273</v>
      </c>
      <c r="J1786" t="s">
        <v>9</v>
      </c>
      <c r="K1786" t="s">
        <v>9</v>
      </c>
      <c r="L1786" s="17">
        <v>0</v>
      </c>
    </row>
    <row r="1787" spans="1:13" x14ac:dyDescent="0.2">
      <c r="A1787">
        <f t="shared" si="27"/>
        <v>1781</v>
      </c>
      <c r="B1787">
        <v>2020</v>
      </c>
      <c r="C1787" t="s">
        <v>179</v>
      </c>
      <c r="D1787" t="s">
        <v>734</v>
      </c>
      <c r="E1787" s="65">
        <v>140</v>
      </c>
      <c r="H1787" t="s">
        <v>142</v>
      </c>
      <c r="J1787" t="s">
        <v>53</v>
      </c>
      <c r="K1787" t="s">
        <v>183</v>
      </c>
      <c r="L1787" s="17">
        <v>1</v>
      </c>
      <c r="M1787" s="28" t="s">
        <v>178</v>
      </c>
    </row>
    <row r="1788" spans="1:13" x14ac:dyDescent="0.2">
      <c r="A1788">
        <f t="shared" si="27"/>
        <v>1782</v>
      </c>
      <c r="B1788" s="17">
        <v>2020</v>
      </c>
      <c r="C1788" s="17" t="s">
        <v>179</v>
      </c>
      <c r="D1788" t="s">
        <v>474</v>
      </c>
      <c r="E1788" s="66">
        <v>300</v>
      </c>
      <c r="F1788" s="37">
        <v>0.75</v>
      </c>
      <c r="G1788" s="17"/>
      <c r="H1788" s="17" t="s">
        <v>144</v>
      </c>
      <c r="I1788" s="17" t="s">
        <v>197</v>
      </c>
      <c r="J1788" s="17" t="s">
        <v>53</v>
      </c>
      <c r="K1788" s="17" t="s">
        <v>183</v>
      </c>
      <c r="L1788" s="17">
        <v>1</v>
      </c>
      <c r="M1788" s="67"/>
    </row>
    <row r="1789" spans="1:13" x14ac:dyDescent="0.2">
      <c r="A1789">
        <f t="shared" si="27"/>
        <v>1783</v>
      </c>
      <c r="B1789">
        <v>2020</v>
      </c>
      <c r="C1789" t="s">
        <v>184</v>
      </c>
      <c r="D1789" t="s">
        <v>454</v>
      </c>
      <c r="E1789" s="65">
        <v>250</v>
      </c>
      <c r="F1789" s="33">
        <v>0.05</v>
      </c>
      <c r="G1789" t="s">
        <v>1919</v>
      </c>
      <c r="H1789" t="s">
        <v>146</v>
      </c>
      <c r="J1789" t="s">
        <v>9</v>
      </c>
      <c r="K1789" t="s">
        <v>9</v>
      </c>
      <c r="L1789" s="17">
        <v>0</v>
      </c>
    </row>
    <row r="1790" spans="1:13" x14ac:dyDescent="0.2">
      <c r="A1790">
        <f t="shared" si="27"/>
        <v>1784</v>
      </c>
      <c r="B1790">
        <v>2020</v>
      </c>
      <c r="C1790" t="s">
        <v>184</v>
      </c>
      <c r="D1790" t="s">
        <v>1920</v>
      </c>
      <c r="E1790" s="65">
        <v>110</v>
      </c>
      <c r="G1790" t="s">
        <v>1921</v>
      </c>
      <c r="H1790" t="s">
        <v>149</v>
      </c>
      <c r="I1790" t="s">
        <v>238</v>
      </c>
      <c r="J1790" t="s">
        <v>17</v>
      </c>
      <c r="K1790" t="s">
        <v>195</v>
      </c>
      <c r="L1790">
        <v>1</v>
      </c>
    </row>
    <row r="1791" spans="1:13" x14ac:dyDescent="0.2">
      <c r="A1791">
        <f t="shared" si="27"/>
        <v>1785</v>
      </c>
      <c r="B1791">
        <v>2020</v>
      </c>
      <c r="C1791" t="s">
        <v>184</v>
      </c>
      <c r="D1791" t="s">
        <v>1705</v>
      </c>
      <c r="E1791" s="65">
        <v>260</v>
      </c>
      <c r="H1791" t="s">
        <v>151</v>
      </c>
      <c r="I1791" t="s">
        <v>224</v>
      </c>
      <c r="J1791" t="s">
        <v>20</v>
      </c>
      <c r="K1791" t="s">
        <v>195</v>
      </c>
      <c r="L1791">
        <v>0</v>
      </c>
    </row>
    <row r="1792" spans="1:13" x14ac:dyDescent="0.2">
      <c r="A1792">
        <f t="shared" si="27"/>
        <v>1786</v>
      </c>
      <c r="B1792">
        <v>2020</v>
      </c>
      <c r="C1792" t="s">
        <v>225</v>
      </c>
      <c r="D1792" t="s">
        <v>248</v>
      </c>
      <c r="E1792" s="65">
        <v>180</v>
      </c>
      <c r="F1792" s="33">
        <v>0.13</v>
      </c>
      <c r="G1792" t="s">
        <v>1922</v>
      </c>
      <c r="H1792" t="s">
        <v>154</v>
      </c>
      <c r="I1792" t="s">
        <v>250</v>
      </c>
      <c r="J1792" t="s">
        <v>91</v>
      </c>
      <c r="K1792" t="s">
        <v>195</v>
      </c>
      <c r="L1792" s="17">
        <v>0</v>
      </c>
    </row>
    <row r="1793" spans="1:13" x14ac:dyDescent="0.2">
      <c r="A1793">
        <f t="shared" si="27"/>
        <v>1787</v>
      </c>
      <c r="B1793">
        <v>2020</v>
      </c>
      <c r="C1793" t="s">
        <v>225</v>
      </c>
      <c r="D1793" t="s">
        <v>822</v>
      </c>
      <c r="E1793" s="65">
        <v>600</v>
      </c>
      <c r="F1793" s="33">
        <v>0.5</v>
      </c>
      <c r="H1793" t="s">
        <v>151</v>
      </c>
      <c r="I1793" t="s">
        <v>224</v>
      </c>
      <c r="J1793" t="s">
        <v>108</v>
      </c>
      <c r="K1793" t="s">
        <v>183</v>
      </c>
      <c r="L1793" s="17">
        <v>1</v>
      </c>
    </row>
    <row r="1794" spans="1:13" x14ac:dyDescent="0.2">
      <c r="A1794">
        <f t="shared" si="27"/>
        <v>1788</v>
      </c>
      <c r="B1794">
        <v>2020</v>
      </c>
      <c r="C1794" t="s">
        <v>188</v>
      </c>
      <c r="D1794" t="s">
        <v>559</v>
      </c>
      <c r="E1794" s="65">
        <v>240</v>
      </c>
      <c r="G1794" t="s">
        <v>1923</v>
      </c>
      <c r="H1794" t="s">
        <v>149</v>
      </c>
      <c r="J1794" t="s">
        <v>50</v>
      </c>
      <c r="K1794" t="s">
        <v>205</v>
      </c>
      <c r="L1794">
        <v>1</v>
      </c>
    </row>
    <row r="1795" spans="1:13" x14ac:dyDescent="0.2">
      <c r="A1795">
        <f t="shared" si="27"/>
        <v>1789</v>
      </c>
      <c r="B1795">
        <v>2020</v>
      </c>
      <c r="C1795" t="s">
        <v>188</v>
      </c>
      <c r="D1795" t="s">
        <v>1852</v>
      </c>
      <c r="E1795" s="65">
        <v>190</v>
      </c>
      <c r="F1795" s="33">
        <v>0.11</v>
      </c>
      <c r="G1795" t="s">
        <v>1924</v>
      </c>
      <c r="H1795" t="s">
        <v>152</v>
      </c>
      <c r="J1795" t="s">
        <v>61</v>
      </c>
      <c r="K1795" t="s">
        <v>183</v>
      </c>
      <c r="L1795" s="17">
        <v>0</v>
      </c>
    </row>
    <row r="1796" spans="1:13" x14ac:dyDescent="0.2">
      <c r="A1796">
        <f t="shared" si="27"/>
        <v>1790</v>
      </c>
      <c r="B1796">
        <v>2020</v>
      </c>
      <c r="C1796" t="s">
        <v>188</v>
      </c>
      <c r="D1796" t="s">
        <v>454</v>
      </c>
      <c r="E1796" s="65">
        <v>200</v>
      </c>
      <c r="F1796" s="33">
        <v>0.02</v>
      </c>
      <c r="G1796" t="s">
        <v>1925</v>
      </c>
      <c r="H1796" t="s">
        <v>145</v>
      </c>
      <c r="J1796" t="s">
        <v>131</v>
      </c>
      <c r="K1796" t="s">
        <v>131</v>
      </c>
      <c r="L1796" s="17">
        <v>0</v>
      </c>
    </row>
    <row r="1797" spans="1:13" x14ac:dyDescent="0.2">
      <c r="A1797">
        <f t="shared" si="27"/>
        <v>1791</v>
      </c>
      <c r="B1797">
        <v>2020</v>
      </c>
      <c r="C1797" t="s">
        <v>188</v>
      </c>
      <c r="D1797" t="s">
        <v>1926</v>
      </c>
      <c r="E1797" s="65">
        <v>490</v>
      </c>
      <c r="G1797" t="s">
        <v>1927</v>
      </c>
      <c r="H1797" t="s">
        <v>150</v>
      </c>
      <c r="I1797" t="s">
        <v>744</v>
      </c>
      <c r="J1797" t="s">
        <v>108</v>
      </c>
      <c r="K1797" t="s">
        <v>183</v>
      </c>
      <c r="L1797" s="17">
        <v>1</v>
      </c>
    </row>
    <row r="1798" spans="1:13" x14ac:dyDescent="0.2">
      <c r="A1798">
        <f t="shared" si="27"/>
        <v>1792</v>
      </c>
      <c r="B1798">
        <v>2020</v>
      </c>
      <c r="C1798" t="s">
        <v>188</v>
      </c>
      <c r="D1798" t="s">
        <v>1928</v>
      </c>
      <c r="E1798" s="65">
        <v>760</v>
      </c>
      <c r="F1798" s="33">
        <v>0.7</v>
      </c>
      <c r="G1798" t="s">
        <v>1929</v>
      </c>
      <c r="H1798" t="s">
        <v>152</v>
      </c>
      <c r="J1798" t="s">
        <v>113</v>
      </c>
      <c r="K1798" t="s">
        <v>183</v>
      </c>
      <c r="L1798" s="17">
        <v>0</v>
      </c>
    </row>
    <row r="1799" spans="1:13" x14ac:dyDescent="0.2">
      <c r="A1799">
        <f t="shared" ref="A1799:A1862" si="28">ROW()-6</f>
        <v>1793</v>
      </c>
      <c r="B1799">
        <v>2020</v>
      </c>
      <c r="C1799" t="s">
        <v>188</v>
      </c>
      <c r="D1799" t="s">
        <v>875</v>
      </c>
      <c r="E1799" s="65">
        <v>280</v>
      </c>
      <c r="F1799" s="33">
        <v>0.7</v>
      </c>
      <c r="H1799" t="s">
        <v>151</v>
      </c>
      <c r="I1799" t="s">
        <v>279</v>
      </c>
      <c r="J1799" t="s">
        <v>82</v>
      </c>
      <c r="K1799" t="s">
        <v>183</v>
      </c>
      <c r="L1799" s="17">
        <v>1</v>
      </c>
      <c r="M1799" s="28" t="s">
        <v>178</v>
      </c>
    </row>
    <row r="1800" spans="1:13" x14ac:dyDescent="0.2">
      <c r="A1800">
        <f t="shared" si="28"/>
        <v>1794</v>
      </c>
      <c r="B1800">
        <v>2020</v>
      </c>
      <c r="C1800" t="s">
        <v>188</v>
      </c>
      <c r="D1800" t="s">
        <v>1705</v>
      </c>
      <c r="E1800" s="65">
        <v>380</v>
      </c>
      <c r="F1800" s="33">
        <v>0.18</v>
      </c>
      <c r="G1800" t="s">
        <v>1650</v>
      </c>
      <c r="H1800" t="s">
        <v>154</v>
      </c>
      <c r="I1800" t="s">
        <v>194</v>
      </c>
      <c r="J1800" t="s">
        <v>118</v>
      </c>
      <c r="K1800" t="s">
        <v>195</v>
      </c>
      <c r="L1800" s="17">
        <v>0</v>
      </c>
    </row>
    <row r="1801" spans="1:13" x14ac:dyDescent="0.2">
      <c r="A1801">
        <f t="shared" si="28"/>
        <v>1795</v>
      </c>
      <c r="B1801">
        <v>2020</v>
      </c>
      <c r="C1801" t="s">
        <v>188</v>
      </c>
      <c r="D1801" t="s">
        <v>724</v>
      </c>
      <c r="E1801" s="65">
        <v>310</v>
      </c>
      <c r="H1801" t="s">
        <v>151</v>
      </c>
      <c r="I1801" t="s">
        <v>224</v>
      </c>
      <c r="J1801" t="s">
        <v>72</v>
      </c>
      <c r="K1801" t="s">
        <v>183</v>
      </c>
      <c r="L1801" s="17">
        <v>1</v>
      </c>
    </row>
    <row r="1802" spans="1:13" x14ac:dyDescent="0.2">
      <c r="A1802">
        <f t="shared" si="28"/>
        <v>1796</v>
      </c>
      <c r="B1802">
        <v>2020</v>
      </c>
      <c r="C1802" t="s">
        <v>188</v>
      </c>
      <c r="D1802" t="s">
        <v>337</v>
      </c>
      <c r="E1802" s="65">
        <v>1190</v>
      </c>
      <c r="H1802" t="s">
        <v>144</v>
      </c>
      <c r="I1802" t="s">
        <v>273</v>
      </c>
      <c r="J1802" t="s">
        <v>23</v>
      </c>
      <c r="K1802" t="s">
        <v>183</v>
      </c>
      <c r="L1802" s="17">
        <v>1</v>
      </c>
      <c r="M1802" s="28" t="s">
        <v>178</v>
      </c>
    </row>
    <row r="1803" spans="1:13" x14ac:dyDescent="0.2">
      <c r="A1803">
        <f t="shared" si="28"/>
        <v>1797</v>
      </c>
      <c r="B1803">
        <v>2020</v>
      </c>
      <c r="C1803" t="s">
        <v>188</v>
      </c>
      <c r="D1803" t="s">
        <v>1930</v>
      </c>
      <c r="E1803" s="65">
        <v>220</v>
      </c>
      <c r="F1803" s="33">
        <v>0.35</v>
      </c>
      <c r="G1803" t="s">
        <v>1931</v>
      </c>
      <c r="H1803" t="s">
        <v>152</v>
      </c>
      <c r="I1803" t="s">
        <v>257</v>
      </c>
      <c r="J1803" t="s">
        <v>131</v>
      </c>
      <c r="K1803" t="s">
        <v>131</v>
      </c>
      <c r="L1803" s="17">
        <v>0</v>
      </c>
    </row>
    <row r="1804" spans="1:13" x14ac:dyDescent="0.2">
      <c r="A1804">
        <f t="shared" si="28"/>
        <v>1798</v>
      </c>
      <c r="B1804">
        <v>2020</v>
      </c>
      <c r="C1804" t="s">
        <v>191</v>
      </c>
      <c r="D1804" t="s">
        <v>875</v>
      </c>
      <c r="E1804" s="65">
        <v>1230</v>
      </c>
      <c r="F1804" s="33">
        <v>0.8</v>
      </c>
      <c r="G1804" t="s">
        <v>1932</v>
      </c>
      <c r="H1804" t="s">
        <v>144</v>
      </c>
      <c r="I1804" t="s">
        <v>197</v>
      </c>
      <c r="J1804" t="s">
        <v>93</v>
      </c>
      <c r="K1804" t="s">
        <v>201</v>
      </c>
      <c r="L1804" s="17">
        <v>1</v>
      </c>
      <c r="M1804" s="28" t="s">
        <v>178</v>
      </c>
    </row>
    <row r="1805" spans="1:13" x14ac:dyDescent="0.2">
      <c r="A1805">
        <f t="shared" si="28"/>
        <v>1799</v>
      </c>
      <c r="B1805">
        <v>2020</v>
      </c>
      <c r="C1805" t="s">
        <v>191</v>
      </c>
      <c r="D1805" t="s">
        <v>1029</v>
      </c>
      <c r="E1805" s="65">
        <v>180</v>
      </c>
      <c r="F1805" s="33">
        <v>0.2</v>
      </c>
      <c r="G1805" t="s">
        <v>1933</v>
      </c>
      <c r="H1805" t="s">
        <v>144</v>
      </c>
      <c r="I1805" t="s">
        <v>232</v>
      </c>
      <c r="J1805" t="s">
        <v>130</v>
      </c>
      <c r="K1805" t="s">
        <v>214</v>
      </c>
      <c r="L1805" s="17">
        <v>1</v>
      </c>
      <c r="M1805" s="28" t="s">
        <v>178</v>
      </c>
    </row>
    <row r="1806" spans="1:13" x14ac:dyDescent="0.2">
      <c r="A1806">
        <f t="shared" si="28"/>
        <v>1800</v>
      </c>
      <c r="B1806">
        <v>2020</v>
      </c>
      <c r="C1806" t="s">
        <v>191</v>
      </c>
      <c r="D1806" t="s">
        <v>283</v>
      </c>
      <c r="E1806" s="65">
        <v>180</v>
      </c>
      <c r="F1806" s="33">
        <v>0.2</v>
      </c>
      <c r="G1806" t="s">
        <v>284</v>
      </c>
      <c r="H1806" t="s">
        <v>146</v>
      </c>
      <c r="I1806" t="s">
        <v>275</v>
      </c>
      <c r="J1806" t="s">
        <v>8</v>
      </c>
      <c r="K1806" t="s">
        <v>205</v>
      </c>
      <c r="L1806" s="17">
        <v>1</v>
      </c>
    </row>
    <row r="1807" spans="1:13" x14ac:dyDescent="0.2">
      <c r="A1807">
        <f t="shared" si="28"/>
        <v>1801</v>
      </c>
      <c r="B1807">
        <v>2020</v>
      </c>
      <c r="C1807" t="s">
        <v>191</v>
      </c>
      <c r="D1807" t="s">
        <v>1625</v>
      </c>
      <c r="E1807" s="65">
        <v>320</v>
      </c>
      <c r="H1807" t="s">
        <v>144</v>
      </c>
      <c r="I1807" t="s">
        <v>232</v>
      </c>
      <c r="J1807" t="s">
        <v>72</v>
      </c>
      <c r="K1807" t="s">
        <v>183</v>
      </c>
      <c r="L1807" s="17">
        <v>1</v>
      </c>
    </row>
    <row r="1808" spans="1:13" x14ac:dyDescent="0.2">
      <c r="A1808">
        <f t="shared" si="28"/>
        <v>1802</v>
      </c>
      <c r="B1808">
        <v>2020</v>
      </c>
      <c r="C1808" t="s">
        <v>191</v>
      </c>
      <c r="D1808" t="s">
        <v>246</v>
      </c>
      <c r="E1808" s="65">
        <v>260</v>
      </c>
      <c r="G1808" t="s">
        <v>737</v>
      </c>
      <c r="H1808" t="s">
        <v>144</v>
      </c>
      <c r="J1808" t="s">
        <v>99</v>
      </c>
      <c r="K1808" t="s">
        <v>195</v>
      </c>
      <c r="L1808" s="17">
        <v>1</v>
      </c>
    </row>
    <row r="1809" spans="1:13" x14ac:dyDescent="0.2">
      <c r="A1809">
        <f t="shared" si="28"/>
        <v>1803</v>
      </c>
      <c r="B1809">
        <v>2020</v>
      </c>
      <c r="C1809" t="s">
        <v>191</v>
      </c>
      <c r="D1809" t="s">
        <v>1934</v>
      </c>
      <c r="E1809" s="65">
        <v>260</v>
      </c>
      <c r="F1809" s="33">
        <v>1</v>
      </c>
      <c r="H1809" t="s">
        <v>154</v>
      </c>
      <c r="I1809" t="s">
        <v>194</v>
      </c>
      <c r="J1809" t="s">
        <v>77</v>
      </c>
      <c r="K1809" t="s">
        <v>177</v>
      </c>
      <c r="L1809" s="17">
        <v>0</v>
      </c>
      <c r="M1809" s="28" t="s">
        <v>178</v>
      </c>
    </row>
    <row r="1810" spans="1:13" x14ac:dyDescent="0.2">
      <c r="A1810">
        <f t="shared" si="28"/>
        <v>1804</v>
      </c>
      <c r="B1810">
        <v>2020</v>
      </c>
      <c r="C1810" t="s">
        <v>198</v>
      </c>
      <c r="D1810" t="s">
        <v>246</v>
      </c>
      <c r="E1810" s="65">
        <v>610</v>
      </c>
      <c r="G1810" t="s">
        <v>1935</v>
      </c>
      <c r="H1810" t="s">
        <v>144</v>
      </c>
      <c r="I1810" t="s">
        <v>232</v>
      </c>
      <c r="J1810" t="s">
        <v>114</v>
      </c>
      <c r="K1810" t="s">
        <v>195</v>
      </c>
      <c r="L1810" s="17">
        <v>0</v>
      </c>
    </row>
    <row r="1811" spans="1:13" x14ac:dyDescent="0.2">
      <c r="A1811">
        <f t="shared" si="28"/>
        <v>1805</v>
      </c>
      <c r="B1811">
        <v>2020</v>
      </c>
      <c r="C1811" t="s">
        <v>198</v>
      </c>
      <c r="D1811" t="s">
        <v>1180</v>
      </c>
      <c r="E1811" s="65">
        <v>260</v>
      </c>
      <c r="F1811" s="33">
        <v>0.33</v>
      </c>
      <c r="H1811" t="s">
        <v>144</v>
      </c>
      <c r="I1811" t="s">
        <v>299</v>
      </c>
      <c r="J1811" t="s">
        <v>19</v>
      </c>
      <c r="K1811" t="s">
        <v>205</v>
      </c>
      <c r="L1811" s="17">
        <v>0</v>
      </c>
      <c r="M1811" s="28" t="s">
        <v>178</v>
      </c>
    </row>
    <row r="1812" spans="1:13" x14ac:dyDescent="0.2">
      <c r="A1812">
        <f t="shared" si="28"/>
        <v>1806</v>
      </c>
      <c r="B1812">
        <v>2020</v>
      </c>
      <c r="C1812" t="s">
        <v>198</v>
      </c>
      <c r="D1812" t="s">
        <v>454</v>
      </c>
      <c r="E1812" s="65">
        <v>330</v>
      </c>
      <c r="F1812" s="33">
        <v>0.2</v>
      </c>
      <c r="G1812" t="s">
        <v>1936</v>
      </c>
      <c r="H1812" t="s">
        <v>145</v>
      </c>
      <c r="J1812" t="s">
        <v>42</v>
      </c>
      <c r="K1812" t="s">
        <v>195</v>
      </c>
      <c r="L1812" s="17">
        <v>0</v>
      </c>
    </row>
    <row r="1813" spans="1:13" x14ac:dyDescent="0.2">
      <c r="A1813">
        <f t="shared" si="28"/>
        <v>1807</v>
      </c>
      <c r="B1813">
        <v>2020</v>
      </c>
      <c r="C1813" t="s">
        <v>198</v>
      </c>
      <c r="D1813" t="s">
        <v>280</v>
      </c>
      <c r="E1813" s="65">
        <v>100</v>
      </c>
      <c r="F1813" s="33">
        <v>0.5</v>
      </c>
      <c r="G1813" t="s">
        <v>1937</v>
      </c>
      <c r="H1813" t="s">
        <v>149</v>
      </c>
      <c r="I1813" t="s">
        <v>182</v>
      </c>
      <c r="J1813" t="s">
        <v>9</v>
      </c>
      <c r="K1813" t="s">
        <v>9</v>
      </c>
      <c r="L1813" s="17">
        <v>0</v>
      </c>
      <c r="M1813" s="28" t="s">
        <v>178</v>
      </c>
    </row>
    <row r="1814" spans="1:13" x14ac:dyDescent="0.2">
      <c r="A1814">
        <f t="shared" si="28"/>
        <v>1808</v>
      </c>
      <c r="B1814">
        <v>2020</v>
      </c>
      <c r="C1814" t="s">
        <v>198</v>
      </c>
      <c r="D1814" t="s">
        <v>596</v>
      </c>
      <c r="E1814" s="65">
        <v>290</v>
      </c>
      <c r="F1814" s="33">
        <v>0.5</v>
      </c>
      <c r="G1814" t="s">
        <v>1938</v>
      </c>
      <c r="H1814" t="s">
        <v>144</v>
      </c>
      <c r="I1814" t="s">
        <v>232</v>
      </c>
      <c r="J1814" t="s">
        <v>9</v>
      </c>
      <c r="K1814" t="s">
        <v>9</v>
      </c>
      <c r="L1814" s="17">
        <v>0</v>
      </c>
      <c r="M1814" s="28" t="s">
        <v>178</v>
      </c>
    </row>
    <row r="1815" spans="1:13" ht="14.25" customHeight="1" x14ac:dyDescent="0.2">
      <c r="A1815">
        <f t="shared" si="28"/>
        <v>1809</v>
      </c>
      <c r="B1815">
        <v>2020</v>
      </c>
      <c r="C1815" t="s">
        <v>198</v>
      </c>
      <c r="D1815" t="s">
        <v>1939</v>
      </c>
      <c r="E1815" s="65">
        <v>300</v>
      </c>
      <c r="H1815" t="s">
        <v>150</v>
      </c>
      <c r="I1815" t="s">
        <v>292</v>
      </c>
      <c r="J1815" t="s">
        <v>13</v>
      </c>
      <c r="K1815" t="s">
        <v>201</v>
      </c>
      <c r="L1815" s="17">
        <v>1</v>
      </c>
      <c r="M1815" s="28" t="s">
        <v>178</v>
      </c>
    </row>
    <row r="1816" spans="1:13" ht="14.25" customHeight="1" x14ac:dyDescent="0.2">
      <c r="A1816">
        <f t="shared" si="28"/>
        <v>1810</v>
      </c>
      <c r="B1816">
        <v>2020</v>
      </c>
      <c r="C1816" t="s">
        <v>198</v>
      </c>
      <c r="D1816" t="s">
        <v>1852</v>
      </c>
      <c r="E1816" s="65">
        <v>270</v>
      </c>
      <c r="F1816" s="33">
        <v>0.22</v>
      </c>
      <c r="G1816" t="s">
        <v>1881</v>
      </c>
      <c r="H1816" t="s">
        <v>144</v>
      </c>
      <c r="I1816" t="s">
        <v>232</v>
      </c>
      <c r="J1816" t="s">
        <v>108</v>
      </c>
      <c r="K1816" t="s">
        <v>183</v>
      </c>
      <c r="L1816" s="17">
        <v>1</v>
      </c>
    </row>
    <row r="1817" spans="1:13" x14ac:dyDescent="0.2">
      <c r="A1817">
        <f t="shared" si="28"/>
        <v>1811</v>
      </c>
      <c r="B1817">
        <v>2020</v>
      </c>
      <c r="C1817" t="s">
        <v>202</v>
      </c>
      <c r="D1817" t="s">
        <v>286</v>
      </c>
      <c r="E1817" s="65">
        <v>740</v>
      </c>
      <c r="F1817" s="33">
        <v>0.01</v>
      </c>
      <c r="G1817" t="s">
        <v>1612</v>
      </c>
      <c r="H1817" t="s">
        <v>146</v>
      </c>
      <c r="I1817" t="s">
        <v>275</v>
      </c>
      <c r="J1817" t="s">
        <v>20</v>
      </c>
      <c r="K1817" t="s">
        <v>195</v>
      </c>
      <c r="L1817" s="17">
        <v>0</v>
      </c>
    </row>
    <row r="1818" spans="1:13" x14ac:dyDescent="0.2">
      <c r="A1818">
        <f t="shared" si="28"/>
        <v>1812</v>
      </c>
      <c r="B1818">
        <v>2020</v>
      </c>
      <c r="C1818" t="s">
        <v>202</v>
      </c>
      <c r="D1818" t="s">
        <v>410</v>
      </c>
      <c r="E1818" s="65">
        <v>540</v>
      </c>
      <c r="H1818" t="s">
        <v>154</v>
      </c>
      <c r="I1818" t="s">
        <v>194</v>
      </c>
      <c r="J1818" t="s">
        <v>101</v>
      </c>
      <c r="K1818" t="s">
        <v>201</v>
      </c>
      <c r="L1818" s="17">
        <v>1</v>
      </c>
    </row>
    <row r="1819" spans="1:13" x14ac:dyDescent="0.2">
      <c r="A1819">
        <f t="shared" si="28"/>
        <v>1813</v>
      </c>
      <c r="B1819">
        <v>2020</v>
      </c>
      <c r="C1819" t="s">
        <v>202</v>
      </c>
      <c r="D1819" t="s">
        <v>449</v>
      </c>
      <c r="E1819" s="65">
        <v>740</v>
      </c>
      <c r="F1819" s="33">
        <v>0.1</v>
      </c>
      <c r="H1819" t="s">
        <v>154</v>
      </c>
      <c r="I1819" t="s">
        <v>529</v>
      </c>
      <c r="J1819" t="s">
        <v>124</v>
      </c>
      <c r="K1819" t="s">
        <v>183</v>
      </c>
      <c r="L1819" s="17">
        <v>1</v>
      </c>
      <c r="M1819" s="28" t="s">
        <v>178</v>
      </c>
    </row>
    <row r="1820" spans="1:13" x14ac:dyDescent="0.2">
      <c r="A1820">
        <f t="shared" si="28"/>
        <v>1814</v>
      </c>
      <c r="B1820">
        <v>2020</v>
      </c>
      <c r="C1820" t="s">
        <v>202</v>
      </c>
      <c r="D1820" t="s">
        <v>269</v>
      </c>
      <c r="E1820" s="65">
        <v>780</v>
      </c>
      <c r="F1820" s="33">
        <v>0.6</v>
      </c>
      <c r="H1820" t="s">
        <v>154</v>
      </c>
      <c r="I1820" t="s">
        <v>271</v>
      </c>
      <c r="J1820" t="s">
        <v>96</v>
      </c>
      <c r="K1820" t="s">
        <v>205</v>
      </c>
      <c r="L1820" s="17">
        <v>1</v>
      </c>
      <c r="M1820" s="28" t="s">
        <v>178</v>
      </c>
    </row>
    <row r="1821" spans="1:13" x14ac:dyDescent="0.2">
      <c r="A1821">
        <f t="shared" si="28"/>
        <v>1815</v>
      </c>
      <c r="B1821">
        <v>2020</v>
      </c>
      <c r="C1821" t="s">
        <v>202</v>
      </c>
      <c r="D1821" t="s">
        <v>1940</v>
      </c>
      <c r="E1821" s="65">
        <v>150</v>
      </c>
      <c r="H1821" t="s">
        <v>151</v>
      </c>
      <c r="I1821" t="s">
        <v>224</v>
      </c>
      <c r="J1821" t="s">
        <v>25</v>
      </c>
      <c r="K1821" t="s">
        <v>177</v>
      </c>
      <c r="L1821" s="17">
        <v>0</v>
      </c>
    </row>
    <row r="1822" spans="1:13" x14ac:dyDescent="0.2">
      <c r="A1822">
        <f t="shared" si="28"/>
        <v>1816</v>
      </c>
      <c r="B1822">
        <v>2020</v>
      </c>
      <c r="C1822" t="s">
        <v>202</v>
      </c>
      <c r="D1822" t="s">
        <v>185</v>
      </c>
      <c r="E1822" s="65">
        <v>2280</v>
      </c>
      <c r="F1822" s="33">
        <v>0.25</v>
      </c>
      <c r="H1822" t="s">
        <v>144</v>
      </c>
      <c r="I1822" t="s">
        <v>187</v>
      </c>
      <c r="J1822" t="s">
        <v>50</v>
      </c>
      <c r="K1822" t="s">
        <v>205</v>
      </c>
      <c r="L1822" s="17">
        <v>1</v>
      </c>
      <c r="M1822" s="28" t="s">
        <v>178</v>
      </c>
    </row>
    <row r="1823" spans="1:13" x14ac:dyDescent="0.2">
      <c r="A1823">
        <f t="shared" si="28"/>
        <v>1817</v>
      </c>
      <c r="B1823">
        <v>2020</v>
      </c>
      <c r="C1823" t="s">
        <v>202</v>
      </c>
      <c r="D1823" t="s">
        <v>175</v>
      </c>
      <c r="E1823" s="65">
        <v>100</v>
      </c>
      <c r="H1823" t="s">
        <v>149</v>
      </c>
      <c r="J1823" t="s">
        <v>9</v>
      </c>
      <c r="K1823" t="s">
        <v>9</v>
      </c>
      <c r="L1823" s="17">
        <v>0</v>
      </c>
    </row>
    <row r="1824" spans="1:13" x14ac:dyDescent="0.2">
      <c r="A1824">
        <f t="shared" si="28"/>
        <v>1818</v>
      </c>
      <c r="B1824">
        <v>2020</v>
      </c>
      <c r="C1824" t="s">
        <v>202</v>
      </c>
      <c r="D1824" t="s">
        <v>1941</v>
      </c>
      <c r="E1824" s="65">
        <v>170</v>
      </c>
      <c r="G1824" t="s">
        <v>1942</v>
      </c>
      <c r="H1824" t="s">
        <v>144</v>
      </c>
      <c r="I1824" t="s">
        <v>232</v>
      </c>
      <c r="J1824" t="s">
        <v>128</v>
      </c>
      <c r="K1824" t="s">
        <v>201</v>
      </c>
      <c r="L1824" s="17">
        <v>1</v>
      </c>
      <c r="M1824" s="28" t="s">
        <v>178</v>
      </c>
    </row>
    <row r="1825" spans="1:13" x14ac:dyDescent="0.2">
      <c r="A1825">
        <f t="shared" si="28"/>
        <v>1819</v>
      </c>
      <c r="B1825">
        <v>2020</v>
      </c>
      <c r="C1825" t="s">
        <v>207</v>
      </c>
      <c r="D1825" t="s">
        <v>221</v>
      </c>
      <c r="E1825" s="65">
        <v>780</v>
      </c>
      <c r="F1825" s="33">
        <v>0.6</v>
      </c>
      <c r="G1825" t="s">
        <v>1638</v>
      </c>
      <c r="H1825" t="s">
        <v>150</v>
      </c>
      <c r="I1825" t="s">
        <v>556</v>
      </c>
      <c r="J1825" t="s">
        <v>131</v>
      </c>
      <c r="K1825" t="s">
        <v>131</v>
      </c>
      <c r="L1825" s="17">
        <v>0</v>
      </c>
    </row>
    <row r="1826" spans="1:13" x14ac:dyDescent="0.2">
      <c r="A1826">
        <f t="shared" si="28"/>
        <v>1820</v>
      </c>
      <c r="B1826">
        <v>2020</v>
      </c>
      <c r="C1826" t="s">
        <v>207</v>
      </c>
      <c r="D1826" t="s">
        <v>822</v>
      </c>
      <c r="E1826" s="65">
        <v>180</v>
      </c>
      <c r="F1826" s="33">
        <v>0.06</v>
      </c>
      <c r="G1826" t="s">
        <v>1488</v>
      </c>
      <c r="H1826" t="s">
        <v>153</v>
      </c>
      <c r="J1826" t="s">
        <v>119</v>
      </c>
      <c r="K1826" t="s">
        <v>195</v>
      </c>
      <c r="L1826" s="17">
        <v>0</v>
      </c>
    </row>
    <row r="1827" spans="1:13" x14ac:dyDescent="0.2">
      <c r="A1827">
        <f t="shared" si="28"/>
        <v>1821</v>
      </c>
      <c r="B1827">
        <v>2020</v>
      </c>
      <c r="C1827" t="s">
        <v>207</v>
      </c>
      <c r="D1827" t="s">
        <v>872</v>
      </c>
      <c r="E1827" s="65">
        <v>750</v>
      </c>
      <c r="F1827" s="33">
        <v>0.5</v>
      </c>
      <c r="G1827" t="s">
        <v>1943</v>
      </c>
      <c r="H1827" t="s">
        <v>148</v>
      </c>
      <c r="J1827" t="s">
        <v>136</v>
      </c>
      <c r="K1827" t="s">
        <v>183</v>
      </c>
      <c r="L1827" s="17">
        <v>1</v>
      </c>
      <c r="M1827" s="28" t="s">
        <v>178</v>
      </c>
    </row>
    <row r="1828" spans="1:13" x14ac:dyDescent="0.2">
      <c r="A1828">
        <f t="shared" si="28"/>
        <v>1822</v>
      </c>
      <c r="B1828">
        <v>2020</v>
      </c>
      <c r="C1828" t="s">
        <v>207</v>
      </c>
      <c r="D1828" t="s">
        <v>477</v>
      </c>
      <c r="E1828" s="65">
        <v>510</v>
      </c>
      <c r="H1828" t="s">
        <v>154</v>
      </c>
      <c r="I1828" t="s">
        <v>271</v>
      </c>
      <c r="J1828" t="s">
        <v>36</v>
      </c>
      <c r="K1828" t="s">
        <v>219</v>
      </c>
      <c r="L1828" s="17">
        <v>1</v>
      </c>
      <c r="M1828" s="28" t="s">
        <v>178</v>
      </c>
    </row>
    <row r="1829" spans="1:13" x14ac:dyDescent="0.2">
      <c r="A1829">
        <f t="shared" si="28"/>
        <v>1823</v>
      </c>
      <c r="B1829">
        <v>2020</v>
      </c>
      <c r="C1829" t="s">
        <v>207</v>
      </c>
      <c r="D1829" t="s">
        <v>210</v>
      </c>
      <c r="E1829" s="65">
        <v>580</v>
      </c>
      <c r="F1829" s="33">
        <v>1</v>
      </c>
      <c r="G1829" t="s">
        <v>1944</v>
      </c>
      <c r="H1829" t="s">
        <v>142</v>
      </c>
      <c r="J1829" t="s">
        <v>58</v>
      </c>
      <c r="K1829" t="s">
        <v>195</v>
      </c>
      <c r="L1829" s="17">
        <v>0</v>
      </c>
    </row>
    <row r="1830" spans="1:13" x14ac:dyDescent="0.2">
      <c r="A1830">
        <f t="shared" si="28"/>
        <v>1824</v>
      </c>
      <c r="B1830">
        <v>2020</v>
      </c>
      <c r="C1830" t="s">
        <v>207</v>
      </c>
      <c r="D1830" t="s">
        <v>1945</v>
      </c>
      <c r="E1830" s="65">
        <v>120</v>
      </c>
      <c r="H1830" t="s">
        <v>148</v>
      </c>
      <c r="J1830" t="s">
        <v>15</v>
      </c>
      <c r="K1830" t="s">
        <v>195</v>
      </c>
      <c r="L1830" s="17">
        <v>0</v>
      </c>
      <c r="M1830" s="28" t="s">
        <v>178</v>
      </c>
    </row>
    <row r="1831" spans="1:13" x14ac:dyDescent="0.2">
      <c r="A1831">
        <f t="shared" si="28"/>
        <v>1825</v>
      </c>
      <c r="B1831">
        <v>2020</v>
      </c>
      <c r="C1831" t="s">
        <v>207</v>
      </c>
      <c r="D1831" t="s">
        <v>1946</v>
      </c>
      <c r="E1831" s="65">
        <v>240</v>
      </c>
      <c r="G1831" t="s">
        <v>1947</v>
      </c>
      <c r="H1831" t="s">
        <v>147</v>
      </c>
      <c r="J1831" t="s">
        <v>131</v>
      </c>
      <c r="K1831" t="s">
        <v>131</v>
      </c>
      <c r="L1831" s="17">
        <v>0</v>
      </c>
    </row>
    <row r="1832" spans="1:13" x14ac:dyDescent="0.2">
      <c r="A1832">
        <f t="shared" si="28"/>
        <v>1826</v>
      </c>
      <c r="B1832">
        <v>2020</v>
      </c>
      <c r="C1832" t="s">
        <v>207</v>
      </c>
      <c r="D1832" t="s">
        <v>1948</v>
      </c>
      <c r="E1832" s="65">
        <v>130</v>
      </c>
      <c r="F1832" s="33">
        <v>1</v>
      </c>
      <c r="H1832" t="s">
        <v>149</v>
      </c>
      <c r="I1832" t="s">
        <v>182</v>
      </c>
      <c r="J1832" t="s">
        <v>136</v>
      </c>
      <c r="K1832" t="s">
        <v>183</v>
      </c>
      <c r="L1832" s="17">
        <v>1</v>
      </c>
      <c r="M1832" s="28" t="s">
        <v>178</v>
      </c>
    </row>
    <row r="1833" spans="1:13" x14ac:dyDescent="0.2">
      <c r="A1833">
        <f t="shared" si="28"/>
        <v>1827</v>
      </c>
      <c r="B1833">
        <v>2020</v>
      </c>
      <c r="C1833" t="s">
        <v>207</v>
      </c>
      <c r="D1833" t="s">
        <v>1949</v>
      </c>
      <c r="E1833" s="65">
        <v>110</v>
      </c>
      <c r="F1833" s="33">
        <v>0.44</v>
      </c>
      <c r="G1833" t="s">
        <v>1950</v>
      </c>
      <c r="H1833" t="s">
        <v>154</v>
      </c>
      <c r="I1833" t="s">
        <v>194</v>
      </c>
      <c r="J1833" t="s">
        <v>93</v>
      </c>
      <c r="K1833" t="s">
        <v>201</v>
      </c>
      <c r="L1833" s="17">
        <v>1</v>
      </c>
      <c r="M1833" s="28" t="s">
        <v>178</v>
      </c>
    </row>
    <row r="1834" spans="1:13" x14ac:dyDescent="0.2">
      <c r="A1834">
        <f t="shared" si="28"/>
        <v>1828</v>
      </c>
      <c r="B1834">
        <v>2020</v>
      </c>
      <c r="C1834" t="s">
        <v>240</v>
      </c>
      <c r="D1834" t="s">
        <v>1951</v>
      </c>
      <c r="E1834" s="65">
        <v>320</v>
      </c>
      <c r="F1834" s="33">
        <v>1</v>
      </c>
      <c r="H1834" t="s">
        <v>144</v>
      </c>
      <c r="I1834" t="s">
        <v>232</v>
      </c>
      <c r="J1834" t="s">
        <v>136</v>
      </c>
      <c r="K1834" t="s">
        <v>183</v>
      </c>
      <c r="L1834" s="17">
        <v>1</v>
      </c>
      <c r="M1834" s="28" t="s">
        <v>178</v>
      </c>
    </row>
    <row r="1835" spans="1:13" x14ac:dyDescent="0.2">
      <c r="A1835">
        <f t="shared" si="28"/>
        <v>1829</v>
      </c>
      <c r="B1835">
        <v>2020</v>
      </c>
      <c r="C1835" t="s">
        <v>240</v>
      </c>
      <c r="D1835" t="s">
        <v>307</v>
      </c>
      <c r="E1835" s="65">
        <v>3030</v>
      </c>
      <c r="F1835" s="33">
        <v>0.96</v>
      </c>
      <c r="G1835" t="s">
        <v>1952</v>
      </c>
      <c r="H1835" t="s">
        <v>144</v>
      </c>
      <c r="J1835" t="s">
        <v>27</v>
      </c>
      <c r="K1835" t="s">
        <v>205</v>
      </c>
      <c r="L1835" s="17">
        <v>1</v>
      </c>
    </row>
    <row r="1836" spans="1:13" x14ac:dyDescent="0.2">
      <c r="A1836">
        <f t="shared" si="28"/>
        <v>1830</v>
      </c>
      <c r="B1836">
        <v>2020</v>
      </c>
      <c r="C1836" t="s">
        <v>240</v>
      </c>
      <c r="D1836" t="s">
        <v>822</v>
      </c>
      <c r="E1836" s="65">
        <v>300</v>
      </c>
      <c r="G1836" t="s">
        <v>1521</v>
      </c>
      <c r="H1836" t="s">
        <v>150</v>
      </c>
      <c r="I1836" t="s">
        <v>556</v>
      </c>
      <c r="J1836" t="s">
        <v>20</v>
      </c>
      <c r="K1836" t="s">
        <v>195</v>
      </c>
      <c r="L1836" s="17">
        <v>0</v>
      </c>
    </row>
    <row r="1837" spans="1:13" x14ac:dyDescent="0.2">
      <c r="A1837">
        <f t="shared" si="28"/>
        <v>1831</v>
      </c>
      <c r="B1837">
        <v>2020</v>
      </c>
      <c r="C1837" t="s">
        <v>240</v>
      </c>
      <c r="D1837" t="s">
        <v>1953</v>
      </c>
      <c r="E1837" s="65">
        <v>140</v>
      </c>
      <c r="F1837" s="33">
        <v>1</v>
      </c>
      <c r="G1837" t="s">
        <v>1954</v>
      </c>
      <c r="H1837" t="s">
        <v>147</v>
      </c>
      <c r="J1837" t="s">
        <v>131</v>
      </c>
      <c r="K1837" t="s">
        <v>131</v>
      </c>
      <c r="L1837" s="17">
        <v>0</v>
      </c>
    </row>
    <row r="1838" spans="1:13" x14ac:dyDescent="0.2">
      <c r="A1838">
        <f t="shared" si="28"/>
        <v>1832</v>
      </c>
      <c r="B1838">
        <v>2020</v>
      </c>
      <c r="C1838" t="s">
        <v>240</v>
      </c>
      <c r="D1838" t="s">
        <v>1955</v>
      </c>
      <c r="E1838" s="65">
        <v>300</v>
      </c>
      <c r="F1838" s="33">
        <v>1</v>
      </c>
      <c r="H1838" t="s">
        <v>154</v>
      </c>
      <c r="I1838" t="s">
        <v>194</v>
      </c>
      <c r="J1838" t="s">
        <v>115</v>
      </c>
      <c r="K1838" t="s">
        <v>201</v>
      </c>
      <c r="L1838" s="17">
        <v>1</v>
      </c>
      <c r="M1838" s="28" t="s">
        <v>178</v>
      </c>
    </row>
    <row r="1839" spans="1:13" x14ac:dyDescent="0.2">
      <c r="A1839">
        <f t="shared" si="28"/>
        <v>1833</v>
      </c>
      <c r="B1839">
        <v>2020</v>
      </c>
      <c r="C1839" t="s">
        <v>240</v>
      </c>
      <c r="D1839" t="s">
        <v>263</v>
      </c>
      <c r="E1839" s="65">
        <v>670</v>
      </c>
      <c r="F1839" s="33">
        <v>0.5</v>
      </c>
      <c r="G1839" t="s">
        <v>1956</v>
      </c>
      <c r="H1839" t="s">
        <v>151</v>
      </c>
      <c r="I1839" t="s">
        <v>224</v>
      </c>
      <c r="J1839" t="s">
        <v>9</v>
      </c>
      <c r="K1839" t="s">
        <v>9</v>
      </c>
      <c r="L1839" s="17">
        <v>0</v>
      </c>
    </row>
    <row r="1840" spans="1:13" s="41" customFormat="1" x14ac:dyDescent="0.2">
      <c r="A1840">
        <f t="shared" si="28"/>
        <v>1834</v>
      </c>
      <c r="B1840">
        <v>2020</v>
      </c>
      <c r="C1840" t="s">
        <v>240</v>
      </c>
      <c r="D1840" t="s">
        <v>208</v>
      </c>
      <c r="E1840" s="65">
        <v>670</v>
      </c>
      <c r="F1840" s="33"/>
      <c r="G1840" t="s">
        <v>1957</v>
      </c>
      <c r="H1840" t="s">
        <v>144</v>
      </c>
      <c r="I1840" t="s">
        <v>273</v>
      </c>
      <c r="J1840" t="s">
        <v>23</v>
      </c>
      <c r="K1840" t="s">
        <v>183</v>
      </c>
      <c r="L1840" s="17">
        <v>1</v>
      </c>
      <c r="M1840" s="28" t="s">
        <v>178</v>
      </c>
    </row>
    <row r="1841" spans="1:13" x14ac:dyDescent="0.2">
      <c r="A1841">
        <f t="shared" si="28"/>
        <v>1835</v>
      </c>
      <c r="B1841">
        <v>2020</v>
      </c>
      <c r="C1841" t="s">
        <v>240</v>
      </c>
      <c r="D1841" t="s">
        <v>1958</v>
      </c>
      <c r="E1841" s="65">
        <v>110</v>
      </c>
      <c r="G1841" t="s">
        <v>1959</v>
      </c>
      <c r="H1841" t="s">
        <v>152</v>
      </c>
      <c r="J1841" t="s">
        <v>57</v>
      </c>
      <c r="K1841" t="s">
        <v>195</v>
      </c>
      <c r="L1841" s="17">
        <v>0</v>
      </c>
    </row>
    <row r="1842" spans="1:13" x14ac:dyDescent="0.2">
      <c r="A1842">
        <f t="shared" si="28"/>
        <v>1836</v>
      </c>
      <c r="B1842">
        <v>2020</v>
      </c>
      <c r="C1842" t="s">
        <v>240</v>
      </c>
      <c r="D1842" t="s">
        <v>479</v>
      </c>
      <c r="E1842" s="65">
        <v>200</v>
      </c>
      <c r="F1842" s="33">
        <v>0.23</v>
      </c>
      <c r="G1842" t="s">
        <v>1960</v>
      </c>
      <c r="H1842" t="s">
        <v>151</v>
      </c>
      <c r="I1842" t="s">
        <v>279</v>
      </c>
      <c r="J1842" t="s">
        <v>99</v>
      </c>
      <c r="K1842" t="s">
        <v>195</v>
      </c>
      <c r="L1842" s="17">
        <v>1</v>
      </c>
    </row>
    <row r="1843" spans="1:13" x14ac:dyDescent="0.2">
      <c r="A1843">
        <f t="shared" si="28"/>
        <v>1837</v>
      </c>
      <c r="B1843">
        <v>2020</v>
      </c>
      <c r="C1843" t="s">
        <v>240</v>
      </c>
      <c r="D1843" t="s">
        <v>1961</v>
      </c>
      <c r="E1843" s="65">
        <v>160</v>
      </c>
      <c r="F1843" s="33">
        <v>1</v>
      </c>
      <c r="G1843" t="s">
        <v>1962</v>
      </c>
      <c r="H1843" t="s">
        <v>150</v>
      </c>
      <c r="I1843" t="s">
        <v>556</v>
      </c>
      <c r="J1843" t="s">
        <v>131</v>
      </c>
      <c r="K1843" t="s">
        <v>131</v>
      </c>
      <c r="L1843" s="17">
        <v>0</v>
      </c>
    </row>
    <row r="1844" spans="1:13" x14ac:dyDescent="0.2">
      <c r="A1844">
        <f t="shared" si="28"/>
        <v>1838</v>
      </c>
      <c r="B1844">
        <v>2020</v>
      </c>
      <c r="C1844" t="s">
        <v>240</v>
      </c>
      <c r="D1844" t="s">
        <v>1180</v>
      </c>
      <c r="E1844" s="65">
        <v>530</v>
      </c>
      <c r="F1844" s="33">
        <v>1</v>
      </c>
      <c r="G1844" t="s">
        <v>1963</v>
      </c>
      <c r="H1844" t="s">
        <v>144</v>
      </c>
      <c r="I1844" t="s">
        <v>232</v>
      </c>
      <c r="J1844" t="s">
        <v>77</v>
      </c>
      <c r="K1844" t="s">
        <v>177</v>
      </c>
      <c r="L1844" s="17">
        <v>0</v>
      </c>
    </row>
    <row r="1845" spans="1:13" x14ac:dyDescent="0.2">
      <c r="A1845">
        <f t="shared" si="28"/>
        <v>1839</v>
      </c>
      <c r="B1845">
        <v>2020</v>
      </c>
      <c r="C1845" t="s">
        <v>240</v>
      </c>
      <c r="D1845" t="s">
        <v>1964</v>
      </c>
      <c r="E1845" s="65">
        <v>180</v>
      </c>
      <c r="F1845" s="33">
        <v>1</v>
      </c>
      <c r="H1845" t="s">
        <v>143</v>
      </c>
      <c r="J1845" t="s">
        <v>113</v>
      </c>
      <c r="K1845" t="s">
        <v>183</v>
      </c>
      <c r="L1845" s="17">
        <v>0</v>
      </c>
      <c r="M1845" s="28" t="s">
        <v>178</v>
      </c>
    </row>
    <row r="1846" spans="1:13" x14ac:dyDescent="0.2">
      <c r="A1846">
        <f t="shared" si="28"/>
        <v>1840</v>
      </c>
      <c r="B1846">
        <v>2020</v>
      </c>
      <c r="C1846" t="s">
        <v>212</v>
      </c>
      <c r="D1846" t="s">
        <v>694</v>
      </c>
      <c r="E1846" s="65">
        <v>430</v>
      </c>
      <c r="F1846" s="33">
        <v>1</v>
      </c>
      <c r="G1846" t="s">
        <v>1965</v>
      </c>
      <c r="H1846" t="s">
        <v>149</v>
      </c>
      <c r="J1846" t="s">
        <v>46</v>
      </c>
      <c r="K1846" t="s">
        <v>219</v>
      </c>
      <c r="L1846" s="17">
        <v>1</v>
      </c>
    </row>
    <row r="1847" spans="1:13" x14ac:dyDescent="0.2">
      <c r="A1847">
        <f t="shared" si="28"/>
        <v>1841</v>
      </c>
      <c r="B1847">
        <v>2020</v>
      </c>
      <c r="C1847" t="s">
        <v>212</v>
      </c>
      <c r="D1847" t="s">
        <v>1966</v>
      </c>
      <c r="E1847" s="65">
        <v>320</v>
      </c>
      <c r="G1847" t="s">
        <v>1967</v>
      </c>
      <c r="H1847" t="s">
        <v>147</v>
      </c>
      <c r="J1847" t="s">
        <v>61</v>
      </c>
      <c r="K1847" t="s">
        <v>183</v>
      </c>
      <c r="L1847" s="17">
        <v>0</v>
      </c>
    </row>
    <row r="1848" spans="1:13" x14ac:dyDescent="0.2">
      <c r="A1848">
        <f t="shared" si="28"/>
        <v>1842</v>
      </c>
      <c r="B1848">
        <v>2020</v>
      </c>
      <c r="C1848" t="s">
        <v>212</v>
      </c>
      <c r="D1848" t="s">
        <v>1968</v>
      </c>
      <c r="E1848" s="65">
        <v>550</v>
      </c>
      <c r="F1848" s="33">
        <v>0.95</v>
      </c>
      <c r="G1848" t="s">
        <v>1873</v>
      </c>
      <c r="H1848" t="s">
        <v>149</v>
      </c>
      <c r="I1848" t="s">
        <v>236</v>
      </c>
      <c r="J1848" t="s">
        <v>34</v>
      </c>
      <c r="K1848" t="s">
        <v>219</v>
      </c>
      <c r="L1848" s="17">
        <v>1</v>
      </c>
      <c r="M1848" s="28" t="s">
        <v>178</v>
      </c>
    </row>
    <row r="1849" spans="1:13" x14ac:dyDescent="0.2">
      <c r="A1849">
        <f t="shared" si="28"/>
        <v>1843</v>
      </c>
      <c r="B1849">
        <v>2020</v>
      </c>
      <c r="C1849" t="s">
        <v>212</v>
      </c>
      <c r="D1849" t="s">
        <v>277</v>
      </c>
      <c r="E1849" s="65">
        <v>390</v>
      </c>
      <c r="F1849" s="33">
        <v>0.75</v>
      </c>
      <c r="G1849" t="s">
        <v>1969</v>
      </c>
      <c r="H1849" t="s">
        <v>144</v>
      </c>
      <c r="I1849" t="s">
        <v>273</v>
      </c>
      <c r="J1849" t="s">
        <v>53</v>
      </c>
      <c r="K1849" t="s">
        <v>183</v>
      </c>
      <c r="L1849" s="17">
        <v>1</v>
      </c>
    </row>
    <row r="1850" spans="1:13" x14ac:dyDescent="0.2">
      <c r="A1850">
        <f t="shared" si="28"/>
        <v>1844</v>
      </c>
      <c r="B1850">
        <v>2020</v>
      </c>
      <c r="C1850" t="s">
        <v>212</v>
      </c>
      <c r="D1850" t="s">
        <v>1672</v>
      </c>
      <c r="E1850" s="65">
        <v>180</v>
      </c>
      <c r="G1850" t="s">
        <v>1970</v>
      </c>
      <c r="H1850" t="s">
        <v>147</v>
      </c>
      <c r="J1850" t="s">
        <v>45</v>
      </c>
      <c r="K1850" t="s">
        <v>195</v>
      </c>
      <c r="L1850" s="17">
        <v>0</v>
      </c>
    </row>
    <row r="1851" spans="1:13" x14ac:dyDescent="0.2">
      <c r="A1851">
        <f t="shared" si="28"/>
        <v>1845</v>
      </c>
      <c r="B1851">
        <v>2020</v>
      </c>
      <c r="C1851" t="s">
        <v>212</v>
      </c>
      <c r="D1851" t="s">
        <v>454</v>
      </c>
      <c r="E1851" s="65">
        <v>3420</v>
      </c>
      <c r="G1851" t="s">
        <v>1651</v>
      </c>
      <c r="H1851" t="s">
        <v>145</v>
      </c>
      <c r="J1851" t="s">
        <v>42</v>
      </c>
      <c r="K1851" t="s">
        <v>195</v>
      </c>
      <c r="L1851" s="17">
        <v>0</v>
      </c>
    </row>
    <row r="1852" spans="1:13" x14ac:dyDescent="0.2">
      <c r="A1852">
        <f t="shared" si="28"/>
        <v>1846</v>
      </c>
      <c r="B1852">
        <v>2020</v>
      </c>
      <c r="C1852" t="s">
        <v>212</v>
      </c>
      <c r="D1852" t="s">
        <v>1971</v>
      </c>
      <c r="E1852" s="65">
        <v>450</v>
      </c>
      <c r="F1852" s="33">
        <v>1</v>
      </c>
      <c r="G1852" t="s">
        <v>1972</v>
      </c>
      <c r="H1852" t="s">
        <v>152</v>
      </c>
      <c r="J1852" t="s">
        <v>42</v>
      </c>
      <c r="K1852" t="s">
        <v>195</v>
      </c>
      <c r="L1852" s="17">
        <v>0</v>
      </c>
    </row>
    <row r="1853" spans="1:13" ht="15" customHeight="1" x14ac:dyDescent="0.2">
      <c r="A1853">
        <f t="shared" si="28"/>
        <v>1847</v>
      </c>
      <c r="B1853">
        <v>2020</v>
      </c>
      <c r="C1853" t="s">
        <v>212</v>
      </c>
      <c r="D1853" t="s">
        <v>285</v>
      </c>
      <c r="E1853" s="65">
        <v>2400</v>
      </c>
      <c r="H1853" t="s">
        <v>144</v>
      </c>
      <c r="J1853" t="s">
        <v>67</v>
      </c>
      <c r="K1853" t="s">
        <v>183</v>
      </c>
      <c r="L1853" s="17">
        <v>1</v>
      </c>
    </row>
    <row r="1854" spans="1:13" x14ac:dyDescent="0.2">
      <c r="A1854">
        <f t="shared" si="28"/>
        <v>1848</v>
      </c>
      <c r="B1854">
        <v>2020</v>
      </c>
      <c r="C1854" t="s">
        <v>212</v>
      </c>
      <c r="D1854" t="s">
        <v>479</v>
      </c>
      <c r="E1854" s="65">
        <v>1430</v>
      </c>
      <c r="H1854" t="s">
        <v>151</v>
      </c>
      <c r="I1854" t="s">
        <v>224</v>
      </c>
      <c r="J1854" t="s">
        <v>115</v>
      </c>
      <c r="K1854" t="s">
        <v>201</v>
      </c>
      <c r="L1854" s="17">
        <v>1</v>
      </c>
      <c r="M1854" s="28" t="s">
        <v>178</v>
      </c>
    </row>
    <row r="1855" spans="1:13" x14ac:dyDescent="0.2">
      <c r="A1855">
        <f t="shared" si="28"/>
        <v>1849</v>
      </c>
      <c r="B1855">
        <v>2020</v>
      </c>
      <c r="C1855" t="s">
        <v>212</v>
      </c>
      <c r="D1855" t="s">
        <v>1973</v>
      </c>
      <c r="E1855" s="65">
        <v>240</v>
      </c>
      <c r="H1855" t="s">
        <v>144</v>
      </c>
      <c r="I1855" t="s">
        <v>232</v>
      </c>
      <c r="J1855" t="s">
        <v>136</v>
      </c>
      <c r="K1855" t="s">
        <v>183</v>
      </c>
      <c r="L1855" s="17">
        <v>1</v>
      </c>
      <c r="M1855" s="28" t="s">
        <v>178</v>
      </c>
    </row>
    <row r="1856" spans="1:13" x14ac:dyDescent="0.2">
      <c r="A1856">
        <f t="shared" si="28"/>
        <v>1850</v>
      </c>
      <c r="B1856">
        <v>2020</v>
      </c>
      <c r="C1856" t="s">
        <v>212</v>
      </c>
      <c r="D1856" t="s">
        <v>600</v>
      </c>
      <c r="E1856" s="65">
        <v>180</v>
      </c>
      <c r="H1856" t="s">
        <v>144</v>
      </c>
      <c r="I1856" t="s">
        <v>187</v>
      </c>
      <c r="J1856" t="s">
        <v>55</v>
      </c>
      <c r="K1856" t="s">
        <v>214</v>
      </c>
      <c r="L1856" s="17">
        <v>1</v>
      </c>
    </row>
    <row r="1857" spans="1:13" x14ac:dyDescent="0.2">
      <c r="A1857">
        <f t="shared" si="28"/>
        <v>1851</v>
      </c>
      <c r="B1857">
        <v>2020</v>
      </c>
      <c r="C1857" t="s">
        <v>212</v>
      </c>
      <c r="D1857" t="s">
        <v>1974</v>
      </c>
      <c r="E1857" s="65">
        <v>910</v>
      </c>
      <c r="F1857" s="33">
        <v>0.7</v>
      </c>
      <c r="H1857" t="s">
        <v>154</v>
      </c>
      <c r="I1857" t="s">
        <v>271</v>
      </c>
      <c r="J1857" t="s">
        <v>82</v>
      </c>
      <c r="K1857" t="s">
        <v>183</v>
      </c>
      <c r="L1857" s="17">
        <v>1</v>
      </c>
      <c r="M1857" s="28" t="s">
        <v>178</v>
      </c>
    </row>
    <row r="1858" spans="1:13" x14ac:dyDescent="0.2">
      <c r="A1858">
        <f t="shared" si="28"/>
        <v>1852</v>
      </c>
      <c r="B1858">
        <v>2021</v>
      </c>
      <c r="C1858" t="s">
        <v>172</v>
      </c>
      <c r="D1858" t="s">
        <v>189</v>
      </c>
      <c r="E1858" s="65">
        <v>360</v>
      </c>
      <c r="F1858" s="33">
        <v>0.4</v>
      </c>
      <c r="G1858" t="s">
        <v>1975</v>
      </c>
      <c r="H1858" t="s">
        <v>143</v>
      </c>
      <c r="J1858" t="s">
        <v>101</v>
      </c>
      <c r="K1858" t="s">
        <v>201</v>
      </c>
      <c r="L1858" s="17">
        <v>1</v>
      </c>
      <c r="M1858" s="28" t="s">
        <v>178</v>
      </c>
    </row>
    <row r="1859" spans="1:13" x14ac:dyDescent="0.2">
      <c r="A1859">
        <f t="shared" si="28"/>
        <v>1853</v>
      </c>
      <c r="B1859">
        <v>2021</v>
      </c>
      <c r="C1859" t="s">
        <v>172</v>
      </c>
      <c r="D1859" t="s">
        <v>714</v>
      </c>
      <c r="E1859" s="65">
        <v>430</v>
      </c>
      <c r="H1859" t="s">
        <v>154</v>
      </c>
      <c r="I1859" t="s">
        <v>194</v>
      </c>
      <c r="J1859" t="s">
        <v>136</v>
      </c>
      <c r="K1859" t="s">
        <v>183</v>
      </c>
      <c r="L1859" s="17">
        <v>1</v>
      </c>
    </row>
    <row r="1860" spans="1:13" x14ac:dyDescent="0.2">
      <c r="A1860">
        <f t="shared" si="28"/>
        <v>1854</v>
      </c>
      <c r="B1860">
        <v>2021</v>
      </c>
      <c r="C1860" t="s">
        <v>172</v>
      </c>
      <c r="D1860" t="s">
        <v>908</v>
      </c>
      <c r="E1860" s="65">
        <v>1050</v>
      </c>
      <c r="F1860" s="33">
        <v>0.35</v>
      </c>
      <c r="H1860" t="s">
        <v>149</v>
      </c>
      <c r="I1860" t="s">
        <v>238</v>
      </c>
      <c r="J1860" t="s">
        <v>48</v>
      </c>
      <c r="K1860" t="s">
        <v>219</v>
      </c>
      <c r="L1860" s="17">
        <v>1</v>
      </c>
      <c r="M1860" s="28" t="s">
        <v>178</v>
      </c>
    </row>
    <row r="1861" spans="1:13" x14ac:dyDescent="0.2">
      <c r="A1861">
        <f t="shared" si="28"/>
        <v>1855</v>
      </c>
      <c r="B1861">
        <v>2021</v>
      </c>
      <c r="C1861" t="s">
        <v>172</v>
      </c>
      <c r="D1861" t="s">
        <v>1976</v>
      </c>
      <c r="E1861" s="65">
        <v>750</v>
      </c>
      <c r="H1861" t="s">
        <v>144</v>
      </c>
      <c r="I1861" t="s">
        <v>187</v>
      </c>
      <c r="J1861" t="s">
        <v>46</v>
      </c>
      <c r="K1861" t="s">
        <v>219</v>
      </c>
      <c r="L1861" s="17">
        <v>1</v>
      </c>
      <c r="M1861" s="28" t="s">
        <v>178</v>
      </c>
    </row>
    <row r="1862" spans="1:13" x14ac:dyDescent="0.2">
      <c r="A1862">
        <f t="shared" si="28"/>
        <v>1856</v>
      </c>
      <c r="B1862">
        <v>2021</v>
      </c>
      <c r="C1862" t="s">
        <v>258</v>
      </c>
      <c r="D1862" t="s">
        <v>246</v>
      </c>
      <c r="E1862" s="65">
        <v>590</v>
      </c>
      <c r="G1862" t="s">
        <v>1977</v>
      </c>
      <c r="H1862" t="s">
        <v>144</v>
      </c>
      <c r="I1862" t="s">
        <v>232</v>
      </c>
      <c r="J1862" t="s">
        <v>114</v>
      </c>
      <c r="K1862" t="s">
        <v>195</v>
      </c>
      <c r="L1862" s="17">
        <v>0</v>
      </c>
    </row>
    <row r="1863" spans="1:13" x14ac:dyDescent="0.2">
      <c r="A1863">
        <f t="shared" ref="A1863:A1926" si="29">ROW()-6</f>
        <v>1857</v>
      </c>
      <c r="B1863">
        <v>2021</v>
      </c>
      <c r="C1863" t="s">
        <v>258</v>
      </c>
      <c r="D1863" t="s">
        <v>246</v>
      </c>
      <c r="E1863" s="65">
        <v>560</v>
      </c>
      <c r="F1863" s="33">
        <v>0.14000000000000001</v>
      </c>
      <c r="G1863" t="s">
        <v>1850</v>
      </c>
      <c r="H1863" t="s">
        <v>144</v>
      </c>
      <c r="J1863" t="s">
        <v>96</v>
      </c>
      <c r="K1863" t="s">
        <v>205</v>
      </c>
      <c r="L1863" s="17">
        <v>1</v>
      </c>
    </row>
    <row r="1864" spans="1:13" x14ac:dyDescent="0.2">
      <c r="A1864">
        <f t="shared" si="29"/>
        <v>1858</v>
      </c>
      <c r="B1864">
        <v>2021</v>
      </c>
      <c r="C1864" t="s">
        <v>258</v>
      </c>
      <c r="D1864" t="s">
        <v>1046</v>
      </c>
      <c r="E1864" s="65">
        <v>420</v>
      </c>
      <c r="G1864" t="s">
        <v>1978</v>
      </c>
      <c r="H1864" t="s">
        <v>144</v>
      </c>
      <c r="J1864" t="s">
        <v>131</v>
      </c>
      <c r="K1864" t="s">
        <v>131</v>
      </c>
      <c r="L1864" s="17">
        <v>0</v>
      </c>
    </row>
    <row r="1865" spans="1:13" x14ac:dyDescent="0.2">
      <c r="A1865">
        <f t="shared" si="29"/>
        <v>1859</v>
      </c>
      <c r="B1865">
        <v>2021</v>
      </c>
      <c r="C1865" t="s">
        <v>258</v>
      </c>
      <c r="D1865" t="s">
        <v>269</v>
      </c>
      <c r="E1865" s="65">
        <v>140</v>
      </c>
      <c r="F1865" s="33">
        <v>0.2</v>
      </c>
      <c r="G1865" t="s">
        <v>1979</v>
      </c>
      <c r="H1865" t="s">
        <v>148</v>
      </c>
      <c r="J1865" t="s">
        <v>105</v>
      </c>
      <c r="K1865" t="s">
        <v>214</v>
      </c>
      <c r="L1865" s="17">
        <v>1</v>
      </c>
    </row>
    <row r="1866" spans="1:13" x14ac:dyDescent="0.2">
      <c r="A1866">
        <f t="shared" si="29"/>
        <v>1860</v>
      </c>
      <c r="B1866">
        <v>2021</v>
      </c>
      <c r="C1866" t="s">
        <v>258</v>
      </c>
      <c r="D1866" t="s">
        <v>1953</v>
      </c>
      <c r="E1866" s="65">
        <v>120</v>
      </c>
      <c r="G1866" t="s">
        <v>1980</v>
      </c>
      <c r="H1866" t="s">
        <v>147</v>
      </c>
      <c r="J1866" t="s">
        <v>20</v>
      </c>
      <c r="K1866" t="s">
        <v>195</v>
      </c>
      <c r="L1866" s="17">
        <v>0</v>
      </c>
    </row>
    <row r="1867" spans="1:13" ht="14.25" customHeight="1" x14ac:dyDescent="0.2">
      <c r="A1867">
        <f t="shared" si="29"/>
        <v>1861</v>
      </c>
      <c r="B1867">
        <v>2021</v>
      </c>
      <c r="C1867" t="s">
        <v>258</v>
      </c>
      <c r="D1867" t="s">
        <v>1981</v>
      </c>
      <c r="E1867" s="65">
        <v>160</v>
      </c>
      <c r="G1867" t="s">
        <v>1982</v>
      </c>
      <c r="H1867" t="s">
        <v>143</v>
      </c>
      <c r="J1867" t="s">
        <v>131</v>
      </c>
      <c r="K1867" t="s">
        <v>131</v>
      </c>
      <c r="L1867" s="17">
        <v>0</v>
      </c>
    </row>
    <row r="1868" spans="1:13" x14ac:dyDescent="0.2">
      <c r="A1868">
        <f t="shared" si="29"/>
        <v>1862</v>
      </c>
      <c r="B1868">
        <v>2021</v>
      </c>
      <c r="C1868" t="s">
        <v>179</v>
      </c>
      <c r="D1868" t="s">
        <v>1829</v>
      </c>
      <c r="E1868" s="65">
        <v>4380</v>
      </c>
      <c r="F1868" s="33">
        <v>1</v>
      </c>
      <c r="G1868" t="s">
        <v>1983</v>
      </c>
      <c r="H1868" t="s">
        <v>150</v>
      </c>
      <c r="I1868" t="s">
        <v>556</v>
      </c>
      <c r="J1868" t="s">
        <v>85</v>
      </c>
      <c r="K1868" t="s">
        <v>195</v>
      </c>
      <c r="L1868" s="17">
        <v>0</v>
      </c>
    </row>
    <row r="1869" spans="1:13" x14ac:dyDescent="0.2">
      <c r="A1869">
        <f t="shared" si="29"/>
        <v>1863</v>
      </c>
      <c r="B1869">
        <v>2021</v>
      </c>
      <c r="C1869" t="s">
        <v>179</v>
      </c>
      <c r="D1869" t="s">
        <v>1602</v>
      </c>
      <c r="E1869" s="65">
        <v>200</v>
      </c>
      <c r="F1869" s="33">
        <v>0.75</v>
      </c>
      <c r="G1869" t="s">
        <v>1984</v>
      </c>
      <c r="H1869" t="s">
        <v>154</v>
      </c>
      <c r="I1869" t="s">
        <v>194</v>
      </c>
      <c r="J1869" t="s">
        <v>61</v>
      </c>
      <c r="K1869" t="s">
        <v>183</v>
      </c>
      <c r="L1869" s="17">
        <v>0</v>
      </c>
    </row>
    <row r="1870" spans="1:13" x14ac:dyDescent="0.2">
      <c r="A1870">
        <f t="shared" si="29"/>
        <v>1864</v>
      </c>
      <c r="B1870">
        <v>2021</v>
      </c>
      <c r="C1870" t="s">
        <v>179</v>
      </c>
      <c r="D1870" t="s">
        <v>1602</v>
      </c>
      <c r="E1870" s="65">
        <v>260</v>
      </c>
      <c r="H1870" t="s">
        <v>150</v>
      </c>
      <c r="I1870" t="s">
        <v>556</v>
      </c>
      <c r="J1870" t="s">
        <v>77</v>
      </c>
      <c r="K1870" t="s">
        <v>177</v>
      </c>
      <c r="L1870" s="17">
        <v>0</v>
      </c>
      <c r="M1870" s="28" t="s">
        <v>178</v>
      </c>
    </row>
    <row r="1871" spans="1:13" x14ac:dyDescent="0.2">
      <c r="A1871">
        <f t="shared" si="29"/>
        <v>1865</v>
      </c>
      <c r="B1871">
        <v>2021</v>
      </c>
      <c r="C1871" t="s">
        <v>179</v>
      </c>
      <c r="D1871" t="s">
        <v>454</v>
      </c>
      <c r="E1871" s="65">
        <v>650</v>
      </c>
      <c r="F1871" s="33">
        <v>0.04</v>
      </c>
      <c r="G1871" t="s">
        <v>1985</v>
      </c>
      <c r="H1871" t="s">
        <v>150</v>
      </c>
      <c r="I1871" t="s">
        <v>556</v>
      </c>
      <c r="J1871" t="s">
        <v>61</v>
      </c>
      <c r="K1871" t="s">
        <v>183</v>
      </c>
      <c r="L1871" s="17">
        <v>0</v>
      </c>
    </row>
    <row r="1872" spans="1:13" x14ac:dyDescent="0.2">
      <c r="A1872">
        <f t="shared" si="29"/>
        <v>1866</v>
      </c>
      <c r="B1872">
        <v>2021</v>
      </c>
      <c r="C1872" t="s">
        <v>179</v>
      </c>
      <c r="D1872" t="s">
        <v>1307</v>
      </c>
      <c r="E1872" s="65">
        <v>140</v>
      </c>
      <c r="G1872" t="s">
        <v>1986</v>
      </c>
      <c r="H1872" t="s">
        <v>152</v>
      </c>
      <c r="J1872" t="s">
        <v>108</v>
      </c>
      <c r="K1872" t="s">
        <v>183</v>
      </c>
      <c r="L1872" s="17">
        <v>1</v>
      </c>
    </row>
    <row r="1873" spans="1:13" x14ac:dyDescent="0.2">
      <c r="A1873">
        <f t="shared" si="29"/>
        <v>1867</v>
      </c>
      <c r="B1873">
        <v>2021</v>
      </c>
      <c r="C1873" t="s">
        <v>179</v>
      </c>
      <c r="D1873" t="s">
        <v>1672</v>
      </c>
      <c r="E1873" s="65">
        <v>140</v>
      </c>
      <c r="F1873" s="33">
        <v>1</v>
      </c>
      <c r="G1873" t="s">
        <v>1987</v>
      </c>
      <c r="H1873" t="s">
        <v>147</v>
      </c>
      <c r="J1873" t="s">
        <v>20</v>
      </c>
      <c r="K1873" t="s">
        <v>195</v>
      </c>
      <c r="L1873" s="17">
        <v>0</v>
      </c>
    </row>
    <row r="1874" spans="1:13" x14ac:dyDescent="0.2">
      <c r="A1874">
        <f t="shared" si="29"/>
        <v>1868</v>
      </c>
      <c r="B1874">
        <v>2021</v>
      </c>
      <c r="C1874" t="s">
        <v>179</v>
      </c>
      <c r="D1874" t="s">
        <v>1687</v>
      </c>
      <c r="E1874" s="65">
        <v>300</v>
      </c>
      <c r="H1874" t="s">
        <v>150</v>
      </c>
      <c r="I1874" t="s">
        <v>226</v>
      </c>
      <c r="J1874" t="s">
        <v>72</v>
      </c>
      <c r="K1874" t="s">
        <v>183</v>
      </c>
      <c r="L1874" s="17">
        <v>1</v>
      </c>
    </row>
    <row r="1875" spans="1:13" x14ac:dyDescent="0.2">
      <c r="A1875">
        <f t="shared" si="29"/>
        <v>1869</v>
      </c>
      <c r="B1875">
        <v>2021</v>
      </c>
      <c r="C1875" t="s">
        <v>179</v>
      </c>
      <c r="D1875" t="s">
        <v>1988</v>
      </c>
      <c r="E1875" s="65">
        <v>160</v>
      </c>
      <c r="G1875" t="s">
        <v>1989</v>
      </c>
      <c r="H1875" t="s">
        <v>150</v>
      </c>
      <c r="I1875" t="s">
        <v>556</v>
      </c>
      <c r="J1875" t="s">
        <v>20</v>
      </c>
      <c r="K1875" t="s">
        <v>195</v>
      </c>
      <c r="L1875" s="17">
        <v>0</v>
      </c>
    </row>
    <row r="1876" spans="1:13" x14ac:dyDescent="0.2">
      <c r="A1876">
        <f t="shared" si="29"/>
        <v>1870</v>
      </c>
      <c r="B1876">
        <v>2021</v>
      </c>
      <c r="C1876" t="s">
        <v>179</v>
      </c>
      <c r="D1876" t="s">
        <v>1990</v>
      </c>
      <c r="E1876" s="65">
        <v>290</v>
      </c>
      <c r="H1876" t="s">
        <v>144</v>
      </c>
      <c r="I1876" t="s">
        <v>232</v>
      </c>
      <c r="J1876" t="s">
        <v>118</v>
      </c>
      <c r="K1876" t="s">
        <v>195</v>
      </c>
      <c r="L1876" s="17">
        <v>0</v>
      </c>
      <c r="M1876" s="28" t="s">
        <v>178</v>
      </c>
    </row>
    <row r="1877" spans="1:13" x14ac:dyDescent="0.2">
      <c r="A1877">
        <f t="shared" si="29"/>
        <v>1871</v>
      </c>
      <c r="B1877">
        <v>2021</v>
      </c>
      <c r="C1877" t="s">
        <v>179</v>
      </c>
      <c r="D1877" t="s">
        <v>1905</v>
      </c>
      <c r="E1877" s="65">
        <v>300</v>
      </c>
      <c r="G1877" t="s">
        <v>1991</v>
      </c>
      <c r="H1877" t="s">
        <v>150</v>
      </c>
      <c r="I1877" t="s">
        <v>217</v>
      </c>
      <c r="J1877" t="s">
        <v>40</v>
      </c>
      <c r="K1877" t="s">
        <v>219</v>
      </c>
      <c r="L1877" s="17">
        <v>1</v>
      </c>
      <c r="M1877" s="28" t="s">
        <v>178</v>
      </c>
    </row>
    <row r="1878" spans="1:13" x14ac:dyDescent="0.2">
      <c r="A1878">
        <f t="shared" si="29"/>
        <v>1872</v>
      </c>
      <c r="B1878">
        <v>2021</v>
      </c>
      <c r="C1878" t="s">
        <v>179</v>
      </c>
      <c r="D1878" t="s">
        <v>1992</v>
      </c>
      <c r="E1878" s="65">
        <v>200</v>
      </c>
      <c r="F1878" s="33">
        <v>0.1</v>
      </c>
      <c r="G1878" t="s">
        <v>1993</v>
      </c>
      <c r="H1878" t="s">
        <v>152</v>
      </c>
      <c r="J1878" t="s">
        <v>20</v>
      </c>
      <c r="K1878" t="s">
        <v>195</v>
      </c>
      <c r="L1878" s="17">
        <v>0</v>
      </c>
    </row>
    <row r="1879" spans="1:13" x14ac:dyDescent="0.2">
      <c r="A1879">
        <f t="shared" si="29"/>
        <v>1873</v>
      </c>
      <c r="B1879">
        <v>2021</v>
      </c>
      <c r="C1879" t="s">
        <v>179</v>
      </c>
      <c r="D1879" t="s">
        <v>199</v>
      </c>
      <c r="E1879" s="65">
        <v>700</v>
      </c>
      <c r="H1879" t="s">
        <v>144</v>
      </c>
      <c r="I1879" t="s">
        <v>187</v>
      </c>
      <c r="J1879" t="s">
        <v>88</v>
      </c>
      <c r="K1879" t="s">
        <v>219</v>
      </c>
      <c r="L1879" s="17">
        <v>1</v>
      </c>
    </row>
    <row r="1880" spans="1:13" x14ac:dyDescent="0.2">
      <c r="A1880">
        <f t="shared" si="29"/>
        <v>1874</v>
      </c>
      <c r="B1880">
        <v>2021</v>
      </c>
      <c r="C1880" t="s">
        <v>179</v>
      </c>
      <c r="D1880" t="s">
        <v>1994</v>
      </c>
      <c r="E1880" s="65">
        <v>230</v>
      </c>
      <c r="F1880" s="33">
        <v>1</v>
      </c>
      <c r="H1880" t="s">
        <v>148</v>
      </c>
      <c r="J1880" t="s">
        <v>34</v>
      </c>
      <c r="K1880" t="s">
        <v>219</v>
      </c>
      <c r="L1880" s="17">
        <v>1</v>
      </c>
    </row>
    <row r="1881" spans="1:13" x14ac:dyDescent="0.2">
      <c r="A1881">
        <f t="shared" si="29"/>
        <v>1875</v>
      </c>
      <c r="B1881">
        <v>2021</v>
      </c>
      <c r="C1881" t="s">
        <v>184</v>
      </c>
      <c r="D1881" t="s">
        <v>449</v>
      </c>
      <c r="E1881" s="65">
        <v>800</v>
      </c>
      <c r="H1881" t="s">
        <v>154</v>
      </c>
      <c r="I1881" t="s">
        <v>194</v>
      </c>
      <c r="J1881" t="s">
        <v>27</v>
      </c>
      <c r="K1881" t="s">
        <v>205</v>
      </c>
      <c r="L1881" s="17">
        <v>1</v>
      </c>
      <c r="M1881" s="28" t="s">
        <v>178</v>
      </c>
    </row>
    <row r="1882" spans="1:13" x14ac:dyDescent="0.2">
      <c r="A1882">
        <f t="shared" si="29"/>
        <v>1876</v>
      </c>
      <c r="B1882">
        <v>2021</v>
      </c>
      <c r="C1882" t="s">
        <v>184</v>
      </c>
      <c r="D1882" t="s">
        <v>1537</v>
      </c>
      <c r="E1882" s="65">
        <v>190</v>
      </c>
      <c r="G1882" t="s">
        <v>1538</v>
      </c>
      <c r="H1882" t="s">
        <v>154</v>
      </c>
      <c r="I1882" t="s">
        <v>250</v>
      </c>
      <c r="J1882" t="s">
        <v>42</v>
      </c>
      <c r="K1882" t="s">
        <v>195</v>
      </c>
      <c r="L1882" s="17">
        <v>0</v>
      </c>
    </row>
    <row r="1883" spans="1:13" x14ac:dyDescent="0.2">
      <c r="A1883">
        <f t="shared" si="29"/>
        <v>1877</v>
      </c>
      <c r="B1883">
        <v>2021</v>
      </c>
      <c r="C1883" t="s">
        <v>184</v>
      </c>
      <c r="D1883" t="s">
        <v>559</v>
      </c>
      <c r="E1883" s="65">
        <v>410</v>
      </c>
      <c r="H1883" t="s">
        <v>149</v>
      </c>
      <c r="I1883" t="s">
        <v>236</v>
      </c>
      <c r="J1883" t="s">
        <v>106</v>
      </c>
      <c r="K1883" t="s">
        <v>195</v>
      </c>
      <c r="L1883" s="17">
        <v>1</v>
      </c>
    </row>
    <row r="1884" spans="1:13" x14ac:dyDescent="0.2">
      <c r="A1884">
        <f t="shared" si="29"/>
        <v>1878</v>
      </c>
      <c r="B1884">
        <v>2021</v>
      </c>
      <c r="C1884" t="s">
        <v>184</v>
      </c>
      <c r="D1884" t="s">
        <v>822</v>
      </c>
      <c r="E1884" s="65">
        <v>350</v>
      </c>
      <c r="F1884" s="33">
        <v>0.11</v>
      </c>
      <c r="G1884" t="s">
        <v>1738</v>
      </c>
      <c r="H1884" t="s">
        <v>150</v>
      </c>
      <c r="I1884" t="s">
        <v>556</v>
      </c>
      <c r="J1884" t="s">
        <v>128</v>
      </c>
      <c r="K1884" t="s">
        <v>201</v>
      </c>
      <c r="L1884" s="17">
        <v>1</v>
      </c>
    </row>
    <row r="1885" spans="1:13" x14ac:dyDescent="0.2">
      <c r="A1885">
        <f t="shared" si="29"/>
        <v>1879</v>
      </c>
      <c r="B1885">
        <v>2021</v>
      </c>
      <c r="C1885" t="s">
        <v>184</v>
      </c>
      <c r="D1885" s="52" t="s">
        <v>255</v>
      </c>
      <c r="E1885" s="65">
        <v>100</v>
      </c>
      <c r="H1885" t="s">
        <v>152</v>
      </c>
      <c r="I1885" t="s">
        <v>257</v>
      </c>
      <c r="J1885" t="s">
        <v>45</v>
      </c>
      <c r="K1885" t="s">
        <v>195</v>
      </c>
      <c r="L1885" s="17">
        <v>0</v>
      </c>
    </row>
    <row r="1886" spans="1:13" x14ac:dyDescent="0.2">
      <c r="A1886">
        <f t="shared" si="29"/>
        <v>1880</v>
      </c>
      <c r="B1886">
        <v>2021</v>
      </c>
      <c r="C1886" t="s">
        <v>184</v>
      </c>
      <c r="D1886" t="s">
        <v>1995</v>
      </c>
      <c r="E1886" s="65">
        <v>1300</v>
      </c>
      <c r="G1886" t="s">
        <v>1996</v>
      </c>
      <c r="H1886" t="s">
        <v>148</v>
      </c>
      <c r="J1886" t="s">
        <v>53</v>
      </c>
      <c r="K1886" t="s">
        <v>183</v>
      </c>
      <c r="L1886" s="17">
        <v>1</v>
      </c>
    </row>
    <row r="1887" spans="1:13" x14ac:dyDescent="0.2">
      <c r="A1887">
        <f t="shared" si="29"/>
        <v>1881</v>
      </c>
      <c r="B1887">
        <v>2021</v>
      </c>
      <c r="C1887" t="s">
        <v>184</v>
      </c>
      <c r="D1887" t="s">
        <v>1035</v>
      </c>
      <c r="E1887" s="65">
        <v>170</v>
      </c>
      <c r="H1887" t="s">
        <v>144</v>
      </c>
      <c r="I1887" t="s">
        <v>299</v>
      </c>
      <c r="J1887" t="s">
        <v>82</v>
      </c>
      <c r="K1887" t="s">
        <v>183</v>
      </c>
      <c r="L1887" s="17">
        <v>1</v>
      </c>
      <c r="M1887" s="28" t="s">
        <v>178</v>
      </c>
    </row>
    <row r="1888" spans="1:13" x14ac:dyDescent="0.2">
      <c r="A1888">
        <f t="shared" si="29"/>
        <v>1882</v>
      </c>
      <c r="B1888">
        <v>2021</v>
      </c>
      <c r="C1888" t="s">
        <v>184</v>
      </c>
      <c r="D1888" t="s">
        <v>1462</v>
      </c>
      <c r="E1888" s="65">
        <v>200</v>
      </c>
      <c r="H1888" t="s">
        <v>149</v>
      </c>
      <c r="J1888" t="s">
        <v>53</v>
      </c>
      <c r="K1888" t="s">
        <v>183</v>
      </c>
      <c r="L1888" s="17">
        <v>1</v>
      </c>
    </row>
    <row r="1889" spans="1:13" x14ac:dyDescent="0.2">
      <c r="A1889">
        <f t="shared" si="29"/>
        <v>1883</v>
      </c>
      <c r="B1889">
        <v>2021</v>
      </c>
      <c r="C1889" t="s">
        <v>225</v>
      </c>
      <c r="D1889" t="s">
        <v>822</v>
      </c>
      <c r="E1889" s="65">
        <v>210</v>
      </c>
      <c r="F1889" s="33">
        <v>0.03</v>
      </c>
      <c r="G1889" t="s">
        <v>1997</v>
      </c>
      <c r="H1889" t="s">
        <v>150</v>
      </c>
      <c r="I1889" t="s">
        <v>556</v>
      </c>
      <c r="J1889" t="s">
        <v>136</v>
      </c>
      <c r="K1889" t="s">
        <v>183</v>
      </c>
      <c r="L1889" s="17">
        <v>1</v>
      </c>
    </row>
    <row r="1890" spans="1:13" s="17" customFormat="1" x14ac:dyDescent="0.2">
      <c r="A1890">
        <f t="shared" si="29"/>
        <v>1884</v>
      </c>
      <c r="B1890">
        <v>2021</v>
      </c>
      <c r="C1890" t="s">
        <v>225</v>
      </c>
      <c r="D1890" t="s">
        <v>321</v>
      </c>
      <c r="E1890" s="65">
        <v>660</v>
      </c>
      <c r="F1890" s="33">
        <v>1</v>
      </c>
      <c r="G1890" t="s">
        <v>1998</v>
      </c>
      <c r="H1890" t="s">
        <v>147</v>
      </c>
      <c r="J1890" t="s">
        <v>41</v>
      </c>
      <c r="K1890" t="s">
        <v>195</v>
      </c>
      <c r="L1890" s="17">
        <v>0</v>
      </c>
      <c r="M1890" s="28"/>
    </row>
    <row r="1891" spans="1:13" x14ac:dyDescent="0.2">
      <c r="A1891">
        <f t="shared" si="29"/>
        <v>1885</v>
      </c>
      <c r="B1891">
        <v>2021</v>
      </c>
      <c r="C1891" t="s">
        <v>225</v>
      </c>
      <c r="D1891" t="s">
        <v>479</v>
      </c>
      <c r="E1891" s="65">
        <v>300</v>
      </c>
      <c r="H1891" t="s">
        <v>147</v>
      </c>
      <c r="J1891" t="s">
        <v>27</v>
      </c>
      <c r="K1891" t="s">
        <v>205</v>
      </c>
      <c r="L1891" s="17">
        <v>1</v>
      </c>
      <c r="M1891" s="28" t="s">
        <v>178</v>
      </c>
    </row>
    <row r="1892" spans="1:13" x14ac:dyDescent="0.2">
      <c r="A1892">
        <f t="shared" si="29"/>
        <v>1886</v>
      </c>
      <c r="B1892">
        <v>2021</v>
      </c>
      <c r="C1892" t="s">
        <v>225</v>
      </c>
      <c r="D1892" t="s">
        <v>1999</v>
      </c>
      <c r="E1892" s="65">
        <v>120</v>
      </c>
      <c r="F1892" s="33">
        <v>0.67</v>
      </c>
      <c r="H1892" t="s">
        <v>149</v>
      </c>
      <c r="J1892" t="s">
        <v>39</v>
      </c>
      <c r="K1892" t="s">
        <v>219</v>
      </c>
      <c r="L1892" s="17">
        <v>1</v>
      </c>
      <c r="M1892" s="28" t="s">
        <v>178</v>
      </c>
    </row>
    <row r="1893" spans="1:13" x14ac:dyDescent="0.2">
      <c r="A1893">
        <f t="shared" si="29"/>
        <v>1887</v>
      </c>
      <c r="B1893">
        <v>2021</v>
      </c>
      <c r="C1893" t="s">
        <v>225</v>
      </c>
      <c r="D1893" t="s">
        <v>2000</v>
      </c>
      <c r="E1893" s="65">
        <v>210</v>
      </c>
      <c r="F1893" s="33">
        <v>0.7</v>
      </c>
      <c r="G1893" t="s">
        <v>2001</v>
      </c>
      <c r="H1893" t="s">
        <v>144</v>
      </c>
      <c r="I1893" t="s">
        <v>273</v>
      </c>
      <c r="J1893" t="s">
        <v>53</v>
      </c>
      <c r="K1893" t="s">
        <v>183</v>
      </c>
      <c r="L1893" s="17">
        <v>1</v>
      </c>
    </row>
    <row r="1894" spans="1:13" x14ac:dyDescent="0.2">
      <c r="A1894">
        <f t="shared" si="29"/>
        <v>1888</v>
      </c>
      <c r="B1894">
        <v>2021</v>
      </c>
      <c r="C1894" t="s">
        <v>188</v>
      </c>
      <c r="D1894" t="s">
        <v>300</v>
      </c>
      <c r="E1894" s="65">
        <v>1220</v>
      </c>
      <c r="G1894" t="s">
        <v>2002</v>
      </c>
      <c r="H1894" t="s">
        <v>144</v>
      </c>
      <c r="I1894" t="s">
        <v>187</v>
      </c>
      <c r="J1894" t="s">
        <v>105</v>
      </c>
      <c r="K1894" t="s">
        <v>214</v>
      </c>
      <c r="L1894" s="17">
        <v>1</v>
      </c>
    </row>
    <row r="1895" spans="1:13" s="17" customFormat="1" x14ac:dyDescent="0.2">
      <c r="A1895">
        <f t="shared" si="29"/>
        <v>1889</v>
      </c>
      <c r="B1895">
        <v>2021</v>
      </c>
      <c r="C1895" t="s">
        <v>188</v>
      </c>
      <c r="D1895" t="s">
        <v>818</v>
      </c>
      <c r="E1895" s="65">
        <v>2940</v>
      </c>
      <c r="F1895" s="33"/>
      <c r="G1895" t="s">
        <v>830</v>
      </c>
      <c r="H1895" t="s">
        <v>144</v>
      </c>
      <c r="I1895" t="s">
        <v>187</v>
      </c>
      <c r="J1895" t="s">
        <v>19</v>
      </c>
      <c r="K1895" t="s">
        <v>205</v>
      </c>
      <c r="L1895" s="17">
        <v>0</v>
      </c>
      <c r="M1895" s="28" t="s">
        <v>178</v>
      </c>
    </row>
    <row r="1896" spans="1:13" x14ac:dyDescent="0.2">
      <c r="A1896">
        <f t="shared" si="29"/>
        <v>1890</v>
      </c>
      <c r="B1896">
        <v>2021</v>
      </c>
      <c r="C1896" t="s">
        <v>188</v>
      </c>
      <c r="D1896" t="s">
        <v>1624</v>
      </c>
      <c r="E1896" s="65">
        <v>150</v>
      </c>
      <c r="F1896" s="33">
        <v>0.75</v>
      </c>
      <c r="G1896" t="s">
        <v>2003</v>
      </c>
      <c r="H1896" t="s">
        <v>151</v>
      </c>
      <c r="I1896" t="s">
        <v>279</v>
      </c>
      <c r="J1896" t="s">
        <v>138</v>
      </c>
      <c r="K1896" t="s">
        <v>219</v>
      </c>
      <c r="L1896" s="17">
        <v>1</v>
      </c>
    </row>
    <row r="1897" spans="1:13" ht="15" customHeight="1" x14ac:dyDescent="0.2">
      <c r="A1897">
        <f t="shared" si="29"/>
        <v>1891</v>
      </c>
      <c r="B1897">
        <v>2021</v>
      </c>
      <c r="C1897" t="s">
        <v>188</v>
      </c>
      <c r="D1897" t="s">
        <v>559</v>
      </c>
      <c r="E1897" s="65">
        <v>700</v>
      </c>
      <c r="H1897" t="s">
        <v>149</v>
      </c>
      <c r="J1897" t="s">
        <v>112</v>
      </c>
      <c r="K1897" t="s">
        <v>219</v>
      </c>
      <c r="L1897" s="17">
        <v>1</v>
      </c>
      <c r="M1897" s="28" t="s">
        <v>178</v>
      </c>
    </row>
    <row r="1898" spans="1:13" x14ac:dyDescent="0.2">
      <c r="A1898">
        <f t="shared" si="29"/>
        <v>1892</v>
      </c>
      <c r="B1898" s="17">
        <v>2021</v>
      </c>
      <c r="C1898" s="17" t="s">
        <v>188</v>
      </c>
      <c r="D1898" s="17" t="s">
        <v>1427</v>
      </c>
      <c r="E1898" s="66">
        <v>130</v>
      </c>
      <c r="F1898" s="37"/>
      <c r="G1898" s="17" t="s">
        <v>1399</v>
      </c>
      <c r="H1898" s="17" t="s">
        <v>142</v>
      </c>
      <c r="I1898" s="17"/>
      <c r="J1898" s="17" t="s">
        <v>109</v>
      </c>
      <c r="K1898" s="17" t="s">
        <v>195</v>
      </c>
      <c r="L1898" s="17">
        <v>1</v>
      </c>
      <c r="M1898" s="67"/>
    </row>
    <row r="1899" spans="1:13" x14ac:dyDescent="0.2">
      <c r="A1899">
        <f t="shared" si="29"/>
        <v>1893</v>
      </c>
      <c r="B1899">
        <v>2021</v>
      </c>
      <c r="C1899" t="s">
        <v>188</v>
      </c>
      <c r="D1899" t="s">
        <v>1940</v>
      </c>
      <c r="E1899" s="65">
        <v>200</v>
      </c>
      <c r="H1899" t="s">
        <v>151</v>
      </c>
      <c r="I1899" t="s">
        <v>224</v>
      </c>
      <c r="J1899" t="s">
        <v>25</v>
      </c>
      <c r="K1899" t="s">
        <v>177</v>
      </c>
      <c r="L1899" s="17">
        <v>0</v>
      </c>
    </row>
    <row r="1900" spans="1:13" x14ac:dyDescent="0.2">
      <c r="A1900">
        <f t="shared" si="29"/>
        <v>1894</v>
      </c>
      <c r="B1900">
        <v>2021</v>
      </c>
      <c r="C1900" t="s">
        <v>188</v>
      </c>
      <c r="D1900" t="s">
        <v>263</v>
      </c>
      <c r="E1900" s="65">
        <v>110</v>
      </c>
      <c r="G1900" t="s">
        <v>2004</v>
      </c>
      <c r="H1900" t="s">
        <v>154</v>
      </c>
      <c r="I1900" t="s">
        <v>194</v>
      </c>
      <c r="J1900" t="s">
        <v>118</v>
      </c>
      <c r="K1900" t="s">
        <v>195</v>
      </c>
      <c r="L1900" s="17">
        <v>0</v>
      </c>
    </row>
    <row r="1901" spans="1:13" x14ac:dyDescent="0.2">
      <c r="A1901">
        <f t="shared" si="29"/>
        <v>1895</v>
      </c>
      <c r="B1901" s="17">
        <v>2021</v>
      </c>
      <c r="C1901" s="17" t="s">
        <v>188</v>
      </c>
      <c r="D1901" s="17" t="s">
        <v>714</v>
      </c>
      <c r="E1901" s="66">
        <v>220</v>
      </c>
      <c r="F1901" s="37"/>
      <c r="G1901" s="17"/>
      <c r="H1901" s="17" t="s">
        <v>154</v>
      </c>
      <c r="I1901" s="17" t="s">
        <v>194</v>
      </c>
      <c r="J1901" s="17" t="s">
        <v>23</v>
      </c>
      <c r="K1901" s="17" t="s">
        <v>183</v>
      </c>
      <c r="L1901" s="17">
        <v>1</v>
      </c>
      <c r="M1901" s="67" t="s">
        <v>178</v>
      </c>
    </row>
    <row r="1902" spans="1:13" x14ac:dyDescent="0.2">
      <c r="A1902">
        <f t="shared" si="29"/>
        <v>1896</v>
      </c>
      <c r="B1902">
        <v>2021</v>
      </c>
      <c r="C1902" t="s">
        <v>191</v>
      </c>
      <c r="D1902" t="s">
        <v>307</v>
      </c>
      <c r="E1902" s="65">
        <v>520</v>
      </c>
      <c r="F1902" s="33">
        <v>0.66</v>
      </c>
      <c r="G1902" t="s">
        <v>2005</v>
      </c>
      <c r="H1902" t="s">
        <v>144</v>
      </c>
      <c r="J1902" t="s">
        <v>19</v>
      </c>
      <c r="K1902" t="s">
        <v>205</v>
      </c>
      <c r="L1902">
        <v>0</v>
      </c>
    </row>
    <row r="1903" spans="1:13" x14ac:dyDescent="0.2">
      <c r="A1903">
        <f t="shared" si="29"/>
        <v>1897</v>
      </c>
      <c r="B1903">
        <v>2021</v>
      </c>
      <c r="C1903" t="s">
        <v>191</v>
      </c>
      <c r="D1903" t="s">
        <v>221</v>
      </c>
      <c r="E1903" s="65">
        <v>280</v>
      </c>
      <c r="F1903" s="33">
        <v>1</v>
      </c>
      <c r="G1903" t="s">
        <v>2006</v>
      </c>
      <c r="H1903" t="s">
        <v>152</v>
      </c>
      <c r="J1903" t="s">
        <v>131</v>
      </c>
      <c r="K1903" t="s">
        <v>131</v>
      </c>
      <c r="L1903" s="17">
        <v>0</v>
      </c>
    </row>
    <row r="1904" spans="1:13" x14ac:dyDescent="0.2">
      <c r="A1904">
        <f t="shared" si="29"/>
        <v>1898</v>
      </c>
      <c r="B1904">
        <v>2021</v>
      </c>
      <c r="C1904" t="s">
        <v>191</v>
      </c>
      <c r="D1904" t="s">
        <v>2007</v>
      </c>
      <c r="E1904" s="65">
        <v>220</v>
      </c>
      <c r="H1904" t="s">
        <v>149</v>
      </c>
      <c r="I1904" t="s">
        <v>182</v>
      </c>
      <c r="J1904" t="s">
        <v>53</v>
      </c>
      <c r="K1904" t="s">
        <v>183</v>
      </c>
      <c r="L1904" s="17">
        <v>1</v>
      </c>
      <c r="M1904" s="28" t="s">
        <v>178</v>
      </c>
    </row>
    <row r="1905" spans="1:13" x14ac:dyDescent="0.2">
      <c r="A1905">
        <f t="shared" si="29"/>
        <v>1899</v>
      </c>
      <c r="B1905">
        <v>2021</v>
      </c>
      <c r="C1905" t="s">
        <v>191</v>
      </c>
      <c r="D1905" t="s">
        <v>1318</v>
      </c>
      <c r="E1905" s="65">
        <v>100</v>
      </c>
      <c r="G1905" t="s">
        <v>2008</v>
      </c>
      <c r="H1905" t="s">
        <v>155</v>
      </c>
      <c r="J1905" t="s">
        <v>20</v>
      </c>
      <c r="K1905" t="s">
        <v>195</v>
      </c>
      <c r="L1905" s="17">
        <v>0</v>
      </c>
    </row>
    <row r="1906" spans="1:13" x14ac:dyDescent="0.2">
      <c r="A1906">
        <f t="shared" si="29"/>
        <v>1900</v>
      </c>
      <c r="B1906">
        <v>2021</v>
      </c>
      <c r="C1906" t="s">
        <v>191</v>
      </c>
      <c r="D1906" t="s">
        <v>300</v>
      </c>
      <c r="E1906" s="65">
        <v>100</v>
      </c>
      <c r="G1906" t="s">
        <v>333</v>
      </c>
      <c r="H1906" t="s">
        <v>144</v>
      </c>
      <c r="I1906" t="s">
        <v>232</v>
      </c>
      <c r="J1906" t="s">
        <v>131</v>
      </c>
      <c r="K1906" t="s">
        <v>131</v>
      </c>
      <c r="L1906" s="17">
        <v>0</v>
      </c>
    </row>
    <row r="1907" spans="1:13" x14ac:dyDescent="0.2">
      <c r="A1907">
        <f t="shared" si="29"/>
        <v>1901</v>
      </c>
      <c r="B1907">
        <v>2021</v>
      </c>
      <c r="C1907" t="s">
        <v>191</v>
      </c>
      <c r="D1907" t="s">
        <v>798</v>
      </c>
      <c r="E1907" s="65">
        <v>160</v>
      </c>
      <c r="F1907" s="33">
        <v>0.5</v>
      </c>
      <c r="H1907" t="s">
        <v>144</v>
      </c>
      <c r="I1907" t="s">
        <v>273</v>
      </c>
      <c r="J1907" t="s">
        <v>53</v>
      </c>
      <c r="K1907" t="s">
        <v>183</v>
      </c>
      <c r="L1907" s="17">
        <v>1</v>
      </c>
    </row>
    <row r="1908" spans="1:13" x14ac:dyDescent="0.2">
      <c r="A1908">
        <f t="shared" si="29"/>
        <v>1902</v>
      </c>
      <c r="B1908">
        <v>2021</v>
      </c>
      <c r="C1908" t="s">
        <v>191</v>
      </c>
      <c r="D1908" t="s">
        <v>263</v>
      </c>
      <c r="E1908" s="65">
        <v>2000</v>
      </c>
      <c r="G1908" t="s">
        <v>2009</v>
      </c>
      <c r="H1908" t="s">
        <v>147</v>
      </c>
      <c r="J1908" t="s">
        <v>131</v>
      </c>
      <c r="K1908" t="s">
        <v>131</v>
      </c>
      <c r="L1908" s="17">
        <v>0</v>
      </c>
    </row>
    <row r="1909" spans="1:13" x14ac:dyDescent="0.2">
      <c r="A1909">
        <f t="shared" si="29"/>
        <v>1903</v>
      </c>
      <c r="B1909">
        <v>2021</v>
      </c>
      <c r="C1909" t="s">
        <v>191</v>
      </c>
      <c r="D1909" t="s">
        <v>1769</v>
      </c>
      <c r="E1909" s="65">
        <v>190</v>
      </c>
      <c r="G1909" t="s">
        <v>2010</v>
      </c>
      <c r="H1909" t="s">
        <v>152</v>
      </c>
      <c r="J1909" t="s">
        <v>20</v>
      </c>
      <c r="K1909" t="s">
        <v>195</v>
      </c>
      <c r="L1909" s="17">
        <v>0</v>
      </c>
    </row>
    <row r="1910" spans="1:13" x14ac:dyDescent="0.2">
      <c r="A1910">
        <f t="shared" si="29"/>
        <v>1904</v>
      </c>
      <c r="B1910">
        <v>2021</v>
      </c>
      <c r="C1910" t="s">
        <v>198</v>
      </c>
      <c r="D1910" t="s">
        <v>1448</v>
      </c>
      <c r="E1910" s="65">
        <v>210</v>
      </c>
      <c r="F1910" s="33">
        <v>0.5</v>
      </c>
      <c r="G1910" t="s">
        <v>2011</v>
      </c>
      <c r="H1910" t="s">
        <v>149</v>
      </c>
      <c r="J1910" t="s">
        <v>77</v>
      </c>
      <c r="K1910" t="s">
        <v>177</v>
      </c>
      <c r="L1910" s="17">
        <v>0</v>
      </c>
    </row>
    <row r="1911" spans="1:13" x14ac:dyDescent="0.2">
      <c r="A1911">
        <f t="shared" si="29"/>
        <v>1905</v>
      </c>
      <c r="B1911">
        <v>2021</v>
      </c>
      <c r="C1911" t="s">
        <v>198</v>
      </c>
      <c r="D1911" t="s">
        <v>454</v>
      </c>
      <c r="E1911" s="65">
        <v>100</v>
      </c>
      <c r="G1911" t="s">
        <v>2012</v>
      </c>
      <c r="H1911" t="s">
        <v>146</v>
      </c>
      <c r="J1911" t="s">
        <v>8</v>
      </c>
      <c r="K1911" t="s">
        <v>205</v>
      </c>
      <c r="L1911" s="17">
        <v>1</v>
      </c>
    </row>
    <row r="1912" spans="1:13" x14ac:dyDescent="0.2">
      <c r="A1912">
        <f t="shared" si="29"/>
        <v>1906</v>
      </c>
      <c r="B1912">
        <v>2021</v>
      </c>
      <c r="C1912" t="s">
        <v>198</v>
      </c>
      <c r="D1912" t="s">
        <v>246</v>
      </c>
      <c r="E1912" s="65">
        <v>160</v>
      </c>
      <c r="G1912" t="s">
        <v>2013</v>
      </c>
      <c r="H1912" t="s">
        <v>144</v>
      </c>
      <c r="I1912" t="s">
        <v>232</v>
      </c>
      <c r="J1912" t="s">
        <v>62</v>
      </c>
      <c r="K1912" t="s">
        <v>214</v>
      </c>
      <c r="L1912">
        <v>1</v>
      </c>
    </row>
    <row r="1913" spans="1:13" x14ac:dyDescent="0.2">
      <c r="A1913">
        <f t="shared" si="29"/>
        <v>1907</v>
      </c>
      <c r="B1913">
        <v>2021</v>
      </c>
      <c r="C1913" t="s">
        <v>198</v>
      </c>
      <c r="D1913" t="s">
        <v>246</v>
      </c>
      <c r="E1913" s="65">
        <v>350</v>
      </c>
      <c r="G1913" t="s">
        <v>2013</v>
      </c>
      <c r="H1913" t="s">
        <v>144</v>
      </c>
      <c r="I1913" t="s">
        <v>232</v>
      </c>
      <c r="J1913" t="s">
        <v>38</v>
      </c>
      <c r="K1913" t="s">
        <v>214</v>
      </c>
      <c r="L1913">
        <v>1</v>
      </c>
    </row>
    <row r="1914" spans="1:13" x14ac:dyDescent="0.2">
      <c r="A1914">
        <f t="shared" si="29"/>
        <v>1908</v>
      </c>
      <c r="B1914">
        <v>2021</v>
      </c>
      <c r="C1914" t="s">
        <v>198</v>
      </c>
      <c r="D1914" t="s">
        <v>410</v>
      </c>
      <c r="E1914" s="65">
        <v>170</v>
      </c>
      <c r="G1914" t="s">
        <v>1640</v>
      </c>
      <c r="H1914" t="s">
        <v>154</v>
      </c>
      <c r="I1914" t="s">
        <v>194</v>
      </c>
      <c r="J1914" t="s">
        <v>19</v>
      </c>
      <c r="K1914" t="s">
        <v>205</v>
      </c>
      <c r="L1914">
        <v>0</v>
      </c>
    </row>
    <row r="1915" spans="1:13" x14ac:dyDescent="0.2">
      <c r="A1915">
        <f t="shared" si="29"/>
        <v>1909</v>
      </c>
      <c r="B1915">
        <v>2021</v>
      </c>
      <c r="C1915" t="s">
        <v>198</v>
      </c>
      <c r="D1915" t="s">
        <v>1287</v>
      </c>
      <c r="E1915" s="65">
        <v>460</v>
      </c>
      <c r="H1915" t="s">
        <v>154</v>
      </c>
      <c r="I1915" t="s">
        <v>194</v>
      </c>
      <c r="J1915" t="s">
        <v>61</v>
      </c>
      <c r="K1915" t="s">
        <v>183</v>
      </c>
      <c r="L1915">
        <v>0</v>
      </c>
      <c r="M1915" s="28" t="s">
        <v>178</v>
      </c>
    </row>
    <row r="1916" spans="1:13" x14ac:dyDescent="0.2">
      <c r="A1916">
        <f t="shared" si="29"/>
        <v>1910</v>
      </c>
      <c r="B1916">
        <v>2021</v>
      </c>
      <c r="C1916" t="s">
        <v>198</v>
      </c>
      <c r="D1916" t="s">
        <v>943</v>
      </c>
      <c r="E1916" s="65">
        <v>440</v>
      </c>
      <c r="F1916" s="33">
        <v>0.49</v>
      </c>
      <c r="G1916" t="s">
        <v>2014</v>
      </c>
      <c r="H1916" t="s">
        <v>144</v>
      </c>
      <c r="J1916" t="s">
        <v>63</v>
      </c>
      <c r="K1916" t="s">
        <v>201</v>
      </c>
      <c r="L1916">
        <v>1</v>
      </c>
    </row>
    <row r="1917" spans="1:13" x14ac:dyDescent="0.2">
      <c r="A1917">
        <f t="shared" si="29"/>
        <v>1911</v>
      </c>
      <c r="B1917">
        <v>2021</v>
      </c>
      <c r="C1917" t="s">
        <v>198</v>
      </c>
      <c r="D1917" t="s">
        <v>2015</v>
      </c>
      <c r="E1917" s="65">
        <v>4040</v>
      </c>
      <c r="H1917" t="s">
        <v>154</v>
      </c>
      <c r="I1917" t="s">
        <v>529</v>
      </c>
      <c r="J1917" t="s">
        <v>28</v>
      </c>
      <c r="K1917" t="s">
        <v>205</v>
      </c>
      <c r="L1917">
        <v>0</v>
      </c>
      <c r="M1917" s="28" t="s">
        <v>178</v>
      </c>
    </row>
    <row r="1918" spans="1:13" x14ac:dyDescent="0.2">
      <c r="A1918">
        <f t="shared" si="29"/>
        <v>1912</v>
      </c>
      <c r="B1918">
        <v>2021</v>
      </c>
      <c r="C1918" t="s">
        <v>198</v>
      </c>
      <c r="D1918" t="s">
        <v>797</v>
      </c>
      <c r="E1918" s="65">
        <v>500</v>
      </c>
      <c r="G1918" t="s">
        <v>2016</v>
      </c>
      <c r="H1918" t="s">
        <v>149</v>
      </c>
      <c r="J1918" t="s">
        <v>34</v>
      </c>
      <c r="K1918" t="s">
        <v>219</v>
      </c>
      <c r="L1918" s="17">
        <v>1</v>
      </c>
    </row>
    <row r="1919" spans="1:13" x14ac:dyDescent="0.2">
      <c r="A1919">
        <f t="shared" si="29"/>
        <v>1913</v>
      </c>
      <c r="B1919">
        <v>2021</v>
      </c>
      <c r="C1919" t="s">
        <v>198</v>
      </c>
      <c r="D1919" t="s">
        <v>2017</v>
      </c>
      <c r="E1919" s="65">
        <v>410</v>
      </c>
      <c r="H1919" t="s">
        <v>142</v>
      </c>
      <c r="J1919" t="s">
        <v>67</v>
      </c>
      <c r="K1919" t="s">
        <v>183</v>
      </c>
      <c r="L1919" s="17">
        <v>1</v>
      </c>
      <c r="M1919" s="28" t="s">
        <v>178</v>
      </c>
    </row>
    <row r="1920" spans="1:13" x14ac:dyDescent="0.2">
      <c r="A1920">
        <f t="shared" si="29"/>
        <v>1914</v>
      </c>
      <c r="B1920">
        <v>2021</v>
      </c>
      <c r="C1920" t="s">
        <v>202</v>
      </c>
      <c r="D1920" t="s">
        <v>1772</v>
      </c>
      <c r="E1920" s="65">
        <v>240</v>
      </c>
      <c r="F1920" s="33">
        <v>0.24</v>
      </c>
      <c r="G1920" t="s">
        <v>2018</v>
      </c>
      <c r="H1920" t="s">
        <v>149</v>
      </c>
      <c r="J1920" t="s">
        <v>34</v>
      </c>
      <c r="K1920" t="s">
        <v>219</v>
      </c>
      <c r="L1920" s="17">
        <v>1</v>
      </c>
    </row>
    <row r="1921" spans="1:13" x14ac:dyDescent="0.2">
      <c r="A1921">
        <f t="shared" si="29"/>
        <v>1915</v>
      </c>
      <c r="B1921">
        <v>2021</v>
      </c>
      <c r="C1921" t="s">
        <v>202</v>
      </c>
      <c r="D1921" t="s">
        <v>2019</v>
      </c>
      <c r="E1921" s="65">
        <v>1700</v>
      </c>
      <c r="H1921" t="s">
        <v>154</v>
      </c>
      <c r="I1921" t="s">
        <v>271</v>
      </c>
      <c r="J1921" t="s">
        <v>57</v>
      </c>
      <c r="K1921" t="s">
        <v>195</v>
      </c>
      <c r="L1921" s="17">
        <v>0</v>
      </c>
    </row>
    <row r="1922" spans="1:13" x14ac:dyDescent="0.2">
      <c r="A1922">
        <f t="shared" si="29"/>
        <v>1916</v>
      </c>
      <c r="B1922">
        <v>2021</v>
      </c>
      <c r="C1922" t="s">
        <v>202</v>
      </c>
      <c r="D1922" t="s">
        <v>1029</v>
      </c>
      <c r="E1922" s="65">
        <v>500</v>
      </c>
      <c r="H1922" t="s">
        <v>144</v>
      </c>
      <c r="I1922" t="s">
        <v>232</v>
      </c>
      <c r="J1922" t="s">
        <v>136</v>
      </c>
      <c r="K1922" t="s">
        <v>183</v>
      </c>
      <c r="L1922">
        <v>1</v>
      </c>
      <c r="M1922" s="28" t="s">
        <v>178</v>
      </c>
    </row>
    <row r="1923" spans="1:13" x14ac:dyDescent="0.2">
      <c r="A1923">
        <f t="shared" si="29"/>
        <v>1917</v>
      </c>
      <c r="B1923">
        <v>2021</v>
      </c>
      <c r="C1923" t="s">
        <v>202</v>
      </c>
      <c r="D1923" t="s">
        <v>822</v>
      </c>
      <c r="E1923" s="65">
        <v>200</v>
      </c>
      <c r="G1923" t="s">
        <v>2020</v>
      </c>
      <c r="H1923" t="s">
        <v>148</v>
      </c>
      <c r="J1923" t="s">
        <v>108</v>
      </c>
      <c r="K1923" t="s">
        <v>183</v>
      </c>
      <c r="L1923">
        <v>1</v>
      </c>
    </row>
    <row r="1924" spans="1:13" x14ac:dyDescent="0.2">
      <c r="A1924">
        <f t="shared" si="29"/>
        <v>1918</v>
      </c>
      <c r="B1924">
        <v>2021</v>
      </c>
      <c r="C1924" t="s">
        <v>202</v>
      </c>
      <c r="D1924" t="s">
        <v>2021</v>
      </c>
      <c r="E1924" s="65">
        <v>140</v>
      </c>
      <c r="H1924" t="s">
        <v>149</v>
      </c>
      <c r="I1924" t="s">
        <v>238</v>
      </c>
      <c r="J1924" t="s">
        <v>53</v>
      </c>
      <c r="K1924" t="s">
        <v>183</v>
      </c>
      <c r="L1924">
        <v>1</v>
      </c>
      <c r="M1924" s="28" t="s">
        <v>178</v>
      </c>
    </row>
    <row r="1925" spans="1:13" x14ac:dyDescent="0.2">
      <c r="A1925">
        <f t="shared" si="29"/>
        <v>1919</v>
      </c>
      <c r="B1925">
        <v>2021</v>
      </c>
      <c r="C1925" t="s">
        <v>202</v>
      </c>
      <c r="D1925" t="s">
        <v>2022</v>
      </c>
      <c r="E1925" s="65">
        <v>100</v>
      </c>
      <c r="G1925" t="s">
        <v>2023</v>
      </c>
      <c r="H1925" t="s">
        <v>147</v>
      </c>
      <c r="J1925" t="s">
        <v>25</v>
      </c>
      <c r="K1925" t="s">
        <v>177</v>
      </c>
      <c r="L1925">
        <v>0</v>
      </c>
    </row>
    <row r="1926" spans="1:13" x14ac:dyDescent="0.2">
      <c r="A1926">
        <f t="shared" si="29"/>
        <v>1920</v>
      </c>
      <c r="B1926">
        <v>2021</v>
      </c>
      <c r="C1926" t="s">
        <v>202</v>
      </c>
      <c r="D1926" t="s">
        <v>2024</v>
      </c>
      <c r="E1926" s="65">
        <v>360</v>
      </c>
      <c r="H1926" t="s">
        <v>144</v>
      </c>
      <c r="I1926" t="s">
        <v>232</v>
      </c>
      <c r="J1926" t="s">
        <v>51</v>
      </c>
      <c r="K1926" t="s">
        <v>195</v>
      </c>
      <c r="L1926">
        <v>1</v>
      </c>
      <c r="M1926" s="28" t="s">
        <v>178</v>
      </c>
    </row>
    <row r="1927" spans="1:13" x14ac:dyDescent="0.2">
      <c r="A1927">
        <f t="shared" ref="A1927:A1990" si="30">ROW()-6</f>
        <v>1921</v>
      </c>
      <c r="B1927">
        <v>2021</v>
      </c>
      <c r="C1927" t="s">
        <v>202</v>
      </c>
      <c r="D1927" t="s">
        <v>554</v>
      </c>
      <c r="E1927" s="65">
        <v>440</v>
      </c>
      <c r="F1927" s="33">
        <v>0.05</v>
      </c>
      <c r="G1927" t="s">
        <v>1587</v>
      </c>
      <c r="H1927" t="s">
        <v>146</v>
      </c>
      <c r="J1927" t="s">
        <v>15</v>
      </c>
      <c r="K1927" t="s">
        <v>195</v>
      </c>
      <c r="L1927">
        <v>0</v>
      </c>
    </row>
    <row r="1928" spans="1:13" x14ac:dyDescent="0.2">
      <c r="A1928">
        <f t="shared" si="30"/>
        <v>1922</v>
      </c>
      <c r="B1928">
        <v>2021</v>
      </c>
      <c r="C1928" t="s">
        <v>202</v>
      </c>
      <c r="D1928" t="s">
        <v>1779</v>
      </c>
      <c r="E1928" s="65">
        <v>400</v>
      </c>
      <c r="F1928" s="33">
        <v>0.8</v>
      </c>
      <c r="G1928" t="s">
        <v>2025</v>
      </c>
      <c r="H1928" t="s">
        <v>145</v>
      </c>
      <c r="J1928" t="s">
        <v>41</v>
      </c>
      <c r="K1928" t="s">
        <v>195</v>
      </c>
      <c r="L1928">
        <v>0</v>
      </c>
    </row>
    <row r="1929" spans="1:13" x14ac:dyDescent="0.2">
      <c r="A1929">
        <f t="shared" si="30"/>
        <v>1923</v>
      </c>
      <c r="B1929">
        <v>2021</v>
      </c>
      <c r="C1929" t="s">
        <v>207</v>
      </c>
      <c r="D1929" t="s">
        <v>2026</v>
      </c>
      <c r="E1929" s="65">
        <v>150</v>
      </c>
      <c r="G1929" t="s">
        <v>2027</v>
      </c>
      <c r="H1929" t="s">
        <v>144</v>
      </c>
      <c r="I1929" t="s">
        <v>232</v>
      </c>
      <c r="J1929" t="s">
        <v>17</v>
      </c>
      <c r="K1929" t="s">
        <v>195</v>
      </c>
      <c r="L1929">
        <v>1</v>
      </c>
      <c r="M1929" s="28" t="s">
        <v>178</v>
      </c>
    </row>
    <row r="1930" spans="1:13" x14ac:dyDescent="0.2">
      <c r="A1930">
        <f t="shared" si="30"/>
        <v>1924</v>
      </c>
      <c r="B1930">
        <v>2021</v>
      </c>
      <c r="C1930" t="s">
        <v>207</v>
      </c>
      <c r="D1930" t="s">
        <v>559</v>
      </c>
      <c r="E1930" s="65">
        <v>770</v>
      </c>
      <c r="F1930" s="33">
        <v>1</v>
      </c>
      <c r="G1930" t="s">
        <v>2028</v>
      </c>
      <c r="H1930" t="s">
        <v>149</v>
      </c>
      <c r="J1930" t="s">
        <v>8</v>
      </c>
      <c r="K1930" t="s">
        <v>205</v>
      </c>
      <c r="L1930">
        <v>1</v>
      </c>
    </row>
    <row r="1931" spans="1:13" x14ac:dyDescent="0.2">
      <c r="A1931">
        <f t="shared" si="30"/>
        <v>1925</v>
      </c>
      <c r="B1931">
        <v>2021</v>
      </c>
      <c r="C1931" t="s">
        <v>207</v>
      </c>
      <c r="D1931" t="s">
        <v>554</v>
      </c>
      <c r="E1931" s="65">
        <v>280</v>
      </c>
      <c r="F1931" s="33">
        <v>1</v>
      </c>
      <c r="G1931" t="s">
        <v>2029</v>
      </c>
      <c r="H1931" t="s">
        <v>146</v>
      </c>
      <c r="I1931" t="s">
        <v>275</v>
      </c>
      <c r="J1931" t="s">
        <v>45</v>
      </c>
      <c r="K1931" t="s">
        <v>195</v>
      </c>
      <c r="L1931">
        <v>0</v>
      </c>
    </row>
    <row r="1932" spans="1:13" x14ac:dyDescent="0.2">
      <c r="A1932">
        <f t="shared" si="30"/>
        <v>1926</v>
      </c>
      <c r="B1932">
        <v>2021</v>
      </c>
      <c r="C1932" t="s">
        <v>207</v>
      </c>
      <c r="D1932" t="s">
        <v>557</v>
      </c>
      <c r="E1932" s="65">
        <v>340</v>
      </c>
      <c r="H1932" t="s">
        <v>150</v>
      </c>
      <c r="I1932" t="s">
        <v>217</v>
      </c>
      <c r="J1932" t="s">
        <v>38</v>
      </c>
      <c r="K1932" t="s">
        <v>214</v>
      </c>
      <c r="L1932">
        <v>1</v>
      </c>
      <c r="M1932" s="28" t="s">
        <v>178</v>
      </c>
    </row>
    <row r="1933" spans="1:13" x14ac:dyDescent="0.2">
      <c r="A1933">
        <f t="shared" si="30"/>
        <v>1927</v>
      </c>
      <c r="B1933">
        <v>2021</v>
      </c>
      <c r="C1933" t="s">
        <v>207</v>
      </c>
      <c r="D1933" t="s">
        <v>269</v>
      </c>
      <c r="E1933" s="65">
        <v>110</v>
      </c>
      <c r="F1933" s="33">
        <v>0.16</v>
      </c>
      <c r="H1933" t="s">
        <v>154</v>
      </c>
      <c r="I1933" t="s">
        <v>271</v>
      </c>
      <c r="J1933" t="s">
        <v>47</v>
      </c>
      <c r="K1933" t="s">
        <v>195</v>
      </c>
      <c r="L1933">
        <v>1</v>
      </c>
    </row>
    <row r="1934" spans="1:13" x14ac:dyDescent="0.2">
      <c r="A1934">
        <f t="shared" si="30"/>
        <v>1928</v>
      </c>
      <c r="B1934">
        <v>2021</v>
      </c>
      <c r="C1934" t="s">
        <v>207</v>
      </c>
      <c r="D1934" t="s">
        <v>454</v>
      </c>
      <c r="E1934" s="65">
        <v>260</v>
      </c>
      <c r="F1934" s="33">
        <v>7.0000000000000007E-2</v>
      </c>
      <c r="G1934" t="s">
        <v>2030</v>
      </c>
      <c r="H1934" t="s">
        <v>145</v>
      </c>
      <c r="J1934" t="s">
        <v>61</v>
      </c>
      <c r="K1934" t="s">
        <v>183</v>
      </c>
      <c r="L1934">
        <v>0</v>
      </c>
    </row>
    <row r="1935" spans="1:13" x14ac:dyDescent="0.2">
      <c r="A1935">
        <f t="shared" si="30"/>
        <v>1929</v>
      </c>
      <c r="B1935">
        <v>2021</v>
      </c>
      <c r="C1935" t="s">
        <v>207</v>
      </c>
      <c r="D1935" t="s">
        <v>454</v>
      </c>
      <c r="E1935" s="65">
        <v>110</v>
      </c>
      <c r="F1935" s="33">
        <v>0.04</v>
      </c>
      <c r="G1935" t="s">
        <v>2031</v>
      </c>
      <c r="H1935" t="s">
        <v>150</v>
      </c>
      <c r="I1935" t="s">
        <v>556</v>
      </c>
      <c r="J1935" t="s">
        <v>45</v>
      </c>
      <c r="K1935" t="s">
        <v>195</v>
      </c>
      <c r="L1935">
        <v>0</v>
      </c>
    </row>
    <row r="1936" spans="1:13" x14ac:dyDescent="0.2">
      <c r="A1936">
        <f t="shared" si="30"/>
        <v>1930</v>
      </c>
      <c r="B1936">
        <v>2021</v>
      </c>
      <c r="C1936" t="s">
        <v>207</v>
      </c>
      <c r="D1936" t="s">
        <v>798</v>
      </c>
      <c r="E1936" s="65">
        <v>380</v>
      </c>
      <c r="F1936" s="33">
        <v>0.5</v>
      </c>
      <c r="G1936" t="s">
        <v>1628</v>
      </c>
      <c r="H1936" t="s">
        <v>149</v>
      </c>
      <c r="J1936" t="s">
        <v>8</v>
      </c>
      <c r="K1936" t="s">
        <v>205</v>
      </c>
      <c r="L1936" s="17">
        <v>1</v>
      </c>
    </row>
    <row r="1937" spans="1:13" x14ac:dyDescent="0.2">
      <c r="A1937">
        <f t="shared" si="30"/>
        <v>1931</v>
      </c>
      <c r="B1937">
        <v>2021</v>
      </c>
      <c r="C1937" t="s">
        <v>207</v>
      </c>
      <c r="D1937" t="s">
        <v>1961</v>
      </c>
      <c r="E1937" s="65">
        <v>610</v>
      </c>
      <c r="F1937" s="33">
        <v>1</v>
      </c>
      <c r="G1937" t="s">
        <v>2032</v>
      </c>
      <c r="H1937" t="s">
        <v>150</v>
      </c>
      <c r="I1937" t="s">
        <v>556</v>
      </c>
      <c r="J1937" t="s">
        <v>131</v>
      </c>
      <c r="K1937" t="s">
        <v>131</v>
      </c>
      <c r="L1937">
        <v>0</v>
      </c>
    </row>
    <row r="1938" spans="1:13" x14ac:dyDescent="0.2">
      <c r="A1938">
        <f t="shared" si="30"/>
        <v>1932</v>
      </c>
      <c r="B1938">
        <v>2021</v>
      </c>
      <c r="C1938" t="s">
        <v>207</v>
      </c>
      <c r="D1938" t="s">
        <v>943</v>
      </c>
      <c r="E1938" s="65">
        <v>110</v>
      </c>
      <c r="H1938" t="s">
        <v>144</v>
      </c>
      <c r="I1938" t="s">
        <v>232</v>
      </c>
      <c r="J1938" t="s">
        <v>19</v>
      </c>
      <c r="K1938" t="s">
        <v>205</v>
      </c>
      <c r="L1938">
        <v>0</v>
      </c>
      <c r="M1938" s="28" t="s">
        <v>178</v>
      </c>
    </row>
    <row r="1939" spans="1:13" x14ac:dyDescent="0.2">
      <c r="A1939">
        <f t="shared" si="30"/>
        <v>1933</v>
      </c>
      <c r="B1939">
        <v>2021</v>
      </c>
      <c r="C1939" t="s">
        <v>207</v>
      </c>
      <c r="D1939" t="s">
        <v>783</v>
      </c>
      <c r="E1939" s="65">
        <v>130</v>
      </c>
      <c r="G1939" t="s">
        <v>2033</v>
      </c>
      <c r="H1939" t="s">
        <v>147</v>
      </c>
      <c r="J1939" t="s">
        <v>45</v>
      </c>
      <c r="K1939" t="s">
        <v>195</v>
      </c>
      <c r="L1939">
        <v>0</v>
      </c>
    </row>
    <row r="1940" spans="1:13" x14ac:dyDescent="0.2">
      <c r="A1940">
        <f t="shared" si="30"/>
        <v>1934</v>
      </c>
      <c r="B1940">
        <v>2021</v>
      </c>
      <c r="C1940" t="s">
        <v>207</v>
      </c>
      <c r="D1940" t="s">
        <v>2034</v>
      </c>
      <c r="E1940" s="65">
        <v>320</v>
      </c>
      <c r="F1940" s="33">
        <v>0.7</v>
      </c>
      <c r="H1940" t="s">
        <v>144</v>
      </c>
      <c r="I1940" t="s">
        <v>232</v>
      </c>
      <c r="J1940" t="s">
        <v>136</v>
      </c>
      <c r="K1940" t="s">
        <v>183</v>
      </c>
      <c r="L1940">
        <v>1</v>
      </c>
    </row>
    <row r="1941" spans="1:13" x14ac:dyDescent="0.2">
      <c r="A1941">
        <f t="shared" si="30"/>
        <v>1935</v>
      </c>
      <c r="B1941">
        <v>2021</v>
      </c>
      <c r="C1941" t="s">
        <v>207</v>
      </c>
      <c r="D1941" t="s">
        <v>577</v>
      </c>
      <c r="E1941" s="65">
        <v>450</v>
      </c>
      <c r="H1941" t="s">
        <v>150</v>
      </c>
      <c r="I1941" t="s">
        <v>556</v>
      </c>
      <c r="J1941" t="s">
        <v>131</v>
      </c>
      <c r="K1941" t="s">
        <v>131</v>
      </c>
      <c r="L1941">
        <v>0</v>
      </c>
    </row>
    <row r="1942" spans="1:13" x14ac:dyDescent="0.2">
      <c r="A1942">
        <f t="shared" si="30"/>
        <v>1936</v>
      </c>
      <c r="B1942">
        <v>2021</v>
      </c>
      <c r="C1942" t="s">
        <v>240</v>
      </c>
      <c r="D1942" t="s">
        <v>2035</v>
      </c>
      <c r="E1942" s="65">
        <v>200</v>
      </c>
      <c r="H1942" t="s">
        <v>147</v>
      </c>
      <c r="J1942" t="s">
        <v>131</v>
      </c>
      <c r="K1942" t="s">
        <v>131</v>
      </c>
      <c r="L1942">
        <v>0</v>
      </c>
      <c r="M1942" s="28" t="s">
        <v>178</v>
      </c>
    </row>
    <row r="1943" spans="1:13" x14ac:dyDescent="0.2">
      <c r="A1943">
        <f t="shared" si="30"/>
        <v>1937</v>
      </c>
      <c r="B1943">
        <v>2021</v>
      </c>
      <c r="C1943" t="s">
        <v>240</v>
      </c>
      <c r="D1943" t="s">
        <v>246</v>
      </c>
      <c r="E1943" s="65">
        <v>350</v>
      </c>
      <c r="G1943" t="s">
        <v>737</v>
      </c>
      <c r="H1943" t="s">
        <v>144</v>
      </c>
      <c r="I1943" t="s">
        <v>232</v>
      </c>
      <c r="J1943" t="s">
        <v>114</v>
      </c>
      <c r="K1943" t="s">
        <v>195</v>
      </c>
      <c r="L1943">
        <v>0</v>
      </c>
    </row>
    <row r="1944" spans="1:13" x14ac:dyDescent="0.2">
      <c r="A1944">
        <f t="shared" si="30"/>
        <v>1938</v>
      </c>
      <c r="B1944">
        <v>2021</v>
      </c>
      <c r="C1944" t="s">
        <v>240</v>
      </c>
      <c r="D1944" t="s">
        <v>1716</v>
      </c>
      <c r="E1944" s="65">
        <v>470</v>
      </c>
      <c r="F1944" s="33">
        <v>1</v>
      </c>
      <c r="G1944" t="s">
        <v>2036</v>
      </c>
      <c r="H1944" t="s">
        <v>149</v>
      </c>
      <c r="J1944" t="s">
        <v>46</v>
      </c>
      <c r="K1944" t="s">
        <v>219</v>
      </c>
      <c r="L1944">
        <v>1</v>
      </c>
    </row>
    <row r="1945" spans="1:13" x14ac:dyDescent="0.2">
      <c r="A1945">
        <f t="shared" si="30"/>
        <v>1939</v>
      </c>
      <c r="B1945">
        <v>2021</v>
      </c>
      <c r="C1945" t="s">
        <v>240</v>
      </c>
      <c r="D1945" t="s">
        <v>479</v>
      </c>
      <c r="E1945" s="65">
        <v>280</v>
      </c>
      <c r="F1945" s="33">
        <v>0.3</v>
      </c>
      <c r="G1945" t="s">
        <v>2037</v>
      </c>
      <c r="H1945" t="s">
        <v>148</v>
      </c>
      <c r="J1945" t="s">
        <v>124</v>
      </c>
      <c r="K1945" t="s">
        <v>183</v>
      </c>
      <c r="L1945">
        <v>1</v>
      </c>
      <c r="M1945" s="28" t="s">
        <v>178</v>
      </c>
    </row>
    <row r="1946" spans="1:13" x14ac:dyDescent="0.2">
      <c r="A1946">
        <f t="shared" si="30"/>
        <v>1940</v>
      </c>
      <c r="B1946">
        <v>2021</v>
      </c>
      <c r="C1946" t="s">
        <v>240</v>
      </c>
      <c r="D1946" t="s">
        <v>559</v>
      </c>
      <c r="E1946" s="65">
        <v>390</v>
      </c>
      <c r="F1946" s="33">
        <v>0.4</v>
      </c>
      <c r="G1946" t="s">
        <v>1812</v>
      </c>
      <c r="H1946" t="s">
        <v>149</v>
      </c>
      <c r="I1946" t="s">
        <v>236</v>
      </c>
      <c r="J1946" t="s">
        <v>34</v>
      </c>
      <c r="K1946" t="s">
        <v>219</v>
      </c>
      <c r="L1946" s="17">
        <v>1</v>
      </c>
    </row>
    <row r="1947" spans="1:13" x14ac:dyDescent="0.2">
      <c r="A1947">
        <f t="shared" si="30"/>
        <v>1941</v>
      </c>
      <c r="B1947">
        <v>2021</v>
      </c>
      <c r="C1947" t="s">
        <v>240</v>
      </c>
      <c r="D1947" t="s">
        <v>2038</v>
      </c>
      <c r="E1947" s="65">
        <v>100</v>
      </c>
      <c r="G1947" t="s">
        <v>1553</v>
      </c>
      <c r="H1947" t="s">
        <v>150</v>
      </c>
      <c r="I1947" t="s">
        <v>556</v>
      </c>
      <c r="J1947" t="s">
        <v>53</v>
      </c>
      <c r="K1947" t="s">
        <v>183</v>
      </c>
      <c r="L1947">
        <v>1</v>
      </c>
    </row>
    <row r="1948" spans="1:13" x14ac:dyDescent="0.2">
      <c r="A1948">
        <f t="shared" si="30"/>
        <v>1942</v>
      </c>
      <c r="B1948">
        <v>2021</v>
      </c>
      <c r="C1948" t="s">
        <v>240</v>
      </c>
      <c r="D1948" t="s">
        <v>1353</v>
      </c>
      <c r="E1948" s="65">
        <v>170</v>
      </c>
      <c r="F1948" s="33">
        <v>0.05</v>
      </c>
      <c r="G1948" t="s">
        <v>1112</v>
      </c>
      <c r="H1948" t="s">
        <v>152</v>
      </c>
      <c r="J1948" t="s">
        <v>45</v>
      </c>
      <c r="K1948" t="s">
        <v>195</v>
      </c>
      <c r="L1948">
        <v>0</v>
      </c>
    </row>
    <row r="1949" spans="1:13" x14ac:dyDescent="0.2">
      <c r="A1949">
        <f t="shared" si="30"/>
        <v>1943</v>
      </c>
      <c r="B1949">
        <v>2021</v>
      </c>
      <c r="C1949" t="s">
        <v>240</v>
      </c>
      <c r="D1949" t="s">
        <v>221</v>
      </c>
      <c r="E1949" s="65">
        <v>140</v>
      </c>
      <c r="F1949" s="33">
        <v>1</v>
      </c>
      <c r="G1949" t="s">
        <v>2039</v>
      </c>
      <c r="H1949" t="s">
        <v>149</v>
      </c>
      <c r="I1949" t="s">
        <v>182</v>
      </c>
      <c r="J1949" t="s">
        <v>9</v>
      </c>
      <c r="K1949" t="s">
        <v>9</v>
      </c>
      <c r="L1949">
        <v>0</v>
      </c>
    </row>
    <row r="1950" spans="1:13" x14ac:dyDescent="0.2">
      <c r="A1950">
        <f t="shared" si="30"/>
        <v>1944</v>
      </c>
      <c r="B1950">
        <v>2021</v>
      </c>
      <c r="C1950" t="s">
        <v>240</v>
      </c>
      <c r="D1950" t="s">
        <v>444</v>
      </c>
      <c r="E1950" s="65">
        <v>480</v>
      </c>
      <c r="H1950" t="s">
        <v>144</v>
      </c>
      <c r="I1950" t="s">
        <v>232</v>
      </c>
      <c r="J1950" t="s">
        <v>13</v>
      </c>
      <c r="K1950" t="s">
        <v>201</v>
      </c>
      <c r="L1950">
        <v>1</v>
      </c>
    </row>
    <row r="1951" spans="1:13" x14ac:dyDescent="0.2">
      <c r="A1951">
        <f t="shared" si="30"/>
        <v>1945</v>
      </c>
      <c r="B1951">
        <v>2021</v>
      </c>
      <c r="C1951" t="s">
        <v>240</v>
      </c>
      <c r="D1951" t="s">
        <v>2040</v>
      </c>
      <c r="E1951" s="65">
        <v>120</v>
      </c>
      <c r="H1951" t="s">
        <v>154</v>
      </c>
      <c r="I1951" t="s">
        <v>194</v>
      </c>
      <c r="J1951" t="s">
        <v>51</v>
      </c>
      <c r="K1951" t="s">
        <v>195</v>
      </c>
      <c r="L1951">
        <v>1</v>
      </c>
      <c r="M1951" s="28" t="s">
        <v>178</v>
      </c>
    </row>
    <row r="1952" spans="1:13" x14ac:dyDescent="0.2">
      <c r="A1952">
        <f t="shared" si="30"/>
        <v>1946</v>
      </c>
      <c r="B1952">
        <v>2021</v>
      </c>
      <c r="C1952" t="s">
        <v>240</v>
      </c>
      <c r="D1952" t="s">
        <v>668</v>
      </c>
      <c r="E1952" s="65">
        <v>1160</v>
      </c>
      <c r="H1952" t="s">
        <v>144</v>
      </c>
      <c r="I1952" t="s">
        <v>197</v>
      </c>
      <c r="J1952" t="s">
        <v>48</v>
      </c>
      <c r="K1952" t="s">
        <v>219</v>
      </c>
      <c r="L1952">
        <v>1</v>
      </c>
      <c r="M1952" s="28" t="s">
        <v>178</v>
      </c>
    </row>
    <row r="1953" spans="1:13" x14ac:dyDescent="0.2">
      <c r="A1953">
        <f t="shared" si="30"/>
        <v>1947</v>
      </c>
      <c r="B1953">
        <v>2021</v>
      </c>
      <c r="C1953" t="s">
        <v>240</v>
      </c>
      <c r="D1953" t="s">
        <v>2041</v>
      </c>
      <c r="E1953" s="65">
        <v>440</v>
      </c>
      <c r="F1953" s="33">
        <v>1</v>
      </c>
      <c r="H1953" t="s">
        <v>149</v>
      </c>
      <c r="I1953" t="s">
        <v>182</v>
      </c>
      <c r="J1953" t="s">
        <v>53</v>
      </c>
      <c r="K1953" t="s">
        <v>183</v>
      </c>
      <c r="L1953">
        <v>1</v>
      </c>
      <c r="M1953" s="28" t="s">
        <v>178</v>
      </c>
    </row>
    <row r="1954" spans="1:13" x14ac:dyDescent="0.2">
      <c r="A1954">
        <f t="shared" si="30"/>
        <v>1948</v>
      </c>
      <c r="B1954">
        <v>2021</v>
      </c>
      <c r="C1954" t="s">
        <v>212</v>
      </c>
      <c r="D1954" t="s">
        <v>454</v>
      </c>
      <c r="E1954" s="65">
        <v>100</v>
      </c>
      <c r="G1954" t="s">
        <v>2042</v>
      </c>
      <c r="H1954" t="s">
        <v>146</v>
      </c>
      <c r="I1954" t="s">
        <v>275</v>
      </c>
      <c r="J1954" t="s">
        <v>20</v>
      </c>
      <c r="K1954" t="s">
        <v>195</v>
      </c>
      <c r="L1954">
        <v>0</v>
      </c>
    </row>
    <row r="1955" spans="1:13" x14ac:dyDescent="0.2">
      <c r="A1955">
        <f t="shared" si="30"/>
        <v>1949</v>
      </c>
      <c r="B1955">
        <v>2021</v>
      </c>
      <c r="C1955" t="s">
        <v>212</v>
      </c>
      <c r="D1955" t="s">
        <v>1011</v>
      </c>
      <c r="E1955" s="65">
        <v>420</v>
      </c>
      <c r="F1955" s="33">
        <v>1</v>
      </c>
      <c r="G1955" t="s">
        <v>2043</v>
      </c>
      <c r="H1955" t="s">
        <v>149</v>
      </c>
      <c r="J1955" t="s">
        <v>139</v>
      </c>
      <c r="K1955" t="s">
        <v>219</v>
      </c>
      <c r="L1955">
        <v>1</v>
      </c>
    </row>
    <row r="1956" spans="1:13" x14ac:dyDescent="0.2">
      <c r="A1956">
        <f t="shared" si="30"/>
        <v>1950</v>
      </c>
      <c r="B1956">
        <v>2021</v>
      </c>
      <c r="C1956" t="s">
        <v>212</v>
      </c>
      <c r="D1956" t="s">
        <v>1746</v>
      </c>
      <c r="E1956" s="65">
        <v>300</v>
      </c>
      <c r="F1956" s="33">
        <v>1</v>
      </c>
      <c r="G1956" t="s">
        <v>2044</v>
      </c>
      <c r="H1956" t="s">
        <v>147</v>
      </c>
      <c r="J1956" t="s">
        <v>57</v>
      </c>
      <c r="K1956" t="s">
        <v>195</v>
      </c>
      <c r="L1956" s="17">
        <v>0</v>
      </c>
    </row>
    <row r="1957" spans="1:13" x14ac:dyDescent="0.2">
      <c r="A1957">
        <f t="shared" si="30"/>
        <v>1951</v>
      </c>
      <c r="B1957">
        <v>2021</v>
      </c>
      <c r="C1957" t="s">
        <v>212</v>
      </c>
      <c r="D1957" t="s">
        <v>1843</v>
      </c>
      <c r="E1957" s="65">
        <v>250</v>
      </c>
      <c r="F1957" s="33">
        <v>0.7</v>
      </c>
      <c r="G1957" t="s">
        <v>2045</v>
      </c>
      <c r="H1957" t="s">
        <v>149</v>
      </c>
      <c r="J1957" t="s">
        <v>53</v>
      </c>
      <c r="K1957" t="s">
        <v>183</v>
      </c>
      <c r="L1957">
        <v>1</v>
      </c>
      <c r="M1957" s="28" t="s">
        <v>178</v>
      </c>
    </row>
    <row r="1958" spans="1:13" x14ac:dyDescent="0.2">
      <c r="A1958">
        <f t="shared" si="30"/>
        <v>1952</v>
      </c>
      <c r="B1958">
        <v>2021</v>
      </c>
      <c r="C1958" t="s">
        <v>212</v>
      </c>
      <c r="D1958" t="s">
        <v>1772</v>
      </c>
      <c r="E1958" s="65">
        <v>1770</v>
      </c>
      <c r="H1958" t="s">
        <v>154</v>
      </c>
      <c r="I1958" t="s">
        <v>194</v>
      </c>
      <c r="J1958" t="s">
        <v>45</v>
      </c>
      <c r="K1958" t="s">
        <v>195</v>
      </c>
      <c r="L1958">
        <v>0</v>
      </c>
      <c r="M1958" s="28" t="s">
        <v>178</v>
      </c>
    </row>
    <row r="1959" spans="1:13" x14ac:dyDescent="0.2">
      <c r="A1959">
        <f t="shared" si="30"/>
        <v>1953</v>
      </c>
      <c r="B1959">
        <v>2021</v>
      </c>
      <c r="C1959" t="s">
        <v>212</v>
      </c>
      <c r="D1959" t="s">
        <v>454</v>
      </c>
      <c r="E1959" s="65">
        <v>1150</v>
      </c>
      <c r="F1959" s="33">
        <v>0.91</v>
      </c>
      <c r="G1959" t="s">
        <v>2046</v>
      </c>
      <c r="H1959" t="s">
        <v>145</v>
      </c>
      <c r="J1959" t="s">
        <v>20</v>
      </c>
      <c r="K1959" t="s">
        <v>195</v>
      </c>
      <c r="L1959" s="17">
        <v>0</v>
      </c>
    </row>
    <row r="1960" spans="1:13" x14ac:dyDescent="0.2">
      <c r="A1960">
        <f t="shared" si="30"/>
        <v>1954</v>
      </c>
      <c r="B1960">
        <v>2021</v>
      </c>
      <c r="C1960" t="s">
        <v>212</v>
      </c>
      <c r="D1960" t="s">
        <v>2047</v>
      </c>
      <c r="E1960" s="65">
        <v>540</v>
      </c>
      <c r="F1960" s="33">
        <v>1</v>
      </c>
      <c r="H1960" t="s">
        <v>152</v>
      </c>
      <c r="I1960" t="s">
        <v>257</v>
      </c>
      <c r="J1960" t="s">
        <v>56</v>
      </c>
      <c r="K1960" t="s">
        <v>195</v>
      </c>
      <c r="L1960" s="17">
        <v>0</v>
      </c>
      <c r="M1960" s="28" t="s">
        <v>178</v>
      </c>
    </row>
    <row r="1961" spans="1:13" x14ac:dyDescent="0.2">
      <c r="A1961">
        <f t="shared" si="30"/>
        <v>1955</v>
      </c>
      <c r="B1961">
        <v>2021</v>
      </c>
      <c r="C1961" t="s">
        <v>212</v>
      </c>
      <c r="D1961" t="s">
        <v>1843</v>
      </c>
      <c r="E1961" s="65">
        <v>130</v>
      </c>
      <c r="H1961" t="s">
        <v>149</v>
      </c>
      <c r="J1961" t="s">
        <v>139</v>
      </c>
      <c r="K1961" t="s">
        <v>219</v>
      </c>
      <c r="L1961">
        <v>1</v>
      </c>
      <c r="M1961" s="28" t="s">
        <v>178</v>
      </c>
    </row>
    <row r="1962" spans="1:13" x14ac:dyDescent="0.2">
      <c r="A1962">
        <f t="shared" si="30"/>
        <v>1956</v>
      </c>
      <c r="B1962">
        <v>2021</v>
      </c>
      <c r="C1962" t="s">
        <v>212</v>
      </c>
      <c r="D1962" t="s">
        <v>875</v>
      </c>
      <c r="E1962" s="65">
        <v>350</v>
      </c>
      <c r="F1962" s="33">
        <v>1</v>
      </c>
      <c r="H1962" t="s">
        <v>151</v>
      </c>
      <c r="I1962" t="s">
        <v>279</v>
      </c>
      <c r="J1962" t="s">
        <v>134</v>
      </c>
      <c r="K1962" t="s">
        <v>201</v>
      </c>
      <c r="L1962">
        <v>1</v>
      </c>
      <c r="M1962" s="28" t="s">
        <v>178</v>
      </c>
    </row>
    <row r="1963" spans="1:13" x14ac:dyDescent="0.2">
      <c r="A1963">
        <f t="shared" si="30"/>
        <v>1957</v>
      </c>
      <c r="B1963">
        <v>2021</v>
      </c>
      <c r="C1963" t="s">
        <v>212</v>
      </c>
      <c r="D1963" t="s">
        <v>185</v>
      </c>
      <c r="E1963" s="65">
        <v>1940</v>
      </c>
      <c r="F1963" s="33">
        <v>0.05</v>
      </c>
      <c r="G1963" t="s">
        <v>830</v>
      </c>
      <c r="H1963" t="s">
        <v>144</v>
      </c>
      <c r="J1963" t="s">
        <v>19</v>
      </c>
      <c r="K1963" t="s">
        <v>205</v>
      </c>
      <c r="L1963">
        <v>0</v>
      </c>
    </row>
    <row r="1964" spans="1:13" ht="14.25" customHeight="1" x14ac:dyDescent="0.2">
      <c r="A1964">
        <f t="shared" si="30"/>
        <v>1958</v>
      </c>
      <c r="B1964">
        <v>2021</v>
      </c>
      <c r="C1964" t="s">
        <v>212</v>
      </c>
      <c r="D1964" t="s">
        <v>739</v>
      </c>
      <c r="E1964" s="65">
        <v>260</v>
      </c>
      <c r="H1964" t="s">
        <v>151</v>
      </c>
      <c r="I1964" t="s">
        <v>279</v>
      </c>
      <c r="J1964" t="s">
        <v>134</v>
      </c>
      <c r="K1964" t="s">
        <v>201</v>
      </c>
      <c r="L1964">
        <v>1</v>
      </c>
      <c r="M1964" s="28" t="s">
        <v>178</v>
      </c>
    </row>
    <row r="1965" spans="1:13" x14ac:dyDescent="0.2">
      <c r="A1965">
        <f t="shared" si="30"/>
        <v>1959</v>
      </c>
      <c r="B1965">
        <v>2021</v>
      </c>
      <c r="C1965" t="s">
        <v>212</v>
      </c>
      <c r="D1965" t="s">
        <v>203</v>
      </c>
      <c r="E1965" s="65">
        <v>200</v>
      </c>
      <c r="H1965" t="s">
        <v>144</v>
      </c>
      <c r="I1965" t="s">
        <v>187</v>
      </c>
      <c r="J1965" t="s">
        <v>37</v>
      </c>
      <c r="K1965" t="s">
        <v>205</v>
      </c>
      <c r="L1965">
        <v>1</v>
      </c>
    </row>
    <row r="1966" spans="1:13" x14ac:dyDescent="0.2">
      <c r="A1966">
        <f t="shared" si="30"/>
        <v>1960</v>
      </c>
      <c r="B1966">
        <v>2021</v>
      </c>
      <c r="C1966" t="s">
        <v>212</v>
      </c>
      <c r="D1966" t="s">
        <v>577</v>
      </c>
      <c r="E1966" s="65">
        <v>180</v>
      </c>
      <c r="H1966" t="s">
        <v>150</v>
      </c>
      <c r="I1966" t="s">
        <v>556</v>
      </c>
      <c r="J1966" t="s">
        <v>131</v>
      </c>
      <c r="K1966" t="s">
        <v>131</v>
      </c>
      <c r="L1966">
        <v>0</v>
      </c>
    </row>
    <row r="1967" spans="1:13" x14ac:dyDescent="0.2">
      <c r="A1967">
        <f t="shared" si="30"/>
        <v>1961</v>
      </c>
      <c r="B1967">
        <v>2021</v>
      </c>
      <c r="C1967" t="s">
        <v>212</v>
      </c>
      <c r="D1967" t="s">
        <v>2048</v>
      </c>
      <c r="E1967" s="65">
        <v>410</v>
      </c>
      <c r="F1967" s="33">
        <v>0.8</v>
      </c>
      <c r="G1967" t="s">
        <v>2049</v>
      </c>
      <c r="H1967" t="s">
        <v>152</v>
      </c>
      <c r="J1967" t="s">
        <v>20</v>
      </c>
      <c r="K1967" t="s">
        <v>195</v>
      </c>
      <c r="L1967">
        <v>0</v>
      </c>
    </row>
    <row r="1968" spans="1:13" x14ac:dyDescent="0.2">
      <c r="A1968">
        <f t="shared" si="30"/>
        <v>1962</v>
      </c>
      <c r="B1968">
        <v>2022</v>
      </c>
      <c r="C1968" t="s">
        <v>172</v>
      </c>
      <c r="D1968" t="s">
        <v>479</v>
      </c>
      <c r="E1968" s="65">
        <v>240</v>
      </c>
      <c r="F1968" s="33">
        <v>0.63</v>
      </c>
      <c r="H1968" t="s">
        <v>154</v>
      </c>
      <c r="I1968" t="s">
        <v>194</v>
      </c>
      <c r="J1968" t="s">
        <v>13</v>
      </c>
      <c r="K1968" t="s">
        <v>201</v>
      </c>
      <c r="L1968">
        <v>1</v>
      </c>
      <c r="M1968" s="28" t="s">
        <v>178</v>
      </c>
    </row>
    <row r="1969" spans="1:13" x14ac:dyDescent="0.2">
      <c r="A1969">
        <f t="shared" si="30"/>
        <v>1963</v>
      </c>
      <c r="B1969">
        <v>2022</v>
      </c>
      <c r="C1969" t="s">
        <v>172</v>
      </c>
      <c r="D1969" t="s">
        <v>1173</v>
      </c>
      <c r="E1969" s="65">
        <v>250</v>
      </c>
      <c r="F1969" s="33">
        <v>1</v>
      </c>
      <c r="G1969" t="s">
        <v>2050</v>
      </c>
      <c r="H1969" t="s">
        <v>151</v>
      </c>
      <c r="I1969" t="s">
        <v>224</v>
      </c>
      <c r="J1969" t="s">
        <v>131</v>
      </c>
      <c r="K1969" t="s">
        <v>131</v>
      </c>
      <c r="L1969">
        <v>0</v>
      </c>
    </row>
    <row r="1970" spans="1:13" x14ac:dyDescent="0.2">
      <c r="A1970">
        <f t="shared" si="30"/>
        <v>1964</v>
      </c>
      <c r="B1970">
        <v>2022</v>
      </c>
      <c r="C1970" t="s">
        <v>172</v>
      </c>
      <c r="D1970" t="s">
        <v>2051</v>
      </c>
      <c r="E1970" s="65">
        <v>270</v>
      </c>
      <c r="F1970" s="33">
        <v>0.7</v>
      </c>
      <c r="G1970" t="s">
        <v>2052</v>
      </c>
      <c r="H1970" t="s">
        <v>149</v>
      </c>
      <c r="J1970" t="s">
        <v>53</v>
      </c>
      <c r="K1970" t="s">
        <v>183</v>
      </c>
      <c r="L1970">
        <v>1</v>
      </c>
      <c r="M1970" s="28" t="s">
        <v>178</v>
      </c>
    </row>
    <row r="1971" spans="1:13" x14ac:dyDescent="0.2">
      <c r="A1971">
        <f t="shared" si="30"/>
        <v>1965</v>
      </c>
      <c r="B1971">
        <v>2022</v>
      </c>
      <c r="C1971" t="s">
        <v>172</v>
      </c>
      <c r="D1971" t="s">
        <v>1180</v>
      </c>
      <c r="E1971" s="65">
        <v>120</v>
      </c>
      <c r="H1971" t="s">
        <v>144</v>
      </c>
      <c r="I1971" t="s">
        <v>232</v>
      </c>
      <c r="J1971" t="s">
        <v>13</v>
      </c>
      <c r="K1971" t="s">
        <v>201</v>
      </c>
      <c r="L1971">
        <v>1</v>
      </c>
      <c r="M1971" s="28" t="s">
        <v>178</v>
      </c>
    </row>
    <row r="1972" spans="1:13" x14ac:dyDescent="0.2">
      <c r="A1972">
        <f t="shared" si="30"/>
        <v>1966</v>
      </c>
      <c r="B1972">
        <v>2022</v>
      </c>
      <c r="C1972" t="s">
        <v>172</v>
      </c>
      <c r="D1972" t="s">
        <v>600</v>
      </c>
      <c r="E1972" s="65">
        <v>610</v>
      </c>
      <c r="H1972" t="s">
        <v>144</v>
      </c>
      <c r="I1972" t="s">
        <v>187</v>
      </c>
      <c r="J1972" t="s">
        <v>55</v>
      </c>
      <c r="K1972" t="s">
        <v>214</v>
      </c>
      <c r="L1972">
        <v>1</v>
      </c>
    </row>
    <row r="1973" spans="1:13" x14ac:dyDescent="0.2">
      <c r="A1973">
        <f t="shared" si="30"/>
        <v>1967</v>
      </c>
      <c r="B1973">
        <v>2022</v>
      </c>
      <c r="C1973" t="s">
        <v>172</v>
      </c>
      <c r="D1973" t="s">
        <v>2053</v>
      </c>
      <c r="E1973" s="65">
        <v>210</v>
      </c>
      <c r="F1973" s="33">
        <v>0.69</v>
      </c>
      <c r="H1973" t="s">
        <v>149</v>
      </c>
      <c r="I1973" t="s">
        <v>182</v>
      </c>
      <c r="J1973" t="s">
        <v>72</v>
      </c>
      <c r="K1973" t="s">
        <v>183</v>
      </c>
      <c r="L1973">
        <v>1</v>
      </c>
      <c r="M1973" s="28" t="s">
        <v>178</v>
      </c>
    </row>
    <row r="1974" spans="1:13" x14ac:dyDescent="0.2">
      <c r="A1974">
        <f t="shared" si="30"/>
        <v>1968</v>
      </c>
      <c r="B1974">
        <v>2022</v>
      </c>
      <c r="C1974" t="s">
        <v>172</v>
      </c>
      <c r="D1974" t="s">
        <v>1750</v>
      </c>
      <c r="E1974" s="65">
        <v>300</v>
      </c>
      <c r="H1974" t="s">
        <v>154</v>
      </c>
      <c r="I1974" t="s">
        <v>194</v>
      </c>
      <c r="J1974" t="s">
        <v>23</v>
      </c>
      <c r="K1974" t="s">
        <v>183</v>
      </c>
      <c r="L1974">
        <v>1</v>
      </c>
      <c r="M1974" s="28" t="s">
        <v>178</v>
      </c>
    </row>
    <row r="1975" spans="1:13" x14ac:dyDescent="0.2">
      <c r="A1975">
        <f t="shared" si="30"/>
        <v>1969</v>
      </c>
      <c r="B1975">
        <v>2022</v>
      </c>
      <c r="C1975" t="s">
        <v>172</v>
      </c>
      <c r="D1975" t="s">
        <v>1607</v>
      </c>
      <c r="E1975" s="65">
        <v>100</v>
      </c>
      <c r="G1975" t="s">
        <v>2054</v>
      </c>
      <c r="H1975" t="s">
        <v>150</v>
      </c>
      <c r="I1975" t="s">
        <v>744</v>
      </c>
      <c r="J1975" t="s">
        <v>131</v>
      </c>
      <c r="K1975" t="s">
        <v>131</v>
      </c>
      <c r="L1975">
        <v>0</v>
      </c>
    </row>
    <row r="1976" spans="1:13" x14ac:dyDescent="0.2">
      <c r="A1976">
        <f t="shared" si="30"/>
        <v>1970</v>
      </c>
      <c r="B1976">
        <v>2022</v>
      </c>
      <c r="C1976" t="s">
        <v>172</v>
      </c>
      <c r="D1976" t="s">
        <v>1353</v>
      </c>
      <c r="E1976" s="65">
        <v>140</v>
      </c>
      <c r="H1976" t="s">
        <v>150</v>
      </c>
      <c r="I1976" t="s">
        <v>556</v>
      </c>
      <c r="J1976" t="s">
        <v>124</v>
      </c>
      <c r="K1976" t="s">
        <v>183</v>
      </c>
      <c r="L1976">
        <v>1</v>
      </c>
      <c r="M1976" s="28" t="s">
        <v>178</v>
      </c>
    </row>
    <row r="1977" spans="1:13" x14ac:dyDescent="0.2">
      <c r="A1977">
        <f t="shared" si="30"/>
        <v>1971</v>
      </c>
      <c r="B1977">
        <v>2022</v>
      </c>
      <c r="C1977" t="s">
        <v>258</v>
      </c>
      <c r="D1977" t="s">
        <v>221</v>
      </c>
      <c r="E1977" s="65">
        <v>200</v>
      </c>
      <c r="H1977" t="s">
        <v>154</v>
      </c>
      <c r="I1977" t="s">
        <v>194</v>
      </c>
      <c r="J1977" t="s">
        <v>80</v>
      </c>
      <c r="K1977" t="s">
        <v>214</v>
      </c>
      <c r="L1977">
        <v>1</v>
      </c>
      <c r="M1977" s="28" t="s">
        <v>178</v>
      </c>
    </row>
    <row r="1978" spans="1:13" x14ac:dyDescent="0.2">
      <c r="A1978">
        <f t="shared" si="30"/>
        <v>1972</v>
      </c>
      <c r="B1978">
        <v>2022</v>
      </c>
      <c r="C1978" t="s">
        <v>258</v>
      </c>
      <c r="D1978" t="s">
        <v>244</v>
      </c>
      <c r="E1978" s="65">
        <v>180</v>
      </c>
      <c r="F1978" s="33">
        <v>0.74</v>
      </c>
      <c r="G1978" t="s">
        <v>2055</v>
      </c>
      <c r="H1978" t="s">
        <v>149</v>
      </c>
      <c r="J1978" t="s">
        <v>139</v>
      </c>
      <c r="K1978" t="s">
        <v>219</v>
      </c>
      <c r="L1978">
        <v>1</v>
      </c>
    </row>
    <row r="1979" spans="1:13" x14ac:dyDescent="0.2">
      <c r="A1979">
        <f t="shared" si="30"/>
        <v>1973</v>
      </c>
      <c r="B1979">
        <v>2022</v>
      </c>
      <c r="C1979" t="s">
        <v>258</v>
      </c>
      <c r="D1979" t="s">
        <v>559</v>
      </c>
      <c r="E1979" s="65">
        <v>380</v>
      </c>
      <c r="H1979" t="s">
        <v>149</v>
      </c>
      <c r="J1979" t="s">
        <v>8</v>
      </c>
      <c r="K1979" t="s">
        <v>205</v>
      </c>
      <c r="L1979" s="17">
        <v>1</v>
      </c>
      <c r="M1979" s="28" t="s">
        <v>178</v>
      </c>
    </row>
    <row r="1980" spans="1:13" x14ac:dyDescent="0.2">
      <c r="A1980">
        <f t="shared" si="30"/>
        <v>1974</v>
      </c>
      <c r="B1980">
        <v>2022</v>
      </c>
      <c r="C1980" t="s">
        <v>258</v>
      </c>
      <c r="D1980" t="s">
        <v>1685</v>
      </c>
      <c r="E1980" s="65">
        <v>590</v>
      </c>
      <c r="F1980" s="33">
        <v>0.35</v>
      </c>
      <c r="G1980" t="s">
        <v>2056</v>
      </c>
      <c r="H1980" t="s">
        <v>147</v>
      </c>
      <c r="J1980" t="s">
        <v>45</v>
      </c>
      <c r="K1980" t="s">
        <v>195</v>
      </c>
      <c r="L1980">
        <v>0</v>
      </c>
    </row>
    <row r="1981" spans="1:13" x14ac:dyDescent="0.2">
      <c r="A1981">
        <f t="shared" si="30"/>
        <v>1975</v>
      </c>
      <c r="B1981">
        <v>2022</v>
      </c>
      <c r="C1981" t="s">
        <v>258</v>
      </c>
      <c r="D1981" t="s">
        <v>1029</v>
      </c>
      <c r="E1981" s="65">
        <v>210</v>
      </c>
      <c r="G1981" t="s">
        <v>2057</v>
      </c>
      <c r="H1981" t="s">
        <v>144</v>
      </c>
      <c r="I1981" t="s">
        <v>232</v>
      </c>
      <c r="J1981" t="s">
        <v>105</v>
      </c>
      <c r="K1981" t="s">
        <v>214</v>
      </c>
      <c r="L1981">
        <v>1</v>
      </c>
      <c r="M1981" s="28" t="s">
        <v>178</v>
      </c>
    </row>
    <row r="1982" spans="1:13" x14ac:dyDescent="0.2">
      <c r="A1982">
        <f t="shared" si="30"/>
        <v>1976</v>
      </c>
      <c r="B1982">
        <v>2022</v>
      </c>
      <c r="C1982" t="s">
        <v>258</v>
      </c>
      <c r="D1982" t="s">
        <v>454</v>
      </c>
      <c r="E1982" s="65">
        <v>110</v>
      </c>
      <c r="G1982" t="s">
        <v>2058</v>
      </c>
      <c r="H1982" t="s">
        <v>146</v>
      </c>
      <c r="J1982" t="s">
        <v>131</v>
      </c>
      <c r="K1982" t="s">
        <v>131</v>
      </c>
      <c r="L1982">
        <v>0</v>
      </c>
    </row>
    <row r="1983" spans="1:13" x14ac:dyDescent="0.2">
      <c r="A1983">
        <f t="shared" si="30"/>
        <v>1977</v>
      </c>
      <c r="B1983">
        <v>2022</v>
      </c>
      <c r="C1983" t="s">
        <v>258</v>
      </c>
      <c r="D1983" t="s">
        <v>2059</v>
      </c>
      <c r="E1983" s="65">
        <v>4650</v>
      </c>
      <c r="G1983" t="s">
        <v>2002</v>
      </c>
      <c r="H1983" t="s">
        <v>144</v>
      </c>
      <c r="I1983" t="s">
        <v>299</v>
      </c>
      <c r="J1983" t="s">
        <v>105</v>
      </c>
      <c r="K1983" t="s">
        <v>214</v>
      </c>
      <c r="L1983">
        <v>1</v>
      </c>
    </row>
    <row r="1984" spans="1:13" x14ac:dyDescent="0.2">
      <c r="A1984">
        <f t="shared" si="30"/>
        <v>1978</v>
      </c>
      <c r="B1984">
        <v>2022</v>
      </c>
      <c r="C1984" t="s">
        <v>258</v>
      </c>
      <c r="D1984" t="s">
        <v>1180</v>
      </c>
      <c r="E1984" s="65">
        <v>400</v>
      </c>
      <c r="F1984" s="33">
        <v>0.25</v>
      </c>
      <c r="G1984" t="s">
        <v>1247</v>
      </c>
      <c r="H1984" t="s">
        <v>144</v>
      </c>
      <c r="I1984" t="s">
        <v>232</v>
      </c>
      <c r="J1984" t="s">
        <v>105</v>
      </c>
      <c r="K1984" t="s">
        <v>214</v>
      </c>
      <c r="L1984">
        <v>1</v>
      </c>
      <c r="M1984" s="28" t="s">
        <v>178</v>
      </c>
    </row>
    <row r="1985" spans="1:13" x14ac:dyDescent="0.2">
      <c r="A1985">
        <f t="shared" si="30"/>
        <v>1979</v>
      </c>
      <c r="B1985">
        <v>2022</v>
      </c>
      <c r="C1985" t="s">
        <v>258</v>
      </c>
      <c r="D1985" t="s">
        <v>175</v>
      </c>
      <c r="E1985" s="65">
        <v>130</v>
      </c>
      <c r="H1985" t="s">
        <v>149</v>
      </c>
      <c r="J1985" t="s">
        <v>93</v>
      </c>
      <c r="K1985" t="s">
        <v>201</v>
      </c>
      <c r="L1985">
        <v>1</v>
      </c>
    </row>
    <row r="1986" spans="1:13" x14ac:dyDescent="0.2">
      <c r="A1986">
        <f t="shared" si="30"/>
        <v>1980</v>
      </c>
      <c r="B1986">
        <v>2022</v>
      </c>
      <c r="C1986" t="s">
        <v>258</v>
      </c>
      <c r="D1986" t="s">
        <v>185</v>
      </c>
      <c r="E1986" s="65">
        <v>220</v>
      </c>
      <c r="F1986" s="33">
        <v>0.08</v>
      </c>
      <c r="G1986" t="s">
        <v>325</v>
      </c>
      <c r="H1986" t="s">
        <v>144</v>
      </c>
      <c r="I1986" t="s">
        <v>187</v>
      </c>
      <c r="J1986" t="s">
        <v>123</v>
      </c>
      <c r="K1986" t="s">
        <v>219</v>
      </c>
      <c r="L1986">
        <v>1</v>
      </c>
      <c r="M1986" s="28" t="s">
        <v>178</v>
      </c>
    </row>
    <row r="1987" spans="1:13" x14ac:dyDescent="0.2">
      <c r="A1987">
        <f t="shared" si="30"/>
        <v>1981</v>
      </c>
      <c r="B1987">
        <v>2022</v>
      </c>
      <c r="C1987" t="s">
        <v>258</v>
      </c>
      <c r="D1987" t="s">
        <v>1061</v>
      </c>
      <c r="E1987" s="65">
        <v>270</v>
      </c>
      <c r="H1987" t="s">
        <v>150</v>
      </c>
      <c r="I1987" t="s">
        <v>556</v>
      </c>
      <c r="J1987" t="s">
        <v>136</v>
      </c>
      <c r="K1987" t="s">
        <v>183</v>
      </c>
      <c r="L1987">
        <v>1</v>
      </c>
      <c r="M1987" s="28" t="s">
        <v>178</v>
      </c>
    </row>
    <row r="1988" spans="1:13" x14ac:dyDescent="0.2">
      <c r="A1988">
        <f t="shared" si="30"/>
        <v>1982</v>
      </c>
      <c r="B1988">
        <v>2022</v>
      </c>
      <c r="C1988" t="s">
        <v>179</v>
      </c>
      <c r="D1988" t="s">
        <v>1180</v>
      </c>
      <c r="E1988" s="65">
        <v>300</v>
      </c>
      <c r="H1988" t="s">
        <v>144</v>
      </c>
      <c r="I1988" t="s">
        <v>232</v>
      </c>
      <c r="J1988" t="s">
        <v>27</v>
      </c>
      <c r="K1988" t="s">
        <v>205</v>
      </c>
      <c r="L1988">
        <v>1</v>
      </c>
      <c r="M1988" s="28" t="s">
        <v>178</v>
      </c>
    </row>
    <row r="1989" spans="1:13" x14ac:dyDescent="0.2">
      <c r="A1989">
        <f t="shared" si="30"/>
        <v>1983</v>
      </c>
      <c r="B1989">
        <v>2022</v>
      </c>
      <c r="C1989" t="s">
        <v>179</v>
      </c>
      <c r="D1989" t="s">
        <v>1180</v>
      </c>
      <c r="E1989" s="65">
        <v>180</v>
      </c>
      <c r="F1989" s="33">
        <v>0.4</v>
      </c>
      <c r="G1989" t="s">
        <v>1247</v>
      </c>
      <c r="H1989" t="s">
        <v>144</v>
      </c>
      <c r="I1989" t="s">
        <v>232</v>
      </c>
      <c r="J1989" t="s">
        <v>105</v>
      </c>
      <c r="K1989" t="s">
        <v>214</v>
      </c>
      <c r="L1989">
        <v>1</v>
      </c>
      <c r="M1989" s="28" t="s">
        <v>178</v>
      </c>
    </row>
    <row r="1990" spans="1:13" x14ac:dyDescent="0.2">
      <c r="A1990">
        <f t="shared" si="30"/>
        <v>1984</v>
      </c>
      <c r="B1990">
        <v>2022</v>
      </c>
      <c r="C1990" t="s">
        <v>179</v>
      </c>
      <c r="D1990" t="s">
        <v>2060</v>
      </c>
      <c r="E1990" s="65">
        <v>470</v>
      </c>
      <c r="G1990" t="s">
        <v>1637</v>
      </c>
      <c r="H1990" t="s">
        <v>150</v>
      </c>
      <c r="I1990" t="s">
        <v>292</v>
      </c>
      <c r="J1990" t="s">
        <v>42</v>
      </c>
      <c r="K1990" t="s">
        <v>195</v>
      </c>
      <c r="L1990">
        <v>0</v>
      </c>
    </row>
    <row r="1991" spans="1:13" x14ac:dyDescent="0.2">
      <c r="A1991">
        <f t="shared" ref="A1991:A2054" si="31">ROW()-6</f>
        <v>1985</v>
      </c>
      <c r="B1991">
        <v>2022</v>
      </c>
      <c r="C1991" t="s">
        <v>179</v>
      </c>
      <c r="D1991" t="s">
        <v>175</v>
      </c>
      <c r="E1991" s="65">
        <v>550</v>
      </c>
      <c r="H1991" t="s">
        <v>149</v>
      </c>
      <c r="J1991" t="s">
        <v>34</v>
      </c>
      <c r="K1991" t="s">
        <v>219</v>
      </c>
      <c r="L1991" s="17">
        <v>1</v>
      </c>
    </row>
    <row r="1992" spans="1:13" x14ac:dyDescent="0.2">
      <c r="A1992">
        <f t="shared" si="31"/>
        <v>1986</v>
      </c>
      <c r="B1992">
        <v>2022</v>
      </c>
      <c r="C1992" t="s">
        <v>179</v>
      </c>
      <c r="D1992" t="s">
        <v>2061</v>
      </c>
      <c r="E1992" s="65">
        <v>230</v>
      </c>
      <c r="F1992" s="33">
        <v>0.65</v>
      </c>
      <c r="G1992" t="s">
        <v>2062</v>
      </c>
      <c r="H1992" t="s">
        <v>149</v>
      </c>
      <c r="J1992" t="s">
        <v>53</v>
      </c>
      <c r="K1992" t="s">
        <v>183</v>
      </c>
      <c r="L1992">
        <v>1</v>
      </c>
      <c r="M1992" s="28" t="s">
        <v>178</v>
      </c>
    </row>
    <row r="1993" spans="1:13" x14ac:dyDescent="0.2">
      <c r="A1993">
        <f t="shared" si="31"/>
        <v>1987</v>
      </c>
      <c r="B1993">
        <v>2022</v>
      </c>
      <c r="C1993" t="s">
        <v>179</v>
      </c>
      <c r="D1993" t="s">
        <v>1655</v>
      </c>
      <c r="E1993" s="65">
        <v>330</v>
      </c>
      <c r="H1993" t="s">
        <v>154</v>
      </c>
      <c r="I1993" t="s">
        <v>250</v>
      </c>
      <c r="J1993" t="s">
        <v>23</v>
      </c>
      <c r="K1993" t="s">
        <v>183</v>
      </c>
      <c r="L1993" s="17">
        <v>1</v>
      </c>
    </row>
    <row r="1994" spans="1:13" x14ac:dyDescent="0.2">
      <c r="A1994">
        <f t="shared" si="31"/>
        <v>1988</v>
      </c>
      <c r="B1994">
        <v>2022</v>
      </c>
      <c r="C1994" t="s">
        <v>179</v>
      </c>
      <c r="D1994" t="s">
        <v>2063</v>
      </c>
      <c r="E1994" s="65">
        <v>270</v>
      </c>
      <c r="H1994" t="s">
        <v>150</v>
      </c>
      <c r="I1994" t="s">
        <v>217</v>
      </c>
      <c r="J1994" t="s">
        <v>77</v>
      </c>
      <c r="K1994" t="s">
        <v>177</v>
      </c>
      <c r="L1994" s="17">
        <v>0</v>
      </c>
      <c r="M1994" s="28" t="s">
        <v>178</v>
      </c>
    </row>
    <row r="1995" spans="1:13" x14ac:dyDescent="0.2">
      <c r="A1995">
        <f t="shared" si="31"/>
        <v>1989</v>
      </c>
      <c r="B1995">
        <v>2022</v>
      </c>
      <c r="C1995" t="s">
        <v>179</v>
      </c>
      <c r="D1995" t="s">
        <v>1180</v>
      </c>
      <c r="E1995" s="65">
        <v>220</v>
      </c>
      <c r="H1995" t="s">
        <v>144</v>
      </c>
      <c r="I1995" t="s">
        <v>197</v>
      </c>
      <c r="J1995" t="s">
        <v>19</v>
      </c>
      <c r="K1995" t="s">
        <v>205</v>
      </c>
      <c r="L1995" s="17">
        <v>0</v>
      </c>
    </row>
    <row r="1996" spans="1:13" x14ac:dyDescent="0.2">
      <c r="A1996">
        <f t="shared" si="31"/>
        <v>1990</v>
      </c>
      <c r="B1996">
        <v>2022</v>
      </c>
      <c r="C1996" t="s">
        <v>184</v>
      </c>
      <c r="D1996" t="s">
        <v>1465</v>
      </c>
      <c r="E1996" s="65">
        <v>110</v>
      </c>
      <c r="H1996" t="s">
        <v>151</v>
      </c>
      <c r="I1996" t="s">
        <v>224</v>
      </c>
      <c r="J1996" t="s">
        <v>20</v>
      </c>
      <c r="K1996" t="s">
        <v>195</v>
      </c>
      <c r="L1996">
        <v>0</v>
      </c>
    </row>
    <row r="1997" spans="1:13" x14ac:dyDescent="0.2">
      <c r="A1997">
        <f t="shared" si="31"/>
        <v>1991</v>
      </c>
      <c r="B1997">
        <v>2022</v>
      </c>
      <c r="C1997" t="s">
        <v>184</v>
      </c>
      <c r="D1997" t="s">
        <v>474</v>
      </c>
      <c r="E1997" s="65">
        <v>100</v>
      </c>
      <c r="F1997" s="33">
        <v>0.5</v>
      </c>
      <c r="H1997" t="s">
        <v>144</v>
      </c>
      <c r="I1997" t="s">
        <v>232</v>
      </c>
      <c r="J1997" t="s">
        <v>118</v>
      </c>
      <c r="K1997" t="s">
        <v>195</v>
      </c>
      <c r="L1997">
        <v>0</v>
      </c>
    </row>
    <row r="1998" spans="1:13" x14ac:dyDescent="0.2">
      <c r="A1998">
        <f t="shared" si="31"/>
        <v>1992</v>
      </c>
      <c r="B1998">
        <v>2022</v>
      </c>
      <c r="C1998" t="s">
        <v>184</v>
      </c>
      <c r="D1998" t="s">
        <v>1900</v>
      </c>
      <c r="E1998" s="65">
        <v>140</v>
      </c>
      <c r="H1998" t="s">
        <v>150</v>
      </c>
      <c r="I1998" t="s">
        <v>556</v>
      </c>
      <c r="J1998" t="s">
        <v>77</v>
      </c>
      <c r="K1998" t="s">
        <v>177</v>
      </c>
      <c r="L1998">
        <v>0</v>
      </c>
    </row>
    <row r="1999" spans="1:13" x14ac:dyDescent="0.2">
      <c r="A1999">
        <f t="shared" si="31"/>
        <v>1993</v>
      </c>
      <c r="B1999">
        <v>2022</v>
      </c>
      <c r="C1999" t="s">
        <v>184</v>
      </c>
      <c r="D1999" t="s">
        <v>185</v>
      </c>
      <c r="E1999" s="65">
        <v>2430</v>
      </c>
      <c r="F1999" s="33">
        <v>0.25</v>
      </c>
      <c r="H1999" t="s">
        <v>144</v>
      </c>
      <c r="I1999" t="s">
        <v>187</v>
      </c>
      <c r="J1999" t="s">
        <v>50</v>
      </c>
      <c r="K1999" t="s">
        <v>205</v>
      </c>
      <c r="L1999">
        <v>1</v>
      </c>
      <c r="M1999" s="28" t="s">
        <v>178</v>
      </c>
    </row>
    <row r="2000" spans="1:13" x14ac:dyDescent="0.2">
      <c r="A2000">
        <f t="shared" si="31"/>
        <v>1994</v>
      </c>
      <c r="B2000">
        <v>2022</v>
      </c>
      <c r="C2000" t="s">
        <v>184</v>
      </c>
      <c r="D2000" t="s">
        <v>908</v>
      </c>
      <c r="E2000" s="65">
        <v>160</v>
      </c>
      <c r="F2000" s="33">
        <v>0.22</v>
      </c>
      <c r="H2000" t="s">
        <v>149</v>
      </c>
      <c r="I2000" t="s">
        <v>182</v>
      </c>
      <c r="J2000" t="s">
        <v>48</v>
      </c>
      <c r="K2000" t="s">
        <v>219</v>
      </c>
      <c r="L2000">
        <v>1</v>
      </c>
      <c r="M2000" s="28" t="s">
        <v>178</v>
      </c>
    </row>
    <row r="2001" spans="1:13" x14ac:dyDescent="0.2">
      <c r="A2001">
        <f t="shared" si="31"/>
        <v>1995</v>
      </c>
      <c r="B2001">
        <v>2022</v>
      </c>
      <c r="C2001" t="s">
        <v>184</v>
      </c>
      <c r="D2001" t="s">
        <v>2064</v>
      </c>
      <c r="E2001" s="65">
        <v>540</v>
      </c>
      <c r="G2001" t="s">
        <v>2065</v>
      </c>
      <c r="H2001" t="s">
        <v>147</v>
      </c>
      <c r="J2001" t="s">
        <v>45</v>
      </c>
      <c r="K2001" t="s">
        <v>195</v>
      </c>
      <c r="L2001">
        <v>0</v>
      </c>
    </row>
    <row r="2002" spans="1:13" x14ac:dyDescent="0.2">
      <c r="A2002">
        <f t="shared" si="31"/>
        <v>1996</v>
      </c>
      <c r="B2002">
        <v>2022</v>
      </c>
      <c r="C2002" t="s">
        <v>184</v>
      </c>
      <c r="D2002" t="s">
        <v>600</v>
      </c>
      <c r="E2002" s="65">
        <v>420</v>
      </c>
      <c r="H2002" t="s">
        <v>144</v>
      </c>
      <c r="I2002" t="s">
        <v>299</v>
      </c>
      <c r="J2002" t="s">
        <v>55</v>
      </c>
      <c r="K2002" t="s">
        <v>214</v>
      </c>
      <c r="L2002">
        <v>1</v>
      </c>
      <c r="M2002" s="28" t="s">
        <v>178</v>
      </c>
    </row>
    <row r="2003" spans="1:13" x14ac:dyDescent="0.2">
      <c r="A2003">
        <f t="shared" si="31"/>
        <v>1997</v>
      </c>
      <c r="B2003">
        <v>2022</v>
      </c>
      <c r="C2003" t="s">
        <v>184</v>
      </c>
      <c r="D2003" t="s">
        <v>189</v>
      </c>
      <c r="E2003" s="65">
        <v>120</v>
      </c>
      <c r="F2003" s="33">
        <v>0.23</v>
      </c>
      <c r="G2003" t="s">
        <v>2066</v>
      </c>
      <c r="H2003" t="s">
        <v>144</v>
      </c>
      <c r="I2003" t="s">
        <v>299</v>
      </c>
      <c r="J2003" t="s">
        <v>63</v>
      </c>
      <c r="K2003" t="s">
        <v>201</v>
      </c>
      <c r="L2003">
        <v>1</v>
      </c>
      <c r="M2003" s="28" t="s">
        <v>178</v>
      </c>
    </row>
    <row r="2004" spans="1:13" x14ac:dyDescent="0.2">
      <c r="A2004">
        <f t="shared" si="31"/>
        <v>1998</v>
      </c>
      <c r="B2004">
        <v>2022</v>
      </c>
      <c r="C2004" t="s">
        <v>225</v>
      </c>
      <c r="D2004" t="s">
        <v>1940</v>
      </c>
      <c r="E2004" s="65">
        <v>320</v>
      </c>
      <c r="H2004" t="s">
        <v>151</v>
      </c>
      <c r="I2004" t="s">
        <v>224</v>
      </c>
      <c r="J2004" t="s">
        <v>25</v>
      </c>
      <c r="K2004" t="s">
        <v>177</v>
      </c>
      <c r="L2004">
        <v>0</v>
      </c>
    </row>
    <row r="2005" spans="1:13" x14ac:dyDescent="0.2">
      <c r="A2005">
        <f t="shared" si="31"/>
        <v>1999</v>
      </c>
      <c r="B2005">
        <v>2022</v>
      </c>
      <c r="C2005" t="s">
        <v>225</v>
      </c>
      <c r="D2005" t="s">
        <v>2067</v>
      </c>
      <c r="E2005" s="65">
        <v>290</v>
      </c>
      <c r="F2005" s="33">
        <v>0.7</v>
      </c>
      <c r="G2005" t="s">
        <v>2068</v>
      </c>
      <c r="H2005" t="s">
        <v>149</v>
      </c>
      <c r="I2005" t="s">
        <v>182</v>
      </c>
      <c r="J2005" t="s">
        <v>53</v>
      </c>
      <c r="K2005" t="s">
        <v>183</v>
      </c>
      <c r="L2005">
        <v>1</v>
      </c>
      <c r="M2005" s="28" t="s">
        <v>178</v>
      </c>
    </row>
    <row r="2006" spans="1:13" x14ac:dyDescent="0.2">
      <c r="A2006">
        <f t="shared" si="31"/>
        <v>2000</v>
      </c>
      <c r="B2006">
        <v>2022</v>
      </c>
      <c r="C2006" t="s">
        <v>225</v>
      </c>
      <c r="D2006" t="s">
        <v>438</v>
      </c>
      <c r="E2006" s="65">
        <v>200</v>
      </c>
      <c r="F2006" s="33">
        <v>0.34</v>
      </c>
      <c r="G2006" t="s">
        <v>2069</v>
      </c>
      <c r="H2006" t="s">
        <v>154</v>
      </c>
      <c r="I2006" t="s">
        <v>194</v>
      </c>
      <c r="J2006" t="s">
        <v>113</v>
      </c>
      <c r="K2006" t="s">
        <v>183</v>
      </c>
      <c r="L2006">
        <v>0</v>
      </c>
    </row>
    <row r="2007" spans="1:13" x14ac:dyDescent="0.2">
      <c r="A2007">
        <f t="shared" si="31"/>
        <v>2001</v>
      </c>
      <c r="B2007">
        <v>2022</v>
      </c>
      <c r="C2007" t="s">
        <v>225</v>
      </c>
      <c r="D2007" t="s">
        <v>208</v>
      </c>
      <c r="E2007" s="65">
        <v>680</v>
      </c>
      <c r="H2007" t="s">
        <v>149</v>
      </c>
      <c r="I2007" t="s">
        <v>182</v>
      </c>
      <c r="J2007" t="s">
        <v>24</v>
      </c>
      <c r="K2007" t="s">
        <v>219</v>
      </c>
      <c r="L2007">
        <v>1</v>
      </c>
      <c r="M2007" s="28" t="s">
        <v>178</v>
      </c>
    </row>
    <row r="2008" spans="1:13" x14ac:dyDescent="0.2">
      <c r="A2008">
        <f t="shared" si="31"/>
        <v>2002</v>
      </c>
      <c r="B2008">
        <v>2022</v>
      </c>
      <c r="C2008" t="s">
        <v>225</v>
      </c>
      <c r="D2008" t="s">
        <v>189</v>
      </c>
      <c r="E2008" s="65">
        <v>430</v>
      </c>
      <c r="F2008" s="33">
        <v>0.7</v>
      </c>
      <c r="G2008" t="s">
        <v>2070</v>
      </c>
      <c r="H2008" t="s">
        <v>144</v>
      </c>
      <c r="I2008" t="s">
        <v>187</v>
      </c>
      <c r="J2008" t="s">
        <v>5</v>
      </c>
      <c r="K2008" t="s">
        <v>214</v>
      </c>
      <c r="L2008">
        <v>1</v>
      </c>
    </row>
    <row r="2009" spans="1:13" x14ac:dyDescent="0.2">
      <c r="A2009">
        <f t="shared" si="31"/>
        <v>2003</v>
      </c>
      <c r="B2009">
        <v>2022</v>
      </c>
      <c r="C2009" t="s">
        <v>225</v>
      </c>
      <c r="D2009" t="s">
        <v>1011</v>
      </c>
      <c r="E2009" s="65">
        <v>300</v>
      </c>
      <c r="H2009" t="s">
        <v>149</v>
      </c>
      <c r="J2009" t="s">
        <v>139</v>
      </c>
      <c r="K2009" t="s">
        <v>219</v>
      </c>
      <c r="L2009">
        <v>1</v>
      </c>
    </row>
    <row r="2010" spans="1:13" x14ac:dyDescent="0.2">
      <c r="A2010">
        <f t="shared" si="31"/>
        <v>2004</v>
      </c>
      <c r="B2010">
        <v>2022</v>
      </c>
      <c r="C2010" t="s">
        <v>225</v>
      </c>
      <c r="D2010" t="s">
        <v>2071</v>
      </c>
      <c r="E2010" s="65">
        <v>420</v>
      </c>
      <c r="H2010" t="s">
        <v>152</v>
      </c>
      <c r="I2010" t="s">
        <v>257</v>
      </c>
      <c r="J2010" t="s">
        <v>41</v>
      </c>
      <c r="K2010" t="s">
        <v>195</v>
      </c>
      <c r="L2010">
        <v>0</v>
      </c>
      <c r="M2010" s="28" t="s">
        <v>178</v>
      </c>
    </row>
    <row r="2011" spans="1:13" x14ac:dyDescent="0.2">
      <c r="A2011">
        <f t="shared" si="31"/>
        <v>2005</v>
      </c>
      <c r="B2011">
        <v>2022</v>
      </c>
      <c r="C2011" t="s">
        <v>225</v>
      </c>
      <c r="D2011" t="s">
        <v>2072</v>
      </c>
      <c r="E2011" s="65">
        <v>100</v>
      </c>
      <c r="H2011" t="s">
        <v>147</v>
      </c>
      <c r="J2011" t="s">
        <v>27</v>
      </c>
      <c r="K2011" t="s">
        <v>205</v>
      </c>
      <c r="L2011">
        <v>1</v>
      </c>
      <c r="M2011" s="28" t="s">
        <v>178</v>
      </c>
    </row>
    <row r="2012" spans="1:13" x14ac:dyDescent="0.2">
      <c r="A2012">
        <f t="shared" si="31"/>
        <v>2006</v>
      </c>
      <c r="B2012">
        <v>2022</v>
      </c>
      <c r="C2012" t="s">
        <v>225</v>
      </c>
      <c r="D2012" t="s">
        <v>2067</v>
      </c>
      <c r="E2012" s="65">
        <v>140</v>
      </c>
      <c r="F2012" s="33">
        <v>0.6</v>
      </c>
      <c r="G2012" t="s">
        <v>2073</v>
      </c>
      <c r="H2012" t="s">
        <v>144</v>
      </c>
      <c r="I2012" t="s">
        <v>232</v>
      </c>
      <c r="J2012" t="s">
        <v>41</v>
      </c>
      <c r="K2012" t="s">
        <v>195</v>
      </c>
      <c r="L2012">
        <v>0</v>
      </c>
      <c r="M2012" s="28" t="s">
        <v>178</v>
      </c>
    </row>
    <row r="2013" spans="1:13" x14ac:dyDescent="0.2">
      <c r="A2013">
        <f t="shared" si="31"/>
        <v>2007</v>
      </c>
      <c r="B2013">
        <v>2022</v>
      </c>
      <c r="C2013" t="s">
        <v>225</v>
      </c>
      <c r="D2013" t="s">
        <v>822</v>
      </c>
      <c r="E2013" s="65">
        <v>110</v>
      </c>
      <c r="F2013" s="33">
        <v>0.45</v>
      </c>
      <c r="G2013" t="s">
        <v>2074</v>
      </c>
      <c r="H2013" t="s">
        <v>152</v>
      </c>
      <c r="J2013" t="s">
        <v>105</v>
      </c>
      <c r="K2013" t="s">
        <v>214</v>
      </c>
      <c r="L2013">
        <v>1</v>
      </c>
    </row>
    <row r="2014" spans="1:13" x14ac:dyDescent="0.2">
      <c r="A2014">
        <f t="shared" si="31"/>
        <v>2008</v>
      </c>
      <c r="B2014">
        <v>2022</v>
      </c>
      <c r="C2014" t="s">
        <v>225</v>
      </c>
      <c r="D2014" t="s">
        <v>822</v>
      </c>
      <c r="E2014" s="65">
        <v>380</v>
      </c>
      <c r="G2014" t="s">
        <v>1243</v>
      </c>
      <c r="H2014" t="s">
        <v>150</v>
      </c>
      <c r="I2014" t="s">
        <v>556</v>
      </c>
      <c r="J2014" t="s">
        <v>108</v>
      </c>
      <c r="K2014" t="s">
        <v>183</v>
      </c>
      <c r="L2014">
        <v>1</v>
      </c>
    </row>
    <row r="2015" spans="1:13" x14ac:dyDescent="0.2">
      <c r="A2015">
        <f t="shared" si="31"/>
        <v>2009</v>
      </c>
      <c r="B2015">
        <v>2022</v>
      </c>
      <c r="C2015" t="s">
        <v>188</v>
      </c>
      <c r="D2015" t="s">
        <v>454</v>
      </c>
      <c r="E2015" s="65">
        <v>260</v>
      </c>
      <c r="F2015" s="33">
        <v>0.01</v>
      </c>
      <c r="G2015" t="s">
        <v>2075</v>
      </c>
      <c r="H2015" t="s">
        <v>150</v>
      </c>
      <c r="I2015" t="s">
        <v>556</v>
      </c>
      <c r="J2015" t="s">
        <v>52</v>
      </c>
      <c r="K2015" t="s">
        <v>201</v>
      </c>
      <c r="L2015">
        <v>0</v>
      </c>
    </row>
    <row r="2016" spans="1:13" x14ac:dyDescent="0.2">
      <c r="A2016">
        <f t="shared" si="31"/>
        <v>2010</v>
      </c>
      <c r="B2016">
        <v>2022</v>
      </c>
      <c r="C2016" t="s">
        <v>188</v>
      </c>
      <c r="D2016" t="s">
        <v>246</v>
      </c>
      <c r="E2016" s="65">
        <v>220</v>
      </c>
      <c r="G2016" t="s">
        <v>2076</v>
      </c>
      <c r="H2016" t="s">
        <v>144</v>
      </c>
      <c r="I2016" t="s">
        <v>232</v>
      </c>
      <c r="J2016" t="s">
        <v>114</v>
      </c>
      <c r="K2016" t="s">
        <v>195</v>
      </c>
      <c r="L2016">
        <v>0</v>
      </c>
    </row>
    <row r="2017" spans="1:13" x14ac:dyDescent="0.2">
      <c r="A2017">
        <f t="shared" si="31"/>
        <v>2011</v>
      </c>
      <c r="B2017">
        <v>2022</v>
      </c>
      <c r="C2017" t="s">
        <v>188</v>
      </c>
      <c r="D2017" t="s">
        <v>1234</v>
      </c>
      <c r="E2017" s="65">
        <v>170</v>
      </c>
      <c r="H2017" t="s">
        <v>144</v>
      </c>
      <c r="I2017" t="s">
        <v>232</v>
      </c>
      <c r="J2017" t="s">
        <v>13</v>
      </c>
      <c r="K2017" t="s">
        <v>201</v>
      </c>
      <c r="L2017">
        <v>1</v>
      </c>
      <c r="M2017" s="28" t="s">
        <v>178</v>
      </c>
    </row>
    <row r="2018" spans="1:13" x14ac:dyDescent="0.2">
      <c r="A2018">
        <f t="shared" si="31"/>
        <v>2012</v>
      </c>
      <c r="B2018">
        <v>2022</v>
      </c>
      <c r="C2018" t="s">
        <v>188</v>
      </c>
      <c r="D2018" s="17" t="s">
        <v>1664</v>
      </c>
      <c r="E2018" s="65">
        <v>480</v>
      </c>
      <c r="H2018" t="s">
        <v>149</v>
      </c>
      <c r="J2018" t="s">
        <v>122</v>
      </c>
      <c r="K2018" t="s">
        <v>201</v>
      </c>
      <c r="L2018">
        <v>1</v>
      </c>
    </row>
    <row r="2019" spans="1:13" x14ac:dyDescent="0.2">
      <c r="A2019">
        <f t="shared" si="31"/>
        <v>2013</v>
      </c>
      <c r="B2019">
        <v>2022</v>
      </c>
      <c r="C2019" t="s">
        <v>188</v>
      </c>
      <c r="D2019" t="s">
        <v>446</v>
      </c>
      <c r="E2019" s="65">
        <v>160</v>
      </c>
      <c r="H2019" t="s">
        <v>149</v>
      </c>
      <c r="I2019" t="s">
        <v>182</v>
      </c>
      <c r="J2019" t="s">
        <v>19</v>
      </c>
      <c r="K2019" t="s">
        <v>205</v>
      </c>
      <c r="L2019">
        <v>0</v>
      </c>
      <c r="M2019" s="28" t="s">
        <v>178</v>
      </c>
    </row>
    <row r="2020" spans="1:13" x14ac:dyDescent="0.2">
      <c r="A2020">
        <f t="shared" si="31"/>
        <v>2014</v>
      </c>
      <c r="B2020">
        <v>2022</v>
      </c>
      <c r="C2020" t="s">
        <v>188</v>
      </c>
      <c r="D2020" t="s">
        <v>1180</v>
      </c>
      <c r="E2020" s="65">
        <v>290</v>
      </c>
      <c r="F2020" s="33">
        <v>0.7</v>
      </c>
      <c r="G2020" t="s">
        <v>2077</v>
      </c>
      <c r="H2020" t="s">
        <v>144</v>
      </c>
      <c r="I2020" t="s">
        <v>232</v>
      </c>
      <c r="J2020" t="s">
        <v>19</v>
      </c>
      <c r="K2020" t="s">
        <v>205</v>
      </c>
      <c r="L2020">
        <v>0</v>
      </c>
    </row>
    <row r="2021" spans="1:13" x14ac:dyDescent="0.2">
      <c r="A2021">
        <f t="shared" si="31"/>
        <v>2015</v>
      </c>
      <c r="B2021">
        <v>2022</v>
      </c>
      <c r="C2021" t="s">
        <v>188</v>
      </c>
      <c r="D2021" t="s">
        <v>2078</v>
      </c>
      <c r="E2021" s="65">
        <v>1180</v>
      </c>
      <c r="H2021" t="s">
        <v>149</v>
      </c>
      <c r="I2021" t="s">
        <v>182</v>
      </c>
      <c r="J2021" t="s">
        <v>20</v>
      </c>
      <c r="K2021" t="s">
        <v>195</v>
      </c>
      <c r="L2021">
        <v>0</v>
      </c>
    </row>
    <row r="2022" spans="1:13" x14ac:dyDescent="0.2">
      <c r="A2022">
        <f t="shared" si="31"/>
        <v>2016</v>
      </c>
      <c r="B2022">
        <v>2022</v>
      </c>
      <c r="C2022" t="s">
        <v>191</v>
      </c>
      <c r="D2022" t="s">
        <v>696</v>
      </c>
      <c r="E2022" s="65">
        <v>290</v>
      </c>
      <c r="F2022" s="33">
        <v>0.06</v>
      </c>
      <c r="G2022" t="s">
        <v>560</v>
      </c>
      <c r="H2022" t="s">
        <v>144</v>
      </c>
      <c r="I2022" t="s">
        <v>273</v>
      </c>
      <c r="J2022" t="s">
        <v>9</v>
      </c>
      <c r="K2022" t="s">
        <v>9</v>
      </c>
      <c r="L2022">
        <v>0</v>
      </c>
    </row>
    <row r="2023" spans="1:13" x14ac:dyDescent="0.2">
      <c r="A2023">
        <f t="shared" si="31"/>
        <v>2017</v>
      </c>
      <c r="B2023">
        <v>2022</v>
      </c>
      <c r="C2023" t="s">
        <v>191</v>
      </c>
      <c r="D2023" t="s">
        <v>300</v>
      </c>
      <c r="E2023" s="65">
        <v>2950</v>
      </c>
      <c r="G2023" t="s">
        <v>2079</v>
      </c>
      <c r="H2023" t="s">
        <v>146</v>
      </c>
      <c r="J2023" t="s">
        <v>53</v>
      </c>
      <c r="K2023" t="s">
        <v>183</v>
      </c>
      <c r="L2023">
        <v>1</v>
      </c>
    </row>
    <row r="2024" spans="1:13" x14ac:dyDescent="0.2">
      <c r="A2024">
        <f t="shared" si="31"/>
        <v>2018</v>
      </c>
      <c r="B2024">
        <v>2022</v>
      </c>
      <c r="C2024" t="s">
        <v>191</v>
      </c>
      <c r="D2024" t="s">
        <v>1448</v>
      </c>
      <c r="E2024" s="65">
        <v>960</v>
      </c>
      <c r="F2024" s="33">
        <v>1</v>
      </c>
      <c r="G2024" t="s">
        <v>2080</v>
      </c>
      <c r="H2024" t="s">
        <v>149</v>
      </c>
      <c r="J2024" t="s">
        <v>8</v>
      </c>
      <c r="K2024" t="s">
        <v>205</v>
      </c>
      <c r="L2024">
        <v>1</v>
      </c>
    </row>
    <row r="2025" spans="1:13" x14ac:dyDescent="0.2">
      <c r="A2025">
        <f t="shared" si="31"/>
        <v>2019</v>
      </c>
      <c r="B2025">
        <v>2022</v>
      </c>
      <c r="C2025" t="s">
        <v>191</v>
      </c>
      <c r="D2025" t="s">
        <v>397</v>
      </c>
      <c r="E2025" s="65">
        <v>310</v>
      </c>
      <c r="F2025" s="33">
        <v>0.2</v>
      </c>
      <c r="G2025" t="s">
        <v>2081</v>
      </c>
      <c r="H2025" t="s">
        <v>151</v>
      </c>
      <c r="I2025" t="s">
        <v>224</v>
      </c>
      <c r="J2025" t="s">
        <v>108</v>
      </c>
      <c r="K2025" t="s">
        <v>183</v>
      </c>
      <c r="L2025">
        <v>1</v>
      </c>
      <c r="M2025" s="28" t="s">
        <v>178</v>
      </c>
    </row>
    <row r="2026" spans="1:13" x14ac:dyDescent="0.2">
      <c r="A2026">
        <f t="shared" si="31"/>
        <v>2020</v>
      </c>
      <c r="B2026">
        <v>2022</v>
      </c>
      <c r="C2026" t="s">
        <v>191</v>
      </c>
      <c r="D2026" t="s">
        <v>760</v>
      </c>
      <c r="E2026" s="65">
        <v>720</v>
      </c>
      <c r="H2026" t="s">
        <v>151</v>
      </c>
      <c r="I2026" t="s">
        <v>224</v>
      </c>
      <c r="J2026" t="s">
        <v>108</v>
      </c>
      <c r="K2026" t="s">
        <v>183</v>
      </c>
      <c r="L2026">
        <v>1</v>
      </c>
    </row>
    <row r="2027" spans="1:13" x14ac:dyDescent="0.2">
      <c r="A2027">
        <f t="shared" si="31"/>
        <v>2021</v>
      </c>
      <c r="B2027">
        <v>2022</v>
      </c>
      <c r="C2027" t="s">
        <v>191</v>
      </c>
      <c r="D2027" t="s">
        <v>438</v>
      </c>
      <c r="E2027" s="65">
        <v>140</v>
      </c>
      <c r="H2027" t="s">
        <v>150</v>
      </c>
      <c r="I2027" t="s">
        <v>217</v>
      </c>
      <c r="J2027" t="s">
        <v>77</v>
      </c>
      <c r="K2027" t="s">
        <v>177</v>
      </c>
      <c r="L2027">
        <v>0</v>
      </c>
    </row>
    <row r="2028" spans="1:13" x14ac:dyDescent="0.2">
      <c r="A2028">
        <f t="shared" si="31"/>
        <v>2022</v>
      </c>
      <c r="B2028">
        <v>2022</v>
      </c>
      <c r="C2028" t="s">
        <v>191</v>
      </c>
      <c r="D2028" t="s">
        <v>2082</v>
      </c>
      <c r="E2028" s="65">
        <v>180</v>
      </c>
      <c r="F2028" s="33">
        <v>0.8</v>
      </c>
      <c r="G2028" t="s">
        <v>2083</v>
      </c>
      <c r="H2028" t="s">
        <v>147</v>
      </c>
      <c r="J2028" t="s">
        <v>131</v>
      </c>
      <c r="K2028" t="s">
        <v>131</v>
      </c>
      <c r="L2028">
        <v>0</v>
      </c>
    </row>
    <row r="2029" spans="1:13" x14ac:dyDescent="0.2">
      <c r="A2029">
        <f t="shared" si="31"/>
        <v>2023</v>
      </c>
      <c r="B2029">
        <v>2022</v>
      </c>
      <c r="C2029" t="s">
        <v>191</v>
      </c>
      <c r="D2029" t="s">
        <v>822</v>
      </c>
      <c r="E2029" s="65">
        <v>100</v>
      </c>
      <c r="G2029" s="40" t="s">
        <v>2084</v>
      </c>
      <c r="H2029" t="s">
        <v>146</v>
      </c>
      <c r="J2029" t="s">
        <v>72</v>
      </c>
      <c r="K2029" t="s">
        <v>183</v>
      </c>
      <c r="L2029">
        <v>1</v>
      </c>
    </row>
    <row r="2030" spans="1:13" x14ac:dyDescent="0.2">
      <c r="A2030">
        <f t="shared" si="31"/>
        <v>2024</v>
      </c>
      <c r="B2030">
        <v>2022</v>
      </c>
      <c r="C2030" t="s">
        <v>191</v>
      </c>
      <c r="D2030" t="s">
        <v>822</v>
      </c>
      <c r="E2030" s="65">
        <v>100</v>
      </c>
      <c r="F2030" s="33">
        <v>0.06</v>
      </c>
      <c r="G2030" t="s">
        <v>2085</v>
      </c>
      <c r="H2030" t="s">
        <v>152</v>
      </c>
      <c r="I2030" t="s">
        <v>257</v>
      </c>
      <c r="J2030" t="s">
        <v>53</v>
      </c>
      <c r="K2030" t="s">
        <v>183</v>
      </c>
      <c r="L2030">
        <v>1</v>
      </c>
    </row>
    <row r="2031" spans="1:13" x14ac:dyDescent="0.2">
      <c r="A2031">
        <f t="shared" si="31"/>
        <v>2025</v>
      </c>
      <c r="B2031">
        <v>2022</v>
      </c>
      <c r="C2031" t="s">
        <v>191</v>
      </c>
      <c r="D2031" t="s">
        <v>444</v>
      </c>
      <c r="E2031" s="65">
        <v>390</v>
      </c>
      <c r="H2031" t="s">
        <v>144</v>
      </c>
      <c r="I2031" t="s">
        <v>197</v>
      </c>
      <c r="J2031" t="s">
        <v>23</v>
      </c>
      <c r="K2031" t="s">
        <v>183</v>
      </c>
      <c r="L2031">
        <v>1</v>
      </c>
      <c r="M2031" s="28" t="s">
        <v>178</v>
      </c>
    </row>
    <row r="2032" spans="1:13" x14ac:dyDescent="0.2">
      <c r="A2032">
        <f t="shared" si="31"/>
        <v>2026</v>
      </c>
      <c r="B2032">
        <v>2022</v>
      </c>
      <c r="C2032" t="s">
        <v>198</v>
      </c>
      <c r="D2032" t="s">
        <v>822</v>
      </c>
      <c r="E2032" s="65">
        <v>610</v>
      </c>
      <c r="G2032" t="s">
        <v>1243</v>
      </c>
      <c r="H2032" t="s">
        <v>150</v>
      </c>
      <c r="I2032" t="s">
        <v>556</v>
      </c>
      <c r="J2032" t="s">
        <v>108</v>
      </c>
      <c r="K2032" t="s">
        <v>183</v>
      </c>
      <c r="L2032">
        <v>1</v>
      </c>
    </row>
    <row r="2033" spans="1:13" x14ac:dyDescent="0.2">
      <c r="A2033">
        <f t="shared" si="31"/>
        <v>2027</v>
      </c>
      <c r="B2033">
        <v>2022</v>
      </c>
      <c r="C2033" t="s">
        <v>198</v>
      </c>
      <c r="D2033" t="s">
        <v>822</v>
      </c>
      <c r="E2033" s="65">
        <v>300</v>
      </c>
      <c r="G2033" t="s">
        <v>2086</v>
      </c>
      <c r="H2033" t="s">
        <v>150</v>
      </c>
      <c r="I2033" t="s">
        <v>556</v>
      </c>
      <c r="J2033" t="s">
        <v>53</v>
      </c>
      <c r="K2033" t="s">
        <v>183</v>
      </c>
      <c r="L2033">
        <v>1</v>
      </c>
    </row>
    <row r="2034" spans="1:13" x14ac:dyDescent="0.2">
      <c r="A2034">
        <f t="shared" si="31"/>
        <v>2028</v>
      </c>
      <c r="B2034">
        <v>2022</v>
      </c>
      <c r="C2034" t="s">
        <v>198</v>
      </c>
      <c r="D2034" t="s">
        <v>454</v>
      </c>
      <c r="E2034" s="65">
        <v>140</v>
      </c>
      <c r="F2034" s="33">
        <v>0.16</v>
      </c>
      <c r="G2034" t="s">
        <v>2030</v>
      </c>
      <c r="H2034" t="s">
        <v>145</v>
      </c>
      <c r="J2034" t="s">
        <v>61</v>
      </c>
      <c r="K2034" t="s">
        <v>183</v>
      </c>
      <c r="L2034">
        <v>0</v>
      </c>
    </row>
    <row r="2035" spans="1:13" x14ac:dyDescent="0.2">
      <c r="A2035">
        <f t="shared" si="31"/>
        <v>2029</v>
      </c>
      <c r="B2035">
        <v>2022</v>
      </c>
      <c r="C2035" t="s">
        <v>198</v>
      </c>
      <c r="D2035" t="s">
        <v>410</v>
      </c>
      <c r="E2035" s="65">
        <v>120</v>
      </c>
      <c r="H2035" t="s">
        <v>154</v>
      </c>
      <c r="I2035" t="s">
        <v>194</v>
      </c>
      <c r="J2035" t="s">
        <v>124</v>
      </c>
      <c r="K2035" t="s">
        <v>183</v>
      </c>
      <c r="L2035">
        <v>1</v>
      </c>
    </row>
    <row r="2036" spans="1:13" x14ac:dyDescent="0.2">
      <c r="A2036">
        <f t="shared" si="31"/>
        <v>2030</v>
      </c>
      <c r="B2036">
        <v>2022</v>
      </c>
      <c r="C2036" t="s">
        <v>198</v>
      </c>
      <c r="D2036" t="s">
        <v>269</v>
      </c>
      <c r="E2036" s="65">
        <v>140</v>
      </c>
      <c r="H2036" t="s">
        <v>148</v>
      </c>
      <c r="J2036" t="s">
        <v>130</v>
      </c>
      <c r="K2036" t="s">
        <v>214</v>
      </c>
      <c r="L2036">
        <v>1</v>
      </c>
    </row>
    <row r="2037" spans="1:13" x14ac:dyDescent="0.2">
      <c r="A2037">
        <f t="shared" si="31"/>
        <v>2031</v>
      </c>
      <c r="B2037">
        <v>2022</v>
      </c>
      <c r="C2037" t="s">
        <v>198</v>
      </c>
      <c r="D2037" t="s">
        <v>1710</v>
      </c>
      <c r="E2037" s="65">
        <v>110</v>
      </c>
      <c r="F2037" s="33">
        <v>1</v>
      </c>
      <c r="G2037" t="s">
        <v>2087</v>
      </c>
      <c r="H2037" t="s">
        <v>145</v>
      </c>
      <c r="J2037" t="s">
        <v>42</v>
      </c>
      <c r="K2037" t="s">
        <v>195</v>
      </c>
      <c r="L2037">
        <v>0</v>
      </c>
    </row>
    <row r="2038" spans="1:13" x14ac:dyDescent="0.2">
      <c r="A2038">
        <f t="shared" si="31"/>
        <v>2032</v>
      </c>
      <c r="B2038">
        <v>2022</v>
      </c>
      <c r="C2038" t="s">
        <v>202</v>
      </c>
      <c r="D2038" t="s">
        <v>405</v>
      </c>
      <c r="E2038" s="65">
        <v>970</v>
      </c>
      <c r="F2038" s="33">
        <v>0.46</v>
      </c>
      <c r="G2038" t="s">
        <v>315</v>
      </c>
      <c r="H2038" t="s">
        <v>149</v>
      </c>
      <c r="I2038" t="s">
        <v>182</v>
      </c>
      <c r="J2038" t="s">
        <v>9</v>
      </c>
      <c r="K2038" t="s">
        <v>9</v>
      </c>
      <c r="L2038">
        <v>0</v>
      </c>
      <c r="M2038" s="28" t="s">
        <v>178</v>
      </c>
    </row>
    <row r="2039" spans="1:13" x14ac:dyDescent="0.2">
      <c r="A2039">
        <f t="shared" si="31"/>
        <v>2033</v>
      </c>
      <c r="B2039">
        <v>2022</v>
      </c>
      <c r="C2039" t="s">
        <v>202</v>
      </c>
      <c r="D2039" t="s">
        <v>454</v>
      </c>
      <c r="E2039" s="65">
        <v>300</v>
      </c>
      <c r="F2039" s="33">
        <v>0.06</v>
      </c>
      <c r="G2039" t="s">
        <v>2088</v>
      </c>
      <c r="H2039" t="s">
        <v>145</v>
      </c>
      <c r="J2039" t="s">
        <v>42</v>
      </c>
      <c r="K2039" t="s">
        <v>195</v>
      </c>
      <c r="L2039">
        <v>0</v>
      </c>
    </row>
    <row r="2040" spans="1:13" x14ac:dyDescent="0.2">
      <c r="A2040">
        <f t="shared" si="31"/>
        <v>2034</v>
      </c>
      <c r="B2040">
        <v>2022</v>
      </c>
      <c r="C2040" t="s">
        <v>202</v>
      </c>
      <c r="D2040" t="s">
        <v>300</v>
      </c>
      <c r="E2040" s="65">
        <v>130</v>
      </c>
      <c r="F2040" s="33">
        <v>0.49</v>
      </c>
      <c r="G2040" t="s">
        <v>1247</v>
      </c>
      <c r="H2040" t="s">
        <v>144</v>
      </c>
      <c r="I2040" t="s">
        <v>299</v>
      </c>
      <c r="J2040" t="s">
        <v>134</v>
      </c>
      <c r="K2040" t="s">
        <v>201</v>
      </c>
      <c r="L2040">
        <v>1</v>
      </c>
    </row>
    <row r="2041" spans="1:13" x14ac:dyDescent="0.2">
      <c r="A2041">
        <f t="shared" si="31"/>
        <v>2035</v>
      </c>
      <c r="B2041">
        <v>2022</v>
      </c>
      <c r="C2041" t="s">
        <v>202</v>
      </c>
      <c r="D2041" t="s">
        <v>449</v>
      </c>
      <c r="E2041" s="65">
        <v>570</v>
      </c>
      <c r="H2041" t="s">
        <v>147</v>
      </c>
      <c r="J2041" t="s">
        <v>27</v>
      </c>
      <c r="K2041" t="s">
        <v>205</v>
      </c>
      <c r="L2041">
        <v>1</v>
      </c>
      <c r="M2041" s="28" t="s">
        <v>178</v>
      </c>
    </row>
    <row r="2042" spans="1:13" x14ac:dyDescent="0.2">
      <c r="A2042">
        <f t="shared" si="31"/>
        <v>2036</v>
      </c>
      <c r="B2042">
        <v>2022</v>
      </c>
      <c r="C2042" t="s">
        <v>202</v>
      </c>
      <c r="D2042" t="s">
        <v>2089</v>
      </c>
      <c r="E2042" s="65">
        <v>100</v>
      </c>
      <c r="H2042" t="s">
        <v>144</v>
      </c>
      <c r="I2042" t="s">
        <v>232</v>
      </c>
      <c r="J2042" t="s">
        <v>77</v>
      </c>
      <c r="K2042" t="s">
        <v>177</v>
      </c>
      <c r="L2042">
        <v>0</v>
      </c>
      <c r="M2042" s="28" t="s">
        <v>178</v>
      </c>
    </row>
    <row r="2043" spans="1:13" x14ac:dyDescent="0.2">
      <c r="A2043">
        <f t="shared" si="31"/>
        <v>2037</v>
      </c>
      <c r="B2043">
        <v>2022</v>
      </c>
      <c r="C2043" t="s">
        <v>202</v>
      </c>
      <c r="D2043" t="s">
        <v>1990</v>
      </c>
      <c r="E2043" s="65">
        <v>110</v>
      </c>
      <c r="H2043" t="s">
        <v>144</v>
      </c>
      <c r="I2043" t="s">
        <v>232</v>
      </c>
      <c r="J2043" t="s">
        <v>118</v>
      </c>
      <c r="K2043" t="s">
        <v>195</v>
      </c>
      <c r="L2043">
        <v>0</v>
      </c>
    </row>
    <row r="2044" spans="1:13" x14ac:dyDescent="0.2">
      <c r="A2044">
        <f t="shared" si="31"/>
        <v>2038</v>
      </c>
      <c r="B2044">
        <v>2022</v>
      </c>
      <c r="C2044" t="s">
        <v>202</v>
      </c>
      <c r="D2044" t="s">
        <v>2090</v>
      </c>
      <c r="E2044" s="65">
        <v>230</v>
      </c>
      <c r="G2044" t="s">
        <v>2091</v>
      </c>
      <c r="H2044" t="s">
        <v>151</v>
      </c>
      <c r="I2044" t="s">
        <v>224</v>
      </c>
      <c r="J2044" t="s">
        <v>108</v>
      </c>
      <c r="K2044" t="s">
        <v>183</v>
      </c>
      <c r="L2044">
        <v>1</v>
      </c>
      <c r="M2044" s="28" t="s">
        <v>178</v>
      </c>
    </row>
    <row r="2045" spans="1:13" x14ac:dyDescent="0.2">
      <c r="A2045">
        <f t="shared" si="31"/>
        <v>2039</v>
      </c>
      <c r="B2045">
        <v>2022</v>
      </c>
      <c r="C2045" t="s">
        <v>207</v>
      </c>
      <c r="D2045" t="s">
        <v>2092</v>
      </c>
      <c r="E2045" s="65">
        <v>170</v>
      </c>
      <c r="F2045" s="33">
        <v>0.5</v>
      </c>
      <c r="G2045" t="s">
        <v>2093</v>
      </c>
      <c r="H2045" t="s">
        <v>142</v>
      </c>
      <c r="J2045" t="s">
        <v>39</v>
      </c>
      <c r="K2045" t="s">
        <v>219</v>
      </c>
      <c r="L2045">
        <v>1</v>
      </c>
    </row>
    <row r="2046" spans="1:13" x14ac:dyDescent="0.2">
      <c r="A2046">
        <f t="shared" si="31"/>
        <v>2040</v>
      </c>
      <c r="B2046">
        <v>2022</v>
      </c>
      <c r="C2046" t="s">
        <v>207</v>
      </c>
      <c r="D2046" t="s">
        <v>559</v>
      </c>
      <c r="E2046" s="65">
        <v>360</v>
      </c>
      <c r="F2046" s="33">
        <v>0.95</v>
      </c>
      <c r="G2046" t="s">
        <v>2094</v>
      </c>
      <c r="H2046" t="s">
        <v>149</v>
      </c>
      <c r="J2046" t="s">
        <v>117</v>
      </c>
      <c r="K2046" t="s">
        <v>205</v>
      </c>
      <c r="L2046">
        <v>1</v>
      </c>
    </row>
    <row r="2047" spans="1:13" x14ac:dyDescent="0.2">
      <c r="A2047">
        <f t="shared" si="31"/>
        <v>2041</v>
      </c>
      <c r="B2047">
        <v>2022</v>
      </c>
      <c r="C2047" t="s">
        <v>207</v>
      </c>
      <c r="D2047" t="s">
        <v>530</v>
      </c>
      <c r="E2047" s="65">
        <v>150</v>
      </c>
      <c r="H2047" t="s">
        <v>152</v>
      </c>
      <c r="I2047" t="s">
        <v>257</v>
      </c>
      <c r="J2047" t="s">
        <v>56</v>
      </c>
      <c r="K2047" t="s">
        <v>195</v>
      </c>
      <c r="L2047">
        <v>0</v>
      </c>
      <c r="M2047" s="28" t="s">
        <v>178</v>
      </c>
    </row>
    <row r="2048" spans="1:13" x14ac:dyDescent="0.2">
      <c r="A2048">
        <f t="shared" si="31"/>
        <v>2042</v>
      </c>
      <c r="B2048">
        <v>2022</v>
      </c>
      <c r="C2048" t="s">
        <v>207</v>
      </c>
      <c r="D2048" t="s">
        <v>798</v>
      </c>
      <c r="E2048" s="65">
        <v>750</v>
      </c>
      <c r="H2048" t="s">
        <v>149</v>
      </c>
      <c r="I2048" t="s">
        <v>182</v>
      </c>
      <c r="J2048" t="s">
        <v>139</v>
      </c>
      <c r="K2048" t="s">
        <v>219</v>
      </c>
      <c r="L2048">
        <v>1</v>
      </c>
      <c r="M2048" s="28" t="s">
        <v>178</v>
      </c>
    </row>
    <row r="2049" spans="1:13" x14ac:dyDescent="0.2">
      <c r="A2049">
        <f t="shared" si="31"/>
        <v>2043</v>
      </c>
      <c r="B2049">
        <v>2022</v>
      </c>
      <c r="C2049" t="s">
        <v>207</v>
      </c>
      <c r="D2049" t="s">
        <v>244</v>
      </c>
      <c r="E2049" s="65">
        <v>200</v>
      </c>
      <c r="H2049" t="s">
        <v>149</v>
      </c>
      <c r="J2049" t="s">
        <v>139</v>
      </c>
      <c r="K2049" t="s">
        <v>219</v>
      </c>
      <c r="L2049">
        <v>1</v>
      </c>
    </row>
    <row r="2050" spans="1:13" x14ac:dyDescent="0.2">
      <c r="A2050">
        <f t="shared" si="31"/>
        <v>2044</v>
      </c>
      <c r="B2050">
        <v>2022</v>
      </c>
      <c r="C2050" t="s">
        <v>207</v>
      </c>
      <c r="D2050" t="s">
        <v>1061</v>
      </c>
      <c r="E2050" s="65">
        <v>490</v>
      </c>
      <c r="G2050" t="s">
        <v>2095</v>
      </c>
      <c r="H2050" t="s">
        <v>154</v>
      </c>
      <c r="I2050" t="s">
        <v>194</v>
      </c>
      <c r="J2050" t="s">
        <v>124</v>
      </c>
      <c r="K2050" t="s">
        <v>183</v>
      </c>
      <c r="L2050">
        <v>1</v>
      </c>
      <c r="M2050" s="28" t="s">
        <v>178</v>
      </c>
    </row>
    <row r="2051" spans="1:13" x14ac:dyDescent="0.2">
      <c r="A2051">
        <f t="shared" si="31"/>
        <v>2045</v>
      </c>
      <c r="B2051">
        <v>2022</v>
      </c>
      <c r="C2051" t="s">
        <v>240</v>
      </c>
      <c r="D2051" t="s">
        <v>2096</v>
      </c>
      <c r="E2051" s="65">
        <v>140</v>
      </c>
      <c r="F2051" s="33">
        <v>0.51</v>
      </c>
      <c r="G2051" t="s">
        <v>2097</v>
      </c>
      <c r="H2051" t="s">
        <v>154</v>
      </c>
      <c r="I2051" t="s">
        <v>194</v>
      </c>
      <c r="J2051" t="s">
        <v>136</v>
      </c>
      <c r="K2051" t="s">
        <v>183</v>
      </c>
      <c r="L2051">
        <v>1</v>
      </c>
      <c r="M2051" s="28" t="s">
        <v>178</v>
      </c>
    </row>
    <row r="2052" spans="1:13" x14ac:dyDescent="0.2">
      <c r="A2052">
        <f t="shared" si="31"/>
        <v>2046</v>
      </c>
      <c r="B2052">
        <v>2022</v>
      </c>
      <c r="C2052" t="s">
        <v>240</v>
      </c>
      <c r="D2052" t="s">
        <v>554</v>
      </c>
      <c r="E2052" s="65">
        <v>230</v>
      </c>
      <c r="F2052" s="33">
        <v>1</v>
      </c>
      <c r="G2052" t="s">
        <v>2098</v>
      </c>
      <c r="H2052" t="s">
        <v>147</v>
      </c>
      <c r="J2052" t="s">
        <v>42</v>
      </c>
      <c r="K2052" t="s">
        <v>195</v>
      </c>
      <c r="L2052">
        <v>0</v>
      </c>
    </row>
    <row r="2053" spans="1:13" x14ac:dyDescent="0.2">
      <c r="A2053">
        <f t="shared" si="31"/>
        <v>2047</v>
      </c>
      <c r="B2053">
        <v>2022</v>
      </c>
      <c r="C2053" t="s">
        <v>240</v>
      </c>
      <c r="D2053" t="s">
        <v>2099</v>
      </c>
      <c r="E2053" s="65">
        <v>140</v>
      </c>
      <c r="F2053" s="33">
        <v>0.7</v>
      </c>
      <c r="H2053" t="s">
        <v>149</v>
      </c>
      <c r="J2053" t="s">
        <v>83</v>
      </c>
      <c r="K2053" t="s">
        <v>219</v>
      </c>
      <c r="L2053">
        <v>1</v>
      </c>
    </row>
    <row r="2054" spans="1:13" x14ac:dyDescent="0.2">
      <c r="A2054">
        <f t="shared" si="31"/>
        <v>2048</v>
      </c>
      <c r="B2054">
        <v>2022</v>
      </c>
      <c r="C2054" t="s">
        <v>240</v>
      </c>
      <c r="D2054" t="s">
        <v>185</v>
      </c>
      <c r="E2054" s="65">
        <v>1900</v>
      </c>
      <c r="F2054" s="33">
        <v>0.05</v>
      </c>
      <c r="G2054" t="s">
        <v>2100</v>
      </c>
      <c r="H2054" t="s">
        <v>144</v>
      </c>
      <c r="J2054" t="s">
        <v>19</v>
      </c>
      <c r="K2054" t="s">
        <v>205</v>
      </c>
      <c r="L2054">
        <v>0</v>
      </c>
    </row>
    <row r="2055" spans="1:13" x14ac:dyDescent="0.2">
      <c r="A2055">
        <f t="shared" ref="A2055:A2118" si="32">ROW()-6</f>
        <v>2049</v>
      </c>
      <c r="B2055">
        <v>2022</v>
      </c>
      <c r="C2055" t="s">
        <v>240</v>
      </c>
      <c r="D2055" t="s">
        <v>2101</v>
      </c>
      <c r="E2055" s="65">
        <v>120</v>
      </c>
      <c r="F2055" s="33">
        <v>0.51</v>
      </c>
      <c r="G2055" t="s">
        <v>2102</v>
      </c>
      <c r="H2055" t="s">
        <v>150</v>
      </c>
      <c r="I2055" t="s">
        <v>292</v>
      </c>
      <c r="J2055" t="s">
        <v>20</v>
      </c>
      <c r="K2055" t="s">
        <v>195</v>
      </c>
      <c r="L2055">
        <v>0</v>
      </c>
    </row>
    <row r="2056" spans="1:13" x14ac:dyDescent="0.2">
      <c r="A2056">
        <f t="shared" si="32"/>
        <v>2050</v>
      </c>
      <c r="B2056">
        <v>2022</v>
      </c>
      <c r="C2056" t="s">
        <v>240</v>
      </c>
      <c r="D2056" t="s">
        <v>1287</v>
      </c>
      <c r="E2056" s="65">
        <v>890</v>
      </c>
      <c r="H2056" t="s">
        <v>154</v>
      </c>
      <c r="I2056" t="s">
        <v>194</v>
      </c>
      <c r="J2056" t="s">
        <v>42</v>
      </c>
      <c r="K2056" t="s">
        <v>195</v>
      </c>
      <c r="L2056">
        <v>0</v>
      </c>
      <c r="M2056" s="28" t="s">
        <v>178</v>
      </c>
    </row>
    <row r="2057" spans="1:13" x14ac:dyDescent="0.2">
      <c r="A2057">
        <f t="shared" si="32"/>
        <v>2051</v>
      </c>
      <c r="B2057">
        <v>2022</v>
      </c>
      <c r="C2057" t="s">
        <v>212</v>
      </c>
      <c r="D2057" t="s">
        <v>822</v>
      </c>
      <c r="E2057" s="65">
        <v>340</v>
      </c>
      <c r="G2057" t="s">
        <v>1243</v>
      </c>
      <c r="H2057" t="s">
        <v>150</v>
      </c>
      <c r="I2057" t="s">
        <v>556</v>
      </c>
      <c r="J2057" t="s">
        <v>108</v>
      </c>
      <c r="K2057" t="s">
        <v>183</v>
      </c>
      <c r="L2057">
        <v>1</v>
      </c>
    </row>
    <row r="2058" spans="1:13" x14ac:dyDescent="0.2">
      <c r="A2058">
        <f t="shared" si="32"/>
        <v>2052</v>
      </c>
      <c r="B2058">
        <v>2022</v>
      </c>
      <c r="C2058" t="s">
        <v>212</v>
      </c>
      <c r="D2058" t="s">
        <v>2103</v>
      </c>
      <c r="E2058" s="65">
        <v>100</v>
      </c>
      <c r="F2058" s="33">
        <v>0.5</v>
      </c>
      <c r="G2058" t="s">
        <v>1812</v>
      </c>
      <c r="H2058" t="s">
        <v>149</v>
      </c>
      <c r="J2058" t="s">
        <v>28</v>
      </c>
      <c r="K2058" t="s">
        <v>205</v>
      </c>
      <c r="L2058">
        <v>0</v>
      </c>
    </row>
    <row r="2059" spans="1:13" x14ac:dyDescent="0.2">
      <c r="A2059">
        <f t="shared" si="32"/>
        <v>2053</v>
      </c>
      <c r="B2059">
        <v>2022</v>
      </c>
      <c r="C2059" t="s">
        <v>212</v>
      </c>
      <c r="D2059" t="s">
        <v>1180</v>
      </c>
      <c r="E2059" s="65">
        <v>240</v>
      </c>
      <c r="H2059" t="s">
        <v>144</v>
      </c>
      <c r="I2059" t="s">
        <v>232</v>
      </c>
      <c r="J2059" t="s">
        <v>77</v>
      </c>
      <c r="K2059" t="s">
        <v>177</v>
      </c>
      <c r="L2059">
        <v>0</v>
      </c>
    </row>
    <row r="2060" spans="1:13" x14ac:dyDescent="0.2">
      <c r="A2060">
        <f t="shared" si="32"/>
        <v>2054</v>
      </c>
      <c r="B2060">
        <v>2022</v>
      </c>
      <c r="C2060" t="s">
        <v>212</v>
      </c>
      <c r="D2060" t="s">
        <v>1687</v>
      </c>
      <c r="E2060" s="65">
        <v>940</v>
      </c>
      <c r="H2060" t="s">
        <v>150</v>
      </c>
      <c r="I2060" t="s">
        <v>226</v>
      </c>
      <c r="J2060" t="s">
        <v>72</v>
      </c>
      <c r="K2060" t="s">
        <v>183</v>
      </c>
      <c r="L2060">
        <v>1</v>
      </c>
      <c r="M2060" s="28" t="s">
        <v>178</v>
      </c>
    </row>
    <row r="2061" spans="1:13" x14ac:dyDescent="0.2">
      <c r="A2061">
        <f t="shared" si="32"/>
        <v>2055</v>
      </c>
      <c r="B2061">
        <v>2022</v>
      </c>
      <c r="C2061" t="s">
        <v>212</v>
      </c>
      <c r="D2061" t="s">
        <v>2104</v>
      </c>
      <c r="E2061" s="65">
        <v>150</v>
      </c>
      <c r="H2061" t="s">
        <v>150</v>
      </c>
      <c r="I2061" t="s">
        <v>292</v>
      </c>
      <c r="J2061" t="s">
        <v>136</v>
      </c>
      <c r="K2061" t="s">
        <v>183</v>
      </c>
      <c r="L2061">
        <v>1</v>
      </c>
      <c r="M2061" s="28" t="s">
        <v>178</v>
      </c>
    </row>
    <row r="2062" spans="1:13" x14ac:dyDescent="0.2">
      <c r="A2062">
        <f t="shared" si="32"/>
        <v>2056</v>
      </c>
      <c r="B2062">
        <v>2022</v>
      </c>
      <c r="C2062" t="s">
        <v>212</v>
      </c>
      <c r="D2062" t="s">
        <v>1035</v>
      </c>
      <c r="E2062" s="65">
        <v>750</v>
      </c>
      <c r="F2062" s="33">
        <v>0.5</v>
      </c>
      <c r="G2062" t="s">
        <v>2105</v>
      </c>
      <c r="H2062" t="s">
        <v>144</v>
      </c>
      <c r="I2062" t="s">
        <v>232</v>
      </c>
      <c r="J2062" t="s">
        <v>67</v>
      </c>
      <c r="K2062" t="s">
        <v>183</v>
      </c>
      <c r="L2062">
        <v>1</v>
      </c>
      <c r="M2062" s="28" t="s">
        <v>178</v>
      </c>
    </row>
    <row r="2063" spans="1:13" x14ac:dyDescent="0.2">
      <c r="A2063">
        <f t="shared" si="32"/>
        <v>2057</v>
      </c>
      <c r="B2063">
        <v>2022</v>
      </c>
      <c r="C2063" t="s">
        <v>212</v>
      </c>
      <c r="D2063" t="s">
        <v>300</v>
      </c>
      <c r="E2063" s="65">
        <v>590</v>
      </c>
      <c r="F2063" s="33">
        <v>0.05</v>
      </c>
      <c r="G2063" t="s">
        <v>709</v>
      </c>
      <c r="H2063" t="s">
        <v>144</v>
      </c>
      <c r="I2063" t="s">
        <v>187</v>
      </c>
      <c r="J2063" t="s">
        <v>119</v>
      </c>
      <c r="K2063" t="s">
        <v>195</v>
      </c>
      <c r="L2063">
        <v>0</v>
      </c>
    </row>
    <row r="2064" spans="1:13" x14ac:dyDescent="0.2">
      <c r="A2064">
        <f t="shared" si="32"/>
        <v>2058</v>
      </c>
      <c r="B2064">
        <v>2022</v>
      </c>
      <c r="C2064" t="s">
        <v>212</v>
      </c>
      <c r="D2064" s="17" t="s">
        <v>2106</v>
      </c>
      <c r="E2064" s="66">
        <v>230</v>
      </c>
      <c r="F2064" s="37">
        <v>0.8</v>
      </c>
      <c r="G2064" s="17"/>
      <c r="H2064" s="17" t="s">
        <v>144</v>
      </c>
      <c r="I2064" s="17" t="s">
        <v>197</v>
      </c>
      <c r="J2064" s="17" t="s">
        <v>84</v>
      </c>
      <c r="K2064" s="17" t="s">
        <v>201</v>
      </c>
      <c r="L2064" s="17">
        <v>1</v>
      </c>
      <c r="M2064" s="67" t="s">
        <v>178</v>
      </c>
    </row>
    <row r="2065" spans="1:13" x14ac:dyDescent="0.2">
      <c r="A2065">
        <f t="shared" si="32"/>
        <v>2059</v>
      </c>
      <c r="B2065">
        <v>2022</v>
      </c>
      <c r="C2065" t="s">
        <v>212</v>
      </c>
      <c r="D2065" s="17" t="s">
        <v>2099</v>
      </c>
      <c r="E2065" s="66">
        <v>240</v>
      </c>
      <c r="F2065" s="37"/>
      <c r="G2065" s="17"/>
      <c r="H2065" s="17" t="s">
        <v>149</v>
      </c>
      <c r="I2065" s="17"/>
      <c r="J2065" s="17" t="s">
        <v>139</v>
      </c>
      <c r="K2065" s="17" t="s">
        <v>219</v>
      </c>
      <c r="L2065" s="17">
        <v>1</v>
      </c>
      <c r="M2065" s="67" t="s">
        <v>178</v>
      </c>
    </row>
    <row r="2066" spans="1:13" x14ac:dyDescent="0.2">
      <c r="A2066">
        <f t="shared" si="32"/>
        <v>2060</v>
      </c>
      <c r="B2066">
        <v>2022</v>
      </c>
      <c r="C2066" t="s">
        <v>212</v>
      </c>
      <c r="D2066" s="17" t="s">
        <v>1287</v>
      </c>
      <c r="E2066" s="66">
        <v>1950</v>
      </c>
      <c r="F2066" s="37"/>
      <c r="G2066" s="17"/>
      <c r="H2066" s="17" t="s">
        <v>154</v>
      </c>
      <c r="I2066" s="17" t="s">
        <v>194</v>
      </c>
      <c r="J2066" s="17" t="s">
        <v>131</v>
      </c>
      <c r="K2066" s="17" t="s">
        <v>131</v>
      </c>
      <c r="L2066" s="17">
        <v>0</v>
      </c>
      <c r="M2066" s="67" t="s">
        <v>178</v>
      </c>
    </row>
    <row r="2067" spans="1:13" x14ac:dyDescent="0.2">
      <c r="A2067">
        <f t="shared" si="32"/>
        <v>2061</v>
      </c>
      <c r="B2067">
        <v>2022</v>
      </c>
      <c r="C2067" t="s">
        <v>212</v>
      </c>
      <c r="D2067" s="17" t="s">
        <v>255</v>
      </c>
      <c r="E2067" s="66">
        <v>1000</v>
      </c>
      <c r="F2067" s="37"/>
      <c r="G2067" s="17"/>
      <c r="H2067" s="17" t="s">
        <v>152</v>
      </c>
      <c r="I2067" s="17" t="s">
        <v>257</v>
      </c>
      <c r="J2067" s="17" t="s">
        <v>93</v>
      </c>
      <c r="K2067" s="17" t="s">
        <v>201</v>
      </c>
      <c r="L2067" s="17">
        <v>1</v>
      </c>
      <c r="M2067" s="67"/>
    </row>
    <row r="2068" spans="1:13" x14ac:dyDescent="0.2">
      <c r="A2068">
        <f t="shared" si="32"/>
        <v>2062</v>
      </c>
      <c r="B2068">
        <v>2023</v>
      </c>
      <c r="C2068" t="s">
        <v>172</v>
      </c>
      <c r="D2068" t="s">
        <v>554</v>
      </c>
      <c r="E2068" s="66">
        <v>120</v>
      </c>
      <c r="F2068" s="33">
        <v>0.15</v>
      </c>
      <c r="G2068" t="s">
        <v>2107</v>
      </c>
      <c r="H2068" t="s">
        <v>149</v>
      </c>
      <c r="J2068" t="s">
        <v>74</v>
      </c>
      <c r="K2068" t="s">
        <v>219</v>
      </c>
      <c r="L2068">
        <v>1</v>
      </c>
    </row>
    <row r="2069" spans="1:13" x14ac:dyDescent="0.2">
      <c r="A2069">
        <f t="shared" si="32"/>
        <v>2063</v>
      </c>
      <c r="B2069">
        <v>2023</v>
      </c>
      <c r="C2069" t="s">
        <v>172</v>
      </c>
      <c r="D2069" t="s">
        <v>2108</v>
      </c>
      <c r="E2069" s="66">
        <v>150</v>
      </c>
      <c r="F2069" s="33">
        <v>1</v>
      </c>
      <c r="H2069" t="s">
        <v>144</v>
      </c>
      <c r="I2069" t="s">
        <v>232</v>
      </c>
      <c r="J2069" t="s">
        <v>72</v>
      </c>
      <c r="K2069" t="s">
        <v>183</v>
      </c>
      <c r="L2069">
        <v>1</v>
      </c>
      <c r="M2069" s="28" t="s">
        <v>178</v>
      </c>
    </row>
    <row r="2070" spans="1:13" x14ac:dyDescent="0.2">
      <c r="A2070">
        <f t="shared" si="32"/>
        <v>2064</v>
      </c>
      <c r="B2070">
        <v>2023</v>
      </c>
      <c r="C2070" t="s">
        <v>172</v>
      </c>
      <c r="D2070" t="s">
        <v>2092</v>
      </c>
      <c r="E2070" s="66">
        <v>780</v>
      </c>
      <c r="F2070" s="33">
        <v>0.5</v>
      </c>
      <c r="H2070" t="s">
        <v>142</v>
      </c>
      <c r="J2070" t="s">
        <v>39</v>
      </c>
      <c r="K2070" t="s">
        <v>219</v>
      </c>
      <c r="L2070">
        <v>1</v>
      </c>
    </row>
    <row r="2071" spans="1:13" x14ac:dyDescent="0.2">
      <c r="A2071">
        <f t="shared" si="32"/>
        <v>2065</v>
      </c>
      <c r="B2071">
        <v>2023</v>
      </c>
      <c r="C2071" t="s">
        <v>172</v>
      </c>
      <c r="D2071" t="s">
        <v>449</v>
      </c>
      <c r="E2071" s="66">
        <v>750</v>
      </c>
      <c r="F2071" s="33">
        <v>0.8</v>
      </c>
      <c r="H2071" t="s">
        <v>154</v>
      </c>
      <c r="I2071" t="s">
        <v>529</v>
      </c>
      <c r="J2071" t="s">
        <v>28</v>
      </c>
      <c r="K2071" t="s">
        <v>205</v>
      </c>
      <c r="L2071" s="70">
        <v>0</v>
      </c>
      <c r="M2071" t="s">
        <v>178</v>
      </c>
    </row>
    <row r="2072" spans="1:13" x14ac:dyDescent="0.2">
      <c r="A2072">
        <f t="shared" si="32"/>
        <v>2066</v>
      </c>
      <c r="B2072">
        <v>2023</v>
      </c>
      <c r="C2072" t="s">
        <v>172</v>
      </c>
      <c r="D2072" t="s">
        <v>1480</v>
      </c>
      <c r="E2072" s="66">
        <v>110</v>
      </c>
      <c r="F2072" s="33">
        <v>0.7</v>
      </c>
      <c r="H2072" t="s">
        <v>144</v>
      </c>
      <c r="J2072" t="s">
        <v>67</v>
      </c>
      <c r="K2072" t="s">
        <v>183</v>
      </c>
      <c r="L2072">
        <v>1</v>
      </c>
      <c r="M2072" s="28" t="s">
        <v>178</v>
      </c>
    </row>
    <row r="2073" spans="1:13" x14ac:dyDescent="0.2">
      <c r="A2073">
        <f t="shared" si="32"/>
        <v>2067</v>
      </c>
      <c r="B2073">
        <v>2023</v>
      </c>
      <c r="C2073" t="s">
        <v>172</v>
      </c>
      <c r="D2073" t="s">
        <v>2109</v>
      </c>
      <c r="E2073" s="66">
        <v>130</v>
      </c>
      <c r="F2073" s="33">
        <v>0.5</v>
      </c>
      <c r="G2073" t="s">
        <v>2110</v>
      </c>
      <c r="H2073" t="s">
        <v>144</v>
      </c>
      <c r="I2073" t="s">
        <v>232</v>
      </c>
      <c r="J2073" t="s">
        <v>9</v>
      </c>
      <c r="K2073" t="s">
        <v>9</v>
      </c>
      <c r="L2073">
        <v>0</v>
      </c>
    </row>
    <row r="2074" spans="1:13" x14ac:dyDescent="0.2">
      <c r="A2074">
        <f t="shared" si="32"/>
        <v>2068</v>
      </c>
      <c r="B2074">
        <v>2023</v>
      </c>
      <c r="C2074" t="s">
        <v>172</v>
      </c>
      <c r="D2074" t="s">
        <v>2111</v>
      </c>
      <c r="E2074" s="66">
        <v>1860</v>
      </c>
      <c r="H2074" t="s">
        <v>149</v>
      </c>
      <c r="I2074" t="s">
        <v>182</v>
      </c>
      <c r="J2074" t="s">
        <v>96</v>
      </c>
      <c r="K2074" t="s">
        <v>205</v>
      </c>
      <c r="L2074">
        <v>1</v>
      </c>
      <c r="M2074" s="28" t="s">
        <v>178</v>
      </c>
    </row>
    <row r="2075" spans="1:13" x14ac:dyDescent="0.2">
      <c r="A2075">
        <f t="shared" si="32"/>
        <v>2069</v>
      </c>
      <c r="B2075">
        <v>2023</v>
      </c>
      <c r="C2075" t="s">
        <v>258</v>
      </c>
      <c r="D2075" t="s">
        <v>449</v>
      </c>
      <c r="E2075" s="66">
        <v>600</v>
      </c>
      <c r="H2075" t="s">
        <v>154</v>
      </c>
      <c r="I2075" t="s">
        <v>194</v>
      </c>
      <c r="J2075" t="s">
        <v>27</v>
      </c>
      <c r="K2075" t="s">
        <v>205</v>
      </c>
      <c r="L2075">
        <v>1</v>
      </c>
    </row>
    <row r="2076" spans="1:13" x14ac:dyDescent="0.2">
      <c r="A2076">
        <f t="shared" si="32"/>
        <v>2070</v>
      </c>
      <c r="B2076">
        <v>2023</v>
      </c>
      <c r="C2076" t="s">
        <v>258</v>
      </c>
      <c r="D2076" t="s">
        <v>438</v>
      </c>
      <c r="E2076" s="66">
        <v>100</v>
      </c>
      <c r="G2076" t="s">
        <v>2112</v>
      </c>
      <c r="H2076" t="s">
        <v>154</v>
      </c>
      <c r="I2076" t="s">
        <v>194</v>
      </c>
      <c r="J2076" t="s">
        <v>72</v>
      </c>
      <c r="K2076" t="s">
        <v>183</v>
      </c>
      <c r="L2076">
        <v>1</v>
      </c>
    </row>
    <row r="2077" spans="1:13" x14ac:dyDescent="0.2">
      <c r="A2077">
        <f t="shared" si="32"/>
        <v>2071</v>
      </c>
      <c r="B2077">
        <v>2023</v>
      </c>
      <c r="C2077" t="s">
        <v>258</v>
      </c>
      <c r="D2077" t="s">
        <v>2113</v>
      </c>
      <c r="E2077" s="66">
        <v>1260</v>
      </c>
      <c r="F2077" s="33">
        <v>0.51</v>
      </c>
      <c r="G2077" t="s">
        <v>2114</v>
      </c>
      <c r="H2077" t="s">
        <v>149</v>
      </c>
      <c r="I2077" t="s">
        <v>182</v>
      </c>
      <c r="J2077" t="s">
        <v>53</v>
      </c>
      <c r="K2077" t="s">
        <v>183</v>
      </c>
      <c r="L2077">
        <v>1</v>
      </c>
      <c r="M2077" s="28" t="s">
        <v>178</v>
      </c>
    </row>
    <row r="2078" spans="1:13" x14ac:dyDescent="0.2">
      <c r="A2078">
        <f t="shared" si="32"/>
        <v>2072</v>
      </c>
      <c r="B2078">
        <v>2023</v>
      </c>
      <c r="C2078" t="s">
        <v>258</v>
      </c>
      <c r="D2078" t="s">
        <v>554</v>
      </c>
      <c r="E2078" s="66">
        <v>120</v>
      </c>
      <c r="G2078" t="s">
        <v>2115</v>
      </c>
      <c r="H2078" t="s">
        <v>153</v>
      </c>
      <c r="J2078" t="s">
        <v>61</v>
      </c>
      <c r="K2078" t="s">
        <v>183</v>
      </c>
      <c r="L2078">
        <v>0</v>
      </c>
    </row>
    <row r="2079" spans="1:13" s="41" customFormat="1" x14ac:dyDescent="0.2">
      <c r="A2079">
        <f t="shared" si="32"/>
        <v>2073</v>
      </c>
      <c r="B2079">
        <v>2023</v>
      </c>
      <c r="C2079" t="s">
        <v>258</v>
      </c>
      <c r="D2079" t="s">
        <v>1652</v>
      </c>
      <c r="E2079" s="66">
        <v>170</v>
      </c>
      <c r="F2079" s="33">
        <v>0.8</v>
      </c>
      <c r="G2079" t="s">
        <v>2116</v>
      </c>
      <c r="H2079" t="s">
        <v>154</v>
      </c>
      <c r="I2079" t="s">
        <v>194</v>
      </c>
      <c r="J2079" t="s">
        <v>23</v>
      </c>
      <c r="K2079" t="s">
        <v>183</v>
      </c>
      <c r="L2079">
        <v>1</v>
      </c>
      <c r="M2079" s="28" t="s">
        <v>178</v>
      </c>
    </row>
    <row r="2080" spans="1:13" s="17" customFormat="1" x14ac:dyDescent="0.2">
      <c r="A2080">
        <f t="shared" si="32"/>
        <v>2074</v>
      </c>
      <c r="B2080">
        <v>2023</v>
      </c>
      <c r="C2080" t="s">
        <v>258</v>
      </c>
      <c r="D2080" t="s">
        <v>244</v>
      </c>
      <c r="E2080" s="66">
        <v>130</v>
      </c>
      <c r="F2080" s="33"/>
      <c r="H2080" t="s">
        <v>149</v>
      </c>
      <c r="J2080" t="s">
        <v>25</v>
      </c>
      <c r="K2080" t="s">
        <v>177</v>
      </c>
      <c r="L2080">
        <v>0</v>
      </c>
      <c r="M2080" s="28"/>
    </row>
    <row r="2081" spans="1:13" x14ac:dyDescent="0.2">
      <c r="A2081">
        <f t="shared" si="32"/>
        <v>2075</v>
      </c>
      <c r="B2081">
        <v>2023</v>
      </c>
      <c r="C2081" t="s">
        <v>258</v>
      </c>
      <c r="D2081" t="s">
        <v>2117</v>
      </c>
      <c r="E2081" s="66">
        <v>180</v>
      </c>
      <c r="H2081" t="s">
        <v>149</v>
      </c>
      <c r="J2081" t="s">
        <v>139</v>
      </c>
      <c r="K2081" t="s">
        <v>219</v>
      </c>
      <c r="L2081">
        <v>1</v>
      </c>
    </row>
    <row r="2082" spans="1:13" x14ac:dyDescent="0.2">
      <c r="A2082">
        <f t="shared" si="32"/>
        <v>2076</v>
      </c>
      <c r="B2082" s="17">
        <v>2023</v>
      </c>
      <c r="C2082" s="17" t="s">
        <v>258</v>
      </c>
      <c r="D2082" s="17" t="s">
        <v>2047</v>
      </c>
      <c r="E2082" s="66">
        <v>810</v>
      </c>
      <c r="F2082" s="37"/>
      <c r="G2082" s="17"/>
      <c r="H2082" s="17" t="s">
        <v>152</v>
      </c>
      <c r="I2082" s="17" t="s">
        <v>257</v>
      </c>
      <c r="J2082" s="17" t="s">
        <v>91</v>
      </c>
      <c r="K2082" s="17" t="s">
        <v>195</v>
      </c>
      <c r="L2082" s="17">
        <v>0</v>
      </c>
      <c r="M2082" s="67" t="s">
        <v>178</v>
      </c>
    </row>
    <row r="2083" spans="1:13" x14ac:dyDescent="0.2">
      <c r="A2083">
        <f t="shared" si="32"/>
        <v>2077</v>
      </c>
      <c r="B2083" s="17">
        <v>2023</v>
      </c>
      <c r="C2083" s="17" t="s">
        <v>258</v>
      </c>
      <c r="D2083" s="17" t="s">
        <v>2118</v>
      </c>
      <c r="E2083" s="66">
        <v>200</v>
      </c>
      <c r="F2083" s="37">
        <v>1</v>
      </c>
      <c r="G2083" s="17" t="s">
        <v>2119</v>
      </c>
      <c r="H2083" s="17" t="s">
        <v>150</v>
      </c>
      <c r="I2083" s="17" t="s">
        <v>556</v>
      </c>
      <c r="J2083" s="17" t="s">
        <v>20</v>
      </c>
      <c r="K2083" s="17" t="s">
        <v>195</v>
      </c>
      <c r="L2083" s="17">
        <v>0</v>
      </c>
      <c r="M2083" s="67"/>
    </row>
    <row r="2084" spans="1:13" x14ac:dyDescent="0.2">
      <c r="A2084">
        <f t="shared" si="32"/>
        <v>2078</v>
      </c>
      <c r="B2084" s="17">
        <v>2023</v>
      </c>
      <c r="C2084" s="17" t="s">
        <v>258</v>
      </c>
      <c r="D2084" s="17" t="s">
        <v>2120</v>
      </c>
      <c r="E2084" s="66">
        <v>180</v>
      </c>
      <c r="F2084" s="37"/>
      <c r="G2084" s="17"/>
      <c r="H2084" s="17" t="s">
        <v>150</v>
      </c>
      <c r="I2084" s="17" t="s">
        <v>556</v>
      </c>
      <c r="J2084" s="17" t="s">
        <v>77</v>
      </c>
      <c r="K2084" s="17" t="s">
        <v>177</v>
      </c>
      <c r="L2084" s="17">
        <v>0</v>
      </c>
      <c r="M2084" s="67" t="s">
        <v>178</v>
      </c>
    </row>
    <row r="2085" spans="1:13" x14ac:dyDescent="0.2">
      <c r="A2085">
        <f t="shared" si="32"/>
        <v>2079</v>
      </c>
      <c r="B2085">
        <v>2023</v>
      </c>
      <c r="C2085" t="s">
        <v>179</v>
      </c>
      <c r="D2085" t="s">
        <v>577</v>
      </c>
      <c r="E2085" s="66">
        <v>160</v>
      </c>
      <c r="H2085" t="s">
        <v>150</v>
      </c>
      <c r="I2085" t="s">
        <v>217</v>
      </c>
      <c r="J2085" t="s">
        <v>38</v>
      </c>
      <c r="K2085" t="s">
        <v>214</v>
      </c>
      <c r="L2085">
        <v>1</v>
      </c>
      <c r="M2085" s="28" t="s">
        <v>178</v>
      </c>
    </row>
    <row r="2086" spans="1:13" x14ac:dyDescent="0.2">
      <c r="A2086">
        <f t="shared" si="32"/>
        <v>2080</v>
      </c>
      <c r="B2086">
        <v>2023</v>
      </c>
      <c r="C2086" t="s">
        <v>179</v>
      </c>
      <c r="D2086" t="s">
        <v>1624</v>
      </c>
      <c r="E2086" s="66">
        <v>190</v>
      </c>
      <c r="F2086" s="33">
        <v>0.6</v>
      </c>
      <c r="G2086" t="s">
        <v>2121</v>
      </c>
      <c r="H2086" t="s">
        <v>151</v>
      </c>
      <c r="I2086" t="s">
        <v>279</v>
      </c>
      <c r="J2086" t="s">
        <v>92</v>
      </c>
      <c r="K2086" t="s">
        <v>214</v>
      </c>
      <c r="L2086">
        <v>1</v>
      </c>
    </row>
    <row r="2087" spans="1:13" x14ac:dyDescent="0.2">
      <c r="A2087">
        <f t="shared" si="32"/>
        <v>2081</v>
      </c>
      <c r="B2087">
        <v>2023</v>
      </c>
      <c r="C2087" t="s">
        <v>179</v>
      </c>
      <c r="D2087" t="s">
        <v>2122</v>
      </c>
      <c r="E2087" s="66">
        <v>100</v>
      </c>
      <c r="H2087" t="s">
        <v>148</v>
      </c>
      <c r="J2087" t="s">
        <v>131</v>
      </c>
      <c r="K2087" t="s">
        <v>131</v>
      </c>
      <c r="L2087">
        <v>0</v>
      </c>
    </row>
    <row r="2088" spans="1:13" x14ac:dyDescent="0.2">
      <c r="A2088">
        <f t="shared" si="32"/>
        <v>2082</v>
      </c>
      <c r="B2088">
        <v>2023</v>
      </c>
      <c r="C2088" t="s">
        <v>179</v>
      </c>
      <c r="D2088" t="s">
        <v>2123</v>
      </c>
      <c r="E2088" s="66">
        <v>160</v>
      </c>
      <c r="F2088" s="33">
        <v>1</v>
      </c>
      <c r="G2088" t="s">
        <v>2124</v>
      </c>
      <c r="H2088" t="s">
        <v>147</v>
      </c>
      <c r="J2088" t="s">
        <v>131</v>
      </c>
      <c r="K2088" t="s">
        <v>131</v>
      </c>
      <c r="L2088">
        <v>0</v>
      </c>
    </row>
    <row r="2089" spans="1:13" x14ac:dyDescent="0.2">
      <c r="A2089">
        <f t="shared" si="32"/>
        <v>2083</v>
      </c>
      <c r="B2089">
        <v>2023</v>
      </c>
      <c r="C2089" t="s">
        <v>179</v>
      </c>
      <c r="D2089" t="s">
        <v>2125</v>
      </c>
      <c r="E2089" s="66">
        <v>130</v>
      </c>
      <c r="H2089" t="s">
        <v>148</v>
      </c>
      <c r="J2089" t="s">
        <v>34</v>
      </c>
      <c r="K2089" t="s">
        <v>219</v>
      </c>
      <c r="L2089">
        <v>1</v>
      </c>
    </row>
    <row r="2090" spans="1:13" x14ac:dyDescent="0.2">
      <c r="A2090">
        <f t="shared" si="32"/>
        <v>2084</v>
      </c>
      <c r="B2090">
        <v>2023</v>
      </c>
      <c r="C2090" t="s">
        <v>179</v>
      </c>
      <c r="D2090" t="s">
        <v>1722</v>
      </c>
      <c r="E2090" s="66">
        <v>650</v>
      </c>
      <c r="H2090" t="s">
        <v>154</v>
      </c>
      <c r="I2090" t="s">
        <v>194</v>
      </c>
      <c r="J2090" t="s">
        <v>138</v>
      </c>
      <c r="K2090" t="s">
        <v>219</v>
      </c>
      <c r="L2090">
        <v>1</v>
      </c>
    </row>
    <row r="2091" spans="1:13" x14ac:dyDescent="0.2">
      <c r="A2091">
        <f t="shared" si="32"/>
        <v>2085</v>
      </c>
      <c r="B2091">
        <v>2023</v>
      </c>
      <c r="C2091" t="s">
        <v>179</v>
      </c>
      <c r="D2091" t="s">
        <v>2126</v>
      </c>
      <c r="E2091" s="66">
        <v>460</v>
      </c>
      <c r="F2091" s="33">
        <v>0.49</v>
      </c>
      <c r="G2091" t="s">
        <v>2127</v>
      </c>
      <c r="H2091" t="s">
        <v>154</v>
      </c>
      <c r="I2091" t="s">
        <v>194</v>
      </c>
      <c r="J2091" t="s">
        <v>113</v>
      </c>
      <c r="K2091" t="s">
        <v>183</v>
      </c>
      <c r="L2091">
        <v>0</v>
      </c>
      <c r="M2091" s="28" t="s">
        <v>178</v>
      </c>
    </row>
    <row r="2092" spans="1:13" x14ac:dyDescent="0.2">
      <c r="A2092">
        <f t="shared" si="32"/>
        <v>2086</v>
      </c>
      <c r="B2092">
        <v>2023</v>
      </c>
      <c r="C2092" t="s">
        <v>179</v>
      </c>
      <c r="D2092" t="s">
        <v>336</v>
      </c>
      <c r="E2092" s="66">
        <v>780</v>
      </c>
      <c r="H2092" t="s">
        <v>149</v>
      </c>
      <c r="J2092" t="s">
        <v>83</v>
      </c>
      <c r="K2092" t="s">
        <v>219</v>
      </c>
      <c r="L2092">
        <v>1</v>
      </c>
    </row>
    <row r="2093" spans="1:13" x14ac:dyDescent="0.2">
      <c r="A2093">
        <f t="shared" si="32"/>
        <v>2087</v>
      </c>
      <c r="B2093">
        <v>2023</v>
      </c>
      <c r="C2093" t="s">
        <v>179</v>
      </c>
      <c r="D2093" t="s">
        <v>438</v>
      </c>
      <c r="E2093" s="66">
        <v>230</v>
      </c>
      <c r="G2093" t="s">
        <v>1522</v>
      </c>
      <c r="H2093" t="s">
        <v>154</v>
      </c>
      <c r="I2093" t="s">
        <v>194</v>
      </c>
      <c r="J2093" t="s">
        <v>72</v>
      </c>
      <c r="K2093" t="s">
        <v>183</v>
      </c>
      <c r="L2093">
        <v>1</v>
      </c>
      <c r="M2093" s="28" t="s">
        <v>178</v>
      </c>
    </row>
    <row r="2094" spans="1:13" x14ac:dyDescent="0.2">
      <c r="A2094">
        <f t="shared" si="32"/>
        <v>2088</v>
      </c>
      <c r="B2094">
        <v>2023</v>
      </c>
      <c r="C2094" t="s">
        <v>179</v>
      </c>
      <c r="D2094" t="s">
        <v>1129</v>
      </c>
      <c r="E2094" s="66">
        <v>110</v>
      </c>
      <c r="G2094" t="s">
        <v>2128</v>
      </c>
      <c r="H2094" t="s">
        <v>144</v>
      </c>
      <c r="I2094" t="s">
        <v>232</v>
      </c>
      <c r="J2094" t="s">
        <v>131</v>
      </c>
      <c r="K2094" t="s">
        <v>131</v>
      </c>
      <c r="L2094">
        <v>0</v>
      </c>
      <c r="M2094" s="28" t="s">
        <v>178</v>
      </c>
    </row>
    <row r="2095" spans="1:13" x14ac:dyDescent="0.2">
      <c r="A2095">
        <f t="shared" si="32"/>
        <v>2089</v>
      </c>
      <c r="B2095">
        <v>2023</v>
      </c>
      <c r="C2095" t="s">
        <v>179</v>
      </c>
      <c r="D2095" t="s">
        <v>1968</v>
      </c>
      <c r="E2095" s="66">
        <v>1730</v>
      </c>
      <c r="H2095" t="s">
        <v>149</v>
      </c>
      <c r="J2095" t="s">
        <v>34</v>
      </c>
      <c r="K2095" t="s">
        <v>219</v>
      </c>
      <c r="L2095">
        <v>1</v>
      </c>
    </row>
    <row r="2096" spans="1:13" x14ac:dyDescent="0.2">
      <c r="A2096">
        <f t="shared" si="32"/>
        <v>2090</v>
      </c>
      <c r="B2096">
        <v>2023</v>
      </c>
      <c r="C2096" t="s">
        <v>179</v>
      </c>
      <c r="D2096" t="s">
        <v>269</v>
      </c>
      <c r="E2096" s="66">
        <v>100</v>
      </c>
      <c r="F2096" s="33">
        <v>0.25</v>
      </c>
      <c r="H2096" t="s">
        <v>148</v>
      </c>
      <c r="J2096" t="s">
        <v>38</v>
      </c>
      <c r="K2096" t="s">
        <v>214</v>
      </c>
      <c r="L2096">
        <v>1</v>
      </c>
      <c r="M2096" s="28" t="s">
        <v>178</v>
      </c>
    </row>
    <row r="2097" spans="1:13" x14ac:dyDescent="0.2">
      <c r="A2097">
        <f t="shared" si="32"/>
        <v>2091</v>
      </c>
      <c r="B2097">
        <v>2023</v>
      </c>
      <c r="C2097" t="s">
        <v>179</v>
      </c>
      <c r="D2097" t="s">
        <v>559</v>
      </c>
      <c r="E2097" s="66">
        <v>120</v>
      </c>
      <c r="F2097" s="33">
        <v>1</v>
      </c>
      <c r="H2097" t="s">
        <v>142</v>
      </c>
      <c r="J2097" t="s">
        <v>67</v>
      </c>
      <c r="K2097" t="s">
        <v>183</v>
      </c>
      <c r="L2097">
        <v>1</v>
      </c>
      <c r="M2097" s="28" t="s">
        <v>178</v>
      </c>
    </row>
    <row r="2098" spans="1:13" x14ac:dyDescent="0.2">
      <c r="A2098">
        <f t="shared" si="32"/>
        <v>2092</v>
      </c>
      <c r="B2098">
        <v>2023</v>
      </c>
      <c r="C2098" t="s">
        <v>184</v>
      </c>
      <c r="D2098" t="s">
        <v>2129</v>
      </c>
      <c r="E2098" s="66">
        <v>300</v>
      </c>
      <c r="H2098" t="s">
        <v>151</v>
      </c>
      <c r="I2098" t="s">
        <v>224</v>
      </c>
      <c r="J2098" t="s">
        <v>108</v>
      </c>
      <c r="K2098" t="s">
        <v>183</v>
      </c>
      <c r="L2098">
        <v>1</v>
      </c>
    </row>
    <row r="2099" spans="1:13" x14ac:dyDescent="0.2">
      <c r="A2099">
        <f t="shared" si="32"/>
        <v>2093</v>
      </c>
      <c r="B2099">
        <v>2023</v>
      </c>
      <c r="C2099" t="s">
        <v>184</v>
      </c>
      <c r="D2099" t="s">
        <v>2130</v>
      </c>
      <c r="E2099" s="66">
        <v>100</v>
      </c>
      <c r="G2099" t="s">
        <v>2131</v>
      </c>
      <c r="H2099" t="s">
        <v>150</v>
      </c>
      <c r="I2099" t="s">
        <v>292</v>
      </c>
      <c r="J2099" t="s">
        <v>20</v>
      </c>
      <c r="K2099" t="s">
        <v>195</v>
      </c>
      <c r="L2099">
        <v>0</v>
      </c>
    </row>
    <row r="2100" spans="1:13" x14ac:dyDescent="0.2">
      <c r="A2100">
        <f t="shared" si="32"/>
        <v>2094</v>
      </c>
      <c r="B2100">
        <v>2023</v>
      </c>
      <c r="C2100" t="s">
        <v>184</v>
      </c>
      <c r="D2100" t="s">
        <v>189</v>
      </c>
      <c r="E2100" s="66">
        <v>380</v>
      </c>
      <c r="F2100" s="33">
        <v>0.01</v>
      </c>
      <c r="H2100" t="s">
        <v>144</v>
      </c>
      <c r="I2100" t="s">
        <v>299</v>
      </c>
      <c r="J2100" t="s">
        <v>100</v>
      </c>
      <c r="K2100" t="s">
        <v>214</v>
      </c>
      <c r="L2100">
        <v>1</v>
      </c>
    </row>
    <row r="2101" spans="1:13" x14ac:dyDescent="0.2">
      <c r="A2101">
        <f t="shared" si="32"/>
        <v>2095</v>
      </c>
      <c r="B2101">
        <v>2023</v>
      </c>
      <c r="C2101" t="s">
        <v>184</v>
      </c>
      <c r="D2101" t="s">
        <v>1353</v>
      </c>
      <c r="E2101" s="66">
        <v>110</v>
      </c>
      <c r="F2101" s="33">
        <v>1</v>
      </c>
      <c r="H2101" t="s">
        <v>150</v>
      </c>
      <c r="I2101" t="s">
        <v>556</v>
      </c>
      <c r="J2101" t="s">
        <v>19</v>
      </c>
      <c r="K2101" t="s">
        <v>205</v>
      </c>
      <c r="L2101">
        <v>0</v>
      </c>
      <c r="M2101" s="28" t="s">
        <v>178</v>
      </c>
    </row>
    <row r="2102" spans="1:13" x14ac:dyDescent="0.2">
      <c r="A2102">
        <f t="shared" si="32"/>
        <v>2096</v>
      </c>
      <c r="B2102">
        <v>2023</v>
      </c>
      <c r="C2102" t="s">
        <v>184</v>
      </c>
      <c r="D2102" t="s">
        <v>1905</v>
      </c>
      <c r="E2102" s="66">
        <v>370</v>
      </c>
      <c r="F2102" s="33">
        <v>0.62</v>
      </c>
      <c r="H2102" t="s">
        <v>151</v>
      </c>
      <c r="I2102" t="s">
        <v>279</v>
      </c>
      <c r="J2102" t="s">
        <v>40</v>
      </c>
      <c r="K2102" t="s">
        <v>219</v>
      </c>
      <c r="L2102">
        <v>1</v>
      </c>
      <c r="M2102" s="28" t="s">
        <v>178</v>
      </c>
    </row>
    <row r="2103" spans="1:13" x14ac:dyDescent="0.2">
      <c r="A2103">
        <f t="shared" si="32"/>
        <v>2097</v>
      </c>
      <c r="B2103">
        <v>2023</v>
      </c>
      <c r="C2103" t="s">
        <v>184</v>
      </c>
      <c r="D2103" t="s">
        <v>1011</v>
      </c>
      <c r="E2103" s="66">
        <v>450</v>
      </c>
      <c r="F2103" s="33">
        <v>0.49</v>
      </c>
      <c r="G2103" t="s">
        <v>1929</v>
      </c>
      <c r="H2103" t="s">
        <v>154</v>
      </c>
      <c r="I2103" t="s">
        <v>194</v>
      </c>
      <c r="J2103" t="s">
        <v>113</v>
      </c>
      <c r="K2103" t="s">
        <v>183</v>
      </c>
      <c r="L2103">
        <v>0</v>
      </c>
      <c r="M2103" s="28" t="s">
        <v>178</v>
      </c>
    </row>
    <row r="2104" spans="1:13" x14ac:dyDescent="0.2">
      <c r="A2104">
        <f t="shared" si="32"/>
        <v>2098</v>
      </c>
      <c r="B2104">
        <v>2023</v>
      </c>
      <c r="C2104" t="s">
        <v>184</v>
      </c>
      <c r="D2104" t="s">
        <v>1035</v>
      </c>
      <c r="E2104" s="66">
        <v>210</v>
      </c>
      <c r="F2104" s="33">
        <v>0.51</v>
      </c>
      <c r="G2104" t="s">
        <v>2132</v>
      </c>
      <c r="H2104" t="s">
        <v>144</v>
      </c>
      <c r="I2104" t="s">
        <v>232</v>
      </c>
      <c r="J2104" t="s">
        <v>106</v>
      </c>
      <c r="K2104" t="s">
        <v>195</v>
      </c>
      <c r="L2104">
        <v>1</v>
      </c>
    </row>
    <row r="2105" spans="1:13" x14ac:dyDescent="0.2">
      <c r="A2105">
        <f t="shared" si="32"/>
        <v>2099</v>
      </c>
      <c r="B2105">
        <v>2023</v>
      </c>
      <c r="C2105" t="s">
        <v>184</v>
      </c>
      <c r="D2105" t="s">
        <v>2133</v>
      </c>
      <c r="E2105" s="66">
        <v>610</v>
      </c>
      <c r="F2105" s="33" t="s">
        <v>2134</v>
      </c>
      <c r="H2105" t="s">
        <v>148</v>
      </c>
      <c r="J2105" t="s">
        <v>72</v>
      </c>
      <c r="K2105" t="s">
        <v>183</v>
      </c>
      <c r="L2105">
        <v>1</v>
      </c>
      <c r="M2105" s="28" t="s">
        <v>178</v>
      </c>
    </row>
    <row r="2106" spans="1:13" x14ac:dyDescent="0.2">
      <c r="A2106">
        <f t="shared" si="32"/>
        <v>2100</v>
      </c>
      <c r="B2106">
        <v>2023</v>
      </c>
      <c r="C2106" t="s">
        <v>184</v>
      </c>
      <c r="D2106" t="s">
        <v>2135</v>
      </c>
      <c r="E2106" s="66">
        <v>190</v>
      </c>
      <c r="H2106" t="s">
        <v>154</v>
      </c>
      <c r="I2106" t="s">
        <v>194</v>
      </c>
      <c r="J2106" t="s">
        <v>77</v>
      </c>
      <c r="K2106" t="s">
        <v>177</v>
      </c>
      <c r="L2106">
        <v>0</v>
      </c>
      <c r="M2106" s="28" t="s">
        <v>178</v>
      </c>
    </row>
    <row r="2107" spans="1:13" x14ac:dyDescent="0.2">
      <c r="A2107">
        <f t="shared" si="32"/>
        <v>2101</v>
      </c>
      <c r="B2107">
        <v>2023</v>
      </c>
      <c r="C2107" t="s">
        <v>184</v>
      </c>
      <c r="D2107" t="s">
        <v>285</v>
      </c>
      <c r="E2107" s="66">
        <v>510</v>
      </c>
      <c r="F2107" s="33">
        <v>0.33</v>
      </c>
      <c r="G2107" t="s">
        <v>2136</v>
      </c>
      <c r="H2107" t="s">
        <v>144</v>
      </c>
      <c r="J2107" t="s">
        <v>27</v>
      </c>
      <c r="K2107" t="s">
        <v>205</v>
      </c>
      <c r="L2107">
        <v>1</v>
      </c>
      <c r="M2107" s="28" t="s">
        <v>178</v>
      </c>
    </row>
    <row r="2108" spans="1:13" x14ac:dyDescent="0.2">
      <c r="A2108">
        <f t="shared" si="32"/>
        <v>2102</v>
      </c>
      <c r="B2108">
        <v>2023</v>
      </c>
      <c r="C2108" t="s">
        <v>184</v>
      </c>
      <c r="D2108" t="s">
        <v>2137</v>
      </c>
      <c r="E2108" s="66">
        <v>100</v>
      </c>
      <c r="H2108" t="s">
        <v>142</v>
      </c>
      <c r="J2108" t="s">
        <v>67</v>
      </c>
      <c r="K2108" t="s">
        <v>183</v>
      </c>
      <c r="L2108">
        <v>1</v>
      </c>
      <c r="M2108" s="28" t="s">
        <v>178</v>
      </c>
    </row>
    <row r="2109" spans="1:13" x14ac:dyDescent="0.2">
      <c r="A2109">
        <f t="shared" si="32"/>
        <v>2103</v>
      </c>
      <c r="B2109">
        <v>2023</v>
      </c>
      <c r="C2109" t="s">
        <v>184</v>
      </c>
      <c r="D2109" t="s">
        <v>2138</v>
      </c>
      <c r="E2109" s="66">
        <v>320</v>
      </c>
      <c r="H2109" t="s">
        <v>152</v>
      </c>
      <c r="I2109" t="s">
        <v>257</v>
      </c>
      <c r="J2109" t="s">
        <v>72</v>
      </c>
      <c r="K2109" t="s">
        <v>183</v>
      </c>
      <c r="L2109">
        <v>1</v>
      </c>
      <c r="M2109" s="28" t="s">
        <v>178</v>
      </c>
    </row>
    <row r="2110" spans="1:13" x14ac:dyDescent="0.2">
      <c r="A2110">
        <f t="shared" si="32"/>
        <v>2104</v>
      </c>
      <c r="B2110">
        <v>2023</v>
      </c>
      <c r="C2110" t="s">
        <v>184</v>
      </c>
      <c r="D2110" t="s">
        <v>1180</v>
      </c>
      <c r="E2110" s="66">
        <v>120</v>
      </c>
      <c r="H2110" t="s">
        <v>144</v>
      </c>
      <c r="I2110" t="s">
        <v>232</v>
      </c>
      <c r="J2110" t="s">
        <v>63</v>
      </c>
      <c r="K2110" t="s">
        <v>201</v>
      </c>
      <c r="L2110">
        <v>1</v>
      </c>
      <c r="M2110" s="28" t="s">
        <v>178</v>
      </c>
    </row>
    <row r="2111" spans="1:13" x14ac:dyDescent="0.2">
      <c r="A2111">
        <f t="shared" si="32"/>
        <v>2105</v>
      </c>
      <c r="B2111">
        <v>2023</v>
      </c>
      <c r="C2111" t="s">
        <v>184</v>
      </c>
      <c r="D2111" t="s">
        <v>2139</v>
      </c>
      <c r="E2111" s="66">
        <v>130</v>
      </c>
      <c r="H2111" t="s">
        <v>150</v>
      </c>
      <c r="I2111" t="s">
        <v>217</v>
      </c>
      <c r="J2111" t="s">
        <v>106</v>
      </c>
      <c r="K2111" t="s">
        <v>195</v>
      </c>
      <c r="L2111">
        <v>1</v>
      </c>
      <c r="M2111" s="28" t="s">
        <v>178</v>
      </c>
    </row>
    <row r="2112" spans="1:13" x14ac:dyDescent="0.2">
      <c r="A2112">
        <f t="shared" si="32"/>
        <v>2106</v>
      </c>
      <c r="B2112">
        <v>2023</v>
      </c>
      <c r="C2112" t="s">
        <v>225</v>
      </c>
      <c r="D2112" t="s">
        <v>1948</v>
      </c>
      <c r="E2112" s="66">
        <v>130</v>
      </c>
      <c r="F2112" s="33">
        <v>1</v>
      </c>
      <c r="H2112" t="s">
        <v>149</v>
      </c>
      <c r="I2112" t="s">
        <v>182</v>
      </c>
      <c r="J2112" t="s">
        <v>136</v>
      </c>
      <c r="K2112" t="s">
        <v>183</v>
      </c>
      <c r="L2112">
        <v>1</v>
      </c>
      <c r="M2112" s="28" t="s">
        <v>178</v>
      </c>
    </row>
    <row r="2113" spans="1:13" x14ac:dyDescent="0.2">
      <c r="A2113">
        <f t="shared" si="32"/>
        <v>2107</v>
      </c>
      <c r="B2113">
        <v>2023</v>
      </c>
      <c r="C2113" t="s">
        <v>225</v>
      </c>
      <c r="D2113" t="s">
        <v>438</v>
      </c>
      <c r="E2113" s="66">
        <v>290</v>
      </c>
      <c r="F2113" s="33">
        <v>0.09</v>
      </c>
      <c r="G2113" t="s">
        <v>2140</v>
      </c>
      <c r="H2113" t="s">
        <v>154</v>
      </c>
      <c r="I2113" t="s">
        <v>194</v>
      </c>
      <c r="J2113" t="s">
        <v>20</v>
      </c>
      <c r="K2113" t="s">
        <v>195</v>
      </c>
      <c r="L2113">
        <v>0</v>
      </c>
    </row>
    <row r="2114" spans="1:13" x14ac:dyDescent="0.2">
      <c r="A2114">
        <f t="shared" si="32"/>
        <v>2108</v>
      </c>
      <c r="B2114">
        <v>2023</v>
      </c>
      <c r="C2114" t="s">
        <v>225</v>
      </c>
      <c r="D2114" t="s">
        <v>1035</v>
      </c>
      <c r="E2114" s="66">
        <v>340</v>
      </c>
      <c r="F2114" s="33">
        <v>1</v>
      </c>
      <c r="H2114" t="s">
        <v>144</v>
      </c>
      <c r="I2114" t="s">
        <v>232</v>
      </c>
      <c r="J2114" t="s">
        <v>19</v>
      </c>
      <c r="K2114" t="s">
        <v>205</v>
      </c>
      <c r="L2114">
        <v>0</v>
      </c>
      <c r="M2114" s="28" t="s">
        <v>178</v>
      </c>
    </row>
    <row r="2115" spans="1:13" x14ac:dyDescent="0.2">
      <c r="A2115">
        <f t="shared" si="32"/>
        <v>2109</v>
      </c>
      <c r="B2115">
        <v>2023</v>
      </c>
      <c r="C2115" t="s">
        <v>225</v>
      </c>
      <c r="D2115" t="s">
        <v>2141</v>
      </c>
      <c r="E2115" s="66">
        <v>350</v>
      </c>
      <c r="F2115" s="33">
        <v>0.7</v>
      </c>
      <c r="G2115" t="s">
        <v>2142</v>
      </c>
      <c r="H2115" t="s">
        <v>149</v>
      </c>
      <c r="J2115" t="s">
        <v>53</v>
      </c>
      <c r="K2115" t="s">
        <v>183</v>
      </c>
      <c r="L2115">
        <v>1</v>
      </c>
      <c r="M2115" s="28" t="s">
        <v>178</v>
      </c>
    </row>
    <row r="2116" spans="1:13" x14ac:dyDescent="0.2">
      <c r="A2116">
        <f t="shared" si="32"/>
        <v>2110</v>
      </c>
      <c r="B2116">
        <v>2023</v>
      </c>
      <c r="C2116" t="s">
        <v>225</v>
      </c>
      <c r="D2116" t="s">
        <v>2143</v>
      </c>
      <c r="E2116" s="66">
        <v>280</v>
      </c>
      <c r="H2116" t="s">
        <v>154</v>
      </c>
      <c r="I2116" t="s">
        <v>194</v>
      </c>
      <c r="J2116" t="s">
        <v>77</v>
      </c>
      <c r="K2116" t="s">
        <v>177</v>
      </c>
      <c r="L2116">
        <v>0</v>
      </c>
      <c r="M2116" s="28" t="s">
        <v>178</v>
      </c>
    </row>
    <row r="2117" spans="1:13" x14ac:dyDescent="0.2">
      <c r="A2117">
        <f t="shared" si="32"/>
        <v>2111</v>
      </c>
      <c r="B2117">
        <v>2023</v>
      </c>
      <c r="C2117" t="s">
        <v>225</v>
      </c>
      <c r="D2117" t="s">
        <v>477</v>
      </c>
      <c r="E2117" s="66">
        <v>270</v>
      </c>
      <c r="F2117" s="33">
        <v>0.7</v>
      </c>
      <c r="H2117" t="s">
        <v>148</v>
      </c>
      <c r="J2117" t="s">
        <v>115</v>
      </c>
      <c r="K2117" t="s">
        <v>201</v>
      </c>
      <c r="L2117">
        <v>1</v>
      </c>
      <c r="M2117" s="28" t="s">
        <v>178</v>
      </c>
    </row>
    <row r="2118" spans="1:13" x14ac:dyDescent="0.2">
      <c r="A2118">
        <f t="shared" si="32"/>
        <v>2112</v>
      </c>
      <c r="B2118">
        <v>2023</v>
      </c>
      <c r="C2118" t="s">
        <v>225</v>
      </c>
      <c r="D2118" t="s">
        <v>1842</v>
      </c>
      <c r="E2118" s="66">
        <v>520</v>
      </c>
      <c r="H2118" t="s">
        <v>149</v>
      </c>
      <c r="I2118" t="s">
        <v>182</v>
      </c>
      <c r="J2118" t="s">
        <v>107</v>
      </c>
      <c r="K2118" t="s">
        <v>219</v>
      </c>
      <c r="L2118">
        <v>1</v>
      </c>
    </row>
    <row r="2119" spans="1:13" x14ac:dyDescent="0.2">
      <c r="A2119">
        <f t="shared" ref="A2119:A2182" si="33">ROW()-6</f>
        <v>2113</v>
      </c>
      <c r="B2119">
        <v>2023</v>
      </c>
      <c r="C2119" t="s">
        <v>225</v>
      </c>
      <c r="D2119" t="s">
        <v>2144</v>
      </c>
      <c r="E2119" s="66">
        <v>290</v>
      </c>
      <c r="F2119" s="33">
        <v>1</v>
      </c>
      <c r="H2119" t="s">
        <v>143</v>
      </c>
      <c r="J2119" t="s">
        <v>53</v>
      </c>
      <c r="K2119" t="s">
        <v>183</v>
      </c>
      <c r="L2119">
        <v>1</v>
      </c>
      <c r="M2119" s="28" t="s">
        <v>178</v>
      </c>
    </row>
    <row r="2120" spans="1:13" x14ac:dyDescent="0.2">
      <c r="A2120">
        <f t="shared" si="33"/>
        <v>2114</v>
      </c>
      <c r="B2120">
        <v>2023</v>
      </c>
      <c r="C2120" t="s">
        <v>225</v>
      </c>
      <c r="D2120" t="s">
        <v>2145</v>
      </c>
      <c r="E2120" s="66">
        <v>290</v>
      </c>
      <c r="F2120" s="33">
        <v>0.6</v>
      </c>
      <c r="G2120" t="s">
        <v>2062</v>
      </c>
      <c r="H2120" t="s">
        <v>143</v>
      </c>
      <c r="J2120" t="s">
        <v>53</v>
      </c>
      <c r="K2120" t="s">
        <v>183</v>
      </c>
      <c r="L2120">
        <v>1</v>
      </c>
      <c r="M2120" s="28" t="s">
        <v>178</v>
      </c>
    </row>
    <row r="2121" spans="1:13" x14ac:dyDescent="0.2">
      <c r="A2121">
        <f t="shared" si="33"/>
        <v>2115</v>
      </c>
      <c r="B2121">
        <v>2023</v>
      </c>
      <c r="C2121" t="s">
        <v>225</v>
      </c>
      <c r="D2121" t="s">
        <v>1129</v>
      </c>
      <c r="E2121" s="66">
        <v>110</v>
      </c>
      <c r="H2121" t="s">
        <v>144</v>
      </c>
      <c r="I2121" t="s">
        <v>232</v>
      </c>
      <c r="J2121" t="s">
        <v>136</v>
      </c>
      <c r="K2121" t="s">
        <v>183</v>
      </c>
      <c r="L2121">
        <v>1</v>
      </c>
      <c r="M2121" s="28" t="s">
        <v>178</v>
      </c>
    </row>
    <row r="2122" spans="1:13" x14ac:dyDescent="0.2">
      <c r="A2122">
        <f t="shared" si="33"/>
        <v>2116</v>
      </c>
      <c r="B2122">
        <v>2023</v>
      </c>
      <c r="C2122" t="s">
        <v>225</v>
      </c>
      <c r="D2122" t="s">
        <v>2146</v>
      </c>
      <c r="E2122" s="66">
        <v>120</v>
      </c>
      <c r="H2122" t="s">
        <v>149</v>
      </c>
      <c r="I2122" t="s">
        <v>236</v>
      </c>
      <c r="J2122" t="s">
        <v>6</v>
      </c>
      <c r="K2122" t="s">
        <v>219</v>
      </c>
      <c r="L2122">
        <v>1</v>
      </c>
      <c r="M2122" s="28" t="s">
        <v>178</v>
      </c>
    </row>
    <row r="2123" spans="1:13" x14ac:dyDescent="0.2">
      <c r="A2123">
        <f t="shared" si="33"/>
        <v>2117</v>
      </c>
      <c r="B2123">
        <v>2023</v>
      </c>
      <c r="C2123" t="s">
        <v>188</v>
      </c>
      <c r="D2123" t="s">
        <v>479</v>
      </c>
      <c r="E2123" s="66">
        <v>1310</v>
      </c>
      <c r="H2123" t="s">
        <v>154</v>
      </c>
      <c r="I2123" t="s">
        <v>194</v>
      </c>
      <c r="J2123" t="s">
        <v>23</v>
      </c>
      <c r="K2123" t="s">
        <v>183</v>
      </c>
      <c r="L2123">
        <v>1</v>
      </c>
      <c r="M2123" s="28" t="s">
        <v>178</v>
      </c>
    </row>
    <row r="2124" spans="1:13" x14ac:dyDescent="0.2">
      <c r="A2124">
        <f t="shared" si="33"/>
        <v>2118</v>
      </c>
      <c r="B2124">
        <v>2023</v>
      </c>
      <c r="C2124" t="s">
        <v>188</v>
      </c>
      <c r="D2124" t="s">
        <v>199</v>
      </c>
      <c r="E2124" s="66">
        <v>380</v>
      </c>
      <c r="F2124" s="33">
        <v>0.01</v>
      </c>
      <c r="H2124" t="s">
        <v>144</v>
      </c>
      <c r="I2124" t="s">
        <v>299</v>
      </c>
      <c r="J2124" t="s">
        <v>100</v>
      </c>
      <c r="K2124" t="s">
        <v>214</v>
      </c>
      <c r="L2124">
        <v>1</v>
      </c>
    </row>
    <row r="2125" spans="1:13" x14ac:dyDescent="0.2">
      <c r="A2125">
        <f t="shared" si="33"/>
        <v>2119</v>
      </c>
      <c r="B2125">
        <v>2023</v>
      </c>
      <c r="C2125" t="s">
        <v>188</v>
      </c>
      <c r="D2125" t="s">
        <v>554</v>
      </c>
      <c r="E2125" s="66">
        <v>110</v>
      </c>
      <c r="H2125" t="s">
        <v>147</v>
      </c>
      <c r="J2125" t="s">
        <v>59</v>
      </c>
      <c r="K2125" t="s">
        <v>219</v>
      </c>
      <c r="L2125">
        <v>1</v>
      </c>
      <c r="M2125" s="28" t="s">
        <v>178</v>
      </c>
    </row>
    <row r="2126" spans="1:13" x14ac:dyDescent="0.2">
      <c r="A2126">
        <f t="shared" si="33"/>
        <v>2120</v>
      </c>
      <c r="B2126">
        <v>2023</v>
      </c>
      <c r="C2126" t="s">
        <v>188</v>
      </c>
      <c r="D2126" t="s">
        <v>307</v>
      </c>
      <c r="E2126" s="66">
        <v>330</v>
      </c>
      <c r="H2126" t="s">
        <v>155</v>
      </c>
      <c r="J2126" t="s">
        <v>8</v>
      </c>
      <c r="K2126" t="s">
        <v>205</v>
      </c>
      <c r="L2126">
        <v>1</v>
      </c>
    </row>
    <row r="2127" spans="1:13" x14ac:dyDescent="0.2">
      <c r="A2127">
        <f t="shared" si="33"/>
        <v>2121</v>
      </c>
      <c r="B2127">
        <v>2023</v>
      </c>
      <c r="C2127" t="s">
        <v>188</v>
      </c>
      <c r="D2127" t="s">
        <v>1011</v>
      </c>
      <c r="E2127" s="66">
        <v>270</v>
      </c>
      <c r="F2127" s="33">
        <v>1</v>
      </c>
      <c r="H2127" t="s">
        <v>144</v>
      </c>
      <c r="I2127" t="s">
        <v>232</v>
      </c>
      <c r="J2127" t="s">
        <v>51</v>
      </c>
      <c r="K2127" t="s">
        <v>195</v>
      </c>
      <c r="L2127">
        <v>1</v>
      </c>
      <c r="M2127" s="28" t="s">
        <v>178</v>
      </c>
    </row>
    <row r="2128" spans="1:13" x14ac:dyDescent="0.2">
      <c r="A2128">
        <f t="shared" si="33"/>
        <v>2122</v>
      </c>
      <c r="B2128">
        <v>2023</v>
      </c>
      <c r="C2128" t="s">
        <v>188</v>
      </c>
      <c r="D2128" t="s">
        <v>1329</v>
      </c>
      <c r="E2128" s="66">
        <v>860</v>
      </c>
      <c r="H2128" t="s">
        <v>149</v>
      </c>
      <c r="I2128" t="s">
        <v>236</v>
      </c>
      <c r="J2128" t="s">
        <v>53</v>
      </c>
      <c r="K2128" t="s">
        <v>183</v>
      </c>
      <c r="L2128">
        <v>1</v>
      </c>
      <c r="M2128" s="28" t="s">
        <v>178</v>
      </c>
    </row>
    <row r="2129" spans="1:13" x14ac:dyDescent="0.2">
      <c r="A2129">
        <f t="shared" si="33"/>
        <v>2123</v>
      </c>
      <c r="B2129">
        <v>2023</v>
      </c>
      <c r="C2129" t="s">
        <v>188</v>
      </c>
      <c r="D2129" t="s">
        <v>2147</v>
      </c>
      <c r="E2129" s="66">
        <v>580</v>
      </c>
      <c r="G2129" t="s">
        <v>2148</v>
      </c>
      <c r="H2129" t="s">
        <v>144</v>
      </c>
      <c r="I2129" t="s">
        <v>232</v>
      </c>
      <c r="J2129" t="s">
        <v>113</v>
      </c>
      <c r="K2129" t="s">
        <v>183</v>
      </c>
      <c r="L2129">
        <v>0</v>
      </c>
      <c r="M2129" s="28" t="s">
        <v>178</v>
      </c>
    </row>
    <row r="2130" spans="1:13" x14ac:dyDescent="0.2">
      <c r="A2130">
        <f t="shared" si="33"/>
        <v>2124</v>
      </c>
      <c r="B2130">
        <v>2023</v>
      </c>
      <c r="C2130" t="s">
        <v>188</v>
      </c>
      <c r="D2130" t="s">
        <v>2149</v>
      </c>
      <c r="E2130" s="65">
        <v>100</v>
      </c>
      <c r="H2130" t="s">
        <v>152</v>
      </c>
      <c r="J2130" t="s">
        <v>124</v>
      </c>
      <c r="K2130" t="s">
        <v>183</v>
      </c>
      <c r="L2130">
        <v>1</v>
      </c>
      <c r="M2130" s="28" t="s">
        <v>178</v>
      </c>
    </row>
    <row r="2131" spans="1:13" x14ac:dyDescent="0.2">
      <c r="A2131">
        <f t="shared" si="33"/>
        <v>2125</v>
      </c>
      <c r="B2131">
        <v>2023</v>
      </c>
      <c r="C2131" t="s">
        <v>188</v>
      </c>
      <c r="D2131" t="s">
        <v>1829</v>
      </c>
      <c r="E2131" s="65">
        <v>340</v>
      </c>
      <c r="F2131" s="33">
        <v>1</v>
      </c>
      <c r="G2131" t="s">
        <v>2150</v>
      </c>
      <c r="H2131" t="s">
        <v>147</v>
      </c>
      <c r="J2131" t="s">
        <v>9</v>
      </c>
      <c r="K2131" t="s">
        <v>9</v>
      </c>
      <c r="L2131">
        <v>0</v>
      </c>
    </row>
    <row r="2132" spans="1:13" x14ac:dyDescent="0.2">
      <c r="A2132">
        <f t="shared" si="33"/>
        <v>2126</v>
      </c>
      <c r="B2132">
        <v>2023</v>
      </c>
      <c r="C2132" t="s">
        <v>188</v>
      </c>
      <c r="D2132" t="s">
        <v>1287</v>
      </c>
      <c r="E2132" s="65">
        <v>290</v>
      </c>
      <c r="G2132" t="s">
        <v>2151</v>
      </c>
      <c r="H2132" t="s">
        <v>154</v>
      </c>
      <c r="I2132" t="s">
        <v>194</v>
      </c>
      <c r="J2132" t="s">
        <v>114</v>
      </c>
      <c r="K2132" t="s">
        <v>195</v>
      </c>
      <c r="L2132">
        <v>0</v>
      </c>
      <c r="M2132" s="28" t="s">
        <v>178</v>
      </c>
    </row>
    <row r="2133" spans="1:13" x14ac:dyDescent="0.2">
      <c r="A2133">
        <f t="shared" si="33"/>
        <v>2127</v>
      </c>
      <c r="B2133">
        <v>2023</v>
      </c>
      <c r="C2133" t="s">
        <v>188</v>
      </c>
      <c r="D2133" t="s">
        <v>2152</v>
      </c>
      <c r="E2133" s="65">
        <v>170</v>
      </c>
      <c r="F2133" s="33">
        <v>0.81</v>
      </c>
      <c r="G2133" t="s">
        <v>2153</v>
      </c>
      <c r="H2133" t="s">
        <v>152</v>
      </c>
      <c r="J2133" t="s">
        <v>19</v>
      </c>
      <c r="K2133" t="s">
        <v>205</v>
      </c>
      <c r="L2133">
        <v>0</v>
      </c>
    </row>
    <row r="2134" spans="1:13" x14ac:dyDescent="0.2">
      <c r="A2134">
        <f t="shared" si="33"/>
        <v>2128</v>
      </c>
      <c r="B2134">
        <v>2023</v>
      </c>
      <c r="C2134" t="s">
        <v>191</v>
      </c>
      <c r="D2134" t="s">
        <v>2154</v>
      </c>
      <c r="E2134" s="65">
        <v>270</v>
      </c>
      <c r="F2134" s="33">
        <v>1</v>
      </c>
      <c r="G2134" t="s">
        <v>1647</v>
      </c>
      <c r="H2134" t="s">
        <v>152</v>
      </c>
      <c r="J2134" t="s">
        <v>108</v>
      </c>
      <c r="K2134" t="s">
        <v>183</v>
      </c>
      <c r="L2134">
        <v>1</v>
      </c>
    </row>
    <row r="2135" spans="1:13" x14ac:dyDescent="0.2">
      <c r="A2135">
        <f t="shared" si="33"/>
        <v>2129</v>
      </c>
      <c r="B2135">
        <v>2023</v>
      </c>
      <c r="C2135" t="s">
        <v>191</v>
      </c>
      <c r="D2135" s="17" t="s">
        <v>797</v>
      </c>
      <c r="E2135" s="65">
        <v>2000</v>
      </c>
      <c r="H2135" t="s">
        <v>149</v>
      </c>
      <c r="I2135" t="s">
        <v>236</v>
      </c>
      <c r="J2135" t="s">
        <v>34</v>
      </c>
      <c r="K2135" t="s">
        <v>219</v>
      </c>
      <c r="L2135">
        <v>1</v>
      </c>
    </row>
    <row r="2136" spans="1:13" x14ac:dyDescent="0.2">
      <c r="A2136">
        <f t="shared" si="33"/>
        <v>2130</v>
      </c>
      <c r="B2136">
        <v>2023</v>
      </c>
      <c r="C2136" t="s">
        <v>191</v>
      </c>
      <c r="D2136" t="s">
        <v>822</v>
      </c>
      <c r="E2136" s="65">
        <v>850</v>
      </c>
      <c r="G2136" t="s">
        <v>1243</v>
      </c>
      <c r="H2136" t="s">
        <v>150</v>
      </c>
      <c r="I2136" t="s">
        <v>556</v>
      </c>
      <c r="J2136" t="s">
        <v>108</v>
      </c>
      <c r="K2136" t="s">
        <v>183</v>
      </c>
      <c r="L2136">
        <v>1</v>
      </c>
    </row>
    <row r="2137" spans="1:13" x14ac:dyDescent="0.2">
      <c r="A2137">
        <f t="shared" si="33"/>
        <v>2131</v>
      </c>
      <c r="B2137">
        <v>2023</v>
      </c>
      <c r="C2137" t="s">
        <v>191</v>
      </c>
      <c r="D2137" t="s">
        <v>221</v>
      </c>
      <c r="E2137" s="65">
        <v>400</v>
      </c>
      <c r="G2137" t="s">
        <v>2155</v>
      </c>
      <c r="H2137" t="s">
        <v>149</v>
      </c>
      <c r="J2137" t="s">
        <v>16</v>
      </c>
      <c r="K2137" t="s">
        <v>205</v>
      </c>
      <c r="L2137">
        <v>1</v>
      </c>
      <c r="M2137" s="28" t="s">
        <v>178</v>
      </c>
    </row>
    <row r="2138" spans="1:13" x14ac:dyDescent="0.2">
      <c r="A2138">
        <f t="shared" si="33"/>
        <v>2132</v>
      </c>
      <c r="B2138">
        <v>2023</v>
      </c>
      <c r="C2138" t="s">
        <v>191</v>
      </c>
      <c r="D2138" t="s">
        <v>530</v>
      </c>
      <c r="E2138" s="65">
        <v>400</v>
      </c>
      <c r="H2138" t="s">
        <v>152</v>
      </c>
      <c r="I2138" t="s">
        <v>257</v>
      </c>
      <c r="J2138" t="s">
        <v>105</v>
      </c>
      <c r="K2138" t="s">
        <v>214</v>
      </c>
      <c r="L2138">
        <v>1</v>
      </c>
    </row>
    <row r="2139" spans="1:13" x14ac:dyDescent="0.2">
      <c r="A2139">
        <f t="shared" si="33"/>
        <v>2133</v>
      </c>
      <c r="B2139">
        <v>2023</v>
      </c>
      <c r="C2139" t="s">
        <v>191</v>
      </c>
      <c r="D2139" t="s">
        <v>189</v>
      </c>
      <c r="E2139" s="65">
        <v>100</v>
      </c>
      <c r="H2139" t="s">
        <v>144</v>
      </c>
      <c r="I2139" t="s">
        <v>187</v>
      </c>
      <c r="J2139" t="s">
        <v>115</v>
      </c>
      <c r="K2139" t="s">
        <v>201</v>
      </c>
      <c r="L2139">
        <v>1</v>
      </c>
      <c r="M2139" s="28" t="s">
        <v>178</v>
      </c>
    </row>
    <row r="2140" spans="1:13" x14ac:dyDescent="0.2">
      <c r="A2140">
        <f t="shared" si="33"/>
        <v>2134</v>
      </c>
      <c r="B2140">
        <v>2023</v>
      </c>
      <c r="C2140" t="s">
        <v>191</v>
      </c>
      <c r="D2140" t="s">
        <v>1011</v>
      </c>
      <c r="E2140" s="65">
        <v>200</v>
      </c>
      <c r="F2140" s="33">
        <v>0.51</v>
      </c>
      <c r="G2140" t="s">
        <v>2156</v>
      </c>
      <c r="H2140" t="s">
        <v>149</v>
      </c>
      <c r="J2140" t="s">
        <v>53</v>
      </c>
      <c r="K2140" t="s">
        <v>183</v>
      </c>
      <c r="L2140">
        <v>1</v>
      </c>
    </row>
    <row r="2141" spans="1:13" x14ac:dyDescent="0.2">
      <c r="A2141">
        <f t="shared" si="33"/>
        <v>2135</v>
      </c>
      <c r="B2141">
        <v>2023</v>
      </c>
      <c r="C2141" t="s">
        <v>191</v>
      </c>
      <c r="D2141" t="s">
        <v>2157</v>
      </c>
      <c r="E2141" s="65">
        <v>200</v>
      </c>
      <c r="F2141" s="33">
        <v>1</v>
      </c>
      <c r="H2141" t="s">
        <v>142</v>
      </c>
      <c r="J2141" t="s">
        <v>59</v>
      </c>
      <c r="K2141" t="s">
        <v>219</v>
      </c>
      <c r="L2141">
        <v>1</v>
      </c>
      <c r="M2141" s="28" t="s">
        <v>178</v>
      </c>
    </row>
    <row r="2142" spans="1:13" x14ac:dyDescent="0.2">
      <c r="A2142">
        <f t="shared" si="33"/>
        <v>2136</v>
      </c>
      <c r="B2142">
        <v>2023</v>
      </c>
      <c r="C2142" t="s">
        <v>191</v>
      </c>
      <c r="D2142" t="s">
        <v>307</v>
      </c>
      <c r="E2142" s="65">
        <v>130</v>
      </c>
      <c r="H2142" t="s">
        <v>152</v>
      </c>
      <c r="I2142" t="s">
        <v>257</v>
      </c>
      <c r="J2142" t="s">
        <v>53</v>
      </c>
      <c r="K2142" t="s">
        <v>183</v>
      </c>
      <c r="L2142">
        <v>1</v>
      </c>
    </row>
    <row r="2143" spans="1:13" x14ac:dyDescent="0.2">
      <c r="A2143">
        <f t="shared" si="33"/>
        <v>2137</v>
      </c>
      <c r="B2143">
        <v>2023</v>
      </c>
      <c r="C2143" t="s">
        <v>191</v>
      </c>
      <c r="D2143" t="s">
        <v>438</v>
      </c>
      <c r="E2143" s="65">
        <v>910</v>
      </c>
      <c r="F2143" s="33">
        <v>0.45</v>
      </c>
      <c r="G2143" t="s">
        <v>2158</v>
      </c>
      <c r="H2143" t="s">
        <v>154</v>
      </c>
      <c r="I2143" t="s">
        <v>194</v>
      </c>
      <c r="J2143" t="s">
        <v>114</v>
      </c>
      <c r="K2143" t="s">
        <v>195</v>
      </c>
      <c r="L2143">
        <v>0</v>
      </c>
    </row>
    <row r="2144" spans="1:13" ht="14.5" customHeight="1" x14ac:dyDescent="0.2">
      <c r="A2144">
        <f t="shared" si="33"/>
        <v>2138</v>
      </c>
      <c r="B2144">
        <v>2023</v>
      </c>
      <c r="C2144" t="s">
        <v>191</v>
      </c>
      <c r="D2144" t="s">
        <v>2159</v>
      </c>
      <c r="E2144" s="65">
        <v>590</v>
      </c>
      <c r="F2144" s="33">
        <v>0.7</v>
      </c>
      <c r="G2144" t="s">
        <v>2073</v>
      </c>
      <c r="H2144" t="s">
        <v>143</v>
      </c>
      <c r="J2144" t="s">
        <v>41</v>
      </c>
      <c r="K2144" t="s">
        <v>195</v>
      </c>
      <c r="L2144">
        <v>0</v>
      </c>
      <c r="M2144" s="28" t="s">
        <v>178</v>
      </c>
    </row>
    <row r="2145" spans="1:13" ht="14.5" customHeight="1" x14ac:dyDescent="0.2">
      <c r="A2145">
        <f t="shared" si="33"/>
        <v>2139</v>
      </c>
      <c r="B2145">
        <v>2023</v>
      </c>
      <c r="C2145" t="s">
        <v>191</v>
      </c>
      <c r="D2145" t="s">
        <v>454</v>
      </c>
      <c r="E2145" s="65">
        <v>1520</v>
      </c>
      <c r="F2145" s="33">
        <v>0.67</v>
      </c>
      <c r="G2145" t="s">
        <v>2160</v>
      </c>
      <c r="H2145" t="s">
        <v>145</v>
      </c>
      <c r="J2145" t="s">
        <v>98</v>
      </c>
      <c r="K2145" t="s">
        <v>195</v>
      </c>
      <c r="L2145">
        <v>1</v>
      </c>
    </row>
    <row r="2146" spans="1:13" ht="14.5" customHeight="1" x14ac:dyDescent="0.2">
      <c r="A2146">
        <f t="shared" si="33"/>
        <v>2140</v>
      </c>
      <c r="B2146">
        <v>2023</v>
      </c>
      <c r="C2146" t="s">
        <v>191</v>
      </c>
      <c r="D2146" t="s">
        <v>1035</v>
      </c>
      <c r="E2146" s="65">
        <v>130</v>
      </c>
      <c r="H2146" t="s">
        <v>144</v>
      </c>
      <c r="I2146" t="s">
        <v>197</v>
      </c>
      <c r="J2146" t="s">
        <v>67</v>
      </c>
      <c r="K2146" t="s">
        <v>183</v>
      </c>
      <c r="L2146">
        <v>1</v>
      </c>
      <c r="M2146" s="28" t="s">
        <v>178</v>
      </c>
    </row>
    <row r="2147" spans="1:13" ht="14.5" customHeight="1" x14ac:dyDescent="0.2">
      <c r="A2147">
        <f t="shared" si="33"/>
        <v>2141</v>
      </c>
      <c r="B2147">
        <v>2023</v>
      </c>
      <c r="C2147" t="s">
        <v>191</v>
      </c>
      <c r="D2147" t="s">
        <v>798</v>
      </c>
      <c r="E2147" s="65">
        <v>120</v>
      </c>
      <c r="H2147" t="s">
        <v>143</v>
      </c>
      <c r="J2147" t="s">
        <v>8</v>
      </c>
      <c r="K2147" t="s">
        <v>205</v>
      </c>
      <c r="L2147">
        <v>1</v>
      </c>
      <c r="M2147" s="28" t="s">
        <v>178</v>
      </c>
    </row>
    <row r="2148" spans="1:13" x14ac:dyDescent="0.2">
      <c r="A2148">
        <f t="shared" si="33"/>
        <v>2142</v>
      </c>
      <c r="B2148">
        <v>2023</v>
      </c>
      <c r="C2148" t="s">
        <v>198</v>
      </c>
      <c r="D2148" t="s">
        <v>2161</v>
      </c>
      <c r="E2148" s="65">
        <v>270</v>
      </c>
      <c r="F2148" s="33">
        <v>1</v>
      </c>
      <c r="H2148" t="s">
        <v>154</v>
      </c>
      <c r="I2148" t="s">
        <v>194</v>
      </c>
      <c r="J2148" t="s">
        <v>51</v>
      </c>
      <c r="K2148" t="s">
        <v>195</v>
      </c>
      <c r="L2148">
        <v>1</v>
      </c>
      <c r="M2148" s="28" t="s">
        <v>178</v>
      </c>
    </row>
    <row r="2149" spans="1:13" x14ac:dyDescent="0.2">
      <c r="A2149">
        <f t="shared" si="33"/>
        <v>2143</v>
      </c>
      <c r="B2149">
        <v>2023</v>
      </c>
      <c r="C2149" t="s">
        <v>198</v>
      </c>
      <c r="D2149" t="s">
        <v>321</v>
      </c>
      <c r="E2149" s="65">
        <v>150</v>
      </c>
      <c r="F2149" s="33">
        <v>0.75</v>
      </c>
      <c r="G2149" t="s">
        <v>2162</v>
      </c>
      <c r="H2149" t="s">
        <v>147</v>
      </c>
      <c r="J2149" t="s">
        <v>45</v>
      </c>
      <c r="K2149" t="s">
        <v>195</v>
      </c>
      <c r="L2149">
        <v>0</v>
      </c>
    </row>
    <row r="2150" spans="1:13" x14ac:dyDescent="0.2">
      <c r="A2150">
        <f t="shared" si="33"/>
        <v>2144</v>
      </c>
      <c r="B2150">
        <v>2023</v>
      </c>
      <c r="C2150" t="s">
        <v>198</v>
      </c>
      <c r="D2150" t="s">
        <v>1023</v>
      </c>
      <c r="E2150" s="65">
        <v>300</v>
      </c>
      <c r="H2150" t="s">
        <v>154</v>
      </c>
      <c r="I2150" t="s">
        <v>194</v>
      </c>
      <c r="J2150" t="s">
        <v>80</v>
      </c>
      <c r="K2150" t="s">
        <v>214</v>
      </c>
      <c r="L2150">
        <v>1</v>
      </c>
      <c r="M2150" s="28" t="s">
        <v>178</v>
      </c>
    </row>
    <row r="2151" spans="1:13" x14ac:dyDescent="0.2">
      <c r="A2151">
        <f t="shared" si="33"/>
        <v>2145</v>
      </c>
      <c r="B2151">
        <v>2023</v>
      </c>
      <c r="C2151" t="s">
        <v>198</v>
      </c>
      <c r="D2151" t="s">
        <v>2163</v>
      </c>
      <c r="E2151" s="65">
        <v>320</v>
      </c>
      <c r="F2151" s="33">
        <v>0.8</v>
      </c>
      <c r="G2151" t="s">
        <v>2164</v>
      </c>
      <c r="H2151" t="s">
        <v>152</v>
      </c>
      <c r="J2151" t="s">
        <v>15</v>
      </c>
      <c r="K2151" t="s">
        <v>195</v>
      </c>
      <c r="L2151">
        <v>0</v>
      </c>
    </row>
    <row r="2152" spans="1:13" x14ac:dyDescent="0.2">
      <c r="A2152">
        <f t="shared" si="33"/>
        <v>2146</v>
      </c>
      <c r="B2152">
        <v>2023</v>
      </c>
      <c r="C2152" t="s">
        <v>198</v>
      </c>
      <c r="D2152" t="s">
        <v>2165</v>
      </c>
      <c r="E2152" s="65">
        <v>210</v>
      </c>
      <c r="H2152" t="s">
        <v>154</v>
      </c>
      <c r="I2152" t="s">
        <v>194</v>
      </c>
      <c r="J2152" t="s">
        <v>124</v>
      </c>
      <c r="K2152" t="s">
        <v>183</v>
      </c>
      <c r="L2152">
        <v>1</v>
      </c>
      <c r="M2152" s="28" t="s">
        <v>178</v>
      </c>
    </row>
    <row r="2153" spans="1:13" x14ac:dyDescent="0.2">
      <c r="A2153">
        <f t="shared" si="33"/>
        <v>2147</v>
      </c>
      <c r="B2153">
        <v>2023</v>
      </c>
      <c r="C2153" t="s">
        <v>198</v>
      </c>
      <c r="D2153" t="s">
        <v>2166</v>
      </c>
      <c r="E2153" s="65">
        <v>290</v>
      </c>
      <c r="H2153" t="s">
        <v>150</v>
      </c>
      <c r="I2153" t="s">
        <v>556</v>
      </c>
      <c r="J2153" t="s">
        <v>136</v>
      </c>
      <c r="K2153" t="s">
        <v>183</v>
      </c>
      <c r="L2153">
        <v>1</v>
      </c>
    </row>
    <row r="2154" spans="1:13" x14ac:dyDescent="0.2">
      <c r="A2154">
        <f t="shared" si="33"/>
        <v>2148</v>
      </c>
      <c r="B2154">
        <v>2023</v>
      </c>
      <c r="C2154" t="s">
        <v>198</v>
      </c>
      <c r="D2154" t="s">
        <v>875</v>
      </c>
      <c r="E2154" s="65">
        <v>120</v>
      </c>
      <c r="H2154" t="s">
        <v>151</v>
      </c>
      <c r="I2154" t="s">
        <v>279</v>
      </c>
      <c r="J2154" t="s">
        <v>134</v>
      </c>
      <c r="K2154" t="s">
        <v>201</v>
      </c>
      <c r="L2154">
        <v>1</v>
      </c>
    </row>
    <row r="2155" spans="1:13" x14ac:dyDescent="0.2">
      <c r="A2155">
        <f t="shared" si="33"/>
        <v>2149</v>
      </c>
      <c r="B2155">
        <v>2023</v>
      </c>
      <c r="C2155" t="s">
        <v>198</v>
      </c>
      <c r="D2155" t="s">
        <v>1905</v>
      </c>
      <c r="E2155" s="65">
        <v>100</v>
      </c>
      <c r="G2155" t="s">
        <v>2167</v>
      </c>
      <c r="H2155" t="s">
        <v>151</v>
      </c>
      <c r="I2155" t="s">
        <v>279</v>
      </c>
      <c r="J2155" t="s">
        <v>81</v>
      </c>
      <c r="K2155" t="s">
        <v>219</v>
      </c>
      <c r="L2155">
        <v>1</v>
      </c>
      <c r="M2155" s="28" t="s">
        <v>178</v>
      </c>
    </row>
    <row r="2156" spans="1:13" x14ac:dyDescent="0.2">
      <c r="A2156">
        <f t="shared" si="33"/>
        <v>2150</v>
      </c>
      <c r="B2156">
        <v>2023</v>
      </c>
      <c r="C2156" t="s">
        <v>198</v>
      </c>
      <c r="D2156" t="s">
        <v>2168</v>
      </c>
      <c r="E2156" s="65">
        <v>100</v>
      </c>
      <c r="H2156" t="s">
        <v>151</v>
      </c>
      <c r="I2156" t="s">
        <v>279</v>
      </c>
      <c r="J2156" t="s">
        <v>29</v>
      </c>
      <c r="K2156" t="s">
        <v>219</v>
      </c>
      <c r="L2156">
        <v>1</v>
      </c>
      <c r="M2156" s="28" t="s">
        <v>178</v>
      </c>
    </row>
    <row r="2157" spans="1:13" x14ac:dyDescent="0.2">
      <c r="A2157">
        <f t="shared" si="33"/>
        <v>2151</v>
      </c>
      <c r="B2157">
        <v>2023</v>
      </c>
      <c r="C2157" t="s">
        <v>198</v>
      </c>
      <c r="D2157" t="s">
        <v>2169</v>
      </c>
      <c r="E2157" s="65">
        <v>310</v>
      </c>
      <c r="F2157" s="33">
        <v>0.33</v>
      </c>
      <c r="G2157" t="s">
        <v>2170</v>
      </c>
      <c r="H2157" t="s">
        <v>150</v>
      </c>
      <c r="I2157" t="s">
        <v>292</v>
      </c>
      <c r="J2157" t="s">
        <v>131</v>
      </c>
      <c r="K2157" t="s">
        <v>131</v>
      </c>
      <c r="L2157">
        <v>0</v>
      </c>
    </row>
    <row r="2158" spans="1:13" x14ac:dyDescent="0.2">
      <c r="A2158">
        <f t="shared" si="33"/>
        <v>2152</v>
      </c>
      <c r="B2158">
        <v>2023</v>
      </c>
      <c r="C2158" t="s">
        <v>198</v>
      </c>
      <c r="D2158" t="s">
        <v>2096</v>
      </c>
      <c r="E2158" s="66">
        <v>150</v>
      </c>
      <c r="G2158" t="s">
        <v>2171</v>
      </c>
      <c r="H2158" t="s">
        <v>154</v>
      </c>
      <c r="I2158" t="s">
        <v>194</v>
      </c>
      <c r="J2158" t="s">
        <v>136</v>
      </c>
      <c r="K2158" t="s">
        <v>183</v>
      </c>
      <c r="L2158">
        <v>1</v>
      </c>
    </row>
    <row r="2159" spans="1:13" x14ac:dyDescent="0.2">
      <c r="A2159">
        <f t="shared" si="33"/>
        <v>2153</v>
      </c>
      <c r="B2159">
        <v>2023</v>
      </c>
      <c r="C2159" t="s">
        <v>198</v>
      </c>
      <c r="D2159" t="s">
        <v>334</v>
      </c>
      <c r="E2159" s="66">
        <v>160</v>
      </c>
      <c r="H2159" t="s">
        <v>154</v>
      </c>
      <c r="I2159" t="s">
        <v>271</v>
      </c>
      <c r="J2159" t="s">
        <v>19</v>
      </c>
      <c r="K2159" t="s">
        <v>205</v>
      </c>
      <c r="L2159">
        <v>0</v>
      </c>
      <c r="M2159" s="28" t="s">
        <v>178</v>
      </c>
    </row>
    <row r="2160" spans="1:13" x14ac:dyDescent="0.2">
      <c r="A2160">
        <f t="shared" si="33"/>
        <v>2154</v>
      </c>
      <c r="B2160">
        <v>2023</v>
      </c>
      <c r="C2160" t="s">
        <v>202</v>
      </c>
      <c r="D2160" t="s">
        <v>1448</v>
      </c>
      <c r="E2160" s="65">
        <v>140</v>
      </c>
      <c r="F2160" s="33">
        <v>0.35</v>
      </c>
      <c r="G2160" t="s">
        <v>2172</v>
      </c>
      <c r="H2160" t="s">
        <v>149</v>
      </c>
      <c r="J2160" t="s">
        <v>74</v>
      </c>
      <c r="K2160" t="s">
        <v>219</v>
      </c>
      <c r="L2160">
        <v>1</v>
      </c>
      <c r="M2160" s="28" t="s">
        <v>178</v>
      </c>
    </row>
    <row r="2161" spans="1:13" x14ac:dyDescent="0.2">
      <c r="A2161">
        <f t="shared" si="33"/>
        <v>2155</v>
      </c>
      <c r="B2161">
        <v>2023</v>
      </c>
      <c r="C2161" t="s">
        <v>202</v>
      </c>
      <c r="D2161" t="s">
        <v>1807</v>
      </c>
      <c r="E2161" s="65">
        <v>140</v>
      </c>
      <c r="G2161" t="s">
        <v>2173</v>
      </c>
      <c r="H2161" t="s">
        <v>150</v>
      </c>
      <c r="I2161" t="s">
        <v>292</v>
      </c>
      <c r="J2161" t="s">
        <v>58</v>
      </c>
      <c r="K2161" t="s">
        <v>195</v>
      </c>
      <c r="L2161">
        <v>0</v>
      </c>
    </row>
    <row r="2162" spans="1:13" x14ac:dyDescent="0.2">
      <c r="A2162">
        <f t="shared" si="33"/>
        <v>2156</v>
      </c>
      <c r="B2162">
        <v>2023</v>
      </c>
      <c r="C2162" t="s">
        <v>202</v>
      </c>
      <c r="D2162" t="s">
        <v>2174</v>
      </c>
      <c r="E2162" s="65">
        <v>180</v>
      </c>
      <c r="G2162" t="s">
        <v>2175</v>
      </c>
      <c r="H2162" t="s">
        <v>148</v>
      </c>
      <c r="J2162" t="s">
        <v>72</v>
      </c>
      <c r="K2162" t="s">
        <v>183</v>
      </c>
      <c r="L2162">
        <v>1</v>
      </c>
      <c r="M2162" s="28" t="s">
        <v>178</v>
      </c>
    </row>
    <row r="2163" spans="1:13" x14ac:dyDescent="0.2">
      <c r="A2163">
        <f t="shared" si="33"/>
        <v>2157</v>
      </c>
      <c r="B2163">
        <v>2023</v>
      </c>
      <c r="C2163" t="s">
        <v>202</v>
      </c>
      <c r="D2163" t="s">
        <v>2176</v>
      </c>
      <c r="E2163" s="65">
        <v>130</v>
      </c>
      <c r="H2163" t="s">
        <v>152</v>
      </c>
      <c r="J2163" t="s">
        <v>124</v>
      </c>
      <c r="K2163" t="s">
        <v>183</v>
      </c>
      <c r="L2163">
        <v>1</v>
      </c>
      <c r="M2163" s="28" t="s">
        <v>178</v>
      </c>
    </row>
    <row r="2164" spans="1:13" x14ac:dyDescent="0.2">
      <c r="A2164">
        <f t="shared" si="33"/>
        <v>2158</v>
      </c>
      <c r="B2164">
        <v>2023</v>
      </c>
      <c r="C2164" t="s">
        <v>202</v>
      </c>
      <c r="D2164" t="s">
        <v>2177</v>
      </c>
      <c r="E2164" s="65">
        <v>100</v>
      </c>
      <c r="H2164" t="s">
        <v>152</v>
      </c>
      <c r="J2164" t="s">
        <v>124</v>
      </c>
      <c r="K2164" t="s">
        <v>183</v>
      </c>
      <c r="L2164">
        <v>1</v>
      </c>
      <c r="M2164" s="28" t="s">
        <v>178</v>
      </c>
    </row>
    <row r="2165" spans="1:13" x14ac:dyDescent="0.2">
      <c r="A2165">
        <f t="shared" si="33"/>
        <v>2159</v>
      </c>
      <c r="B2165">
        <v>2023</v>
      </c>
      <c r="C2165" t="s">
        <v>202</v>
      </c>
      <c r="D2165" t="s">
        <v>278</v>
      </c>
      <c r="E2165" s="65">
        <v>150</v>
      </c>
      <c r="H2165" t="s">
        <v>150</v>
      </c>
      <c r="I2165" t="s">
        <v>217</v>
      </c>
      <c r="J2165" t="s">
        <v>53</v>
      </c>
      <c r="K2165" t="s">
        <v>183</v>
      </c>
      <c r="L2165">
        <v>1</v>
      </c>
    </row>
    <row r="2166" spans="1:13" x14ac:dyDescent="0.2">
      <c r="A2166">
        <f t="shared" si="33"/>
        <v>2160</v>
      </c>
      <c r="B2166">
        <v>2023</v>
      </c>
      <c r="C2166" t="s">
        <v>202</v>
      </c>
      <c r="D2166" t="s">
        <v>2178</v>
      </c>
      <c r="E2166" s="65">
        <v>620</v>
      </c>
      <c r="G2166" t="s">
        <v>1929</v>
      </c>
      <c r="H2166" t="s">
        <v>152</v>
      </c>
      <c r="J2166" t="s">
        <v>113</v>
      </c>
      <c r="K2166" t="s">
        <v>183</v>
      </c>
      <c r="L2166">
        <v>0</v>
      </c>
    </row>
    <row r="2167" spans="1:13" x14ac:dyDescent="0.2">
      <c r="A2167">
        <f t="shared" si="33"/>
        <v>2161</v>
      </c>
      <c r="B2167">
        <v>2023</v>
      </c>
      <c r="C2167" t="s">
        <v>202</v>
      </c>
      <c r="D2167" t="s">
        <v>1928</v>
      </c>
      <c r="E2167" s="65">
        <v>170</v>
      </c>
      <c r="F2167" s="33">
        <v>0.3</v>
      </c>
      <c r="G2167" t="s">
        <v>1929</v>
      </c>
      <c r="H2167" t="s">
        <v>152</v>
      </c>
      <c r="J2167" t="s">
        <v>113</v>
      </c>
      <c r="K2167" t="s">
        <v>183</v>
      </c>
      <c r="L2167">
        <v>0</v>
      </c>
    </row>
    <row r="2168" spans="1:13" x14ac:dyDescent="0.2">
      <c r="A2168">
        <f t="shared" si="33"/>
        <v>2162</v>
      </c>
      <c r="B2168">
        <v>2023</v>
      </c>
      <c r="C2168" t="s">
        <v>202</v>
      </c>
      <c r="D2168" t="s">
        <v>1905</v>
      </c>
      <c r="E2168" s="65">
        <v>300</v>
      </c>
      <c r="G2168" t="s">
        <v>2179</v>
      </c>
      <c r="H2168" t="s">
        <v>151</v>
      </c>
      <c r="I2168" t="s">
        <v>279</v>
      </c>
      <c r="J2168" t="s">
        <v>132</v>
      </c>
      <c r="K2168" t="s">
        <v>219</v>
      </c>
      <c r="L2168">
        <v>1</v>
      </c>
      <c r="M2168" s="28" t="s">
        <v>178</v>
      </c>
    </row>
    <row r="2169" spans="1:13" x14ac:dyDescent="0.2">
      <c r="A2169">
        <f t="shared" si="33"/>
        <v>2163</v>
      </c>
      <c r="B2169">
        <v>2023</v>
      </c>
      <c r="C2169" t="s">
        <v>202</v>
      </c>
      <c r="D2169" t="s">
        <v>1057</v>
      </c>
      <c r="E2169" s="65">
        <v>230</v>
      </c>
      <c r="F2169" s="33">
        <v>1</v>
      </c>
      <c r="H2169" t="s">
        <v>144</v>
      </c>
      <c r="I2169" t="s">
        <v>232</v>
      </c>
      <c r="J2169" t="s">
        <v>131</v>
      </c>
      <c r="K2169" t="s">
        <v>131</v>
      </c>
      <c r="L2169">
        <v>0</v>
      </c>
      <c r="M2169" s="28" t="s">
        <v>178</v>
      </c>
    </row>
    <row r="2170" spans="1:13" x14ac:dyDescent="0.2">
      <c r="A2170">
        <f t="shared" si="33"/>
        <v>2164</v>
      </c>
      <c r="B2170">
        <v>2023</v>
      </c>
      <c r="C2170" t="s">
        <v>202</v>
      </c>
      <c r="D2170" t="s">
        <v>2180</v>
      </c>
      <c r="E2170" s="65">
        <v>150</v>
      </c>
      <c r="F2170" s="33">
        <v>1</v>
      </c>
      <c r="H2170" t="s">
        <v>152</v>
      </c>
      <c r="J2170" t="s">
        <v>136</v>
      </c>
      <c r="K2170" t="s">
        <v>183</v>
      </c>
      <c r="L2170">
        <v>1</v>
      </c>
      <c r="M2170" s="28" t="s">
        <v>178</v>
      </c>
    </row>
    <row r="2171" spans="1:13" x14ac:dyDescent="0.2">
      <c r="A2171">
        <f t="shared" si="33"/>
        <v>2165</v>
      </c>
      <c r="B2171">
        <v>2023</v>
      </c>
      <c r="C2171" t="s">
        <v>207</v>
      </c>
      <c r="D2171" t="s">
        <v>307</v>
      </c>
      <c r="E2171" s="65">
        <v>950</v>
      </c>
      <c r="H2171" t="s">
        <v>144</v>
      </c>
      <c r="J2171" t="s">
        <v>19</v>
      </c>
      <c r="K2171" t="s">
        <v>205</v>
      </c>
      <c r="L2171">
        <v>0</v>
      </c>
    </row>
    <row r="2172" spans="1:13" x14ac:dyDescent="0.2">
      <c r="A2172">
        <f t="shared" si="33"/>
        <v>2166</v>
      </c>
      <c r="B2172">
        <v>2023</v>
      </c>
      <c r="C2172" t="s">
        <v>207</v>
      </c>
      <c r="D2172" t="s">
        <v>1520</v>
      </c>
      <c r="E2172" s="65">
        <v>130</v>
      </c>
      <c r="F2172" s="33">
        <v>0.5</v>
      </c>
      <c r="G2172" t="s">
        <v>2181</v>
      </c>
      <c r="H2172" t="s">
        <v>148</v>
      </c>
      <c r="J2172" t="s">
        <v>108</v>
      </c>
      <c r="K2172" t="s">
        <v>183</v>
      </c>
      <c r="L2172">
        <v>1</v>
      </c>
    </row>
    <row r="2173" spans="1:13" x14ac:dyDescent="0.2">
      <c r="A2173">
        <f t="shared" si="33"/>
        <v>2167</v>
      </c>
      <c r="B2173">
        <v>2023</v>
      </c>
      <c r="C2173" t="s">
        <v>207</v>
      </c>
      <c r="D2173" t="s">
        <v>2182</v>
      </c>
      <c r="E2173" s="65">
        <v>600</v>
      </c>
      <c r="G2173" t="s">
        <v>1328</v>
      </c>
      <c r="H2173" t="s">
        <v>152</v>
      </c>
      <c r="J2173" t="s">
        <v>10</v>
      </c>
      <c r="K2173" t="s">
        <v>195</v>
      </c>
      <c r="L2173">
        <v>1</v>
      </c>
    </row>
    <row r="2174" spans="1:13" x14ac:dyDescent="0.2">
      <c r="A2174">
        <f t="shared" si="33"/>
        <v>2168</v>
      </c>
      <c r="B2174">
        <v>2023</v>
      </c>
      <c r="C2174" t="s">
        <v>207</v>
      </c>
      <c r="D2174" t="s">
        <v>1750</v>
      </c>
      <c r="E2174" s="65">
        <v>260</v>
      </c>
      <c r="H2174" t="s">
        <v>154</v>
      </c>
      <c r="I2174" t="s">
        <v>194</v>
      </c>
      <c r="J2174" t="s">
        <v>124</v>
      </c>
      <c r="K2174" t="s">
        <v>183</v>
      </c>
      <c r="L2174">
        <v>1</v>
      </c>
    </row>
    <row r="2175" spans="1:13" x14ac:dyDescent="0.2">
      <c r="A2175">
        <f t="shared" si="33"/>
        <v>2169</v>
      </c>
      <c r="B2175">
        <v>2023</v>
      </c>
      <c r="C2175" t="s">
        <v>207</v>
      </c>
      <c r="D2175" t="s">
        <v>2183</v>
      </c>
      <c r="E2175" s="65">
        <v>280</v>
      </c>
      <c r="H2175" t="s">
        <v>144</v>
      </c>
      <c r="I2175" t="s">
        <v>232</v>
      </c>
      <c r="J2175" t="s">
        <v>72</v>
      </c>
      <c r="K2175" t="s">
        <v>183</v>
      </c>
      <c r="L2175">
        <v>1</v>
      </c>
      <c r="M2175" s="28" t="s">
        <v>178</v>
      </c>
    </row>
    <row r="2176" spans="1:13" x14ac:dyDescent="0.2">
      <c r="A2176">
        <f t="shared" si="33"/>
        <v>2170</v>
      </c>
      <c r="B2176">
        <v>2023</v>
      </c>
      <c r="C2176" t="s">
        <v>207</v>
      </c>
      <c r="D2176" t="s">
        <v>2184</v>
      </c>
      <c r="E2176" s="65">
        <v>110</v>
      </c>
      <c r="H2176" t="s">
        <v>148</v>
      </c>
      <c r="J2176" t="s">
        <v>123</v>
      </c>
      <c r="K2176" t="s">
        <v>219</v>
      </c>
      <c r="L2176">
        <v>1</v>
      </c>
      <c r="M2176" s="28" t="s">
        <v>178</v>
      </c>
    </row>
    <row r="2177" spans="1:13" x14ac:dyDescent="0.2">
      <c r="A2177">
        <f t="shared" si="33"/>
        <v>2171</v>
      </c>
      <c r="B2177">
        <v>2023</v>
      </c>
      <c r="C2177" t="s">
        <v>207</v>
      </c>
      <c r="D2177" t="s">
        <v>474</v>
      </c>
      <c r="E2177" s="65">
        <v>280</v>
      </c>
      <c r="H2177" t="s">
        <v>144</v>
      </c>
      <c r="I2177" t="s">
        <v>232</v>
      </c>
      <c r="J2177" t="s">
        <v>124</v>
      </c>
      <c r="K2177" t="s">
        <v>183</v>
      </c>
      <c r="L2177">
        <v>1</v>
      </c>
      <c r="M2177" s="28" t="s">
        <v>178</v>
      </c>
    </row>
    <row r="2178" spans="1:13" x14ac:dyDescent="0.2">
      <c r="A2178">
        <f t="shared" si="33"/>
        <v>2172</v>
      </c>
      <c r="B2178">
        <v>2023</v>
      </c>
      <c r="C2178" t="s">
        <v>207</v>
      </c>
      <c r="D2178" t="s">
        <v>337</v>
      </c>
      <c r="E2178" s="65">
        <v>100</v>
      </c>
      <c r="H2178" t="s">
        <v>144</v>
      </c>
      <c r="I2178" t="s">
        <v>232</v>
      </c>
      <c r="J2178" t="s">
        <v>13</v>
      </c>
      <c r="K2178" t="s">
        <v>201</v>
      </c>
      <c r="L2178">
        <v>1</v>
      </c>
      <c r="M2178" s="28" t="s">
        <v>178</v>
      </c>
    </row>
    <row r="2179" spans="1:13" x14ac:dyDescent="0.2">
      <c r="A2179">
        <f t="shared" si="33"/>
        <v>2173</v>
      </c>
      <c r="B2179">
        <v>2023</v>
      </c>
      <c r="C2179" t="s">
        <v>207</v>
      </c>
      <c r="D2179" t="s">
        <v>244</v>
      </c>
      <c r="E2179" s="65">
        <v>100</v>
      </c>
      <c r="H2179" t="s">
        <v>149</v>
      </c>
      <c r="J2179" t="s">
        <v>138</v>
      </c>
      <c r="K2179" t="s">
        <v>219</v>
      </c>
      <c r="L2179">
        <v>1</v>
      </c>
    </row>
    <row r="2180" spans="1:13" x14ac:dyDescent="0.2">
      <c r="A2180">
        <f t="shared" si="33"/>
        <v>2174</v>
      </c>
      <c r="B2180">
        <v>2023</v>
      </c>
      <c r="C2180" t="s">
        <v>207</v>
      </c>
      <c r="D2180" t="s">
        <v>285</v>
      </c>
      <c r="E2180" s="65">
        <v>2920</v>
      </c>
      <c r="H2180" t="s">
        <v>144</v>
      </c>
      <c r="J2180" t="s">
        <v>96</v>
      </c>
      <c r="K2180" t="s">
        <v>205</v>
      </c>
      <c r="L2180">
        <v>1</v>
      </c>
    </row>
    <row r="2181" spans="1:13" x14ac:dyDescent="0.2">
      <c r="A2181">
        <f t="shared" si="33"/>
        <v>2175</v>
      </c>
      <c r="B2181">
        <v>2023</v>
      </c>
      <c r="C2181" t="s">
        <v>207</v>
      </c>
      <c r="D2181" t="s">
        <v>1955</v>
      </c>
      <c r="E2181" s="65">
        <v>470</v>
      </c>
      <c r="H2181" t="s">
        <v>154</v>
      </c>
      <c r="I2181" t="s">
        <v>194</v>
      </c>
      <c r="J2181" t="s">
        <v>136</v>
      </c>
      <c r="K2181" t="s">
        <v>183</v>
      </c>
      <c r="L2181">
        <v>1</v>
      </c>
      <c r="M2181" s="28" t="s">
        <v>178</v>
      </c>
    </row>
    <row r="2182" spans="1:13" x14ac:dyDescent="0.2">
      <c r="A2182">
        <f t="shared" si="33"/>
        <v>2176</v>
      </c>
      <c r="B2182">
        <v>2023</v>
      </c>
      <c r="C2182" t="s">
        <v>207</v>
      </c>
      <c r="D2182" t="s">
        <v>1287</v>
      </c>
      <c r="E2182" s="65">
        <v>560</v>
      </c>
      <c r="H2182" t="s">
        <v>154</v>
      </c>
      <c r="I2182" t="s">
        <v>194</v>
      </c>
      <c r="J2182" t="s">
        <v>20</v>
      </c>
      <c r="K2182" t="s">
        <v>195</v>
      </c>
      <c r="L2182">
        <v>0</v>
      </c>
      <c r="M2182" s="28" t="s">
        <v>178</v>
      </c>
    </row>
    <row r="2183" spans="1:13" x14ac:dyDescent="0.2">
      <c r="A2183">
        <f t="shared" ref="A2183:A2246" si="34">ROW()-6</f>
        <v>2177</v>
      </c>
      <c r="B2183">
        <v>2023</v>
      </c>
      <c r="C2183" t="s">
        <v>207</v>
      </c>
      <c r="D2183" t="s">
        <v>1772</v>
      </c>
      <c r="E2183" s="65">
        <v>3780</v>
      </c>
      <c r="H2183" t="s">
        <v>154</v>
      </c>
      <c r="I2183" t="s">
        <v>194</v>
      </c>
      <c r="J2183" t="s">
        <v>51</v>
      </c>
      <c r="K2183" t="s">
        <v>195</v>
      </c>
      <c r="L2183">
        <v>1</v>
      </c>
      <c r="M2183" s="28" t="s">
        <v>178</v>
      </c>
    </row>
    <row r="2184" spans="1:13" x14ac:dyDescent="0.2">
      <c r="A2184">
        <f t="shared" si="34"/>
        <v>2178</v>
      </c>
      <c r="B2184">
        <v>2023</v>
      </c>
      <c r="C2184" t="s">
        <v>240</v>
      </c>
      <c r="D2184" t="s">
        <v>1029</v>
      </c>
      <c r="E2184" s="65">
        <v>310</v>
      </c>
      <c r="F2184" s="33">
        <v>1</v>
      </c>
      <c r="H2184" t="s">
        <v>144</v>
      </c>
      <c r="I2184" t="s">
        <v>232</v>
      </c>
      <c r="J2184" t="s">
        <v>105</v>
      </c>
      <c r="K2184" t="s">
        <v>214</v>
      </c>
      <c r="L2184">
        <v>1</v>
      </c>
      <c r="M2184" s="28" t="s">
        <v>178</v>
      </c>
    </row>
    <row r="2185" spans="1:13" x14ac:dyDescent="0.2">
      <c r="A2185">
        <f t="shared" si="34"/>
        <v>2179</v>
      </c>
      <c r="B2185">
        <v>2023</v>
      </c>
      <c r="C2185" t="s">
        <v>240</v>
      </c>
      <c r="D2185" t="s">
        <v>2126</v>
      </c>
      <c r="E2185" s="65">
        <v>270</v>
      </c>
      <c r="F2185" s="33">
        <v>0.45</v>
      </c>
      <c r="G2185" t="s">
        <v>2185</v>
      </c>
      <c r="H2185" t="s">
        <v>149</v>
      </c>
      <c r="J2185" t="s">
        <v>53</v>
      </c>
      <c r="K2185" t="s">
        <v>183</v>
      </c>
      <c r="L2185">
        <v>1</v>
      </c>
      <c r="M2185" s="28" t="s">
        <v>178</v>
      </c>
    </row>
    <row r="2186" spans="1:13" x14ac:dyDescent="0.2">
      <c r="A2186">
        <f t="shared" si="34"/>
        <v>2180</v>
      </c>
      <c r="B2186">
        <v>2023</v>
      </c>
      <c r="C2186" t="s">
        <v>240</v>
      </c>
      <c r="D2186" t="s">
        <v>2186</v>
      </c>
      <c r="E2186" s="65">
        <v>2040</v>
      </c>
      <c r="F2186" s="33">
        <v>1</v>
      </c>
      <c r="G2186" t="s">
        <v>2187</v>
      </c>
      <c r="H2186" t="s">
        <v>149</v>
      </c>
      <c r="I2186" t="s">
        <v>236</v>
      </c>
      <c r="J2186" t="s">
        <v>18</v>
      </c>
      <c r="K2186" t="s">
        <v>219</v>
      </c>
      <c r="L2186">
        <v>1</v>
      </c>
    </row>
    <row r="2187" spans="1:13" x14ac:dyDescent="0.2">
      <c r="A2187">
        <f t="shared" si="34"/>
        <v>2181</v>
      </c>
      <c r="B2187">
        <v>2023</v>
      </c>
      <c r="C2187" t="s">
        <v>240</v>
      </c>
      <c r="D2187" t="s">
        <v>2188</v>
      </c>
      <c r="E2187" s="65">
        <v>120</v>
      </c>
      <c r="H2187" t="s">
        <v>144</v>
      </c>
      <c r="I2187" t="s">
        <v>232</v>
      </c>
      <c r="J2187" t="s">
        <v>136</v>
      </c>
      <c r="K2187" t="s">
        <v>183</v>
      </c>
      <c r="L2187">
        <v>1</v>
      </c>
      <c r="M2187" s="28" t="s">
        <v>178</v>
      </c>
    </row>
    <row r="2188" spans="1:13" x14ac:dyDescent="0.2">
      <c r="A2188">
        <f t="shared" si="34"/>
        <v>2182</v>
      </c>
      <c r="B2188">
        <v>2023</v>
      </c>
      <c r="C2188" t="s">
        <v>240</v>
      </c>
      <c r="D2188" t="s">
        <v>2189</v>
      </c>
      <c r="E2188" s="65">
        <v>110</v>
      </c>
      <c r="F2188" s="33">
        <v>1</v>
      </c>
      <c r="H2188" t="s">
        <v>154</v>
      </c>
      <c r="I2188" t="s">
        <v>194</v>
      </c>
      <c r="J2188" t="s">
        <v>51</v>
      </c>
      <c r="K2188" t="s">
        <v>195</v>
      </c>
      <c r="L2188">
        <v>1</v>
      </c>
      <c r="M2188" s="28" t="s">
        <v>178</v>
      </c>
    </row>
    <row r="2189" spans="1:13" x14ac:dyDescent="0.2">
      <c r="A2189">
        <f t="shared" si="34"/>
        <v>2183</v>
      </c>
      <c r="B2189">
        <v>2023</v>
      </c>
      <c r="C2189" t="s">
        <v>240</v>
      </c>
      <c r="D2189" t="s">
        <v>847</v>
      </c>
      <c r="E2189" s="65">
        <v>240</v>
      </c>
      <c r="F2189" s="33">
        <v>1</v>
      </c>
      <c r="H2189" t="s">
        <v>154</v>
      </c>
      <c r="I2189" t="s">
        <v>194</v>
      </c>
      <c r="J2189" t="s">
        <v>124</v>
      </c>
      <c r="K2189" t="s">
        <v>183</v>
      </c>
      <c r="L2189">
        <v>1</v>
      </c>
      <c r="M2189" s="28" t="s">
        <v>178</v>
      </c>
    </row>
    <row r="2190" spans="1:13" x14ac:dyDescent="0.2">
      <c r="A2190">
        <f t="shared" si="34"/>
        <v>2184</v>
      </c>
      <c r="B2190">
        <v>2023</v>
      </c>
      <c r="C2190" t="s">
        <v>240</v>
      </c>
      <c r="D2190" t="s">
        <v>397</v>
      </c>
      <c r="E2190" s="65">
        <v>230</v>
      </c>
      <c r="F2190" s="33">
        <v>0.49</v>
      </c>
      <c r="G2190" t="s">
        <v>2190</v>
      </c>
      <c r="H2190" t="s">
        <v>151</v>
      </c>
      <c r="I2190" t="s">
        <v>224</v>
      </c>
      <c r="J2190" t="s">
        <v>108</v>
      </c>
      <c r="K2190" t="s">
        <v>183</v>
      </c>
      <c r="L2190">
        <v>1</v>
      </c>
      <c r="M2190" s="28" t="s">
        <v>178</v>
      </c>
    </row>
    <row r="2191" spans="1:13" x14ac:dyDescent="0.2">
      <c r="A2191">
        <f t="shared" si="34"/>
        <v>2185</v>
      </c>
      <c r="B2191">
        <v>2023</v>
      </c>
      <c r="C2191" t="s">
        <v>240</v>
      </c>
      <c r="D2191" t="s">
        <v>1990</v>
      </c>
      <c r="E2191" s="65">
        <v>690</v>
      </c>
      <c r="F2191" s="33">
        <v>1</v>
      </c>
      <c r="H2191" t="s">
        <v>144</v>
      </c>
      <c r="I2191" t="s">
        <v>232</v>
      </c>
      <c r="J2191" t="s">
        <v>72</v>
      </c>
      <c r="K2191" t="s">
        <v>183</v>
      </c>
      <c r="L2191">
        <v>1</v>
      </c>
      <c r="M2191" s="28" t="s">
        <v>178</v>
      </c>
    </row>
    <row r="2192" spans="1:13" x14ac:dyDescent="0.2">
      <c r="A2192">
        <f t="shared" si="34"/>
        <v>2186</v>
      </c>
      <c r="B2192">
        <v>2023</v>
      </c>
      <c r="C2192" t="s">
        <v>240</v>
      </c>
      <c r="D2192" t="s">
        <v>189</v>
      </c>
      <c r="E2192" s="65">
        <v>190</v>
      </c>
      <c r="F2192" s="33">
        <v>0.02</v>
      </c>
      <c r="H2192" t="s">
        <v>144</v>
      </c>
      <c r="I2192" t="s">
        <v>299</v>
      </c>
      <c r="J2192" t="s">
        <v>100</v>
      </c>
      <c r="K2192" t="s">
        <v>214</v>
      </c>
      <c r="L2192">
        <v>1</v>
      </c>
      <c r="M2192" s="28" t="s">
        <v>178</v>
      </c>
    </row>
    <row r="2193" spans="1:13" x14ac:dyDescent="0.2">
      <c r="A2193">
        <f t="shared" si="34"/>
        <v>2187</v>
      </c>
      <c r="B2193">
        <v>2023</v>
      </c>
      <c r="C2193" t="s">
        <v>240</v>
      </c>
      <c r="D2193" t="s">
        <v>454</v>
      </c>
      <c r="E2193" s="65">
        <v>100</v>
      </c>
      <c r="F2193" s="33">
        <v>0.08</v>
      </c>
      <c r="G2193" t="s">
        <v>1904</v>
      </c>
      <c r="H2193" t="s">
        <v>146</v>
      </c>
      <c r="J2193" t="s">
        <v>119</v>
      </c>
      <c r="K2193" t="s">
        <v>195</v>
      </c>
      <c r="L2193">
        <v>0</v>
      </c>
    </row>
    <row r="2194" spans="1:13" x14ac:dyDescent="0.2">
      <c r="A2194">
        <f t="shared" si="34"/>
        <v>2188</v>
      </c>
      <c r="B2194">
        <v>2023</v>
      </c>
      <c r="C2194" t="s">
        <v>240</v>
      </c>
      <c r="D2194" t="s">
        <v>1431</v>
      </c>
      <c r="E2194" s="65">
        <v>330</v>
      </c>
      <c r="H2194" t="s">
        <v>150</v>
      </c>
      <c r="I2194" t="s">
        <v>556</v>
      </c>
      <c r="J2194" t="s">
        <v>136</v>
      </c>
      <c r="K2194" t="s">
        <v>183</v>
      </c>
      <c r="L2194">
        <v>1</v>
      </c>
    </row>
    <row r="2195" spans="1:13" x14ac:dyDescent="0.2">
      <c r="A2195">
        <f t="shared" si="34"/>
        <v>2189</v>
      </c>
      <c r="B2195">
        <v>2023</v>
      </c>
      <c r="C2195" t="s">
        <v>240</v>
      </c>
      <c r="D2195" t="s">
        <v>1964</v>
      </c>
      <c r="E2195" s="65">
        <v>270</v>
      </c>
      <c r="H2195" t="s">
        <v>143</v>
      </c>
      <c r="J2195" t="s">
        <v>113</v>
      </c>
      <c r="K2195" t="s">
        <v>183</v>
      </c>
      <c r="L2195">
        <v>0</v>
      </c>
    </row>
    <row r="2196" spans="1:13" x14ac:dyDescent="0.2">
      <c r="A2196">
        <f t="shared" si="34"/>
        <v>2190</v>
      </c>
      <c r="B2196">
        <v>2023</v>
      </c>
      <c r="C2196" t="s">
        <v>240</v>
      </c>
      <c r="D2196" t="s">
        <v>2191</v>
      </c>
      <c r="E2196" s="65">
        <v>160</v>
      </c>
      <c r="F2196" s="33">
        <v>1</v>
      </c>
      <c r="G2196" t="s">
        <v>2192</v>
      </c>
      <c r="H2196" t="s">
        <v>147</v>
      </c>
      <c r="J2196" t="s">
        <v>114</v>
      </c>
      <c r="K2196" t="s">
        <v>195</v>
      </c>
      <c r="L2196">
        <v>0</v>
      </c>
    </row>
    <row r="2197" spans="1:13" x14ac:dyDescent="0.2">
      <c r="A2197">
        <f t="shared" si="34"/>
        <v>2191</v>
      </c>
      <c r="B2197">
        <v>2023</v>
      </c>
      <c r="C2197" t="s">
        <v>240</v>
      </c>
      <c r="D2197" t="s">
        <v>1287</v>
      </c>
      <c r="E2197" s="65">
        <v>810</v>
      </c>
      <c r="H2197" t="s">
        <v>154</v>
      </c>
      <c r="I2197" t="s">
        <v>194</v>
      </c>
      <c r="J2197" t="s">
        <v>131</v>
      </c>
      <c r="K2197" t="s">
        <v>131</v>
      </c>
      <c r="L2197">
        <v>0</v>
      </c>
      <c r="M2197" s="28" t="s">
        <v>178</v>
      </c>
    </row>
    <row r="2198" spans="1:13" x14ac:dyDescent="0.2">
      <c r="A2198">
        <f t="shared" si="34"/>
        <v>2192</v>
      </c>
      <c r="B2198">
        <v>2023</v>
      </c>
      <c r="C2198" t="s">
        <v>240</v>
      </c>
      <c r="D2198" t="s">
        <v>277</v>
      </c>
      <c r="E2198" s="65">
        <v>150</v>
      </c>
      <c r="H2198" t="s">
        <v>144</v>
      </c>
      <c r="I2198" t="s">
        <v>232</v>
      </c>
      <c r="J2198" t="s">
        <v>134</v>
      </c>
      <c r="K2198" t="s">
        <v>201</v>
      </c>
      <c r="L2198">
        <v>1</v>
      </c>
      <c r="M2198" s="28" t="s">
        <v>178</v>
      </c>
    </row>
    <row r="2199" spans="1:13" x14ac:dyDescent="0.2">
      <c r="A2199">
        <f t="shared" si="34"/>
        <v>2193</v>
      </c>
      <c r="B2199">
        <v>2023</v>
      </c>
      <c r="C2199" t="s">
        <v>240</v>
      </c>
      <c r="D2199" t="s">
        <v>1783</v>
      </c>
      <c r="E2199" s="65">
        <v>180</v>
      </c>
      <c r="H2199" t="s">
        <v>154</v>
      </c>
      <c r="I2199" t="s">
        <v>194</v>
      </c>
      <c r="J2199" t="s">
        <v>136</v>
      </c>
      <c r="K2199" t="s">
        <v>183</v>
      </c>
      <c r="L2199">
        <v>1</v>
      </c>
    </row>
    <row r="2200" spans="1:13" x14ac:dyDescent="0.2">
      <c r="A2200">
        <f t="shared" si="34"/>
        <v>2194</v>
      </c>
      <c r="B2200">
        <v>2023</v>
      </c>
      <c r="C2200" t="s">
        <v>240</v>
      </c>
      <c r="D2200" t="s">
        <v>847</v>
      </c>
      <c r="E2200" s="65">
        <v>280</v>
      </c>
      <c r="G2200" t="s">
        <v>2193</v>
      </c>
      <c r="H2200" t="s">
        <v>154</v>
      </c>
      <c r="I2200" t="s">
        <v>194</v>
      </c>
      <c r="J2200" t="s">
        <v>19</v>
      </c>
      <c r="K2200" t="s">
        <v>205</v>
      </c>
      <c r="L2200">
        <v>0</v>
      </c>
      <c r="M2200" s="28" t="s">
        <v>178</v>
      </c>
    </row>
    <row r="2201" spans="1:13" x14ac:dyDescent="0.2">
      <c r="A2201">
        <f t="shared" si="34"/>
        <v>2195</v>
      </c>
      <c r="B2201">
        <v>2023</v>
      </c>
      <c r="C2201" t="s">
        <v>212</v>
      </c>
      <c r="D2201" t="s">
        <v>199</v>
      </c>
      <c r="E2201" s="65">
        <v>150</v>
      </c>
      <c r="H2201" t="s">
        <v>144</v>
      </c>
      <c r="I2201" t="s">
        <v>187</v>
      </c>
      <c r="J2201" t="s">
        <v>4</v>
      </c>
      <c r="K2201" t="s">
        <v>201</v>
      </c>
      <c r="L2201">
        <v>1</v>
      </c>
      <c r="M2201" s="28" t="s">
        <v>178</v>
      </c>
    </row>
    <row r="2202" spans="1:13" x14ac:dyDescent="0.2">
      <c r="A2202">
        <f t="shared" si="34"/>
        <v>2196</v>
      </c>
      <c r="B2202">
        <v>2023</v>
      </c>
      <c r="C2202" t="s">
        <v>212</v>
      </c>
      <c r="D2202" t="s">
        <v>1180</v>
      </c>
      <c r="E2202" s="65">
        <v>170</v>
      </c>
      <c r="F2202" s="33">
        <v>0.51</v>
      </c>
      <c r="H2202" t="s">
        <v>144</v>
      </c>
      <c r="I2202" t="s">
        <v>232</v>
      </c>
      <c r="J2202" t="s">
        <v>106</v>
      </c>
      <c r="K2202" t="s">
        <v>195</v>
      </c>
      <c r="L2202">
        <v>1</v>
      </c>
    </row>
    <row r="2203" spans="1:13" x14ac:dyDescent="0.2">
      <c r="A2203">
        <f t="shared" si="34"/>
        <v>2197</v>
      </c>
      <c r="B2203">
        <v>2023</v>
      </c>
      <c r="C2203" t="s">
        <v>212</v>
      </c>
      <c r="D2203" t="s">
        <v>2096</v>
      </c>
      <c r="E2203" s="65">
        <v>180</v>
      </c>
      <c r="H2203" t="s">
        <v>154</v>
      </c>
      <c r="I2203" t="s">
        <v>194</v>
      </c>
      <c r="J2203" t="s">
        <v>131</v>
      </c>
      <c r="K2203" t="s">
        <v>131</v>
      </c>
      <c r="L2203">
        <v>0</v>
      </c>
      <c r="M2203" s="28" t="s">
        <v>178</v>
      </c>
    </row>
    <row r="2204" spans="1:13" x14ac:dyDescent="0.2">
      <c r="A2204">
        <f t="shared" si="34"/>
        <v>2198</v>
      </c>
      <c r="B2204">
        <v>2023</v>
      </c>
      <c r="C2204" t="s">
        <v>212</v>
      </c>
      <c r="D2204" t="s">
        <v>577</v>
      </c>
      <c r="E2204" s="65">
        <v>780</v>
      </c>
      <c r="G2204" t="s">
        <v>582</v>
      </c>
      <c r="H2204" t="s">
        <v>150</v>
      </c>
      <c r="I2204" t="s">
        <v>217</v>
      </c>
      <c r="J2204" t="s">
        <v>131</v>
      </c>
      <c r="K2204" t="s">
        <v>131</v>
      </c>
      <c r="L2204">
        <v>0</v>
      </c>
    </row>
    <row r="2205" spans="1:13" x14ac:dyDescent="0.2">
      <c r="A2205">
        <f t="shared" si="34"/>
        <v>2199</v>
      </c>
      <c r="B2205">
        <v>2023</v>
      </c>
      <c r="C2205" t="s">
        <v>212</v>
      </c>
      <c r="D2205" t="s">
        <v>822</v>
      </c>
      <c r="E2205" s="65">
        <v>630</v>
      </c>
      <c r="G2205" t="s">
        <v>1243</v>
      </c>
      <c r="H2205" t="s">
        <v>150</v>
      </c>
      <c r="I2205" t="s">
        <v>556</v>
      </c>
      <c r="J2205" t="s">
        <v>108</v>
      </c>
      <c r="K2205" t="s">
        <v>183</v>
      </c>
      <c r="L2205">
        <v>1</v>
      </c>
    </row>
    <row r="2206" spans="1:13" x14ac:dyDescent="0.2">
      <c r="A2206">
        <f t="shared" si="34"/>
        <v>2200</v>
      </c>
      <c r="B2206">
        <v>2023</v>
      </c>
      <c r="C2206" t="s">
        <v>212</v>
      </c>
      <c r="D2206" t="s">
        <v>2047</v>
      </c>
      <c r="E2206" s="65">
        <v>840</v>
      </c>
      <c r="F2206" s="33">
        <v>0.75</v>
      </c>
      <c r="G2206" t="s">
        <v>1553</v>
      </c>
      <c r="H2206" t="s">
        <v>150</v>
      </c>
      <c r="I2206" t="s">
        <v>556</v>
      </c>
      <c r="J2206" t="s">
        <v>53</v>
      </c>
      <c r="K2206" t="s">
        <v>183</v>
      </c>
      <c r="L2206">
        <v>1</v>
      </c>
    </row>
    <row r="2207" spans="1:13" x14ac:dyDescent="0.2">
      <c r="A2207">
        <f t="shared" si="34"/>
        <v>2201</v>
      </c>
      <c r="B2207">
        <v>2023</v>
      </c>
      <c r="C2207" t="s">
        <v>212</v>
      </c>
      <c r="D2207" t="s">
        <v>1057</v>
      </c>
      <c r="E2207" s="65">
        <v>420</v>
      </c>
      <c r="H2207" t="s">
        <v>144</v>
      </c>
      <c r="I2207" t="s">
        <v>232</v>
      </c>
      <c r="J2207" t="s">
        <v>136</v>
      </c>
      <c r="K2207" t="s">
        <v>183</v>
      </c>
      <c r="L2207">
        <v>1</v>
      </c>
    </row>
    <row r="2208" spans="1:13" x14ac:dyDescent="0.2">
      <c r="A2208">
        <f t="shared" si="34"/>
        <v>2202</v>
      </c>
      <c r="B2208">
        <v>2023</v>
      </c>
      <c r="C2208" t="s">
        <v>212</v>
      </c>
      <c r="D2208" t="s">
        <v>943</v>
      </c>
      <c r="E2208" s="65">
        <v>130</v>
      </c>
      <c r="H2208" t="s">
        <v>144</v>
      </c>
      <c r="I2208" t="s">
        <v>232</v>
      </c>
      <c r="J2208" t="s">
        <v>19</v>
      </c>
      <c r="K2208" t="s">
        <v>205</v>
      </c>
      <c r="L2208">
        <v>0</v>
      </c>
      <c r="M2208" s="28" t="s">
        <v>178</v>
      </c>
    </row>
    <row r="2209" spans="1:13" x14ac:dyDescent="0.2">
      <c r="A2209">
        <f t="shared" si="34"/>
        <v>2203</v>
      </c>
      <c r="B2209">
        <v>2023</v>
      </c>
      <c r="C2209" t="s">
        <v>212</v>
      </c>
      <c r="D2209" t="s">
        <v>1772</v>
      </c>
      <c r="E2209" s="65">
        <v>470</v>
      </c>
      <c r="G2209" t="s">
        <v>2194</v>
      </c>
      <c r="H2209" t="s">
        <v>149</v>
      </c>
      <c r="J2209" t="s">
        <v>53</v>
      </c>
      <c r="K2209" t="s">
        <v>183</v>
      </c>
      <c r="L2209">
        <v>1</v>
      </c>
    </row>
    <row r="2210" spans="1:13" x14ac:dyDescent="0.2">
      <c r="A2210">
        <f t="shared" si="34"/>
        <v>2204</v>
      </c>
      <c r="B2210">
        <v>2023</v>
      </c>
      <c r="C2210" t="s">
        <v>212</v>
      </c>
      <c r="D2210" t="s">
        <v>559</v>
      </c>
      <c r="E2210" s="65">
        <v>200</v>
      </c>
      <c r="H2210" t="s">
        <v>144</v>
      </c>
      <c r="I2210" t="s">
        <v>232</v>
      </c>
      <c r="J2210" t="s">
        <v>106</v>
      </c>
      <c r="K2210" t="s">
        <v>195</v>
      </c>
      <c r="L2210">
        <v>1</v>
      </c>
      <c r="M2210" s="28" t="s">
        <v>178</v>
      </c>
    </row>
    <row r="2211" spans="1:13" x14ac:dyDescent="0.2">
      <c r="A2211">
        <f t="shared" si="34"/>
        <v>2205</v>
      </c>
      <c r="B2211">
        <v>2023</v>
      </c>
      <c r="C2211" t="s">
        <v>212</v>
      </c>
      <c r="D2211" t="s">
        <v>875</v>
      </c>
      <c r="E2211" s="65">
        <v>400</v>
      </c>
      <c r="H2211" t="s">
        <v>144</v>
      </c>
      <c r="I2211" t="s">
        <v>232</v>
      </c>
      <c r="J2211" t="s">
        <v>134</v>
      </c>
      <c r="K2211" t="s">
        <v>201</v>
      </c>
      <c r="L2211">
        <v>1</v>
      </c>
      <c r="M2211" s="28" t="s">
        <v>178</v>
      </c>
    </row>
    <row r="2212" spans="1:13" x14ac:dyDescent="0.2">
      <c r="A2212">
        <f t="shared" si="34"/>
        <v>2206</v>
      </c>
      <c r="B2212">
        <v>2023</v>
      </c>
      <c r="C2212" t="s">
        <v>212</v>
      </c>
      <c r="D2212" t="s">
        <v>1672</v>
      </c>
      <c r="E2212" s="65">
        <v>140</v>
      </c>
      <c r="H2212" t="s">
        <v>147</v>
      </c>
      <c r="J2212" t="s">
        <v>108</v>
      </c>
      <c r="K2212" t="s">
        <v>183</v>
      </c>
      <c r="L2212">
        <v>1</v>
      </c>
      <c r="M2212" s="28" t="s">
        <v>178</v>
      </c>
    </row>
    <row r="2213" spans="1:13" x14ac:dyDescent="0.2">
      <c r="A2213">
        <f t="shared" si="34"/>
        <v>2207</v>
      </c>
      <c r="B2213">
        <v>2023</v>
      </c>
      <c r="C2213" t="s">
        <v>212</v>
      </c>
      <c r="D2213" t="s">
        <v>559</v>
      </c>
      <c r="E2213" s="65">
        <v>390</v>
      </c>
      <c r="H2213" t="s">
        <v>149</v>
      </c>
      <c r="J2213" t="s">
        <v>106</v>
      </c>
      <c r="K2213" t="s">
        <v>195</v>
      </c>
      <c r="L2213">
        <v>1</v>
      </c>
    </row>
    <row r="2214" spans="1:13" x14ac:dyDescent="0.2">
      <c r="A2214">
        <f t="shared" si="34"/>
        <v>2208</v>
      </c>
      <c r="B2214">
        <v>2023</v>
      </c>
      <c r="C2214" t="s">
        <v>212</v>
      </c>
      <c r="D2214" t="s">
        <v>405</v>
      </c>
      <c r="E2214" s="65">
        <v>440</v>
      </c>
      <c r="F2214" s="33">
        <v>0.5</v>
      </c>
      <c r="G2214" t="s">
        <v>2195</v>
      </c>
      <c r="H2214" t="s">
        <v>149</v>
      </c>
      <c r="I2214" t="s">
        <v>182</v>
      </c>
      <c r="J2214" t="s">
        <v>105</v>
      </c>
      <c r="K2214" t="s">
        <v>214</v>
      </c>
      <c r="L2214">
        <v>1</v>
      </c>
      <c r="M2214" s="28" t="s">
        <v>178</v>
      </c>
    </row>
    <row r="2215" spans="1:13" x14ac:dyDescent="0.2">
      <c r="A2215">
        <f t="shared" si="34"/>
        <v>2209</v>
      </c>
      <c r="B2215">
        <v>2023</v>
      </c>
      <c r="C2215" t="s">
        <v>212</v>
      </c>
      <c r="D2215" t="s">
        <v>1061</v>
      </c>
      <c r="E2215" s="65">
        <v>620</v>
      </c>
      <c r="F2215" s="33">
        <v>1</v>
      </c>
      <c r="H2215" t="s">
        <v>154</v>
      </c>
      <c r="I2215" t="s">
        <v>194</v>
      </c>
      <c r="J2215" t="s">
        <v>19</v>
      </c>
      <c r="K2215" t="s">
        <v>205</v>
      </c>
      <c r="L2215">
        <v>0</v>
      </c>
      <c r="M2215" s="28" t="s">
        <v>178</v>
      </c>
    </row>
    <row r="2216" spans="1:13" x14ac:dyDescent="0.2">
      <c r="A2216">
        <f t="shared" si="34"/>
        <v>2210</v>
      </c>
      <c r="B2216">
        <v>2023</v>
      </c>
      <c r="C2216" t="s">
        <v>212</v>
      </c>
      <c r="D2216" t="s">
        <v>1789</v>
      </c>
      <c r="E2216" s="65">
        <v>280</v>
      </c>
      <c r="H2216" t="s">
        <v>150</v>
      </c>
      <c r="I2216" t="s">
        <v>556</v>
      </c>
      <c r="J2216" t="s">
        <v>136</v>
      </c>
      <c r="K2216" t="s">
        <v>183</v>
      </c>
      <c r="L2216">
        <v>1</v>
      </c>
    </row>
    <row r="2217" spans="1:13" x14ac:dyDescent="0.2">
      <c r="A2217">
        <f t="shared" si="34"/>
        <v>2211</v>
      </c>
      <c r="B2217">
        <v>2023</v>
      </c>
      <c r="C2217" t="s">
        <v>212</v>
      </c>
      <c r="D2217" t="s">
        <v>2196</v>
      </c>
      <c r="E2217" s="65">
        <v>420</v>
      </c>
      <c r="F2217" s="33">
        <v>1</v>
      </c>
      <c r="H2217" t="s">
        <v>144</v>
      </c>
      <c r="I2217" t="s">
        <v>232</v>
      </c>
      <c r="J2217" t="s">
        <v>72</v>
      </c>
      <c r="K2217" t="s">
        <v>183</v>
      </c>
      <c r="L2217">
        <v>1</v>
      </c>
      <c r="M2217" s="28" t="s">
        <v>178</v>
      </c>
    </row>
    <row r="2218" spans="1:13" x14ac:dyDescent="0.2">
      <c r="A2218">
        <f t="shared" si="34"/>
        <v>2212</v>
      </c>
      <c r="B2218">
        <v>2023</v>
      </c>
      <c r="C2218" t="s">
        <v>212</v>
      </c>
      <c r="D2218" t="s">
        <v>1517</v>
      </c>
      <c r="E2218" s="65">
        <v>170</v>
      </c>
      <c r="F2218" s="33">
        <v>0.25</v>
      </c>
      <c r="G2218" t="s">
        <v>1518</v>
      </c>
      <c r="H2218" t="s">
        <v>146</v>
      </c>
      <c r="J2218" t="s">
        <v>72</v>
      </c>
      <c r="K2218" t="s">
        <v>183</v>
      </c>
      <c r="L2218">
        <v>1</v>
      </c>
    </row>
    <row r="2219" spans="1:13" x14ac:dyDescent="0.2">
      <c r="A2219">
        <f t="shared" si="34"/>
        <v>2213</v>
      </c>
      <c r="B2219">
        <v>2023</v>
      </c>
      <c r="C2219" t="s">
        <v>212</v>
      </c>
      <c r="D2219" t="s">
        <v>538</v>
      </c>
      <c r="E2219" s="65">
        <v>840</v>
      </c>
      <c r="F2219" s="33">
        <v>1</v>
      </c>
      <c r="H2219" t="s">
        <v>149</v>
      </c>
      <c r="I2219" t="s">
        <v>238</v>
      </c>
      <c r="J2219" t="s">
        <v>53</v>
      </c>
      <c r="K2219" t="s">
        <v>183</v>
      </c>
      <c r="L2219">
        <v>1</v>
      </c>
    </row>
    <row r="2220" spans="1:13" x14ac:dyDescent="0.2">
      <c r="A2220">
        <f t="shared" si="34"/>
        <v>2214</v>
      </c>
      <c r="B2220">
        <v>2023</v>
      </c>
      <c r="C2220" t="s">
        <v>212</v>
      </c>
      <c r="D2220" t="s">
        <v>1061</v>
      </c>
      <c r="E2220" s="65">
        <v>140</v>
      </c>
      <c r="H2220" t="s">
        <v>150</v>
      </c>
      <c r="I2220" t="s">
        <v>556</v>
      </c>
      <c r="J2220" t="s">
        <v>136</v>
      </c>
      <c r="K2220" t="s">
        <v>183</v>
      </c>
      <c r="L2220">
        <v>1</v>
      </c>
    </row>
    <row r="2221" spans="1:13" x14ac:dyDescent="0.2">
      <c r="A2221">
        <f t="shared" si="34"/>
        <v>2215</v>
      </c>
      <c r="B2221">
        <v>2023</v>
      </c>
      <c r="C2221" t="s">
        <v>212</v>
      </c>
      <c r="D2221" t="s">
        <v>199</v>
      </c>
      <c r="E2221" s="65">
        <v>100</v>
      </c>
      <c r="H2221" t="s">
        <v>144</v>
      </c>
      <c r="I2221" t="s">
        <v>187</v>
      </c>
      <c r="J2221" t="s">
        <v>55</v>
      </c>
      <c r="K2221" t="s">
        <v>214</v>
      </c>
      <c r="L2221">
        <v>1</v>
      </c>
    </row>
    <row r="2222" spans="1:13" x14ac:dyDescent="0.2">
      <c r="A2222">
        <f t="shared" si="34"/>
        <v>2216</v>
      </c>
      <c r="B2222">
        <v>2023</v>
      </c>
      <c r="C2222" t="s">
        <v>212</v>
      </c>
      <c r="D2222" t="s">
        <v>2197</v>
      </c>
      <c r="E2222" s="65">
        <v>960</v>
      </c>
      <c r="F2222" s="33">
        <v>0.51</v>
      </c>
      <c r="G2222" t="s">
        <v>2037</v>
      </c>
      <c r="H2222" t="s">
        <v>144</v>
      </c>
      <c r="I2222" t="s">
        <v>197</v>
      </c>
      <c r="J2222" t="s">
        <v>67</v>
      </c>
      <c r="K2222" t="s">
        <v>183</v>
      </c>
      <c r="L2222">
        <v>1</v>
      </c>
      <c r="M2222" s="28" t="s">
        <v>178</v>
      </c>
    </row>
    <row r="2223" spans="1:13" x14ac:dyDescent="0.2">
      <c r="A2223">
        <f t="shared" si="34"/>
        <v>2217</v>
      </c>
      <c r="B2223">
        <v>2023</v>
      </c>
      <c r="C2223" t="s">
        <v>212</v>
      </c>
      <c r="D2223" t="s">
        <v>263</v>
      </c>
      <c r="E2223" s="65">
        <v>270</v>
      </c>
      <c r="F2223" s="33">
        <v>0.05</v>
      </c>
      <c r="G2223" t="s">
        <v>2198</v>
      </c>
      <c r="H2223" t="s">
        <v>146</v>
      </c>
      <c r="J2223" t="s">
        <v>113</v>
      </c>
      <c r="K2223" t="s">
        <v>183</v>
      </c>
      <c r="L2223">
        <v>0</v>
      </c>
    </row>
    <row r="2224" spans="1:13" x14ac:dyDescent="0.2">
      <c r="A2224">
        <f t="shared" si="34"/>
        <v>2218</v>
      </c>
      <c r="B2224">
        <v>2023</v>
      </c>
      <c r="C2224" t="s">
        <v>212</v>
      </c>
      <c r="D2224" t="s">
        <v>1829</v>
      </c>
      <c r="E2224" s="65">
        <v>310</v>
      </c>
      <c r="G2224" t="s">
        <v>2199</v>
      </c>
      <c r="H2224" t="s">
        <v>144</v>
      </c>
      <c r="I2224" t="s">
        <v>232</v>
      </c>
      <c r="J2224" t="s">
        <v>113</v>
      </c>
      <c r="K2224" t="s">
        <v>183</v>
      </c>
      <c r="L2224">
        <v>0</v>
      </c>
    </row>
    <row r="2225" spans="1:13" x14ac:dyDescent="0.2">
      <c r="A2225">
        <f t="shared" si="34"/>
        <v>2219</v>
      </c>
      <c r="B2225">
        <v>2023</v>
      </c>
      <c r="C2225" t="s">
        <v>212</v>
      </c>
      <c r="D2225" t="s">
        <v>1505</v>
      </c>
      <c r="E2225" s="65">
        <v>280</v>
      </c>
      <c r="H2225" t="s">
        <v>154</v>
      </c>
      <c r="I2225" t="s">
        <v>194</v>
      </c>
      <c r="J2225" t="s">
        <v>53</v>
      </c>
      <c r="K2225" t="s">
        <v>183</v>
      </c>
      <c r="L2225">
        <v>1</v>
      </c>
      <c r="M2225" s="28" t="s">
        <v>178</v>
      </c>
    </row>
    <row r="2226" spans="1:13" x14ac:dyDescent="0.2">
      <c r="A2226">
        <f t="shared" si="34"/>
        <v>2220</v>
      </c>
      <c r="B2226">
        <v>2024</v>
      </c>
      <c r="C2226" t="s">
        <v>172</v>
      </c>
      <c r="D2226" t="s">
        <v>2200</v>
      </c>
      <c r="E2226" s="65">
        <v>100</v>
      </c>
      <c r="F2226" s="33">
        <v>1</v>
      </c>
      <c r="H2226" t="s">
        <v>154</v>
      </c>
      <c r="I2226" t="s">
        <v>194</v>
      </c>
      <c r="J2226" t="s">
        <v>136</v>
      </c>
      <c r="K2226" t="s">
        <v>183</v>
      </c>
      <c r="L2226">
        <v>1</v>
      </c>
      <c r="M2226" s="28" t="s">
        <v>178</v>
      </c>
    </row>
    <row r="2227" spans="1:13" x14ac:dyDescent="0.2">
      <c r="A2227">
        <f t="shared" si="34"/>
        <v>2221</v>
      </c>
      <c r="B2227">
        <v>2024</v>
      </c>
      <c r="C2227" t="s">
        <v>172</v>
      </c>
      <c r="D2227" t="s">
        <v>2201</v>
      </c>
      <c r="E2227" s="65">
        <v>100</v>
      </c>
      <c r="F2227" s="33">
        <v>1</v>
      </c>
      <c r="H2227" t="s">
        <v>150</v>
      </c>
      <c r="I2227" t="s">
        <v>556</v>
      </c>
      <c r="J2227" t="s">
        <v>124</v>
      </c>
      <c r="K2227" t="s">
        <v>183</v>
      </c>
      <c r="L2227">
        <v>1</v>
      </c>
      <c r="M2227" s="28" t="s">
        <v>178</v>
      </c>
    </row>
    <row r="2228" spans="1:13" x14ac:dyDescent="0.2">
      <c r="A2228">
        <f t="shared" si="34"/>
        <v>2222</v>
      </c>
      <c r="B2228">
        <v>2024</v>
      </c>
      <c r="C2228" t="s">
        <v>172</v>
      </c>
      <c r="D2228" t="s">
        <v>2202</v>
      </c>
      <c r="E2228" s="65">
        <v>220</v>
      </c>
      <c r="H2228" t="s">
        <v>145</v>
      </c>
      <c r="J2228" t="s">
        <v>41</v>
      </c>
      <c r="K2228" t="s">
        <v>195</v>
      </c>
      <c r="L2228">
        <v>0</v>
      </c>
    </row>
    <row r="2229" spans="1:13" x14ac:dyDescent="0.2">
      <c r="A2229">
        <f t="shared" si="34"/>
        <v>2223</v>
      </c>
      <c r="B2229">
        <v>2024</v>
      </c>
      <c r="C2229" t="s">
        <v>172</v>
      </c>
      <c r="D2229" t="s">
        <v>714</v>
      </c>
      <c r="E2229" s="65">
        <v>120</v>
      </c>
      <c r="F2229" s="33">
        <v>0.51</v>
      </c>
      <c r="H2229" t="s">
        <v>154</v>
      </c>
      <c r="I2229" t="s">
        <v>194</v>
      </c>
      <c r="J2229" t="s">
        <v>77</v>
      </c>
      <c r="K2229" t="s">
        <v>177</v>
      </c>
      <c r="L2229">
        <v>0</v>
      </c>
      <c r="M2229" s="28" t="s">
        <v>178</v>
      </c>
    </row>
    <row r="2230" spans="1:13" x14ac:dyDescent="0.2">
      <c r="A2230">
        <f t="shared" si="34"/>
        <v>2224</v>
      </c>
      <c r="B2230">
        <v>2024</v>
      </c>
      <c r="C2230" t="s">
        <v>172</v>
      </c>
      <c r="D2230" t="s">
        <v>2203</v>
      </c>
      <c r="E2230" s="65">
        <v>1910</v>
      </c>
      <c r="H2230" t="s">
        <v>149</v>
      </c>
      <c r="I2230" t="s">
        <v>182</v>
      </c>
      <c r="J2230" t="s">
        <v>72</v>
      </c>
      <c r="K2230" t="s">
        <v>183</v>
      </c>
      <c r="L2230">
        <v>1</v>
      </c>
      <c r="M2230" s="28" t="s">
        <v>178</v>
      </c>
    </row>
    <row r="2231" spans="1:13" x14ac:dyDescent="0.2">
      <c r="A2231">
        <f t="shared" si="34"/>
        <v>2225</v>
      </c>
      <c r="B2231">
        <v>2024</v>
      </c>
      <c r="C2231" t="s">
        <v>172</v>
      </c>
      <c r="D2231" t="s">
        <v>714</v>
      </c>
      <c r="E2231" s="65">
        <v>100</v>
      </c>
      <c r="H2231" t="s">
        <v>154</v>
      </c>
      <c r="I2231" t="s">
        <v>194</v>
      </c>
      <c r="J2231" t="s">
        <v>23</v>
      </c>
      <c r="K2231" t="s">
        <v>183</v>
      </c>
      <c r="L2231">
        <v>1</v>
      </c>
    </row>
    <row r="2232" spans="1:13" x14ac:dyDescent="0.2">
      <c r="A2232">
        <f t="shared" si="34"/>
        <v>2226</v>
      </c>
      <c r="B2232">
        <v>2024</v>
      </c>
      <c r="C2232" t="s">
        <v>172</v>
      </c>
      <c r="D2232" t="s">
        <v>2204</v>
      </c>
      <c r="E2232" s="65">
        <v>300</v>
      </c>
      <c r="H2232" t="s">
        <v>144</v>
      </c>
      <c r="I2232" t="s">
        <v>232</v>
      </c>
      <c r="J2232" t="s">
        <v>66</v>
      </c>
      <c r="K2232" t="s">
        <v>201</v>
      </c>
      <c r="L2232">
        <v>1</v>
      </c>
      <c r="M2232" s="28" t="s">
        <v>178</v>
      </c>
    </row>
    <row r="2233" spans="1:13" x14ac:dyDescent="0.2">
      <c r="A2233">
        <f t="shared" si="34"/>
        <v>2227</v>
      </c>
      <c r="B2233">
        <v>2024</v>
      </c>
      <c r="C2233" t="s">
        <v>172</v>
      </c>
      <c r="D2233" t="s">
        <v>1431</v>
      </c>
      <c r="E2233" s="65">
        <v>140</v>
      </c>
      <c r="H2233" t="s">
        <v>150</v>
      </c>
      <c r="I2233" t="s">
        <v>556</v>
      </c>
      <c r="J2233" t="s">
        <v>136</v>
      </c>
      <c r="K2233" t="s">
        <v>183</v>
      </c>
      <c r="L2233">
        <v>1</v>
      </c>
    </row>
    <row r="2234" spans="1:13" x14ac:dyDescent="0.2">
      <c r="A2234">
        <f t="shared" si="34"/>
        <v>2228</v>
      </c>
      <c r="B2234">
        <v>2024</v>
      </c>
      <c r="C2234" t="s">
        <v>172</v>
      </c>
      <c r="D2234" t="s">
        <v>2205</v>
      </c>
      <c r="E2234" s="65">
        <v>240</v>
      </c>
      <c r="H2234" t="s">
        <v>144</v>
      </c>
      <c r="I2234" t="s">
        <v>232</v>
      </c>
      <c r="J2234" t="s">
        <v>80</v>
      </c>
      <c r="K2234" t="s">
        <v>214</v>
      </c>
      <c r="L2234">
        <v>1</v>
      </c>
      <c r="M2234" s="28" t="s">
        <v>178</v>
      </c>
    </row>
    <row r="2235" spans="1:13" x14ac:dyDescent="0.2">
      <c r="A2235">
        <f t="shared" si="34"/>
        <v>2229</v>
      </c>
      <c r="B2235">
        <v>2024</v>
      </c>
      <c r="C2235" t="s">
        <v>172</v>
      </c>
      <c r="D2235" t="s">
        <v>2067</v>
      </c>
      <c r="E2235" s="65">
        <v>1020</v>
      </c>
      <c r="G2235" t="s">
        <v>2206</v>
      </c>
      <c r="H2235" t="s">
        <v>154</v>
      </c>
      <c r="I2235" t="s">
        <v>194</v>
      </c>
      <c r="J2235" t="s">
        <v>80</v>
      </c>
      <c r="K2235" t="s">
        <v>214</v>
      </c>
      <c r="L2235">
        <v>1</v>
      </c>
      <c r="M2235" s="28" t="s">
        <v>178</v>
      </c>
    </row>
    <row r="2236" spans="1:13" x14ac:dyDescent="0.2">
      <c r="A2236">
        <f t="shared" si="34"/>
        <v>2230</v>
      </c>
      <c r="B2236">
        <v>2024</v>
      </c>
      <c r="C2236" t="s">
        <v>172</v>
      </c>
      <c r="D2236" t="s">
        <v>2207</v>
      </c>
      <c r="E2236" s="65">
        <v>290</v>
      </c>
      <c r="H2236" t="s">
        <v>151</v>
      </c>
      <c r="I2236" t="s">
        <v>279</v>
      </c>
      <c r="J2236" t="s">
        <v>108</v>
      </c>
      <c r="K2236" t="s">
        <v>183</v>
      </c>
      <c r="L2236">
        <v>1</v>
      </c>
      <c r="M2236" s="28" t="s">
        <v>178</v>
      </c>
    </row>
    <row r="2237" spans="1:13" x14ac:dyDescent="0.2">
      <c r="A2237">
        <f t="shared" si="34"/>
        <v>2231</v>
      </c>
      <c r="B2237">
        <v>2024</v>
      </c>
      <c r="C2237" t="s">
        <v>172</v>
      </c>
      <c r="D2237" t="s">
        <v>559</v>
      </c>
      <c r="E2237" s="65">
        <v>310</v>
      </c>
      <c r="H2237" t="s">
        <v>149</v>
      </c>
      <c r="I2237" t="s">
        <v>236</v>
      </c>
      <c r="J2237" t="s">
        <v>106</v>
      </c>
      <c r="K2237" t="s">
        <v>195</v>
      </c>
      <c r="L2237">
        <v>1</v>
      </c>
    </row>
    <row r="2238" spans="1:13" x14ac:dyDescent="0.2">
      <c r="A2238">
        <f t="shared" si="34"/>
        <v>2232</v>
      </c>
      <c r="B2238">
        <v>2024</v>
      </c>
      <c r="C2238" t="s">
        <v>172</v>
      </c>
      <c r="D2238" t="s">
        <v>559</v>
      </c>
      <c r="E2238" s="65">
        <v>100</v>
      </c>
      <c r="G2238" t="s">
        <v>2208</v>
      </c>
      <c r="H2238" t="s">
        <v>149</v>
      </c>
      <c r="J2238" t="s">
        <v>28</v>
      </c>
      <c r="K2238" t="s">
        <v>205</v>
      </c>
      <c r="L2238">
        <v>1</v>
      </c>
    </row>
    <row r="2239" spans="1:13" x14ac:dyDescent="0.2">
      <c r="A2239">
        <f t="shared" si="34"/>
        <v>2233</v>
      </c>
      <c r="B2239">
        <v>2024</v>
      </c>
      <c r="C2239" t="s">
        <v>258</v>
      </c>
      <c r="D2239" t="s">
        <v>1465</v>
      </c>
      <c r="E2239" s="65">
        <v>800</v>
      </c>
      <c r="H2239" t="s">
        <v>151</v>
      </c>
      <c r="I2239" t="s">
        <v>224</v>
      </c>
      <c r="J2239" t="s">
        <v>20</v>
      </c>
      <c r="K2239" t="s">
        <v>195</v>
      </c>
      <c r="L2239">
        <v>0</v>
      </c>
    </row>
    <row r="2240" spans="1:13" x14ac:dyDescent="0.2">
      <c r="A2240">
        <f t="shared" si="34"/>
        <v>2234</v>
      </c>
      <c r="B2240">
        <v>2024</v>
      </c>
      <c r="C2240" t="s">
        <v>258</v>
      </c>
      <c r="D2240" t="s">
        <v>1173</v>
      </c>
      <c r="E2240" s="65">
        <v>230</v>
      </c>
      <c r="F2240" s="33">
        <v>1</v>
      </c>
      <c r="G2240" t="s">
        <v>2209</v>
      </c>
      <c r="H2240" t="s">
        <v>151</v>
      </c>
      <c r="I2240" t="s">
        <v>224</v>
      </c>
      <c r="J2240" t="s">
        <v>131</v>
      </c>
      <c r="K2240" t="s">
        <v>131</v>
      </c>
      <c r="L2240">
        <v>0</v>
      </c>
    </row>
    <row r="2241" spans="1:13" x14ac:dyDescent="0.2">
      <c r="A2241">
        <f t="shared" si="34"/>
        <v>2235</v>
      </c>
      <c r="B2241">
        <v>2024</v>
      </c>
      <c r="C2241" t="s">
        <v>258</v>
      </c>
      <c r="D2241" t="s">
        <v>234</v>
      </c>
      <c r="E2241" s="65">
        <v>210</v>
      </c>
      <c r="H2241" t="s">
        <v>149</v>
      </c>
      <c r="I2241" t="s">
        <v>236</v>
      </c>
      <c r="J2241" t="s">
        <v>25</v>
      </c>
      <c r="K2241" t="s">
        <v>177</v>
      </c>
      <c r="L2241">
        <v>0</v>
      </c>
    </row>
    <row r="2242" spans="1:13" x14ac:dyDescent="0.2">
      <c r="A2242">
        <f t="shared" si="34"/>
        <v>2236</v>
      </c>
      <c r="B2242">
        <v>2024</v>
      </c>
      <c r="C2242" t="s">
        <v>258</v>
      </c>
      <c r="D2242" t="s">
        <v>694</v>
      </c>
      <c r="E2242" s="65">
        <v>280</v>
      </c>
      <c r="F2242" s="33">
        <v>1</v>
      </c>
      <c r="G2242" t="s">
        <v>2210</v>
      </c>
      <c r="H2242" t="s">
        <v>149</v>
      </c>
      <c r="J2242" t="s">
        <v>83</v>
      </c>
      <c r="K2242" t="s">
        <v>219</v>
      </c>
      <c r="L2242">
        <v>1</v>
      </c>
    </row>
    <row r="2243" spans="1:13" x14ac:dyDescent="0.2">
      <c r="A2243">
        <f t="shared" si="34"/>
        <v>2237</v>
      </c>
      <c r="B2243">
        <v>2024</v>
      </c>
      <c r="C2243" t="s">
        <v>258</v>
      </c>
      <c r="D2243" t="s">
        <v>2024</v>
      </c>
      <c r="E2243" s="65">
        <v>100</v>
      </c>
      <c r="H2243" t="s">
        <v>154</v>
      </c>
      <c r="I2243" t="s">
        <v>194</v>
      </c>
      <c r="J2243" t="s">
        <v>131</v>
      </c>
      <c r="K2243" t="s">
        <v>131</v>
      </c>
      <c r="L2243">
        <v>0</v>
      </c>
      <c r="M2243" s="28" t="s">
        <v>178</v>
      </c>
    </row>
    <row r="2244" spans="1:13" x14ac:dyDescent="0.2">
      <c r="A2244">
        <f t="shared" si="34"/>
        <v>2238</v>
      </c>
      <c r="B2244">
        <v>2024</v>
      </c>
      <c r="C2244" t="s">
        <v>258</v>
      </c>
      <c r="D2244" t="s">
        <v>405</v>
      </c>
      <c r="E2244" s="65">
        <v>1240</v>
      </c>
      <c r="H2244" t="s">
        <v>149</v>
      </c>
      <c r="I2244" t="s">
        <v>182</v>
      </c>
      <c r="J2244" t="s">
        <v>48</v>
      </c>
      <c r="K2244" t="s">
        <v>219</v>
      </c>
      <c r="L2244">
        <v>1</v>
      </c>
      <c r="M2244" s="28" t="s">
        <v>178</v>
      </c>
    </row>
    <row r="2245" spans="1:13" x14ac:dyDescent="0.2">
      <c r="A2245">
        <f t="shared" si="34"/>
        <v>2239</v>
      </c>
      <c r="B2245">
        <v>2024</v>
      </c>
      <c r="C2245" t="s">
        <v>258</v>
      </c>
      <c r="D2245" t="s">
        <v>1750</v>
      </c>
      <c r="E2245" s="65">
        <v>200</v>
      </c>
      <c r="H2245" t="s">
        <v>154</v>
      </c>
      <c r="I2245" t="s">
        <v>194</v>
      </c>
      <c r="J2245" t="s">
        <v>23</v>
      </c>
      <c r="K2245" t="s">
        <v>183</v>
      </c>
      <c r="L2245">
        <v>1</v>
      </c>
    </row>
    <row r="2246" spans="1:13" x14ac:dyDescent="0.2">
      <c r="A2246">
        <f t="shared" si="34"/>
        <v>2240</v>
      </c>
      <c r="B2246">
        <v>2024</v>
      </c>
      <c r="C2246" t="s">
        <v>258</v>
      </c>
      <c r="D2246" t="s">
        <v>1287</v>
      </c>
      <c r="E2246" s="65">
        <v>210</v>
      </c>
      <c r="H2246" t="s">
        <v>154</v>
      </c>
      <c r="I2246" t="s">
        <v>194</v>
      </c>
      <c r="J2246" t="s">
        <v>131</v>
      </c>
      <c r="K2246" t="s">
        <v>131</v>
      </c>
      <c r="L2246">
        <v>0</v>
      </c>
    </row>
    <row r="2247" spans="1:13" x14ac:dyDescent="0.2">
      <c r="A2247">
        <f t="shared" ref="A2247:A2310" si="35">ROW()-6</f>
        <v>2241</v>
      </c>
      <c r="B2247">
        <v>2024</v>
      </c>
      <c r="C2247" t="s">
        <v>179</v>
      </c>
      <c r="D2247" t="s">
        <v>875</v>
      </c>
      <c r="E2247" s="65">
        <v>320</v>
      </c>
      <c r="F2247" s="33">
        <v>1</v>
      </c>
      <c r="H2247" t="s">
        <v>144</v>
      </c>
      <c r="I2247" t="s">
        <v>232</v>
      </c>
      <c r="J2247" t="s">
        <v>134</v>
      </c>
      <c r="K2247" t="s">
        <v>201</v>
      </c>
      <c r="L2247">
        <v>1</v>
      </c>
      <c r="M2247" s="28" t="s">
        <v>178</v>
      </c>
    </row>
    <row r="2248" spans="1:13" x14ac:dyDescent="0.2">
      <c r="A2248">
        <f t="shared" si="35"/>
        <v>2242</v>
      </c>
      <c r="B2248">
        <v>2024</v>
      </c>
      <c r="C2248" t="s">
        <v>179</v>
      </c>
      <c r="D2248" t="s">
        <v>2211</v>
      </c>
      <c r="E2248" s="65">
        <v>100</v>
      </c>
      <c r="F2248" s="33">
        <v>0.3</v>
      </c>
      <c r="G2248" t="s">
        <v>2138</v>
      </c>
      <c r="H2248" t="s">
        <v>152</v>
      </c>
      <c r="J2248" t="s">
        <v>72</v>
      </c>
      <c r="K2248" t="s">
        <v>183</v>
      </c>
      <c r="L2248">
        <v>1</v>
      </c>
    </row>
    <row r="2249" spans="1:13" x14ac:dyDescent="0.2">
      <c r="A2249">
        <f t="shared" si="35"/>
        <v>2243</v>
      </c>
      <c r="B2249">
        <v>2024</v>
      </c>
      <c r="C2249" t="s">
        <v>179</v>
      </c>
      <c r="D2249" t="s">
        <v>2212</v>
      </c>
      <c r="E2249" s="65">
        <v>150</v>
      </c>
      <c r="H2249" t="s">
        <v>149</v>
      </c>
      <c r="I2249" t="s">
        <v>182</v>
      </c>
      <c r="J2249" t="s">
        <v>38</v>
      </c>
      <c r="K2249" t="s">
        <v>214</v>
      </c>
      <c r="L2249">
        <v>1</v>
      </c>
      <c r="M2249" s="28" t="s">
        <v>178</v>
      </c>
    </row>
    <row r="2250" spans="1:13" x14ac:dyDescent="0.2">
      <c r="A2250">
        <f t="shared" si="35"/>
        <v>2244</v>
      </c>
      <c r="B2250">
        <v>2024</v>
      </c>
      <c r="C2250" t="s">
        <v>179</v>
      </c>
      <c r="D2250" t="s">
        <v>307</v>
      </c>
      <c r="E2250" s="65">
        <v>220</v>
      </c>
      <c r="H2250" t="s">
        <v>144</v>
      </c>
      <c r="J2250" t="s">
        <v>19</v>
      </c>
      <c r="K2250" t="s">
        <v>205</v>
      </c>
      <c r="L2250">
        <v>0</v>
      </c>
    </row>
    <row r="2251" spans="1:13" x14ac:dyDescent="0.2">
      <c r="A2251">
        <f t="shared" si="35"/>
        <v>2245</v>
      </c>
      <c r="B2251">
        <v>2024</v>
      </c>
      <c r="C2251" t="s">
        <v>179</v>
      </c>
      <c r="D2251" t="s">
        <v>2213</v>
      </c>
      <c r="E2251" s="65">
        <v>100</v>
      </c>
      <c r="H2251" t="s">
        <v>144</v>
      </c>
      <c r="I2251" t="s">
        <v>232</v>
      </c>
      <c r="J2251" t="s">
        <v>66</v>
      </c>
      <c r="K2251" t="s">
        <v>201</v>
      </c>
      <c r="L2251">
        <v>1</v>
      </c>
      <c r="M2251" s="28" t="s">
        <v>178</v>
      </c>
    </row>
    <row r="2252" spans="1:13" x14ac:dyDescent="0.2">
      <c r="A2252">
        <f t="shared" si="35"/>
        <v>2246</v>
      </c>
      <c r="B2252">
        <v>2024</v>
      </c>
      <c r="C2252" t="s">
        <v>179</v>
      </c>
      <c r="D2252" t="s">
        <v>269</v>
      </c>
      <c r="E2252" s="65">
        <v>280</v>
      </c>
      <c r="H2252" t="s">
        <v>154</v>
      </c>
      <c r="I2252" t="s">
        <v>271</v>
      </c>
      <c r="J2252" t="s">
        <v>38</v>
      </c>
      <c r="K2252" t="s">
        <v>214</v>
      </c>
      <c r="L2252">
        <v>1</v>
      </c>
    </row>
    <row r="2253" spans="1:13" x14ac:dyDescent="0.2">
      <c r="A2253">
        <f t="shared" si="35"/>
        <v>2247</v>
      </c>
      <c r="B2253">
        <v>2024</v>
      </c>
      <c r="C2253" t="s">
        <v>179</v>
      </c>
      <c r="D2253" t="s">
        <v>2214</v>
      </c>
      <c r="E2253" s="65">
        <v>190</v>
      </c>
      <c r="F2253" s="33">
        <v>1</v>
      </c>
      <c r="H2253" t="s">
        <v>154</v>
      </c>
      <c r="I2253" t="s">
        <v>194</v>
      </c>
      <c r="J2253" t="s">
        <v>23</v>
      </c>
      <c r="K2253" t="s">
        <v>183</v>
      </c>
      <c r="L2253">
        <v>1</v>
      </c>
      <c r="M2253" s="28" t="s">
        <v>178</v>
      </c>
    </row>
    <row r="2254" spans="1:13" x14ac:dyDescent="0.2">
      <c r="A2254">
        <f t="shared" si="35"/>
        <v>2248</v>
      </c>
      <c r="B2254">
        <v>2024</v>
      </c>
      <c r="C2254" t="s">
        <v>179</v>
      </c>
      <c r="D2254" t="s">
        <v>175</v>
      </c>
      <c r="E2254" s="65">
        <v>100</v>
      </c>
      <c r="H2254" t="s">
        <v>149</v>
      </c>
      <c r="I2254" t="s">
        <v>236</v>
      </c>
      <c r="J2254" t="s">
        <v>96</v>
      </c>
      <c r="K2254" t="s">
        <v>205</v>
      </c>
      <c r="L2254">
        <v>1</v>
      </c>
    </row>
    <row r="2255" spans="1:13" x14ac:dyDescent="0.2">
      <c r="A2255">
        <f t="shared" si="35"/>
        <v>2249</v>
      </c>
      <c r="B2255">
        <v>2024</v>
      </c>
      <c r="C2255" t="s">
        <v>179</v>
      </c>
      <c r="D2255" t="s">
        <v>244</v>
      </c>
      <c r="E2255" s="65">
        <v>110</v>
      </c>
      <c r="H2255" t="s">
        <v>149</v>
      </c>
      <c r="I2255" t="s">
        <v>236</v>
      </c>
      <c r="J2255" t="s">
        <v>138</v>
      </c>
      <c r="K2255" t="s">
        <v>219</v>
      </c>
      <c r="L2255">
        <v>1</v>
      </c>
    </row>
    <row r="2256" spans="1:13" x14ac:dyDescent="0.2">
      <c r="A2256">
        <f t="shared" si="35"/>
        <v>2250</v>
      </c>
      <c r="B2256">
        <v>2024</v>
      </c>
      <c r="C2256" t="s">
        <v>179</v>
      </c>
      <c r="D2256" t="s">
        <v>246</v>
      </c>
      <c r="E2256" s="65">
        <v>160</v>
      </c>
      <c r="F2256" s="33">
        <v>1</v>
      </c>
      <c r="H2256" t="s">
        <v>144</v>
      </c>
      <c r="I2256" t="s">
        <v>232</v>
      </c>
      <c r="J2256" t="s">
        <v>96</v>
      </c>
      <c r="K2256" t="s">
        <v>205</v>
      </c>
      <c r="L2256">
        <v>1</v>
      </c>
      <c r="M2256" s="28" t="s">
        <v>178</v>
      </c>
    </row>
    <row r="2257" spans="1:13" x14ac:dyDescent="0.2">
      <c r="A2257">
        <f t="shared" si="35"/>
        <v>2251</v>
      </c>
      <c r="B2257">
        <v>2024</v>
      </c>
      <c r="C2257" t="s">
        <v>184</v>
      </c>
      <c r="D2257" t="s">
        <v>2109</v>
      </c>
      <c r="E2257" s="65">
        <v>110</v>
      </c>
      <c r="F2257" s="33">
        <v>1</v>
      </c>
      <c r="G2257" t="s">
        <v>2215</v>
      </c>
      <c r="H2257" t="s">
        <v>144</v>
      </c>
      <c r="J2257" t="s">
        <v>9</v>
      </c>
      <c r="K2257" t="s">
        <v>9</v>
      </c>
      <c r="L2257">
        <v>0</v>
      </c>
    </row>
    <row r="2258" spans="1:13" x14ac:dyDescent="0.2">
      <c r="A2258">
        <f t="shared" si="35"/>
        <v>2252</v>
      </c>
      <c r="B2258">
        <v>2024</v>
      </c>
      <c r="C2258" t="s">
        <v>184</v>
      </c>
      <c r="D2258" t="s">
        <v>2216</v>
      </c>
      <c r="E2258" s="65">
        <v>180</v>
      </c>
      <c r="F2258" s="33">
        <v>1</v>
      </c>
      <c r="H2258" t="s">
        <v>152</v>
      </c>
      <c r="J2258" t="s">
        <v>124</v>
      </c>
      <c r="K2258" t="s">
        <v>183</v>
      </c>
      <c r="L2258">
        <v>1</v>
      </c>
    </row>
    <row r="2259" spans="1:13" x14ac:dyDescent="0.2">
      <c r="A2259">
        <f t="shared" si="35"/>
        <v>2253</v>
      </c>
      <c r="B2259">
        <v>2024</v>
      </c>
      <c r="C2259" t="s">
        <v>184</v>
      </c>
      <c r="D2259" t="s">
        <v>2196</v>
      </c>
      <c r="E2259" s="65">
        <v>210</v>
      </c>
      <c r="F2259" s="33">
        <v>0.1</v>
      </c>
      <c r="H2259" t="s">
        <v>154</v>
      </c>
      <c r="I2259" t="s">
        <v>194</v>
      </c>
      <c r="J2259" t="s">
        <v>131</v>
      </c>
      <c r="K2259" t="s">
        <v>131</v>
      </c>
      <c r="L2259">
        <v>0</v>
      </c>
      <c r="M2259" s="28" t="s">
        <v>178</v>
      </c>
    </row>
    <row r="2260" spans="1:13" x14ac:dyDescent="0.2">
      <c r="A2260">
        <f t="shared" si="35"/>
        <v>2254</v>
      </c>
      <c r="B2260">
        <v>2024</v>
      </c>
      <c r="C2260" t="s">
        <v>184</v>
      </c>
      <c r="D2260" t="s">
        <v>2217</v>
      </c>
      <c r="E2260" s="65">
        <v>280</v>
      </c>
      <c r="F2260" s="33">
        <v>1</v>
      </c>
      <c r="H2260" t="s">
        <v>144</v>
      </c>
      <c r="I2260" t="s">
        <v>232</v>
      </c>
      <c r="J2260" t="s">
        <v>53</v>
      </c>
      <c r="K2260" t="s">
        <v>183</v>
      </c>
      <c r="L2260">
        <v>1</v>
      </c>
      <c r="M2260" s="28" t="s">
        <v>178</v>
      </c>
    </row>
    <row r="2261" spans="1:13" x14ac:dyDescent="0.2">
      <c r="A2261">
        <f t="shared" si="35"/>
        <v>2255</v>
      </c>
      <c r="B2261">
        <v>2024</v>
      </c>
      <c r="C2261" t="s">
        <v>184</v>
      </c>
      <c r="D2261" t="s">
        <v>551</v>
      </c>
      <c r="E2261" s="65">
        <v>220</v>
      </c>
      <c r="F2261" s="33">
        <v>0.5</v>
      </c>
      <c r="H2261" t="s">
        <v>154</v>
      </c>
      <c r="I2261" t="s">
        <v>194</v>
      </c>
      <c r="J2261" t="s">
        <v>114</v>
      </c>
      <c r="K2261" t="s">
        <v>195</v>
      </c>
      <c r="L2261">
        <v>0</v>
      </c>
      <c r="M2261" s="28" t="s">
        <v>178</v>
      </c>
    </row>
    <row r="2262" spans="1:13" x14ac:dyDescent="0.2">
      <c r="A2262">
        <f t="shared" si="35"/>
        <v>2256</v>
      </c>
      <c r="B2262">
        <v>2024</v>
      </c>
      <c r="C2262" t="s">
        <v>184</v>
      </c>
      <c r="D2262" t="s">
        <v>2218</v>
      </c>
      <c r="E2262" s="65">
        <v>480</v>
      </c>
      <c r="F2262" s="33">
        <v>1</v>
      </c>
      <c r="H2262" t="s">
        <v>149</v>
      </c>
      <c r="J2262" t="s">
        <v>59</v>
      </c>
      <c r="K2262" t="s">
        <v>219</v>
      </c>
      <c r="L2262">
        <v>1</v>
      </c>
    </row>
    <row r="2263" spans="1:13" x14ac:dyDescent="0.2">
      <c r="A2263">
        <f t="shared" si="35"/>
        <v>2257</v>
      </c>
      <c r="B2263">
        <v>2024</v>
      </c>
      <c r="C2263" t="s">
        <v>184</v>
      </c>
      <c r="D2263" t="s">
        <v>822</v>
      </c>
      <c r="E2263" s="65">
        <v>200</v>
      </c>
      <c r="F2263" s="33">
        <v>1</v>
      </c>
      <c r="H2263" t="s">
        <v>148</v>
      </c>
      <c r="J2263" t="s">
        <v>113</v>
      </c>
      <c r="K2263" t="s">
        <v>183</v>
      </c>
      <c r="L2263">
        <v>0</v>
      </c>
      <c r="M2263" s="28" t="s">
        <v>178</v>
      </c>
    </row>
    <row r="2264" spans="1:13" x14ac:dyDescent="0.2">
      <c r="A2264">
        <f t="shared" si="35"/>
        <v>2258</v>
      </c>
      <c r="B2264">
        <v>2024</v>
      </c>
      <c r="C2264" t="s">
        <v>184</v>
      </c>
      <c r="D2264" t="s">
        <v>1023</v>
      </c>
      <c r="E2264" s="65">
        <v>190</v>
      </c>
      <c r="H2264" t="s">
        <v>154</v>
      </c>
      <c r="I2264" t="s">
        <v>194</v>
      </c>
      <c r="J2264" t="s">
        <v>80</v>
      </c>
      <c r="K2264" t="s">
        <v>214</v>
      </c>
      <c r="L2264">
        <v>1</v>
      </c>
      <c r="M2264" s="28" t="s">
        <v>178</v>
      </c>
    </row>
    <row r="2265" spans="1:13" x14ac:dyDescent="0.2">
      <c r="A2265">
        <f t="shared" si="35"/>
        <v>2259</v>
      </c>
      <c r="B2265">
        <v>2024</v>
      </c>
      <c r="C2265" t="s">
        <v>184</v>
      </c>
      <c r="D2265" t="s">
        <v>908</v>
      </c>
      <c r="E2265" s="65">
        <v>910</v>
      </c>
      <c r="F2265" s="33">
        <v>0.22</v>
      </c>
      <c r="H2265" t="s">
        <v>149</v>
      </c>
      <c r="I2265" t="s">
        <v>182</v>
      </c>
      <c r="J2265" t="s">
        <v>48</v>
      </c>
      <c r="K2265" t="s">
        <v>219</v>
      </c>
      <c r="L2265">
        <v>1</v>
      </c>
    </row>
    <row r="2266" spans="1:13" x14ac:dyDescent="0.2">
      <c r="A2266">
        <f t="shared" si="35"/>
        <v>2260</v>
      </c>
      <c r="B2266">
        <v>2024</v>
      </c>
      <c r="C2266" t="s">
        <v>184</v>
      </c>
      <c r="D2266" t="s">
        <v>2145</v>
      </c>
      <c r="E2266" s="65">
        <v>300</v>
      </c>
      <c r="F2266" s="33">
        <v>1</v>
      </c>
      <c r="H2266" t="s">
        <v>143</v>
      </c>
      <c r="J2266" t="s">
        <v>80</v>
      </c>
      <c r="K2266" t="s">
        <v>214</v>
      </c>
      <c r="L2266">
        <v>1</v>
      </c>
      <c r="M2266" s="28" t="s">
        <v>178</v>
      </c>
    </row>
    <row r="2267" spans="1:13" x14ac:dyDescent="0.2">
      <c r="A2267">
        <f t="shared" si="35"/>
        <v>2261</v>
      </c>
      <c r="B2267">
        <v>2024</v>
      </c>
      <c r="C2267" t="s">
        <v>184</v>
      </c>
      <c r="D2267" t="s">
        <v>438</v>
      </c>
      <c r="E2267" s="65">
        <v>1030</v>
      </c>
      <c r="H2267" t="s">
        <v>154</v>
      </c>
      <c r="I2267" t="s">
        <v>194</v>
      </c>
      <c r="J2267" t="s">
        <v>109</v>
      </c>
      <c r="K2267" t="s">
        <v>195</v>
      </c>
      <c r="L2267">
        <v>1</v>
      </c>
      <c r="M2267" s="28" t="s">
        <v>178</v>
      </c>
    </row>
    <row r="2268" spans="1:13" x14ac:dyDescent="0.2">
      <c r="A2268">
        <f t="shared" si="35"/>
        <v>2262</v>
      </c>
      <c r="B2268">
        <v>2024</v>
      </c>
      <c r="C2268" t="s">
        <v>184</v>
      </c>
      <c r="D2268" t="s">
        <v>2196</v>
      </c>
      <c r="E2268" s="65">
        <v>810</v>
      </c>
      <c r="F2268" s="33">
        <v>1</v>
      </c>
      <c r="H2268" t="s">
        <v>154</v>
      </c>
      <c r="I2268" t="s">
        <v>194</v>
      </c>
      <c r="J2268" t="s">
        <v>51</v>
      </c>
      <c r="K2268" t="s">
        <v>195</v>
      </c>
      <c r="L2268">
        <v>1</v>
      </c>
      <c r="M2268" s="28" t="s">
        <v>178</v>
      </c>
    </row>
    <row r="2269" spans="1:13" x14ac:dyDescent="0.2">
      <c r="A2269">
        <f t="shared" si="35"/>
        <v>2263</v>
      </c>
      <c r="B2269">
        <v>2024</v>
      </c>
      <c r="C2269" t="s">
        <v>184</v>
      </c>
      <c r="D2269" t="s">
        <v>600</v>
      </c>
      <c r="E2269" s="65">
        <v>320</v>
      </c>
      <c r="F2269" s="33">
        <v>1</v>
      </c>
      <c r="H2269" t="s">
        <v>144</v>
      </c>
      <c r="I2269" t="s">
        <v>232</v>
      </c>
      <c r="J2269" t="s">
        <v>22</v>
      </c>
      <c r="K2269" t="s">
        <v>195</v>
      </c>
      <c r="L2269">
        <v>1</v>
      </c>
      <c r="M2269" s="28" t="s">
        <v>178</v>
      </c>
    </row>
    <row r="2270" spans="1:13" x14ac:dyDescent="0.2">
      <c r="A2270">
        <f t="shared" si="35"/>
        <v>2264</v>
      </c>
      <c r="B2270">
        <v>2024</v>
      </c>
      <c r="C2270" t="s">
        <v>184</v>
      </c>
      <c r="D2270" t="s">
        <v>185</v>
      </c>
      <c r="E2270" s="65">
        <v>3180</v>
      </c>
      <c r="F2270" s="33">
        <v>0.25</v>
      </c>
      <c r="G2270" t="s">
        <v>2219</v>
      </c>
      <c r="H2270" t="s">
        <v>144</v>
      </c>
      <c r="I2270" t="s">
        <v>187</v>
      </c>
      <c r="J2270" t="s">
        <v>50</v>
      </c>
      <c r="K2270" t="s">
        <v>205</v>
      </c>
      <c r="L2270">
        <v>1</v>
      </c>
      <c r="M2270" s="28" t="s">
        <v>178</v>
      </c>
    </row>
    <row r="2271" spans="1:13" x14ac:dyDescent="0.2">
      <c r="A2271">
        <f t="shared" si="35"/>
        <v>2265</v>
      </c>
      <c r="B2271">
        <v>2024</v>
      </c>
      <c r="C2271" t="s">
        <v>184</v>
      </c>
      <c r="D2271" t="s">
        <v>1011</v>
      </c>
      <c r="E2271" s="65">
        <v>2040</v>
      </c>
      <c r="F2271" s="33">
        <v>0.53</v>
      </c>
      <c r="H2271" t="s">
        <v>154</v>
      </c>
      <c r="I2271" t="s">
        <v>194</v>
      </c>
      <c r="J2271" t="s">
        <v>53</v>
      </c>
      <c r="K2271" t="s">
        <v>183</v>
      </c>
      <c r="L2271">
        <v>1</v>
      </c>
      <c r="M2271" s="28" t="s">
        <v>178</v>
      </c>
    </row>
    <row r="2272" spans="1:13" x14ac:dyDescent="0.2">
      <c r="A2272">
        <f t="shared" si="35"/>
        <v>2266</v>
      </c>
      <c r="B2272">
        <v>2024</v>
      </c>
      <c r="C2272" t="s">
        <v>184</v>
      </c>
      <c r="D2272" t="s">
        <v>1353</v>
      </c>
      <c r="E2272" s="65">
        <v>810</v>
      </c>
      <c r="H2272" t="s">
        <v>151</v>
      </c>
      <c r="I2272" t="s">
        <v>279</v>
      </c>
      <c r="J2272" t="s">
        <v>119</v>
      </c>
      <c r="K2272" t="s">
        <v>195</v>
      </c>
      <c r="L2272">
        <v>0</v>
      </c>
      <c r="M2272" s="28" t="s">
        <v>178</v>
      </c>
    </row>
    <row r="2273" spans="1:13" x14ac:dyDescent="0.2">
      <c r="A2273">
        <f t="shared" si="35"/>
        <v>2267</v>
      </c>
      <c r="B2273">
        <v>2024</v>
      </c>
      <c r="C2273" t="s">
        <v>184</v>
      </c>
      <c r="D2273" t="s">
        <v>2188</v>
      </c>
      <c r="E2273" s="65">
        <v>150</v>
      </c>
      <c r="H2273" t="s">
        <v>144</v>
      </c>
      <c r="I2273" t="s">
        <v>232</v>
      </c>
      <c r="J2273" t="s">
        <v>136</v>
      </c>
      <c r="K2273" t="s">
        <v>183</v>
      </c>
      <c r="L2273">
        <v>1</v>
      </c>
    </row>
    <row r="2274" spans="1:13" x14ac:dyDescent="0.2">
      <c r="A2274">
        <f t="shared" si="35"/>
        <v>2268</v>
      </c>
      <c r="B2274">
        <v>2024</v>
      </c>
      <c r="C2274" t="s">
        <v>225</v>
      </c>
      <c r="D2274" t="s">
        <v>1783</v>
      </c>
      <c r="E2274" s="65">
        <v>230</v>
      </c>
      <c r="H2274" t="s">
        <v>154</v>
      </c>
      <c r="I2274" t="s">
        <v>194</v>
      </c>
      <c r="J2274" t="s">
        <v>136</v>
      </c>
      <c r="K2274" t="s">
        <v>183</v>
      </c>
      <c r="L2274">
        <v>1</v>
      </c>
    </row>
    <row r="2275" spans="1:13" x14ac:dyDescent="0.2">
      <c r="A2275">
        <f t="shared" si="35"/>
        <v>2269</v>
      </c>
      <c r="B2275">
        <v>2024</v>
      </c>
      <c r="C2275" t="s">
        <v>225</v>
      </c>
      <c r="D2275" t="s">
        <v>943</v>
      </c>
      <c r="E2275" s="65">
        <v>620</v>
      </c>
      <c r="H2275" t="s">
        <v>144</v>
      </c>
      <c r="I2275" t="s">
        <v>232</v>
      </c>
      <c r="J2275" t="s">
        <v>67</v>
      </c>
      <c r="K2275" t="s">
        <v>183</v>
      </c>
      <c r="L2275">
        <v>1</v>
      </c>
      <c r="M2275" s="28" t="s">
        <v>178</v>
      </c>
    </row>
    <row r="2276" spans="1:13" x14ac:dyDescent="0.2">
      <c r="A2276">
        <f t="shared" si="35"/>
        <v>2270</v>
      </c>
      <c r="B2276">
        <v>2024</v>
      </c>
      <c r="C2276" t="s">
        <v>225</v>
      </c>
      <c r="D2276" t="s">
        <v>438</v>
      </c>
      <c r="E2276" s="65">
        <v>2230</v>
      </c>
      <c r="F2276" s="33">
        <v>0.45</v>
      </c>
      <c r="G2276" t="s">
        <v>2158</v>
      </c>
      <c r="H2276" t="s">
        <v>154</v>
      </c>
      <c r="I2276" t="s">
        <v>194</v>
      </c>
      <c r="J2276" t="s">
        <v>20</v>
      </c>
      <c r="K2276" t="s">
        <v>195</v>
      </c>
      <c r="L2276">
        <v>0</v>
      </c>
    </row>
    <row r="2277" spans="1:13" x14ac:dyDescent="0.2">
      <c r="A2277">
        <f t="shared" si="35"/>
        <v>2271</v>
      </c>
      <c r="B2277">
        <v>2024</v>
      </c>
      <c r="C2277" t="s">
        <v>225</v>
      </c>
      <c r="D2277" t="s">
        <v>2220</v>
      </c>
      <c r="E2277" s="65">
        <v>260</v>
      </c>
      <c r="H2277" t="s">
        <v>142</v>
      </c>
      <c r="J2277" t="s">
        <v>66</v>
      </c>
      <c r="K2277" t="s">
        <v>201</v>
      </c>
      <c r="L2277">
        <v>1</v>
      </c>
      <c r="M2277" s="28" t="s">
        <v>178</v>
      </c>
    </row>
    <row r="2278" spans="1:13" x14ac:dyDescent="0.2">
      <c r="A2278">
        <f t="shared" si="35"/>
        <v>2272</v>
      </c>
      <c r="B2278">
        <v>2024</v>
      </c>
      <c r="C2278" t="s">
        <v>225</v>
      </c>
      <c r="D2278" t="s">
        <v>2188</v>
      </c>
      <c r="E2278" s="65">
        <v>290</v>
      </c>
      <c r="H2278" t="s">
        <v>144</v>
      </c>
      <c r="I2278" t="s">
        <v>232</v>
      </c>
      <c r="J2278" t="s">
        <v>131</v>
      </c>
      <c r="K2278" t="s">
        <v>131</v>
      </c>
      <c r="L2278">
        <v>0</v>
      </c>
      <c r="M2278" s="28" t="s">
        <v>178</v>
      </c>
    </row>
    <row r="2279" spans="1:13" x14ac:dyDescent="0.2">
      <c r="A2279">
        <f t="shared" si="35"/>
        <v>2273</v>
      </c>
      <c r="B2279">
        <v>2024</v>
      </c>
      <c r="C2279" t="s">
        <v>225</v>
      </c>
      <c r="D2279" t="s">
        <v>1884</v>
      </c>
      <c r="E2279" s="65">
        <v>250</v>
      </c>
      <c r="H2279" t="s">
        <v>150</v>
      </c>
      <c r="I2279" t="s">
        <v>226</v>
      </c>
      <c r="J2279" t="s">
        <v>72</v>
      </c>
      <c r="K2279" t="s">
        <v>183</v>
      </c>
      <c r="L2279">
        <v>1</v>
      </c>
    </row>
    <row r="2280" spans="1:13" x14ac:dyDescent="0.2">
      <c r="A2280">
        <f t="shared" si="35"/>
        <v>2274</v>
      </c>
      <c r="B2280">
        <v>2024</v>
      </c>
      <c r="C2280" t="s">
        <v>225</v>
      </c>
      <c r="D2280" t="s">
        <v>1848</v>
      </c>
      <c r="E2280" s="65">
        <v>480</v>
      </c>
      <c r="H2280" t="s">
        <v>144</v>
      </c>
      <c r="I2280" t="s">
        <v>232</v>
      </c>
      <c r="J2280" t="s">
        <v>134</v>
      </c>
      <c r="K2280" t="s">
        <v>201</v>
      </c>
      <c r="L2280">
        <v>1</v>
      </c>
      <c r="M2280" s="28" t="s">
        <v>178</v>
      </c>
    </row>
    <row r="2281" spans="1:13" x14ac:dyDescent="0.2">
      <c r="A2281">
        <f t="shared" si="35"/>
        <v>2275</v>
      </c>
      <c r="B2281">
        <v>2024</v>
      </c>
      <c r="C2281" t="s">
        <v>188</v>
      </c>
      <c r="D2281" t="s">
        <v>1180</v>
      </c>
      <c r="E2281" s="65">
        <v>150</v>
      </c>
      <c r="H2281" t="s">
        <v>144</v>
      </c>
      <c r="I2281" t="s">
        <v>232</v>
      </c>
      <c r="J2281" t="s">
        <v>19</v>
      </c>
      <c r="K2281" t="s">
        <v>205</v>
      </c>
      <c r="L2281">
        <v>0</v>
      </c>
      <c r="M2281" s="28" t="s">
        <v>178</v>
      </c>
    </row>
    <row r="2282" spans="1:13" x14ac:dyDescent="0.2">
      <c r="A2282">
        <f t="shared" si="35"/>
        <v>2276</v>
      </c>
      <c r="B2282">
        <v>2024</v>
      </c>
      <c r="C2282" t="s">
        <v>188</v>
      </c>
      <c r="D2282" t="s">
        <v>1852</v>
      </c>
      <c r="E2282" s="65">
        <v>200</v>
      </c>
      <c r="F2282" s="33">
        <v>0.28000000000000003</v>
      </c>
      <c r="G2282" t="s">
        <v>1881</v>
      </c>
      <c r="H2282" t="s">
        <v>144</v>
      </c>
      <c r="I2282" t="s">
        <v>232</v>
      </c>
      <c r="J2282" t="s">
        <v>108</v>
      </c>
      <c r="K2282" t="s">
        <v>183</v>
      </c>
      <c r="L2282">
        <v>1</v>
      </c>
    </row>
    <row r="2283" spans="1:13" x14ac:dyDescent="0.2">
      <c r="A2283">
        <f t="shared" si="35"/>
        <v>2277</v>
      </c>
      <c r="B2283">
        <v>2024</v>
      </c>
      <c r="C2283" t="s">
        <v>188</v>
      </c>
      <c r="D2283" t="s">
        <v>2103</v>
      </c>
      <c r="E2283" s="65">
        <v>750</v>
      </c>
      <c r="F2283" s="33">
        <v>0.7</v>
      </c>
      <c r="G2283" t="s">
        <v>2221</v>
      </c>
      <c r="H2283" t="s">
        <v>149</v>
      </c>
      <c r="I2283" t="s">
        <v>236</v>
      </c>
      <c r="J2283" t="s">
        <v>138</v>
      </c>
      <c r="K2283" t="s">
        <v>219</v>
      </c>
      <c r="L2283">
        <v>1</v>
      </c>
    </row>
    <row r="2284" spans="1:13" x14ac:dyDescent="0.2">
      <c r="A2284">
        <f t="shared" si="35"/>
        <v>2278</v>
      </c>
      <c r="B2284">
        <v>2024</v>
      </c>
      <c r="C2284" t="s">
        <v>188</v>
      </c>
      <c r="D2284" t="s">
        <v>2222</v>
      </c>
      <c r="E2284" s="65">
        <v>250</v>
      </c>
      <c r="H2284" t="s">
        <v>149</v>
      </c>
      <c r="I2284" t="s">
        <v>238</v>
      </c>
      <c r="J2284" t="s">
        <v>6</v>
      </c>
      <c r="K2284" t="s">
        <v>219</v>
      </c>
      <c r="L2284">
        <v>1</v>
      </c>
      <c r="M2284" s="28" t="s">
        <v>178</v>
      </c>
    </row>
    <row r="2285" spans="1:13" x14ac:dyDescent="0.2">
      <c r="A2285">
        <f t="shared" si="35"/>
        <v>2279</v>
      </c>
      <c r="B2285">
        <v>2024</v>
      </c>
      <c r="C2285" t="s">
        <v>188</v>
      </c>
      <c r="D2285" t="s">
        <v>1769</v>
      </c>
      <c r="E2285" s="65">
        <v>200</v>
      </c>
      <c r="H2285" t="s">
        <v>152</v>
      </c>
      <c r="J2285" t="s">
        <v>45</v>
      </c>
      <c r="K2285" t="s">
        <v>195</v>
      </c>
      <c r="L2285">
        <v>0</v>
      </c>
    </row>
    <row r="2286" spans="1:13" x14ac:dyDescent="0.2">
      <c r="A2286">
        <f t="shared" si="35"/>
        <v>2280</v>
      </c>
      <c r="B2286">
        <v>2024</v>
      </c>
      <c r="C2286" t="s">
        <v>188</v>
      </c>
      <c r="D2286" t="s">
        <v>822</v>
      </c>
      <c r="E2286" s="65">
        <v>200</v>
      </c>
      <c r="F2286" s="33">
        <v>1</v>
      </c>
      <c r="G2286" t="s">
        <v>2223</v>
      </c>
      <c r="H2286" t="s">
        <v>146</v>
      </c>
      <c r="J2286" t="s">
        <v>85</v>
      </c>
      <c r="K2286" t="s">
        <v>195</v>
      </c>
      <c r="L2286">
        <v>0</v>
      </c>
    </row>
    <row r="2287" spans="1:13" x14ac:dyDescent="0.2">
      <c r="A2287">
        <f t="shared" si="35"/>
        <v>2281</v>
      </c>
      <c r="B2287">
        <v>2024</v>
      </c>
      <c r="C2287" t="s">
        <v>188</v>
      </c>
      <c r="D2287" t="s">
        <v>2096</v>
      </c>
      <c r="E2287" s="65">
        <v>700</v>
      </c>
      <c r="F2287" s="33">
        <v>0.5</v>
      </c>
      <c r="G2287" t="s">
        <v>2224</v>
      </c>
      <c r="H2287" t="s">
        <v>154</v>
      </c>
      <c r="I2287" t="s">
        <v>194</v>
      </c>
      <c r="J2287" t="s">
        <v>109</v>
      </c>
      <c r="K2287" t="s">
        <v>195</v>
      </c>
      <c r="L2287">
        <v>1</v>
      </c>
      <c r="M2287" s="28" t="s">
        <v>178</v>
      </c>
    </row>
    <row r="2288" spans="1:13" x14ac:dyDescent="0.2">
      <c r="A2288">
        <f t="shared" si="35"/>
        <v>2282</v>
      </c>
      <c r="B2288">
        <v>2024</v>
      </c>
      <c r="C2288" t="s">
        <v>188</v>
      </c>
      <c r="D2288" t="s">
        <v>1448</v>
      </c>
      <c r="E2288" s="65">
        <v>340</v>
      </c>
      <c r="F2288" s="33">
        <v>0.25</v>
      </c>
      <c r="H2288" t="s">
        <v>149</v>
      </c>
      <c r="J2288" t="s">
        <v>74</v>
      </c>
      <c r="K2288" t="s">
        <v>219</v>
      </c>
      <c r="L2288">
        <v>1</v>
      </c>
    </row>
    <row r="2289" spans="1:13" x14ac:dyDescent="0.2">
      <c r="A2289">
        <f t="shared" si="35"/>
        <v>2283</v>
      </c>
      <c r="B2289">
        <v>2024</v>
      </c>
      <c r="C2289" t="s">
        <v>188</v>
      </c>
      <c r="D2289" t="s">
        <v>2225</v>
      </c>
      <c r="E2289" s="65">
        <v>280</v>
      </c>
      <c r="H2289" t="s">
        <v>144</v>
      </c>
      <c r="I2289" t="s">
        <v>232</v>
      </c>
      <c r="J2289" t="s">
        <v>92</v>
      </c>
      <c r="K2289" t="s">
        <v>214</v>
      </c>
      <c r="L2289">
        <v>1</v>
      </c>
      <c r="M2289" s="28" t="s">
        <v>178</v>
      </c>
    </row>
    <row r="2290" spans="1:13" x14ac:dyDescent="0.2">
      <c r="A2290">
        <f t="shared" si="35"/>
        <v>2284</v>
      </c>
      <c r="B2290">
        <v>2024</v>
      </c>
      <c r="C2290" t="s">
        <v>188</v>
      </c>
      <c r="D2290" t="s">
        <v>189</v>
      </c>
      <c r="E2290" s="65">
        <v>2300</v>
      </c>
      <c r="F2290" s="33">
        <v>0.3</v>
      </c>
      <c r="H2290" t="s">
        <v>143</v>
      </c>
      <c r="J2290" t="s">
        <v>63</v>
      </c>
      <c r="K2290" t="s">
        <v>201</v>
      </c>
      <c r="L2290">
        <v>1</v>
      </c>
      <c r="M2290" s="28" t="s">
        <v>178</v>
      </c>
    </row>
    <row r="2291" spans="1:13" x14ac:dyDescent="0.2">
      <c r="A2291">
        <f t="shared" si="35"/>
        <v>2285</v>
      </c>
      <c r="B2291">
        <v>2024</v>
      </c>
      <c r="C2291" t="s">
        <v>188</v>
      </c>
      <c r="D2291" t="s">
        <v>1931</v>
      </c>
      <c r="E2291" s="65">
        <v>320</v>
      </c>
      <c r="F2291" s="33">
        <v>0.6</v>
      </c>
      <c r="G2291" t="s">
        <v>2226</v>
      </c>
      <c r="H2291" t="s">
        <v>152</v>
      </c>
      <c r="J2291" t="s">
        <v>131</v>
      </c>
      <c r="K2291" t="s">
        <v>131</v>
      </c>
      <c r="L2291">
        <v>0</v>
      </c>
    </row>
    <row r="2292" spans="1:13" x14ac:dyDescent="0.2">
      <c r="A2292">
        <f t="shared" si="35"/>
        <v>2286</v>
      </c>
      <c r="B2292">
        <v>2024</v>
      </c>
      <c r="C2292" t="s">
        <v>188</v>
      </c>
      <c r="D2292" t="s">
        <v>2227</v>
      </c>
      <c r="E2292" s="65">
        <v>200</v>
      </c>
      <c r="F2292" s="33">
        <v>0.4</v>
      </c>
      <c r="H2292" t="s">
        <v>144</v>
      </c>
      <c r="I2292" t="s">
        <v>273</v>
      </c>
      <c r="J2292" t="s">
        <v>53</v>
      </c>
      <c r="K2292" t="s">
        <v>183</v>
      </c>
      <c r="L2292">
        <v>1</v>
      </c>
    </row>
    <row r="2293" spans="1:13" x14ac:dyDescent="0.2">
      <c r="A2293">
        <f t="shared" si="35"/>
        <v>2287</v>
      </c>
      <c r="B2293">
        <v>2024</v>
      </c>
      <c r="C2293" t="s">
        <v>188</v>
      </c>
      <c r="D2293" t="s">
        <v>2228</v>
      </c>
      <c r="E2293" s="65">
        <v>350</v>
      </c>
      <c r="H2293" t="s">
        <v>154</v>
      </c>
      <c r="I2293" t="s">
        <v>194</v>
      </c>
      <c r="J2293" t="s">
        <v>17</v>
      </c>
      <c r="K2293" t="s">
        <v>195</v>
      </c>
      <c r="L2293">
        <v>1</v>
      </c>
      <c r="M2293" s="28" t="s">
        <v>178</v>
      </c>
    </row>
    <row r="2294" spans="1:13" x14ac:dyDescent="0.2">
      <c r="A2294">
        <f t="shared" si="35"/>
        <v>2288</v>
      </c>
      <c r="B2294">
        <v>2024</v>
      </c>
      <c r="C2294" t="s">
        <v>191</v>
      </c>
      <c r="D2294" t="s">
        <v>337</v>
      </c>
      <c r="E2294" s="65">
        <v>150</v>
      </c>
      <c r="F2294" s="33">
        <v>1</v>
      </c>
      <c r="H2294" t="s">
        <v>144</v>
      </c>
      <c r="I2294" t="s">
        <v>232</v>
      </c>
      <c r="J2294" t="s">
        <v>114</v>
      </c>
      <c r="K2294" t="s">
        <v>195</v>
      </c>
      <c r="L2294">
        <v>0</v>
      </c>
      <c r="M2294" s="28" t="s">
        <v>178</v>
      </c>
    </row>
    <row r="2295" spans="1:13" x14ac:dyDescent="0.2">
      <c r="A2295">
        <f t="shared" si="35"/>
        <v>2289</v>
      </c>
      <c r="B2295">
        <v>2024</v>
      </c>
      <c r="C2295" t="s">
        <v>191</v>
      </c>
      <c r="D2295" t="s">
        <v>714</v>
      </c>
      <c r="E2295" s="65">
        <v>200</v>
      </c>
      <c r="H2295" t="s">
        <v>154</v>
      </c>
      <c r="I2295" t="s">
        <v>194</v>
      </c>
      <c r="J2295" t="s">
        <v>136</v>
      </c>
      <c r="K2295" t="s">
        <v>183</v>
      </c>
      <c r="L2295">
        <v>1</v>
      </c>
    </row>
    <row r="2296" spans="1:13" x14ac:dyDescent="0.2">
      <c r="A2296">
        <f t="shared" si="35"/>
        <v>2290</v>
      </c>
      <c r="B2296">
        <v>2024</v>
      </c>
      <c r="C2296" t="s">
        <v>191</v>
      </c>
      <c r="D2296" t="s">
        <v>577</v>
      </c>
      <c r="E2296" s="65">
        <v>140</v>
      </c>
      <c r="F2296" s="33">
        <v>1</v>
      </c>
      <c r="G2296" t="s">
        <v>2229</v>
      </c>
      <c r="H2296" t="s">
        <v>155</v>
      </c>
      <c r="J2296" t="s">
        <v>112</v>
      </c>
      <c r="K2296" t="s">
        <v>219</v>
      </c>
      <c r="L2296">
        <v>1</v>
      </c>
    </row>
    <row r="2297" spans="1:13" x14ac:dyDescent="0.2">
      <c r="A2297">
        <f t="shared" si="35"/>
        <v>2291</v>
      </c>
      <c r="B2297">
        <v>2024</v>
      </c>
      <c r="C2297" t="s">
        <v>191</v>
      </c>
      <c r="D2297" t="s">
        <v>285</v>
      </c>
      <c r="E2297" s="65">
        <v>460</v>
      </c>
      <c r="F2297" s="33">
        <v>0.35</v>
      </c>
      <c r="G2297" t="s">
        <v>1247</v>
      </c>
      <c r="H2297" t="s">
        <v>144</v>
      </c>
      <c r="I2297" t="s">
        <v>232</v>
      </c>
      <c r="J2297" t="s">
        <v>134</v>
      </c>
      <c r="K2297" t="s">
        <v>201</v>
      </c>
      <c r="L2297">
        <v>1</v>
      </c>
    </row>
    <row r="2298" spans="1:13" x14ac:dyDescent="0.2">
      <c r="A2298">
        <f t="shared" si="35"/>
        <v>2292</v>
      </c>
      <c r="B2298">
        <v>2024</v>
      </c>
      <c r="C2298" t="s">
        <v>191</v>
      </c>
      <c r="D2298" t="s">
        <v>267</v>
      </c>
      <c r="E2298" s="65">
        <v>990</v>
      </c>
      <c r="H2298" t="s">
        <v>149</v>
      </c>
      <c r="I2298" t="s">
        <v>182</v>
      </c>
      <c r="J2298" t="s">
        <v>48</v>
      </c>
      <c r="K2298" t="s">
        <v>219</v>
      </c>
      <c r="L2298">
        <v>1</v>
      </c>
    </row>
    <row r="2299" spans="1:13" x14ac:dyDescent="0.2">
      <c r="A2299">
        <f t="shared" si="35"/>
        <v>2293</v>
      </c>
      <c r="B2299">
        <v>2024</v>
      </c>
      <c r="C2299" t="s">
        <v>191</v>
      </c>
      <c r="D2299" t="s">
        <v>2230</v>
      </c>
      <c r="E2299" s="65">
        <v>320</v>
      </c>
      <c r="F2299" s="33">
        <v>1</v>
      </c>
      <c r="H2299" t="s">
        <v>144</v>
      </c>
      <c r="I2299" t="s">
        <v>232</v>
      </c>
      <c r="J2299" t="s">
        <v>45</v>
      </c>
      <c r="K2299" t="s">
        <v>195</v>
      </c>
      <c r="L2299">
        <v>0</v>
      </c>
      <c r="M2299" s="28" t="s">
        <v>178</v>
      </c>
    </row>
    <row r="2300" spans="1:13" x14ac:dyDescent="0.2">
      <c r="A2300">
        <f t="shared" si="35"/>
        <v>2294</v>
      </c>
      <c r="B2300">
        <v>2024</v>
      </c>
      <c r="C2300" t="s">
        <v>191</v>
      </c>
      <c r="D2300" t="s">
        <v>2161</v>
      </c>
      <c r="E2300" s="65">
        <v>300</v>
      </c>
      <c r="F2300" s="33">
        <v>1</v>
      </c>
      <c r="H2300" t="s">
        <v>150</v>
      </c>
      <c r="I2300" t="s">
        <v>556</v>
      </c>
      <c r="J2300" t="s">
        <v>136</v>
      </c>
      <c r="K2300" t="s">
        <v>183</v>
      </c>
      <c r="L2300">
        <v>1</v>
      </c>
      <c r="M2300" s="28" t="s">
        <v>178</v>
      </c>
    </row>
    <row r="2301" spans="1:13" x14ac:dyDescent="0.2">
      <c r="A2301">
        <f t="shared" si="35"/>
        <v>2295</v>
      </c>
      <c r="B2301">
        <v>2024</v>
      </c>
      <c r="C2301" t="s">
        <v>191</v>
      </c>
      <c r="D2301" t="s">
        <v>2152</v>
      </c>
      <c r="E2301" s="65">
        <v>120</v>
      </c>
      <c r="H2301" t="s">
        <v>152</v>
      </c>
      <c r="J2301" t="s">
        <v>19</v>
      </c>
      <c r="K2301" t="s">
        <v>205</v>
      </c>
      <c r="L2301">
        <v>0</v>
      </c>
    </row>
    <row r="2302" spans="1:13" x14ac:dyDescent="0.2">
      <c r="A2302">
        <f t="shared" si="35"/>
        <v>2296</v>
      </c>
      <c r="B2302">
        <v>2024</v>
      </c>
      <c r="C2302" t="s">
        <v>198</v>
      </c>
      <c r="D2302" t="s">
        <v>2145</v>
      </c>
      <c r="E2302" s="65">
        <v>260</v>
      </c>
      <c r="F2302" s="33">
        <v>1</v>
      </c>
      <c r="H2302" t="s">
        <v>154</v>
      </c>
      <c r="I2302" t="s">
        <v>194</v>
      </c>
      <c r="J2302" t="s">
        <v>53</v>
      </c>
      <c r="K2302" t="s">
        <v>183</v>
      </c>
      <c r="L2302">
        <v>1</v>
      </c>
    </row>
    <row r="2303" spans="1:13" x14ac:dyDescent="0.2">
      <c r="A2303">
        <f t="shared" si="35"/>
        <v>2297</v>
      </c>
      <c r="B2303">
        <v>2024</v>
      </c>
      <c r="C2303" t="s">
        <v>198</v>
      </c>
      <c r="D2303" t="s">
        <v>2231</v>
      </c>
      <c r="E2303" s="65">
        <v>720</v>
      </c>
      <c r="F2303" s="33">
        <v>1</v>
      </c>
      <c r="G2303" t="s">
        <v>2232</v>
      </c>
      <c r="H2303" t="s">
        <v>143</v>
      </c>
      <c r="J2303" t="s">
        <v>45</v>
      </c>
      <c r="K2303" t="s">
        <v>195</v>
      </c>
      <c r="L2303">
        <v>0</v>
      </c>
    </row>
    <row r="2304" spans="1:13" x14ac:dyDescent="0.2">
      <c r="A2304">
        <f t="shared" si="35"/>
        <v>2298</v>
      </c>
      <c r="B2304">
        <v>2024</v>
      </c>
      <c r="C2304" t="s">
        <v>198</v>
      </c>
      <c r="D2304" t="s">
        <v>588</v>
      </c>
      <c r="E2304" s="65">
        <v>110</v>
      </c>
      <c r="F2304" s="33">
        <v>0.26</v>
      </c>
      <c r="G2304" t="s">
        <v>2233</v>
      </c>
      <c r="H2304" t="s">
        <v>142</v>
      </c>
      <c r="J2304" t="s">
        <v>86</v>
      </c>
      <c r="K2304" t="s">
        <v>183</v>
      </c>
      <c r="L2304">
        <v>0</v>
      </c>
    </row>
    <row r="2305" spans="1:13" x14ac:dyDescent="0.2">
      <c r="A2305">
        <f t="shared" si="35"/>
        <v>2299</v>
      </c>
      <c r="B2305">
        <v>2024</v>
      </c>
      <c r="C2305" t="s">
        <v>198</v>
      </c>
      <c r="D2305" t="s">
        <v>2154</v>
      </c>
      <c r="E2305" s="65">
        <v>260</v>
      </c>
      <c r="F2305" s="33">
        <v>1</v>
      </c>
      <c r="H2305" t="s">
        <v>152</v>
      </c>
      <c r="J2305" t="s">
        <v>136</v>
      </c>
      <c r="K2305" t="s">
        <v>183</v>
      </c>
      <c r="L2305">
        <v>1</v>
      </c>
      <c r="M2305" s="28" t="s">
        <v>178</v>
      </c>
    </row>
    <row r="2306" spans="1:13" x14ac:dyDescent="0.2">
      <c r="A2306">
        <f t="shared" si="35"/>
        <v>2300</v>
      </c>
      <c r="B2306">
        <v>2024</v>
      </c>
      <c r="C2306" t="s">
        <v>198</v>
      </c>
      <c r="D2306" t="s">
        <v>2234</v>
      </c>
      <c r="E2306" s="65">
        <v>100</v>
      </c>
      <c r="F2306" s="33">
        <v>0.5</v>
      </c>
      <c r="G2306" t="s">
        <v>2235</v>
      </c>
      <c r="H2306" t="s">
        <v>144</v>
      </c>
      <c r="I2306" t="s">
        <v>232</v>
      </c>
      <c r="J2306" t="s">
        <v>92</v>
      </c>
      <c r="K2306" t="s">
        <v>214</v>
      </c>
      <c r="L2306">
        <v>1</v>
      </c>
      <c r="M2306" s="28" t="s">
        <v>178</v>
      </c>
    </row>
    <row r="2307" spans="1:13" x14ac:dyDescent="0.2">
      <c r="A2307">
        <f t="shared" si="35"/>
        <v>2301</v>
      </c>
      <c r="B2307">
        <v>2024</v>
      </c>
      <c r="C2307" t="s">
        <v>198</v>
      </c>
      <c r="D2307" t="s">
        <v>557</v>
      </c>
      <c r="E2307" s="65">
        <v>130</v>
      </c>
      <c r="F2307" s="33">
        <v>1</v>
      </c>
      <c r="G2307" t="s">
        <v>2236</v>
      </c>
      <c r="H2307" t="s">
        <v>151</v>
      </c>
      <c r="I2307" t="s">
        <v>279</v>
      </c>
      <c r="J2307" t="s">
        <v>127</v>
      </c>
      <c r="K2307" t="s">
        <v>214</v>
      </c>
      <c r="L2307">
        <v>1</v>
      </c>
    </row>
    <row r="2308" spans="1:13" x14ac:dyDescent="0.2">
      <c r="A2308">
        <f t="shared" si="35"/>
        <v>2302</v>
      </c>
      <c r="B2308">
        <v>2024</v>
      </c>
      <c r="C2308" t="s">
        <v>198</v>
      </c>
      <c r="D2308" t="s">
        <v>2237</v>
      </c>
      <c r="E2308" s="65">
        <v>140</v>
      </c>
      <c r="F2308" s="33">
        <v>1</v>
      </c>
      <c r="H2308" t="s">
        <v>154</v>
      </c>
      <c r="I2308" t="s">
        <v>250</v>
      </c>
      <c r="J2308" t="s">
        <v>77</v>
      </c>
      <c r="K2308" t="s">
        <v>177</v>
      </c>
      <c r="L2308">
        <v>0</v>
      </c>
      <c r="M2308" s="28" t="s">
        <v>178</v>
      </c>
    </row>
    <row r="2309" spans="1:13" x14ac:dyDescent="0.2">
      <c r="A2309">
        <f t="shared" si="35"/>
        <v>2303</v>
      </c>
      <c r="B2309">
        <v>2024</v>
      </c>
      <c r="C2309" t="s">
        <v>198</v>
      </c>
      <c r="D2309" t="s">
        <v>2238</v>
      </c>
      <c r="E2309" s="65">
        <v>230</v>
      </c>
      <c r="F2309" s="33">
        <v>1</v>
      </c>
      <c r="H2309" t="s">
        <v>150</v>
      </c>
      <c r="I2309" t="s">
        <v>556</v>
      </c>
      <c r="J2309" t="s">
        <v>72</v>
      </c>
      <c r="K2309" t="s">
        <v>183</v>
      </c>
      <c r="L2309">
        <v>1</v>
      </c>
      <c r="M2309" s="28" t="s">
        <v>178</v>
      </c>
    </row>
    <row r="2310" spans="1:13" x14ac:dyDescent="0.2">
      <c r="A2310">
        <f t="shared" si="35"/>
        <v>2304</v>
      </c>
      <c r="B2310">
        <v>2024</v>
      </c>
      <c r="C2310" t="s">
        <v>198</v>
      </c>
      <c r="D2310" t="s">
        <v>2103</v>
      </c>
      <c r="E2310" s="65">
        <v>300</v>
      </c>
      <c r="H2310" t="s">
        <v>149</v>
      </c>
      <c r="I2310" t="s">
        <v>236</v>
      </c>
      <c r="J2310" t="s">
        <v>138</v>
      </c>
      <c r="K2310" t="s">
        <v>219</v>
      </c>
      <c r="L2310">
        <v>1</v>
      </c>
    </row>
    <row r="2311" spans="1:13" x14ac:dyDescent="0.2">
      <c r="A2311">
        <f t="shared" ref="A2311:A2374" si="36">ROW()-6</f>
        <v>2305</v>
      </c>
      <c r="B2311">
        <v>2024</v>
      </c>
      <c r="C2311" t="s">
        <v>198</v>
      </c>
      <c r="D2311" t="s">
        <v>405</v>
      </c>
      <c r="E2311" s="65">
        <v>540</v>
      </c>
      <c r="G2311" t="s">
        <v>2195</v>
      </c>
      <c r="H2311" t="s">
        <v>149</v>
      </c>
      <c r="I2311" t="s">
        <v>182</v>
      </c>
      <c r="J2311" t="s">
        <v>105</v>
      </c>
      <c r="K2311" t="s">
        <v>214</v>
      </c>
      <c r="L2311">
        <v>1</v>
      </c>
    </row>
    <row r="2312" spans="1:13" x14ac:dyDescent="0.2">
      <c r="A2312">
        <f t="shared" si="36"/>
        <v>2306</v>
      </c>
      <c r="B2312">
        <v>2024</v>
      </c>
      <c r="C2312" t="s">
        <v>198</v>
      </c>
      <c r="D2312" t="s">
        <v>1505</v>
      </c>
      <c r="E2312" s="65">
        <v>270</v>
      </c>
      <c r="F2312" s="33">
        <v>1</v>
      </c>
      <c r="H2312" t="s">
        <v>154</v>
      </c>
      <c r="I2312" t="s">
        <v>194</v>
      </c>
      <c r="J2312" t="s">
        <v>77</v>
      </c>
      <c r="K2312" t="s">
        <v>205</v>
      </c>
      <c r="L2312">
        <v>0</v>
      </c>
      <c r="M2312" s="28" t="s">
        <v>178</v>
      </c>
    </row>
    <row r="2313" spans="1:13" x14ac:dyDescent="0.2">
      <c r="A2313">
        <f t="shared" si="36"/>
        <v>2307</v>
      </c>
      <c r="B2313">
        <v>2024</v>
      </c>
      <c r="C2313" t="s">
        <v>198</v>
      </c>
      <c r="D2313" t="s">
        <v>1829</v>
      </c>
      <c r="E2313" s="65">
        <v>390</v>
      </c>
      <c r="F2313" s="33">
        <v>1</v>
      </c>
      <c r="G2313" t="s">
        <v>2239</v>
      </c>
      <c r="H2313" t="s">
        <v>150</v>
      </c>
      <c r="I2313" t="s">
        <v>744</v>
      </c>
      <c r="J2313" t="s">
        <v>108</v>
      </c>
      <c r="K2313" t="s">
        <v>183</v>
      </c>
      <c r="L2313">
        <v>1</v>
      </c>
    </row>
    <row r="2314" spans="1:13" x14ac:dyDescent="0.2">
      <c r="A2314">
        <f t="shared" si="36"/>
        <v>2308</v>
      </c>
      <c r="B2314">
        <v>2024</v>
      </c>
      <c r="C2314" t="s">
        <v>198</v>
      </c>
      <c r="D2314" t="s">
        <v>806</v>
      </c>
      <c r="E2314" s="65">
        <v>260</v>
      </c>
      <c r="F2314" s="33">
        <v>0.4</v>
      </c>
      <c r="G2314" t="s">
        <v>2240</v>
      </c>
      <c r="H2314" t="s">
        <v>154</v>
      </c>
      <c r="I2314" t="s">
        <v>529</v>
      </c>
      <c r="J2314" t="s">
        <v>19</v>
      </c>
      <c r="K2314" t="s">
        <v>205</v>
      </c>
      <c r="L2314">
        <v>0</v>
      </c>
      <c r="M2314" s="28" t="s">
        <v>178</v>
      </c>
    </row>
    <row r="2315" spans="1:13" x14ac:dyDescent="0.2">
      <c r="A2315">
        <f t="shared" si="36"/>
        <v>2309</v>
      </c>
      <c r="B2315">
        <v>2024</v>
      </c>
      <c r="C2315" t="s">
        <v>198</v>
      </c>
      <c r="D2315" t="s">
        <v>2241</v>
      </c>
      <c r="E2315" s="65">
        <v>1050</v>
      </c>
      <c r="H2315" t="s">
        <v>149</v>
      </c>
      <c r="I2315" t="s">
        <v>182</v>
      </c>
      <c r="J2315" t="s">
        <v>97</v>
      </c>
      <c r="K2315" t="s">
        <v>183</v>
      </c>
      <c r="L2315">
        <v>1</v>
      </c>
      <c r="M2315" s="28" t="s">
        <v>178</v>
      </c>
    </row>
    <row r="2316" spans="1:13" x14ac:dyDescent="0.2">
      <c r="A2316">
        <f t="shared" si="36"/>
        <v>2310</v>
      </c>
      <c r="B2316">
        <v>2024</v>
      </c>
      <c r="C2316" t="s">
        <v>198</v>
      </c>
      <c r="D2316" t="s">
        <v>2242</v>
      </c>
      <c r="E2316" s="65">
        <v>150</v>
      </c>
      <c r="F2316" s="33">
        <v>0.5</v>
      </c>
      <c r="H2316" t="s">
        <v>154</v>
      </c>
      <c r="I2316" t="s">
        <v>271</v>
      </c>
      <c r="J2316" t="s">
        <v>21</v>
      </c>
      <c r="K2316" t="s">
        <v>183</v>
      </c>
      <c r="L2316">
        <v>1</v>
      </c>
      <c r="M2316" s="28" t="s">
        <v>178</v>
      </c>
    </row>
    <row r="2317" spans="1:13" x14ac:dyDescent="0.2">
      <c r="A2317">
        <f t="shared" si="36"/>
        <v>2311</v>
      </c>
      <c r="B2317">
        <v>2024</v>
      </c>
      <c r="C2317" t="s">
        <v>202</v>
      </c>
      <c r="D2317" t="s">
        <v>577</v>
      </c>
      <c r="E2317" s="65">
        <v>400</v>
      </c>
      <c r="F2317" s="33">
        <v>1</v>
      </c>
      <c r="H2317" t="s">
        <v>150</v>
      </c>
      <c r="I2317" t="s">
        <v>556</v>
      </c>
      <c r="J2317" t="s">
        <v>124</v>
      </c>
      <c r="K2317" t="s">
        <v>183</v>
      </c>
      <c r="L2317">
        <v>1</v>
      </c>
      <c r="M2317" s="28" t="s">
        <v>178</v>
      </c>
    </row>
    <row r="2318" spans="1:13" x14ac:dyDescent="0.2">
      <c r="A2318">
        <f t="shared" si="36"/>
        <v>2312</v>
      </c>
      <c r="B2318">
        <v>2024</v>
      </c>
      <c r="C2318" t="s">
        <v>202</v>
      </c>
      <c r="D2318" t="s">
        <v>798</v>
      </c>
      <c r="E2318" s="65">
        <v>220</v>
      </c>
      <c r="H2318" t="s">
        <v>149</v>
      </c>
      <c r="J2318" t="s">
        <v>8</v>
      </c>
      <c r="K2318" t="s">
        <v>205</v>
      </c>
      <c r="L2318">
        <v>1</v>
      </c>
    </row>
    <row r="2319" spans="1:13" x14ac:dyDescent="0.2">
      <c r="A2319">
        <f t="shared" si="36"/>
        <v>2313</v>
      </c>
      <c r="B2319">
        <v>2024</v>
      </c>
      <c r="C2319" t="s">
        <v>202</v>
      </c>
      <c r="D2319" t="s">
        <v>2243</v>
      </c>
      <c r="E2319" s="65">
        <v>420</v>
      </c>
      <c r="F2319" s="33">
        <v>1</v>
      </c>
      <c r="H2319" t="s">
        <v>152</v>
      </c>
      <c r="J2319" t="s">
        <v>113</v>
      </c>
      <c r="K2319" t="s">
        <v>183</v>
      </c>
      <c r="L2319">
        <v>0</v>
      </c>
    </row>
    <row r="2320" spans="1:13" x14ac:dyDescent="0.2">
      <c r="A2320">
        <f t="shared" si="36"/>
        <v>2314</v>
      </c>
      <c r="B2320">
        <v>2024</v>
      </c>
      <c r="C2320" t="s">
        <v>202</v>
      </c>
      <c r="D2320" t="s">
        <v>2244</v>
      </c>
      <c r="E2320" s="65">
        <v>140</v>
      </c>
      <c r="H2320" t="s">
        <v>142</v>
      </c>
      <c r="J2320" t="s">
        <v>114</v>
      </c>
      <c r="K2320" t="s">
        <v>195</v>
      </c>
      <c r="L2320">
        <v>0</v>
      </c>
      <c r="M2320" s="28" t="s">
        <v>178</v>
      </c>
    </row>
    <row r="2321" spans="1:13" x14ac:dyDescent="0.2">
      <c r="A2321">
        <f t="shared" si="36"/>
        <v>2315</v>
      </c>
      <c r="B2321">
        <v>2024</v>
      </c>
      <c r="C2321" t="s">
        <v>202</v>
      </c>
      <c r="D2321" t="s">
        <v>1448</v>
      </c>
      <c r="E2321" s="65">
        <v>250</v>
      </c>
      <c r="F2321" s="33">
        <v>0.5</v>
      </c>
      <c r="G2321" t="s">
        <v>2245</v>
      </c>
      <c r="H2321" t="s">
        <v>144</v>
      </c>
      <c r="I2321" t="s">
        <v>232</v>
      </c>
      <c r="J2321" t="s">
        <v>128</v>
      </c>
      <c r="K2321" t="s">
        <v>201</v>
      </c>
      <c r="L2321" s="17">
        <v>1</v>
      </c>
      <c r="M2321" s="28" t="s">
        <v>178</v>
      </c>
    </row>
    <row r="2322" spans="1:13" x14ac:dyDescent="0.2">
      <c r="A2322">
        <f t="shared" si="36"/>
        <v>2316</v>
      </c>
      <c r="B2322">
        <v>2024</v>
      </c>
      <c r="C2322" t="s">
        <v>202</v>
      </c>
      <c r="D2322" t="s">
        <v>2246</v>
      </c>
      <c r="E2322" s="65">
        <v>130</v>
      </c>
      <c r="G2322" t="s">
        <v>2247</v>
      </c>
      <c r="H2322" t="s">
        <v>154</v>
      </c>
      <c r="I2322" t="s">
        <v>194</v>
      </c>
      <c r="J2322" t="s">
        <v>136</v>
      </c>
      <c r="K2322" t="s">
        <v>183</v>
      </c>
      <c r="L2322">
        <v>1</v>
      </c>
      <c r="M2322" s="28" t="s">
        <v>178</v>
      </c>
    </row>
    <row r="2323" spans="1:13" x14ac:dyDescent="0.2">
      <c r="A2323">
        <f t="shared" si="36"/>
        <v>2317</v>
      </c>
      <c r="B2323">
        <v>2024</v>
      </c>
      <c r="C2323" t="s">
        <v>202</v>
      </c>
      <c r="D2323" t="s">
        <v>714</v>
      </c>
      <c r="E2323" s="65">
        <v>250</v>
      </c>
      <c r="F2323" s="33">
        <v>1</v>
      </c>
      <c r="H2323" t="s">
        <v>154</v>
      </c>
      <c r="I2323" t="s">
        <v>194</v>
      </c>
      <c r="J2323" t="s">
        <v>53</v>
      </c>
      <c r="K2323" t="s">
        <v>183</v>
      </c>
      <c r="L2323">
        <v>1</v>
      </c>
      <c r="M2323" s="28" t="s">
        <v>178</v>
      </c>
    </row>
    <row r="2324" spans="1:13" x14ac:dyDescent="0.2">
      <c r="A2324">
        <f t="shared" si="36"/>
        <v>2318</v>
      </c>
      <c r="B2324">
        <v>2024</v>
      </c>
      <c r="C2324" t="s">
        <v>202</v>
      </c>
      <c r="D2324" t="s">
        <v>1779</v>
      </c>
      <c r="E2324" s="65">
        <v>700</v>
      </c>
      <c r="F2324" s="33">
        <v>1</v>
      </c>
      <c r="G2324" t="s">
        <v>2248</v>
      </c>
      <c r="H2324" t="s">
        <v>145</v>
      </c>
      <c r="J2324" t="s">
        <v>57</v>
      </c>
      <c r="K2324" t="s">
        <v>195</v>
      </c>
      <c r="L2324" s="17">
        <v>0</v>
      </c>
    </row>
    <row r="2325" spans="1:13" x14ac:dyDescent="0.2">
      <c r="A2325">
        <f t="shared" si="36"/>
        <v>2319</v>
      </c>
      <c r="B2325">
        <v>2024</v>
      </c>
      <c r="C2325" t="s">
        <v>202</v>
      </c>
      <c r="D2325" t="s">
        <v>2145</v>
      </c>
      <c r="E2325" s="65">
        <v>360</v>
      </c>
      <c r="F2325" s="33">
        <v>1</v>
      </c>
      <c r="H2325" t="s">
        <v>154</v>
      </c>
      <c r="I2325" t="s">
        <v>194</v>
      </c>
      <c r="J2325" t="s">
        <v>80</v>
      </c>
      <c r="K2325" t="s">
        <v>214</v>
      </c>
      <c r="L2325">
        <v>1</v>
      </c>
      <c r="M2325" s="28" t="s">
        <v>178</v>
      </c>
    </row>
    <row r="2326" spans="1:13" x14ac:dyDescent="0.2">
      <c r="A2326">
        <f t="shared" si="36"/>
        <v>2320</v>
      </c>
      <c r="B2326">
        <v>2024</v>
      </c>
      <c r="C2326" t="s">
        <v>202</v>
      </c>
      <c r="D2326" t="s">
        <v>2135</v>
      </c>
      <c r="E2326" s="65">
        <v>230</v>
      </c>
      <c r="H2326" t="s">
        <v>154</v>
      </c>
      <c r="I2326" t="s">
        <v>194</v>
      </c>
      <c r="J2326" t="s">
        <v>77</v>
      </c>
      <c r="K2326" t="s">
        <v>177</v>
      </c>
      <c r="L2326">
        <v>0</v>
      </c>
    </row>
    <row r="2327" spans="1:13" x14ac:dyDescent="0.2">
      <c r="A2327">
        <f t="shared" si="36"/>
        <v>2321</v>
      </c>
      <c r="B2327">
        <v>2024</v>
      </c>
      <c r="C2327" t="s">
        <v>202</v>
      </c>
      <c r="D2327" t="s">
        <v>438</v>
      </c>
      <c r="E2327" s="65">
        <v>100</v>
      </c>
      <c r="H2327" t="s">
        <v>154</v>
      </c>
      <c r="I2327" t="s">
        <v>194</v>
      </c>
      <c r="J2327" t="s">
        <v>38</v>
      </c>
      <c r="K2327" t="s">
        <v>214</v>
      </c>
      <c r="L2327">
        <v>1</v>
      </c>
      <c r="M2327" s="28" t="s">
        <v>178</v>
      </c>
    </row>
    <row r="2328" spans="1:13" x14ac:dyDescent="0.2">
      <c r="A2328">
        <f t="shared" si="36"/>
        <v>2322</v>
      </c>
      <c r="B2328">
        <v>2024</v>
      </c>
      <c r="C2328" t="s">
        <v>202</v>
      </c>
      <c r="D2328" t="s">
        <v>2249</v>
      </c>
      <c r="E2328" s="65">
        <v>270</v>
      </c>
      <c r="H2328" t="s">
        <v>150</v>
      </c>
      <c r="I2328" t="s">
        <v>226</v>
      </c>
      <c r="J2328" t="s">
        <v>136</v>
      </c>
      <c r="K2328" t="s">
        <v>183</v>
      </c>
      <c r="L2328">
        <v>1</v>
      </c>
      <c r="M2328" s="28" t="s">
        <v>178</v>
      </c>
    </row>
    <row r="2329" spans="1:13" x14ac:dyDescent="0.2">
      <c r="A2329">
        <f t="shared" si="36"/>
        <v>2323</v>
      </c>
      <c r="B2329">
        <v>2024</v>
      </c>
      <c r="C2329" t="s">
        <v>202</v>
      </c>
      <c r="D2329" t="s">
        <v>2250</v>
      </c>
      <c r="E2329" s="65">
        <v>260</v>
      </c>
      <c r="H2329" t="s">
        <v>151</v>
      </c>
      <c r="I2329" t="s">
        <v>224</v>
      </c>
      <c r="J2329" t="s">
        <v>108</v>
      </c>
      <c r="K2329" t="s">
        <v>183</v>
      </c>
      <c r="L2329">
        <v>1</v>
      </c>
    </row>
    <row r="2330" spans="1:13" x14ac:dyDescent="0.2">
      <c r="A2330">
        <f t="shared" si="36"/>
        <v>2324</v>
      </c>
      <c r="B2330">
        <v>2024</v>
      </c>
      <c r="C2330" t="s">
        <v>207</v>
      </c>
      <c r="D2330" t="s">
        <v>559</v>
      </c>
      <c r="E2330" s="65">
        <v>900</v>
      </c>
      <c r="F2330" s="33">
        <v>1</v>
      </c>
      <c r="G2330" t="s">
        <v>2251</v>
      </c>
      <c r="H2330" t="s">
        <v>149</v>
      </c>
      <c r="J2330" t="s">
        <v>46</v>
      </c>
      <c r="K2330" t="s">
        <v>219</v>
      </c>
      <c r="L2330">
        <v>1</v>
      </c>
    </row>
    <row r="2331" spans="1:13" x14ac:dyDescent="0.2">
      <c r="A2331">
        <f t="shared" si="36"/>
        <v>2325</v>
      </c>
      <c r="B2331">
        <v>2024</v>
      </c>
      <c r="C2331" t="s">
        <v>207</v>
      </c>
      <c r="D2331" t="s">
        <v>1431</v>
      </c>
      <c r="E2331" s="65">
        <v>570</v>
      </c>
      <c r="F2331" s="33">
        <v>0.5</v>
      </c>
      <c r="G2331" t="s">
        <v>2252</v>
      </c>
      <c r="H2331" t="s">
        <v>154</v>
      </c>
      <c r="I2331" t="s">
        <v>194</v>
      </c>
      <c r="J2331" t="s">
        <v>45</v>
      </c>
      <c r="K2331" t="s">
        <v>195</v>
      </c>
      <c r="L2331">
        <v>0</v>
      </c>
    </row>
    <row r="2332" spans="1:13" x14ac:dyDescent="0.2">
      <c r="A2332">
        <f t="shared" si="36"/>
        <v>2326</v>
      </c>
      <c r="B2332">
        <v>2024</v>
      </c>
      <c r="C2332" t="s">
        <v>207</v>
      </c>
      <c r="D2332" t="s">
        <v>2253</v>
      </c>
      <c r="E2332" s="65">
        <v>270</v>
      </c>
      <c r="F2332" s="33">
        <v>1</v>
      </c>
      <c r="H2332" t="s">
        <v>150</v>
      </c>
      <c r="I2332" t="s">
        <v>556</v>
      </c>
      <c r="J2332" t="s">
        <v>105</v>
      </c>
      <c r="K2332" t="s">
        <v>214</v>
      </c>
      <c r="L2332">
        <v>1</v>
      </c>
      <c r="M2332" s="28" t="s">
        <v>178</v>
      </c>
    </row>
    <row r="2333" spans="1:13" x14ac:dyDescent="0.2">
      <c r="A2333">
        <f t="shared" si="36"/>
        <v>2327</v>
      </c>
      <c r="B2333">
        <v>2024</v>
      </c>
      <c r="C2333" t="s">
        <v>207</v>
      </c>
      <c r="D2333" t="s">
        <v>2254</v>
      </c>
      <c r="E2333" s="65">
        <v>400</v>
      </c>
      <c r="G2333" t="s">
        <v>2114</v>
      </c>
      <c r="H2333" t="s">
        <v>149</v>
      </c>
      <c r="I2333" t="s">
        <v>182</v>
      </c>
      <c r="J2333" t="s">
        <v>92</v>
      </c>
      <c r="K2333" t="s">
        <v>214</v>
      </c>
      <c r="L2333">
        <v>1</v>
      </c>
      <c r="M2333" s="28" t="s">
        <v>178</v>
      </c>
    </row>
    <row r="2334" spans="1:13" x14ac:dyDescent="0.2">
      <c r="A2334">
        <f t="shared" si="36"/>
        <v>2328</v>
      </c>
      <c r="B2334">
        <v>2024</v>
      </c>
      <c r="C2334" t="s">
        <v>207</v>
      </c>
      <c r="D2334" t="s">
        <v>245</v>
      </c>
      <c r="E2334" s="65">
        <v>100</v>
      </c>
      <c r="G2334" t="s">
        <v>2255</v>
      </c>
      <c r="H2334" t="s">
        <v>144</v>
      </c>
      <c r="I2334" t="s">
        <v>232</v>
      </c>
      <c r="J2334" t="s">
        <v>72</v>
      </c>
      <c r="K2334" t="s">
        <v>183</v>
      </c>
      <c r="L2334">
        <v>1</v>
      </c>
    </row>
    <row r="2335" spans="1:13" x14ac:dyDescent="0.2">
      <c r="A2335">
        <f t="shared" si="36"/>
        <v>2329</v>
      </c>
      <c r="B2335">
        <v>2024</v>
      </c>
      <c r="C2335" t="s">
        <v>207</v>
      </c>
      <c r="D2335" t="s">
        <v>554</v>
      </c>
      <c r="E2335" s="65">
        <v>180</v>
      </c>
      <c r="F2335" s="33">
        <v>1</v>
      </c>
      <c r="G2335" t="s">
        <v>2256</v>
      </c>
      <c r="H2335" t="s">
        <v>144</v>
      </c>
      <c r="I2335" t="s">
        <v>187</v>
      </c>
      <c r="J2335" t="s">
        <v>92</v>
      </c>
      <c r="K2335" t="s">
        <v>214</v>
      </c>
      <c r="L2335">
        <v>1</v>
      </c>
    </row>
    <row r="2336" spans="1:13" x14ac:dyDescent="0.2">
      <c r="A2336">
        <f t="shared" si="36"/>
        <v>2330</v>
      </c>
      <c r="B2336">
        <v>2024</v>
      </c>
      <c r="C2336" t="s">
        <v>207</v>
      </c>
      <c r="D2336" t="s">
        <v>474</v>
      </c>
      <c r="E2336" s="65">
        <v>400</v>
      </c>
      <c r="F2336" s="33">
        <v>0.5</v>
      </c>
      <c r="G2336" t="s">
        <v>2257</v>
      </c>
      <c r="H2336" t="s">
        <v>142</v>
      </c>
      <c r="J2336" t="s">
        <v>124</v>
      </c>
      <c r="K2336" t="s">
        <v>183</v>
      </c>
      <c r="L2336">
        <v>1</v>
      </c>
    </row>
    <row r="2337" spans="1:13" x14ac:dyDescent="0.2">
      <c r="A2337">
        <f t="shared" si="36"/>
        <v>2331</v>
      </c>
      <c r="B2337">
        <v>2024</v>
      </c>
      <c r="C2337" t="s">
        <v>207</v>
      </c>
      <c r="D2337" t="s">
        <v>269</v>
      </c>
      <c r="E2337" s="65">
        <v>110</v>
      </c>
      <c r="H2337" t="s">
        <v>148</v>
      </c>
      <c r="J2337" t="s">
        <v>124</v>
      </c>
      <c r="K2337" t="s">
        <v>183</v>
      </c>
      <c r="L2337">
        <v>1</v>
      </c>
    </row>
    <row r="2338" spans="1:13" x14ac:dyDescent="0.2">
      <c r="A2338">
        <f t="shared" si="36"/>
        <v>2332</v>
      </c>
      <c r="B2338">
        <v>2024</v>
      </c>
      <c r="C2338" t="s">
        <v>207</v>
      </c>
      <c r="D2338" t="s">
        <v>551</v>
      </c>
      <c r="E2338" s="65">
        <v>160</v>
      </c>
      <c r="G2338" t="s">
        <v>2258</v>
      </c>
      <c r="H2338" t="s">
        <v>154</v>
      </c>
      <c r="I2338" t="s">
        <v>194</v>
      </c>
      <c r="J2338" t="s">
        <v>136</v>
      </c>
      <c r="K2338" t="s">
        <v>183</v>
      </c>
      <c r="L2338">
        <v>1</v>
      </c>
      <c r="M2338" s="28" t="s">
        <v>178</v>
      </c>
    </row>
    <row r="2339" spans="1:13" x14ac:dyDescent="0.2">
      <c r="A2339">
        <f t="shared" si="36"/>
        <v>2333</v>
      </c>
      <c r="B2339">
        <v>2024</v>
      </c>
      <c r="C2339" t="s">
        <v>207</v>
      </c>
      <c r="D2339" t="s">
        <v>2259</v>
      </c>
      <c r="E2339" s="65">
        <v>100</v>
      </c>
      <c r="F2339" s="33">
        <v>1</v>
      </c>
      <c r="H2339" t="s">
        <v>145</v>
      </c>
      <c r="J2339" t="s">
        <v>105</v>
      </c>
      <c r="K2339" t="s">
        <v>214</v>
      </c>
      <c r="L2339">
        <v>1</v>
      </c>
      <c r="M2339" s="28" t="s">
        <v>178</v>
      </c>
    </row>
    <row r="2340" spans="1:13" x14ac:dyDescent="0.2">
      <c r="A2340">
        <f t="shared" si="36"/>
        <v>2334</v>
      </c>
      <c r="B2340">
        <v>2024</v>
      </c>
      <c r="C2340" t="s">
        <v>240</v>
      </c>
      <c r="D2340" t="s">
        <v>244</v>
      </c>
      <c r="E2340" s="65">
        <v>340</v>
      </c>
      <c r="F2340" s="33">
        <v>1</v>
      </c>
      <c r="G2340" t="s">
        <v>2260</v>
      </c>
      <c r="H2340" t="s">
        <v>149</v>
      </c>
      <c r="J2340" t="s">
        <v>19</v>
      </c>
      <c r="K2340" t="s">
        <v>205</v>
      </c>
      <c r="L2340">
        <v>0</v>
      </c>
    </row>
    <row r="2341" spans="1:13" x14ac:dyDescent="0.2">
      <c r="A2341">
        <f t="shared" si="36"/>
        <v>2335</v>
      </c>
      <c r="B2341">
        <v>2024</v>
      </c>
      <c r="C2341" t="s">
        <v>240</v>
      </c>
      <c r="D2341" t="s">
        <v>559</v>
      </c>
      <c r="E2341" s="65">
        <v>250</v>
      </c>
      <c r="F2341" s="33">
        <v>1</v>
      </c>
      <c r="G2341" t="s">
        <v>2261</v>
      </c>
      <c r="H2341" t="s">
        <v>149</v>
      </c>
      <c r="J2341" t="s">
        <v>96</v>
      </c>
      <c r="K2341" t="s">
        <v>205</v>
      </c>
      <c r="L2341">
        <v>1</v>
      </c>
    </row>
    <row r="2342" spans="1:13" x14ac:dyDescent="0.2">
      <c r="A2342">
        <f t="shared" si="36"/>
        <v>2336</v>
      </c>
      <c r="B2342">
        <v>2024</v>
      </c>
      <c r="C2342" t="s">
        <v>240</v>
      </c>
      <c r="D2342" t="s">
        <v>2262</v>
      </c>
      <c r="E2342" s="65">
        <v>110</v>
      </c>
      <c r="F2342" s="33">
        <v>1</v>
      </c>
      <c r="G2342" t="s">
        <v>2263</v>
      </c>
      <c r="H2342" t="s">
        <v>152</v>
      </c>
      <c r="J2342" t="s">
        <v>35</v>
      </c>
      <c r="K2342" t="s">
        <v>195</v>
      </c>
      <c r="L2342">
        <v>0</v>
      </c>
    </row>
    <row r="2343" spans="1:13" x14ac:dyDescent="0.2">
      <c r="A2343">
        <f t="shared" si="36"/>
        <v>2337</v>
      </c>
      <c r="B2343">
        <v>2024</v>
      </c>
      <c r="C2343" t="s">
        <v>240</v>
      </c>
      <c r="D2343" t="s">
        <v>2138</v>
      </c>
      <c r="E2343" s="65">
        <v>830</v>
      </c>
      <c r="F2343" s="33">
        <v>1</v>
      </c>
      <c r="H2343" t="s">
        <v>152</v>
      </c>
      <c r="J2343" t="s">
        <v>124</v>
      </c>
      <c r="K2343" t="s">
        <v>183</v>
      </c>
      <c r="L2343">
        <v>1</v>
      </c>
      <c r="M2343" s="28" t="s">
        <v>178</v>
      </c>
    </row>
    <row r="2344" spans="1:13" x14ac:dyDescent="0.2">
      <c r="A2344">
        <f t="shared" si="36"/>
        <v>2338</v>
      </c>
      <c r="B2344">
        <v>2024</v>
      </c>
      <c r="C2344" t="s">
        <v>240</v>
      </c>
      <c r="D2344" t="s">
        <v>2264</v>
      </c>
      <c r="E2344" s="65">
        <v>100</v>
      </c>
      <c r="F2344" s="33">
        <v>1</v>
      </c>
      <c r="H2344" t="s">
        <v>152</v>
      </c>
      <c r="J2344" t="s">
        <v>124</v>
      </c>
      <c r="K2344" t="s">
        <v>183</v>
      </c>
      <c r="L2344">
        <v>1</v>
      </c>
      <c r="M2344" s="28" t="s">
        <v>178</v>
      </c>
    </row>
    <row r="2345" spans="1:13" x14ac:dyDescent="0.2">
      <c r="A2345">
        <f t="shared" si="36"/>
        <v>2339</v>
      </c>
      <c r="B2345">
        <v>2024</v>
      </c>
      <c r="C2345" t="s">
        <v>240</v>
      </c>
      <c r="D2345" t="s">
        <v>2265</v>
      </c>
      <c r="E2345" s="65">
        <v>120</v>
      </c>
      <c r="H2345" t="s">
        <v>149</v>
      </c>
      <c r="I2345" t="s">
        <v>182</v>
      </c>
      <c r="J2345" t="s">
        <v>138</v>
      </c>
      <c r="K2345" t="s">
        <v>219</v>
      </c>
      <c r="L2345">
        <v>1</v>
      </c>
      <c r="M2345" s="28" t="s">
        <v>178</v>
      </c>
    </row>
    <row r="2346" spans="1:13" x14ac:dyDescent="0.2">
      <c r="A2346">
        <f t="shared" si="36"/>
        <v>2340</v>
      </c>
      <c r="B2346">
        <v>2024</v>
      </c>
      <c r="C2346" t="s">
        <v>240</v>
      </c>
      <c r="D2346" t="s">
        <v>307</v>
      </c>
      <c r="E2346" s="65">
        <v>200</v>
      </c>
      <c r="F2346" s="33">
        <v>0.2</v>
      </c>
      <c r="G2346" t="s">
        <v>2266</v>
      </c>
      <c r="H2346" t="s">
        <v>144</v>
      </c>
      <c r="J2346" t="s">
        <v>47</v>
      </c>
      <c r="K2346" t="s">
        <v>195</v>
      </c>
      <c r="L2346" s="17">
        <v>1</v>
      </c>
    </row>
    <row r="2347" spans="1:13" x14ac:dyDescent="0.2">
      <c r="A2347">
        <f t="shared" si="36"/>
        <v>2341</v>
      </c>
      <c r="B2347">
        <v>2024</v>
      </c>
      <c r="C2347" t="s">
        <v>240</v>
      </c>
      <c r="D2347" t="s">
        <v>2267</v>
      </c>
      <c r="E2347" s="65">
        <v>170</v>
      </c>
      <c r="H2347" t="s">
        <v>149</v>
      </c>
      <c r="J2347" t="s">
        <v>131</v>
      </c>
      <c r="K2347" t="s">
        <v>131</v>
      </c>
      <c r="L2347">
        <v>0</v>
      </c>
      <c r="M2347" s="28" t="s">
        <v>178</v>
      </c>
    </row>
    <row r="2348" spans="1:13" x14ac:dyDescent="0.2">
      <c r="A2348">
        <f t="shared" si="36"/>
        <v>2342</v>
      </c>
      <c r="B2348">
        <v>2024</v>
      </c>
      <c r="C2348" t="s">
        <v>240</v>
      </c>
      <c r="D2348" t="s">
        <v>474</v>
      </c>
      <c r="E2348" s="65">
        <v>2210</v>
      </c>
      <c r="F2348" s="33">
        <v>0.5</v>
      </c>
      <c r="G2348" t="s">
        <v>2268</v>
      </c>
      <c r="H2348" t="s">
        <v>144</v>
      </c>
      <c r="I2348" t="s">
        <v>232</v>
      </c>
      <c r="J2348" t="s">
        <v>20</v>
      </c>
      <c r="K2348" t="s">
        <v>195</v>
      </c>
      <c r="L2348">
        <v>0</v>
      </c>
      <c r="M2348" s="28" t="s">
        <v>178</v>
      </c>
    </row>
    <row r="2349" spans="1:13" x14ac:dyDescent="0.2">
      <c r="A2349">
        <f t="shared" si="36"/>
        <v>2343</v>
      </c>
      <c r="B2349">
        <v>2024</v>
      </c>
      <c r="C2349" t="s">
        <v>240</v>
      </c>
      <c r="D2349" t="s">
        <v>1829</v>
      </c>
      <c r="E2349" s="65">
        <v>150</v>
      </c>
      <c r="H2349" t="s">
        <v>148</v>
      </c>
      <c r="J2349" t="s">
        <v>53</v>
      </c>
      <c r="K2349" t="s">
        <v>183</v>
      </c>
      <c r="L2349">
        <v>1</v>
      </c>
    </row>
    <row r="2350" spans="1:13" x14ac:dyDescent="0.2">
      <c r="A2350">
        <f t="shared" si="36"/>
        <v>2344</v>
      </c>
      <c r="B2350">
        <v>2024</v>
      </c>
      <c r="C2350" t="s">
        <v>240</v>
      </c>
      <c r="D2350" t="s">
        <v>1829</v>
      </c>
      <c r="E2350" s="65">
        <v>1060</v>
      </c>
      <c r="F2350" s="33">
        <v>1</v>
      </c>
      <c r="G2350" t="s">
        <v>2269</v>
      </c>
      <c r="H2350" t="s">
        <v>151</v>
      </c>
      <c r="I2350" t="s">
        <v>224</v>
      </c>
      <c r="J2350" t="s">
        <v>61</v>
      </c>
      <c r="K2350" t="s">
        <v>183</v>
      </c>
      <c r="L2350">
        <v>0</v>
      </c>
    </row>
    <row r="2351" spans="1:13" x14ac:dyDescent="0.2">
      <c r="A2351">
        <f t="shared" si="36"/>
        <v>2345</v>
      </c>
      <c r="B2351">
        <v>2024</v>
      </c>
      <c r="C2351" t="s">
        <v>212</v>
      </c>
      <c r="D2351" t="s">
        <v>1624</v>
      </c>
      <c r="E2351" s="65">
        <v>840</v>
      </c>
      <c r="F2351" s="33">
        <v>0.84</v>
      </c>
      <c r="G2351" t="s">
        <v>2270</v>
      </c>
      <c r="H2351" t="s">
        <v>151</v>
      </c>
      <c r="I2351" t="s">
        <v>279</v>
      </c>
      <c r="J2351" t="s">
        <v>89</v>
      </c>
      <c r="K2351" t="s">
        <v>219</v>
      </c>
      <c r="L2351" s="17">
        <v>1</v>
      </c>
    </row>
    <row r="2352" spans="1:13" x14ac:dyDescent="0.2">
      <c r="A2352">
        <f t="shared" si="36"/>
        <v>2346</v>
      </c>
      <c r="B2352">
        <v>2024</v>
      </c>
      <c r="C2352" t="s">
        <v>212</v>
      </c>
      <c r="D2352" t="s">
        <v>2271</v>
      </c>
      <c r="E2352" s="65">
        <v>420</v>
      </c>
      <c r="F2352" s="33">
        <v>1</v>
      </c>
      <c r="G2352" t="s">
        <v>2272</v>
      </c>
      <c r="H2352" t="s">
        <v>149</v>
      </c>
      <c r="J2352" t="s">
        <v>19</v>
      </c>
      <c r="K2352" t="s">
        <v>205</v>
      </c>
      <c r="L2352">
        <v>0</v>
      </c>
    </row>
    <row r="2353" spans="1:13" x14ac:dyDescent="0.2">
      <c r="A2353">
        <f t="shared" si="36"/>
        <v>2347</v>
      </c>
      <c r="B2353">
        <v>2024</v>
      </c>
      <c r="C2353" t="s">
        <v>212</v>
      </c>
      <c r="D2353" t="s">
        <v>2122</v>
      </c>
      <c r="E2353" s="65">
        <v>100</v>
      </c>
      <c r="H2353" t="s">
        <v>148</v>
      </c>
      <c r="J2353" t="s">
        <v>131</v>
      </c>
      <c r="K2353" t="s">
        <v>131</v>
      </c>
      <c r="L2353">
        <v>0</v>
      </c>
      <c r="M2353" s="28" t="s">
        <v>178</v>
      </c>
    </row>
    <row r="2354" spans="1:13" x14ac:dyDescent="0.2">
      <c r="A2354">
        <f t="shared" si="36"/>
        <v>2348</v>
      </c>
      <c r="B2354">
        <v>2024</v>
      </c>
      <c r="C2354" t="s">
        <v>212</v>
      </c>
      <c r="D2354" t="s">
        <v>246</v>
      </c>
      <c r="E2354" s="65">
        <v>450</v>
      </c>
      <c r="F2354" s="33">
        <v>1</v>
      </c>
      <c r="G2354" t="s">
        <v>2273</v>
      </c>
      <c r="H2354" t="s">
        <v>144</v>
      </c>
      <c r="I2354" t="s">
        <v>232</v>
      </c>
      <c r="J2354" t="s">
        <v>114</v>
      </c>
      <c r="K2354" t="s">
        <v>195</v>
      </c>
      <c r="L2354">
        <v>0</v>
      </c>
    </row>
    <row r="2355" spans="1:13" x14ac:dyDescent="0.2">
      <c r="A2355">
        <f t="shared" si="36"/>
        <v>2349</v>
      </c>
      <c r="B2355">
        <v>2024</v>
      </c>
      <c r="C2355" t="s">
        <v>212</v>
      </c>
      <c r="D2355" t="s">
        <v>454</v>
      </c>
      <c r="E2355" s="65">
        <v>1200</v>
      </c>
      <c r="G2355" t="s">
        <v>2274</v>
      </c>
      <c r="H2355" t="s">
        <v>145</v>
      </c>
      <c r="J2355" t="s">
        <v>32</v>
      </c>
      <c r="K2355" t="s">
        <v>195</v>
      </c>
      <c r="L2355">
        <v>1</v>
      </c>
    </row>
    <row r="2356" spans="1:13" x14ac:dyDescent="0.2">
      <c r="A2356">
        <f t="shared" si="36"/>
        <v>2350</v>
      </c>
      <c r="B2356">
        <v>2024</v>
      </c>
      <c r="C2356" t="s">
        <v>212</v>
      </c>
      <c r="D2356" t="s">
        <v>278</v>
      </c>
      <c r="E2356" s="65">
        <v>110</v>
      </c>
      <c r="H2356" t="s">
        <v>144</v>
      </c>
      <c r="I2356" t="s">
        <v>232</v>
      </c>
      <c r="J2356" t="s">
        <v>63</v>
      </c>
      <c r="K2356" t="s">
        <v>201</v>
      </c>
      <c r="L2356">
        <v>1</v>
      </c>
      <c r="M2356" s="28" t="s">
        <v>178</v>
      </c>
    </row>
    <row r="2357" spans="1:13" x14ac:dyDescent="0.2">
      <c r="A2357">
        <f t="shared" si="36"/>
        <v>2351</v>
      </c>
      <c r="B2357">
        <v>2024</v>
      </c>
      <c r="C2357" t="s">
        <v>212</v>
      </c>
      <c r="D2357" t="s">
        <v>1772</v>
      </c>
      <c r="E2357" s="65">
        <v>3780</v>
      </c>
      <c r="H2357" t="s">
        <v>154</v>
      </c>
      <c r="I2357" t="s">
        <v>194</v>
      </c>
      <c r="J2357" t="s">
        <v>51</v>
      </c>
      <c r="K2357" t="s">
        <v>195</v>
      </c>
      <c r="L2357">
        <v>1</v>
      </c>
      <c r="M2357" s="28" t="s">
        <v>178</v>
      </c>
    </row>
    <row r="2358" spans="1:13" x14ac:dyDescent="0.2">
      <c r="A2358">
        <f t="shared" si="36"/>
        <v>2352</v>
      </c>
      <c r="B2358">
        <v>2024</v>
      </c>
      <c r="C2358" t="s">
        <v>212</v>
      </c>
      <c r="D2358" t="s">
        <v>2072</v>
      </c>
      <c r="E2358" s="65">
        <v>100</v>
      </c>
      <c r="G2358" t="s">
        <v>2275</v>
      </c>
      <c r="H2358" t="s">
        <v>147</v>
      </c>
      <c r="J2358" t="s">
        <v>19</v>
      </c>
      <c r="K2358" t="s">
        <v>205</v>
      </c>
      <c r="L2358">
        <v>0</v>
      </c>
      <c r="M2358" s="28" t="s">
        <v>178</v>
      </c>
    </row>
    <row r="2359" spans="1:13" x14ac:dyDescent="0.2">
      <c r="A2359">
        <f t="shared" si="36"/>
        <v>2353</v>
      </c>
      <c r="B2359">
        <v>2024</v>
      </c>
      <c r="C2359" t="s">
        <v>212</v>
      </c>
      <c r="D2359" t="s">
        <v>2103</v>
      </c>
      <c r="E2359" s="65">
        <v>390</v>
      </c>
      <c r="H2359" t="s">
        <v>149</v>
      </c>
      <c r="I2359" t="s">
        <v>236</v>
      </c>
      <c r="J2359" t="s">
        <v>34</v>
      </c>
      <c r="K2359" t="s">
        <v>219</v>
      </c>
      <c r="L2359">
        <v>1</v>
      </c>
    </row>
    <row r="2360" spans="1:13" x14ac:dyDescent="0.2">
      <c r="A2360">
        <f t="shared" si="36"/>
        <v>2354</v>
      </c>
      <c r="B2360">
        <v>2025</v>
      </c>
      <c r="C2360" t="s">
        <v>172</v>
      </c>
      <c r="D2360" t="s">
        <v>483</v>
      </c>
      <c r="E2360" s="65">
        <v>120</v>
      </c>
      <c r="F2360" s="33">
        <v>0.8</v>
      </c>
      <c r="H2360" t="s">
        <v>144</v>
      </c>
      <c r="I2360" t="s">
        <v>232</v>
      </c>
      <c r="J2360" t="s">
        <v>17</v>
      </c>
      <c r="K2360" t="s">
        <v>195</v>
      </c>
      <c r="L2360">
        <v>1</v>
      </c>
      <c r="M2360" s="28" t="s">
        <v>178</v>
      </c>
    </row>
    <row r="2361" spans="1:13" x14ac:dyDescent="0.2">
      <c r="A2361">
        <f t="shared" si="36"/>
        <v>2355</v>
      </c>
      <c r="B2361">
        <v>2025</v>
      </c>
      <c r="C2361" t="s">
        <v>172</v>
      </c>
      <c r="D2361" t="s">
        <v>2276</v>
      </c>
      <c r="E2361" s="65">
        <v>100</v>
      </c>
      <c r="F2361" s="33">
        <v>1</v>
      </c>
      <c r="H2361" t="s">
        <v>154</v>
      </c>
      <c r="I2361" t="s">
        <v>194</v>
      </c>
      <c r="J2361" t="s">
        <v>134</v>
      </c>
      <c r="K2361" t="s">
        <v>201</v>
      </c>
      <c r="L2361">
        <v>1</v>
      </c>
      <c r="M2361" s="28" t="s">
        <v>178</v>
      </c>
    </row>
    <row r="2362" spans="1:13" x14ac:dyDescent="0.2">
      <c r="A2362">
        <f t="shared" si="36"/>
        <v>2356</v>
      </c>
      <c r="B2362">
        <v>2025</v>
      </c>
      <c r="C2362" t="s">
        <v>172</v>
      </c>
      <c r="D2362" t="s">
        <v>557</v>
      </c>
      <c r="E2362" s="65">
        <v>310</v>
      </c>
      <c r="F2362" s="33">
        <v>1</v>
      </c>
      <c r="H2362" t="s">
        <v>150</v>
      </c>
      <c r="I2362" t="s">
        <v>217</v>
      </c>
      <c r="J2362" t="s">
        <v>38</v>
      </c>
      <c r="K2362" t="s">
        <v>214</v>
      </c>
      <c r="L2362">
        <v>1</v>
      </c>
      <c r="M2362" s="28" t="s">
        <v>178</v>
      </c>
    </row>
    <row r="2363" spans="1:13" x14ac:dyDescent="0.2">
      <c r="A2363">
        <f t="shared" si="36"/>
        <v>2357</v>
      </c>
      <c r="B2363">
        <v>2025</v>
      </c>
      <c r="C2363" t="s">
        <v>172</v>
      </c>
      <c r="D2363" t="s">
        <v>1353</v>
      </c>
      <c r="E2363" s="65">
        <v>110</v>
      </c>
      <c r="H2363" t="s">
        <v>150</v>
      </c>
      <c r="I2363" t="s">
        <v>556</v>
      </c>
      <c r="J2363" t="s">
        <v>38</v>
      </c>
      <c r="K2363" t="s">
        <v>214</v>
      </c>
      <c r="L2363">
        <v>1</v>
      </c>
      <c r="M2363" s="28" t="s">
        <v>178</v>
      </c>
    </row>
    <row r="2364" spans="1:13" x14ac:dyDescent="0.2">
      <c r="A2364">
        <f t="shared" si="36"/>
        <v>2358</v>
      </c>
      <c r="B2364">
        <v>2025</v>
      </c>
      <c r="C2364" t="s">
        <v>172</v>
      </c>
      <c r="D2364" t="s">
        <v>244</v>
      </c>
      <c r="E2364" s="65">
        <v>570</v>
      </c>
      <c r="H2364" t="s">
        <v>149</v>
      </c>
      <c r="I2364" t="s">
        <v>236</v>
      </c>
      <c r="J2364" t="s">
        <v>138</v>
      </c>
      <c r="K2364" t="s">
        <v>219</v>
      </c>
      <c r="L2364">
        <v>1</v>
      </c>
      <c r="M2364" s="28" t="s">
        <v>178</v>
      </c>
    </row>
    <row r="2365" spans="1:13" x14ac:dyDescent="0.2">
      <c r="A2365">
        <f t="shared" si="36"/>
        <v>2359</v>
      </c>
      <c r="B2365">
        <v>2025</v>
      </c>
      <c r="C2365" t="s">
        <v>172</v>
      </c>
      <c r="D2365" t="s">
        <v>2277</v>
      </c>
      <c r="E2365" s="65">
        <v>910</v>
      </c>
      <c r="F2365" s="33">
        <v>0.8</v>
      </c>
      <c r="G2365" t="s">
        <v>2278</v>
      </c>
      <c r="H2365" t="s">
        <v>145</v>
      </c>
      <c r="J2365" t="s">
        <v>118</v>
      </c>
      <c r="K2365" t="s">
        <v>195</v>
      </c>
      <c r="L2365">
        <v>0</v>
      </c>
    </row>
    <row r="2366" spans="1:13" x14ac:dyDescent="0.2">
      <c r="A2366">
        <f t="shared" si="36"/>
        <v>2360</v>
      </c>
      <c r="B2366">
        <v>2025</v>
      </c>
      <c r="C2366" t="s">
        <v>172</v>
      </c>
      <c r="D2366" t="s">
        <v>2279</v>
      </c>
      <c r="E2366" s="65">
        <v>240</v>
      </c>
      <c r="H2366" t="s">
        <v>154</v>
      </c>
      <c r="I2366" t="s">
        <v>194</v>
      </c>
      <c r="J2366" t="s">
        <v>23</v>
      </c>
      <c r="K2366" t="s">
        <v>183</v>
      </c>
      <c r="L2366">
        <v>1</v>
      </c>
      <c r="M2366" s="28" t="s">
        <v>178</v>
      </c>
    </row>
    <row r="2367" spans="1:13" x14ac:dyDescent="0.2">
      <c r="A2367">
        <f t="shared" si="36"/>
        <v>2361</v>
      </c>
      <c r="B2367">
        <v>2025</v>
      </c>
      <c r="C2367" t="s">
        <v>172</v>
      </c>
      <c r="D2367" t="s">
        <v>798</v>
      </c>
      <c r="E2367" s="65">
        <v>140</v>
      </c>
      <c r="F2367" s="33">
        <v>1</v>
      </c>
      <c r="H2367" t="s">
        <v>144</v>
      </c>
      <c r="I2367" t="s">
        <v>232</v>
      </c>
      <c r="J2367" t="s">
        <v>53</v>
      </c>
      <c r="K2367" t="s">
        <v>183</v>
      </c>
      <c r="L2367">
        <v>1</v>
      </c>
      <c r="M2367" s="28" t="s">
        <v>178</v>
      </c>
    </row>
    <row r="2368" spans="1:13" x14ac:dyDescent="0.2">
      <c r="A2368">
        <f t="shared" si="36"/>
        <v>2362</v>
      </c>
      <c r="B2368">
        <v>2025</v>
      </c>
      <c r="C2368" t="s">
        <v>172</v>
      </c>
      <c r="D2368" t="s">
        <v>290</v>
      </c>
      <c r="E2368" s="65">
        <v>210</v>
      </c>
      <c r="F2368" s="33">
        <v>1</v>
      </c>
      <c r="G2368" t="s">
        <v>2280</v>
      </c>
      <c r="H2368" t="s">
        <v>150</v>
      </c>
      <c r="I2368" t="s">
        <v>292</v>
      </c>
      <c r="J2368" t="s">
        <v>42</v>
      </c>
      <c r="K2368" t="s">
        <v>195</v>
      </c>
      <c r="L2368">
        <v>0</v>
      </c>
    </row>
    <row r="2369" spans="1:13" x14ac:dyDescent="0.2">
      <c r="A2369">
        <f t="shared" si="36"/>
        <v>2363</v>
      </c>
      <c r="B2369">
        <v>2025</v>
      </c>
      <c r="C2369" t="s">
        <v>172</v>
      </c>
      <c r="D2369" t="s">
        <v>1771</v>
      </c>
      <c r="E2369" s="65">
        <v>230</v>
      </c>
      <c r="H2369" t="s">
        <v>152</v>
      </c>
      <c r="I2369" t="s">
        <v>257</v>
      </c>
      <c r="J2369" t="s">
        <v>52</v>
      </c>
      <c r="K2369" t="s">
        <v>201</v>
      </c>
      <c r="L2369">
        <v>0</v>
      </c>
      <c r="M2369" s="28" t="s">
        <v>178</v>
      </c>
    </row>
    <row r="2370" spans="1:13" x14ac:dyDescent="0.2">
      <c r="A2370">
        <f t="shared" si="36"/>
        <v>2364</v>
      </c>
      <c r="B2370">
        <v>2025</v>
      </c>
      <c r="C2370" t="s">
        <v>172</v>
      </c>
      <c r="D2370" t="s">
        <v>2281</v>
      </c>
      <c r="E2370" s="65">
        <v>110</v>
      </c>
      <c r="G2370" t="s">
        <v>2282</v>
      </c>
      <c r="H2370" t="s">
        <v>149</v>
      </c>
      <c r="J2370" t="s">
        <v>34</v>
      </c>
      <c r="K2370" t="s">
        <v>219</v>
      </c>
      <c r="L2370">
        <v>1</v>
      </c>
    </row>
    <row r="2371" spans="1:13" x14ac:dyDescent="0.2">
      <c r="A2371">
        <f t="shared" si="36"/>
        <v>2365</v>
      </c>
      <c r="B2371">
        <v>2025</v>
      </c>
      <c r="C2371" t="s">
        <v>172</v>
      </c>
      <c r="D2371" t="s">
        <v>1624</v>
      </c>
      <c r="E2371" s="65">
        <v>190</v>
      </c>
      <c r="F2371" s="33">
        <v>1</v>
      </c>
      <c r="G2371" t="s">
        <v>2283</v>
      </c>
      <c r="H2371" t="s">
        <v>151</v>
      </c>
      <c r="I2371" t="s">
        <v>279</v>
      </c>
      <c r="J2371" t="s">
        <v>19</v>
      </c>
      <c r="K2371" t="s">
        <v>205</v>
      </c>
      <c r="L2371">
        <v>0</v>
      </c>
    </row>
    <row r="2372" spans="1:13" x14ac:dyDescent="0.2">
      <c r="A2372">
        <f t="shared" si="36"/>
        <v>2366</v>
      </c>
      <c r="B2372">
        <v>2025</v>
      </c>
      <c r="C2372" t="s">
        <v>172</v>
      </c>
      <c r="D2372" t="s">
        <v>2284</v>
      </c>
      <c r="E2372" s="65">
        <v>190</v>
      </c>
      <c r="H2372" t="s">
        <v>154</v>
      </c>
      <c r="I2372" t="s">
        <v>194</v>
      </c>
      <c r="J2372" t="s">
        <v>19</v>
      </c>
      <c r="K2372" t="s">
        <v>205</v>
      </c>
      <c r="L2372">
        <v>0</v>
      </c>
      <c r="M2372" s="28" t="s">
        <v>178</v>
      </c>
    </row>
    <row r="2373" spans="1:13" x14ac:dyDescent="0.2">
      <c r="A2373">
        <f t="shared" si="36"/>
        <v>2367</v>
      </c>
      <c r="B2373">
        <v>2025</v>
      </c>
      <c r="C2373" t="s">
        <v>172</v>
      </c>
      <c r="D2373" t="s">
        <v>2285</v>
      </c>
      <c r="E2373" s="65">
        <v>160</v>
      </c>
      <c r="H2373" t="s">
        <v>149</v>
      </c>
      <c r="I2373" t="s">
        <v>182</v>
      </c>
      <c r="J2373" t="s">
        <v>48</v>
      </c>
      <c r="K2373" t="s">
        <v>219</v>
      </c>
      <c r="L2373">
        <v>1</v>
      </c>
    </row>
    <row r="2374" spans="1:13" x14ac:dyDescent="0.2">
      <c r="A2374">
        <f t="shared" si="36"/>
        <v>2368</v>
      </c>
      <c r="B2374">
        <v>2025</v>
      </c>
      <c r="C2374" t="s">
        <v>172</v>
      </c>
      <c r="D2374" t="s">
        <v>1061</v>
      </c>
      <c r="E2374" s="65">
        <v>760</v>
      </c>
      <c r="H2374" t="s">
        <v>154</v>
      </c>
      <c r="I2374" t="s">
        <v>194</v>
      </c>
      <c r="J2374" t="s">
        <v>53</v>
      </c>
      <c r="K2374" t="s">
        <v>183</v>
      </c>
      <c r="L2374">
        <v>1</v>
      </c>
      <c r="M2374" s="28" t="s">
        <v>178</v>
      </c>
    </row>
    <row r="2375" spans="1:13" x14ac:dyDescent="0.2">
      <c r="A2375">
        <f t="shared" ref="A2375:A2438" si="37">ROW()-6</f>
        <v>2369</v>
      </c>
      <c r="B2375">
        <v>2025</v>
      </c>
      <c r="C2375" t="s">
        <v>172</v>
      </c>
      <c r="D2375" t="s">
        <v>2286</v>
      </c>
      <c r="E2375" s="65">
        <v>2070</v>
      </c>
      <c r="H2375" t="s">
        <v>153</v>
      </c>
      <c r="J2375" t="s">
        <v>131</v>
      </c>
      <c r="K2375" t="s">
        <v>131</v>
      </c>
      <c r="L2375">
        <v>0</v>
      </c>
    </row>
    <row r="2376" spans="1:13" x14ac:dyDescent="0.2">
      <c r="A2376">
        <f t="shared" si="37"/>
        <v>2370</v>
      </c>
      <c r="B2376">
        <v>2025</v>
      </c>
      <c r="C2376" t="s">
        <v>172</v>
      </c>
      <c r="D2376" t="s">
        <v>1624</v>
      </c>
      <c r="E2376" s="65">
        <v>100</v>
      </c>
      <c r="H2376" t="s">
        <v>151</v>
      </c>
      <c r="I2376" t="s">
        <v>279</v>
      </c>
      <c r="J2376" t="s">
        <v>71</v>
      </c>
      <c r="K2376" t="s">
        <v>219</v>
      </c>
      <c r="L2376">
        <v>1</v>
      </c>
      <c r="M2376" s="28" t="s">
        <v>178</v>
      </c>
    </row>
    <row r="2377" spans="1:13" x14ac:dyDescent="0.2">
      <c r="A2377">
        <f t="shared" si="37"/>
        <v>2371</v>
      </c>
      <c r="B2377">
        <v>2025</v>
      </c>
      <c r="C2377" t="s">
        <v>172</v>
      </c>
      <c r="D2377" t="s">
        <v>2287</v>
      </c>
      <c r="E2377" s="65">
        <v>170</v>
      </c>
      <c r="H2377" t="s">
        <v>152</v>
      </c>
      <c r="J2377" t="s">
        <v>124</v>
      </c>
      <c r="K2377" t="s">
        <v>183</v>
      </c>
      <c r="L2377">
        <v>1</v>
      </c>
      <c r="M2377" s="28" t="s">
        <v>178</v>
      </c>
    </row>
    <row r="2378" spans="1:13" x14ac:dyDescent="0.2">
      <c r="A2378">
        <f t="shared" si="37"/>
        <v>2372</v>
      </c>
      <c r="B2378">
        <v>2025</v>
      </c>
      <c r="C2378" t="s">
        <v>172</v>
      </c>
      <c r="D2378" t="s">
        <v>2288</v>
      </c>
      <c r="E2378" s="65">
        <v>3330</v>
      </c>
      <c r="G2378" t="s">
        <v>2289</v>
      </c>
      <c r="H2378" t="s">
        <v>154</v>
      </c>
      <c r="I2378" t="s">
        <v>250</v>
      </c>
      <c r="J2378" t="s">
        <v>56</v>
      </c>
      <c r="K2378" t="s">
        <v>195</v>
      </c>
      <c r="L2378">
        <v>0</v>
      </c>
    </row>
    <row r="2379" spans="1:13" x14ac:dyDescent="0.2">
      <c r="A2379">
        <f t="shared" si="37"/>
        <v>2373</v>
      </c>
      <c r="B2379">
        <v>2025</v>
      </c>
      <c r="C2379" t="s">
        <v>258</v>
      </c>
      <c r="D2379" t="s">
        <v>2290</v>
      </c>
      <c r="E2379" s="65">
        <v>100</v>
      </c>
      <c r="H2379" t="s">
        <v>144</v>
      </c>
      <c r="I2379" t="s">
        <v>232</v>
      </c>
      <c r="J2379" t="s">
        <v>131</v>
      </c>
      <c r="K2379" t="s">
        <v>131</v>
      </c>
      <c r="L2379">
        <v>0</v>
      </c>
      <c r="M2379" s="28" t="s">
        <v>178</v>
      </c>
    </row>
    <row r="2380" spans="1:13" x14ac:dyDescent="0.2">
      <c r="A2380">
        <f t="shared" si="37"/>
        <v>2374</v>
      </c>
      <c r="B2380">
        <v>2025</v>
      </c>
      <c r="C2380" t="s">
        <v>258</v>
      </c>
      <c r="D2380" t="s">
        <v>559</v>
      </c>
      <c r="E2380" s="65">
        <v>120</v>
      </c>
      <c r="G2380" t="s">
        <v>2291</v>
      </c>
      <c r="H2380" t="s">
        <v>149</v>
      </c>
      <c r="I2380" t="s">
        <v>236</v>
      </c>
      <c r="J2380" t="s">
        <v>34</v>
      </c>
      <c r="K2380" t="s">
        <v>219</v>
      </c>
      <c r="L2380">
        <v>1</v>
      </c>
    </row>
    <row r="2381" spans="1:13" x14ac:dyDescent="0.2">
      <c r="A2381">
        <f t="shared" si="37"/>
        <v>2375</v>
      </c>
      <c r="B2381">
        <v>2025</v>
      </c>
      <c r="C2381" t="s">
        <v>258</v>
      </c>
      <c r="D2381" t="s">
        <v>2292</v>
      </c>
      <c r="E2381" s="65">
        <v>120</v>
      </c>
      <c r="H2381" t="s">
        <v>144</v>
      </c>
      <c r="I2381" t="s">
        <v>232</v>
      </c>
      <c r="J2381" t="s">
        <v>42</v>
      </c>
      <c r="K2381" t="s">
        <v>195</v>
      </c>
      <c r="L2381">
        <v>0</v>
      </c>
      <c r="M2381" s="28" t="s">
        <v>178</v>
      </c>
    </row>
    <row r="2382" spans="1:13" x14ac:dyDescent="0.2">
      <c r="A2382">
        <f t="shared" si="37"/>
        <v>2376</v>
      </c>
      <c r="B2382">
        <v>2025</v>
      </c>
      <c r="C2382" t="s">
        <v>258</v>
      </c>
      <c r="D2382" t="s">
        <v>334</v>
      </c>
      <c r="E2382" s="65">
        <v>130</v>
      </c>
      <c r="H2382" t="s">
        <v>154</v>
      </c>
      <c r="I2382" t="s">
        <v>271</v>
      </c>
      <c r="J2382" t="s">
        <v>19</v>
      </c>
      <c r="K2382" t="s">
        <v>205</v>
      </c>
      <c r="L2382">
        <v>0</v>
      </c>
    </row>
    <row r="2383" spans="1:13" x14ac:dyDescent="0.2">
      <c r="A2383">
        <f t="shared" si="37"/>
        <v>2377</v>
      </c>
      <c r="B2383">
        <v>2025</v>
      </c>
      <c r="C2383" t="s">
        <v>258</v>
      </c>
      <c r="D2383" t="s">
        <v>477</v>
      </c>
      <c r="E2383" s="65">
        <v>350</v>
      </c>
      <c r="F2383" s="33">
        <v>0.7</v>
      </c>
      <c r="G2383" t="s">
        <v>2293</v>
      </c>
      <c r="H2383" t="s">
        <v>148</v>
      </c>
      <c r="J2383" t="s">
        <v>19</v>
      </c>
      <c r="K2383" t="s">
        <v>205</v>
      </c>
      <c r="L2383">
        <v>0</v>
      </c>
    </row>
    <row r="2384" spans="1:13" x14ac:dyDescent="0.2">
      <c r="A2384">
        <f t="shared" si="37"/>
        <v>2378</v>
      </c>
      <c r="B2384">
        <v>2025</v>
      </c>
      <c r="C2384" t="s">
        <v>258</v>
      </c>
      <c r="D2384" t="s">
        <v>175</v>
      </c>
      <c r="E2384" s="65">
        <v>350</v>
      </c>
      <c r="F2384" s="33">
        <v>1</v>
      </c>
      <c r="G2384" t="s">
        <v>1245</v>
      </c>
      <c r="H2384" t="s">
        <v>149</v>
      </c>
      <c r="J2384" t="s">
        <v>19</v>
      </c>
      <c r="K2384" t="s">
        <v>205</v>
      </c>
      <c r="L2384">
        <v>0</v>
      </c>
    </row>
    <row r="2385" spans="1:13" x14ac:dyDescent="0.2">
      <c r="A2385">
        <f t="shared" si="37"/>
        <v>2379</v>
      </c>
      <c r="B2385">
        <v>2025</v>
      </c>
      <c r="C2385" t="s">
        <v>258</v>
      </c>
      <c r="D2385" t="s">
        <v>307</v>
      </c>
      <c r="E2385" s="65">
        <v>170</v>
      </c>
      <c r="H2385" t="s">
        <v>144</v>
      </c>
      <c r="J2385" t="s">
        <v>19</v>
      </c>
      <c r="K2385" t="s">
        <v>205</v>
      </c>
      <c r="L2385">
        <v>0</v>
      </c>
    </row>
    <row r="2386" spans="1:13" x14ac:dyDescent="0.2">
      <c r="A2386">
        <f t="shared" si="37"/>
        <v>2380</v>
      </c>
      <c r="B2386">
        <v>2025</v>
      </c>
      <c r="C2386" t="s">
        <v>258</v>
      </c>
      <c r="D2386" t="s">
        <v>600</v>
      </c>
      <c r="E2386" s="65">
        <v>150</v>
      </c>
      <c r="G2386" t="s">
        <v>2294</v>
      </c>
      <c r="H2386" t="s">
        <v>144</v>
      </c>
      <c r="J2386" t="s">
        <v>38</v>
      </c>
      <c r="K2386" t="s">
        <v>214</v>
      </c>
      <c r="L2386">
        <v>1</v>
      </c>
    </row>
    <row r="2387" spans="1:13" x14ac:dyDescent="0.2">
      <c r="A2387">
        <f t="shared" si="37"/>
        <v>2381</v>
      </c>
      <c r="B2387">
        <v>2025</v>
      </c>
      <c r="C2387" t="s">
        <v>258</v>
      </c>
      <c r="D2387" t="s">
        <v>454</v>
      </c>
      <c r="E2387" s="65">
        <v>150</v>
      </c>
      <c r="H2387" t="s">
        <v>152</v>
      </c>
      <c r="J2387" t="s">
        <v>105</v>
      </c>
      <c r="K2387" t="s">
        <v>214</v>
      </c>
      <c r="L2387">
        <v>1</v>
      </c>
    </row>
    <row r="2388" spans="1:13" x14ac:dyDescent="0.2">
      <c r="A2388">
        <f t="shared" si="37"/>
        <v>2382</v>
      </c>
      <c r="B2388">
        <v>2025</v>
      </c>
      <c r="C2388" t="s">
        <v>258</v>
      </c>
      <c r="D2388" t="s">
        <v>2295</v>
      </c>
      <c r="E2388" s="65">
        <v>170</v>
      </c>
      <c r="F2388" s="33">
        <v>0.85</v>
      </c>
      <c r="G2388" t="s">
        <v>2296</v>
      </c>
      <c r="H2388" t="s">
        <v>149</v>
      </c>
      <c r="J2388" t="s">
        <v>89</v>
      </c>
      <c r="K2388" t="s">
        <v>219</v>
      </c>
      <c r="L2388">
        <v>1</v>
      </c>
      <c r="M2388" s="28" t="s">
        <v>178</v>
      </c>
    </row>
    <row r="2389" spans="1:13" x14ac:dyDescent="0.2">
      <c r="A2389">
        <f t="shared" si="37"/>
        <v>2383</v>
      </c>
      <c r="B2389">
        <v>2025</v>
      </c>
      <c r="C2389" t="s">
        <v>258</v>
      </c>
      <c r="D2389" t="s">
        <v>331</v>
      </c>
      <c r="E2389" s="65">
        <v>110</v>
      </c>
      <c r="H2389" t="s">
        <v>151</v>
      </c>
      <c r="I2389" t="s">
        <v>279</v>
      </c>
      <c r="J2389" t="s">
        <v>51</v>
      </c>
      <c r="K2389" t="s">
        <v>195</v>
      </c>
      <c r="L2389">
        <v>1</v>
      </c>
    </row>
    <row r="2390" spans="1:13" x14ac:dyDescent="0.2">
      <c r="A2390">
        <f t="shared" si="37"/>
        <v>2384</v>
      </c>
      <c r="B2390">
        <v>2025</v>
      </c>
      <c r="C2390" t="s">
        <v>258</v>
      </c>
      <c r="D2390" t="s">
        <v>2297</v>
      </c>
      <c r="E2390" s="65">
        <v>100</v>
      </c>
      <c r="H2390" t="s">
        <v>144</v>
      </c>
      <c r="J2390" t="s">
        <v>72</v>
      </c>
      <c r="K2390" t="s">
        <v>183</v>
      </c>
      <c r="L2390">
        <v>1</v>
      </c>
      <c r="M2390" s="28" t="s">
        <v>178</v>
      </c>
    </row>
    <row r="2391" spans="1:13" x14ac:dyDescent="0.2">
      <c r="A2391">
        <f t="shared" si="37"/>
        <v>2385</v>
      </c>
      <c r="B2391">
        <v>2025</v>
      </c>
      <c r="C2391" t="s">
        <v>258</v>
      </c>
      <c r="D2391" t="s">
        <v>1180</v>
      </c>
      <c r="E2391" s="65">
        <v>430</v>
      </c>
      <c r="F2391" s="33">
        <v>0.5</v>
      </c>
      <c r="G2391" t="s">
        <v>2298</v>
      </c>
      <c r="H2391" t="s">
        <v>144</v>
      </c>
      <c r="I2391" t="s">
        <v>232</v>
      </c>
      <c r="J2391" t="s">
        <v>105</v>
      </c>
      <c r="K2391" t="s">
        <v>214</v>
      </c>
      <c r="L2391">
        <v>1</v>
      </c>
      <c r="M2391" s="28" t="s">
        <v>178</v>
      </c>
    </row>
    <row r="2392" spans="1:13" x14ac:dyDescent="0.2">
      <c r="A2392">
        <f t="shared" si="37"/>
        <v>2386</v>
      </c>
      <c r="B2392">
        <v>2025</v>
      </c>
      <c r="C2392" t="s">
        <v>258</v>
      </c>
      <c r="D2392" t="s">
        <v>2299</v>
      </c>
      <c r="E2392" s="65">
        <v>240</v>
      </c>
      <c r="H2392" t="s">
        <v>149</v>
      </c>
      <c r="J2392" t="s">
        <v>139</v>
      </c>
      <c r="K2392" t="s">
        <v>219</v>
      </c>
      <c r="L2392">
        <v>1</v>
      </c>
      <c r="M2392" s="28" t="s">
        <v>178</v>
      </c>
    </row>
    <row r="2393" spans="1:13" x14ac:dyDescent="0.2">
      <c r="A2393">
        <f t="shared" si="37"/>
        <v>2387</v>
      </c>
      <c r="B2393">
        <v>2025</v>
      </c>
      <c r="C2393" t="s">
        <v>258</v>
      </c>
      <c r="D2393" t="s">
        <v>189</v>
      </c>
      <c r="E2393" s="65">
        <v>430</v>
      </c>
      <c r="G2393" t="s">
        <v>2300</v>
      </c>
      <c r="H2393" t="s">
        <v>144</v>
      </c>
      <c r="I2393" t="s">
        <v>187</v>
      </c>
      <c r="J2393" t="s">
        <v>5</v>
      </c>
      <c r="K2393" t="s">
        <v>214</v>
      </c>
      <c r="L2393">
        <v>1</v>
      </c>
      <c r="M2393" s="28" t="s">
        <v>178</v>
      </c>
    </row>
    <row r="2394" spans="1:13" x14ac:dyDescent="0.2">
      <c r="A2394">
        <f t="shared" si="37"/>
        <v>2388</v>
      </c>
      <c r="B2394">
        <v>2025</v>
      </c>
      <c r="C2394" t="s">
        <v>258</v>
      </c>
      <c r="D2394" t="s">
        <v>2161</v>
      </c>
      <c r="E2394" s="65">
        <v>260</v>
      </c>
      <c r="H2394" t="s">
        <v>144</v>
      </c>
      <c r="I2394" t="s">
        <v>232</v>
      </c>
      <c r="J2394" t="s">
        <v>124</v>
      </c>
      <c r="K2394" t="s">
        <v>183</v>
      </c>
      <c r="L2394">
        <v>1</v>
      </c>
      <c r="M2394" s="28" t="s">
        <v>178</v>
      </c>
    </row>
    <row r="2395" spans="1:13" x14ac:dyDescent="0.2">
      <c r="A2395">
        <f t="shared" si="37"/>
        <v>2389</v>
      </c>
      <c r="B2395">
        <v>2025</v>
      </c>
      <c r="C2395" t="s">
        <v>179</v>
      </c>
      <c r="D2395" t="s">
        <v>454</v>
      </c>
      <c r="E2395" s="65">
        <v>1240</v>
      </c>
      <c r="F2395" s="33">
        <v>0.25</v>
      </c>
      <c r="G2395" t="s">
        <v>2088</v>
      </c>
      <c r="H2395" t="s">
        <v>145</v>
      </c>
      <c r="J2395" t="s">
        <v>42</v>
      </c>
      <c r="K2395" t="s">
        <v>195</v>
      </c>
      <c r="L2395">
        <v>0</v>
      </c>
    </row>
    <row r="2396" spans="1:13" x14ac:dyDescent="0.2">
      <c r="A2396">
        <f t="shared" si="37"/>
        <v>2390</v>
      </c>
      <c r="B2396">
        <v>2025</v>
      </c>
      <c r="C2396" t="s">
        <v>179</v>
      </c>
      <c r="D2396" t="s">
        <v>577</v>
      </c>
      <c r="E2396" s="65">
        <v>120</v>
      </c>
      <c r="H2396" t="s">
        <v>150</v>
      </c>
      <c r="I2396" t="s">
        <v>556</v>
      </c>
      <c r="J2396" t="s">
        <v>52</v>
      </c>
      <c r="K2396" t="s">
        <v>201</v>
      </c>
      <c r="L2396">
        <v>0</v>
      </c>
    </row>
    <row r="2397" spans="1:13" x14ac:dyDescent="0.2">
      <c r="A2397">
        <f t="shared" si="37"/>
        <v>2391</v>
      </c>
      <c r="B2397">
        <v>2025</v>
      </c>
      <c r="C2397" t="s">
        <v>179</v>
      </c>
      <c r="D2397" t="s">
        <v>2207</v>
      </c>
      <c r="E2397" s="65">
        <v>230</v>
      </c>
      <c r="H2397" t="s">
        <v>151</v>
      </c>
      <c r="I2397" t="s">
        <v>279</v>
      </c>
      <c r="J2397" t="s">
        <v>108</v>
      </c>
      <c r="K2397" t="s">
        <v>183</v>
      </c>
      <c r="L2397">
        <v>1</v>
      </c>
      <c r="M2397" s="28" t="s">
        <v>178</v>
      </c>
    </row>
    <row r="2398" spans="1:13" x14ac:dyDescent="0.2">
      <c r="A2398">
        <f t="shared" si="37"/>
        <v>2392</v>
      </c>
      <c r="B2398">
        <v>2025</v>
      </c>
      <c r="C2398" t="s">
        <v>179</v>
      </c>
      <c r="D2398" t="s">
        <v>2047</v>
      </c>
      <c r="E2398" s="65">
        <v>760</v>
      </c>
      <c r="H2398" t="s">
        <v>152</v>
      </c>
      <c r="I2398" t="s">
        <v>257</v>
      </c>
      <c r="J2398" t="s">
        <v>124</v>
      </c>
      <c r="K2398" t="s">
        <v>183</v>
      </c>
      <c r="L2398">
        <v>1</v>
      </c>
    </row>
    <row r="2399" spans="1:13" x14ac:dyDescent="0.2">
      <c r="A2399">
        <f t="shared" si="37"/>
        <v>2393</v>
      </c>
      <c r="B2399">
        <v>2025</v>
      </c>
      <c r="C2399" t="s">
        <v>179</v>
      </c>
      <c r="D2399" t="s">
        <v>2301</v>
      </c>
      <c r="E2399" s="65">
        <v>300</v>
      </c>
      <c r="H2399" t="s">
        <v>149</v>
      </c>
      <c r="I2399" t="s">
        <v>182</v>
      </c>
      <c r="J2399" t="s">
        <v>38</v>
      </c>
      <c r="K2399" t="s">
        <v>214</v>
      </c>
      <c r="L2399">
        <v>1</v>
      </c>
      <c r="M2399" s="28" t="s">
        <v>178</v>
      </c>
    </row>
    <row r="2400" spans="1:13" x14ac:dyDescent="0.2">
      <c r="A2400">
        <f t="shared" si="37"/>
        <v>2394</v>
      </c>
      <c r="B2400">
        <v>2025</v>
      </c>
      <c r="C2400" t="s">
        <v>179</v>
      </c>
      <c r="D2400" t="s">
        <v>2213</v>
      </c>
      <c r="E2400" s="65">
        <v>100</v>
      </c>
      <c r="H2400" t="s">
        <v>155</v>
      </c>
      <c r="J2400" t="s">
        <v>66</v>
      </c>
      <c r="K2400" t="s">
        <v>201</v>
      </c>
      <c r="L2400">
        <v>1</v>
      </c>
      <c r="M2400" s="28" t="s">
        <v>178</v>
      </c>
    </row>
    <row r="2401" spans="1:13" x14ac:dyDescent="0.2">
      <c r="A2401">
        <f t="shared" si="37"/>
        <v>2395</v>
      </c>
      <c r="B2401">
        <v>2025</v>
      </c>
      <c r="C2401" t="s">
        <v>179</v>
      </c>
      <c r="D2401" t="s">
        <v>1180</v>
      </c>
      <c r="E2401" s="65">
        <v>1020</v>
      </c>
      <c r="H2401" t="s">
        <v>149</v>
      </c>
      <c r="I2401" t="s">
        <v>238</v>
      </c>
      <c r="J2401" t="s">
        <v>48</v>
      </c>
      <c r="K2401" t="s">
        <v>219</v>
      </c>
      <c r="L2401">
        <v>1</v>
      </c>
      <c r="M2401" s="28" t="s">
        <v>178</v>
      </c>
    </row>
    <row r="2402" spans="1:13" x14ac:dyDescent="0.2">
      <c r="A2402">
        <f t="shared" si="37"/>
        <v>2396</v>
      </c>
      <c r="B2402">
        <v>2025</v>
      </c>
      <c r="C2402" t="s">
        <v>179</v>
      </c>
      <c r="D2402" t="s">
        <v>2302</v>
      </c>
      <c r="E2402" s="65">
        <v>220</v>
      </c>
      <c r="F2402" s="33">
        <v>0.85</v>
      </c>
      <c r="H2402" t="s">
        <v>149</v>
      </c>
      <c r="I2402" t="s">
        <v>182</v>
      </c>
      <c r="J2402" t="s">
        <v>128</v>
      </c>
      <c r="K2402" t="s">
        <v>201</v>
      </c>
      <c r="L2402">
        <v>1</v>
      </c>
      <c r="M2402" s="28" t="s">
        <v>178</v>
      </c>
    </row>
    <row r="2403" spans="1:13" x14ac:dyDescent="0.2">
      <c r="A2403">
        <f t="shared" si="37"/>
        <v>2397</v>
      </c>
      <c r="B2403">
        <v>2025</v>
      </c>
      <c r="C2403" t="s">
        <v>179</v>
      </c>
      <c r="D2403" t="s">
        <v>2303</v>
      </c>
      <c r="E2403" s="65">
        <v>150</v>
      </c>
      <c r="H2403" t="s">
        <v>142</v>
      </c>
      <c r="J2403" t="s">
        <v>53</v>
      </c>
      <c r="K2403" t="s">
        <v>183</v>
      </c>
      <c r="L2403">
        <v>1</v>
      </c>
      <c r="M2403" s="28" t="s">
        <v>178</v>
      </c>
    </row>
    <row r="2404" spans="1:13" x14ac:dyDescent="0.2">
      <c r="A2404">
        <f t="shared" si="37"/>
        <v>2398</v>
      </c>
      <c r="B2404">
        <v>2025</v>
      </c>
      <c r="C2404" t="s">
        <v>179</v>
      </c>
      <c r="D2404" t="s">
        <v>307</v>
      </c>
      <c r="E2404" s="65">
        <v>1790</v>
      </c>
      <c r="H2404" t="s">
        <v>144</v>
      </c>
      <c r="J2404" t="s">
        <v>19</v>
      </c>
      <c r="K2404" t="s">
        <v>205</v>
      </c>
      <c r="L2404">
        <v>0</v>
      </c>
      <c r="M2404" s="28" t="s">
        <v>178</v>
      </c>
    </row>
    <row r="2405" spans="1:13" x14ac:dyDescent="0.2">
      <c r="A2405">
        <f t="shared" si="37"/>
        <v>2399</v>
      </c>
      <c r="B2405">
        <v>2025</v>
      </c>
      <c r="C2405" t="s">
        <v>179</v>
      </c>
      <c r="D2405" t="s">
        <v>2196</v>
      </c>
      <c r="E2405" s="65">
        <v>460</v>
      </c>
      <c r="H2405" t="s">
        <v>144</v>
      </c>
      <c r="I2405" t="s">
        <v>232</v>
      </c>
      <c r="J2405" t="s">
        <v>72</v>
      </c>
      <c r="K2405" t="s">
        <v>183</v>
      </c>
      <c r="L2405">
        <v>1</v>
      </c>
    </row>
    <row r="2406" spans="1:13" x14ac:dyDescent="0.2">
      <c r="A2406">
        <f t="shared" si="37"/>
        <v>2400</v>
      </c>
      <c r="B2406">
        <v>2025</v>
      </c>
      <c r="C2406" t="s">
        <v>179</v>
      </c>
      <c r="D2406" t="s">
        <v>2207</v>
      </c>
      <c r="E2406" s="65">
        <v>170</v>
      </c>
      <c r="H2406" t="s">
        <v>151</v>
      </c>
      <c r="I2406" t="s">
        <v>224</v>
      </c>
      <c r="J2406" t="s">
        <v>108</v>
      </c>
      <c r="K2406" t="s">
        <v>183</v>
      </c>
      <c r="L2406">
        <v>1</v>
      </c>
    </row>
    <row r="2407" spans="1:13" x14ac:dyDescent="0.2">
      <c r="A2407">
        <f t="shared" si="37"/>
        <v>2401</v>
      </c>
      <c r="B2407">
        <v>2025</v>
      </c>
      <c r="C2407" t="s">
        <v>184</v>
      </c>
      <c r="D2407" t="s">
        <v>2304</v>
      </c>
      <c r="E2407" s="65">
        <v>300</v>
      </c>
      <c r="H2407" t="s">
        <v>143</v>
      </c>
      <c r="J2407" t="s">
        <v>38</v>
      </c>
      <c r="K2407" t="s">
        <v>214</v>
      </c>
      <c r="L2407">
        <v>1</v>
      </c>
      <c r="M2407" s="28" t="s">
        <v>178</v>
      </c>
    </row>
    <row r="2408" spans="1:13" x14ac:dyDescent="0.2">
      <c r="A2408">
        <f t="shared" si="37"/>
        <v>2402</v>
      </c>
      <c r="B2408">
        <v>2025</v>
      </c>
      <c r="C2408" t="s">
        <v>184</v>
      </c>
      <c r="D2408" t="s">
        <v>2305</v>
      </c>
      <c r="E2408" s="65">
        <v>350</v>
      </c>
      <c r="H2408" t="s">
        <v>142</v>
      </c>
      <c r="J2408" t="s">
        <v>63</v>
      </c>
      <c r="K2408" t="s">
        <v>201</v>
      </c>
      <c r="L2408">
        <v>1</v>
      </c>
      <c r="M2408" s="28" t="s">
        <v>178</v>
      </c>
    </row>
    <row r="2409" spans="1:13" x14ac:dyDescent="0.2">
      <c r="A2409">
        <f t="shared" si="37"/>
        <v>2403</v>
      </c>
      <c r="B2409">
        <v>2025</v>
      </c>
      <c r="C2409" t="s">
        <v>184</v>
      </c>
      <c r="D2409" t="s">
        <v>2306</v>
      </c>
      <c r="E2409" s="65">
        <v>420</v>
      </c>
      <c r="G2409" t="s">
        <v>2307</v>
      </c>
      <c r="H2409" t="s">
        <v>149</v>
      </c>
      <c r="J2409" t="s">
        <v>37</v>
      </c>
      <c r="K2409" t="s">
        <v>205</v>
      </c>
      <c r="L2409" s="17">
        <v>1</v>
      </c>
    </row>
    <row r="2410" spans="1:13" x14ac:dyDescent="0.2">
      <c r="A2410">
        <f t="shared" si="37"/>
        <v>2404</v>
      </c>
      <c r="B2410">
        <v>2025</v>
      </c>
      <c r="C2410" t="s">
        <v>184</v>
      </c>
      <c r="D2410" t="s">
        <v>244</v>
      </c>
      <c r="E2410" s="65">
        <v>220</v>
      </c>
      <c r="H2410" t="s">
        <v>149</v>
      </c>
      <c r="J2410" t="s">
        <v>83</v>
      </c>
      <c r="K2410" t="s">
        <v>219</v>
      </c>
      <c r="L2410">
        <v>1</v>
      </c>
      <c r="M2410" s="28" t="s">
        <v>178</v>
      </c>
    </row>
    <row r="2411" spans="1:13" x14ac:dyDescent="0.2">
      <c r="A2411">
        <f t="shared" si="37"/>
        <v>2405</v>
      </c>
      <c r="B2411">
        <v>2025</v>
      </c>
      <c r="C2411" t="s">
        <v>184</v>
      </c>
      <c r="D2411" t="s">
        <v>2202</v>
      </c>
      <c r="E2411" s="65">
        <v>290</v>
      </c>
      <c r="G2411" t="s">
        <v>2308</v>
      </c>
      <c r="H2411" t="s">
        <v>150</v>
      </c>
      <c r="I2411" t="s">
        <v>292</v>
      </c>
      <c r="J2411" t="s">
        <v>45</v>
      </c>
      <c r="K2411" t="s">
        <v>195</v>
      </c>
      <c r="L2411">
        <v>0</v>
      </c>
    </row>
    <row r="2412" spans="1:13" x14ac:dyDescent="0.2">
      <c r="A2412">
        <f t="shared" si="37"/>
        <v>2406</v>
      </c>
      <c r="B2412">
        <v>2025</v>
      </c>
      <c r="C2412" t="s">
        <v>184</v>
      </c>
      <c r="D2412" t="s">
        <v>2126</v>
      </c>
      <c r="E2412" s="65">
        <v>720</v>
      </c>
      <c r="F2412" s="33">
        <v>0.51</v>
      </c>
      <c r="G2412" t="s">
        <v>2114</v>
      </c>
      <c r="H2412" t="s">
        <v>149</v>
      </c>
      <c r="J2412" t="s">
        <v>53</v>
      </c>
      <c r="K2412" t="s">
        <v>183</v>
      </c>
      <c r="L2412">
        <v>1</v>
      </c>
      <c r="M2412" s="28" t="s">
        <v>178</v>
      </c>
    </row>
    <row r="2413" spans="1:13" x14ac:dyDescent="0.2">
      <c r="A2413">
        <f t="shared" si="37"/>
        <v>2407</v>
      </c>
      <c r="B2413">
        <v>2025</v>
      </c>
      <c r="C2413" t="s">
        <v>184</v>
      </c>
      <c r="D2413" t="s">
        <v>2309</v>
      </c>
      <c r="E2413" s="65">
        <v>1820</v>
      </c>
      <c r="H2413" t="s">
        <v>154</v>
      </c>
      <c r="I2413" t="s">
        <v>194</v>
      </c>
      <c r="J2413" t="s">
        <v>19</v>
      </c>
      <c r="K2413" t="s">
        <v>205</v>
      </c>
      <c r="L2413">
        <v>0</v>
      </c>
      <c r="M2413" s="28" t="s">
        <v>178</v>
      </c>
    </row>
    <row r="2414" spans="1:13" x14ac:dyDescent="0.2">
      <c r="A2414">
        <f t="shared" si="37"/>
        <v>2408</v>
      </c>
      <c r="B2414">
        <v>2025</v>
      </c>
      <c r="C2414" t="s">
        <v>184</v>
      </c>
      <c r="D2414" t="s">
        <v>267</v>
      </c>
      <c r="E2414" s="65">
        <v>140</v>
      </c>
      <c r="F2414" s="33">
        <v>0.47</v>
      </c>
      <c r="H2414" t="s">
        <v>149</v>
      </c>
      <c r="I2414" t="s">
        <v>182</v>
      </c>
      <c r="J2414" t="s">
        <v>48</v>
      </c>
      <c r="K2414" t="s">
        <v>219</v>
      </c>
      <c r="L2414">
        <v>1</v>
      </c>
    </row>
    <row r="2415" spans="1:13" x14ac:dyDescent="0.2">
      <c r="A2415">
        <f t="shared" si="37"/>
        <v>2409</v>
      </c>
      <c r="B2415">
        <v>2025</v>
      </c>
      <c r="C2415" t="s">
        <v>184</v>
      </c>
      <c r="D2415" t="s">
        <v>1304</v>
      </c>
      <c r="E2415" s="65">
        <v>260</v>
      </c>
      <c r="F2415" s="33">
        <v>0.88</v>
      </c>
      <c r="H2415" t="s">
        <v>144</v>
      </c>
      <c r="I2415" t="s">
        <v>232</v>
      </c>
      <c r="J2415" t="s">
        <v>134</v>
      </c>
      <c r="K2415" t="s">
        <v>201</v>
      </c>
      <c r="L2415">
        <v>1</v>
      </c>
      <c r="M2415" s="28" t="s">
        <v>178</v>
      </c>
    </row>
    <row r="2416" spans="1:13" x14ac:dyDescent="0.2">
      <c r="A2416">
        <f t="shared" si="37"/>
        <v>2410</v>
      </c>
      <c r="B2416">
        <v>2025</v>
      </c>
      <c r="C2416" t="s">
        <v>225</v>
      </c>
      <c r="D2416" t="s">
        <v>2310</v>
      </c>
      <c r="E2416" s="65">
        <v>270</v>
      </c>
      <c r="F2416" s="33">
        <v>0.49</v>
      </c>
      <c r="G2416" t="s">
        <v>2311</v>
      </c>
      <c r="H2416" t="s">
        <v>154</v>
      </c>
      <c r="I2416" t="s">
        <v>194</v>
      </c>
      <c r="J2416" t="s">
        <v>42</v>
      </c>
      <c r="K2416" t="s">
        <v>195</v>
      </c>
      <c r="L2416">
        <v>0</v>
      </c>
      <c r="M2416" s="28" t="s">
        <v>178</v>
      </c>
    </row>
    <row r="2417" spans="1:13" x14ac:dyDescent="0.2">
      <c r="A2417">
        <f t="shared" si="37"/>
        <v>2411</v>
      </c>
      <c r="B2417">
        <v>2025</v>
      </c>
      <c r="C2417" t="s">
        <v>225</v>
      </c>
      <c r="D2417" t="s">
        <v>1951</v>
      </c>
      <c r="E2417" s="65">
        <v>570</v>
      </c>
      <c r="H2417" t="s">
        <v>144</v>
      </c>
      <c r="I2417" t="s">
        <v>232</v>
      </c>
      <c r="J2417" t="s">
        <v>92</v>
      </c>
      <c r="K2417" t="s">
        <v>214</v>
      </c>
      <c r="L2417">
        <v>1</v>
      </c>
      <c r="M2417" s="28" t="s">
        <v>178</v>
      </c>
    </row>
    <row r="2418" spans="1:13" x14ac:dyDescent="0.2">
      <c r="A2418">
        <f t="shared" si="37"/>
        <v>2412</v>
      </c>
      <c r="B2418">
        <v>2025</v>
      </c>
      <c r="C2418" t="s">
        <v>225</v>
      </c>
      <c r="D2418" t="s">
        <v>454</v>
      </c>
      <c r="E2418" s="65">
        <v>180</v>
      </c>
      <c r="F2418" s="33">
        <v>0.1</v>
      </c>
      <c r="G2418" t="s">
        <v>2312</v>
      </c>
      <c r="H2418" t="s">
        <v>145</v>
      </c>
      <c r="J2418" t="s">
        <v>113</v>
      </c>
      <c r="K2418" t="s">
        <v>183</v>
      </c>
      <c r="L2418">
        <v>0</v>
      </c>
    </row>
    <row r="2419" spans="1:13" x14ac:dyDescent="0.2">
      <c r="A2419">
        <f t="shared" si="37"/>
        <v>2413</v>
      </c>
      <c r="B2419">
        <v>2025</v>
      </c>
      <c r="C2419" t="s">
        <v>225</v>
      </c>
      <c r="D2419" t="s">
        <v>2313</v>
      </c>
      <c r="E2419" s="65">
        <v>220</v>
      </c>
      <c r="F2419" s="33">
        <v>0.65</v>
      </c>
      <c r="G2419" t="s">
        <v>2314</v>
      </c>
      <c r="H2419" t="s">
        <v>147</v>
      </c>
      <c r="J2419" t="s">
        <v>136</v>
      </c>
      <c r="K2419" t="s">
        <v>183</v>
      </c>
      <c r="L2419">
        <v>1</v>
      </c>
    </row>
    <row r="2420" spans="1:13" x14ac:dyDescent="0.2">
      <c r="A2420">
        <f t="shared" si="37"/>
        <v>2414</v>
      </c>
      <c r="B2420">
        <v>2025</v>
      </c>
      <c r="C2420" t="s">
        <v>225</v>
      </c>
      <c r="D2420" t="s">
        <v>2103</v>
      </c>
      <c r="E2420" s="65">
        <v>130</v>
      </c>
      <c r="F2420" s="33">
        <v>0.55000000000000004</v>
      </c>
      <c r="G2420" t="s">
        <v>1812</v>
      </c>
      <c r="H2420" t="s">
        <v>149</v>
      </c>
      <c r="J2420" t="s">
        <v>28</v>
      </c>
      <c r="K2420" t="s">
        <v>205</v>
      </c>
      <c r="L2420">
        <v>1</v>
      </c>
    </row>
    <row r="2421" spans="1:13" x14ac:dyDescent="0.2">
      <c r="A2421">
        <f t="shared" si="37"/>
        <v>2415</v>
      </c>
      <c r="B2421">
        <v>2025</v>
      </c>
      <c r="C2421" t="s">
        <v>225</v>
      </c>
      <c r="D2421" t="s">
        <v>175</v>
      </c>
      <c r="E2421" s="65">
        <v>810</v>
      </c>
      <c r="H2421" t="s">
        <v>149</v>
      </c>
      <c r="I2421" t="s">
        <v>236</v>
      </c>
      <c r="J2421" t="s">
        <v>18</v>
      </c>
      <c r="K2421" t="s">
        <v>219</v>
      </c>
      <c r="L2421">
        <v>1</v>
      </c>
    </row>
    <row r="2422" spans="1:13" x14ac:dyDescent="0.2">
      <c r="A2422">
        <f t="shared" si="37"/>
        <v>2416</v>
      </c>
      <c r="B2422">
        <v>2025</v>
      </c>
      <c r="C2422" t="s">
        <v>225</v>
      </c>
      <c r="D2422" t="s">
        <v>1061</v>
      </c>
      <c r="E2422" s="65">
        <v>250</v>
      </c>
      <c r="H2422" t="s">
        <v>154</v>
      </c>
      <c r="I2422" t="s">
        <v>194</v>
      </c>
      <c r="J2422" t="s">
        <v>51</v>
      </c>
      <c r="K2422" t="s">
        <v>195</v>
      </c>
      <c r="L2422">
        <v>1</v>
      </c>
      <c r="M2422" s="28" t="s">
        <v>178</v>
      </c>
    </row>
    <row r="2423" spans="1:13" x14ac:dyDescent="0.2">
      <c r="A2423">
        <f t="shared" si="37"/>
        <v>2417</v>
      </c>
      <c r="B2423">
        <v>2025</v>
      </c>
      <c r="C2423" t="s">
        <v>225</v>
      </c>
      <c r="D2423" t="s">
        <v>479</v>
      </c>
      <c r="E2423" s="65">
        <v>570</v>
      </c>
      <c r="F2423" s="33">
        <v>0.49</v>
      </c>
      <c r="H2423" t="s">
        <v>154</v>
      </c>
      <c r="I2423" t="s">
        <v>271</v>
      </c>
      <c r="J2423" t="s">
        <v>23</v>
      </c>
      <c r="K2423" t="s">
        <v>183</v>
      </c>
      <c r="L2423">
        <v>1</v>
      </c>
      <c r="M2423" s="28" t="s">
        <v>178</v>
      </c>
    </row>
    <row r="2424" spans="1:13" x14ac:dyDescent="0.2">
      <c r="A2424">
        <f t="shared" si="37"/>
        <v>2418</v>
      </c>
      <c r="B2424">
        <v>2025</v>
      </c>
      <c r="C2424" t="s">
        <v>225</v>
      </c>
      <c r="D2424" t="s">
        <v>2315</v>
      </c>
      <c r="E2424" s="65">
        <v>690</v>
      </c>
      <c r="F2424" s="33">
        <v>0.38</v>
      </c>
      <c r="G2424" t="s">
        <v>2316</v>
      </c>
      <c r="H2424" t="s">
        <v>143</v>
      </c>
      <c r="J2424" t="s">
        <v>108</v>
      </c>
      <c r="K2424" t="s">
        <v>183</v>
      </c>
      <c r="L2424">
        <v>1</v>
      </c>
    </row>
    <row r="2425" spans="1:13" x14ac:dyDescent="0.2">
      <c r="A2425">
        <f t="shared" si="37"/>
        <v>2419</v>
      </c>
      <c r="B2425">
        <v>2025</v>
      </c>
      <c r="C2425" t="s">
        <v>225</v>
      </c>
      <c r="D2425" t="s">
        <v>2317</v>
      </c>
      <c r="E2425" s="65">
        <v>140</v>
      </c>
      <c r="F2425" s="33">
        <v>0.7</v>
      </c>
      <c r="G2425" t="s">
        <v>2318</v>
      </c>
      <c r="H2425" t="s">
        <v>142</v>
      </c>
      <c r="J2425" t="s">
        <v>138</v>
      </c>
      <c r="K2425" t="s">
        <v>219</v>
      </c>
      <c r="L2425">
        <v>1</v>
      </c>
      <c r="M2425" s="28" t="s">
        <v>178</v>
      </c>
    </row>
    <row r="2426" spans="1:13" x14ac:dyDescent="0.2">
      <c r="A2426">
        <f t="shared" si="37"/>
        <v>2420</v>
      </c>
      <c r="B2426">
        <v>2025</v>
      </c>
      <c r="C2426" t="s">
        <v>225</v>
      </c>
      <c r="D2426" t="s">
        <v>444</v>
      </c>
      <c r="E2426" s="65">
        <v>480</v>
      </c>
      <c r="H2426" t="s">
        <v>144</v>
      </c>
      <c r="I2426" t="s">
        <v>232</v>
      </c>
      <c r="J2426" t="s">
        <v>134</v>
      </c>
      <c r="K2426" t="s">
        <v>201</v>
      </c>
      <c r="L2426">
        <v>1</v>
      </c>
      <c r="M2426" s="28" t="s">
        <v>178</v>
      </c>
    </row>
    <row r="2427" spans="1:13" x14ac:dyDescent="0.2">
      <c r="A2427">
        <f t="shared" si="37"/>
        <v>2421</v>
      </c>
      <c r="B2427">
        <v>2025</v>
      </c>
      <c r="C2427" t="s">
        <v>225</v>
      </c>
      <c r="D2427" t="s">
        <v>559</v>
      </c>
      <c r="E2427" s="65">
        <v>350</v>
      </c>
      <c r="G2427" t="s">
        <v>2319</v>
      </c>
      <c r="H2427" t="s">
        <v>149</v>
      </c>
      <c r="J2427" t="s">
        <v>117</v>
      </c>
      <c r="K2427" t="s">
        <v>205</v>
      </c>
      <c r="L2427">
        <v>1</v>
      </c>
    </row>
    <row r="2428" spans="1:13" x14ac:dyDescent="0.2">
      <c r="A2428">
        <f t="shared" si="37"/>
        <v>2422</v>
      </c>
      <c r="B2428">
        <v>2025</v>
      </c>
      <c r="C2428" t="s">
        <v>225</v>
      </c>
      <c r="D2428" t="s">
        <v>559</v>
      </c>
      <c r="E2428" s="65">
        <v>280</v>
      </c>
      <c r="G2428" t="s">
        <v>2320</v>
      </c>
      <c r="H2428" t="s">
        <v>149</v>
      </c>
      <c r="J2428" t="s">
        <v>50</v>
      </c>
      <c r="K2428" t="s">
        <v>205</v>
      </c>
      <c r="L2428">
        <v>1</v>
      </c>
    </row>
    <row r="2429" spans="1:13" x14ac:dyDescent="0.2">
      <c r="A2429">
        <f t="shared" si="37"/>
        <v>2423</v>
      </c>
      <c r="B2429">
        <v>2025</v>
      </c>
      <c r="C2429" t="s">
        <v>188</v>
      </c>
      <c r="D2429" t="s">
        <v>2321</v>
      </c>
      <c r="E2429" s="65">
        <v>100</v>
      </c>
      <c r="G2429" t="s">
        <v>2322</v>
      </c>
      <c r="H2429" t="s">
        <v>150</v>
      </c>
      <c r="I2429" t="s">
        <v>744</v>
      </c>
      <c r="J2429" t="s">
        <v>131</v>
      </c>
      <c r="K2429" t="s">
        <v>131</v>
      </c>
      <c r="L2429">
        <v>0</v>
      </c>
    </row>
    <row r="2430" spans="1:13" x14ac:dyDescent="0.2">
      <c r="A2430">
        <f t="shared" si="37"/>
        <v>2424</v>
      </c>
      <c r="B2430">
        <v>2025</v>
      </c>
      <c r="C2430" t="s">
        <v>188</v>
      </c>
      <c r="D2430" t="s">
        <v>1337</v>
      </c>
      <c r="E2430" s="65">
        <v>110</v>
      </c>
      <c r="G2430" t="s">
        <v>2323</v>
      </c>
      <c r="H2430" t="s">
        <v>154</v>
      </c>
      <c r="I2430" t="s">
        <v>194</v>
      </c>
      <c r="J2430" t="s">
        <v>42</v>
      </c>
      <c r="K2430" t="s">
        <v>195</v>
      </c>
      <c r="L2430">
        <v>0</v>
      </c>
    </row>
    <row r="2431" spans="1:13" x14ac:dyDescent="0.2">
      <c r="A2431">
        <f t="shared" si="37"/>
        <v>2425</v>
      </c>
      <c r="B2431">
        <v>2025</v>
      </c>
      <c r="C2431" t="s">
        <v>188</v>
      </c>
      <c r="D2431" t="s">
        <v>438</v>
      </c>
      <c r="E2431" s="65">
        <v>200</v>
      </c>
      <c r="G2431" t="s">
        <v>2324</v>
      </c>
      <c r="H2431" t="s">
        <v>154</v>
      </c>
      <c r="I2431" t="s">
        <v>194</v>
      </c>
      <c r="J2431" t="s">
        <v>118</v>
      </c>
      <c r="K2431" t="s">
        <v>195</v>
      </c>
      <c r="L2431">
        <v>0</v>
      </c>
    </row>
    <row r="2432" spans="1:13" x14ac:dyDescent="0.2">
      <c r="A2432">
        <f t="shared" si="37"/>
        <v>2426</v>
      </c>
      <c r="B2432">
        <v>2025</v>
      </c>
      <c r="C2432" t="s">
        <v>188</v>
      </c>
      <c r="D2432" t="s">
        <v>438</v>
      </c>
      <c r="E2432" s="65">
        <v>720</v>
      </c>
      <c r="G2432" t="s">
        <v>2069</v>
      </c>
      <c r="H2432" t="s">
        <v>154</v>
      </c>
      <c r="I2432" t="s">
        <v>194</v>
      </c>
      <c r="J2432" t="s">
        <v>19</v>
      </c>
      <c r="K2432" t="s">
        <v>205</v>
      </c>
      <c r="L2432">
        <v>0</v>
      </c>
    </row>
    <row r="2433" spans="1:13" x14ac:dyDescent="0.2">
      <c r="A2433">
        <f t="shared" si="37"/>
        <v>2427</v>
      </c>
      <c r="B2433">
        <v>2025</v>
      </c>
      <c r="C2433" t="s">
        <v>188</v>
      </c>
      <c r="D2433" t="s">
        <v>559</v>
      </c>
      <c r="E2433" s="65">
        <v>1200</v>
      </c>
      <c r="H2433" t="s">
        <v>149</v>
      </c>
      <c r="J2433" t="s">
        <v>63</v>
      </c>
      <c r="K2433" t="s">
        <v>201</v>
      </c>
      <c r="L2433">
        <v>1</v>
      </c>
    </row>
    <row r="2434" spans="1:13" x14ac:dyDescent="0.2">
      <c r="A2434">
        <f t="shared" si="37"/>
        <v>2428</v>
      </c>
      <c r="B2434">
        <v>2025</v>
      </c>
      <c r="C2434" t="s">
        <v>188</v>
      </c>
      <c r="D2434" t="s">
        <v>2325</v>
      </c>
      <c r="E2434" s="65">
        <v>850</v>
      </c>
      <c r="F2434" s="33">
        <v>0.6</v>
      </c>
      <c r="H2434" t="s">
        <v>144</v>
      </c>
      <c r="I2434" t="s">
        <v>232</v>
      </c>
      <c r="J2434" t="s">
        <v>53</v>
      </c>
      <c r="K2434" t="s">
        <v>183</v>
      </c>
      <c r="L2434">
        <v>1</v>
      </c>
      <c r="M2434" s="28" t="s">
        <v>178</v>
      </c>
    </row>
    <row r="2435" spans="1:13" x14ac:dyDescent="0.2">
      <c r="A2435">
        <f t="shared" si="37"/>
        <v>2429</v>
      </c>
      <c r="B2435">
        <v>2025</v>
      </c>
      <c r="C2435" t="s">
        <v>188</v>
      </c>
      <c r="D2435" t="s">
        <v>454</v>
      </c>
      <c r="E2435" s="65">
        <v>100</v>
      </c>
      <c r="H2435" t="s">
        <v>152</v>
      </c>
      <c r="I2435" t="s">
        <v>257</v>
      </c>
      <c r="J2435" t="s">
        <v>53</v>
      </c>
      <c r="K2435" t="s">
        <v>183</v>
      </c>
      <c r="L2435">
        <v>1</v>
      </c>
    </row>
    <row r="2436" spans="1:13" x14ac:dyDescent="0.2">
      <c r="A2436">
        <f t="shared" si="37"/>
        <v>2430</v>
      </c>
      <c r="B2436">
        <v>2025</v>
      </c>
      <c r="C2436" t="s">
        <v>188</v>
      </c>
      <c r="D2436" t="s">
        <v>2096</v>
      </c>
      <c r="E2436" s="65">
        <v>1020</v>
      </c>
      <c r="F2436" s="33">
        <v>0.78</v>
      </c>
      <c r="H2436" t="s">
        <v>154</v>
      </c>
      <c r="I2436" t="s">
        <v>194</v>
      </c>
      <c r="J2436" t="s">
        <v>80</v>
      </c>
      <c r="K2436" t="s">
        <v>214</v>
      </c>
      <c r="L2436">
        <v>1</v>
      </c>
      <c r="M2436" s="28" t="s">
        <v>178</v>
      </c>
    </row>
    <row r="2437" spans="1:13" x14ac:dyDescent="0.2">
      <c r="A2437">
        <f t="shared" si="37"/>
        <v>2431</v>
      </c>
      <c r="B2437">
        <v>2025</v>
      </c>
      <c r="C2437" t="s">
        <v>188</v>
      </c>
      <c r="D2437" t="s">
        <v>2326</v>
      </c>
      <c r="E2437" s="65">
        <v>100</v>
      </c>
      <c r="H2437" t="s">
        <v>150</v>
      </c>
      <c r="I2437" t="s">
        <v>217</v>
      </c>
      <c r="J2437" t="s">
        <v>136</v>
      </c>
      <c r="K2437" t="s">
        <v>183</v>
      </c>
      <c r="L2437">
        <v>1</v>
      </c>
      <c r="M2437" s="28" t="s">
        <v>178</v>
      </c>
    </row>
    <row r="2438" spans="1:13" x14ac:dyDescent="0.2">
      <c r="A2438">
        <f t="shared" si="37"/>
        <v>2432</v>
      </c>
      <c r="B2438">
        <v>2025</v>
      </c>
      <c r="C2438" t="s">
        <v>188</v>
      </c>
      <c r="D2438" t="s">
        <v>1520</v>
      </c>
      <c r="E2438" s="65">
        <v>160</v>
      </c>
      <c r="H2438" t="s">
        <v>148</v>
      </c>
      <c r="J2438" t="s">
        <v>9</v>
      </c>
      <c r="K2438" t="s">
        <v>9</v>
      </c>
      <c r="L2438">
        <v>0</v>
      </c>
    </row>
    <row r="2439" spans="1:13" x14ac:dyDescent="0.2">
      <c r="A2439">
        <f t="shared" ref="A2439:A2506" si="38">ROW()-6</f>
        <v>2433</v>
      </c>
      <c r="B2439">
        <v>2025</v>
      </c>
      <c r="C2439" t="s">
        <v>188</v>
      </c>
      <c r="D2439" t="s">
        <v>2327</v>
      </c>
      <c r="E2439" s="65">
        <v>190</v>
      </c>
      <c r="F2439" s="33">
        <v>1</v>
      </c>
      <c r="H2439" t="s">
        <v>152</v>
      </c>
      <c r="J2439" t="s">
        <v>124</v>
      </c>
      <c r="K2439" t="s">
        <v>183</v>
      </c>
      <c r="L2439">
        <v>1</v>
      </c>
      <c r="M2439" s="28" t="s">
        <v>178</v>
      </c>
    </row>
    <row r="2440" spans="1:13" x14ac:dyDescent="0.2">
      <c r="A2440">
        <f t="shared" si="38"/>
        <v>2434</v>
      </c>
      <c r="B2440">
        <v>2025</v>
      </c>
      <c r="C2440" t="s">
        <v>188</v>
      </c>
      <c r="D2440" t="s">
        <v>2328</v>
      </c>
      <c r="E2440" s="65">
        <v>2220</v>
      </c>
      <c r="H2440" t="s">
        <v>154</v>
      </c>
      <c r="I2440" t="s">
        <v>194</v>
      </c>
      <c r="J2440" t="s">
        <v>99</v>
      </c>
      <c r="K2440" t="s">
        <v>195</v>
      </c>
      <c r="L2440">
        <v>1</v>
      </c>
      <c r="M2440" s="28" t="s">
        <v>178</v>
      </c>
    </row>
    <row r="2441" spans="1:13" x14ac:dyDescent="0.2">
      <c r="A2441">
        <f t="shared" si="38"/>
        <v>2435</v>
      </c>
      <c r="B2441">
        <v>2025</v>
      </c>
      <c r="C2441" t="s">
        <v>188</v>
      </c>
      <c r="D2441" t="s">
        <v>877</v>
      </c>
      <c r="E2441" s="65">
        <v>850</v>
      </c>
      <c r="F2441" s="33">
        <v>0.67</v>
      </c>
      <c r="H2441" t="s">
        <v>144</v>
      </c>
      <c r="J2441" t="s">
        <v>55</v>
      </c>
      <c r="K2441" t="s">
        <v>214</v>
      </c>
      <c r="L2441">
        <v>1</v>
      </c>
    </row>
    <row r="2442" spans="1:13" x14ac:dyDescent="0.2">
      <c r="A2442">
        <f t="shared" si="38"/>
        <v>2436</v>
      </c>
      <c r="B2442">
        <v>2025</v>
      </c>
      <c r="C2442" t="s">
        <v>188</v>
      </c>
      <c r="D2442" t="s">
        <v>2329</v>
      </c>
      <c r="E2442" s="65">
        <v>480</v>
      </c>
      <c r="H2442" t="s">
        <v>144</v>
      </c>
      <c r="I2442" t="s">
        <v>187</v>
      </c>
      <c r="J2442" t="s">
        <v>55</v>
      </c>
      <c r="K2442" t="s">
        <v>214</v>
      </c>
      <c r="L2442">
        <v>1</v>
      </c>
    </row>
    <row r="2443" spans="1:13" x14ac:dyDescent="0.2">
      <c r="A2443">
        <f t="shared" si="38"/>
        <v>2437</v>
      </c>
      <c r="B2443">
        <v>2025</v>
      </c>
      <c r="C2443" t="s">
        <v>188</v>
      </c>
      <c r="D2443" t="s">
        <v>577</v>
      </c>
      <c r="E2443" s="65">
        <v>640</v>
      </c>
      <c r="H2443" t="s">
        <v>150</v>
      </c>
      <c r="I2443" t="s">
        <v>556</v>
      </c>
      <c r="J2443" t="s">
        <v>131</v>
      </c>
      <c r="K2443" t="s">
        <v>131</v>
      </c>
      <c r="L2443">
        <v>0</v>
      </c>
    </row>
    <row r="2444" spans="1:13" x14ac:dyDescent="0.2">
      <c r="A2444">
        <f t="shared" si="38"/>
        <v>2438</v>
      </c>
      <c r="B2444">
        <v>2025</v>
      </c>
      <c r="C2444" t="s">
        <v>188</v>
      </c>
      <c r="D2444" t="s">
        <v>199</v>
      </c>
      <c r="E2444" s="65">
        <v>500</v>
      </c>
      <c r="H2444" t="s">
        <v>144</v>
      </c>
      <c r="I2444" t="s">
        <v>299</v>
      </c>
      <c r="J2444" t="s">
        <v>96</v>
      </c>
      <c r="K2444" t="s">
        <v>205</v>
      </c>
      <c r="L2444">
        <v>1</v>
      </c>
      <c r="M2444" s="28" t="s">
        <v>178</v>
      </c>
    </row>
    <row r="2445" spans="1:13" x14ac:dyDescent="0.2">
      <c r="A2445">
        <f t="shared" si="38"/>
        <v>2439</v>
      </c>
      <c r="B2445">
        <v>2025</v>
      </c>
      <c r="C2445" t="s">
        <v>191</v>
      </c>
      <c r="D2445" t="s">
        <v>2330</v>
      </c>
      <c r="E2445" s="65">
        <v>120</v>
      </c>
      <c r="F2445" s="33">
        <v>1</v>
      </c>
      <c r="G2445" t="s">
        <v>2331</v>
      </c>
      <c r="H2445" t="s">
        <v>151</v>
      </c>
      <c r="I2445" t="s">
        <v>279</v>
      </c>
      <c r="J2445" t="s">
        <v>27</v>
      </c>
      <c r="K2445" t="s">
        <v>205</v>
      </c>
      <c r="L2445">
        <v>1</v>
      </c>
    </row>
    <row r="2446" spans="1:13" x14ac:dyDescent="0.2">
      <c r="A2446">
        <f t="shared" si="38"/>
        <v>2440</v>
      </c>
      <c r="B2446">
        <v>2025</v>
      </c>
      <c r="C2446" t="s">
        <v>191</v>
      </c>
      <c r="D2446" t="s">
        <v>378</v>
      </c>
      <c r="E2446" s="65">
        <v>100</v>
      </c>
      <c r="H2446" t="s">
        <v>148</v>
      </c>
      <c r="J2446" t="s">
        <v>38</v>
      </c>
      <c r="K2446" t="s">
        <v>214</v>
      </c>
      <c r="L2446">
        <v>1</v>
      </c>
    </row>
    <row r="2447" spans="1:13" x14ac:dyDescent="0.2">
      <c r="A2447">
        <f t="shared" si="38"/>
        <v>2441</v>
      </c>
      <c r="B2447">
        <v>2025</v>
      </c>
      <c r="C2447" t="s">
        <v>191</v>
      </c>
      <c r="D2447" t="s">
        <v>2332</v>
      </c>
      <c r="E2447" s="65">
        <v>130</v>
      </c>
      <c r="F2447" s="33">
        <v>1</v>
      </c>
      <c r="G2447" t="s">
        <v>2333</v>
      </c>
      <c r="H2447" t="s">
        <v>149</v>
      </c>
      <c r="J2447" t="s">
        <v>123</v>
      </c>
      <c r="K2447" t="s">
        <v>219</v>
      </c>
      <c r="L2447">
        <v>1</v>
      </c>
    </row>
    <row r="2448" spans="1:13" x14ac:dyDescent="0.2">
      <c r="A2448">
        <f t="shared" si="38"/>
        <v>2442</v>
      </c>
      <c r="B2448">
        <v>2025</v>
      </c>
      <c r="C2448" t="s">
        <v>191</v>
      </c>
      <c r="D2448" t="s">
        <v>2334</v>
      </c>
      <c r="E2448" s="65">
        <v>100</v>
      </c>
      <c r="H2448" t="s">
        <v>144</v>
      </c>
      <c r="I2448" t="s">
        <v>232</v>
      </c>
      <c r="J2448" t="s">
        <v>38</v>
      </c>
      <c r="K2448" t="s">
        <v>214</v>
      </c>
      <c r="L2448">
        <v>1</v>
      </c>
      <c r="M2448" s="28" t="s">
        <v>178</v>
      </c>
    </row>
    <row r="2449" spans="1:13" x14ac:dyDescent="0.2">
      <c r="A2449">
        <f t="shared" si="38"/>
        <v>2443</v>
      </c>
      <c r="B2449">
        <v>2025</v>
      </c>
      <c r="C2449" t="s">
        <v>191</v>
      </c>
      <c r="D2449" t="s">
        <v>1337</v>
      </c>
      <c r="E2449" s="65">
        <v>110</v>
      </c>
      <c r="F2449" s="33">
        <v>1</v>
      </c>
      <c r="G2449" t="s">
        <v>2323</v>
      </c>
      <c r="H2449" t="s">
        <v>154</v>
      </c>
      <c r="I2449" t="s">
        <v>194</v>
      </c>
      <c r="J2449" t="s">
        <v>42</v>
      </c>
      <c r="K2449" t="s">
        <v>195</v>
      </c>
      <c r="L2449">
        <v>0</v>
      </c>
    </row>
    <row r="2450" spans="1:13" x14ac:dyDescent="0.2">
      <c r="A2450">
        <f t="shared" si="38"/>
        <v>2444</v>
      </c>
      <c r="B2450">
        <v>2025</v>
      </c>
      <c r="C2450" t="s">
        <v>191</v>
      </c>
      <c r="D2450" t="s">
        <v>2329</v>
      </c>
      <c r="E2450" s="65">
        <v>100</v>
      </c>
      <c r="H2450" t="s">
        <v>144</v>
      </c>
      <c r="I2450" t="s">
        <v>299</v>
      </c>
      <c r="J2450" t="s">
        <v>5</v>
      </c>
      <c r="K2450" t="s">
        <v>214</v>
      </c>
      <c r="L2450">
        <v>1</v>
      </c>
    </row>
    <row r="2451" spans="1:13" x14ac:dyDescent="0.2">
      <c r="A2451">
        <f t="shared" si="38"/>
        <v>2445</v>
      </c>
      <c r="B2451">
        <v>2025</v>
      </c>
      <c r="C2451" t="s">
        <v>191</v>
      </c>
      <c r="D2451" t="s">
        <v>1061</v>
      </c>
      <c r="E2451" s="65">
        <v>310</v>
      </c>
      <c r="H2451" t="s">
        <v>154</v>
      </c>
      <c r="I2451" t="s">
        <v>194</v>
      </c>
      <c r="J2451" t="s">
        <v>51</v>
      </c>
      <c r="K2451" t="s">
        <v>195</v>
      </c>
      <c r="L2451">
        <v>1</v>
      </c>
      <c r="M2451" s="28" t="s">
        <v>178</v>
      </c>
    </row>
    <row r="2452" spans="1:13" x14ac:dyDescent="0.2">
      <c r="A2452">
        <f t="shared" si="38"/>
        <v>2446</v>
      </c>
      <c r="B2452">
        <v>2025</v>
      </c>
      <c r="C2452" t="s">
        <v>191</v>
      </c>
      <c r="D2452" t="s">
        <v>337</v>
      </c>
      <c r="E2452" s="65">
        <v>280</v>
      </c>
      <c r="H2452" t="s">
        <v>144</v>
      </c>
      <c r="I2452" t="s">
        <v>232</v>
      </c>
      <c r="J2452" t="s">
        <v>134</v>
      </c>
      <c r="K2452" t="s">
        <v>201</v>
      </c>
      <c r="L2452">
        <v>1</v>
      </c>
      <c r="M2452" s="28" t="s">
        <v>178</v>
      </c>
    </row>
    <row r="2453" spans="1:13" x14ac:dyDescent="0.2">
      <c r="A2453">
        <f t="shared" si="38"/>
        <v>2447</v>
      </c>
      <c r="B2453">
        <v>2025</v>
      </c>
      <c r="C2453" t="s">
        <v>191</v>
      </c>
      <c r="D2453" t="s">
        <v>444</v>
      </c>
      <c r="E2453" s="65">
        <v>140</v>
      </c>
      <c r="H2453" t="s">
        <v>144</v>
      </c>
      <c r="I2453" t="s">
        <v>232</v>
      </c>
      <c r="J2453" t="s">
        <v>134</v>
      </c>
      <c r="K2453" t="s">
        <v>201</v>
      </c>
      <c r="L2453">
        <v>1</v>
      </c>
      <c r="M2453" s="28" t="s">
        <v>178</v>
      </c>
    </row>
    <row r="2454" spans="1:13" x14ac:dyDescent="0.2">
      <c r="A2454">
        <f t="shared" si="38"/>
        <v>2448</v>
      </c>
      <c r="B2454">
        <v>2025</v>
      </c>
      <c r="C2454" t="s">
        <v>191</v>
      </c>
      <c r="D2454" t="s">
        <v>2335</v>
      </c>
      <c r="E2454" s="65">
        <v>120</v>
      </c>
      <c r="H2454" t="s">
        <v>151</v>
      </c>
      <c r="I2454" t="s">
        <v>279</v>
      </c>
      <c r="J2454" t="s">
        <v>139</v>
      </c>
      <c r="K2454" t="s">
        <v>219</v>
      </c>
      <c r="L2454">
        <v>1</v>
      </c>
      <c r="M2454" s="28" t="s">
        <v>178</v>
      </c>
    </row>
    <row r="2455" spans="1:13" x14ac:dyDescent="0.2">
      <c r="A2455">
        <f t="shared" si="38"/>
        <v>2449</v>
      </c>
      <c r="B2455">
        <v>2025</v>
      </c>
      <c r="C2455" t="s">
        <v>198</v>
      </c>
      <c r="D2455" t="s">
        <v>2336</v>
      </c>
      <c r="E2455" s="65">
        <v>100</v>
      </c>
      <c r="H2455" t="s">
        <v>154</v>
      </c>
      <c r="I2455" t="s">
        <v>194</v>
      </c>
      <c r="J2455" t="s">
        <v>114</v>
      </c>
      <c r="K2455" t="s">
        <v>195</v>
      </c>
      <c r="L2455">
        <v>0</v>
      </c>
      <c r="M2455" s="28" t="s">
        <v>178</v>
      </c>
    </row>
    <row r="2456" spans="1:13" x14ac:dyDescent="0.2">
      <c r="A2456">
        <f t="shared" si="38"/>
        <v>2450</v>
      </c>
      <c r="B2456">
        <v>2025</v>
      </c>
      <c r="C2456" t="s">
        <v>198</v>
      </c>
      <c r="D2456" t="s">
        <v>1344</v>
      </c>
      <c r="E2456" s="65">
        <v>190</v>
      </c>
      <c r="H2456" t="s">
        <v>150</v>
      </c>
      <c r="I2456" t="s">
        <v>556</v>
      </c>
      <c r="J2456" t="s">
        <v>19</v>
      </c>
      <c r="K2456" t="s">
        <v>205</v>
      </c>
      <c r="L2456">
        <v>0</v>
      </c>
    </row>
    <row r="2457" spans="1:13" x14ac:dyDescent="0.2">
      <c r="A2457">
        <f t="shared" si="38"/>
        <v>2451</v>
      </c>
      <c r="B2457">
        <v>2025</v>
      </c>
      <c r="C2457" t="s">
        <v>198</v>
      </c>
      <c r="D2457" t="s">
        <v>1604</v>
      </c>
      <c r="E2457" s="65">
        <v>280</v>
      </c>
      <c r="H2457" t="s">
        <v>144</v>
      </c>
      <c r="I2457" t="s">
        <v>232</v>
      </c>
      <c r="J2457" t="s">
        <v>105</v>
      </c>
      <c r="K2457" t="s">
        <v>214</v>
      </c>
      <c r="L2457">
        <v>1</v>
      </c>
      <c r="M2457" s="28" t="s">
        <v>178</v>
      </c>
    </row>
    <row r="2458" spans="1:13" x14ac:dyDescent="0.2">
      <c r="A2458">
        <f t="shared" si="38"/>
        <v>2452</v>
      </c>
      <c r="B2458">
        <v>2025</v>
      </c>
      <c r="C2458" t="s">
        <v>198</v>
      </c>
      <c r="D2458" t="s">
        <v>564</v>
      </c>
      <c r="E2458" s="65">
        <v>400</v>
      </c>
      <c r="H2458" t="s">
        <v>154</v>
      </c>
      <c r="I2458" t="s">
        <v>194</v>
      </c>
      <c r="J2458" t="s">
        <v>131</v>
      </c>
      <c r="K2458" t="s">
        <v>131</v>
      </c>
      <c r="L2458">
        <v>0</v>
      </c>
    </row>
    <row r="2459" spans="1:13" x14ac:dyDescent="0.2">
      <c r="A2459">
        <f t="shared" si="38"/>
        <v>2453</v>
      </c>
      <c r="B2459">
        <v>2025</v>
      </c>
      <c r="C2459" t="s">
        <v>198</v>
      </c>
      <c r="D2459" t="s">
        <v>1448</v>
      </c>
      <c r="E2459" s="65">
        <v>200</v>
      </c>
      <c r="H2459" t="s">
        <v>149</v>
      </c>
      <c r="J2459" t="s">
        <v>8</v>
      </c>
      <c r="K2459" t="s">
        <v>205</v>
      </c>
      <c r="L2459">
        <v>1</v>
      </c>
    </row>
    <row r="2460" spans="1:13" x14ac:dyDescent="0.2">
      <c r="A2460">
        <f t="shared" si="38"/>
        <v>2454</v>
      </c>
      <c r="B2460">
        <v>2025</v>
      </c>
      <c r="C2460" t="s">
        <v>202</v>
      </c>
      <c r="D2460" t="s">
        <v>2337</v>
      </c>
      <c r="E2460" s="65">
        <v>190</v>
      </c>
      <c r="H2460" t="s">
        <v>143</v>
      </c>
      <c r="J2460" t="s">
        <v>72</v>
      </c>
      <c r="K2460" t="s">
        <v>183</v>
      </c>
      <c r="L2460">
        <v>1</v>
      </c>
      <c r="M2460" s="28" t="s">
        <v>178</v>
      </c>
    </row>
    <row r="2461" spans="1:13" x14ac:dyDescent="0.2">
      <c r="A2461">
        <f t="shared" si="38"/>
        <v>2455</v>
      </c>
      <c r="B2461">
        <v>2025</v>
      </c>
      <c r="C2461" t="s">
        <v>202</v>
      </c>
      <c r="D2461" t="s">
        <v>2338</v>
      </c>
      <c r="E2461" s="65">
        <v>100</v>
      </c>
      <c r="F2461" s="33">
        <v>1</v>
      </c>
      <c r="G2461" t="s">
        <v>2339</v>
      </c>
      <c r="H2461" t="s">
        <v>150</v>
      </c>
      <c r="I2461" t="s">
        <v>556</v>
      </c>
      <c r="J2461" t="s">
        <v>20</v>
      </c>
      <c r="K2461" t="s">
        <v>195</v>
      </c>
      <c r="L2461">
        <v>0</v>
      </c>
    </row>
    <row r="2462" spans="1:13" x14ac:dyDescent="0.2">
      <c r="A2462">
        <f t="shared" si="38"/>
        <v>2456</v>
      </c>
      <c r="B2462">
        <v>2025</v>
      </c>
      <c r="C2462" t="s">
        <v>202</v>
      </c>
      <c r="D2462" t="s">
        <v>714</v>
      </c>
      <c r="E2462" s="65">
        <v>290</v>
      </c>
      <c r="F2462" s="33">
        <v>1</v>
      </c>
      <c r="H2462" t="s">
        <v>154</v>
      </c>
      <c r="I2462" t="s">
        <v>194</v>
      </c>
      <c r="J2462" t="s">
        <v>38</v>
      </c>
      <c r="K2462" t="s">
        <v>214</v>
      </c>
      <c r="L2462">
        <v>1</v>
      </c>
      <c r="M2462" s="28" t="s">
        <v>178</v>
      </c>
    </row>
    <row r="2463" spans="1:13" x14ac:dyDescent="0.2">
      <c r="A2463">
        <f t="shared" si="38"/>
        <v>2457</v>
      </c>
      <c r="B2463">
        <v>2025</v>
      </c>
      <c r="C2463" t="s">
        <v>202</v>
      </c>
      <c r="D2463" t="s">
        <v>185</v>
      </c>
      <c r="E2463" s="65">
        <v>3180</v>
      </c>
      <c r="F2463" s="33">
        <v>0.25</v>
      </c>
      <c r="G2463" t="s">
        <v>2340</v>
      </c>
      <c r="H2463" t="s">
        <v>144</v>
      </c>
      <c r="I2463" t="s">
        <v>187</v>
      </c>
      <c r="J2463" t="s">
        <v>50</v>
      </c>
      <c r="K2463" t="s">
        <v>205</v>
      </c>
      <c r="L2463">
        <v>1</v>
      </c>
    </row>
    <row r="2464" spans="1:13" x14ac:dyDescent="0.2">
      <c r="A2464">
        <f t="shared" si="38"/>
        <v>2458</v>
      </c>
      <c r="B2464">
        <v>2025</v>
      </c>
      <c r="C2464" t="s">
        <v>202</v>
      </c>
      <c r="D2464" t="s">
        <v>2341</v>
      </c>
      <c r="E2464" s="65">
        <v>160</v>
      </c>
      <c r="H2464" t="s">
        <v>150</v>
      </c>
      <c r="I2464" t="s">
        <v>556</v>
      </c>
      <c r="J2464" t="s">
        <v>53</v>
      </c>
      <c r="K2464" t="s">
        <v>183</v>
      </c>
      <c r="L2464">
        <v>1</v>
      </c>
      <c r="M2464" s="28" t="s">
        <v>178</v>
      </c>
    </row>
    <row r="2465" spans="1:13" x14ac:dyDescent="0.2">
      <c r="A2465">
        <f t="shared" si="38"/>
        <v>2459</v>
      </c>
      <c r="B2465">
        <v>2025</v>
      </c>
      <c r="C2465" t="s">
        <v>202</v>
      </c>
      <c r="D2465" t="s">
        <v>2342</v>
      </c>
      <c r="E2465" s="65">
        <v>170</v>
      </c>
      <c r="H2465" t="s">
        <v>152</v>
      </c>
      <c r="J2465" t="s">
        <v>124</v>
      </c>
      <c r="K2465" t="s">
        <v>183</v>
      </c>
      <c r="L2465">
        <v>1</v>
      </c>
      <c r="M2465" s="28" t="s">
        <v>178</v>
      </c>
    </row>
    <row r="2466" spans="1:13" x14ac:dyDescent="0.2">
      <c r="A2466">
        <f t="shared" si="38"/>
        <v>2460</v>
      </c>
      <c r="B2466">
        <v>2025</v>
      </c>
      <c r="C2466" t="s">
        <v>202</v>
      </c>
      <c r="D2466" t="s">
        <v>2047</v>
      </c>
      <c r="E2466" s="65">
        <v>1130</v>
      </c>
      <c r="H2466" t="s">
        <v>152</v>
      </c>
      <c r="I2466" t="s">
        <v>257</v>
      </c>
      <c r="J2466" t="s">
        <v>41</v>
      </c>
      <c r="K2466" t="s">
        <v>195</v>
      </c>
      <c r="L2466">
        <v>0</v>
      </c>
      <c r="M2466" s="28" t="s">
        <v>178</v>
      </c>
    </row>
    <row r="2467" spans="1:13" x14ac:dyDescent="0.2">
      <c r="A2467">
        <f t="shared" si="38"/>
        <v>2461</v>
      </c>
      <c r="B2467">
        <v>2025</v>
      </c>
      <c r="C2467" t="s">
        <v>207</v>
      </c>
      <c r="D2467" t="s">
        <v>1602</v>
      </c>
      <c r="E2467" s="65">
        <v>140</v>
      </c>
      <c r="F2467" s="33">
        <v>1</v>
      </c>
      <c r="H2467" t="s">
        <v>150</v>
      </c>
      <c r="I2467" t="s">
        <v>556</v>
      </c>
      <c r="J2467" t="s">
        <v>124</v>
      </c>
      <c r="K2467" t="s">
        <v>183</v>
      </c>
      <c r="L2467">
        <v>1</v>
      </c>
      <c r="M2467" s="28" t="s">
        <v>178</v>
      </c>
    </row>
    <row r="2468" spans="1:13" x14ac:dyDescent="0.2">
      <c r="A2468">
        <f t="shared" si="38"/>
        <v>2462</v>
      </c>
      <c r="B2468">
        <v>2025</v>
      </c>
      <c r="C2468" t="s">
        <v>207</v>
      </c>
      <c r="D2468" t="s">
        <v>2343</v>
      </c>
      <c r="E2468" s="65">
        <v>160</v>
      </c>
      <c r="H2468" t="s">
        <v>149</v>
      </c>
      <c r="I2468" t="s">
        <v>236</v>
      </c>
      <c r="J2468" t="s">
        <v>34</v>
      </c>
      <c r="K2468" t="s">
        <v>219</v>
      </c>
      <c r="L2468">
        <v>1</v>
      </c>
      <c r="M2468" s="28" t="s">
        <v>178</v>
      </c>
    </row>
    <row r="2469" spans="1:13" x14ac:dyDescent="0.2">
      <c r="A2469">
        <f t="shared" si="38"/>
        <v>2463</v>
      </c>
      <c r="B2469">
        <v>2025</v>
      </c>
      <c r="C2469" t="s">
        <v>207</v>
      </c>
      <c r="D2469" t="s">
        <v>449</v>
      </c>
      <c r="E2469" s="65">
        <v>640</v>
      </c>
      <c r="H2469" t="s">
        <v>154</v>
      </c>
      <c r="I2469" t="s">
        <v>529</v>
      </c>
      <c r="J2469" t="s">
        <v>123</v>
      </c>
      <c r="K2469" t="s">
        <v>219</v>
      </c>
      <c r="L2469">
        <v>1</v>
      </c>
      <c r="M2469" s="28" t="s">
        <v>178</v>
      </c>
    </row>
    <row r="2470" spans="1:13" x14ac:dyDescent="0.2">
      <c r="A2470">
        <f t="shared" si="38"/>
        <v>2464</v>
      </c>
      <c r="B2470">
        <v>2025</v>
      </c>
      <c r="C2470" t="s">
        <v>207</v>
      </c>
      <c r="D2470" t="s">
        <v>449</v>
      </c>
      <c r="E2470" s="65">
        <v>600</v>
      </c>
      <c r="H2470" t="s">
        <v>154</v>
      </c>
      <c r="I2470" t="s">
        <v>529</v>
      </c>
      <c r="J2470" t="s">
        <v>123</v>
      </c>
      <c r="K2470" t="s">
        <v>219</v>
      </c>
      <c r="L2470">
        <v>1</v>
      </c>
      <c r="M2470" s="28" t="s">
        <v>178</v>
      </c>
    </row>
    <row r="2471" spans="1:13" x14ac:dyDescent="0.2">
      <c r="A2471">
        <f t="shared" si="38"/>
        <v>2465</v>
      </c>
      <c r="B2471">
        <v>2025</v>
      </c>
      <c r="C2471" t="s">
        <v>207</v>
      </c>
      <c r="D2471" t="s">
        <v>2344</v>
      </c>
      <c r="E2471" s="65">
        <v>1080</v>
      </c>
      <c r="H2471" t="s">
        <v>149</v>
      </c>
      <c r="I2471" t="s">
        <v>236</v>
      </c>
      <c r="J2471" t="s">
        <v>34</v>
      </c>
      <c r="K2471" t="s">
        <v>219</v>
      </c>
      <c r="L2471">
        <v>1</v>
      </c>
    </row>
    <row r="2472" spans="1:13" x14ac:dyDescent="0.2">
      <c r="A2472">
        <f t="shared" si="38"/>
        <v>2466</v>
      </c>
      <c r="B2472">
        <v>2025</v>
      </c>
      <c r="C2472" t="s">
        <v>207</v>
      </c>
      <c r="D2472" t="s">
        <v>1843</v>
      </c>
      <c r="E2472" s="65">
        <v>190</v>
      </c>
      <c r="F2472" s="33">
        <v>1</v>
      </c>
      <c r="G2472" t="s">
        <v>2345</v>
      </c>
      <c r="H2472" t="s">
        <v>149</v>
      </c>
      <c r="J2472" t="s">
        <v>25</v>
      </c>
      <c r="K2472" t="s">
        <v>177</v>
      </c>
      <c r="L2472">
        <v>0</v>
      </c>
    </row>
    <row r="2473" spans="1:13" x14ac:dyDescent="0.2">
      <c r="A2473">
        <f t="shared" si="38"/>
        <v>2467</v>
      </c>
      <c r="B2473">
        <v>2025</v>
      </c>
      <c r="C2473" t="s">
        <v>207</v>
      </c>
      <c r="D2473" t="s">
        <v>1347</v>
      </c>
      <c r="E2473" s="65">
        <v>630</v>
      </c>
      <c r="H2473" t="s">
        <v>144</v>
      </c>
      <c r="I2473" t="s">
        <v>187</v>
      </c>
      <c r="J2473" t="s">
        <v>40</v>
      </c>
      <c r="K2473" t="s">
        <v>219</v>
      </c>
      <c r="L2473">
        <v>1</v>
      </c>
      <c r="M2473" s="28" t="s">
        <v>178</v>
      </c>
    </row>
    <row r="2474" spans="1:13" x14ac:dyDescent="0.2">
      <c r="A2474">
        <f t="shared" si="38"/>
        <v>2468</v>
      </c>
      <c r="B2474">
        <v>2025</v>
      </c>
      <c r="C2474" t="s">
        <v>207</v>
      </c>
      <c r="D2474" t="s">
        <v>1057</v>
      </c>
      <c r="E2474" s="65">
        <v>310</v>
      </c>
      <c r="F2474" s="33">
        <v>1</v>
      </c>
      <c r="G2474" t="s">
        <v>2346</v>
      </c>
      <c r="H2474" t="s">
        <v>144</v>
      </c>
      <c r="I2474" t="s">
        <v>232</v>
      </c>
      <c r="J2474" t="s">
        <v>9</v>
      </c>
      <c r="K2474" t="s">
        <v>9</v>
      </c>
      <c r="L2474">
        <v>0</v>
      </c>
      <c r="M2474" s="28" t="s">
        <v>178</v>
      </c>
    </row>
    <row r="2475" spans="1:13" x14ac:dyDescent="0.2">
      <c r="A2475">
        <f t="shared" si="38"/>
        <v>2469</v>
      </c>
      <c r="B2475">
        <v>2025</v>
      </c>
      <c r="C2475" t="s">
        <v>207</v>
      </c>
      <c r="D2475" t="s">
        <v>479</v>
      </c>
      <c r="E2475" s="65">
        <v>470</v>
      </c>
      <c r="F2475" s="33">
        <v>0.55000000000000004</v>
      </c>
      <c r="H2475" t="s">
        <v>154</v>
      </c>
      <c r="I2475" t="s">
        <v>194</v>
      </c>
      <c r="J2475" t="s">
        <v>64</v>
      </c>
      <c r="K2475" t="s">
        <v>219</v>
      </c>
      <c r="L2475">
        <v>1</v>
      </c>
      <c r="M2475" s="28" t="s">
        <v>178</v>
      </c>
    </row>
    <row r="2476" spans="1:13" x14ac:dyDescent="0.2">
      <c r="A2476">
        <f t="shared" si="38"/>
        <v>2470</v>
      </c>
      <c r="B2476">
        <v>2025</v>
      </c>
      <c r="C2476" t="s">
        <v>207</v>
      </c>
      <c r="D2476" t="s">
        <v>2253</v>
      </c>
      <c r="E2476" s="65">
        <v>200</v>
      </c>
      <c r="H2476" t="s">
        <v>150</v>
      </c>
      <c r="I2476" t="s">
        <v>556</v>
      </c>
      <c r="J2476" t="s">
        <v>19</v>
      </c>
      <c r="K2476" t="s">
        <v>205</v>
      </c>
      <c r="L2476">
        <v>0</v>
      </c>
      <c r="M2476" s="28" t="s">
        <v>178</v>
      </c>
    </row>
    <row r="2477" spans="1:13" x14ac:dyDescent="0.2">
      <c r="A2477">
        <f t="shared" si="38"/>
        <v>2471</v>
      </c>
      <c r="B2477">
        <v>2025</v>
      </c>
      <c r="C2477" t="s">
        <v>207</v>
      </c>
      <c r="D2477" t="s">
        <v>2347</v>
      </c>
      <c r="E2477" s="65">
        <v>150</v>
      </c>
      <c r="G2477" t="s">
        <v>2348</v>
      </c>
      <c r="H2477" t="s">
        <v>144</v>
      </c>
      <c r="I2477" t="s">
        <v>232</v>
      </c>
      <c r="J2477" t="s">
        <v>34</v>
      </c>
      <c r="K2477" t="s">
        <v>219</v>
      </c>
      <c r="L2477">
        <v>1</v>
      </c>
      <c r="M2477" s="28" t="s">
        <v>178</v>
      </c>
    </row>
    <row r="2478" spans="1:13" x14ac:dyDescent="0.2">
      <c r="A2478">
        <f t="shared" si="38"/>
        <v>2472</v>
      </c>
      <c r="B2478">
        <v>2025</v>
      </c>
      <c r="C2478" t="s">
        <v>207</v>
      </c>
      <c r="D2478" t="s">
        <v>2250</v>
      </c>
      <c r="E2478" s="65">
        <v>290</v>
      </c>
      <c r="H2478" t="s">
        <v>151</v>
      </c>
      <c r="I2478" t="s">
        <v>224</v>
      </c>
      <c r="J2478" t="s">
        <v>108</v>
      </c>
      <c r="K2478" t="s">
        <v>183</v>
      </c>
      <c r="L2478">
        <v>1</v>
      </c>
    </row>
    <row r="2479" spans="1:13" x14ac:dyDescent="0.2">
      <c r="A2479">
        <f t="shared" si="38"/>
        <v>2473</v>
      </c>
      <c r="B2479">
        <v>2025</v>
      </c>
      <c r="C2479" t="s">
        <v>207</v>
      </c>
      <c r="D2479" t="s">
        <v>2349</v>
      </c>
      <c r="E2479" s="65">
        <v>1920</v>
      </c>
      <c r="H2479" t="s">
        <v>152</v>
      </c>
      <c r="J2479" t="s">
        <v>72</v>
      </c>
      <c r="K2479" t="s">
        <v>183</v>
      </c>
      <c r="L2479">
        <v>1</v>
      </c>
      <c r="M2479" s="28" t="s">
        <v>178</v>
      </c>
    </row>
    <row r="2480" spans="1:13" x14ac:dyDescent="0.2">
      <c r="A2480">
        <f t="shared" si="38"/>
        <v>2474</v>
      </c>
      <c r="B2480">
        <v>2025</v>
      </c>
      <c r="C2480" t="s">
        <v>207</v>
      </c>
      <c r="D2480" t="s">
        <v>559</v>
      </c>
      <c r="E2480" s="65">
        <v>320</v>
      </c>
      <c r="F2480" s="33">
        <v>0.8</v>
      </c>
      <c r="H2480" t="s">
        <v>144</v>
      </c>
      <c r="I2480" t="s">
        <v>197</v>
      </c>
      <c r="J2480" t="s">
        <v>34</v>
      </c>
      <c r="K2480" t="s">
        <v>219</v>
      </c>
      <c r="L2480">
        <v>1</v>
      </c>
      <c r="M2480" s="28" t="s">
        <v>178</v>
      </c>
    </row>
    <row r="2481" spans="1:13" x14ac:dyDescent="0.2">
      <c r="A2481">
        <f t="shared" si="38"/>
        <v>2475</v>
      </c>
      <c r="B2481">
        <v>2025</v>
      </c>
      <c r="C2481" t="s">
        <v>207</v>
      </c>
      <c r="D2481" t="s">
        <v>2135</v>
      </c>
      <c r="E2481" s="65">
        <v>150</v>
      </c>
      <c r="H2481" t="s">
        <v>154</v>
      </c>
      <c r="I2481" t="s">
        <v>194</v>
      </c>
      <c r="J2481" t="s">
        <v>124</v>
      </c>
      <c r="K2481" t="s">
        <v>183</v>
      </c>
      <c r="L2481">
        <v>1</v>
      </c>
    </row>
    <row r="2482" spans="1:13" x14ac:dyDescent="0.2">
      <c r="A2482">
        <f t="shared" si="38"/>
        <v>2476</v>
      </c>
      <c r="B2482">
        <v>2025</v>
      </c>
      <c r="C2482" t="s">
        <v>240</v>
      </c>
      <c r="D2482" t="s">
        <v>2096</v>
      </c>
      <c r="E2482" s="65">
        <v>370</v>
      </c>
      <c r="H2482" t="s">
        <v>154</v>
      </c>
      <c r="I2482" t="s">
        <v>194</v>
      </c>
      <c r="J2482" t="s">
        <v>131</v>
      </c>
      <c r="K2482" t="s">
        <v>131</v>
      </c>
      <c r="L2482">
        <v>0</v>
      </c>
    </row>
    <row r="2483" spans="1:13" x14ac:dyDescent="0.2">
      <c r="A2483">
        <f t="shared" si="38"/>
        <v>2477</v>
      </c>
      <c r="B2483">
        <v>2025</v>
      </c>
      <c r="C2483" t="s">
        <v>240</v>
      </c>
      <c r="D2483" t="s">
        <v>244</v>
      </c>
      <c r="E2483" s="65">
        <v>680</v>
      </c>
      <c r="H2483" t="s">
        <v>149</v>
      </c>
      <c r="I2483" t="s">
        <v>236</v>
      </c>
      <c r="J2483" t="s">
        <v>138</v>
      </c>
      <c r="K2483" t="s">
        <v>219</v>
      </c>
      <c r="L2483">
        <v>1</v>
      </c>
    </row>
    <row r="2484" spans="1:13" x14ac:dyDescent="0.2">
      <c r="A2484">
        <f t="shared" si="38"/>
        <v>2478</v>
      </c>
      <c r="B2484">
        <v>2025</v>
      </c>
      <c r="C2484" t="s">
        <v>240</v>
      </c>
      <c r="D2484" t="s">
        <v>2350</v>
      </c>
      <c r="E2484" s="65">
        <v>270</v>
      </c>
      <c r="H2484" t="s">
        <v>143</v>
      </c>
      <c r="J2484" t="s">
        <v>38</v>
      </c>
      <c r="K2484" t="s">
        <v>214</v>
      </c>
      <c r="L2484">
        <v>1</v>
      </c>
      <c r="M2484" s="28" t="s">
        <v>178</v>
      </c>
    </row>
    <row r="2485" spans="1:13" x14ac:dyDescent="0.2">
      <c r="A2485">
        <f t="shared" si="38"/>
        <v>2479</v>
      </c>
      <c r="B2485">
        <v>2025</v>
      </c>
      <c r="C2485" t="s">
        <v>240</v>
      </c>
      <c r="D2485" t="s">
        <v>307</v>
      </c>
      <c r="E2485" s="65">
        <v>210</v>
      </c>
      <c r="H2485" t="s">
        <v>155</v>
      </c>
      <c r="J2485" t="s">
        <v>19</v>
      </c>
      <c r="K2485" t="s">
        <v>205</v>
      </c>
      <c r="L2485">
        <v>0</v>
      </c>
    </row>
    <row r="2486" spans="1:13" x14ac:dyDescent="0.2">
      <c r="A2486">
        <f t="shared" si="38"/>
        <v>2480</v>
      </c>
      <c r="B2486">
        <v>2025</v>
      </c>
      <c r="C2486" t="s">
        <v>240</v>
      </c>
      <c r="D2486" t="s">
        <v>2351</v>
      </c>
      <c r="E2486" s="65">
        <v>100</v>
      </c>
      <c r="H2486" t="s">
        <v>142</v>
      </c>
      <c r="J2486" t="s">
        <v>53</v>
      </c>
      <c r="K2486" t="s">
        <v>183</v>
      </c>
      <c r="L2486">
        <v>1</v>
      </c>
      <c r="M2486" s="28" t="s">
        <v>178</v>
      </c>
    </row>
    <row r="2487" spans="1:13" x14ac:dyDescent="0.2">
      <c r="A2487">
        <f t="shared" si="38"/>
        <v>2481</v>
      </c>
      <c r="B2487">
        <v>2025</v>
      </c>
      <c r="C2487" t="s">
        <v>240</v>
      </c>
      <c r="D2487" t="s">
        <v>875</v>
      </c>
      <c r="E2487" s="65">
        <v>150</v>
      </c>
      <c r="G2487" t="s">
        <v>2352</v>
      </c>
      <c r="H2487" t="s">
        <v>144</v>
      </c>
      <c r="I2487" t="s">
        <v>232</v>
      </c>
      <c r="J2487" t="s">
        <v>63</v>
      </c>
      <c r="K2487" t="s">
        <v>201</v>
      </c>
      <c r="L2487">
        <v>1</v>
      </c>
      <c r="M2487" s="28" t="s">
        <v>178</v>
      </c>
    </row>
    <row r="2488" spans="1:13" x14ac:dyDescent="0.2">
      <c r="A2488">
        <f t="shared" si="38"/>
        <v>2482</v>
      </c>
      <c r="B2488">
        <v>2025</v>
      </c>
      <c r="C2488" t="s">
        <v>240</v>
      </c>
      <c r="D2488" t="s">
        <v>2353</v>
      </c>
      <c r="E2488" s="65">
        <v>330</v>
      </c>
      <c r="H2488" t="s">
        <v>142</v>
      </c>
      <c r="J2488" t="s">
        <v>64</v>
      </c>
      <c r="K2488" t="s">
        <v>219</v>
      </c>
      <c r="L2488">
        <v>1</v>
      </c>
      <c r="M2488" s="28" t="s">
        <v>178</v>
      </c>
    </row>
    <row r="2489" spans="1:13" x14ac:dyDescent="0.2">
      <c r="A2489">
        <f t="shared" si="38"/>
        <v>2483</v>
      </c>
      <c r="B2489">
        <v>2025</v>
      </c>
      <c r="C2489" t="s">
        <v>240</v>
      </c>
      <c r="D2489" t="s">
        <v>1772</v>
      </c>
      <c r="E2489" s="65">
        <v>1940</v>
      </c>
      <c r="G2489" t="s">
        <v>2354</v>
      </c>
      <c r="H2489" t="s">
        <v>154</v>
      </c>
      <c r="I2489" t="s">
        <v>194</v>
      </c>
      <c r="J2489" t="s">
        <v>114</v>
      </c>
      <c r="K2489" t="s">
        <v>195</v>
      </c>
      <c r="L2489">
        <v>0</v>
      </c>
      <c r="M2489" s="28" t="s">
        <v>178</v>
      </c>
    </row>
    <row r="2490" spans="1:13" x14ac:dyDescent="0.2">
      <c r="A2490">
        <f t="shared" si="38"/>
        <v>2484</v>
      </c>
      <c r="B2490">
        <v>2025</v>
      </c>
      <c r="C2490" t="s">
        <v>240</v>
      </c>
      <c r="D2490" t="s">
        <v>1818</v>
      </c>
      <c r="E2490" s="65">
        <v>300</v>
      </c>
      <c r="H2490" t="s">
        <v>154</v>
      </c>
      <c r="I2490" t="s">
        <v>194</v>
      </c>
      <c r="J2490" t="s">
        <v>72</v>
      </c>
      <c r="K2490" t="s">
        <v>183</v>
      </c>
      <c r="L2490">
        <v>1</v>
      </c>
      <c r="M2490" s="28" t="s">
        <v>178</v>
      </c>
    </row>
    <row r="2491" spans="1:13" x14ac:dyDescent="0.2">
      <c r="A2491">
        <f t="shared" si="38"/>
        <v>2485</v>
      </c>
      <c r="B2491">
        <v>2025</v>
      </c>
      <c r="C2491" t="s">
        <v>240</v>
      </c>
      <c r="D2491" t="s">
        <v>2355</v>
      </c>
      <c r="E2491" s="65">
        <v>150</v>
      </c>
      <c r="H2491" t="s">
        <v>150</v>
      </c>
      <c r="I2491" t="s">
        <v>292</v>
      </c>
      <c r="J2491" t="s">
        <v>80</v>
      </c>
      <c r="K2491" t="s">
        <v>214</v>
      </c>
      <c r="L2491">
        <v>1</v>
      </c>
      <c r="M2491" s="28" t="s">
        <v>178</v>
      </c>
    </row>
    <row r="2492" spans="1:13" x14ac:dyDescent="0.2">
      <c r="A2492">
        <f t="shared" si="38"/>
        <v>2486</v>
      </c>
      <c r="B2492">
        <v>2025</v>
      </c>
      <c r="C2492" t="s">
        <v>240</v>
      </c>
      <c r="D2492" t="s">
        <v>1829</v>
      </c>
      <c r="E2492" s="65">
        <v>210</v>
      </c>
      <c r="G2492" t="s">
        <v>2356</v>
      </c>
      <c r="H2492" t="s">
        <v>151</v>
      </c>
      <c r="I2492" t="s">
        <v>224</v>
      </c>
      <c r="J2492" t="s">
        <v>9</v>
      </c>
      <c r="K2492" t="s">
        <v>9</v>
      </c>
      <c r="L2492">
        <v>0</v>
      </c>
    </row>
    <row r="2493" spans="1:13" x14ac:dyDescent="0.2">
      <c r="A2493">
        <f t="shared" si="38"/>
        <v>2487</v>
      </c>
      <c r="B2493">
        <v>2025</v>
      </c>
      <c r="C2493" t="s">
        <v>212</v>
      </c>
      <c r="D2493" t="s">
        <v>2357</v>
      </c>
      <c r="E2493" s="65">
        <v>260</v>
      </c>
      <c r="F2493" s="33">
        <v>1</v>
      </c>
      <c r="G2493" t="s">
        <v>2358</v>
      </c>
      <c r="H2493" t="s">
        <v>150</v>
      </c>
      <c r="I2493" t="s">
        <v>556</v>
      </c>
      <c r="J2493" t="s">
        <v>131</v>
      </c>
      <c r="K2493" t="s">
        <v>131</v>
      </c>
      <c r="L2493">
        <v>0</v>
      </c>
    </row>
    <row r="2494" spans="1:13" x14ac:dyDescent="0.2">
      <c r="A2494">
        <f t="shared" si="38"/>
        <v>2488</v>
      </c>
      <c r="B2494">
        <v>2025</v>
      </c>
      <c r="C2494" t="s">
        <v>212</v>
      </c>
      <c r="D2494" t="s">
        <v>2359</v>
      </c>
      <c r="E2494" s="65">
        <v>1560</v>
      </c>
      <c r="G2494" t="s">
        <v>2360</v>
      </c>
      <c r="H2494" t="s">
        <v>150</v>
      </c>
      <c r="I2494" t="s">
        <v>292</v>
      </c>
      <c r="J2494" t="s">
        <v>58</v>
      </c>
      <c r="K2494" t="s">
        <v>195</v>
      </c>
      <c r="L2494">
        <v>0</v>
      </c>
    </row>
    <row r="2495" spans="1:13" x14ac:dyDescent="0.2">
      <c r="A2495">
        <f t="shared" si="38"/>
        <v>2489</v>
      </c>
      <c r="B2495">
        <v>2025</v>
      </c>
      <c r="C2495" t="s">
        <v>212</v>
      </c>
      <c r="D2495" t="s">
        <v>2361</v>
      </c>
      <c r="E2495" s="65">
        <v>180</v>
      </c>
      <c r="F2495" s="33">
        <v>0.8</v>
      </c>
      <c r="G2495" t="s">
        <v>2362</v>
      </c>
      <c r="H2495" t="s">
        <v>149</v>
      </c>
      <c r="J2495" t="s">
        <v>8</v>
      </c>
      <c r="K2495" t="s">
        <v>205</v>
      </c>
      <c r="L2495">
        <v>1</v>
      </c>
    </row>
    <row r="2496" spans="1:13" x14ac:dyDescent="0.2">
      <c r="A2496">
        <f t="shared" si="38"/>
        <v>2490</v>
      </c>
      <c r="B2496">
        <v>2025</v>
      </c>
      <c r="C2496" t="s">
        <v>212</v>
      </c>
      <c r="D2496" t="s">
        <v>2306</v>
      </c>
      <c r="E2496" s="65">
        <v>900</v>
      </c>
      <c r="G2496" t="s">
        <v>2363</v>
      </c>
      <c r="H2496" t="s">
        <v>149</v>
      </c>
      <c r="J2496" t="s">
        <v>19</v>
      </c>
      <c r="K2496" t="s">
        <v>205</v>
      </c>
      <c r="L2496">
        <v>0</v>
      </c>
    </row>
    <row r="2497" spans="1:13" x14ac:dyDescent="0.2">
      <c r="A2497">
        <f t="shared" si="38"/>
        <v>2491</v>
      </c>
      <c r="B2497">
        <v>2025</v>
      </c>
      <c r="C2497" t="s">
        <v>212</v>
      </c>
      <c r="D2497" t="s">
        <v>2364</v>
      </c>
      <c r="E2497" s="65">
        <v>240</v>
      </c>
      <c r="F2497" s="33">
        <v>0.5</v>
      </c>
      <c r="H2497" t="s">
        <v>149</v>
      </c>
      <c r="J2497" t="s">
        <v>95</v>
      </c>
      <c r="K2497" t="s">
        <v>183</v>
      </c>
      <c r="L2497">
        <v>1</v>
      </c>
    </row>
    <row r="2498" spans="1:13" x14ac:dyDescent="0.2">
      <c r="A2498">
        <f t="shared" si="38"/>
        <v>2492</v>
      </c>
      <c r="B2498">
        <v>2025</v>
      </c>
      <c r="C2498" t="s">
        <v>212</v>
      </c>
      <c r="D2498" t="s">
        <v>244</v>
      </c>
      <c r="E2498" s="65">
        <v>110</v>
      </c>
      <c r="F2498" s="33">
        <v>1</v>
      </c>
      <c r="H2498" t="s">
        <v>149</v>
      </c>
      <c r="J2498" t="s">
        <v>96</v>
      </c>
      <c r="K2498" t="s">
        <v>205</v>
      </c>
      <c r="L2498">
        <v>1</v>
      </c>
    </row>
    <row r="2499" spans="1:13" x14ac:dyDescent="0.2">
      <c r="A2499">
        <f t="shared" si="38"/>
        <v>2493</v>
      </c>
      <c r="B2499">
        <v>2025</v>
      </c>
      <c r="C2499" t="s">
        <v>212</v>
      </c>
      <c r="D2499" t="s">
        <v>244</v>
      </c>
      <c r="E2499" s="65">
        <v>110</v>
      </c>
      <c r="F2499" s="33">
        <v>0.7</v>
      </c>
      <c r="G2499" t="s">
        <v>2365</v>
      </c>
      <c r="H2499" t="s">
        <v>149</v>
      </c>
      <c r="I2499" t="s">
        <v>236</v>
      </c>
      <c r="J2499" t="s">
        <v>63</v>
      </c>
      <c r="K2499" t="s">
        <v>201</v>
      </c>
      <c r="L2499">
        <v>1</v>
      </c>
    </row>
    <row r="2500" spans="1:13" x14ac:dyDescent="0.2">
      <c r="A2500">
        <f t="shared" si="38"/>
        <v>2494</v>
      </c>
      <c r="B2500">
        <v>2025</v>
      </c>
      <c r="C2500" t="s">
        <v>212</v>
      </c>
      <c r="D2500" t="s">
        <v>1520</v>
      </c>
      <c r="E2500" s="65">
        <v>1890</v>
      </c>
      <c r="F2500" s="33">
        <v>0.75</v>
      </c>
      <c r="G2500" t="s">
        <v>2366</v>
      </c>
      <c r="H2500" t="s">
        <v>150</v>
      </c>
      <c r="I2500" t="s">
        <v>556</v>
      </c>
      <c r="J2500" t="s">
        <v>45</v>
      </c>
      <c r="K2500" t="s">
        <v>195</v>
      </c>
      <c r="L2500">
        <v>0</v>
      </c>
    </row>
    <row r="2501" spans="1:13" x14ac:dyDescent="0.2">
      <c r="A2501">
        <f t="shared" si="38"/>
        <v>2495</v>
      </c>
      <c r="B2501">
        <v>2025</v>
      </c>
      <c r="C2501" t="s">
        <v>212</v>
      </c>
      <c r="D2501" t="s">
        <v>307</v>
      </c>
      <c r="E2501" s="65">
        <v>1310</v>
      </c>
      <c r="H2501" t="s">
        <v>144</v>
      </c>
      <c r="J2501" t="s">
        <v>19</v>
      </c>
      <c r="K2501" t="s">
        <v>205</v>
      </c>
      <c r="L2501">
        <v>0</v>
      </c>
    </row>
    <row r="2502" spans="1:13" x14ac:dyDescent="0.2">
      <c r="A2502">
        <f t="shared" si="38"/>
        <v>2496</v>
      </c>
      <c r="B2502">
        <v>2025</v>
      </c>
      <c r="C2502" t="s">
        <v>212</v>
      </c>
      <c r="D2502" t="s">
        <v>875</v>
      </c>
      <c r="E2502" s="65">
        <v>260</v>
      </c>
      <c r="H2502" t="s">
        <v>144</v>
      </c>
      <c r="I2502" t="s">
        <v>232</v>
      </c>
      <c r="J2502" t="s">
        <v>134</v>
      </c>
      <c r="K2502" t="s">
        <v>201</v>
      </c>
      <c r="L2502">
        <v>1</v>
      </c>
    </row>
    <row r="2503" spans="1:13" x14ac:dyDescent="0.2">
      <c r="A2503">
        <f t="shared" si="38"/>
        <v>2497</v>
      </c>
      <c r="B2503">
        <v>2025</v>
      </c>
      <c r="C2503" t="s">
        <v>212</v>
      </c>
      <c r="D2503" t="s">
        <v>2367</v>
      </c>
      <c r="E2503" s="65">
        <v>100</v>
      </c>
      <c r="H2503" t="s">
        <v>144</v>
      </c>
      <c r="I2503" t="s">
        <v>232</v>
      </c>
      <c r="J2503" t="s">
        <v>124</v>
      </c>
      <c r="K2503" t="s">
        <v>183</v>
      </c>
      <c r="L2503">
        <v>1</v>
      </c>
      <c r="M2503" s="28" t="s">
        <v>178</v>
      </c>
    </row>
    <row r="2504" spans="1:13" x14ac:dyDescent="0.2">
      <c r="A2504">
        <f t="shared" si="38"/>
        <v>2498</v>
      </c>
      <c r="B2504">
        <v>2025</v>
      </c>
      <c r="C2504" t="s">
        <v>212</v>
      </c>
      <c r="D2504" t="s">
        <v>307</v>
      </c>
      <c r="E2504" s="65">
        <v>180</v>
      </c>
      <c r="H2504" t="s">
        <v>144</v>
      </c>
      <c r="J2504" t="s">
        <v>19</v>
      </c>
      <c r="K2504" t="s">
        <v>205</v>
      </c>
      <c r="L2504">
        <v>0</v>
      </c>
    </row>
    <row r="2505" spans="1:13" x14ac:dyDescent="0.2">
      <c r="A2505">
        <f t="shared" si="38"/>
        <v>2499</v>
      </c>
      <c r="B2505">
        <v>2025</v>
      </c>
      <c r="C2505" t="s">
        <v>212</v>
      </c>
      <c r="D2505" t="s">
        <v>1990</v>
      </c>
      <c r="E2505" s="65">
        <v>140</v>
      </c>
      <c r="H2505" t="s">
        <v>144</v>
      </c>
      <c r="I2505" t="s">
        <v>232</v>
      </c>
      <c r="J2505" t="s">
        <v>131</v>
      </c>
      <c r="K2505" t="s">
        <v>131</v>
      </c>
      <c r="L2505">
        <v>0</v>
      </c>
      <c r="M2505" s="28" t="s">
        <v>178</v>
      </c>
    </row>
    <row r="2506" spans="1:13" x14ac:dyDescent="0.2">
      <c r="A2506">
        <f t="shared" si="38"/>
        <v>2500</v>
      </c>
      <c r="B2506">
        <v>2025</v>
      </c>
      <c r="C2506" t="s">
        <v>212</v>
      </c>
      <c r="D2506" t="s">
        <v>267</v>
      </c>
      <c r="E2506" s="65">
        <v>1300</v>
      </c>
      <c r="H2506" t="s">
        <v>149</v>
      </c>
      <c r="I2506" t="s">
        <v>182</v>
      </c>
      <c r="J2506" t="s">
        <v>48</v>
      </c>
      <c r="K2506" t="s">
        <v>219</v>
      </c>
      <c r="L2506">
        <v>1</v>
      </c>
    </row>
  </sheetData>
  <autoFilter ref="A6:M2561" xr:uid="{00000000-0009-0000-0000-000000000000}">
    <sortState xmlns:xlrd2="http://schemas.microsoft.com/office/spreadsheetml/2017/richdata2" ref="A7:M2561">
      <sortCondition ref="B7:B2561"/>
      <sortCondition ref="C7:C2561" customList="January,February,March,April,May,June,July,August,September,October,November,December"/>
    </sortState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Y2501"/>
  <sheetViews>
    <sheetView zoomScaleNormal="100" workbookViewId="0">
      <pane ySplit="6" topLeftCell="A651" activePane="bottomLeft" state="frozen"/>
      <selection pane="bottomLeft" activeCell="E651" sqref="E651"/>
    </sheetView>
  </sheetViews>
  <sheetFormatPr baseColWidth="10" defaultColWidth="9.1640625" defaultRowHeight="15" x14ac:dyDescent="0.2"/>
  <cols>
    <col min="1" max="1" width="9.1640625" customWidth="1"/>
    <col min="2" max="2" width="9.1640625" style="54" customWidth="1"/>
    <col min="3" max="3" width="11.5" customWidth="1"/>
    <col min="4" max="4" width="65.83203125" customWidth="1"/>
    <col min="5" max="5" width="13.5" style="22" bestFit="1" customWidth="1"/>
    <col min="6" max="6" width="11.5" style="16" customWidth="1"/>
    <col min="7" max="7" width="22" customWidth="1"/>
    <col min="8" max="8" width="14" customWidth="1"/>
    <col min="9" max="9" width="13" customWidth="1"/>
    <col min="10" max="10" width="15.1640625" customWidth="1"/>
    <col min="11" max="11" width="34.5" customWidth="1"/>
    <col min="12" max="12" width="8.5" customWidth="1"/>
    <col min="14" max="14" width="10.83203125" customWidth="1"/>
    <col min="15" max="15" width="11.5" style="26" bestFit="1" customWidth="1"/>
  </cols>
  <sheetData>
    <row r="1" spans="1:25" s="2" customFormat="1" ht="12.75" customHeight="1" x14ac:dyDescent="0.15">
      <c r="B1" s="11" t="s">
        <v>157</v>
      </c>
      <c r="C1" s="1"/>
      <c r="D1" s="49"/>
      <c r="E1" s="48"/>
      <c r="F1" s="13"/>
      <c r="N1" s="1"/>
      <c r="O1" s="19"/>
      <c r="P1" s="1"/>
      <c r="Q1" s="1"/>
    </row>
    <row r="2" spans="1:25" s="2" customFormat="1" ht="12.75" customHeight="1" x14ac:dyDescent="0.15">
      <c r="B2" s="11" t="s">
        <v>158</v>
      </c>
      <c r="C2" s="1"/>
      <c r="D2" s="49"/>
      <c r="E2" s="48"/>
      <c r="F2" s="13"/>
      <c r="M2" s="1"/>
      <c r="N2" s="5"/>
      <c r="O2" s="20"/>
      <c r="P2" s="5"/>
      <c r="Q2" s="5"/>
    </row>
    <row r="3" spans="1:25" s="2" customFormat="1" ht="12.75" customHeight="1" x14ac:dyDescent="0.15">
      <c r="B3" s="60"/>
      <c r="D3" s="61"/>
      <c r="E3" s="48"/>
      <c r="F3" s="13"/>
      <c r="J3" s="8"/>
      <c r="N3" s="5"/>
      <c r="O3" s="20"/>
      <c r="P3" s="5"/>
      <c r="Q3" s="5"/>
      <c r="R3" s="53"/>
    </row>
    <row r="4" spans="1:25" s="2" customFormat="1" ht="12.75" customHeight="1" x14ac:dyDescent="0.15">
      <c r="B4" s="11" t="s">
        <v>2368</v>
      </c>
      <c r="D4" s="61"/>
      <c r="E4" s="48"/>
      <c r="F4" s="13"/>
      <c r="M4" s="5"/>
      <c r="N4" s="5"/>
      <c r="O4" s="20"/>
      <c r="P4" s="5"/>
      <c r="Q4" s="5"/>
      <c r="R4" s="53"/>
    </row>
    <row r="5" spans="1:25" s="2" customFormat="1" ht="12.75" customHeight="1" x14ac:dyDescent="0.15">
      <c r="B5" s="11"/>
      <c r="C5" s="1"/>
      <c r="D5" s="49"/>
      <c r="E5" s="48"/>
      <c r="F5" s="14"/>
      <c r="G5" s="1"/>
      <c r="H5" s="1"/>
      <c r="I5" s="1"/>
      <c r="J5" s="1"/>
      <c r="N5" s="5"/>
      <c r="O5" s="20"/>
      <c r="P5" s="5"/>
      <c r="Q5" s="5"/>
      <c r="R5" s="53"/>
    </row>
    <row r="6" spans="1:25" s="4" customFormat="1" ht="25.5" customHeight="1" x14ac:dyDescent="0.15">
      <c r="B6" s="71" t="s">
        <v>160</v>
      </c>
      <c r="C6" s="3" t="s">
        <v>161</v>
      </c>
      <c r="D6" s="12" t="s">
        <v>2369</v>
      </c>
      <c r="E6" s="23" t="s">
        <v>163</v>
      </c>
      <c r="F6" s="15" t="s">
        <v>164</v>
      </c>
      <c r="G6" s="1" t="s">
        <v>165</v>
      </c>
      <c r="H6" s="3" t="s">
        <v>166</v>
      </c>
      <c r="I6" s="3" t="s">
        <v>167</v>
      </c>
      <c r="J6" s="3" t="s">
        <v>168</v>
      </c>
      <c r="K6" s="3" t="s">
        <v>169</v>
      </c>
      <c r="L6" s="3" t="s">
        <v>170</v>
      </c>
      <c r="M6" s="3"/>
      <c r="N6" s="1"/>
      <c r="O6" s="19"/>
      <c r="P6" s="1"/>
      <c r="Q6" s="1"/>
      <c r="R6" s="3"/>
      <c r="S6" s="3"/>
      <c r="T6" s="3"/>
      <c r="U6" s="3"/>
      <c r="V6" s="3"/>
      <c r="W6" s="3"/>
      <c r="X6" s="3"/>
      <c r="Y6" s="3"/>
    </row>
    <row r="7" spans="1:25" ht="14.5" hidden="1" customHeight="1" x14ac:dyDescent="0.2">
      <c r="A7">
        <f t="shared" ref="A7:A70" si="0">ROW()-6</f>
        <v>1</v>
      </c>
      <c r="B7">
        <v>2005</v>
      </c>
      <c r="C7" t="s">
        <v>172</v>
      </c>
      <c r="D7" t="s">
        <v>196</v>
      </c>
      <c r="E7" s="22">
        <v>100</v>
      </c>
      <c r="H7" t="s">
        <v>154</v>
      </c>
      <c r="I7" t="s">
        <v>250</v>
      </c>
      <c r="J7" t="s">
        <v>100</v>
      </c>
      <c r="K7" t="s">
        <v>214</v>
      </c>
      <c r="M7" s="4"/>
      <c r="O7" s="21"/>
      <c r="P7" s="2"/>
      <c r="Q7" s="2"/>
      <c r="R7" s="4"/>
      <c r="S7" s="4"/>
      <c r="T7" s="4"/>
      <c r="U7" s="4"/>
      <c r="V7" s="4"/>
      <c r="W7" s="4"/>
    </row>
    <row r="8" spans="1:25" ht="14.5" hidden="1" customHeight="1" x14ac:dyDescent="0.2">
      <c r="A8">
        <f t="shared" si="0"/>
        <v>2</v>
      </c>
      <c r="B8">
        <v>2005</v>
      </c>
      <c r="C8" t="s">
        <v>258</v>
      </c>
      <c r="D8" t="s">
        <v>196</v>
      </c>
      <c r="E8" s="22">
        <v>150</v>
      </c>
      <c r="G8" t="s">
        <v>2370</v>
      </c>
      <c r="H8" t="s">
        <v>155</v>
      </c>
      <c r="J8" t="s">
        <v>92</v>
      </c>
      <c r="K8" t="s">
        <v>214</v>
      </c>
      <c r="M8" s="4"/>
      <c r="O8" s="21"/>
      <c r="P8" s="2"/>
      <c r="Q8" s="2"/>
      <c r="R8" s="4"/>
      <c r="S8" s="4"/>
      <c r="T8" s="4"/>
      <c r="U8" s="4"/>
      <c r="V8" s="4"/>
      <c r="W8" s="4"/>
    </row>
    <row r="9" spans="1:25" ht="14.5" hidden="1" customHeight="1" x14ac:dyDescent="0.2">
      <c r="A9">
        <f t="shared" si="0"/>
        <v>3</v>
      </c>
      <c r="B9">
        <v>2005</v>
      </c>
      <c r="C9" t="s">
        <v>258</v>
      </c>
      <c r="D9" t="s">
        <v>196</v>
      </c>
      <c r="E9" s="22">
        <v>370</v>
      </c>
      <c r="H9" t="s">
        <v>154</v>
      </c>
      <c r="I9" t="s">
        <v>194</v>
      </c>
      <c r="J9" t="s">
        <v>37</v>
      </c>
      <c r="K9" t="s">
        <v>205</v>
      </c>
      <c r="M9" s="4"/>
      <c r="O9" s="21"/>
      <c r="P9" s="2"/>
      <c r="Q9" s="2"/>
      <c r="R9" s="4"/>
      <c r="S9" s="4"/>
      <c r="T9" s="4"/>
      <c r="U9" s="4"/>
      <c r="V9" s="4"/>
      <c r="W9" s="4"/>
    </row>
    <row r="10" spans="1:25" ht="14.5" hidden="1" customHeight="1" x14ac:dyDescent="0.2">
      <c r="A10">
        <f t="shared" si="0"/>
        <v>4</v>
      </c>
      <c r="B10">
        <v>2005</v>
      </c>
      <c r="C10" t="s">
        <v>179</v>
      </c>
      <c r="D10" t="s">
        <v>815</v>
      </c>
      <c r="E10" s="22">
        <v>170</v>
      </c>
      <c r="G10" t="s">
        <v>2371</v>
      </c>
      <c r="H10" t="s">
        <v>151</v>
      </c>
      <c r="I10" t="s">
        <v>279</v>
      </c>
      <c r="J10" t="s">
        <v>105</v>
      </c>
      <c r="K10" t="s">
        <v>214</v>
      </c>
      <c r="M10" s="4"/>
      <c r="O10" s="21"/>
      <c r="P10" s="2"/>
      <c r="Q10" s="2"/>
      <c r="R10" s="4"/>
      <c r="S10" s="4"/>
      <c r="T10" s="4"/>
      <c r="U10" s="4"/>
      <c r="V10" s="4"/>
      <c r="W10" s="4"/>
    </row>
    <row r="11" spans="1:25" ht="14.5" hidden="1" customHeight="1" x14ac:dyDescent="0.2">
      <c r="A11">
        <f t="shared" si="0"/>
        <v>5</v>
      </c>
      <c r="B11">
        <v>2005</v>
      </c>
      <c r="C11" t="s">
        <v>184</v>
      </c>
      <c r="D11" t="s">
        <v>444</v>
      </c>
      <c r="E11" s="22">
        <v>100</v>
      </c>
      <c r="H11" t="s">
        <v>155</v>
      </c>
      <c r="J11" t="s">
        <v>116</v>
      </c>
      <c r="K11" t="s">
        <v>214</v>
      </c>
      <c r="M11" s="4"/>
      <c r="O11" s="21"/>
      <c r="P11" s="2"/>
      <c r="Q11" s="2"/>
      <c r="R11" s="4"/>
      <c r="S11" s="4"/>
      <c r="T11" s="4"/>
      <c r="U11" s="4"/>
      <c r="V11" s="4"/>
      <c r="W11" s="4"/>
    </row>
    <row r="12" spans="1:25" ht="14.5" hidden="1" customHeight="1" x14ac:dyDescent="0.2">
      <c r="A12">
        <f t="shared" si="0"/>
        <v>6</v>
      </c>
      <c r="B12">
        <v>2005</v>
      </c>
      <c r="C12" t="s">
        <v>184</v>
      </c>
      <c r="D12" t="s">
        <v>2372</v>
      </c>
      <c r="E12" s="22">
        <v>240</v>
      </c>
      <c r="H12" t="s">
        <v>149</v>
      </c>
      <c r="I12" t="s">
        <v>182</v>
      </c>
      <c r="J12" t="s">
        <v>19</v>
      </c>
      <c r="K12" t="s">
        <v>205</v>
      </c>
      <c r="M12" s="4"/>
      <c r="O12" s="21"/>
      <c r="P12" s="2"/>
      <c r="Q12" s="2"/>
      <c r="R12" s="4"/>
      <c r="S12" s="4"/>
      <c r="T12" s="4"/>
      <c r="U12" s="4"/>
      <c r="V12" s="4"/>
      <c r="W12" s="4"/>
    </row>
    <row r="13" spans="1:25" ht="14.25" hidden="1" customHeight="1" x14ac:dyDescent="0.2">
      <c r="A13">
        <f t="shared" si="0"/>
        <v>7</v>
      </c>
      <c r="B13">
        <v>2005</v>
      </c>
      <c r="C13" t="s">
        <v>225</v>
      </c>
      <c r="D13" t="s">
        <v>199</v>
      </c>
      <c r="E13" s="22">
        <v>390</v>
      </c>
      <c r="G13" t="s">
        <v>2070</v>
      </c>
      <c r="H13" t="s">
        <v>144</v>
      </c>
      <c r="J13" t="s">
        <v>5</v>
      </c>
      <c r="K13" t="s">
        <v>214</v>
      </c>
      <c r="M13" s="4"/>
      <c r="O13" s="21"/>
      <c r="P13" s="2"/>
      <c r="Q13" s="2"/>
      <c r="R13" s="4"/>
      <c r="S13" s="4"/>
      <c r="T13" s="4"/>
      <c r="U13" s="4"/>
      <c r="V13" s="4"/>
      <c r="W13" s="4"/>
    </row>
    <row r="14" spans="1:25" ht="14.5" hidden="1" customHeight="1" x14ac:dyDescent="0.2">
      <c r="A14">
        <f t="shared" si="0"/>
        <v>8</v>
      </c>
      <c r="B14">
        <v>2005</v>
      </c>
      <c r="C14" t="s">
        <v>188</v>
      </c>
      <c r="D14" t="s">
        <v>2373</v>
      </c>
      <c r="E14" s="22">
        <v>1270</v>
      </c>
      <c r="G14" t="s">
        <v>2374</v>
      </c>
      <c r="H14" t="s">
        <v>154</v>
      </c>
      <c r="I14" t="s">
        <v>529</v>
      </c>
      <c r="J14" t="s">
        <v>128</v>
      </c>
      <c r="K14" t="s">
        <v>201</v>
      </c>
      <c r="M14" s="4"/>
      <c r="O14" s="21"/>
      <c r="P14" s="2"/>
      <c r="Q14" s="2"/>
      <c r="R14" s="4"/>
      <c r="S14" s="4"/>
      <c r="T14" s="4"/>
      <c r="U14" s="4"/>
      <c r="V14" s="4"/>
      <c r="W14" s="4"/>
    </row>
    <row r="15" spans="1:25" ht="14.5" hidden="1" customHeight="1" x14ac:dyDescent="0.2">
      <c r="A15">
        <f t="shared" si="0"/>
        <v>9</v>
      </c>
      <c r="B15">
        <v>2005</v>
      </c>
      <c r="C15" t="s">
        <v>188</v>
      </c>
      <c r="D15" t="s">
        <v>2375</v>
      </c>
      <c r="E15" s="22">
        <v>860</v>
      </c>
      <c r="H15" t="s">
        <v>144</v>
      </c>
      <c r="I15" t="s">
        <v>273</v>
      </c>
      <c r="J15" t="s">
        <v>53</v>
      </c>
      <c r="K15" t="s">
        <v>183</v>
      </c>
      <c r="M15" s="4"/>
      <c r="O15" s="21"/>
      <c r="P15" s="2"/>
      <c r="Q15" s="2"/>
      <c r="R15" s="4"/>
      <c r="S15" s="4"/>
      <c r="T15" s="4"/>
      <c r="U15" s="4"/>
      <c r="V15" s="4"/>
      <c r="W15" s="4"/>
    </row>
    <row r="16" spans="1:25" ht="14.5" hidden="1" customHeight="1" x14ac:dyDescent="0.2">
      <c r="A16">
        <f t="shared" si="0"/>
        <v>10</v>
      </c>
      <c r="B16">
        <v>2005</v>
      </c>
      <c r="C16" t="s">
        <v>188</v>
      </c>
      <c r="D16" t="s">
        <v>180</v>
      </c>
      <c r="E16" s="22">
        <v>170</v>
      </c>
      <c r="H16" t="s">
        <v>154</v>
      </c>
      <c r="I16" t="s">
        <v>250</v>
      </c>
      <c r="J16" t="s">
        <v>2376</v>
      </c>
      <c r="K16" t="s">
        <v>214</v>
      </c>
      <c r="M16" s="4"/>
      <c r="O16" s="21"/>
      <c r="P16" s="2"/>
      <c r="Q16" s="2"/>
      <c r="R16" s="4"/>
      <c r="S16" s="4"/>
      <c r="T16" s="4"/>
      <c r="U16" s="4"/>
      <c r="V16" s="4"/>
      <c r="W16" s="4"/>
    </row>
    <row r="17" spans="1:23" ht="14.5" hidden="1" customHeight="1" x14ac:dyDescent="0.2">
      <c r="A17">
        <f t="shared" si="0"/>
        <v>11</v>
      </c>
      <c r="B17">
        <v>2005</v>
      </c>
      <c r="C17" t="s">
        <v>191</v>
      </c>
      <c r="D17" t="s">
        <v>2377</v>
      </c>
      <c r="E17" s="22">
        <v>130</v>
      </c>
      <c r="H17" t="s">
        <v>144</v>
      </c>
      <c r="I17" t="s">
        <v>197</v>
      </c>
      <c r="J17" t="s">
        <v>82</v>
      </c>
      <c r="K17" t="s">
        <v>183</v>
      </c>
      <c r="M17" s="4"/>
      <c r="O17" s="21"/>
      <c r="P17" s="2"/>
      <c r="Q17" s="2"/>
      <c r="R17" s="4"/>
      <c r="S17" s="4"/>
      <c r="T17" s="4"/>
      <c r="U17" s="4"/>
      <c r="V17" s="4"/>
      <c r="W17" s="4"/>
    </row>
    <row r="18" spans="1:23" ht="14.5" hidden="1" customHeight="1" x14ac:dyDescent="0.2">
      <c r="A18">
        <f t="shared" si="0"/>
        <v>12</v>
      </c>
      <c r="B18">
        <v>2005</v>
      </c>
      <c r="C18" t="s">
        <v>202</v>
      </c>
      <c r="D18" t="s">
        <v>189</v>
      </c>
      <c r="E18" s="22">
        <v>350</v>
      </c>
      <c r="F18" s="16">
        <v>0.45</v>
      </c>
      <c r="G18" t="s">
        <v>2378</v>
      </c>
      <c r="H18" t="s">
        <v>143</v>
      </c>
      <c r="J18" t="s">
        <v>105</v>
      </c>
      <c r="K18" t="s">
        <v>214</v>
      </c>
      <c r="M18" s="4"/>
      <c r="O18" s="21"/>
      <c r="P18" s="2"/>
      <c r="Q18" s="2"/>
      <c r="R18" s="4"/>
      <c r="S18" s="4"/>
      <c r="T18" s="4"/>
      <c r="U18" s="4"/>
      <c r="V18" s="4"/>
      <c r="W18" s="4"/>
    </row>
    <row r="19" spans="1:23" ht="14.5" hidden="1" customHeight="1" x14ac:dyDescent="0.2">
      <c r="A19">
        <f t="shared" si="0"/>
        <v>13</v>
      </c>
      <c r="B19">
        <v>2005</v>
      </c>
      <c r="C19" t="s">
        <v>207</v>
      </c>
      <c r="D19" t="s">
        <v>244</v>
      </c>
      <c r="E19" s="22">
        <v>330</v>
      </c>
      <c r="G19" t="s">
        <v>2379</v>
      </c>
      <c r="H19" t="s">
        <v>149</v>
      </c>
      <c r="I19" t="s">
        <v>238</v>
      </c>
      <c r="J19" t="s">
        <v>63</v>
      </c>
      <c r="K19" t="s">
        <v>201</v>
      </c>
      <c r="M19" s="4"/>
      <c r="O19" s="21"/>
      <c r="P19" s="2"/>
      <c r="Q19" s="2"/>
      <c r="R19" s="4"/>
      <c r="S19" s="4"/>
      <c r="T19" s="4"/>
      <c r="U19" s="4"/>
      <c r="V19" s="4"/>
      <c r="W19" s="4"/>
    </row>
    <row r="20" spans="1:23" ht="14.5" hidden="1" customHeight="1" x14ac:dyDescent="0.2">
      <c r="A20">
        <f t="shared" si="0"/>
        <v>14</v>
      </c>
      <c r="B20">
        <v>2005</v>
      </c>
      <c r="C20" t="s">
        <v>207</v>
      </c>
      <c r="D20" t="s">
        <v>479</v>
      </c>
      <c r="E20" s="22">
        <v>200</v>
      </c>
      <c r="H20" t="s">
        <v>154</v>
      </c>
      <c r="I20" t="s">
        <v>194</v>
      </c>
      <c r="J20" t="s">
        <v>53</v>
      </c>
      <c r="K20" t="s">
        <v>183</v>
      </c>
      <c r="M20" s="4"/>
      <c r="O20" s="21"/>
      <c r="P20" s="2"/>
      <c r="Q20" s="2"/>
      <c r="R20" s="4"/>
      <c r="S20" s="4"/>
      <c r="T20" s="4"/>
      <c r="U20" s="4"/>
      <c r="V20" s="4"/>
      <c r="W20" s="4"/>
    </row>
    <row r="21" spans="1:23" ht="14.5" hidden="1" customHeight="1" x14ac:dyDescent="0.2">
      <c r="A21">
        <f t="shared" si="0"/>
        <v>15</v>
      </c>
      <c r="B21">
        <v>2005</v>
      </c>
      <c r="C21" t="s">
        <v>240</v>
      </c>
      <c r="D21" t="s">
        <v>483</v>
      </c>
      <c r="E21" s="22">
        <v>120</v>
      </c>
      <c r="G21" t="s">
        <v>849</v>
      </c>
      <c r="H21" t="s">
        <v>144</v>
      </c>
      <c r="I21" t="s">
        <v>197</v>
      </c>
      <c r="J21" t="s">
        <v>67</v>
      </c>
      <c r="K21" t="s">
        <v>183</v>
      </c>
      <c r="M21" s="4"/>
      <c r="O21" s="21"/>
      <c r="P21" s="2"/>
      <c r="Q21" s="2"/>
      <c r="R21" s="4"/>
      <c r="S21" s="4"/>
      <c r="T21" s="4"/>
      <c r="U21" s="4"/>
      <c r="V21" s="4"/>
      <c r="W21" s="4"/>
    </row>
    <row r="22" spans="1:23" ht="14.5" hidden="1" customHeight="1" x14ac:dyDescent="0.2">
      <c r="A22">
        <f t="shared" si="0"/>
        <v>16</v>
      </c>
      <c r="B22">
        <v>2005</v>
      </c>
      <c r="C22" t="s">
        <v>240</v>
      </c>
      <c r="D22" t="s">
        <v>221</v>
      </c>
      <c r="E22" s="22">
        <v>1190</v>
      </c>
      <c r="H22" t="s">
        <v>151</v>
      </c>
      <c r="I22" t="s">
        <v>279</v>
      </c>
      <c r="J22" t="s">
        <v>135</v>
      </c>
      <c r="K22" t="s">
        <v>205</v>
      </c>
      <c r="M22" s="4"/>
      <c r="O22" s="21"/>
      <c r="P22" s="2"/>
      <c r="Q22" s="2"/>
      <c r="R22" s="4"/>
      <c r="S22" s="4"/>
      <c r="T22" s="4"/>
      <c r="U22" s="4"/>
      <c r="V22" s="4"/>
      <c r="W22" s="4"/>
    </row>
    <row r="23" spans="1:23" ht="14.5" hidden="1" customHeight="1" x14ac:dyDescent="0.2">
      <c r="A23">
        <f t="shared" si="0"/>
        <v>17</v>
      </c>
      <c r="B23">
        <v>2005</v>
      </c>
      <c r="C23" t="s">
        <v>212</v>
      </c>
      <c r="D23" t="s">
        <v>237</v>
      </c>
      <c r="E23" s="22">
        <v>900</v>
      </c>
      <c r="G23" t="s">
        <v>2380</v>
      </c>
      <c r="H23" t="s">
        <v>149</v>
      </c>
      <c r="I23" t="s">
        <v>238</v>
      </c>
      <c r="J23" t="s">
        <v>54</v>
      </c>
      <c r="K23" t="s">
        <v>201</v>
      </c>
      <c r="M23" s="4"/>
      <c r="O23" s="21"/>
      <c r="P23" s="2"/>
      <c r="Q23" s="2"/>
      <c r="R23" s="4"/>
      <c r="S23" s="4"/>
      <c r="T23" s="4"/>
      <c r="U23" s="4"/>
      <c r="V23" s="4"/>
      <c r="W23" s="4"/>
    </row>
    <row r="24" spans="1:23" ht="14.5" hidden="1" customHeight="1" x14ac:dyDescent="0.2">
      <c r="A24">
        <f t="shared" si="0"/>
        <v>18</v>
      </c>
      <c r="B24">
        <v>2005</v>
      </c>
      <c r="C24" t="s">
        <v>212</v>
      </c>
      <c r="D24" t="s">
        <v>815</v>
      </c>
      <c r="E24" s="22">
        <v>580</v>
      </c>
      <c r="G24" t="s">
        <v>2381</v>
      </c>
      <c r="H24" t="s">
        <v>151</v>
      </c>
      <c r="I24" t="s">
        <v>279</v>
      </c>
      <c r="J24" t="s">
        <v>105</v>
      </c>
      <c r="K24" t="s">
        <v>214</v>
      </c>
      <c r="M24" s="4"/>
      <c r="O24" s="21"/>
      <c r="P24" s="2"/>
      <c r="Q24" s="2"/>
      <c r="R24" s="4"/>
      <c r="S24" s="4"/>
      <c r="T24" s="4"/>
      <c r="U24" s="4"/>
      <c r="V24" s="4"/>
      <c r="W24" s="4"/>
    </row>
    <row r="25" spans="1:23" ht="14.5" hidden="1" customHeight="1" x14ac:dyDescent="0.2">
      <c r="A25">
        <f t="shared" si="0"/>
        <v>19</v>
      </c>
      <c r="B25">
        <v>2005</v>
      </c>
      <c r="C25" t="s">
        <v>212</v>
      </c>
      <c r="D25" t="s">
        <v>221</v>
      </c>
      <c r="E25" s="22">
        <v>430</v>
      </c>
      <c r="G25" t="s">
        <v>2382</v>
      </c>
      <c r="H25" t="s">
        <v>144</v>
      </c>
      <c r="I25" t="s">
        <v>273</v>
      </c>
      <c r="J25" t="s">
        <v>19</v>
      </c>
      <c r="K25" t="s">
        <v>205</v>
      </c>
      <c r="M25" s="4"/>
      <c r="O25" s="21"/>
      <c r="P25" s="2"/>
      <c r="Q25" s="2"/>
      <c r="R25" s="4"/>
      <c r="S25" s="4"/>
      <c r="T25" s="4"/>
      <c r="U25" s="4"/>
      <c r="V25" s="4"/>
      <c r="W25" s="4"/>
    </row>
    <row r="26" spans="1:23" ht="14.5" hidden="1" customHeight="1" x14ac:dyDescent="0.2">
      <c r="A26">
        <f t="shared" si="0"/>
        <v>20</v>
      </c>
      <c r="B26">
        <v>2005</v>
      </c>
      <c r="C26" t="s">
        <v>212</v>
      </c>
      <c r="D26" t="s">
        <v>196</v>
      </c>
      <c r="E26" s="22">
        <v>210</v>
      </c>
      <c r="H26" t="s">
        <v>142</v>
      </c>
      <c r="J26" t="s">
        <v>5</v>
      </c>
      <c r="K26" t="s">
        <v>214</v>
      </c>
      <c r="M26" s="4"/>
      <c r="O26" s="21"/>
      <c r="P26" s="2"/>
      <c r="Q26" s="2"/>
      <c r="R26" s="4"/>
      <c r="S26" s="4"/>
      <c r="T26" s="4"/>
      <c r="U26" s="4"/>
      <c r="V26" s="4"/>
      <c r="W26" s="4"/>
    </row>
    <row r="27" spans="1:23" ht="14.5" hidden="1" customHeight="1" x14ac:dyDescent="0.2">
      <c r="A27">
        <f t="shared" si="0"/>
        <v>21</v>
      </c>
      <c r="B27">
        <v>2005</v>
      </c>
      <c r="C27" t="s">
        <v>212</v>
      </c>
      <c r="D27" t="s">
        <v>479</v>
      </c>
      <c r="E27" s="22">
        <v>210</v>
      </c>
      <c r="H27" t="s">
        <v>154</v>
      </c>
      <c r="I27" t="s">
        <v>194</v>
      </c>
      <c r="J27" t="s">
        <v>6</v>
      </c>
      <c r="K27" t="s">
        <v>219</v>
      </c>
      <c r="M27" s="4"/>
      <c r="O27" s="21"/>
      <c r="P27" s="2"/>
      <c r="Q27" s="2"/>
      <c r="R27" s="4"/>
      <c r="S27" s="4"/>
      <c r="T27" s="4"/>
      <c r="U27" s="4"/>
      <c r="V27" s="4"/>
      <c r="W27" s="4"/>
    </row>
    <row r="28" spans="1:23" ht="14.5" hidden="1" customHeight="1" x14ac:dyDescent="0.2">
      <c r="A28">
        <f t="shared" si="0"/>
        <v>22</v>
      </c>
      <c r="B28">
        <v>2005</v>
      </c>
      <c r="C28" t="s">
        <v>212</v>
      </c>
      <c r="D28" t="s">
        <v>336</v>
      </c>
      <c r="E28" s="22">
        <v>860</v>
      </c>
      <c r="H28" t="s">
        <v>144</v>
      </c>
      <c r="J28" t="s">
        <v>93</v>
      </c>
      <c r="K28" t="s">
        <v>201</v>
      </c>
      <c r="M28" s="4"/>
      <c r="O28" s="21"/>
      <c r="P28" s="2"/>
      <c r="Q28" s="2"/>
      <c r="R28" s="4"/>
      <c r="S28" s="4"/>
      <c r="T28" s="4"/>
      <c r="U28" s="4"/>
      <c r="V28" s="4"/>
      <c r="W28" s="4"/>
    </row>
    <row r="29" spans="1:23" ht="14.5" hidden="1" customHeight="1" x14ac:dyDescent="0.2">
      <c r="A29">
        <f t="shared" si="0"/>
        <v>23</v>
      </c>
      <c r="B29">
        <v>2006</v>
      </c>
      <c r="C29" t="s">
        <v>172</v>
      </c>
      <c r="D29" t="s">
        <v>397</v>
      </c>
      <c r="E29" s="22">
        <v>300</v>
      </c>
      <c r="G29" t="s">
        <v>2383</v>
      </c>
      <c r="H29" t="s">
        <v>151</v>
      </c>
      <c r="I29" t="s">
        <v>279</v>
      </c>
      <c r="J29" t="s">
        <v>130</v>
      </c>
      <c r="K29" t="s">
        <v>214</v>
      </c>
      <c r="M29" s="4"/>
      <c r="O29" s="21"/>
      <c r="P29" s="2"/>
      <c r="Q29" s="2"/>
      <c r="R29" s="4"/>
      <c r="S29" s="4"/>
      <c r="T29" s="4"/>
      <c r="U29" s="4"/>
      <c r="V29" s="4"/>
      <c r="W29" s="4"/>
    </row>
    <row r="30" spans="1:23" ht="14.5" hidden="1" customHeight="1" x14ac:dyDescent="0.2">
      <c r="A30">
        <f t="shared" si="0"/>
        <v>24</v>
      </c>
      <c r="B30">
        <v>2006</v>
      </c>
      <c r="C30" t="s">
        <v>172</v>
      </c>
      <c r="D30" t="s">
        <v>483</v>
      </c>
      <c r="E30" s="22">
        <v>310</v>
      </c>
      <c r="G30" t="s">
        <v>2384</v>
      </c>
      <c r="H30" t="s">
        <v>154</v>
      </c>
      <c r="I30" t="s">
        <v>529</v>
      </c>
      <c r="J30" t="s">
        <v>54</v>
      </c>
      <c r="K30" t="s">
        <v>201</v>
      </c>
      <c r="M30" s="4"/>
      <c r="O30" s="21"/>
      <c r="P30" s="2"/>
      <c r="Q30" s="2"/>
      <c r="R30" s="4"/>
      <c r="S30" s="4"/>
      <c r="T30" s="4"/>
      <c r="U30" s="4"/>
      <c r="V30" s="4"/>
      <c r="W30" s="4"/>
    </row>
    <row r="31" spans="1:23" ht="14.5" hidden="1" customHeight="1" x14ac:dyDescent="0.2">
      <c r="A31">
        <f t="shared" si="0"/>
        <v>25</v>
      </c>
      <c r="B31">
        <v>2006</v>
      </c>
      <c r="C31" t="s">
        <v>258</v>
      </c>
      <c r="D31" t="s">
        <v>196</v>
      </c>
      <c r="E31" s="22">
        <v>540</v>
      </c>
      <c r="H31" t="s">
        <v>151</v>
      </c>
      <c r="I31" t="s">
        <v>279</v>
      </c>
      <c r="J31" t="s">
        <v>100</v>
      </c>
      <c r="K31" t="s">
        <v>214</v>
      </c>
      <c r="M31" s="4"/>
      <c r="O31" s="21"/>
      <c r="P31" s="2"/>
      <c r="Q31" s="2"/>
      <c r="R31" s="4"/>
      <c r="S31" s="4"/>
      <c r="T31" s="4"/>
      <c r="U31" s="4"/>
      <c r="V31" s="4"/>
      <c r="W31" s="4"/>
    </row>
    <row r="32" spans="1:23" ht="14.5" hidden="1" customHeight="1" x14ac:dyDescent="0.2">
      <c r="A32">
        <f t="shared" si="0"/>
        <v>26</v>
      </c>
      <c r="B32">
        <v>2006</v>
      </c>
      <c r="C32" t="s">
        <v>179</v>
      </c>
      <c r="D32" t="s">
        <v>444</v>
      </c>
      <c r="E32" s="22">
        <v>460</v>
      </c>
      <c r="H32" t="s">
        <v>144</v>
      </c>
      <c r="I32" t="s">
        <v>273</v>
      </c>
      <c r="J32" t="s">
        <v>115</v>
      </c>
      <c r="K32" t="s">
        <v>201</v>
      </c>
      <c r="M32" s="4"/>
      <c r="O32" s="21"/>
      <c r="P32" s="2"/>
      <c r="Q32" s="2"/>
      <c r="R32" s="4"/>
      <c r="S32" s="4"/>
      <c r="T32" s="4"/>
      <c r="U32" s="4"/>
      <c r="V32" s="4"/>
      <c r="W32" s="4"/>
    </row>
    <row r="33" spans="1:23" ht="14.5" hidden="1" customHeight="1" x14ac:dyDescent="0.2">
      <c r="A33">
        <f t="shared" si="0"/>
        <v>27</v>
      </c>
      <c r="B33">
        <v>2006</v>
      </c>
      <c r="C33" t="s">
        <v>184</v>
      </c>
      <c r="D33" t="s">
        <v>189</v>
      </c>
      <c r="E33" s="22">
        <v>1290</v>
      </c>
      <c r="G33" t="s">
        <v>830</v>
      </c>
      <c r="H33" t="s">
        <v>144</v>
      </c>
      <c r="I33" t="s">
        <v>299</v>
      </c>
      <c r="J33" t="s">
        <v>19</v>
      </c>
      <c r="K33" t="s">
        <v>205</v>
      </c>
      <c r="M33" s="4"/>
      <c r="O33" s="21"/>
      <c r="P33" s="2"/>
      <c r="Q33" s="2"/>
      <c r="R33" s="4"/>
      <c r="S33" s="4"/>
      <c r="T33" s="4"/>
      <c r="U33" s="4"/>
      <c r="V33" s="4"/>
      <c r="W33" s="4"/>
    </row>
    <row r="34" spans="1:23" ht="14.5" hidden="1" customHeight="1" x14ac:dyDescent="0.2">
      <c r="A34">
        <f t="shared" si="0"/>
        <v>28</v>
      </c>
      <c r="B34">
        <v>2006</v>
      </c>
      <c r="C34" t="s">
        <v>225</v>
      </c>
      <c r="D34" t="s">
        <v>2385</v>
      </c>
      <c r="E34" s="22">
        <v>6250</v>
      </c>
      <c r="H34" t="s">
        <v>154</v>
      </c>
      <c r="I34" t="s">
        <v>194</v>
      </c>
      <c r="J34" t="s">
        <v>5</v>
      </c>
      <c r="K34" t="s">
        <v>214</v>
      </c>
      <c r="M34" s="4"/>
      <c r="O34" s="21"/>
      <c r="P34" s="2"/>
      <c r="Q34" s="2"/>
      <c r="R34" s="4"/>
      <c r="S34" s="4"/>
      <c r="T34" s="4"/>
      <c r="U34" s="4"/>
      <c r="V34" s="4"/>
      <c r="W34" s="4"/>
    </row>
    <row r="35" spans="1:23" ht="14.5" hidden="1" customHeight="1" x14ac:dyDescent="0.2">
      <c r="A35">
        <f t="shared" si="0"/>
        <v>29</v>
      </c>
      <c r="B35">
        <v>2006</v>
      </c>
      <c r="C35" t="s">
        <v>225</v>
      </c>
      <c r="D35" t="s">
        <v>2386</v>
      </c>
      <c r="E35" s="22">
        <v>1500</v>
      </c>
      <c r="G35" t="s">
        <v>2387</v>
      </c>
      <c r="H35" t="s">
        <v>144</v>
      </c>
      <c r="I35" t="s">
        <v>273</v>
      </c>
      <c r="J35" t="s">
        <v>52</v>
      </c>
      <c r="K35" t="s">
        <v>201</v>
      </c>
      <c r="M35" s="4"/>
      <c r="O35" s="21"/>
      <c r="P35" s="2"/>
      <c r="Q35" s="2"/>
      <c r="R35" s="4"/>
      <c r="S35" s="4"/>
      <c r="T35" s="4"/>
      <c r="U35" s="4"/>
      <c r="V35" s="4"/>
      <c r="W35" s="4"/>
    </row>
    <row r="36" spans="1:23" ht="14.5" hidden="1" customHeight="1" x14ac:dyDescent="0.2">
      <c r="A36">
        <f t="shared" si="0"/>
        <v>30</v>
      </c>
      <c r="B36">
        <v>2006</v>
      </c>
      <c r="C36" t="s">
        <v>225</v>
      </c>
      <c r="D36" t="s">
        <v>2388</v>
      </c>
      <c r="E36" s="22">
        <v>110</v>
      </c>
      <c r="H36" t="s">
        <v>144</v>
      </c>
      <c r="J36" t="s">
        <v>89</v>
      </c>
      <c r="K36" t="s">
        <v>219</v>
      </c>
      <c r="M36" s="4"/>
      <c r="O36" s="21"/>
      <c r="P36" s="2"/>
      <c r="Q36" s="2"/>
      <c r="R36" s="4"/>
      <c r="S36" s="4"/>
      <c r="T36" s="4"/>
      <c r="U36" s="4"/>
      <c r="V36" s="4"/>
      <c r="W36" s="4"/>
    </row>
    <row r="37" spans="1:23" ht="14.5" hidden="1" customHeight="1" x14ac:dyDescent="0.2">
      <c r="A37">
        <f t="shared" si="0"/>
        <v>31</v>
      </c>
      <c r="B37">
        <v>2006</v>
      </c>
      <c r="C37" t="s">
        <v>188</v>
      </c>
      <c r="D37" t="s">
        <v>668</v>
      </c>
      <c r="E37" s="22">
        <v>400</v>
      </c>
      <c r="H37" t="s">
        <v>144</v>
      </c>
      <c r="J37" t="s">
        <v>122</v>
      </c>
      <c r="K37" t="s">
        <v>201</v>
      </c>
      <c r="M37" s="4"/>
      <c r="O37" s="21"/>
      <c r="P37" s="2"/>
      <c r="Q37" s="2"/>
      <c r="R37" s="4"/>
      <c r="S37" s="4"/>
      <c r="T37" s="4"/>
      <c r="U37" s="4"/>
      <c r="V37" s="4"/>
      <c r="W37" s="4"/>
    </row>
    <row r="38" spans="1:23" ht="14.5" hidden="1" customHeight="1" x14ac:dyDescent="0.2">
      <c r="A38">
        <f t="shared" si="0"/>
        <v>32</v>
      </c>
      <c r="B38">
        <v>2006</v>
      </c>
      <c r="C38" t="s">
        <v>188</v>
      </c>
      <c r="D38" t="s">
        <v>2389</v>
      </c>
      <c r="E38" s="22">
        <v>160</v>
      </c>
      <c r="H38" t="s">
        <v>154</v>
      </c>
      <c r="I38" t="s">
        <v>250</v>
      </c>
      <c r="J38" t="s">
        <v>29</v>
      </c>
      <c r="K38" t="s">
        <v>219</v>
      </c>
      <c r="M38" s="4"/>
      <c r="O38" s="21"/>
      <c r="P38" s="2"/>
      <c r="Q38" s="2"/>
      <c r="R38" s="4"/>
      <c r="S38" s="4"/>
      <c r="T38" s="4"/>
      <c r="U38" s="4"/>
      <c r="V38" s="4"/>
      <c r="W38" s="4"/>
    </row>
    <row r="39" spans="1:23" ht="14.5" hidden="1" customHeight="1" x14ac:dyDescent="0.2">
      <c r="A39">
        <f t="shared" si="0"/>
        <v>33</v>
      </c>
      <c r="B39">
        <v>2006</v>
      </c>
      <c r="C39" t="s">
        <v>188</v>
      </c>
      <c r="D39" t="s">
        <v>815</v>
      </c>
      <c r="E39" s="22">
        <v>260</v>
      </c>
      <c r="G39" t="s">
        <v>2390</v>
      </c>
      <c r="H39" t="s">
        <v>151</v>
      </c>
      <c r="I39" t="s">
        <v>279</v>
      </c>
      <c r="J39" t="s">
        <v>137</v>
      </c>
      <c r="K39" t="s">
        <v>214</v>
      </c>
      <c r="M39" s="4"/>
      <c r="O39" s="21"/>
      <c r="P39" s="2"/>
      <c r="Q39" s="2"/>
      <c r="R39" s="4"/>
      <c r="S39" s="4"/>
      <c r="T39" s="4"/>
      <c r="U39" s="4"/>
      <c r="V39" s="4"/>
      <c r="W39" s="4"/>
    </row>
    <row r="40" spans="1:23" ht="14.5" hidden="1" customHeight="1" x14ac:dyDescent="0.2">
      <c r="A40">
        <f t="shared" si="0"/>
        <v>34</v>
      </c>
      <c r="B40">
        <v>2006</v>
      </c>
      <c r="C40" t="s">
        <v>188</v>
      </c>
      <c r="D40" t="s">
        <v>2391</v>
      </c>
      <c r="E40" s="22">
        <v>170</v>
      </c>
      <c r="H40" t="s">
        <v>155</v>
      </c>
      <c r="J40" t="s">
        <v>18</v>
      </c>
      <c r="K40" t="s">
        <v>219</v>
      </c>
      <c r="M40" s="4"/>
      <c r="O40" s="21"/>
      <c r="P40" s="2"/>
      <c r="Q40" s="2"/>
      <c r="R40" s="4"/>
      <c r="S40" s="4"/>
      <c r="T40" s="4"/>
      <c r="U40" s="4"/>
      <c r="V40" s="4"/>
      <c r="W40" s="4"/>
    </row>
    <row r="41" spans="1:23" ht="14.5" hidden="1" customHeight="1" x14ac:dyDescent="0.2">
      <c r="A41">
        <f t="shared" si="0"/>
        <v>35</v>
      </c>
      <c r="B41">
        <v>2006</v>
      </c>
      <c r="C41" t="s">
        <v>191</v>
      </c>
      <c r="D41" t="s">
        <v>479</v>
      </c>
      <c r="E41" s="22">
        <v>300</v>
      </c>
      <c r="H41" t="s">
        <v>154</v>
      </c>
      <c r="I41" t="s">
        <v>194</v>
      </c>
      <c r="J41" t="s">
        <v>122</v>
      </c>
      <c r="K41" t="s">
        <v>201</v>
      </c>
      <c r="M41" s="4"/>
      <c r="O41" s="21"/>
      <c r="P41" s="2"/>
      <c r="Q41" s="2"/>
      <c r="R41" s="4"/>
      <c r="S41" s="4"/>
      <c r="T41" s="4"/>
      <c r="U41" s="4"/>
      <c r="V41" s="4"/>
      <c r="W41" s="4"/>
    </row>
    <row r="42" spans="1:23" ht="14.5" hidden="1" customHeight="1" x14ac:dyDescent="0.2">
      <c r="A42">
        <f t="shared" si="0"/>
        <v>36</v>
      </c>
      <c r="B42">
        <v>2006</v>
      </c>
      <c r="C42" t="s">
        <v>191</v>
      </c>
      <c r="D42" t="s">
        <v>397</v>
      </c>
      <c r="E42" s="22">
        <v>260</v>
      </c>
      <c r="H42" t="s">
        <v>154</v>
      </c>
      <c r="I42" t="s">
        <v>250</v>
      </c>
      <c r="J42" t="s">
        <v>5</v>
      </c>
      <c r="K42" t="s">
        <v>214</v>
      </c>
      <c r="M42" s="4"/>
      <c r="O42" s="21"/>
      <c r="P42" s="2"/>
      <c r="Q42" s="2"/>
      <c r="R42" s="4"/>
      <c r="S42" s="4"/>
      <c r="T42" s="4"/>
      <c r="U42" s="4"/>
      <c r="V42" s="4"/>
      <c r="W42" s="4"/>
    </row>
    <row r="43" spans="1:23" ht="14.5" hidden="1" customHeight="1" x14ac:dyDescent="0.2">
      <c r="A43">
        <f t="shared" si="0"/>
        <v>37</v>
      </c>
      <c r="B43">
        <v>2006</v>
      </c>
      <c r="C43" t="s">
        <v>191</v>
      </c>
      <c r="D43" t="s">
        <v>189</v>
      </c>
      <c r="E43" s="22">
        <v>2840</v>
      </c>
      <c r="H43" t="s">
        <v>144</v>
      </c>
      <c r="I43" t="s">
        <v>187</v>
      </c>
      <c r="J43" t="s">
        <v>54</v>
      </c>
      <c r="K43" t="s">
        <v>201</v>
      </c>
      <c r="M43" s="4"/>
      <c r="O43" s="21"/>
      <c r="P43" s="2"/>
      <c r="Q43" s="2"/>
      <c r="R43" s="4"/>
      <c r="S43" s="4"/>
      <c r="T43" s="4"/>
      <c r="U43" s="4"/>
      <c r="V43" s="4"/>
      <c r="W43" s="4"/>
    </row>
    <row r="44" spans="1:23" ht="14.5" hidden="1" customHeight="1" x14ac:dyDescent="0.2">
      <c r="A44">
        <f t="shared" si="0"/>
        <v>38</v>
      </c>
      <c r="B44">
        <v>2006</v>
      </c>
      <c r="C44" t="s">
        <v>191</v>
      </c>
      <c r="D44" s="52" t="s">
        <v>2392</v>
      </c>
      <c r="E44" s="22">
        <v>330</v>
      </c>
      <c r="F44" s="16">
        <v>0.55000000000000004</v>
      </c>
      <c r="G44" t="s">
        <v>2393</v>
      </c>
      <c r="H44" t="s">
        <v>144</v>
      </c>
      <c r="I44" t="s">
        <v>273</v>
      </c>
      <c r="J44" t="s">
        <v>136</v>
      </c>
      <c r="K44" t="s">
        <v>183</v>
      </c>
      <c r="M44" s="4"/>
      <c r="O44" s="21"/>
      <c r="P44" s="2"/>
      <c r="Q44" s="2"/>
      <c r="R44" s="4"/>
      <c r="S44" s="4"/>
      <c r="T44" s="4"/>
      <c r="U44" s="4"/>
      <c r="V44" s="4"/>
      <c r="W44" s="4"/>
    </row>
    <row r="45" spans="1:23" ht="14.5" hidden="1" customHeight="1" x14ac:dyDescent="0.2">
      <c r="A45">
        <f t="shared" si="0"/>
        <v>39</v>
      </c>
      <c r="B45">
        <v>2006</v>
      </c>
      <c r="C45" t="s">
        <v>202</v>
      </c>
      <c r="D45" t="s">
        <v>2394</v>
      </c>
      <c r="E45" s="22">
        <v>2400</v>
      </c>
      <c r="G45" t="s">
        <v>2395</v>
      </c>
      <c r="H45" t="s">
        <v>152</v>
      </c>
      <c r="I45" t="s">
        <v>257</v>
      </c>
      <c r="J45" t="s">
        <v>40</v>
      </c>
      <c r="K45" t="s">
        <v>219</v>
      </c>
      <c r="M45" s="4"/>
      <c r="O45" s="21"/>
      <c r="P45" s="2"/>
      <c r="Q45" s="2"/>
      <c r="R45" s="4"/>
      <c r="S45" s="4"/>
      <c r="T45" s="4"/>
      <c r="U45" s="4"/>
      <c r="V45" s="4"/>
      <c r="W45" s="4"/>
    </row>
    <row r="46" spans="1:23" ht="14.5" hidden="1" customHeight="1" x14ac:dyDescent="0.2">
      <c r="A46">
        <f t="shared" si="0"/>
        <v>40</v>
      </c>
      <c r="B46">
        <v>2006</v>
      </c>
      <c r="C46" t="s">
        <v>202</v>
      </c>
      <c r="D46" t="s">
        <v>530</v>
      </c>
      <c r="E46" s="22">
        <v>550</v>
      </c>
      <c r="G46" t="s">
        <v>2396</v>
      </c>
      <c r="H46" t="s">
        <v>152</v>
      </c>
      <c r="I46" t="s">
        <v>257</v>
      </c>
      <c r="J46" t="s">
        <v>93</v>
      </c>
      <c r="K46" t="s">
        <v>201</v>
      </c>
      <c r="M46" s="4"/>
      <c r="O46" s="21"/>
      <c r="P46" s="2"/>
      <c r="Q46" s="2"/>
      <c r="R46" s="4"/>
      <c r="S46" s="4"/>
      <c r="T46" s="4"/>
      <c r="U46" s="4"/>
      <c r="V46" s="4"/>
      <c r="W46" s="4"/>
    </row>
    <row r="47" spans="1:23" ht="14.5" hidden="1" customHeight="1" x14ac:dyDescent="0.2">
      <c r="A47">
        <f t="shared" si="0"/>
        <v>41</v>
      </c>
      <c r="B47">
        <v>2006</v>
      </c>
      <c r="C47" t="s">
        <v>240</v>
      </c>
      <c r="D47" t="s">
        <v>221</v>
      </c>
      <c r="E47" s="22">
        <v>340</v>
      </c>
      <c r="G47" t="s">
        <v>700</v>
      </c>
      <c r="H47" t="s">
        <v>149</v>
      </c>
      <c r="I47" t="s">
        <v>182</v>
      </c>
      <c r="J47" t="s">
        <v>19</v>
      </c>
      <c r="K47" t="s">
        <v>205</v>
      </c>
      <c r="M47" s="4"/>
      <c r="O47" s="21"/>
      <c r="P47" s="2"/>
      <c r="Q47" s="2"/>
      <c r="R47" s="4"/>
      <c r="S47" s="4"/>
      <c r="T47" s="4"/>
      <c r="U47" s="4"/>
      <c r="V47" s="4"/>
      <c r="W47" s="4"/>
    </row>
    <row r="48" spans="1:23" ht="14.5" hidden="1" customHeight="1" x14ac:dyDescent="0.2">
      <c r="A48">
        <f t="shared" si="0"/>
        <v>42</v>
      </c>
      <c r="B48">
        <v>2006</v>
      </c>
      <c r="C48" t="s">
        <v>240</v>
      </c>
      <c r="D48" t="s">
        <v>479</v>
      </c>
      <c r="E48" s="22">
        <v>490</v>
      </c>
      <c r="H48" t="s">
        <v>154</v>
      </c>
      <c r="I48" t="s">
        <v>194</v>
      </c>
      <c r="J48" t="s">
        <v>93</v>
      </c>
      <c r="K48" t="s">
        <v>201</v>
      </c>
      <c r="M48" s="4"/>
      <c r="O48" s="21"/>
      <c r="P48" s="2"/>
      <c r="Q48" s="2"/>
      <c r="R48" s="4"/>
      <c r="S48" s="4"/>
      <c r="T48" s="4"/>
      <c r="U48" s="4"/>
      <c r="V48" s="4"/>
      <c r="W48" s="4"/>
    </row>
    <row r="49" spans="1:23" ht="14.5" hidden="1" customHeight="1" x14ac:dyDescent="0.2">
      <c r="A49">
        <f t="shared" si="0"/>
        <v>43</v>
      </c>
      <c r="B49">
        <v>2006</v>
      </c>
      <c r="C49" t="s">
        <v>240</v>
      </c>
      <c r="D49" t="s">
        <v>1234</v>
      </c>
      <c r="E49" s="22">
        <v>220</v>
      </c>
      <c r="H49" t="s">
        <v>151</v>
      </c>
      <c r="I49" t="s">
        <v>279</v>
      </c>
      <c r="J49" t="s">
        <v>137</v>
      </c>
      <c r="K49" t="s">
        <v>214</v>
      </c>
      <c r="M49" s="4"/>
      <c r="O49" s="21"/>
      <c r="P49" s="2"/>
      <c r="Q49" s="2"/>
      <c r="R49" s="4"/>
      <c r="S49" s="4"/>
      <c r="T49" s="4"/>
      <c r="U49" s="4"/>
      <c r="V49" s="4"/>
      <c r="W49" s="4"/>
    </row>
    <row r="50" spans="1:23" ht="14.5" hidden="1" customHeight="1" x14ac:dyDescent="0.2">
      <c r="A50">
        <f t="shared" si="0"/>
        <v>44</v>
      </c>
      <c r="B50">
        <v>2006</v>
      </c>
      <c r="C50" t="s">
        <v>240</v>
      </c>
      <c r="D50" t="s">
        <v>745</v>
      </c>
      <c r="E50" s="22">
        <v>180</v>
      </c>
      <c r="G50" t="s">
        <v>2397</v>
      </c>
      <c r="H50" t="s">
        <v>144</v>
      </c>
      <c r="I50" t="s">
        <v>273</v>
      </c>
      <c r="J50" t="s">
        <v>53</v>
      </c>
      <c r="K50" t="s">
        <v>183</v>
      </c>
      <c r="M50" s="4"/>
      <c r="O50" s="21"/>
      <c r="P50" s="2"/>
      <c r="Q50" s="2"/>
      <c r="R50" s="4"/>
      <c r="S50" s="4"/>
      <c r="T50" s="4"/>
      <c r="U50" s="4"/>
      <c r="V50" s="4"/>
      <c r="W50" s="4"/>
    </row>
    <row r="51" spans="1:23" ht="14.5" hidden="1" customHeight="1" x14ac:dyDescent="0.2">
      <c r="A51">
        <f t="shared" si="0"/>
        <v>45</v>
      </c>
      <c r="B51">
        <v>2006</v>
      </c>
      <c r="C51" t="s">
        <v>240</v>
      </c>
      <c r="D51" t="s">
        <v>199</v>
      </c>
      <c r="E51" s="22">
        <v>430</v>
      </c>
      <c r="H51" t="s">
        <v>142</v>
      </c>
      <c r="J51" t="s">
        <v>136</v>
      </c>
      <c r="K51" t="s">
        <v>183</v>
      </c>
      <c r="M51" s="4"/>
      <c r="O51" s="21"/>
      <c r="P51" s="2"/>
      <c r="Q51" s="2"/>
      <c r="R51" s="4"/>
      <c r="S51" s="4"/>
      <c r="T51" s="4"/>
      <c r="U51" s="4"/>
      <c r="V51" s="4"/>
      <c r="W51" s="4"/>
    </row>
    <row r="52" spans="1:23" ht="14.5" hidden="1" customHeight="1" x14ac:dyDescent="0.2">
      <c r="A52">
        <f t="shared" si="0"/>
        <v>46</v>
      </c>
      <c r="B52">
        <v>2006</v>
      </c>
      <c r="C52" t="s">
        <v>212</v>
      </c>
      <c r="D52" t="s">
        <v>196</v>
      </c>
      <c r="E52" s="22">
        <v>130</v>
      </c>
      <c r="H52" t="s">
        <v>154</v>
      </c>
      <c r="I52" t="s">
        <v>194</v>
      </c>
      <c r="J52" t="s">
        <v>40</v>
      </c>
      <c r="K52" t="s">
        <v>219</v>
      </c>
      <c r="L52" s="72"/>
      <c r="M52" s="4"/>
      <c r="O52" s="21"/>
      <c r="P52" s="2"/>
      <c r="Q52" s="2"/>
      <c r="R52" s="4"/>
      <c r="S52" s="4"/>
      <c r="T52" s="4"/>
      <c r="U52" s="4"/>
      <c r="V52" s="4"/>
      <c r="W52" s="4"/>
    </row>
    <row r="53" spans="1:23" ht="14.5" hidden="1" customHeight="1" x14ac:dyDescent="0.2">
      <c r="A53">
        <f t="shared" si="0"/>
        <v>47</v>
      </c>
      <c r="B53">
        <v>2006</v>
      </c>
      <c r="C53" t="s">
        <v>212</v>
      </c>
      <c r="D53" t="s">
        <v>703</v>
      </c>
      <c r="E53" s="22">
        <v>520</v>
      </c>
      <c r="H53" t="s">
        <v>144</v>
      </c>
      <c r="I53" t="s">
        <v>273</v>
      </c>
      <c r="J53" t="s">
        <v>53</v>
      </c>
      <c r="K53" t="s">
        <v>183</v>
      </c>
      <c r="M53" s="4"/>
      <c r="O53" s="21"/>
      <c r="P53" s="2"/>
      <c r="Q53" s="2"/>
      <c r="R53" s="4"/>
      <c r="S53" s="4"/>
      <c r="T53" s="4"/>
      <c r="U53" s="4"/>
      <c r="V53" s="4"/>
      <c r="W53" s="4"/>
    </row>
    <row r="54" spans="1:23" ht="14.5" hidden="1" customHeight="1" x14ac:dyDescent="0.2">
      <c r="A54">
        <f t="shared" si="0"/>
        <v>48</v>
      </c>
      <c r="B54">
        <v>2006</v>
      </c>
      <c r="C54" t="s">
        <v>212</v>
      </c>
      <c r="D54" t="s">
        <v>337</v>
      </c>
      <c r="E54" s="22">
        <v>250</v>
      </c>
      <c r="H54" t="s">
        <v>144</v>
      </c>
      <c r="I54" t="s">
        <v>197</v>
      </c>
      <c r="J54" t="s">
        <v>53</v>
      </c>
      <c r="K54" t="s">
        <v>183</v>
      </c>
      <c r="M54" s="4"/>
      <c r="O54" s="21"/>
      <c r="P54" s="2"/>
      <c r="Q54" s="2"/>
      <c r="R54" s="4"/>
      <c r="S54" s="4"/>
      <c r="T54" s="4"/>
      <c r="U54" s="4"/>
      <c r="V54" s="4"/>
      <c r="W54" s="4"/>
    </row>
    <row r="55" spans="1:23" ht="14.5" hidden="1" customHeight="1" x14ac:dyDescent="0.2">
      <c r="A55">
        <f t="shared" si="0"/>
        <v>49</v>
      </c>
      <c r="B55">
        <v>2006</v>
      </c>
      <c r="C55" t="s">
        <v>212</v>
      </c>
      <c r="D55" t="s">
        <v>399</v>
      </c>
      <c r="E55" s="22">
        <v>260</v>
      </c>
      <c r="G55" t="s">
        <v>2398</v>
      </c>
      <c r="H55" t="s">
        <v>144</v>
      </c>
      <c r="I55" t="s">
        <v>273</v>
      </c>
      <c r="J55" t="s">
        <v>53</v>
      </c>
      <c r="K55" t="s">
        <v>183</v>
      </c>
      <c r="M55" s="4"/>
      <c r="O55" s="21"/>
      <c r="P55" s="2"/>
      <c r="Q55" s="2"/>
      <c r="R55" s="4"/>
      <c r="S55" s="4"/>
      <c r="T55" s="4"/>
      <c r="U55" s="4"/>
      <c r="V55" s="4"/>
      <c r="W55" s="4"/>
    </row>
    <row r="56" spans="1:23" ht="14.5" hidden="1" customHeight="1" x14ac:dyDescent="0.2">
      <c r="A56">
        <f t="shared" si="0"/>
        <v>50</v>
      </c>
      <c r="B56">
        <v>2006</v>
      </c>
      <c r="C56" t="s">
        <v>212</v>
      </c>
      <c r="D56" t="s">
        <v>815</v>
      </c>
      <c r="E56" s="22">
        <v>130</v>
      </c>
      <c r="G56" t="s">
        <v>2399</v>
      </c>
      <c r="H56" t="s">
        <v>151</v>
      </c>
      <c r="I56" t="s">
        <v>279</v>
      </c>
      <c r="J56" t="s">
        <v>40</v>
      </c>
      <c r="K56" t="s">
        <v>219</v>
      </c>
      <c r="M56" s="4"/>
      <c r="O56" s="21"/>
      <c r="P56" s="2"/>
      <c r="Q56" s="2"/>
      <c r="R56" s="4"/>
      <c r="S56" s="4"/>
      <c r="T56" s="4"/>
      <c r="U56" s="4"/>
      <c r="V56" s="4"/>
      <c r="W56" s="4"/>
    </row>
    <row r="57" spans="1:23" ht="14.5" hidden="1" customHeight="1" x14ac:dyDescent="0.2">
      <c r="A57">
        <f t="shared" si="0"/>
        <v>51</v>
      </c>
      <c r="B57">
        <v>2007</v>
      </c>
      <c r="C57" t="s">
        <v>172</v>
      </c>
      <c r="D57" t="s">
        <v>397</v>
      </c>
      <c r="E57" s="22">
        <v>350</v>
      </c>
      <c r="H57" t="s">
        <v>151</v>
      </c>
      <c r="I57" t="s">
        <v>279</v>
      </c>
      <c r="J57" t="s">
        <v>130</v>
      </c>
      <c r="K57" t="s">
        <v>214</v>
      </c>
      <c r="M57" s="4"/>
      <c r="O57" s="21"/>
      <c r="P57" s="2"/>
      <c r="Q57" s="2"/>
      <c r="R57" s="4"/>
      <c r="S57" s="4"/>
      <c r="T57" s="4"/>
      <c r="U57" s="4"/>
      <c r="V57" s="4"/>
      <c r="W57" s="4"/>
    </row>
    <row r="58" spans="1:23" ht="14.5" hidden="1" customHeight="1" x14ac:dyDescent="0.2">
      <c r="A58">
        <f t="shared" si="0"/>
        <v>52</v>
      </c>
      <c r="B58">
        <v>2007</v>
      </c>
      <c r="C58" t="s">
        <v>172</v>
      </c>
      <c r="D58" t="s">
        <v>2400</v>
      </c>
      <c r="E58" s="22">
        <v>3990</v>
      </c>
      <c r="H58" t="s">
        <v>144</v>
      </c>
      <c r="I58" t="s">
        <v>273</v>
      </c>
      <c r="J58" t="s">
        <v>52</v>
      </c>
      <c r="K58" t="s">
        <v>201</v>
      </c>
      <c r="M58" s="4"/>
      <c r="O58" s="21"/>
      <c r="P58" s="2"/>
      <c r="Q58" s="2"/>
      <c r="R58" s="4"/>
      <c r="S58" s="4"/>
      <c r="T58" s="4"/>
      <c r="U58" s="4"/>
      <c r="V58" s="4"/>
      <c r="W58" s="4"/>
    </row>
    <row r="59" spans="1:23" ht="14.5" hidden="1" customHeight="1" x14ac:dyDescent="0.2">
      <c r="A59">
        <f t="shared" si="0"/>
        <v>53</v>
      </c>
      <c r="B59">
        <v>2007</v>
      </c>
      <c r="C59" t="s">
        <v>172</v>
      </c>
      <c r="D59" t="s">
        <v>397</v>
      </c>
      <c r="E59" s="22">
        <v>160</v>
      </c>
      <c r="H59" t="s">
        <v>154</v>
      </c>
      <c r="I59" t="s">
        <v>194</v>
      </c>
      <c r="J59" t="s">
        <v>130</v>
      </c>
      <c r="K59" t="s">
        <v>214</v>
      </c>
      <c r="M59" s="4"/>
      <c r="O59" s="21"/>
      <c r="P59" s="2"/>
      <c r="Q59" s="2"/>
      <c r="R59" s="4"/>
      <c r="S59" s="4"/>
      <c r="T59" s="4"/>
      <c r="U59" s="4"/>
      <c r="V59" s="4"/>
      <c r="W59" s="4"/>
    </row>
    <row r="60" spans="1:23" ht="14.5" hidden="1" customHeight="1" x14ac:dyDescent="0.2">
      <c r="A60">
        <f t="shared" si="0"/>
        <v>54</v>
      </c>
      <c r="B60">
        <v>2007</v>
      </c>
      <c r="C60" t="s">
        <v>172</v>
      </c>
      <c r="D60" t="s">
        <v>180</v>
      </c>
      <c r="E60" s="22">
        <v>1110</v>
      </c>
      <c r="G60" t="s">
        <v>2401</v>
      </c>
      <c r="H60" t="s">
        <v>149</v>
      </c>
      <c r="I60" t="s">
        <v>182</v>
      </c>
      <c r="J60" t="s">
        <v>9</v>
      </c>
      <c r="K60" t="s">
        <v>9</v>
      </c>
      <c r="M60" s="4"/>
      <c r="O60" s="21"/>
      <c r="P60" s="2"/>
      <c r="Q60" s="2"/>
      <c r="R60" s="4"/>
      <c r="S60" s="4"/>
      <c r="T60" s="4"/>
      <c r="U60" s="4"/>
      <c r="V60" s="4"/>
      <c r="W60" s="4"/>
    </row>
    <row r="61" spans="1:23" ht="14.5" hidden="1" customHeight="1" x14ac:dyDescent="0.2">
      <c r="A61">
        <f t="shared" si="0"/>
        <v>55</v>
      </c>
      <c r="B61">
        <v>2007</v>
      </c>
      <c r="C61" t="s">
        <v>172</v>
      </c>
      <c r="D61" t="s">
        <v>267</v>
      </c>
      <c r="E61" s="22">
        <v>100</v>
      </c>
      <c r="G61" t="s">
        <v>2387</v>
      </c>
      <c r="H61" t="s">
        <v>149</v>
      </c>
      <c r="I61" t="s">
        <v>238</v>
      </c>
      <c r="J61" t="s">
        <v>52</v>
      </c>
      <c r="K61" t="s">
        <v>201</v>
      </c>
      <c r="M61" s="4"/>
      <c r="O61" s="21"/>
      <c r="P61" s="2"/>
      <c r="Q61" s="2"/>
      <c r="R61" s="4"/>
      <c r="S61" s="4"/>
      <c r="T61" s="4"/>
      <c r="U61" s="4"/>
      <c r="V61" s="4"/>
      <c r="W61" s="4"/>
    </row>
    <row r="62" spans="1:23" ht="14.5" hidden="1" customHeight="1" x14ac:dyDescent="0.2">
      <c r="A62">
        <f t="shared" si="0"/>
        <v>56</v>
      </c>
      <c r="B62">
        <v>2007</v>
      </c>
      <c r="C62" t="s">
        <v>172</v>
      </c>
      <c r="D62" t="s">
        <v>449</v>
      </c>
      <c r="E62" s="22">
        <v>1830</v>
      </c>
      <c r="H62" t="s">
        <v>154</v>
      </c>
      <c r="I62" t="s">
        <v>529</v>
      </c>
      <c r="J62" t="s">
        <v>6</v>
      </c>
      <c r="K62" t="s">
        <v>219</v>
      </c>
      <c r="M62" s="4"/>
      <c r="O62" s="21"/>
      <c r="P62" s="2"/>
      <c r="Q62" s="2"/>
      <c r="R62" s="4"/>
      <c r="S62" s="4"/>
      <c r="T62" s="4"/>
      <c r="U62" s="4"/>
      <c r="V62" s="4"/>
      <c r="W62" s="4"/>
    </row>
    <row r="63" spans="1:23" ht="14.5" hidden="1" customHeight="1" x14ac:dyDescent="0.2">
      <c r="A63">
        <f t="shared" si="0"/>
        <v>57</v>
      </c>
      <c r="B63">
        <v>2007</v>
      </c>
      <c r="C63" t="s">
        <v>258</v>
      </c>
      <c r="D63" t="s">
        <v>2402</v>
      </c>
      <c r="E63" s="22">
        <v>180</v>
      </c>
      <c r="H63" t="s">
        <v>154</v>
      </c>
      <c r="I63" t="s">
        <v>194</v>
      </c>
      <c r="J63" t="s">
        <v>52</v>
      </c>
      <c r="K63" t="s">
        <v>201</v>
      </c>
      <c r="M63" s="4"/>
      <c r="O63" s="21"/>
      <c r="P63" s="2"/>
      <c r="Q63" s="2"/>
      <c r="R63" s="4"/>
      <c r="S63" s="4"/>
      <c r="T63" s="4"/>
      <c r="U63" s="4"/>
      <c r="V63" s="4"/>
      <c r="W63" s="4"/>
    </row>
    <row r="64" spans="1:23" ht="14.5" hidden="1" customHeight="1" x14ac:dyDescent="0.2">
      <c r="A64">
        <f t="shared" si="0"/>
        <v>58</v>
      </c>
      <c r="B64">
        <v>2007</v>
      </c>
      <c r="C64" t="s">
        <v>258</v>
      </c>
      <c r="D64" t="s">
        <v>2403</v>
      </c>
      <c r="E64" s="22">
        <v>100</v>
      </c>
      <c r="H64" t="s">
        <v>155</v>
      </c>
      <c r="J64" t="s">
        <v>93</v>
      </c>
      <c r="K64" t="s">
        <v>201</v>
      </c>
      <c r="M64" s="4"/>
      <c r="O64" s="21"/>
      <c r="P64" s="2"/>
      <c r="Q64" s="2"/>
      <c r="R64" s="4"/>
      <c r="S64" s="4"/>
      <c r="T64" s="4"/>
      <c r="U64" s="4"/>
      <c r="V64" s="4"/>
      <c r="W64" s="4"/>
    </row>
    <row r="65" spans="1:23" ht="14.5" hidden="1" customHeight="1" x14ac:dyDescent="0.2">
      <c r="A65">
        <f t="shared" si="0"/>
        <v>59</v>
      </c>
      <c r="B65">
        <v>2007</v>
      </c>
      <c r="C65" t="s">
        <v>179</v>
      </c>
      <c r="D65" t="s">
        <v>1234</v>
      </c>
      <c r="E65" s="22">
        <v>430</v>
      </c>
      <c r="H65" t="s">
        <v>144</v>
      </c>
      <c r="I65" t="s">
        <v>273</v>
      </c>
      <c r="J65" t="s">
        <v>53</v>
      </c>
      <c r="K65" t="s">
        <v>183</v>
      </c>
      <c r="M65" s="4"/>
      <c r="O65" s="21"/>
      <c r="P65" s="2"/>
      <c r="Q65" s="2"/>
      <c r="R65" s="4"/>
      <c r="S65" s="4"/>
      <c r="T65" s="4"/>
      <c r="U65" s="4"/>
      <c r="V65" s="4"/>
      <c r="W65" s="4"/>
    </row>
    <row r="66" spans="1:23" ht="14.5" hidden="1" customHeight="1" x14ac:dyDescent="0.2">
      <c r="A66">
        <f t="shared" si="0"/>
        <v>60</v>
      </c>
      <c r="B66">
        <v>2007</v>
      </c>
      <c r="C66" t="s">
        <v>179</v>
      </c>
      <c r="D66" t="s">
        <v>2404</v>
      </c>
      <c r="E66" s="22">
        <v>360</v>
      </c>
      <c r="H66" t="s">
        <v>154</v>
      </c>
      <c r="I66" t="s">
        <v>271</v>
      </c>
      <c r="J66" t="s">
        <v>115</v>
      </c>
      <c r="K66" t="s">
        <v>201</v>
      </c>
      <c r="M66" s="4"/>
      <c r="O66" s="21"/>
      <c r="P66" s="2"/>
      <c r="Q66" s="2"/>
      <c r="R66" s="4"/>
      <c r="S66" s="4"/>
      <c r="T66" s="4"/>
      <c r="U66" s="4"/>
      <c r="V66" s="4"/>
      <c r="W66" s="4"/>
    </row>
    <row r="67" spans="1:23" ht="14.5" hidden="1" customHeight="1" x14ac:dyDescent="0.2">
      <c r="A67">
        <f t="shared" si="0"/>
        <v>61</v>
      </c>
      <c r="B67">
        <v>2007</v>
      </c>
      <c r="C67" t="s">
        <v>179</v>
      </c>
      <c r="D67" t="s">
        <v>397</v>
      </c>
      <c r="E67" s="22">
        <v>430</v>
      </c>
      <c r="H67" t="s">
        <v>146</v>
      </c>
      <c r="J67" t="s">
        <v>65</v>
      </c>
      <c r="K67" t="s">
        <v>214</v>
      </c>
      <c r="M67" s="4"/>
      <c r="O67" s="21"/>
      <c r="P67" s="2"/>
      <c r="Q67" s="2"/>
      <c r="R67" s="4"/>
      <c r="S67" s="4"/>
      <c r="T67" s="4"/>
      <c r="U67" s="4"/>
      <c r="V67" s="4"/>
      <c r="W67" s="4"/>
    </row>
    <row r="68" spans="1:23" ht="14.5" hidden="1" customHeight="1" x14ac:dyDescent="0.2">
      <c r="A68">
        <f t="shared" si="0"/>
        <v>62</v>
      </c>
      <c r="B68">
        <v>2007</v>
      </c>
      <c r="C68" t="s">
        <v>179</v>
      </c>
      <c r="D68" t="s">
        <v>745</v>
      </c>
      <c r="E68" s="22">
        <v>540</v>
      </c>
      <c r="G68" t="s">
        <v>1188</v>
      </c>
      <c r="H68" t="s">
        <v>144</v>
      </c>
      <c r="I68" t="s">
        <v>273</v>
      </c>
      <c r="J68" t="s">
        <v>53</v>
      </c>
      <c r="K68" t="s">
        <v>183</v>
      </c>
      <c r="M68" s="4"/>
      <c r="O68" s="21"/>
      <c r="P68" s="2"/>
      <c r="Q68" s="2"/>
      <c r="R68" s="4"/>
      <c r="S68" s="4"/>
      <c r="T68" s="4"/>
      <c r="U68" s="4"/>
      <c r="V68" s="4"/>
      <c r="W68" s="4"/>
    </row>
    <row r="69" spans="1:23" ht="14.5" hidden="1" customHeight="1" x14ac:dyDescent="0.2">
      <c r="A69">
        <f t="shared" si="0"/>
        <v>63</v>
      </c>
      <c r="B69">
        <v>2007</v>
      </c>
      <c r="C69" t="s">
        <v>179</v>
      </c>
      <c r="D69" t="s">
        <v>444</v>
      </c>
      <c r="E69" s="22">
        <v>110</v>
      </c>
      <c r="H69" t="s">
        <v>142</v>
      </c>
      <c r="J69" t="s">
        <v>135</v>
      </c>
      <c r="K69" t="s">
        <v>205</v>
      </c>
      <c r="M69" s="4"/>
      <c r="O69" s="21"/>
      <c r="P69" s="2"/>
      <c r="Q69" s="2"/>
      <c r="R69" s="4"/>
      <c r="S69" s="4"/>
      <c r="T69" s="4"/>
      <c r="U69" s="4"/>
      <c r="V69" s="4"/>
      <c r="W69" s="4"/>
    </row>
    <row r="70" spans="1:23" ht="14.5" hidden="1" customHeight="1" x14ac:dyDescent="0.2">
      <c r="A70">
        <f t="shared" si="0"/>
        <v>64</v>
      </c>
      <c r="B70">
        <v>2007</v>
      </c>
      <c r="C70" t="s">
        <v>179</v>
      </c>
      <c r="D70" t="s">
        <v>815</v>
      </c>
      <c r="E70" s="22">
        <v>690</v>
      </c>
      <c r="G70" t="s">
        <v>2405</v>
      </c>
      <c r="H70" t="s">
        <v>151</v>
      </c>
      <c r="I70" t="s">
        <v>279</v>
      </c>
      <c r="J70" t="s">
        <v>89</v>
      </c>
      <c r="K70" t="s">
        <v>219</v>
      </c>
      <c r="M70" s="4"/>
      <c r="O70" s="21"/>
      <c r="P70" s="2"/>
      <c r="Q70" s="2"/>
      <c r="R70" s="4"/>
      <c r="S70" s="4"/>
      <c r="T70" s="4"/>
      <c r="U70" s="4"/>
      <c r="V70" s="4"/>
      <c r="W70" s="4"/>
    </row>
    <row r="71" spans="1:23" ht="14.5" hidden="1" customHeight="1" x14ac:dyDescent="0.2">
      <c r="A71">
        <f t="shared" ref="A71:A134" si="1">ROW()-6</f>
        <v>65</v>
      </c>
      <c r="B71">
        <v>2007</v>
      </c>
      <c r="C71" t="s">
        <v>184</v>
      </c>
      <c r="D71" t="s">
        <v>2375</v>
      </c>
      <c r="E71" s="22">
        <v>650</v>
      </c>
      <c r="H71" t="s">
        <v>144</v>
      </c>
      <c r="I71" t="s">
        <v>197</v>
      </c>
      <c r="J71" t="s">
        <v>2406</v>
      </c>
      <c r="K71" t="s">
        <v>219</v>
      </c>
      <c r="M71" s="4"/>
      <c r="O71" s="21"/>
      <c r="P71" s="2"/>
      <c r="Q71" s="2"/>
      <c r="R71" s="4"/>
      <c r="S71" s="4"/>
      <c r="T71" s="4"/>
      <c r="U71" s="4"/>
      <c r="V71" s="4"/>
      <c r="W71" s="4"/>
    </row>
    <row r="72" spans="1:23" ht="14.5" hidden="1" customHeight="1" x14ac:dyDescent="0.2">
      <c r="A72">
        <f t="shared" si="1"/>
        <v>66</v>
      </c>
      <c r="B72">
        <v>2007</v>
      </c>
      <c r="C72" t="s">
        <v>184</v>
      </c>
      <c r="D72" t="s">
        <v>1920</v>
      </c>
      <c r="E72" s="22">
        <v>990</v>
      </c>
      <c r="G72" t="s">
        <v>2407</v>
      </c>
      <c r="H72" t="s">
        <v>149</v>
      </c>
      <c r="I72" t="s">
        <v>238</v>
      </c>
      <c r="J72" t="s">
        <v>105</v>
      </c>
      <c r="K72" t="s">
        <v>214</v>
      </c>
      <c r="M72" s="4"/>
      <c r="O72" s="21"/>
      <c r="P72" s="2"/>
      <c r="Q72" s="2"/>
      <c r="R72" s="4"/>
      <c r="S72" s="4"/>
      <c r="T72" s="4"/>
      <c r="U72" s="4"/>
      <c r="V72" s="4"/>
      <c r="W72" s="4"/>
    </row>
    <row r="73" spans="1:23" ht="14.5" hidden="1" customHeight="1" x14ac:dyDescent="0.2">
      <c r="A73">
        <f t="shared" si="1"/>
        <v>67</v>
      </c>
      <c r="B73">
        <v>2007</v>
      </c>
      <c r="C73" t="s">
        <v>184</v>
      </c>
      <c r="D73" t="s">
        <v>196</v>
      </c>
      <c r="E73" s="22">
        <v>600</v>
      </c>
      <c r="H73" t="s">
        <v>144</v>
      </c>
      <c r="I73" t="s">
        <v>197</v>
      </c>
      <c r="J73" t="s">
        <v>46</v>
      </c>
      <c r="K73" t="s">
        <v>219</v>
      </c>
      <c r="M73" s="4"/>
      <c r="O73" s="21"/>
      <c r="P73" s="2"/>
      <c r="Q73" s="2"/>
      <c r="R73" s="4"/>
      <c r="S73" s="4"/>
      <c r="T73" s="4"/>
      <c r="U73" s="4"/>
      <c r="V73" s="4"/>
      <c r="W73" s="4"/>
    </row>
    <row r="74" spans="1:23" ht="14.5" hidden="1" customHeight="1" x14ac:dyDescent="0.2">
      <c r="A74">
        <f t="shared" si="1"/>
        <v>68</v>
      </c>
      <c r="B74">
        <v>2007</v>
      </c>
      <c r="C74" t="s">
        <v>225</v>
      </c>
      <c r="D74" t="s">
        <v>444</v>
      </c>
      <c r="E74" s="22">
        <v>150</v>
      </c>
      <c r="H74" t="s">
        <v>144</v>
      </c>
      <c r="J74" t="s">
        <v>93</v>
      </c>
      <c r="K74" t="s">
        <v>201</v>
      </c>
      <c r="M74" s="4"/>
      <c r="N74" s="2"/>
      <c r="O74" s="21"/>
      <c r="P74" s="2"/>
      <c r="Q74" s="2"/>
      <c r="R74" s="4"/>
      <c r="S74" s="4"/>
      <c r="T74" s="4"/>
      <c r="U74" s="4"/>
      <c r="V74" s="4"/>
      <c r="W74" s="4"/>
    </row>
    <row r="75" spans="1:23" ht="14.5" hidden="1" customHeight="1" x14ac:dyDescent="0.2">
      <c r="A75">
        <f t="shared" si="1"/>
        <v>69</v>
      </c>
      <c r="B75">
        <v>2007</v>
      </c>
      <c r="C75" t="s">
        <v>225</v>
      </c>
      <c r="D75" t="s">
        <v>199</v>
      </c>
      <c r="E75" s="22">
        <v>150</v>
      </c>
      <c r="H75" t="s">
        <v>144</v>
      </c>
      <c r="I75" t="s">
        <v>299</v>
      </c>
      <c r="J75" t="s">
        <v>129</v>
      </c>
      <c r="K75" t="s">
        <v>201</v>
      </c>
      <c r="M75" s="4"/>
      <c r="O75" s="21"/>
      <c r="P75" s="2"/>
      <c r="Q75" s="2"/>
      <c r="R75" s="4"/>
      <c r="S75" s="4"/>
      <c r="T75" s="4"/>
      <c r="U75" s="4"/>
      <c r="V75" s="4"/>
      <c r="W75" s="4"/>
    </row>
    <row r="76" spans="1:23" ht="14.5" hidden="1" customHeight="1" x14ac:dyDescent="0.2">
      <c r="A76">
        <f t="shared" si="1"/>
        <v>70</v>
      </c>
      <c r="B76">
        <v>2007</v>
      </c>
      <c r="C76" t="s">
        <v>225</v>
      </c>
      <c r="D76" t="s">
        <v>557</v>
      </c>
      <c r="E76" s="22">
        <v>250</v>
      </c>
      <c r="G76" t="s">
        <v>2408</v>
      </c>
      <c r="H76" t="s">
        <v>151</v>
      </c>
      <c r="I76" t="s">
        <v>279</v>
      </c>
      <c r="J76" t="s">
        <v>137</v>
      </c>
      <c r="K76" t="s">
        <v>214</v>
      </c>
      <c r="M76" s="4"/>
      <c r="N76" s="2"/>
      <c r="O76" s="21"/>
      <c r="P76" s="2"/>
      <c r="Q76" s="2"/>
      <c r="R76" s="4"/>
      <c r="S76" s="4"/>
      <c r="T76" s="4"/>
      <c r="U76" s="4"/>
      <c r="V76" s="4"/>
      <c r="W76" s="4"/>
    </row>
    <row r="77" spans="1:23" ht="14.5" hidden="1" customHeight="1" x14ac:dyDescent="0.2">
      <c r="A77">
        <f t="shared" si="1"/>
        <v>71</v>
      </c>
      <c r="B77">
        <v>2007</v>
      </c>
      <c r="C77" t="s">
        <v>188</v>
      </c>
      <c r="D77" t="s">
        <v>479</v>
      </c>
      <c r="E77" s="22">
        <v>410</v>
      </c>
      <c r="H77" t="s">
        <v>154</v>
      </c>
      <c r="I77" t="s">
        <v>271</v>
      </c>
      <c r="J77" t="s">
        <v>65</v>
      </c>
      <c r="K77" t="s">
        <v>214</v>
      </c>
      <c r="M77" s="4"/>
      <c r="N77" s="2"/>
      <c r="O77" s="21"/>
      <c r="P77" s="2"/>
      <c r="Q77" s="2"/>
      <c r="R77" s="4"/>
      <c r="S77" s="4"/>
      <c r="T77" s="4"/>
      <c r="U77" s="4"/>
      <c r="V77" s="4"/>
      <c r="W77" s="4"/>
    </row>
    <row r="78" spans="1:23" ht="14.5" hidden="1" customHeight="1" x14ac:dyDescent="0.2">
      <c r="A78">
        <f t="shared" si="1"/>
        <v>72</v>
      </c>
      <c r="B78">
        <v>2007</v>
      </c>
      <c r="C78" t="s">
        <v>188</v>
      </c>
      <c r="D78" t="s">
        <v>199</v>
      </c>
      <c r="E78" s="22">
        <v>560</v>
      </c>
      <c r="H78" t="s">
        <v>144</v>
      </c>
      <c r="I78" t="s">
        <v>299</v>
      </c>
      <c r="J78" t="s">
        <v>52</v>
      </c>
      <c r="K78" t="s">
        <v>201</v>
      </c>
      <c r="M78" s="4"/>
      <c r="N78" s="2"/>
      <c r="O78" s="21"/>
      <c r="P78" s="2"/>
      <c r="Q78" s="2"/>
      <c r="R78" s="4"/>
      <c r="S78" s="4"/>
      <c r="T78" s="4"/>
      <c r="U78" s="4"/>
      <c r="V78" s="4"/>
      <c r="W78" s="4"/>
    </row>
    <row r="79" spans="1:23" ht="14.5" hidden="1" customHeight="1" x14ac:dyDescent="0.2">
      <c r="A79">
        <f t="shared" si="1"/>
        <v>73</v>
      </c>
      <c r="B79">
        <v>2007</v>
      </c>
      <c r="C79" t="s">
        <v>191</v>
      </c>
      <c r="D79" t="s">
        <v>221</v>
      </c>
      <c r="E79" s="22">
        <v>110</v>
      </c>
      <c r="H79" t="s">
        <v>142</v>
      </c>
      <c r="J79" t="s">
        <v>134</v>
      </c>
      <c r="K79" t="s">
        <v>201</v>
      </c>
      <c r="M79" s="4"/>
      <c r="N79" s="2"/>
      <c r="O79" s="21"/>
      <c r="P79" s="2"/>
      <c r="Q79" s="2"/>
      <c r="R79" s="4"/>
      <c r="S79" s="4"/>
      <c r="T79" s="4"/>
      <c r="U79" s="4"/>
      <c r="V79" s="4"/>
      <c r="W79" s="4"/>
    </row>
    <row r="80" spans="1:23" ht="14.5" hidden="1" customHeight="1" x14ac:dyDescent="0.2">
      <c r="A80">
        <f t="shared" si="1"/>
        <v>74</v>
      </c>
      <c r="B80">
        <v>2007</v>
      </c>
      <c r="C80" t="s">
        <v>198</v>
      </c>
      <c r="D80" t="s">
        <v>2409</v>
      </c>
      <c r="E80" s="22">
        <v>1270</v>
      </c>
      <c r="G80" t="s">
        <v>1188</v>
      </c>
      <c r="H80" t="s">
        <v>144</v>
      </c>
      <c r="I80" t="s">
        <v>273</v>
      </c>
      <c r="J80" t="s">
        <v>53</v>
      </c>
      <c r="K80" t="s">
        <v>183</v>
      </c>
      <c r="M80" s="4"/>
      <c r="N80" s="2"/>
      <c r="O80" s="21"/>
      <c r="P80" s="2"/>
      <c r="Q80" s="2"/>
      <c r="R80" s="4"/>
      <c r="S80" s="4"/>
      <c r="T80" s="4"/>
      <c r="U80" s="4"/>
      <c r="V80" s="4"/>
      <c r="W80" s="4"/>
    </row>
    <row r="81" spans="1:23" ht="14.5" hidden="1" customHeight="1" x14ac:dyDescent="0.2">
      <c r="A81">
        <f t="shared" si="1"/>
        <v>75</v>
      </c>
      <c r="B81">
        <v>2007</v>
      </c>
      <c r="C81" t="s">
        <v>198</v>
      </c>
      <c r="D81" t="s">
        <v>180</v>
      </c>
      <c r="E81" s="22">
        <v>640</v>
      </c>
      <c r="G81" t="s">
        <v>2401</v>
      </c>
      <c r="H81" t="s">
        <v>149</v>
      </c>
      <c r="I81" t="s">
        <v>182</v>
      </c>
      <c r="J81" t="s">
        <v>9</v>
      </c>
      <c r="K81" t="s">
        <v>9</v>
      </c>
      <c r="M81" s="4"/>
      <c r="N81" s="2"/>
      <c r="O81" s="21"/>
      <c r="P81" s="2"/>
      <c r="Q81" s="2"/>
      <c r="R81" s="4"/>
      <c r="S81" s="4"/>
      <c r="T81" s="4"/>
      <c r="U81" s="4"/>
      <c r="V81" s="4"/>
      <c r="W81" s="4"/>
    </row>
    <row r="82" spans="1:23" ht="14.5" hidden="1" customHeight="1" x14ac:dyDescent="0.2">
      <c r="A82">
        <f t="shared" si="1"/>
        <v>76</v>
      </c>
      <c r="B82">
        <v>2007</v>
      </c>
      <c r="C82" t="s">
        <v>202</v>
      </c>
      <c r="D82" t="s">
        <v>246</v>
      </c>
      <c r="E82" s="22">
        <v>150</v>
      </c>
      <c r="H82" t="s">
        <v>154</v>
      </c>
      <c r="I82" t="s">
        <v>194</v>
      </c>
      <c r="J82" t="s">
        <v>40</v>
      </c>
      <c r="K82" t="s">
        <v>219</v>
      </c>
      <c r="M82" s="4"/>
      <c r="N82" s="2"/>
      <c r="O82" s="21"/>
      <c r="P82" s="2"/>
      <c r="Q82" s="2"/>
      <c r="R82" s="4"/>
      <c r="S82" s="4"/>
      <c r="T82" s="4"/>
      <c r="U82" s="4"/>
      <c r="V82" s="4"/>
      <c r="W82" s="4"/>
    </row>
    <row r="83" spans="1:23" ht="14.5" hidden="1" customHeight="1" x14ac:dyDescent="0.2">
      <c r="A83">
        <f t="shared" si="1"/>
        <v>77</v>
      </c>
      <c r="B83">
        <v>2007</v>
      </c>
      <c r="C83" t="s">
        <v>202</v>
      </c>
      <c r="D83" t="s">
        <v>530</v>
      </c>
      <c r="E83" s="22">
        <v>150</v>
      </c>
      <c r="G83" t="s">
        <v>2410</v>
      </c>
      <c r="H83" t="s">
        <v>152</v>
      </c>
      <c r="I83" t="s">
        <v>257</v>
      </c>
      <c r="J83" t="s">
        <v>115</v>
      </c>
      <c r="K83" t="s">
        <v>201</v>
      </c>
      <c r="M83" s="4"/>
      <c r="N83" s="2"/>
      <c r="O83" s="21"/>
      <c r="P83" s="2"/>
      <c r="Q83" s="2"/>
      <c r="R83" s="4"/>
      <c r="S83" s="4"/>
      <c r="T83" s="4"/>
      <c r="U83" s="4"/>
      <c r="V83" s="4"/>
      <c r="W83" s="4"/>
    </row>
    <row r="84" spans="1:23" ht="14.5" hidden="1" customHeight="1" x14ac:dyDescent="0.2">
      <c r="A84">
        <f t="shared" si="1"/>
        <v>78</v>
      </c>
      <c r="B84">
        <v>2007</v>
      </c>
      <c r="C84" t="s">
        <v>202</v>
      </c>
      <c r="D84" t="s">
        <v>444</v>
      </c>
      <c r="E84" s="22">
        <v>210</v>
      </c>
      <c r="H84" t="s">
        <v>144</v>
      </c>
      <c r="I84" t="s">
        <v>299</v>
      </c>
      <c r="J84" t="s">
        <v>11</v>
      </c>
      <c r="K84" t="s">
        <v>201</v>
      </c>
      <c r="M84" s="4"/>
      <c r="N84" s="2"/>
      <c r="O84" s="21"/>
      <c r="P84" s="2"/>
      <c r="Q84" s="2"/>
      <c r="R84" s="4"/>
      <c r="S84" s="4"/>
      <c r="T84" s="4"/>
      <c r="U84" s="4"/>
      <c r="V84" s="4"/>
      <c r="W84" s="4"/>
    </row>
    <row r="85" spans="1:23" ht="14.5" hidden="1" customHeight="1" x14ac:dyDescent="0.2">
      <c r="A85">
        <f t="shared" si="1"/>
        <v>79</v>
      </c>
      <c r="B85">
        <v>2007</v>
      </c>
      <c r="C85" t="s">
        <v>207</v>
      </c>
      <c r="D85" t="s">
        <v>815</v>
      </c>
      <c r="E85" s="22">
        <v>170</v>
      </c>
      <c r="G85" t="s">
        <v>2270</v>
      </c>
      <c r="H85" t="s">
        <v>151</v>
      </c>
      <c r="I85" t="s">
        <v>279</v>
      </c>
      <c r="J85" t="s">
        <v>51</v>
      </c>
      <c r="K85" t="s">
        <v>195</v>
      </c>
      <c r="M85" s="4"/>
      <c r="N85" s="2"/>
      <c r="O85" s="21"/>
      <c r="P85" s="2"/>
      <c r="Q85" s="2"/>
      <c r="R85" s="4"/>
      <c r="S85" s="4"/>
      <c r="T85" s="4"/>
      <c r="U85" s="4"/>
      <c r="V85" s="4"/>
      <c r="W85" s="4"/>
    </row>
    <row r="86" spans="1:23" ht="14.5" hidden="1" customHeight="1" x14ac:dyDescent="0.2">
      <c r="A86">
        <f t="shared" si="1"/>
        <v>80</v>
      </c>
      <c r="B86">
        <v>2007</v>
      </c>
      <c r="C86" t="s">
        <v>207</v>
      </c>
      <c r="D86" t="s">
        <v>2402</v>
      </c>
      <c r="E86" s="22">
        <v>210</v>
      </c>
      <c r="F86" s="16">
        <v>0.49</v>
      </c>
      <c r="G86" t="s">
        <v>2411</v>
      </c>
      <c r="H86" t="s">
        <v>144</v>
      </c>
      <c r="I86" t="s">
        <v>197</v>
      </c>
      <c r="J86" t="s">
        <v>54</v>
      </c>
      <c r="K86" t="s">
        <v>201</v>
      </c>
      <c r="M86" s="4"/>
      <c r="N86" s="2"/>
      <c r="O86" s="21"/>
      <c r="P86" s="2"/>
      <c r="Q86" s="2"/>
      <c r="R86" s="4"/>
      <c r="S86" s="4"/>
      <c r="T86" s="4"/>
      <c r="U86" s="4"/>
      <c r="V86" s="4"/>
      <c r="W86" s="4"/>
    </row>
    <row r="87" spans="1:23" ht="14.5" hidden="1" customHeight="1" x14ac:dyDescent="0.2">
      <c r="A87">
        <f t="shared" si="1"/>
        <v>81</v>
      </c>
      <c r="B87">
        <v>2007</v>
      </c>
      <c r="C87" t="s">
        <v>207</v>
      </c>
      <c r="D87" t="s">
        <v>244</v>
      </c>
      <c r="E87" s="22">
        <v>110</v>
      </c>
      <c r="F87" s="16">
        <v>0.2</v>
      </c>
      <c r="G87" t="s">
        <v>2412</v>
      </c>
      <c r="H87" t="s">
        <v>149</v>
      </c>
      <c r="I87" t="s">
        <v>238</v>
      </c>
      <c r="J87" t="s">
        <v>54</v>
      </c>
      <c r="K87" t="s">
        <v>201</v>
      </c>
      <c r="M87" s="4"/>
      <c r="N87" s="2"/>
      <c r="O87" s="21"/>
      <c r="P87" s="2"/>
      <c r="Q87" s="2"/>
      <c r="R87" s="4"/>
      <c r="S87" s="4"/>
      <c r="T87" s="4"/>
      <c r="U87" s="4"/>
      <c r="V87" s="4"/>
      <c r="W87" s="4"/>
    </row>
    <row r="88" spans="1:23" ht="14.5" hidden="1" customHeight="1" x14ac:dyDescent="0.2">
      <c r="A88">
        <f t="shared" si="1"/>
        <v>82</v>
      </c>
      <c r="B88">
        <v>2007</v>
      </c>
      <c r="C88" t="s">
        <v>207</v>
      </c>
      <c r="D88" t="s">
        <v>444</v>
      </c>
      <c r="E88" s="22">
        <v>160</v>
      </c>
      <c r="G88" t="s">
        <v>2413</v>
      </c>
      <c r="H88" t="s">
        <v>142</v>
      </c>
      <c r="J88" t="s">
        <v>123</v>
      </c>
      <c r="K88" t="s">
        <v>219</v>
      </c>
      <c r="M88" s="4"/>
      <c r="N88" s="2"/>
      <c r="O88" s="21"/>
      <c r="P88" s="2"/>
      <c r="Q88" s="2"/>
      <c r="R88" s="4"/>
      <c r="S88" s="4"/>
      <c r="T88" s="4"/>
      <c r="U88" s="4"/>
      <c r="V88" s="4"/>
      <c r="W88" s="4"/>
    </row>
    <row r="89" spans="1:23" ht="14.5" hidden="1" customHeight="1" x14ac:dyDescent="0.2">
      <c r="A89">
        <f t="shared" si="1"/>
        <v>83</v>
      </c>
      <c r="B89">
        <v>2007</v>
      </c>
      <c r="C89" t="s">
        <v>207</v>
      </c>
      <c r="D89" t="s">
        <v>2414</v>
      </c>
      <c r="E89" s="22">
        <v>100</v>
      </c>
      <c r="F89" s="16">
        <v>0.5</v>
      </c>
      <c r="G89" t="s">
        <v>2415</v>
      </c>
      <c r="H89" t="s">
        <v>154</v>
      </c>
      <c r="I89" t="s">
        <v>529</v>
      </c>
      <c r="J89" t="s">
        <v>62</v>
      </c>
      <c r="K89" t="s">
        <v>214</v>
      </c>
      <c r="M89" s="4"/>
      <c r="N89" s="2"/>
      <c r="O89" s="21"/>
      <c r="P89" s="2"/>
      <c r="Q89" s="2"/>
      <c r="R89" s="4"/>
      <c r="S89" s="4"/>
      <c r="T89" s="4"/>
      <c r="U89" s="4"/>
      <c r="V89" s="4"/>
      <c r="W89" s="4"/>
    </row>
    <row r="90" spans="1:23" ht="14.5" hidden="1" customHeight="1" x14ac:dyDescent="0.2">
      <c r="A90">
        <f t="shared" si="1"/>
        <v>84</v>
      </c>
      <c r="B90">
        <v>2007</v>
      </c>
      <c r="C90" t="s">
        <v>207</v>
      </c>
      <c r="D90" t="s">
        <v>444</v>
      </c>
      <c r="E90" s="22">
        <v>610</v>
      </c>
      <c r="G90" t="s">
        <v>2416</v>
      </c>
      <c r="H90" t="s">
        <v>144</v>
      </c>
      <c r="I90" t="s">
        <v>273</v>
      </c>
      <c r="J90" t="s">
        <v>128</v>
      </c>
      <c r="K90" t="s">
        <v>201</v>
      </c>
      <c r="M90" s="4"/>
      <c r="N90" s="2"/>
      <c r="O90" s="21"/>
      <c r="P90" s="2"/>
      <c r="Q90" s="2"/>
      <c r="R90" s="4"/>
      <c r="S90" s="4"/>
      <c r="T90" s="4"/>
      <c r="U90" s="4"/>
      <c r="V90" s="4"/>
      <c r="W90" s="4"/>
    </row>
    <row r="91" spans="1:23" ht="14.5" hidden="1" customHeight="1" x14ac:dyDescent="0.2">
      <c r="A91">
        <f t="shared" si="1"/>
        <v>85</v>
      </c>
      <c r="B91">
        <v>2007</v>
      </c>
      <c r="C91" t="s">
        <v>240</v>
      </c>
      <c r="D91" t="s">
        <v>2417</v>
      </c>
      <c r="E91" s="22">
        <v>350</v>
      </c>
      <c r="H91" t="s">
        <v>143</v>
      </c>
      <c r="J91" t="s">
        <v>105</v>
      </c>
      <c r="K91" t="s">
        <v>214</v>
      </c>
      <c r="M91" s="4"/>
      <c r="N91" s="2"/>
      <c r="O91" s="21"/>
      <c r="P91" s="2"/>
      <c r="Q91" s="2"/>
      <c r="R91" s="4"/>
      <c r="S91" s="4"/>
      <c r="T91" s="4"/>
      <c r="U91" s="4"/>
      <c r="V91" s="4"/>
      <c r="W91" s="4"/>
    </row>
    <row r="92" spans="1:23" ht="14.5" hidden="1" customHeight="1" x14ac:dyDescent="0.2">
      <c r="A92">
        <f t="shared" si="1"/>
        <v>86</v>
      </c>
      <c r="B92">
        <v>2007</v>
      </c>
      <c r="C92" t="s">
        <v>240</v>
      </c>
      <c r="D92" t="s">
        <v>479</v>
      </c>
      <c r="E92" s="22">
        <v>230</v>
      </c>
      <c r="H92" t="s">
        <v>148</v>
      </c>
      <c r="J92" t="s">
        <v>105</v>
      </c>
      <c r="K92" t="s">
        <v>214</v>
      </c>
      <c r="M92" s="4"/>
      <c r="N92" s="2"/>
      <c r="O92" s="21"/>
      <c r="P92" s="2"/>
      <c r="Q92" s="2"/>
      <c r="R92" s="4"/>
      <c r="S92" s="4"/>
      <c r="T92" s="4"/>
      <c r="U92" s="4"/>
      <c r="V92" s="4"/>
      <c r="W92" s="4"/>
    </row>
    <row r="93" spans="1:23" ht="14.5" hidden="1" customHeight="1" x14ac:dyDescent="0.2">
      <c r="A93">
        <f t="shared" si="1"/>
        <v>87</v>
      </c>
      <c r="B93">
        <v>2007</v>
      </c>
      <c r="C93" t="s">
        <v>212</v>
      </c>
      <c r="D93" t="s">
        <v>221</v>
      </c>
      <c r="E93" s="22">
        <v>620</v>
      </c>
      <c r="H93" t="s">
        <v>151</v>
      </c>
      <c r="I93" t="s">
        <v>279</v>
      </c>
      <c r="J93" t="s">
        <v>14</v>
      </c>
      <c r="K93" t="s">
        <v>195</v>
      </c>
      <c r="M93" s="4"/>
      <c r="N93" s="2"/>
      <c r="O93" s="21"/>
      <c r="P93" s="2"/>
      <c r="Q93" s="2"/>
      <c r="R93" s="4"/>
      <c r="S93" s="4"/>
      <c r="T93" s="4"/>
      <c r="U93" s="4"/>
      <c r="V93" s="4"/>
      <c r="W93" s="4"/>
    </row>
    <row r="94" spans="1:23" ht="14.5" hidden="1" customHeight="1" x14ac:dyDescent="0.2">
      <c r="A94">
        <f t="shared" si="1"/>
        <v>88</v>
      </c>
      <c r="B94">
        <v>2007</v>
      </c>
      <c r="C94" t="s">
        <v>212</v>
      </c>
      <c r="D94" t="s">
        <v>399</v>
      </c>
      <c r="E94" s="22">
        <v>1080</v>
      </c>
      <c r="H94" t="s">
        <v>144</v>
      </c>
      <c r="J94" t="s">
        <v>55</v>
      </c>
      <c r="K94" t="s">
        <v>214</v>
      </c>
      <c r="M94" s="4"/>
      <c r="N94" s="2"/>
      <c r="O94" s="21"/>
      <c r="P94" s="2"/>
      <c r="Q94" s="2"/>
      <c r="R94" s="4"/>
      <c r="S94" s="4"/>
      <c r="T94" s="4"/>
      <c r="U94" s="4"/>
      <c r="V94" s="4"/>
      <c r="W94" s="4"/>
    </row>
    <row r="95" spans="1:23" ht="14.5" hidden="1" customHeight="1" x14ac:dyDescent="0.2">
      <c r="A95">
        <f t="shared" si="1"/>
        <v>89</v>
      </c>
      <c r="B95">
        <v>2007</v>
      </c>
      <c r="C95" t="s">
        <v>212</v>
      </c>
      <c r="D95" t="s">
        <v>199</v>
      </c>
      <c r="E95" s="22">
        <v>880</v>
      </c>
      <c r="H95" t="s">
        <v>144</v>
      </c>
      <c r="I95" t="s">
        <v>299</v>
      </c>
      <c r="J95" t="s">
        <v>134</v>
      </c>
      <c r="K95" t="s">
        <v>201</v>
      </c>
      <c r="M95" s="4"/>
      <c r="N95" s="2"/>
      <c r="O95" s="21"/>
      <c r="P95" s="2"/>
      <c r="Q95" s="2"/>
      <c r="R95" s="4"/>
      <c r="S95" s="4"/>
      <c r="T95" s="4"/>
      <c r="U95" s="4"/>
      <c r="V95" s="4"/>
      <c r="W95" s="4"/>
    </row>
    <row r="96" spans="1:23" ht="14.5" hidden="1" customHeight="1" x14ac:dyDescent="0.2">
      <c r="A96">
        <f t="shared" si="1"/>
        <v>90</v>
      </c>
      <c r="B96">
        <v>2007</v>
      </c>
      <c r="C96" t="s">
        <v>212</v>
      </c>
      <c r="D96" t="s">
        <v>199</v>
      </c>
      <c r="E96" s="22">
        <v>1310</v>
      </c>
      <c r="H96" t="s">
        <v>144</v>
      </c>
      <c r="I96" t="s">
        <v>299</v>
      </c>
      <c r="J96" t="s">
        <v>63</v>
      </c>
      <c r="K96" t="s">
        <v>201</v>
      </c>
      <c r="M96" s="4"/>
      <c r="N96" s="2"/>
      <c r="O96" s="21"/>
      <c r="P96" s="2"/>
      <c r="Q96" s="2"/>
      <c r="R96" s="4"/>
      <c r="S96" s="4"/>
      <c r="T96" s="4"/>
      <c r="U96" s="4"/>
      <c r="V96" s="4"/>
      <c r="W96" s="4"/>
    </row>
    <row r="97" spans="1:23" ht="14.5" hidden="1" customHeight="1" x14ac:dyDescent="0.2">
      <c r="A97">
        <f t="shared" si="1"/>
        <v>91</v>
      </c>
      <c r="B97">
        <v>2007</v>
      </c>
      <c r="C97" t="s">
        <v>212</v>
      </c>
      <c r="D97" t="s">
        <v>196</v>
      </c>
      <c r="E97" s="22">
        <v>120</v>
      </c>
      <c r="H97" t="s">
        <v>145</v>
      </c>
      <c r="J97" t="s">
        <v>6</v>
      </c>
      <c r="K97" t="s">
        <v>219</v>
      </c>
      <c r="M97" s="4"/>
      <c r="N97" s="2"/>
      <c r="O97" s="21"/>
      <c r="P97" s="2"/>
      <c r="Q97" s="2"/>
      <c r="R97" s="4"/>
      <c r="S97" s="4"/>
      <c r="T97" s="4"/>
      <c r="U97" s="4"/>
      <c r="V97" s="4"/>
      <c r="W97" s="4"/>
    </row>
    <row r="98" spans="1:23" ht="14.5" hidden="1" customHeight="1" x14ac:dyDescent="0.2">
      <c r="A98">
        <f t="shared" si="1"/>
        <v>92</v>
      </c>
      <c r="B98">
        <v>2007</v>
      </c>
      <c r="C98" t="s">
        <v>212</v>
      </c>
      <c r="D98" t="s">
        <v>196</v>
      </c>
      <c r="E98" s="22">
        <v>160</v>
      </c>
      <c r="G98" t="s">
        <v>2418</v>
      </c>
      <c r="H98" t="s">
        <v>149</v>
      </c>
      <c r="J98" t="s">
        <v>88</v>
      </c>
      <c r="K98" t="s">
        <v>219</v>
      </c>
      <c r="M98" s="4"/>
      <c r="N98" s="2"/>
      <c r="O98" s="21"/>
      <c r="P98" s="2"/>
      <c r="Q98" s="2"/>
      <c r="R98" s="4"/>
      <c r="S98" s="4"/>
      <c r="T98" s="4"/>
      <c r="U98" s="4"/>
      <c r="V98" s="4"/>
      <c r="W98" s="4"/>
    </row>
    <row r="99" spans="1:23" ht="14.5" hidden="1" customHeight="1" x14ac:dyDescent="0.2">
      <c r="A99">
        <f t="shared" si="1"/>
        <v>93</v>
      </c>
      <c r="B99">
        <v>2007</v>
      </c>
      <c r="C99" t="s">
        <v>212</v>
      </c>
      <c r="D99" t="s">
        <v>196</v>
      </c>
      <c r="E99" s="22">
        <v>140</v>
      </c>
      <c r="H99" t="s">
        <v>153</v>
      </c>
      <c r="J99" t="s">
        <v>130</v>
      </c>
      <c r="K99" t="s">
        <v>214</v>
      </c>
      <c r="M99" s="4"/>
      <c r="N99" s="2"/>
      <c r="O99" s="21"/>
      <c r="P99" s="2"/>
      <c r="Q99" s="2"/>
      <c r="R99" s="4"/>
      <c r="S99" s="4"/>
      <c r="T99" s="4"/>
      <c r="U99" s="4"/>
      <c r="V99" s="4"/>
      <c r="W99" s="4"/>
    </row>
    <row r="100" spans="1:23" s="41" customFormat="1" ht="14.5" hidden="1" customHeight="1" x14ac:dyDescent="0.2">
      <c r="A100">
        <f t="shared" si="1"/>
        <v>94</v>
      </c>
      <c r="B100">
        <v>2008</v>
      </c>
      <c r="C100" t="s">
        <v>172</v>
      </c>
      <c r="D100" t="s">
        <v>479</v>
      </c>
      <c r="E100" s="22">
        <v>160</v>
      </c>
      <c r="F100" s="16"/>
      <c r="G100" t="s">
        <v>2419</v>
      </c>
      <c r="H100" t="s">
        <v>154</v>
      </c>
      <c r="I100" t="s">
        <v>271</v>
      </c>
      <c r="J100" t="s">
        <v>136</v>
      </c>
      <c r="K100" t="s">
        <v>183</v>
      </c>
      <c r="M100" s="77"/>
      <c r="N100" s="78"/>
      <c r="O100" s="42"/>
      <c r="P100" s="78"/>
      <c r="Q100" s="78"/>
      <c r="R100" s="77"/>
      <c r="S100" s="77"/>
      <c r="T100" s="77"/>
      <c r="U100" s="77"/>
      <c r="V100" s="77"/>
      <c r="W100" s="77"/>
    </row>
    <row r="101" spans="1:23" ht="14.5" hidden="1" customHeight="1" x14ac:dyDescent="0.2">
      <c r="A101">
        <f t="shared" si="1"/>
        <v>95</v>
      </c>
      <c r="B101">
        <v>2008</v>
      </c>
      <c r="C101" t="s">
        <v>172</v>
      </c>
      <c r="D101" t="s">
        <v>180</v>
      </c>
      <c r="E101" s="22">
        <v>200</v>
      </c>
      <c r="G101" t="s">
        <v>2420</v>
      </c>
      <c r="H101" t="s">
        <v>153</v>
      </c>
      <c r="J101" t="s">
        <v>44</v>
      </c>
      <c r="K101" t="s">
        <v>201</v>
      </c>
      <c r="M101" s="4"/>
      <c r="N101" s="2"/>
      <c r="O101" s="21"/>
      <c r="P101" s="2"/>
      <c r="Q101" s="2"/>
      <c r="R101" s="4"/>
      <c r="S101" s="4"/>
      <c r="T101" s="4"/>
      <c r="U101" s="4"/>
      <c r="V101" s="4"/>
      <c r="W101" s="4"/>
    </row>
    <row r="102" spans="1:23" ht="14.5" hidden="1" customHeight="1" x14ac:dyDescent="0.2">
      <c r="A102">
        <f t="shared" si="1"/>
        <v>96</v>
      </c>
      <c r="B102">
        <v>2008</v>
      </c>
      <c r="C102" t="s">
        <v>172</v>
      </c>
      <c r="D102" t="s">
        <v>479</v>
      </c>
      <c r="E102" s="22">
        <v>290</v>
      </c>
      <c r="H102" t="s">
        <v>154</v>
      </c>
      <c r="I102" t="s">
        <v>271</v>
      </c>
      <c r="J102" t="s">
        <v>2376</v>
      </c>
      <c r="K102" t="s">
        <v>214</v>
      </c>
      <c r="M102" s="4"/>
      <c r="N102" s="2"/>
      <c r="O102" s="21"/>
      <c r="P102" s="2"/>
      <c r="Q102" s="2"/>
      <c r="R102" s="4"/>
      <c r="S102" s="4"/>
      <c r="T102" s="4"/>
      <c r="U102" s="4"/>
      <c r="V102" s="4"/>
      <c r="W102" s="4"/>
    </row>
    <row r="103" spans="1:23" ht="14.5" hidden="1" customHeight="1" x14ac:dyDescent="0.2">
      <c r="A103">
        <f t="shared" si="1"/>
        <v>97</v>
      </c>
      <c r="B103">
        <v>2008</v>
      </c>
      <c r="C103" t="s">
        <v>172</v>
      </c>
      <c r="D103" t="s">
        <v>2391</v>
      </c>
      <c r="E103" s="22">
        <v>180</v>
      </c>
      <c r="H103" t="s">
        <v>150</v>
      </c>
      <c r="I103" t="s">
        <v>744</v>
      </c>
      <c r="J103" t="s">
        <v>126</v>
      </c>
      <c r="K103" t="s">
        <v>177</v>
      </c>
      <c r="M103" s="4"/>
      <c r="N103" s="2"/>
      <c r="O103" s="21"/>
      <c r="P103" s="2"/>
      <c r="Q103" s="2"/>
      <c r="R103" s="4"/>
      <c r="S103" s="4"/>
      <c r="T103" s="4"/>
      <c r="U103" s="4"/>
      <c r="V103" s="4"/>
      <c r="W103" s="4"/>
    </row>
    <row r="104" spans="1:23" ht="14.5" hidden="1" customHeight="1" x14ac:dyDescent="0.2">
      <c r="A104">
        <f t="shared" si="1"/>
        <v>98</v>
      </c>
      <c r="B104">
        <v>2008</v>
      </c>
      <c r="C104" t="s">
        <v>258</v>
      </c>
      <c r="D104" t="s">
        <v>449</v>
      </c>
      <c r="E104" s="22">
        <v>2600</v>
      </c>
      <c r="H104" t="s">
        <v>154</v>
      </c>
      <c r="I104" t="s">
        <v>529</v>
      </c>
      <c r="J104" t="s">
        <v>2421</v>
      </c>
      <c r="K104" t="s">
        <v>214</v>
      </c>
      <c r="M104" s="4"/>
      <c r="N104" s="2"/>
      <c r="O104" s="21"/>
      <c r="P104" s="2"/>
      <c r="Q104" s="2"/>
      <c r="R104" s="4"/>
      <c r="S104" s="4"/>
      <c r="T104" s="4"/>
      <c r="U104" s="4"/>
      <c r="V104" s="4"/>
      <c r="W104" s="4"/>
    </row>
    <row r="105" spans="1:23" ht="14.5" hidden="1" customHeight="1" x14ac:dyDescent="0.2">
      <c r="A105">
        <f t="shared" si="1"/>
        <v>99</v>
      </c>
      <c r="B105">
        <v>2008</v>
      </c>
      <c r="C105" t="s">
        <v>258</v>
      </c>
      <c r="D105" t="s">
        <v>199</v>
      </c>
      <c r="E105" s="22">
        <v>560</v>
      </c>
      <c r="G105" t="s">
        <v>2422</v>
      </c>
      <c r="H105" t="s">
        <v>143</v>
      </c>
      <c r="J105" t="s">
        <v>105</v>
      </c>
      <c r="K105" t="s">
        <v>214</v>
      </c>
      <c r="M105" s="79"/>
      <c r="N105" s="2"/>
      <c r="O105" s="21"/>
      <c r="P105" s="2"/>
      <c r="Q105" s="2"/>
      <c r="R105" s="4"/>
      <c r="S105" s="4"/>
      <c r="T105" s="4"/>
      <c r="U105" s="4"/>
      <c r="V105" s="4"/>
      <c r="W105" s="4"/>
    </row>
    <row r="106" spans="1:23" ht="14.5" hidden="1" customHeight="1" x14ac:dyDescent="0.2">
      <c r="A106">
        <f t="shared" si="1"/>
        <v>100</v>
      </c>
      <c r="B106">
        <v>2008</v>
      </c>
      <c r="C106" t="s">
        <v>258</v>
      </c>
      <c r="D106" t="s">
        <v>815</v>
      </c>
      <c r="E106" s="22">
        <v>1180</v>
      </c>
      <c r="G106" t="s">
        <v>2405</v>
      </c>
      <c r="H106" t="s">
        <v>151</v>
      </c>
      <c r="I106" t="s">
        <v>279</v>
      </c>
      <c r="J106" t="s">
        <v>89</v>
      </c>
      <c r="K106" t="s">
        <v>219</v>
      </c>
      <c r="M106" s="4"/>
      <c r="N106" s="2"/>
      <c r="O106" s="21"/>
      <c r="P106" s="2"/>
      <c r="Q106" s="2"/>
      <c r="R106" s="4"/>
      <c r="S106" s="4"/>
      <c r="T106" s="4"/>
      <c r="U106" s="4"/>
      <c r="V106" s="4"/>
      <c r="W106" s="4"/>
    </row>
    <row r="107" spans="1:23" ht="14.5" hidden="1" customHeight="1" x14ac:dyDescent="0.2">
      <c r="A107">
        <f t="shared" si="1"/>
        <v>101</v>
      </c>
      <c r="B107">
        <v>2008</v>
      </c>
      <c r="C107" t="s">
        <v>179</v>
      </c>
      <c r="D107" t="s">
        <v>557</v>
      </c>
      <c r="E107" s="22">
        <v>160</v>
      </c>
      <c r="G107" t="s">
        <v>2121</v>
      </c>
      <c r="H107" t="s">
        <v>151</v>
      </c>
      <c r="I107" t="s">
        <v>279</v>
      </c>
      <c r="J107" t="s">
        <v>92</v>
      </c>
      <c r="K107" t="s">
        <v>214</v>
      </c>
      <c r="M107" s="4"/>
      <c r="N107" s="2"/>
      <c r="O107" s="21"/>
      <c r="P107" s="2"/>
      <c r="Q107" s="2"/>
      <c r="R107" s="4"/>
      <c r="S107" s="4"/>
      <c r="T107" s="4"/>
      <c r="U107" s="4"/>
      <c r="V107" s="4"/>
      <c r="W107" s="4"/>
    </row>
    <row r="108" spans="1:23" ht="14.5" hidden="1" customHeight="1" x14ac:dyDescent="0.2">
      <c r="A108">
        <f t="shared" si="1"/>
        <v>102</v>
      </c>
      <c r="B108">
        <v>2008</v>
      </c>
      <c r="C108" t="s">
        <v>179</v>
      </c>
      <c r="D108" t="s">
        <v>341</v>
      </c>
      <c r="E108" s="22">
        <v>100</v>
      </c>
      <c r="H108" t="s">
        <v>151</v>
      </c>
      <c r="I108" t="s">
        <v>279</v>
      </c>
      <c r="J108" t="s">
        <v>6</v>
      </c>
      <c r="K108" t="s">
        <v>219</v>
      </c>
      <c r="M108" s="4"/>
      <c r="N108" s="2"/>
      <c r="O108" s="21"/>
      <c r="P108" s="2"/>
      <c r="Q108" s="2"/>
      <c r="R108" s="4"/>
      <c r="S108" s="4"/>
      <c r="T108" s="4"/>
      <c r="U108" s="4"/>
      <c r="V108" s="4"/>
      <c r="W108" s="4"/>
    </row>
    <row r="109" spans="1:23" ht="14.5" hidden="1" customHeight="1" x14ac:dyDescent="0.2">
      <c r="A109">
        <f t="shared" si="1"/>
        <v>103</v>
      </c>
      <c r="B109">
        <v>2008</v>
      </c>
      <c r="C109" t="s">
        <v>179</v>
      </c>
      <c r="D109" t="s">
        <v>341</v>
      </c>
      <c r="E109" s="22">
        <v>260</v>
      </c>
      <c r="H109" t="s">
        <v>154</v>
      </c>
      <c r="I109" t="s">
        <v>529</v>
      </c>
      <c r="J109" t="s">
        <v>80</v>
      </c>
      <c r="K109" t="s">
        <v>214</v>
      </c>
      <c r="M109" s="4"/>
      <c r="N109" s="2"/>
      <c r="O109" s="21"/>
      <c r="P109" s="2"/>
      <c r="Q109" s="2"/>
      <c r="R109" s="4"/>
      <c r="S109" s="4"/>
      <c r="T109" s="4"/>
      <c r="U109" s="4"/>
      <c r="V109" s="4"/>
      <c r="W109" s="4"/>
    </row>
    <row r="110" spans="1:23" ht="14.5" hidden="1" customHeight="1" x14ac:dyDescent="0.2">
      <c r="A110">
        <f t="shared" si="1"/>
        <v>104</v>
      </c>
      <c r="B110">
        <v>2008</v>
      </c>
      <c r="C110" t="s">
        <v>179</v>
      </c>
      <c r="D110" t="s">
        <v>479</v>
      </c>
      <c r="E110" s="22">
        <v>100</v>
      </c>
      <c r="H110" t="s">
        <v>154</v>
      </c>
      <c r="I110" t="s">
        <v>271</v>
      </c>
      <c r="J110" t="s">
        <v>130</v>
      </c>
      <c r="K110" t="s">
        <v>214</v>
      </c>
      <c r="M110" s="4"/>
      <c r="N110" s="2"/>
      <c r="O110" s="21"/>
      <c r="P110" s="2"/>
      <c r="Q110" s="2"/>
      <c r="R110" s="4"/>
      <c r="S110" s="4"/>
      <c r="T110" s="4"/>
      <c r="U110" s="4"/>
      <c r="V110" s="4"/>
      <c r="W110" s="4"/>
    </row>
    <row r="111" spans="1:23" ht="14.5" hidden="1" customHeight="1" x14ac:dyDescent="0.2">
      <c r="A111">
        <f t="shared" si="1"/>
        <v>105</v>
      </c>
      <c r="B111">
        <v>2008</v>
      </c>
      <c r="C111" t="s">
        <v>184</v>
      </c>
      <c r="D111" t="s">
        <v>444</v>
      </c>
      <c r="E111" s="22">
        <v>640</v>
      </c>
      <c r="G111" t="s">
        <v>1188</v>
      </c>
      <c r="H111" t="s">
        <v>144</v>
      </c>
      <c r="I111" t="s">
        <v>273</v>
      </c>
      <c r="J111" t="s">
        <v>53</v>
      </c>
      <c r="K111" t="s">
        <v>183</v>
      </c>
      <c r="M111" s="4"/>
      <c r="N111" s="2"/>
      <c r="O111" s="21"/>
      <c r="P111" s="2"/>
      <c r="Q111" s="2"/>
      <c r="R111" s="4"/>
      <c r="S111" s="4"/>
      <c r="T111" s="4"/>
      <c r="U111" s="4"/>
      <c r="V111" s="4"/>
      <c r="W111" s="4"/>
    </row>
    <row r="112" spans="1:23" ht="14.5" hidden="1" customHeight="1" x14ac:dyDescent="0.2">
      <c r="A112">
        <f t="shared" si="1"/>
        <v>106</v>
      </c>
      <c r="B112">
        <v>2008</v>
      </c>
      <c r="C112" t="s">
        <v>184</v>
      </c>
      <c r="D112" t="s">
        <v>246</v>
      </c>
      <c r="E112" s="22">
        <v>100</v>
      </c>
      <c r="H112" t="s">
        <v>142</v>
      </c>
      <c r="J112" t="s">
        <v>116</v>
      </c>
      <c r="K112" t="s">
        <v>214</v>
      </c>
      <c r="M112" s="4"/>
      <c r="N112" s="2"/>
      <c r="O112" s="21"/>
      <c r="P112" s="2"/>
      <c r="Q112" s="2"/>
      <c r="R112" s="4"/>
      <c r="S112" s="4"/>
      <c r="T112" s="4"/>
      <c r="U112" s="4"/>
      <c r="V112" s="4"/>
      <c r="W112" s="4"/>
    </row>
    <row r="113" spans="1:23" ht="14.5" hidden="1" customHeight="1" x14ac:dyDescent="0.2">
      <c r="A113">
        <f t="shared" si="1"/>
        <v>107</v>
      </c>
      <c r="B113">
        <v>2008</v>
      </c>
      <c r="C113" t="s">
        <v>184</v>
      </c>
      <c r="D113" t="s">
        <v>2423</v>
      </c>
      <c r="E113" s="22">
        <v>400</v>
      </c>
      <c r="H113" t="s">
        <v>144</v>
      </c>
      <c r="I113" t="s">
        <v>197</v>
      </c>
      <c r="J113" t="s">
        <v>116</v>
      </c>
      <c r="K113" t="s">
        <v>214</v>
      </c>
      <c r="M113" s="4"/>
      <c r="N113" s="2"/>
      <c r="O113" s="21"/>
      <c r="P113" s="2"/>
      <c r="Q113" s="2"/>
      <c r="R113" s="4"/>
      <c r="S113" s="4"/>
      <c r="T113" s="4"/>
      <c r="U113" s="4"/>
      <c r="V113" s="4"/>
      <c r="W113" s="4"/>
    </row>
    <row r="114" spans="1:23" ht="14.5" hidden="1" customHeight="1" x14ac:dyDescent="0.2">
      <c r="A114">
        <f t="shared" si="1"/>
        <v>108</v>
      </c>
      <c r="B114">
        <v>2008</v>
      </c>
      <c r="C114" t="s">
        <v>184</v>
      </c>
      <c r="D114" t="s">
        <v>246</v>
      </c>
      <c r="E114" s="22">
        <v>160</v>
      </c>
      <c r="H114" t="s">
        <v>155</v>
      </c>
      <c r="J114" t="s">
        <v>5</v>
      </c>
      <c r="K114" t="s">
        <v>214</v>
      </c>
      <c r="M114" s="4"/>
      <c r="N114" s="2"/>
      <c r="O114" s="21"/>
      <c r="P114" s="2"/>
      <c r="Q114" s="2"/>
      <c r="R114" s="4"/>
      <c r="S114" s="4"/>
      <c r="T114" s="4"/>
      <c r="U114" s="4"/>
      <c r="V114" s="4"/>
      <c r="W114" s="4"/>
    </row>
    <row r="115" spans="1:23" ht="14.5" hidden="1" customHeight="1" x14ac:dyDescent="0.2">
      <c r="A115">
        <f t="shared" si="1"/>
        <v>109</v>
      </c>
      <c r="B115">
        <v>2008</v>
      </c>
      <c r="C115" t="s">
        <v>184</v>
      </c>
      <c r="D115" t="s">
        <v>189</v>
      </c>
      <c r="E115" s="22">
        <v>760</v>
      </c>
      <c r="H115" t="s">
        <v>155</v>
      </c>
      <c r="J115" t="s">
        <v>5</v>
      </c>
      <c r="K115" t="s">
        <v>214</v>
      </c>
      <c r="M115" s="4"/>
      <c r="N115" s="2"/>
      <c r="O115" s="21"/>
      <c r="P115" s="2"/>
      <c r="Q115" s="2"/>
      <c r="R115" s="4"/>
      <c r="S115" s="4"/>
      <c r="T115" s="4"/>
      <c r="U115" s="4"/>
      <c r="V115" s="4"/>
      <c r="W115" s="4"/>
    </row>
    <row r="116" spans="1:23" ht="14.5" hidden="1" customHeight="1" x14ac:dyDescent="0.2">
      <c r="A116">
        <f t="shared" si="1"/>
        <v>110</v>
      </c>
      <c r="B116">
        <v>2008</v>
      </c>
      <c r="C116" t="s">
        <v>225</v>
      </c>
      <c r="D116" t="s">
        <v>815</v>
      </c>
      <c r="E116" s="22">
        <v>130</v>
      </c>
      <c r="H116" t="s">
        <v>151</v>
      </c>
      <c r="I116" t="s">
        <v>279</v>
      </c>
      <c r="J116" t="s">
        <v>32</v>
      </c>
      <c r="K116" t="s">
        <v>195</v>
      </c>
      <c r="M116" s="4"/>
      <c r="N116" s="2"/>
      <c r="O116" s="21"/>
      <c r="P116" s="2"/>
      <c r="Q116" s="2"/>
      <c r="R116" s="4"/>
      <c r="S116" s="4"/>
      <c r="T116" s="4"/>
      <c r="U116" s="4"/>
      <c r="V116" s="4"/>
      <c r="W116" s="4"/>
    </row>
    <row r="117" spans="1:23" ht="14.5" hidden="1" customHeight="1" x14ac:dyDescent="0.2">
      <c r="A117">
        <f t="shared" si="1"/>
        <v>111</v>
      </c>
      <c r="B117">
        <v>2008</v>
      </c>
      <c r="C117" t="s">
        <v>225</v>
      </c>
      <c r="D117" t="s">
        <v>2424</v>
      </c>
      <c r="E117" s="22">
        <v>900</v>
      </c>
      <c r="G117" t="s">
        <v>2425</v>
      </c>
      <c r="H117" t="s">
        <v>142</v>
      </c>
      <c r="J117" t="s">
        <v>136</v>
      </c>
      <c r="K117" t="s">
        <v>183</v>
      </c>
      <c r="M117" s="4"/>
      <c r="N117" s="2"/>
      <c r="O117" s="21"/>
      <c r="P117" s="2"/>
      <c r="Q117" s="2"/>
      <c r="R117" s="4"/>
      <c r="S117" s="4"/>
      <c r="T117" s="4"/>
      <c r="U117" s="4"/>
      <c r="V117" s="4"/>
      <c r="W117" s="4"/>
    </row>
    <row r="118" spans="1:23" ht="14.5" hidden="1" customHeight="1" x14ac:dyDescent="0.2">
      <c r="A118">
        <f t="shared" si="1"/>
        <v>112</v>
      </c>
      <c r="B118">
        <v>2008</v>
      </c>
      <c r="C118" t="s">
        <v>225</v>
      </c>
      <c r="D118" t="s">
        <v>557</v>
      </c>
      <c r="E118" s="22">
        <v>170</v>
      </c>
      <c r="G118" t="s">
        <v>2426</v>
      </c>
      <c r="H118" t="s">
        <v>151</v>
      </c>
      <c r="I118" t="s">
        <v>279</v>
      </c>
      <c r="J118" t="s">
        <v>63</v>
      </c>
      <c r="K118" t="s">
        <v>201</v>
      </c>
      <c r="M118" s="4"/>
      <c r="N118" s="2"/>
      <c r="O118" s="21"/>
      <c r="P118" s="2"/>
      <c r="Q118" s="2"/>
      <c r="R118" s="4"/>
      <c r="S118" s="4"/>
      <c r="T118" s="4"/>
      <c r="U118" s="4"/>
      <c r="V118" s="4"/>
      <c r="W118" s="4"/>
    </row>
    <row r="119" spans="1:23" ht="14.5" hidden="1" customHeight="1" x14ac:dyDescent="0.2">
      <c r="A119">
        <f t="shared" si="1"/>
        <v>113</v>
      </c>
      <c r="B119">
        <v>2008</v>
      </c>
      <c r="C119" t="s">
        <v>225</v>
      </c>
      <c r="D119" t="s">
        <v>180</v>
      </c>
      <c r="E119" s="22">
        <v>290</v>
      </c>
      <c r="H119" t="s">
        <v>154</v>
      </c>
      <c r="I119" t="s">
        <v>194</v>
      </c>
      <c r="J119" t="s">
        <v>115</v>
      </c>
      <c r="K119" t="s">
        <v>201</v>
      </c>
      <c r="M119" s="4"/>
      <c r="N119" s="2"/>
      <c r="O119" s="21"/>
      <c r="P119" s="2"/>
      <c r="Q119" s="2"/>
      <c r="R119" s="4"/>
      <c r="S119" s="4"/>
      <c r="T119" s="4"/>
      <c r="U119" s="4"/>
      <c r="V119" s="4"/>
      <c r="W119" s="4"/>
    </row>
    <row r="120" spans="1:23" ht="14.5" hidden="1" customHeight="1" x14ac:dyDescent="0.2">
      <c r="A120">
        <f t="shared" si="1"/>
        <v>114</v>
      </c>
      <c r="B120">
        <v>2008</v>
      </c>
      <c r="C120" t="s">
        <v>225</v>
      </c>
      <c r="D120" t="s">
        <v>397</v>
      </c>
      <c r="E120" s="22">
        <v>2140</v>
      </c>
      <c r="H120" t="s">
        <v>154</v>
      </c>
      <c r="I120" t="s">
        <v>194</v>
      </c>
      <c r="J120" t="s">
        <v>29</v>
      </c>
      <c r="K120" t="s">
        <v>219</v>
      </c>
      <c r="M120" s="4"/>
      <c r="N120" s="2"/>
      <c r="O120" s="21"/>
      <c r="P120" s="2"/>
      <c r="Q120" s="2"/>
      <c r="R120" s="4"/>
      <c r="S120" s="4"/>
      <c r="T120" s="4"/>
      <c r="U120" s="4"/>
      <c r="V120" s="4"/>
      <c r="W120" s="4"/>
    </row>
    <row r="121" spans="1:23" ht="14.5" hidden="1" customHeight="1" x14ac:dyDescent="0.2">
      <c r="A121">
        <f t="shared" si="1"/>
        <v>115</v>
      </c>
      <c r="B121">
        <v>2008</v>
      </c>
      <c r="C121" t="s">
        <v>225</v>
      </c>
      <c r="D121" t="s">
        <v>196</v>
      </c>
      <c r="E121" s="22">
        <v>150</v>
      </c>
      <c r="G121" t="s">
        <v>2427</v>
      </c>
      <c r="H121" t="s">
        <v>144</v>
      </c>
      <c r="J121" t="s">
        <v>72</v>
      </c>
      <c r="K121" t="s">
        <v>183</v>
      </c>
      <c r="M121" s="4"/>
      <c r="N121" s="2"/>
      <c r="O121" s="21"/>
      <c r="P121" s="2"/>
      <c r="Q121" s="2"/>
      <c r="R121" s="4"/>
      <c r="S121" s="4"/>
      <c r="T121" s="4"/>
      <c r="U121" s="4"/>
      <c r="V121" s="4"/>
      <c r="W121" s="4"/>
    </row>
    <row r="122" spans="1:23" ht="14.5" hidden="1" customHeight="1" x14ac:dyDescent="0.2">
      <c r="A122">
        <f t="shared" si="1"/>
        <v>116</v>
      </c>
      <c r="B122">
        <v>2008</v>
      </c>
      <c r="C122" t="s">
        <v>225</v>
      </c>
      <c r="D122" t="s">
        <v>196</v>
      </c>
      <c r="E122" s="22">
        <v>100</v>
      </c>
      <c r="H122" t="s">
        <v>147</v>
      </c>
      <c r="J122" t="s">
        <v>34</v>
      </c>
      <c r="K122" t="s">
        <v>219</v>
      </c>
      <c r="M122" s="4"/>
      <c r="N122" s="2"/>
      <c r="O122" s="21"/>
      <c r="P122" s="2"/>
      <c r="Q122" s="2"/>
      <c r="R122" s="4"/>
      <c r="S122" s="4"/>
      <c r="T122" s="4"/>
      <c r="U122" s="4"/>
      <c r="V122" s="4"/>
      <c r="W122" s="4"/>
    </row>
    <row r="123" spans="1:23" ht="14.5" hidden="1" customHeight="1" x14ac:dyDescent="0.2">
      <c r="A123">
        <f t="shared" si="1"/>
        <v>117</v>
      </c>
      <c r="B123">
        <v>2008</v>
      </c>
      <c r="C123" t="s">
        <v>188</v>
      </c>
      <c r="D123" t="s">
        <v>180</v>
      </c>
      <c r="E123" s="22">
        <v>200</v>
      </c>
      <c r="H123" t="s">
        <v>149</v>
      </c>
      <c r="I123" t="s">
        <v>182</v>
      </c>
      <c r="J123" t="s">
        <v>54</v>
      </c>
      <c r="K123" t="s">
        <v>201</v>
      </c>
      <c r="M123" s="4"/>
      <c r="N123" s="2"/>
      <c r="O123" s="21"/>
      <c r="P123" s="2"/>
      <c r="Q123" s="2"/>
      <c r="R123" s="4"/>
      <c r="S123" s="4"/>
      <c r="T123" s="4"/>
      <c r="U123" s="4"/>
      <c r="V123" s="4"/>
      <c r="W123" s="4"/>
    </row>
    <row r="124" spans="1:23" ht="14.25" hidden="1" customHeight="1" x14ac:dyDescent="0.2">
      <c r="A124">
        <f t="shared" si="1"/>
        <v>118</v>
      </c>
      <c r="B124">
        <v>2008</v>
      </c>
      <c r="C124" t="s">
        <v>188</v>
      </c>
      <c r="D124" t="s">
        <v>221</v>
      </c>
      <c r="E124" s="22">
        <v>2940</v>
      </c>
      <c r="H124" t="s">
        <v>151</v>
      </c>
      <c r="I124" t="s">
        <v>279</v>
      </c>
      <c r="J124" t="s">
        <v>6</v>
      </c>
      <c r="K124" t="s">
        <v>219</v>
      </c>
      <c r="M124" s="4"/>
      <c r="N124" s="2"/>
      <c r="O124" s="21"/>
      <c r="P124" s="2"/>
      <c r="Q124" s="2"/>
      <c r="R124" s="4"/>
      <c r="S124" s="4"/>
      <c r="T124" s="4"/>
      <c r="U124" s="4"/>
      <c r="V124" s="4"/>
      <c r="W124" s="4"/>
    </row>
    <row r="125" spans="1:23" ht="14.25" hidden="1" customHeight="1" x14ac:dyDescent="0.2">
      <c r="A125">
        <f t="shared" si="1"/>
        <v>119</v>
      </c>
      <c r="B125">
        <v>2008</v>
      </c>
      <c r="C125" t="s">
        <v>188</v>
      </c>
      <c r="D125" t="s">
        <v>557</v>
      </c>
      <c r="E125" s="22">
        <v>110</v>
      </c>
      <c r="H125" t="s">
        <v>151</v>
      </c>
      <c r="I125" t="s">
        <v>279</v>
      </c>
      <c r="J125" t="s">
        <v>128</v>
      </c>
      <c r="K125" t="s">
        <v>201</v>
      </c>
      <c r="M125" s="4"/>
      <c r="N125" s="2"/>
      <c r="O125" s="21"/>
      <c r="P125" s="2"/>
      <c r="Q125" s="2"/>
      <c r="R125" s="4"/>
      <c r="S125" s="4"/>
      <c r="T125" s="4"/>
      <c r="U125" s="4"/>
      <c r="V125" s="4"/>
      <c r="W125" s="4"/>
    </row>
    <row r="126" spans="1:23" ht="14.5" hidden="1" customHeight="1" x14ac:dyDescent="0.2">
      <c r="A126">
        <f t="shared" si="1"/>
        <v>120</v>
      </c>
      <c r="B126">
        <v>2008</v>
      </c>
      <c r="C126" t="s">
        <v>188</v>
      </c>
      <c r="D126" t="s">
        <v>399</v>
      </c>
      <c r="E126" s="22">
        <v>1170</v>
      </c>
      <c r="G126" t="s">
        <v>2428</v>
      </c>
      <c r="H126" t="s">
        <v>144</v>
      </c>
      <c r="I126" t="s">
        <v>273</v>
      </c>
      <c r="J126" t="s">
        <v>52</v>
      </c>
      <c r="K126" t="s">
        <v>201</v>
      </c>
      <c r="M126" s="4"/>
      <c r="N126" s="2"/>
      <c r="O126" s="21"/>
      <c r="P126" s="2"/>
      <c r="Q126" s="2"/>
      <c r="R126" s="4"/>
      <c r="S126" s="4"/>
      <c r="T126" s="4"/>
      <c r="U126" s="4"/>
      <c r="V126" s="4"/>
      <c r="W126" s="4"/>
    </row>
    <row r="127" spans="1:23" ht="14.5" hidden="1" customHeight="1" x14ac:dyDescent="0.2">
      <c r="A127">
        <f t="shared" si="1"/>
        <v>121</v>
      </c>
      <c r="B127">
        <v>2008</v>
      </c>
      <c r="C127" t="s">
        <v>188</v>
      </c>
      <c r="D127" t="s">
        <v>246</v>
      </c>
      <c r="E127" s="22">
        <v>120</v>
      </c>
      <c r="H127" t="s">
        <v>154</v>
      </c>
      <c r="I127" t="s">
        <v>194</v>
      </c>
      <c r="J127" t="s">
        <v>93</v>
      </c>
      <c r="K127" t="s">
        <v>201</v>
      </c>
      <c r="M127" s="4"/>
      <c r="N127" s="2"/>
      <c r="O127" s="21"/>
      <c r="P127" s="2"/>
      <c r="Q127" s="2"/>
      <c r="R127" s="4"/>
      <c r="S127" s="4"/>
      <c r="T127" s="4"/>
      <c r="U127" s="4"/>
      <c r="V127" s="4"/>
      <c r="W127" s="4"/>
    </row>
    <row r="128" spans="1:23" ht="14.5" hidden="1" customHeight="1" x14ac:dyDescent="0.2">
      <c r="A128">
        <f t="shared" si="1"/>
        <v>122</v>
      </c>
      <c r="B128">
        <v>2008</v>
      </c>
      <c r="C128" t="s">
        <v>188</v>
      </c>
      <c r="D128" t="s">
        <v>479</v>
      </c>
      <c r="E128" s="22">
        <v>320</v>
      </c>
      <c r="H128" t="s">
        <v>154</v>
      </c>
      <c r="I128" t="s">
        <v>194</v>
      </c>
      <c r="J128" t="s">
        <v>29</v>
      </c>
      <c r="K128" t="s">
        <v>219</v>
      </c>
      <c r="M128" s="4"/>
      <c r="N128" s="2"/>
      <c r="O128" s="21"/>
      <c r="P128" s="2"/>
      <c r="Q128" s="2"/>
      <c r="R128" s="4"/>
      <c r="S128" s="4"/>
      <c r="T128" s="4"/>
      <c r="U128" s="4"/>
      <c r="V128" s="4"/>
      <c r="W128" s="4"/>
    </row>
    <row r="129" spans="1:23" ht="14.5" hidden="1" customHeight="1" x14ac:dyDescent="0.2">
      <c r="A129">
        <f t="shared" si="1"/>
        <v>123</v>
      </c>
      <c r="B129">
        <v>2008</v>
      </c>
      <c r="C129" t="s">
        <v>191</v>
      </c>
      <c r="D129" t="s">
        <v>479</v>
      </c>
      <c r="E129" s="22">
        <v>440</v>
      </c>
      <c r="H129" t="s">
        <v>154</v>
      </c>
      <c r="I129" t="s">
        <v>271</v>
      </c>
      <c r="J129" t="s">
        <v>89</v>
      </c>
      <c r="K129" t="s">
        <v>219</v>
      </c>
      <c r="M129" s="4"/>
      <c r="N129" s="2"/>
      <c r="O129" s="21"/>
      <c r="P129" s="2"/>
      <c r="Q129" s="2"/>
      <c r="R129" s="4"/>
      <c r="S129" s="4"/>
      <c r="T129" s="4"/>
      <c r="U129" s="4"/>
      <c r="V129" s="4"/>
      <c r="W129" s="4"/>
    </row>
    <row r="130" spans="1:23" ht="14.5" hidden="1" customHeight="1" x14ac:dyDescent="0.2">
      <c r="A130">
        <f t="shared" si="1"/>
        <v>124</v>
      </c>
      <c r="B130">
        <v>2008</v>
      </c>
      <c r="C130" t="s">
        <v>191</v>
      </c>
      <c r="D130" t="s">
        <v>267</v>
      </c>
      <c r="E130" s="22">
        <v>460</v>
      </c>
      <c r="G130" t="s">
        <v>1100</v>
      </c>
      <c r="H130" t="s">
        <v>149</v>
      </c>
      <c r="I130" t="s">
        <v>238</v>
      </c>
      <c r="J130" t="s">
        <v>136</v>
      </c>
      <c r="K130" t="s">
        <v>183</v>
      </c>
      <c r="M130" s="4"/>
      <c r="N130" s="2"/>
      <c r="O130" s="21"/>
      <c r="P130" s="2"/>
      <c r="Q130" s="2"/>
      <c r="R130" s="4"/>
      <c r="S130" s="4"/>
      <c r="T130" s="4"/>
      <c r="U130" s="4"/>
      <c r="V130" s="4"/>
      <c r="W130" s="4"/>
    </row>
    <row r="131" spans="1:23" ht="14.5" hidden="1" customHeight="1" x14ac:dyDescent="0.2">
      <c r="A131">
        <f t="shared" si="1"/>
        <v>125</v>
      </c>
      <c r="B131">
        <v>2008</v>
      </c>
      <c r="C131" t="s">
        <v>191</v>
      </c>
      <c r="D131" t="s">
        <v>479</v>
      </c>
      <c r="E131" s="22">
        <v>990</v>
      </c>
      <c r="G131" t="s">
        <v>2429</v>
      </c>
      <c r="H131" t="s">
        <v>154</v>
      </c>
      <c r="I131" t="s">
        <v>194</v>
      </c>
      <c r="J131" t="s">
        <v>89</v>
      </c>
      <c r="K131" t="s">
        <v>219</v>
      </c>
      <c r="M131" s="4"/>
      <c r="N131" s="2"/>
      <c r="O131" s="21"/>
      <c r="P131" s="2"/>
      <c r="Q131" s="2"/>
      <c r="R131" s="4"/>
      <c r="S131" s="4"/>
      <c r="T131" s="4"/>
      <c r="U131" s="4"/>
      <c r="V131" s="4"/>
      <c r="W131" s="4"/>
    </row>
    <row r="132" spans="1:23" ht="14.5" hidden="1" customHeight="1" x14ac:dyDescent="0.2">
      <c r="A132">
        <f t="shared" si="1"/>
        <v>126</v>
      </c>
      <c r="B132">
        <v>2008</v>
      </c>
      <c r="C132" t="s">
        <v>191</v>
      </c>
      <c r="D132" t="s">
        <v>180</v>
      </c>
      <c r="E132" s="22">
        <v>520</v>
      </c>
      <c r="G132" t="s">
        <v>2430</v>
      </c>
      <c r="H132" t="s">
        <v>145</v>
      </c>
      <c r="J132" t="s">
        <v>108</v>
      </c>
      <c r="K132" t="s">
        <v>183</v>
      </c>
      <c r="M132" s="4"/>
      <c r="N132" s="2"/>
      <c r="O132" s="21"/>
      <c r="P132" s="2"/>
      <c r="Q132" s="2"/>
      <c r="R132" s="4"/>
      <c r="S132" s="4"/>
      <c r="T132" s="4"/>
      <c r="U132" s="4"/>
      <c r="V132" s="4"/>
      <c r="W132" s="4"/>
    </row>
    <row r="133" spans="1:23" ht="14.5" hidden="1" customHeight="1" x14ac:dyDescent="0.2">
      <c r="A133">
        <f t="shared" si="1"/>
        <v>127</v>
      </c>
      <c r="B133">
        <v>2008</v>
      </c>
      <c r="C133" t="s">
        <v>191</v>
      </c>
      <c r="D133" t="s">
        <v>2431</v>
      </c>
      <c r="E133" s="22">
        <v>610</v>
      </c>
      <c r="G133" t="s">
        <v>2432</v>
      </c>
      <c r="H133" t="s">
        <v>150</v>
      </c>
      <c r="I133" t="s">
        <v>744</v>
      </c>
      <c r="J133" t="s">
        <v>105</v>
      </c>
      <c r="K133" t="s">
        <v>214</v>
      </c>
      <c r="M133" s="4"/>
      <c r="N133" s="2"/>
      <c r="O133" s="21"/>
      <c r="P133" s="2"/>
      <c r="Q133" s="2"/>
      <c r="R133" s="4"/>
      <c r="S133" s="4"/>
      <c r="T133" s="4"/>
      <c r="U133" s="4"/>
      <c r="V133" s="4"/>
      <c r="W133" s="4"/>
    </row>
    <row r="134" spans="1:23" ht="14.5" hidden="1" customHeight="1" x14ac:dyDescent="0.2">
      <c r="A134">
        <f t="shared" si="1"/>
        <v>128</v>
      </c>
      <c r="B134">
        <v>2008</v>
      </c>
      <c r="C134" t="s">
        <v>191</v>
      </c>
      <c r="D134" t="s">
        <v>444</v>
      </c>
      <c r="E134" s="22">
        <v>140</v>
      </c>
      <c r="H134" t="s">
        <v>142</v>
      </c>
      <c r="J134" t="s">
        <v>135</v>
      </c>
      <c r="K134" t="s">
        <v>205</v>
      </c>
      <c r="M134" s="4"/>
      <c r="N134" s="2"/>
      <c r="O134" s="21"/>
      <c r="P134" s="2"/>
      <c r="Q134" s="2"/>
      <c r="R134" s="4"/>
      <c r="S134" s="4"/>
      <c r="T134" s="4"/>
      <c r="U134" s="4"/>
      <c r="V134" s="4"/>
      <c r="W134" s="4"/>
    </row>
    <row r="135" spans="1:23" ht="14.5" hidden="1" customHeight="1" x14ac:dyDescent="0.2">
      <c r="A135">
        <f t="shared" ref="A135:A198" si="2">ROW()-6</f>
        <v>129</v>
      </c>
      <c r="B135">
        <v>2008</v>
      </c>
      <c r="C135" t="s">
        <v>191</v>
      </c>
      <c r="D135" t="s">
        <v>444</v>
      </c>
      <c r="E135" s="22">
        <v>120</v>
      </c>
      <c r="H135" t="s">
        <v>144</v>
      </c>
      <c r="I135" t="s">
        <v>299</v>
      </c>
      <c r="J135" t="s">
        <v>72</v>
      </c>
      <c r="K135" t="s">
        <v>183</v>
      </c>
      <c r="M135" s="4"/>
      <c r="N135" s="2"/>
      <c r="O135" s="21"/>
      <c r="P135" s="2"/>
      <c r="Q135" s="2"/>
      <c r="R135" s="4"/>
      <c r="S135" s="4"/>
      <c r="T135" s="4"/>
      <c r="U135" s="4"/>
      <c r="V135" s="4"/>
      <c r="W135" s="4"/>
    </row>
    <row r="136" spans="1:23" ht="14.5" hidden="1" customHeight="1" x14ac:dyDescent="0.2">
      <c r="A136">
        <f t="shared" si="2"/>
        <v>130</v>
      </c>
      <c r="B136">
        <v>2008</v>
      </c>
      <c r="C136" t="s">
        <v>198</v>
      </c>
      <c r="D136" t="s">
        <v>444</v>
      </c>
      <c r="E136" s="22">
        <v>240</v>
      </c>
      <c r="H136" t="s">
        <v>144</v>
      </c>
      <c r="J136" t="s">
        <v>53</v>
      </c>
      <c r="K136" t="s">
        <v>183</v>
      </c>
      <c r="M136" s="4"/>
      <c r="N136" s="2"/>
      <c r="O136" s="21"/>
      <c r="P136" s="2"/>
      <c r="Q136" s="2"/>
      <c r="R136" s="4"/>
      <c r="S136" s="4"/>
      <c r="T136" s="4"/>
      <c r="U136" s="4"/>
      <c r="V136" s="4"/>
      <c r="W136" s="4"/>
    </row>
    <row r="137" spans="1:23" ht="14.5" hidden="1" customHeight="1" x14ac:dyDescent="0.2">
      <c r="A137">
        <f t="shared" si="2"/>
        <v>131</v>
      </c>
      <c r="B137">
        <v>2008</v>
      </c>
      <c r="C137" t="s">
        <v>198</v>
      </c>
      <c r="D137" t="s">
        <v>2391</v>
      </c>
      <c r="E137" s="22">
        <v>110</v>
      </c>
      <c r="G137" t="s">
        <v>2433</v>
      </c>
      <c r="H137" t="s">
        <v>151</v>
      </c>
      <c r="I137" t="s">
        <v>279</v>
      </c>
      <c r="J137" t="s">
        <v>116</v>
      </c>
      <c r="K137" t="s">
        <v>214</v>
      </c>
      <c r="M137" s="4"/>
      <c r="N137" s="2"/>
      <c r="O137" s="21"/>
      <c r="P137" s="2"/>
      <c r="Q137" s="2"/>
      <c r="R137" s="4"/>
      <c r="S137" s="4"/>
      <c r="T137" s="4"/>
      <c r="U137" s="4"/>
      <c r="V137" s="4"/>
      <c r="W137" s="4"/>
    </row>
    <row r="138" spans="1:23" ht="14.5" hidden="1" customHeight="1" x14ac:dyDescent="0.2">
      <c r="A138">
        <f t="shared" si="2"/>
        <v>132</v>
      </c>
      <c r="B138">
        <v>2008</v>
      </c>
      <c r="C138" t="s">
        <v>198</v>
      </c>
      <c r="D138" t="s">
        <v>2386</v>
      </c>
      <c r="E138" s="22">
        <v>140</v>
      </c>
      <c r="H138" t="s">
        <v>144</v>
      </c>
      <c r="I138" t="s">
        <v>299</v>
      </c>
      <c r="J138" t="s">
        <v>62</v>
      </c>
      <c r="K138" t="s">
        <v>214</v>
      </c>
      <c r="M138" s="4"/>
      <c r="N138" s="2"/>
      <c r="O138" s="21"/>
      <c r="P138" s="2"/>
      <c r="Q138" s="2"/>
      <c r="R138" s="4"/>
      <c r="S138" s="4"/>
      <c r="T138" s="4"/>
      <c r="U138" s="4"/>
      <c r="V138" s="4"/>
      <c r="W138" s="4"/>
    </row>
    <row r="139" spans="1:23" ht="14.5" hidden="1" customHeight="1" x14ac:dyDescent="0.2">
      <c r="A139">
        <f t="shared" si="2"/>
        <v>133</v>
      </c>
      <c r="B139">
        <v>2008</v>
      </c>
      <c r="C139" t="s">
        <v>198</v>
      </c>
      <c r="D139" t="s">
        <v>2434</v>
      </c>
      <c r="E139" s="22">
        <v>310</v>
      </c>
      <c r="H139" t="s">
        <v>154</v>
      </c>
      <c r="I139" t="s">
        <v>529</v>
      </c>
      <c r="J139" t="s">
        <v>108</v>
      </c>
      <c r="K139" t="s">
        <v>183</v>
      </c>
      <c r="M139" s="4"/>
      <c r="N139" s="2"/>
      <c r="O139" s="21"/>
      <c r="P139" s="2"/>
      <c r="Q139" s="2"/>
      <c r="R139" s="4"/>
      <c r="S139" s="4"/>
      <c r="T139" s="4"/>
      <c r="U139" s="4"/>
      <c r="V139" s="4"/>
      <c r="W139" s="4"/>
    </row>
    <row r="140" spans="1:23" ht="14.5" hidden="1" customHeight="1" x14ac:dyDescent="0.2">
      <c r="A140">
        <f t="shared" si="2"/>
        <v>134</v>
      </c>
      <c r="B140">
        <v>2008</v>
      </c>
      <c r="C140" t="s">
        <v>202</v>
      </c>
      <c r="D140" t="s">
        <v>479</v>
      </c>
      <c r="E140" s="22">
        <v>220</v>
      </c>
      <c r="H140" t="s">
        <v>154</v>
      </c>
      <c r="I140" t="s">
        <v>271</v>
      </c>
      <c r="J140" t="s">
        <v>38</v>
      </c>
      <c r="K140" t="s">
        <v>214</v>
      </c>
      <c r="M140" s="4"/>
      <c r="N140" s="2"/>
      <c r="O140" s="21"/>
      <c r="P140" s="2"/>
      <c r="Q140" s="2"/>
      <c r="R140" s="4"/>
      <c r="S140" s="4"/>
      <c r="T140" s="4"/>
      <c r="U140" s="4"/>
      <c r="V140" s="4"/>
      <c r="W140" s="4"/>
    </row>
    <row r="141" spans="1:23" ht="14.5" hidden="1" customHeight="1" x14ac:dyDescent="0.2">
      <c r="A141">
        <f t="shared" si="2"/>
        <v>135</v>
      </c>
      <c r="B141">
        <v>2008</v>
      </c>
      <c r="C141" t="s">
        <v>202</v>
      </c>
      <c r="D141" t="s">
        <v>1234</v>
      </c>
      <c r="E141" s="22">
        <v>330</v>
      </c>
      <c r="H141" t="s">
        <v>144</v>
      </c>
      <c r="I141" t="s">
        <v>273</v>
      </c>
      <c r="J141" t="s">
        <v>14</v>
      </c>
      <c r="K141" t="s">
        <v>195</v>
      </c>
      <c r="M141" s="4"/>
      <c r="N141" s="2"/>
      <c r="O141" s="21"/>
      <c r="P141" s="2"/>
      <c r="Q141" s="2"/>
      <c r="R141" s="4"/>
      <c r="S141" s="4"/>
      <c r="T141" s="4"/>
      <c r="U141" s="4"/>
      <c r="V141" s="4"/>
      <c r="W141" s="4"/>
    </row>
    <row r="142" spans="1:23" ht="14.5" hidden="1" customHeight="1" x14ac:dyDescent="0.2">
      <c r="A142">
        <f t="shared" si="2"/>
        <v>136</v>
      </c>
      <c r="B142">
        <v>2008</v>
      </c>
      <c r="C142" t="s">
        <v>207</v>
      </c>
      <c r="D142" t="s">
        <v>479</v>
      </c>
      <c r="E142" s="22">
        <v>680</v>
      </c>
      <c r="H142" t="s">
        <v>154</v>
      </c>
      <c r="I142" t="s">
        <v>194</v>
      </c>
      <c r="J142" t="s">
        <v>72</v>
      </c>
      <c r="K142" t="s">
        <v>183</v>
      </c>
      <c r="M142" s="4"/>
      <c r="N142" s="2"/>
      <c r="O142" s="21"/>
      <c r="P142" s="2"/>
      <c r="Q142" s="2"/>
      <c r="R142" s="4"/>
      <c r="S142" s="4"/>
      <c r="T142" s="4"/>
      <c r="U142" s="4"/>
      <c r="V142" s="4"/>
      <c r="W142" s="4"/>
    </row>
    <row r="143" spans="1:23" ht="14.5" hidden="1" customHeight="1" x14ac:dyDescent="0.2">
      <c r="A143">
        <f t="shared" si="2"/>
        <v>137</v>
      </c>
      <c r="B143">
        <v>2008</v>
      </c>
      <c r="C143" t="s">
        <v>207</v>
      </c>
      <c r="D143" t="s">
        <v>246</v>
      </c>
      <c r="E143" s="22">
        <v>160</v>
      </c>
      <c r="H143" t="s">
        <v>144</v>
      </c>
      <c r="I143" t="s">
        <v>197</v>
      </c>
      <c r="J143" t="s">
        <v>52</v>
      </c>
      <c r="K143" t="s">
        <v>201</v>
      </c>
      <c r="M143" s="4"/>
      <c r="N143" s="2"/>
      <c r="O143" s="21"/>
      <c r="P143" s="2"/>
      <c r="Q143" s="2"/>
      <c r="R143" s="4"/>
      <c r="S143" s="4"/>
      <c r="T143" s="4"/>
      <c r="U143" s="4"/>
      <c r="V143" s="4"/>
      <c r="W143" s="4"/>
    </row>
    <row r="144" spans="1:23" ht="14.5" hidden="1" customHeight="1" x14ac:dyDescent="0.2">
      <c r="A144">
        <f t="shared" si="2"/>
        <v>138</v>
      </c>
      <c r="B144">
        <v>2008</v>
      </c>
      <c r="C144" t="s">
        <v>207</v>
      </c>
      <c r="D144" t="s">
        <v>196</v>
      </c>
      <c r="E144" s="22">
        <v>280</v>
      </c>
      <c r="G144" t="s">
        <v>2435</v>
      </c>
      <c r="H144" t="s">
        <v>144</v>
      </c>
      <c r="I144" t="s">
        <v>197</v>
      </c>
      <c r="J144" t="s">
        <v>138</v>
      </c>
      <c r="K144" t="s">
        <v>219</v>
      </c>
      <c r="M144" s="4"/>
      <c r="N144" s="2"/>
      <c r="O144" s="21"/>
      <c r="P144" s="2"/>
      <c r="Q144" s="2"/>
      <c r="R144" s="4"/>
      <c r="S144" s="4"/>
      <c r="T144" s="4"/>
      <c r="U144" s="4"/>
      <c r="V144" s="4"/>
      <c r="W144" s="4"/>
    </row>
    <row r="145" spans="1:23" ht="14.25" hidden="1" customHeight="1" x14ac:dyDescent="0.2">
      <c r="A145">
        <f t="shared" si="2"/>
        <v>139</v>
      </c>
      <c r="B145">
        <v>2008</v>
      </c>
      <c r="C145" t="s">
        <v>207</v>
      </c>
      <c r="D145" t="s">
        <v>543</v>
      </c>
      <c r="E145" s="22">
        <v>400</v>
      </c>
      <c r="G145" t="s">
        <v>2436</v>
      </c>
      <c r="H145" t="s">
        <v>152</v>
      </c>
      <c r="I145" t="s">
        <v>257</v>
      </c>
      <c r="J145" t="s">
        <v>52</v>
      </c>
      <c r="K145" t="s">
        <v>201</v>
      </c>
      <c r="M145" s="4"/>
      <c r="N145" s="2"/>
      <c r="O145" s="21"/>
      <c r="P145" s="2"/>
      <c r="Q145" s="2"/>
      <c r="R145" s="4"/>
      <c r="S145" s="4"/>
      <c r="T145" s="4"/>
      <c r="U145" s="4"/>
      <c r="V145" s="4"/>
      <c r="W145" s="4"/>
    </row>
    <row r="146" spans="1:23" ht="14.5" hidden="1" customHeight="1" x14ac:dyDescent="0.2">
      <c r="A146">
        <f t="shared" si="2"/>
        <v>140</v>
      </c>
      <c r="B146">
        <v>2008</v>
      </c>
      <c r="C146" t="s">
        <v>207</v>
      </c>
      <c r="D146" t="s">
        <v>815</v>
      </c>
      <c r="E146" s="22">
        <v>210</v>
      </c>
      <c r="G146" t="s">
        <v>2003</v>
      </c>
      <c r="H146" t="s">
        <v>151</v>
      </c>
      <c r="I146" t="s">
        <v>279</v>
      </c>
      <c r="J146" t="s">
        <v>133</v>
      </c>
      <c r="K146" t="s">
        <v>195</v>
      </c>
      <c r="M146" s="4"/>
      <c r="N146" s="2"/>
      <c r="O146" s="21"/>
      <c r="P146" s="2"/>
      <c r="Q146" s="2"/>
      <c r="R146" s="4"/>
      <c r="S146" s="4"/>
      <c r="T146" s="4"/>
      <c r="U146" s="4"/>
      <c r="V146" s="4"/>
      <c r="W146" s="4"/>
    </row>
    <row r="147" spans="1:23" ht="14.5" hidden="1" customHeight="1" x14ac:dyDescent="0.2">
      <c r="A147">
        <f t="shared" si="2"/>
        <v>141</v>
      </c>
      <c r="B147">
        <v>2008</v>
      </c>
      <c r="C147" t="s">
        <v>207</v>
      </c>
      <c r="D147" t="s">
        <v>2437</v>
      </c>
      <c r="E147" s="22">
        <v>880</v>
      </c>
      <c r="H147" t="s">
        <v>144</v>
      </c>
      <c r="I147" t="s">
        <v>197</v>
      </c>
      <c r="J147" t="s">
        <v>72</v>
      </c>
      <c r="K147" t="s">
        <v>183</v>
      </c>
      <c r="M147" s="4"/>
      <c r="N147" s="2"/>
      <c r="O147" s="21"/>
      <c r="P147" s="2"/>
      <c r="Q147" s="2"/>
      <c r="R147" s="4"/>
      <c r="S147" s="4"/>
      <c r="T147" s="4"/>
      <c r="U147" s="4"/>
      <c r="V147" s="4"/>
      <c r="W147" s="4"/>
    </row>
    <row r="148" spans="1:23" ht="14.5" hidden="1" customHeight="1" x14ac:dyDescent="0.2">
      <c r="A148">
        <f t="shared" si="2"/>
        <v>142</v>
      </c>
      <c r="B148">
        <v>2008</v>
      </c>
      <c r="C148" t="s">
        <v>207</v>
      </c>
      <c r="D148" t="s">
        <v>815</v>
      </c>
      <c r="E148" s="22">
        <v>440</v>
      </c>
      <c r="G148" t="s">
        <v>2270</v>
      </c>
      <c r="H148" t="s">
        <v>151</v>
      </c>
      <c r="I148" t="s">
        <v>279</v>
      </c>
      <c r="J148" t="s">
        <v>11</v>
      </c>
      <c r="K148" t="s">
        <v>201</v>
      </c>
      <c r="M148" s="4"/>
      <c r="N148" s="2"/>
      <c r="O148" s="21"/>
      <c r="P148" s="2"/>
      <c r="Q148" s="2"/>
      <c r="R148" s="4"/>
      <c r="S148" s="4"/>
      <c r="T148" s="4"/>
      <c r="U148" s="4"/>
      <c r="V148" s="4"/>
      <c r="W148" s="4"/>
    </row>
    <row r="149" spans="1:23" ht="14.5" hidden="1" customHeight="1" x14ac:dyDescent="0.2">
      <c r="A149">
        <f t="shared" si="2"/>
        <v>143</v>
      </c>
      <c r="B149">
        <v>2008</v>
      </c>
      <c r="C149" t="s">
        <v>207</v>
      </c>
      <c r="D149" t="s">
        <v>180</v>
      </c>
      <c r="E149" s="22">
        <v>150</v>
      </c>
      <c r="H149" t="s">
        <v>155</v>
      </c>
      <c r="J149" t="s">
        <v>81</v>
      </c>
      <c r="K149" t="s">
        <v>219</v>
      </c>
      <c r="M149" s="4"/>
      <c r="N149" s="2"/>
      <c r="O149" s="21"/>
      <c r="P149" s="2"/>
      <c r="Q149" s="2"/>
      <c r="R149" s="4"/>
      <c r="S149" s="4"/>
      <c r="T149" s="4"/>
      <c r="U149" s="4"/>
      <c r="V149" s="4"/>
      <c r="W149" s="4"/>
    </row>
    <row r="150" spans="1:23" ht="14.5" hidden="1" customHeight="1" x14ac:dyDescent="0.2">
      <c r="A150">
        <f t="shared" si="2"/>
        <v>144</v>
      </c>
      <c r="B150">
        <v>2008</v>
      </c>
      <c r="C150" t="s">
        <v>207</v>
      </c>
      <c r="D150" t="s">
        <v>444</v>
      </c>
      <c r="E150" s="22">
        <v>200</v>
      </c>
      <c r="H150" t="s">
        <v>154</v>
      </c>
      <c r="I150" t="s">
        <v>194</v>
      </c>
      <c r="J150" t="s">
        <v>6</v>
      </c>
      <c r="K150" t="s">
        <v>219</v>
      </c>
      <c r="M150" s="4"/>
      <c r="N150" s="2"/>
      <c r="O150" s="21"/>
      <c r="P150" s="2"/>
      <c r="Q150" s="2"/>
      <c r="R150" s="4"/>
      <c r="S150" s="4"/>
      <c r="T150" s="4"/>
      <c r="U150" s="4"/>
      <c r="V150" s="4"/>
      <c r="W150" s="4"/>
    </row>
    <row r="151" spans="1:23" ht="14.5" hidden="1" customHeight="1" x14ac:dyDescent="0.2">
      <c r="A151">
        <f t="shared" si="2"/>
        <v>145</v>
      </c>
      <c r="B151">
        <v>2008</v>
      </c>
      <c r="C151" t="s">
        <v>207</v>
      </c>
      <c r="D151" t="s">
        <v>196</v>
      </c>
      <c r="E151" s="22">
        <v>140</v>
      </c>
      <c r="H151" t="s">
        <v>155</v>
      </c>
      <c r="J151" t="s">
        <v>100</v>
      </c>
      <c r="K151" t="s">
        <v>214</v>
      </c>
      <c r="M151" s="4"/>
      <c r="N151" s="2"/>
      <c r="O151" s="21"/>
      <c r="P151" s="2"/>
      <c r="Q151" s="2"/>
      <c r="R151" s="4"/>
      <c r="S151" s="4"/>
      <c r="T151" s="4"/>
      <c r="U151" s="4"/>
      <c r="V151" s="4"/>
      <c r="W151" s="4"/>
    </row>
    <row r="152" spans="1:23" ht="14.5" hidden="1" customHeight="1" x14ac:dyDescent="0.2">
      <c r="A152">
        <f t="shared" si="2"/>
        <v>146</v>
      </c>
      <c r="B152">
        <v>2008</v>
      </c>
      <c r="C152" t="s">
        <v>207</v>
      </c>
      <c r="D152" t="s">
        <v>196</v>
      </c>
      <c r="E152" s="22">
        <v>240</v>
      </c>
      <c r="F152" s="16">
        <v>0.7</v>
      </c>
      <c r="H152" t="s">
        <v>144</v>
      </c>
      <c r="I152" t="s">
        <v>197</v>
      </c>
      <c r="J152" t="s">
        <v>53</v>
      </c>
      <c r="K152" t="s">
        <v>183</v>
      </c>
      <c r="M152" s="4"/>
      <c r="N152" s="2"/>
      <c r="O152" s="21"/>
      <c r="P152" s="2"/>
      <c r="Q152" s="2"/>
      <c r="R152" s="4"/>
      <c r="S152" s="4"/>
      <c r="T152" s="4"/>
      <c r="U152" s="4"/>
      <c r="V152" s="4"/>
      <c r="W152" s="4"/>
    </row>
    <row r="153" spans="1:23" ht="14.5" hidden="1" customHeight="1" x14ac:dyDescent="0.2">
      <c r="A153">
        <f t="shared" si="2"/>
        <v>147</v>
      </c>
      <c r="B153">
        <v>2008</v>
      </c>
      <c r="C153" t="s">
        <v>240</v>
      </c>
      <c r="D153" t="s">
        <v>196</v>
      </c>
      <c r="E153" s="22">
        <v>250</v>
      </c>
      <c r="G153" t="s">
        <v>1188</v>
      </c>
      <c r="H153" t="s">
        <v>144</v>
      </c>
      <c r="I153" t="s">
        <v>273</v>
      </c>
      <c r="J153" t="s">
        <v>53</v>
      </c>
      <c r="K153" t="s">
        <v>183</v>
      </c>
      <c r="M153" s="4"/>
      <c r="N153" s="2"/>
      <c r="O153" s="21"/>
      <c r="P153" s="2"/>
      <c r="Q153" s="2"/>
      <c r="R153" s="4"/>
      <c r="S153" s="4"/>
      <c r="T153" s="4"/>
      <c r="U153" s="4"/>
      <c r="V153" s="4"/>
      <c r="W153" s="4"/>
    </row>
    <row r="154" spans="1:23" ht="14.5" hidden="1" customHeight="1" x14ac:dyDescent="0.2">
      <c r="A154">
        <f t="shared" si="2"/>
        <v>148</v>
      </c>
      <c r="B154">
        <v>2008</v>
      </c>
      <c r="C154" t="s">
        <v>240</v>
      </c>
      <c r="D154" t="s">
        <v>196</v>
      </c>
      <c r="E154" s="22">
        <v>400</v>
      </c>
      <c r="H154" t="s">
        <v>144</v>
      </c>
      <c r="I154" t="s">
        <v>197</v>
      </c>
      <c r="J154" t="s">
        <v>43</v>
      </c>
      <c r="K154" t="s">
        <v>219</v>
      </c>
      <c r="M154" s="4"/>
      <c r="N154" s="2"/>
      <c r="O154" s="21"/>
      <c r="P154" s="2"/>
      <c r="Q154" s="2"/>
      <c r="R154" s="4"/>
      <c r="S154" s="4"/>
      <c r="T154" s="4"/>
      <c r="U154" s="4"/>
      <c r="V154" s="4"/>
      <c r="W154" s="4"/>
    </row>
    <row r="155" spans="1:23" ht="14.5" hidden="1" customHeight="1" x14ac:dyDescent="0.2">
      <c r="A155">
        <f t="shared" si="2"/>
        <v>149</v>
      </c>
      <c r="B155">
        <v>2008</v>
      </c>
      <c r="C155" t="s">
        <v>240</v>
      </c>
      <c r="D155" t="s">
        <v>246</v>
      </c>
      <c r="E155" s="22">
        <v>320</v>
      </c>
      <c r="H155" t="s">
        <v>154</v>
      </c>
      <c r="I155" t="s">
        <v>271</v>
      </c>
      <c r="J155" t="s">
        <v>93</v>
      </c>
      <c r="K155" t="s">
        <v>201</v>
      </c>
      <c r="M155" s="4"/>
      <c r="N155" s="2"/>
      <c r="O155" s="21"/>
      <c r="P155" s="2"/>
      <c r="Q155" s="2"/>
      <c r="R155" s="4"/>
      <c r="S155" s="4"/>
      <c r="T155" s="4"/>
      <c r="U155" s="4"/>
      <c r="V155" s="4"/>
      <c r="W155" s="4"/>
    </row>
    <row r="156" spans="1:23" ht="14.5" hidden="1" customHeight="1" x14ac:dyDescent="0.2">
      <c r="A156">
        <f t="shared" si="2"/>
        <v>150</v>
      </c>
      <c r="B156">
        <v>2008</v>
      </c>
      <c r="C156" t="s">
        <v>240</v>
      </c>
      <c r="D156" t="s">
        <v>2438</v>
      </c>
      <c r="E156" s="22">
        <v>120</v>
      </c>
      <c r="H156" t="s">
        <v>154</v>
      </c>
      <c r="I156" t="s">
        <v>194</v>
      </c>
      <c r="J156" t="s">
        <v>40</v>
      </c>
      <c r="K156" t="s">
        <v>219</v>
      </c>
      <c r="M156" s="4"/>
      <c r="N156" s="2"/>
      <c r="O156" s="21"/>
      <c r="P156" s="2"/>
      <c r="Q156" s="2"/>
      <c r="R156" s="4"/>
      <c r="S156" s="4"/>
      <c r="T156" s="4"/>
      <c r="U156" s="4"/>
      <c r="V156" s="4"/>
      <c r="W156" s="4"/>
    </row>
    <row r="157" spans="1:23" ht="14.5" hidden="1" customHeight="1" x14ac:dyDescent="0.2">
      <c r="A157">
        <f t="shared" si="2"/>
        <v>151</v>
      </c>
      <c r="B157">
        <v>2008</v>
      </c>
      <c r="C157" t="s">
        <v>240</v>
      </c>
      <c r="D157" t="s">
        <v>479</v>
      </c>
      <c r="E157" s="22">
        <v>160</v>
      </c>
      <c r="H157" t="s">
        <v>154</v>
      </c>
      <c r="I157" t="s">
        <v>271</v>
      </c>
      <c r="J157" t="s">
        <v>38</v>
      </c>
      <c r="K157" t="s">
        <v>214</v>
      </c>
      <c r="M157" s="4"/>
      <c r="N157" s="2"/>
      <c r="O157" s="21"/>
      <c r="P157" s="2"/>
      <c r="Q157" s="2"/>
      <c r="R157" s="4"/>
      <c r="S157" s="4"/>
      <c r="T157" s="4"/>
      <c r="U157" s="4"/>
      <c r="V157" s="4"/>
      <c r="W157" s="4"/>
    </row>
    <row r="158" spans="1:23" ht="14.5" hidden="1" customHeight="1" x14ac:dyDescent="0.2">
      <c r="A158">
        <f t="shared" si="2"/>
        <v>152</v>
      </c>
      <c r="B158">
        <v>2008</v>
      </c>
      <c r="C158" t="s">
        <v>240</v>
      </c>
      <c r="D158" t="s">
        <v>815</v>
      </c>
      <c r="E158" s="22">
        <v>210</v>
      </c>
      <c r="H158" t="s">
        <v>151</v>
      </c>
      <c r="I158" t="s">
        <v>279</v>
      </c>
      <c r="J158" t="s">
        <v>38</v>
      </c>
      <c r="K158" t="s">
        <v>214</v>
      </c>
      <c r="M158" s="4"/>
      <c r="N158" s="2"/>
      <c r="O158" s="21"/>
      <c r="P158" s="2"/>
      <c r="Q158" s="2"/>
      <c r="R158" s="4"/>
      <c r="S158" s="4"/>
      <c r="T158" s="4"/>
      <c r="U158" s="4"/>
      <c r="V158" s="4"/>
      <c r="W158" s="4"/>
    </row>
    <row r="159" spans="1:23" ht="14.5" hidden="1" customHeight="1" x14ac:dyDescent="0.2">
      <c r="A159">
        <f t="shared" si="2"/>
        <v>153</v>
      </c>
      <c r="B159">
        <v>2008</v>
      </c>
      <c r="C159" t="s">
        <v>212</v>
      </c>
      <c r="D159" t="s">
        <v>397</v>
      </c>
      <c r="E159" s="22">
        <v>260</v>
      </c>
      <c r="H159" t="s">
        <v>154</v>
      </c>
      <c r="I159" t="s">
        <v>194</v>
      </c>
      <c r="J159" t="s">
        <v>130</v>
      </c>
      <c r="K159" t="s">
        <v>214</v>
      </c>
      <c r="M159" s="4"/>
      <c r="N159" s="2"/>
      <c r="O159" s="21"/>
      <c r="P159" s="2"/>
      <c r="Q159" s="2"/>
      <c r="R159" s="4"/>
      <c r="S159" s="4"/>
      <c r="T159" s="4"/>
      <c r="U159" s="4"/>
      <c r="V159" s="4"/>
      <c r="W159" s="4"/>
    </row>
    <row r="160" spans="1:23" ht="14.5" hidden="1" customHeight="1" x14ac:dyDescent="0.2">
      <c r="A160">
        <f t="shared" si="2"/>
        <v>154</v>
      </c>
      <c r="B160">
        <v>2008</v>
      </c>
      <c r="C160" t="s">
        <v>212</v>
      </c>
      <c r="D160" t="s">
        <v>199</v>
      </c>
      <c r="E160" s="22">
        <v>3290</v>
      </c>
      <c r="G160" t="s">
        <v>2439</v>
      </c>
      <c r="H160" t="s">
        <v>144</v>
      </c>
      <c r="I160" t="s">
        <v>187</v>
      </c>
      <c r="J160" t="s">
        <v>130</v>
      </c>
      <c r="K160" t="s">
        <v>214</v>
      </c>
      <c r="M160" s="4"/>
      <c r="N160" s="2"/>
      <c r="O160" s="21"/>
      <c r="P160" s="2"/>
      <c r="Q160" s="2"/>
      <c r="R160" s="4"/>
      <c r="S160" s="4"/>
      <c r="T160" s="4"/>
      <c r="U160" s="4"/>
      <c r="V160" s="4"/>
      <c r="W160" s="4"/>
    </row>
    <row r="161" spans="1:23" ht="14.5" hidden="1" customHeight="1" x14ac:dyDescent="0.2">
      <c r="A161">
        <f t="shared" si="2"/>
        <v>155</v>
      </c>
      <c r="B161">
        <v>2008</v>
      </c>
      <c r="C161" t="s">
        <v>212</v>
      </c>
      <c r="D161" t="s">
        <v>479</v>
      </c>
      <c r="E161" s="22">
        <v>200</v>
      </c>
      <c r="G161" t="s">
        <v>2440</v>
      </c>
      <c r="H161" t="s">
        <v>154</v>
      </c>
      <c r="I161" t="s">
        <v>194</v>
      </c>
      <c r="J161" t="s">
        <v>43</v>
      </c>
      <c r="K161" t="s">
        <v>219</v>
      </c>
      <c r="M161" s="4"/>
      <c r="N161" s="2"/>
      <c r="O161" s="21"/>
      <c r="P161" s="2"/>
      <c r="Q161" s="2"/>
      <c r="R161" s="4"/>
      <c r="S161" s="4"/>
      <c r="T161" s="4"/>
      <c r="U161" s="4"/>
      <c r="V161" s="4"/>
      <c r="W161" s="4"/>
    </row>
    <row r="162" spans="1:23" ht="14.5" hidden="1" customHeight="1" x14ac:dyDescent="0.2">
      <c r="A162">
        <f t="shared" si="2"/>
        <v>156</v>
      </c>
      <c r="B162">
        <v>2008</v>
      </c>
      <c r="C162" t="s">
        <v>212</v>
      </c>
      <c r="D162" t="s">
        <v>449</v>
      </c>
      <c r="E162" s="22">
        <v>820</v>
      </c>
      <c r="H162" t="s">
        <v>154</v>
      </c>
      <c r="I162" t="s">
        <v>529</v>
      </c>
      <c r="J162" t="s">
        <v>89</v>
      </c>
      <c r="K162" t="s">
        <v>219</v>
      </c>
      <c r="M162" s="4"/>
      <c r="N162" s="2"/>
      <c r="O162" s="21"/>
      <c r="P162" s="2"/>
      <c r="Q162" s="2"/>
      <c r="R162" s="4"/>
      <c r="S162" s="4"/>
      <c r="T162" s="4"/>
      <c r="U162" s="4"/>
      <c r="V162" s="4"/>
      <c r="W162" s="4"/>
    </row>
    <row r="163" spans="1:23" ht="14.5" hidden="1" customHeight="1" x14ac:dyDescent="0.2">
      <c r="A163">
        <f t="shared" si="2"/>
        <v>157</v>
      </c>
      <c r="B163">
        <v>2009</v>
      </c>
      <c r="C163" t="s">
        <v>172</v>
      </c>
      <c r="D163" t="s">
        <v>397</v>
      </c>
      <c r="E163" s="22">
        <v>230</v>
      </c>
      <c r="G163" t="s">
        <v>2441</v>
      </c>
      <c r="H163" t="s">
        <v>147</v>
      </c>
      <c r="J163" t="s">
        <v>130</v>
      </c>
      <c r="K163" t="s">
        <v>214</v>
      </c>
      <c r="M163" s="4"/>
      <c r="N163" s="2"/>
      <c r="O163" s="21"/>
      <c r="P163" s="2"/>
      <c r="Q163" s="2"/>
      <c r="R163" s="4"/>
      <c r="S163" s="4"/>
      <c r="T163" s="4"/>
      <c r="U163" s="4"/>
      <c r="V163" s="4"/>
      <c r="W163" s="4"/>
    </row>
    <row r="164" spans="1:23" ht="14.5" hidden="1" customHeight="1" x14ac:dyDescent="0.2">
      <c r="A164">
        <f t="shared" si="2"/>
        <v>158</v>
      </c>
      <c r="B164">
        <v>2009</v>
      </c>
      <c r="C164" t="s">
        <v>172</v>
      </c>
      <c r="D164" t="s">
        <v>397</v>
      </c>
      <c r="E164" s="22">
        <v>440</v>
      </c>
      <c r="G164" t="s">
        <v>2442</v>
      </c>
      <c r="H164" t="s">
        <v>151</v>
      </c>
      <c r="I164" t="s">
        <v>279</v>
      </c>
      <c r="J164" t="s">
        <v>130</v>
      </c>
      <c r="K164" t="s">
        <v>214</v>
      </c>
      <c r="M164" s="4"/>
      <c r="N164" s="2"/>
      <c r="O164" s="21"/>
      <c r="P164" s="2"/>
      <c r="Q164" s="2"/>
      <c r="R164" s="4"/>
      <c r="S164" s="4"/>
      <c r="T164" s="4"/>
      <c r="U164" s="4"/>
      <c r="V164" s="4"/>
      <c r="W164" s="4"/>
    </row>
    <row r="165" spans="1:23" ht="14.5" hidden="1" customHeight="1" x14ac:dyDescent="0.2">
      <c r="A165">
        <f t="shared" si="2"/>
        <v>159</v>
      </c>
      <c r="B165">
        <v>2009</v>
      </c>
      <c r="C165" t="s">
        <v>172</v>
      </c>
      <c r="D165" t="s">
        <v>196</v>
      </c>
      <c r="E165" s="22">
        <v>160</v>
      </c>
      <c r="H165" t="s">
        <v>144</v>
      </c>
      <c r="I165" t="s">
        <v>197</v>
      </c>
      <c r="J165" t="s">
        <v>74</v>
      </c>
      <c r="K165" t="s">
        <v>219</v>
      </c>
      <c r="M165" s="4"/>
      <c r="N165" s="2"/>
      <c r="O165" s="21"/>
      <c r="P165" s="2"/>
      <c r="Q165" s="2"/>
      <c r="R165" s="4"/>
      <c r="S165" s="4"/>
      <c r="T165" s="4"/>
      <c r="U165" s="4"/>
      <c r="V165" s="4"/>
      <c r="W165" s="4"/>
    </row>
    <row r="166" spans="1:23" ht="14.5" hidden="1" customHeight="1" x14ac:dyDescent="0.2">
      <c r="A166">
        <f t="shared" si="2"/>
        <v>160</v>
      </c>
      <c r="B166">
        <v>2009</v>
      </c>
      <c r="C166" t="s">
        <v>172</v>
      </c>
      <c r="D166" t="s">
        <v>745</v>
      </c>
      <c r="E166" s="22">
        <v>440</v>
      </c>
      <c r="G166" t="s">
        <v>2443</v>
      </c>
      <c r="H166" t="s">
        <v>149</v>
      </c>
      <c r="I166" t="s">
        <v>182</v>
      </c>
      <c r="J166" t="s">
        <v>128</v>
      </c>
      <c r="K166" t="s">
        <v>201</v>
      </c>
      <c r="M166" s="4"/>
      <c r="N166" s="2"/>
      <c r="O166" s="21"/>
      <c r="P166" s="2"/>
      <c r="Q166" s="2"/>
      <c r="R166" s="4"/>
      <c r="S166" s="4"/>
      <c r="T166" s="4"/>
      <c r="U166" s="4"/>
      <c r="V166" s="4"/>
      <c r="W166" s="4"/>
    </row>
    <row r="167" spans="1:23" ht="14.5" hidden="1" customHeight="1" x14ac:dyDescent="0.2">
      <c r="A167">
        <f t="shared" si="2"/>
        <v>161</v>
      </c>
      <c r="B167">
        <v>2009</v>
      </c>
      <c r="C167" t="s">
        <v>172</v>
      </c>
      <c r="D167" t="s">
        <v>530</v>
      </c>
      <c r="E167" s="22">
        <v>240</v>
      </c>
      <c r="G167" t="s">
        <v>2444</v>
      </c>
      <c r="H167" t="s">
        <v>152</v>
      </c>
      <c r="I167" t="s">
        <v>257</v>
      </c>
      <c r="J167" t="s">
        <v>2445</v>
      </c>
      <c r="K167" t="s">
        <v>177</v>
      </c>
      <c r="M167" s="4"/>
      <c r="N167" s="2"/>
      <c r="O167" s="21"/>
      <c r="P167" s="2"/>
      <c r="Q167" s="2"/>
      <c r="R167" s="4"/>
      <c r="S167" s="4"/>
      <c r="T167" s="4"/>
      <c r="U167" s="4"/>
      <c r="V167" s="4"/>
      <c r="W167" s="4"/>
    </row>
    <row r="168" spans="1:23" ht="14.5" hidden="1" customHeight="1" x14ac:dyDescent="0.2">
      <c r="A168">
        <f t="shared" si="2"/>
        <v>162</v>
      </c>
      <c r="B168">
        <v>2009</v>
      </c>
      <c r="C168" t="s">
        <v>172</v>
      </c>
      <c r="D168" t="s">
        <v>196</v>
      </c>
      <c r="E168" s="22">
        <v>220</v>
      </c>
      <c r="H168" t="s">
        <v>154</v>
      </c>
      <c r="I168" t="s">
        <v>194</v>
      </c>
      <c r="J168" t="s">
        <v>116</v>
      </c>
      <c r="K168" t="s">
        <v>214</v>
      </c>
      <c r="M168" s="4"/>
      <c r="N168" s="2"/>
      <c r="O168" s="21"/>
      <c r="P168" s="2"/>
      <c r="Q168" s="2"/>
      <c r="R168" s="4"/>
      <c r="S168" s="4"/>
      <c r="T168" s="4"/>
      <c r="U168" s="4"/>
      <c r="V168" s="4"/>
      <c r="W168" s="4"/>
    </row>
    <row r="169" spans="1:23" ht="14.5" hidden="1" customHeight="1" x14ac:dyDescent="0.2">
      <c r="A169">
        <f t="shared" si="2"/>
        <v>163</v>
      </c>
      <c r="B169">
        <v>2009</v>
      </c>
      <c r="C169" t="s">
        <v>172</v>
      </c>
      <c r="D169" t="s">
        <v>444</v>
      </c>
      <c r="E169" s="22">
        <v>300</v>
      </c>
      <c r="H169" t="s">
        <v>155</v>
      </c>
      <c r="J169" t="s">
        <v>6</v>
      </c>
      <c r="K169" t="s">
        <v>219</v>
      </c>
      <c r="M169" s="4"/>
      <c r="N169" s="2"/>
      <c r="O169" s="21"/>
      <c r="P169" s="2"/>
      <c r="Q169" s="2"/>
      <c r="R169" s="4"/>
      <c r="S169" s="4"/>
      <c r="T169" s="4"/>
      <c r="U169" s="4"/>
      <c r="V169" s="4"/>
      <c r="W169" s="4"/>
    </row>
    <row r="170" spans="1:23" ht="14.5" hidden="1" customHeight="1" x14ac:dyDescent="0.2">
      <c r="A170">
        <f t="shared" si="2"/>
        <v>164</v>
      </c>
      <c r="B170">
        <v>2009</v>
      </c>
      <c r="C170" t="s">
        <v>172</v>
      </c>
      <c r="D170" t="s">
        <v>196</v>
      </c>
      <c r="E170" s="22">
        <v>100</v>
      </c>
      <c r="H170" t="s">
        <v>144</v>
      </c>
      <c r="I170" t="s">
        <v>197</v>
      </c>
      <c r="J170" t="s">
        <v>18</v>
      </c>
      <c r="K170" t="s">
        <v>219</v>
      </c>
      <c r="M170" s="4"/>
      <c r="N170" s="2"/>
      <c r="O170" s="21"/>
      <c r="P170" s="2"/>
      <c r="Q170" s="2"/>
      <c r="R170" s="4"/>
      <c r="S170" s="4"/>
      <c r="T170" s="4"/>
      <c r="U170" s="4"/>
      <c r="V170" s="4"/>
      <c r="W170" s="4"/>
    </row>
    <row r="171" spans="1:23" ht="14.5" hidden="1" customHeight="1" x14ac:dyDescent="0.2">
      <c r="A171">
        <f t="shared" si="2"/>
        <v>165</v>
      </c>
      <c r="B171">
        <v>2009</v>
      </c>
      <c r="C171" t="s">
        <v>258</v>
      </c>
      <c r="D171" t="s">
        <v>479</v>
      </c>
      <c r="E171" s="22">
        <v>1130</v>
      </c>
      <c r="H171" t="s">
        <v>154</v>
      </c>
      <c r="I171" t="s">
        <v>271</v>
      </c>
      <c r="J171" t="s">
        <v>6</v>
      </c>
      <c r="K171" t="s">
        <v>219</v>
      </c>
      <c r="M171" s="4"/>
      <c r="N171" s="2"/>
      <c r="O171" s="21"/>
      <c r="P171" s="2"/>
      <c r="Q171" s="2"/>
      <c r="R171" s="4"/>
      <c r="S171" s="4"/>
      <c r="T171" s="4"/>
      <c r="U171" s="4"/>
      <c r="V171" s="4"/>
      <c r="W171" s="4"/>
    </row>
    <row r="172" spans="1:23" ht="14.5" hidden="1" customHeight="1" x14ac:dyDescent="0.2">
      <c r="A172">
        <f t="shared" si="2"/>
        <v>166</v>
      </c>
      <c r="B172">
        <v>2009</v>
      </c>
      <c r="C172" t="s">
        <v>258</v>
      </c>
      <c r="D172" t="s">
        <v>449</v>
      </c>
      <c r="E172" s="22">
        <v>390</v>
      </c>
      <c r="F172" s="16">
        <v>0.21</v>
      </c>
      <c r="H172" t="s">
        <v>154</v>
      </c>
      <c r="I172" t="s">
        <v>529</v>
      </c>
      <c r="J172" t="s">
        <v>105</v>
      </c>
      <c r="K172" t="s">
        <v>214</v>
      </c>
      <c r="M172" s="4"/>
      <c r="N172" s="2"/>
      <c r="O172" s="21"/>
      <c r="P172" s="2"/>
      <c r="Q172" s="2"/>
      <c r="R172" s="4"/>
      <c r="S172" s="4"/>
      <c r="T172" s="4"/>
      <c r="U172" s="4"/>
      <c r="V172" s="4"/>
      <c r="W172" s="4"/>
    </row>
    <row r="173" spans="1:23" ht="14.5" hidden="1" customHeight="1" x14ac:dyDescent="0.2">
      <c r="A173">
        <f t="shared" si="2"/>
        <v>167</v>
      </c>
      <c r="B173">
        <v>2009</v>
      </c>
      <c r="C173" t="s">
        <v>258</v>
      </c>
      <c r="D173" t="s">
        <v>444</v>
      </c>
      <c r="E173" s="22">
        <v>580</v>
      </c>
      <c r="H173" t="s">
        <v>144</v>
      </c>
      <c r="J173" t="s">
        <v>97</v>
      </c>
      <c r="K173" t="s">
        <v>183</v>
      </c>
      <c r="M173" s="4"/>
      <c r="N173" s="2"/>
      <c r="O173" s="21"/>
      <c r="P173" s="2"/>
      <c r="Q173" s="2"/>
      <c r="R173" s="4"/>
      <c r="S173" s="4"/>
      <c r="T173" s="4"/>
      <c r="U173" s="4"/>
      <c r="V173" s="4"/>
      <c r="W173" s="4"/>
    </row>
    <row r="174" spans="1:23" ht="14.5" hidden="1" customHeight="1" x14ac:dyDescent="0.2">
      <c r="A174">
        <f t="shared" si="2"/>
        <v>168</v>
      </c>
      <c r="B174">
        <v>2009</v>
      </c>
      <c r="C174" t="s">
        <v>258</v>
      </c>
      <c r="D174" t="s">
        <v>444</v>
      </c>
      <c r="E174" s="22">
        <v>140</v>
      </c>
      <c r="H174" t="s">
        <v>144</v>
      </c>
      <c r="I174" t="s">
        <v>197</v>
      </c>
      <c r="J174" t="s">
        <v>70</v>
      </c>
      <c r="K174" t="s">
        <v>219</v>
      </c>
      <c r="M174" s="4"/>
      <c r="N174" s="2"/>
      <c r="O174" s="21"/>
      <c r="P174" s="2"/>
      <c r="Q174" s="2"/>
      <c r="R174" s="4"/>
      <c r="S174" s="4"/>
      <c r="T174" s="4"/>
      <c r="U174" s="4"/>
      <c r="V174" s="4"/>
      <c r="W174" s="4"/>
    </row>
    <row r="175" spans="1:23" ht="14.5" hidden="1" customHeight="1" x14ac:dyDescent="0.2">
      <c r="A175">
        <f t="shared" si="2"/>
        <v>169</v>
      </c>
      <c r="B175">
        <v>2009</v>
      </c>
      <c r="C175" t="s">
        <v>258</v>
      </c>
      <c r="D175" t="s">
        <v>479</v>
      </c>
      <c r="E175" s="22">
        <v>100</v>
      </c>
      <c r="H175" t="s">
        <v>154</v>
      </c>
      <c r="I175" t="s">
        <v>271</v>
      </c>
      <c r="J175" t="s">
        <v>105</v>
      </c>
      <c r="K175" t="s">
        <v>214</v>
      </c>
      <c r="M175" s="4"/>
      <c r="N175" s="2"/>
      <c r="O175" s="21"/>
      <c r="P175" s="2"/>
      <c r="Q175" s="2"/>
      <c r="R175" s="4"/>
      <c r="S175" s="4"/>
      <c r="T175" s="4"/>
      <c r="U175" s="4"/>
      <c r="V175" s="4"/>
      <c r="W175" s="4"/>
    </row>
    <row r="176" spans="1:23" ht="14.5" hidden="1" customHeight="1" x14ac:dyDescent="0.2">
      <c r="A176">
        <f t="shared" si="2"/>
        <v>170</v>
      </c>
      <c r="B176">
        <v>2009</v>
      </c>
      <c r="C176" t="s">
        <v>258</v>
      </c>
      <c r="D176" t="s">
        <v>449</v>
      </c>
      <c r="E176" s="22">
        <v>1160</v>
      </c>
      <c r="H176" t="s">
        <v>154</v>
      </c>
      <c r="I176" t="s">
        <v>529</v>
      </c>
      <c r="J176" t="s">
        <v>105</v>
      </c>
      <c r="K176" t="s">
        <v>214</v>
      </c>
      <c r="M176" s="4"/>
      <c r="N176" s="2"/>
      <c r="O176" s="21"/>
      <c r="P176" s="2"/>
      <c r="Q176" s="2"/>
      <c r="R176" s="4"/>
      <c r="S176" s="4"/>
      <c r="T176" s="4"/>
      <c r="U176" s="4"/>
      <c r="V176" s="4"/>
      <c r="W176" s="4"/>
    </row>
    <row r="177" spans="1:23" ht="14.5" hidden="1" customHeight="1" x14ac:dyDescent="0.2">
      <c r="A177">
        <f t="shared" si="2"/>
        <v>171</v>
      </c>
      <c r="B177">
        <v>2009</v>
      </c>
      <c r="C177" t="s">
        <v>258</v>
      </c>
      <c r="D177" t="s">
        <v>246</v>
      </c>
      <c r="E177" s="22">
        <v>180</v>
      </c>
      <c r="H177" t="s">
        <v>151</v>
      </c>
      <c r="I177" t="s">
        <v>279</v>
      </c>
      <c r="J177" t="s">
        <v>93</v>
      </c>
      <c r="K177" t="s">
        <v>201</v>
      </c>
      <c r="M177" s="4"/>
      <c r="N177" s="2"/>
      <c r="O177" s="21"/>
      <c r="P177" s="2"/>
      <c r="Q177" s="2"/>
      <c r="R177" s="4"/>
      <c r="S177" s="4"/>
      <c r="T177" s="4"/>
      <c r="U177" s="4"/>
      <c r="V177" s="4"/>
      <c r="W177" s="4"/>
    </row>
    <row r="178" spans="1:23" ht="14.5" hidden="1" customHeight="1" x14ac:dyDescent="0.2">
      <c r="A178">
        <f t="shared" si="2"/>
        <v>172</v>
      </c>
      <c r="B178">
        <v>2009</v>
      </c>
      <c r="C178" t="s">
        <v>258</v>
      </c>
      <c r="D178" t="s">
        <v>479</v>
      </c>
      <c r="E178" s="22">
        <v>260</v>
      </c>
      <c r="H178" t="s">
        <v>154</v>
      </c>
      <c r="I178" t="s">
        <v>194</v>
      </c>
      <c r="J178" t="s">
        <v>122</v>
      </c>
      <c r="K178" t="s">
        <v>201</v>
      </c>
      <c r="M178" s="4"/>
      <c r="N178" s="2"/>
      <c r="O178" s="21"/>
      <c r="P178" s="2"/>
      <c r="Q178" s="2"/>
      <c r="R178" s="4"/>
      <c r="S178" s="4"/>
      <c r="T178" s="4"/>
      <c r="U178" s="4"/>
      <c r="V178" s="4"/>
      <c r="W178" s="4"/>
    </row>
    <row r="179" spans="1:23" ht="14.5" hidden="1" customHeight="1" x14ac:dyDescent="0.2">
      <c r="A179">
        <f t="shared" si="2"/>
        <v>173</v>
      </c>
      <c r="B179">
        <v>2009</v>
      </c>
      <c r="C179" t="s">
        <v>179</v>
      </c>
      <c r="D179" t="s">
        <v>397</v>
      </c>
      <c r="E179" s="22">
        <v>410</v>
      </c>
      <c r="H179" t="s">
        <v>154</v>
      </c>
      <c r="I179" t="s">
        <v>194</v>
      </c>
      <c r="J179" t="s">
        <v>131</v>
      </c>
      <c r="K179" t="s">
        <v>131</v>
      </c>
      <c r="M179" s="4"/>
      <c r="N179" s="2"/>
      <c r="O179" s="21"/>
      <c r="P179" s="2"/>
      <c r="Q179" s="2"/>
      <c r="R179" s="4"/>
      <c r="S179" s="4"/>
      <c r="T179" s="4"/>
      <c r="U179" s="4"/>
      <c r="V179" s="4"/>
      <c r="W179" s="4"/>
    </row>
    <row r="180" spans="1:23" ht="14.5" hidden="1" customHeight="1" x14ac:dyDescent="0.2">
      <c r="A180">
        <f t="shared" si="2"/>
        <v>174</v>
      </c>
      <c r="B180">
        <v>2009</v>
      </c>
      <c r="C180" t="s">
        <v>179</v>
      </c>
      <c r="D180" t="s">
        <v>815</v>
      </c>
      <c r="E180" s="22">
        <v>140</v>
      </c>
      <c r="G180" t="s">
        <v>2446</v>
      </c>
      <c r="H180" t="s">
        <v>151</v>
      </c>
      <c r="I180" t="s">
        <v>279</v>
      </c>
      <c r="J180" t="s">
        <v>29</v>
      </c>
      <c r="K180" t="s">
        <v>219</v>
      </c>
      <c r="M180" s="4"/>
      <c r="N180" s="2"/>
      <c r="O180" s="21"/>
      <c r="P180" s="2"/>
      <c r="Q180" s="2"/>
      <c r="R180" s="4"/>
      <c r="S180" s="4"/>
      <c r="T180" s="4"/>
      <c r="U180" s="4"/>
      <c r="V180" s="4"/>
      <c r="W180" s="4"/>
    </row>
    <row r="181" spans="1:23" ht="14.5" hidden="1" customHeight="1" x14ac:dyDescent="0.2">
      <c r="A181">
        <f t="shared" si="2"/>
        <v>175</v>
      </c>
      <c r="B181">
        <v>2009</v>
      </c>
      <c r="C181" t="s">
        <v>179</v>
      </c>
      <c r="D181" t="s">
        <v>444</v>
      </c>
      <c r="E181" s="22">
        <v>100</v>
      </c>
      <c r="H181" t="s">
        <v>144</v>
      </c>
      <c r="I181" t="s">
        <v>232</v>
      </c>
      <c r="J181" t="s">
        <v>33</v>
      </c>
      <c r="K181" t="s">
        <v>195</v>
      </c>
      <c r="M181" s="79"/>
      <c r="N181" s="2"/>
      <c r="O181" s="21"/>
      <c r="P181" s="2"/>
      <c r="Q181" s="2"/>
      <c r="R181" s="4"/>
      <c r="S181" s="4"/>
      <c r="T181" s="4"/>
      <c r="U181" s="4"/>
      <c r="V181" s="4"/>
      <c r="W181" s="4"/>
    </row>
    <row r="182" spans="1:23" ht="14.5" hidden="1" customHeight="1" x14ac:dyDescent="0.2">
      <c r="A182">
        <f t="shared" si="2"/>
        <v>176</v>
      </c>
      <c r="B182">
        <v>2009</v>
      </c>
      <c r="C182" t="s">
        <v>179</v>
      </c>
      <c r="D182" t="s">
        <v>196</v>
      </c>
      <c r="E182" s="22">
        <v>390</v>
      </c>
      <c r="H182" t="s">
        <v>144</v>
      </c>
      <c r="I182" t="s">
        <v>197</v>
      </c>
      <c r="J182" t="s">
        <v>125</v>
      </c>
      <c r="K182" t="s">
        <v>219</v>
      </c>
      <c r="M182" s="4"/>
      <c r="N182" s="2"/>
      <c r="O182" s="21"/>
      <c r="P182" s="2"/>
      <c r="Q182" s="2"/>
      <c r="R182" s="4"/>
      <c r="S182" s="4"/>
      <c r="T182" s="4"/>
      <c r="U182" s="4"/>
      <c r="V182" s="4"/>
      <c r="W182" s="4"/>
    </row>
    <row r="183" spans="1:23" ht="14.5" hidden="1" customHeight="1" x14ac:dyDescent="0.2">
      <c r="A183">
        <f t="shared" si="2"/>
        <v>177</v>
      </c>
      <c r="B183">
        <v>2009</v>
      </c>
      <c r="C183" t="s">
        <v>179</v>
      </c>
      <c r="D183" t="s">
        <v>444</v>
      </c>
      <c r="E183" s="22">
        <v>170</v>
      </c>
      <c r="G183" t="s">
        <v>2447</v>
      </c>
      <c r="H183" t="s">
        <v>142</v>
      </c>
      <c r="J183" t="s">
        <v>50</v>
      </c>
      <c r="K183" t="s">
        <v>205</v>
      </c>
      <c r="M183" s="4"/>
      <c r="N183" s="2"/>
      <c r="O183" s="21"/>
      <c r="P183" s="2"/>
      <c r="Q183" s="2"/>
      <c r="R183" s="4"/>
      <c r="S183" s="4"/>
      <c r="T183" s="4"/>
      <c r="U183" s="4"/>
      <c r="V183" s="4"/>
      <c r="W183" s="4"/>
    </row>
    <row r="184" spans="1:23" ht="14.5" hidden="1" customHeight="1" x14ac:dyDescent="0.2">
      <c r="A184">
        <f t="shared" si="2"/>
        <v>178</v>
      </c>
      <c r="B184">
        <v>2009</v>
      </c>
      <c r="C184" t="s">
        <v>179</v>
      </c>
      <c r="D184" s="52" t="s">
        <v>2392</v>
      </c>
      <c r="E184" s="22">
        <v>150</v>
      </c>
      <c r="H184" t="s">
        <v>144</v>
      </c>
      <c r="I184" t="s">
        <v>299</v>
      </c>
      <c r="J184" t="s">
        <v>93</v>
      </c>
      <c r="K184" t="s">
        <v>201</v>
      </c>
      <c r="M184" s="4"/>
      <c r="N184" s="2"/>
      <c r="O184" s="21"/>
      <c r="P184" s="2"/>
      <c r="Q184" s="2"/>
      <c r="R184" s="4"/>
      <c r="S184" s="4"/>
      <c r="T184" s="4"/>
      <c r="U184" s="4"/>
      <c r="V184" s="4"/>
      <c r="W184" s="4"/>
    </row>
    <row r="185" spans="1:23" ht="14.5" hidden="1" customHeight="1" x14ac:dyDescent="0.2">
      <c r="A185">
        <f t="shared" si="2"/>
        <v>179</v>
      </c>
      <c r="B185">
        <v>2009</v>
      </c>
      <c r="C185" t="s">
        <v>184</v>
      </c>
      <c r="D185" t="s">
        <v>189</v>
      </c>
      <c r="E185" s="22">
        <v>350</v>
      </c>
      <c r="G185" t="s">
        <v>2448</v>
      </c>
      <c r="H185" t="s">
        <v>144</v>
      </c>
      <c r="I185" t="s">
        <v>187</v>
      </c>
      <c r="J185" t="s">
        <v>65</v>
      </c>
      <c r="K185" t="s">
        <v>214</v>
      </c>
      <c r="M185" s="4"/>
      <c r="N185" s="2"/>
      <c r="O185" s="21"/>
      <c r="P185" s="2"/>
      <c r="Q185" s="2"/>
      <c r="R185" s="4"/>
      <c r="S185" s="4"/>
      <c r="T185" s="4"/>
      <c r="U185" s="4"/>
      <c r="V185" s="4"/>
      <c r="W185" s="4"/>
    </row>
    <row r="186" spans="1:23" ht="14.5" hidden="1" customHeight="1" x14ac:dyDescent="0.2">
      <c r="A186">
        <f t="shared" si="2"/>
        <v>180</v>
      </c>
      <c r="B186">
        <v>2009</v>
      </c>
      <c r="C186" t="s">
        <v>184</v>
      </c>
      <c r="D186" t="s">
        <v>317</v>
      </c>
      <c r="E186" s="22">
        <v>430</v>
      </c>
      <c r="F186" s="16">
        <v>0.93</v>
      </c>
      <c r="H186" t="s">
        <v>144</v>
      </c>
      <c r="I186" t="s">
        <v>197</v>
      </c>
      <c r="J186" t="s">
        <v>82</v>
      </c>
      <c r="K186" t="s">
        <v>183</v>
      </c>
      <c r="M186" s="4"/>
      <c r="N186" s="2"/>
      <c r="O186" s="21"/>
      <c r="P186" s="2"/>
      <c r="Q186" s="2"/>
      <c r="R186" s="4"/>
      <c r="S186" s="4"/>
      <c r="T186" s="4"/>
      <c r="U186" s="4"/>
      <c r="V186" s="4"/>
      <c r="W186" s="4"/>
    </row>
    <row r="187" spans="1:23" ht="14.5" hidden="1" customHeight="1" x14ac:dyDescent="0.2">
      <c r="A187">
        <f t="shared" si="2"/>
        <v>181</v>
      </c>
      <c r="B187">
        <v>2009</v>
      </c>
      <c r="C187" t="s">
        <v>225</v>
      </c>
      <c r="D187" t="s">
        <v>196</v>
      </c>
      <c r="E187" s="22">
        <v>150</v>
      </c>
      <c r="H187" t="s">
        <v>144</v>
      </c>
      <c r="I187" t="s">
        <v>197</v>
      </c>
      <c r="J187" t="s">
        <v>2449</v>
      </c>
      <c r="K187" t="s">
        <v>183</v>
      </c>
      <c r="M187" s="4"/>
      <c r="N187" s="2"/>
      <c r="O187" s="21"/>
      <c r="P187" s="2"/>
      <c r="Q187" s="2"/>
      <c r="R187" s="4"/>
      <c r="S187" s="4"/>
      <c r="T187" s="4"/>
      <c r="U187" s="4"/>
      <c r="V187" s="4"/>
      <c r="W187" s="4"/>
    </row>
    <row r="188" spans="1:23" ht="14.5" hidden="1" customHeight="1" x14ac:dyDescent="0.2">
      <c r="A188">
        <f t="shared" si="2"/>
        <v>182</v>
      </c>
      <c r="B188">
        <v>2009</v>
      </c>
      <c r="C188" t="s">
        <v>225</v>
      </c>
      <c r="D188" t="s">
        <v>180</v>
      </c>
      <c r="E188" s="22">
        <v>1860</v>
      </c>
      <c r="G188" t="s">
        <v>2450</v>
      </c>
      <c r="H188" t="s">
        <v>144</v>
      </c>
      <c r="I188" t="s">
        <v>273</v>
      </c>
      <c r="J188" t="s">
        <v>9</v>
      </c>
      <c r="K188" t="s">
        <v>9</v>
      </c>
      <c r="M188" s="4"/>
      <c r="N188" s="2"/>
      <c r="O188" s="21"/>
      <c r="P188" s="2"/>
      <c r="Q188" s="2"/>
      <c r="R188" s="4"/>
      <c r="S188" s="4"/>
      <c r="T188" s="4"/>
      <c r="U188" s="4"/>
      <c r="V188" s="4"/>
      <c r="W188" s="4"/>
    </row>
    <row r="189" spans="1:23" ht="14.5" hidden="1" customHeight="1" x14ac:dyDescent="0.2">
      <c r="A189">
        <f t="shared" si="2"/>
        <v>183</v>
      </c>
      <c r="B189">
        <v>2009</v>
      </c>
      <c r="C189" t="s">
        <v>225</v>
      </c>
      <c r="D189" t="s">
        <v>341</v>
      </c>
      <c r="E189" s="22">
        <v>420</v>
      </c>
      <c r="H189" t="s">
        <v>154</v>
      </c>
      <c r="I189" t="s">
        <v>529</v>
      </c>
      <c r="J189" t="s">
        <v>136</v>
      </c>
      <c r="K189" t="s">
        <v>183</v>
      </c>
      <c r="M189" s="4"/>
      <c r="N189" s="2"/>
      <c r="O189" s="21"/>
      <c r="P189" s="2"/>
      <c r="Q189" s="2"/>
      <c r="R189" s="4"/>
      <c r="S189" s="4"/>
      <c r="T189" s="4"/>
      <c r="U189" s="4"/>
      <c r="V189" s="4"/>
      <c r="W189" s="4"/>
    </row>
    <row r="190" spans="1:23" ht="14.5" hidden="1" customHeight="1" x14ac:dyDescent="0.2">
      <c r="A190">
        <f t="shared" si="2"/>
        <v>184</v>
      </c>
      <c r="B190">
        <v>2009</v>
      </c>
      <c r="C190" t="s">
        <v>225</v>
      </c>
      <c r="D190" t="s">
        <v>530</v>
      </c>
      <c r="E190" s="22">
        <v>200</v>
      </c>
      <c r="G190" t="s">
        <v>2451</v>
      </c>
      <c r="H190" t="s">
        <v>152</v>
      </c>
      <c r="I190" t="s">
        <v>257</v>
      </c>
      <c r="J190" t="s">
        <v>52</v>
      </c>
      <c r="K190" t="s">
        <v>201</v>
      </c>
      <c r="M190" s="4"/>
      <c r="N190" s="2"/>
      <c r="O190" s="21"/>
      <c r="P190" s="2"/>
      <c r="Q190" s="2"/>
      <c r="R190" s="4"/>
      <c r="S190" s="4"/>
      <c r="T190" s="4"/>
      <c r="U190" s="4"/>
      <c r="V190" s="4"/>
      <c r="W190" s="4"/>
    </row>
    <row r="191" spans="1:23" ht="14.5" hidden="1" customHeight="1" x14ac:dyDescent="0.2">
      <c r="A191">
        <f t="shared" si="2"/>
        <v>185</v>
      </c>
      <c r="B191">
        <v>2009</v>
      </c>
      <c r="C191" t="s">
        <v>188</v>
      </c>
      <c r="D191" t="s">
        <v>449</v>
      </c>
      <c r="E191" s="22">
        <v>2570</v>
      </c>
      <c r="H191" t="s">
        <v>154</v>
      </c>
      <c r="I191" t="s">
        <v>529</v>
      </c>
      <c r="J191" t="s">
        <v>5</v>
      </c>
      <c r="K191" t="s">
        <v>214</v>
      </c>
      <c r="M191" s="4"/>
      <c r="N191" s="2"/>
      <c r="O191" s="21"/>
      <c r="P191" s="2"/>
      <c r="Q191" s="2"/>
      <c r="R191" s="4"/>
      <c r="S191" s="4"/>
      <c r="T191" s="4"/>
      <c r="U191" s="4"/>
      <c r="V191" s="4"/>
      <c r="W191" s="4"/>
    </row>
    <row r="192" spans="1:23" ht="14.5" hidden="1" customHeight="1" x14ac:dyDescent="0.2">
      <c r="A192">
        <f t="shared" si="2"/>
        <v>186</v>
      </c>
      <c r="B192">
        <v>2009</v>
      </c>
      <c r="C192" t="s">
        <v>188</v>
      </c>
      <c r="D192" t="s">
        <v>444</v>
      </c>
      <c r="E192" s="22">
        <v>670</v>
      </c>
      <c r="H192" t="s">
        <v>144</v>
      </c>
      <c r="I192" t="s">
        <v>197</v>
      </c>
      <c r="J192" t="s">
        <v>138</v>
      </c>
      <c r="K192" t="s">
        <v>219</v>
      </c>
      <c r="M192" s="4"/>
      <c r="N192" s="2"/>
      <c r="O192" s="21"/>
      <c r="P192" s="2"/>
      <c r="Q192" s="2"/>
      <c r="R192" s="4"/>
      <c r="S192" s="4"/>
      <c r="T192" s="4"/>
      <c r="U192" s="4"/>
      <c r="V192" s="4"/>
      <c r="W192" s="4"/>
    </row>
    <row r="193" spans="1:23" ht="14.5" hidden="1" customHeight="1" x14ac:dyDescent="0.2">
      <c r="A193">
        <f t="shared" si="2"/>
        <v>187</v>
      </c>
      <c r="B193">
        <v>2009</v>
      </c>
      <c r="C193" t="s">
        <v>188</v>
      </c>
      <c r="D193" t="s">
        <v>1234</v>
      </c>
      <c r="E193" s="22">
        <v>890</v>
      </c>
      <c r="H193" t="s">
        <v>144</v>
      </c>
      <c r="I193" t="s">
        <v>273</v>
      </c>
      <c r="J193" t="s">
        <v>115</v>
      </c>
      <c r="K193" t="s">
        <v>201</v>
      </c>
      <c r="M193" s="4"/>
      <c r="N193" s="2"/>
      <c r="O193" s="21"/>
      <c r="P193" s="2"/>
      <c r="Q193" s="2"/>
      <c r="R193" s="4"/>
      <c r="S193" s="4"/>
      <c r="T193" s="4"/>
      <c r="U193" s="4"/>
      <c r="V193" s="4"/>
      <c r="W193" s="4"/>
    </row>
    <row r="194" spans="1:23" ht="14.5" hidden="1" customHeight="1" x14ac:dyDescent="0.2">
      <c r="A194">
        <f t="shared" si="2"/>
        <v>188</v>
      </c>
      <c r="B194">
        <v>2009</v>
      </c>
      <c r="C194" t="s">
        <v>188</v>
      </c>
      <c r="D194" t="s">
        <v>341</v>
      </c>
      <c r="E194" s="22">
        <v>160</v>
      </c>
      <c r="H194" t="s">
        <v>154</v>
      </c>
      <c r="I194" t="s">
        <v>194</v>
      </c>
      <c r="J194" t="s">
        <v>123</v>
      </c>
      <c r="K194" t="s">
        <v>219</v>
      </c>
      <c r="M194" s="4"/>
      <c r="N194" s="2"/>
      <c r="O194" s="21"/>
      <c r="P194" s="2"/>
      <c r="Q194" s="2"/>
      <c r="R194" s="4"/>
      <c r="S194" s="4"/>
      <c r="T194" s="4"/>
      <c r="U194" s="4"/>
      <c r="V194" s="4"/>
      <c r="W194" s="4"/>
    </row>
    <row r="195" spans="1:23" ht="14.5" hidden="1" customHeight="1" x14ac:dyDescent="0.2">
      <c r="A195">
        <f t="shared" si="2"/>
        <v>189</v>
      </c>
      <c r="B195">
        <v>2009</v>
      </c>
      <c r="C195" t="s">
        <v>188</v>
      </c>
      <c r="D195" t="s">
        <v>196</v>
      </c>
      <c r="E195" s="22">
        <v>640</v>
      </c>
      <c r="G195" t="s">
        <v>2452</v>
      </c>
      <c r="H195" t="s">
        <v>151</v>
      </c>
      <c r="I195" t="s">
        <v>279</v>
      </c>
      <c r="J195" t="s">
        <v>100</v>
      </c>
      <c r="K195" t="s">
        <v>214</v>
      </c>
      <c r="M195" s="4"/>
      <c r="N195" s="2"/>
      <c r="O195" s="21"/>
      <c r="P195" s="2"/>
      <c r="Q195" s="2"/>
      <c r="R195" s="4"/>
      <c r="S195" s="4"/>
      <c r="T195" s="4"/>
      <c r="U195" s="4"/>
      <c r="V195" s="4"/>
      <c r="W195" s="4"/>
    </row>
    <row r="196" spans="1:23" ht="14.5" hidden="1" customHeight="1" x14ac:dyDescent="0.2">
      <c r="A196">
        <f t="shared" si="2"/>
        <v>190</v>
      </c>
      <c r="B196">
        <v>2009</v>
      </c>
      <c r="C196" t="s">
        <v>191</v>
      </c>
      <c r="D196" t="s">
        <v>449</v>
      </c>
      <c r="E196" s="22">
        <v>530</v>
      </c>
      <c r="H196" t="s">
        <v>150</v>
      </c>
      <c r="I196" t="s">
        <v>744</v>
      </c>
      <c r="J196" t="s">
        <v>105</v>
      </c>
      <c r="K196" t="s">
        <v>214</v>
      </c>
      <c r="M196" s="4"/>
      <c r="N196" s="2"/>
      <c r="O196" s="21"/>
      <c r="P196" s="2"/>
      <c r="Q196" s="2"/>
      <c r="R196" s="4"/>
      <c r="S196" s="4"/>
      <c r="T196" s="4"/>
      <c r="U196" s="4"/>
      <c r="V196" s="4"/>
      <c r="W196" s="4"/>
    </row>
    <row r="197" spans="1:23" ht="14.5" hidden="1" customHeight="1" x14ac:dyDescent="0.2">
      <c r="A197">
        <f t="shared" si="2"/>
        <v>191</v>
      </c>
      <c r="B197">
        <v>2009</v>
      </c>
      <c r="C197" t="s">
        <v>191</v>
      </c>
      <c r="D197" t="s">
        <v>196</v>
      </c>
      <c r="E197" s="22">
        <v>2420</v>
      </c>
      <c r="H197" t="s">
        <v>144</v>
      </c>
      <c r="I197" t="s">
        <v>197</v>
      </c>
      <c r="J197" t="s">
        <v>40</v>
      </c>
      <c r="K197" t="s">
        <v>219</v>
      </c>
      <c r="M197" s="4"/>
      <c r="N197" s="2"/>
      <c r="O197" s="21"/>
      <c r="P197" s="2"/>
      <c r="Q197" s="2"/>
      <c r="R197" s="4"/>
      <c r="S197" s="4"/>
      <c r="T197" s="4"/>
      <c r="U197" s="4"/>
      <c r="V197" s="4"/>
      <c r="W197" s="4"/>
    </row>
    <row r="198" spans="1:23" ht="14.5" hidden="1" customHeight="1" x14ac:dyDescent="0.2">
      <c r="A198">
        <f t="shared" si="2"/>
        <v>192</v>
      </c>
      <c r="B198">
        <v>2009</v>
      </c>
      <c r="C198" t="s">
        <v>191</v>
      </c>
      <c r="D198" t="s">
        <v>246</v>
      </c>
      <c r="E198" s="22">
        <v>110</v>
      </c>
      <c r="H198" t="s">
        <v>155</v>
      </c>
      <c r="J198" t="s">
        <v>97</v>
      </c>
      <c r="K198" t="s">
        <v>183</v>
      </c>
      <c r="M198" s="4"/>
      <c r="N198" s="2"/>
      <c r="O198" s="21"/>
      <c r="P198" s="2"/>
      <c r="Q198" s="2"/>
      <c r="R198" s="4"/>
      <c r="S198" s="4"/>
      <c r="T198" s="4"/>
      <c r="U198" s="4"/>
      <c r="V198" s="4"/>
      <c r="W198" s="4"/>
    </row>
    <row r="199" spans="1:23" ht="14.5" hidden="1" customHeight="1" x14ac:dyDescent="0.2">
      <c r="A199">
        <f t="shared" ref="A199:A262" si="3">ROW()-6</f>
        <v>193</v>
      </c>
      <c r="B199">
        <v>2009</v>
      </c>
      <c r="C199" t="s">
        <v>191</v>
      </c>
      <c r="D199" t="s">
        <v>1234</v>
      </c>
      <c r="E199" s="22">
        <v>270</v>
      </c>
      <c r="H199" t="s">
        <v>144</v>
      </c>
      <c r="J199" t="s">
        <v>116</v>
      </c>
      <c r="K199" t="s">
        <v>214</v>
      </c>
      <c r="M199" s="4"/>
      <c r="N199" s="2"/>
      <c r="O199" s="21"/>
      <c r="P199" s="2"/>
      <c r="Q199" s="2"/>
      <c r="R199" s="4"/>
      <c r="S199" s="4"/>
      <c r="T199" s="4"/>
      <c r="U199" s="4"/>
      <c r="V199" s="4"/>
      <c r="W199" s="4"/>
    </row>
    <row r="200" spans="1:23" ht="14.5" hidden="1" customHeight="1" x14ac:dyDescent="0.2">
      <c r="A200">
        <f t="shared" si="3"/>
        <v>194</v>
      </c>
      <c r="B200">
        <v>2009</v>
      </c>
      <c r="C200" t="s">
        <v>191</v>
      </c>
      <c r="D200" t="s">
        <v>2453</v>
      </c>
      <c r="E200" s="22">
        <v>1650</v>
      </c>
      <c r="G200" t="s">
        <v>2454</v>
      </c>
      <c r="H200" t="s">
        <v>144</v>
      </c>
      <c r="I200" t="s">
        <v>187</v>
      </c>
      <c r="J200" t="s">
        <v>105</v>
      </c>
      <c r="K200" t="s">
        <v>214</v>
      </c>
      <c r="M200" s="4"/>
      <c r="N200" s="2"/>
      <c r="O200" s="21"/>
      <c r="P200" s="2"/>
      <c r="Q200" s="2"/>
      <c r="R200" s="4"/>
      <c r="S200" s="4"/>
      <c r="T200" s="4"/>
      <c r="U200" s="4"/>
      <c r="V200" s="4"/>
      <c r="W200" s="4"/>
    </row>
    <row r="201" spans="1:23" ht="14.5" hidden="1" customHeight="1" x14ac:dyDescent="0.2">
      <c r="A201">
        <f t="shared" si="3"/>
        <v>195</v>
      </c>
      <c r="B201">
        <v>2009</v>
      </c>
      <c r="C201" t="s">
        <v>191</v>
      </c>
      <c r="D201" t="s">
        <v>557</v>
      </c>
      <c r="E201" s="22">
        <v>110</v>
      </c>
      <c r="G201" t="s">
        <v>2455</v>
      </c>
      <c r="H201" t="s">
        <v>151</v>
      </c>
      <c r="I201" t="s">
        <v>279</v>
      </c>
      <c r="J201" t="s">
        <v>127</v>
      </c>
      <c r="K201" t="s">
        <v>214</v>
      </c>
      <c r="M201" s="4"/>
      <c r="N201" s="2"/>
      <c r="O201" s="21"/>
      <c r="P201" s="2"/>
      <c r="Q201" s="2"/>
      <c r="R201" s="4"/>
      <c r="S201" s="4"/>
      <c r="T201" s="4"/>
      <c r="U201" s="4"/>
      <c r="V201" s="4"/>
      <c r="W201" s="4"/>
    </row>
    <row r="202" spans="1:23" ht="14.5" hidden="1" customHeight="1" x14ac:dyDescent="0.2">
      <c r="A202">
        <f t="shared" si="3"/>
        <v>196</v>
      </c>
      <c r="B202">
        <v>2009</v>
      </c>
      <c r="C202" t="s">
        <v>191</v>
      </c>
      <c r="D202" t="s">
        <v>557</v>
      </c>
      <c r="E202" s="22">
        <v>120</v>
      </c>
      <c r="G202" t="s">
        <v>2456</v>
      </c>
      <c r="H202" t="s">
        <v>151</v>
      </c>
      <c r="I202" t="s">
        <v>279</v>
      </c>
      <c r="J202" t="s">
        <v>78</v>
      </c>
      <c r="K202" t="s">
        <v>183</v>
      </c>
      <c r="M202" s="4"/>
      <c r="N202" s="2"/>
      <c r="O202" s="21"/>
      <c r="P202" s="2"/>
      <c r="Q202" s="2"/>
      <c r="R202" s="4"/>
      <c r="S202" s="4"/>
      <c r="T202" s="4"/>
      <c r="U202" s="4"/>
      <c r="V202" s="4"/>
      <c r="W202" s="4"/>
    </row>
    <row r="203" spans="1:23" ht="14.5" hidden="1" customHeight="1" x14ac:dyDescent="0.2">
      <c r="A203">
        <f t="shared" si="3"/>
        <v>197</v>
      </c>
      <c r="B203">
        <v>2009</v>
      </c>
      <c r="C203" t="s">
        <v>198</v>
      </c>
      <c r="D203" t="s">
        <v>397</v>
      </c>
      <c r="E203" s="22">
        <v>260</v>
      </c>
      <c r="H203" t="s">
        <v>154</v>
      </c>
      <c r="I203" t="s">
        <v>194</v>
      </c>
      <c r="J203" t="s">
        <v>5</v>
      </c>
      <c r="K203" t="s">
        <v>214</v>
      </c>
      <c r="M203" s="4"/>
      <c r="N203" s="2"/>
      <c r="O203" s="21"/>
      <c r="P203" s="2"/>
      <c r="Q203" s="2"/>
      <c r="R203" s="4"/>
      <c r="S203" s="4"/>
      <c r="T203" s="4"/>
      <c r="U203" s="4"/>
      <c r="V203" s="4"/>
      <c r="W203" s="4"/>
    </row>
    <row r="204" spans="1:23" ht="14.5" hidden="1" customHeight="1" x14ac:dyDescent="0.2">
      <c r="A204">
        <f t="shared" si="3"/>
        <v>198</v>
      </c>
      <c r="B204">
        <v>2009</v>
      </c>
      <c r="C204" t="s">
        <v>198</v>
      </c>
      <c r="D204" t="s">
        <v>2402</v>
      </c>
      <c r="E204" s="22">
        <v>210</v>
      </c>
      <c r="G204" t="s">
        <v>849</v>
      </c>
      <c r="H204" t="s">
        <v>144</v>
      </c>
      <c r="I204" t="s">
        <v>197</v>
      </c>
      <c r="J204" t="s">
        <v>67</v>
      </c>
      <c r="K204" t="s">
        <v>183</v>
      </c>
      <c r="M204" s="4"/>
      <c r="N204" s="2"/>
      <c r="O204" s="21"/>
      <c r="P204" s="2"/>
      <c r="Q204" s="2"/>
      <c r="R204" s="4"/>
      <c r="S204" s="4"/>
      <c r="T204" s="4"/>
      <c r="U204" s="4"/>
      <c r="V204" s="4"/>
      <c r="W204" s="4"/>
    </row>
    <row r="205" spans="1:23" ht="14.5" hidden="1" customHeight="1" x14ac:dyDescent="0.2">
      <c r="A205">
        <f t="shared" si="3"/>
        <v>199</v>
      </c>
      <c r="B205">
        <v>2009</v>
      </c>
      <c r="C205" t="s">
        <v>198</v>
      </c>
      <c r="D205" t="s">
        <v>196</v>
      </c>
      <c r="E205" s="22">
        <v>140</v>
      </c>
      <c r="H205" t="s">
        <v>154</v>
      </c>
      <c r="I205" t="s">
        <v>194</v>
      </c>
      <c r="J205" t="s">
        <v>43</v>
      </c>
      <c r="K205" t="s">
        <v>219</v>
      </c>
      <c r="M205" s="4"/>
      <c r="N205" s="2"/>
      <c r="O205" s="21"/>
      <c r="P205" s="2"/>
      <c r="Q205" s="2"/>
      <c r="R205" s="4"/>
      <c r="S205" s="4"/>
      <c r="T205" s="4"/>
      <c r="U205" s="4"/>
      <c r="V205" s="4"/>
      <c r="W205" s="4"/>
    </row>
    <row r="206" spans="1:23" ht="14.5" hidden="1" customHeight="1" x14ac:dyDescent="0.2">
      <c r="A206">
        <f t="shared" si="3"/>
        <v>200</v>
      </c>
      <c r="B206">
        <v>2009</v>
      </c>
      <c r="C206" t="s">
        <v>198</v>
      </c>
      <c r="D206" t="s">
        <v>180</v>
      </c>
      <c r="E206" s="22">
        <v>180</v>
      </c>
      <c r="H206" t="s">
        <v>145</v>
      </c>
      <c r="J206" t="s">
        <v>5</v>
      </c>
      <c r="K206" t="s">
        <v>214</v>
      </c>
      <c r="M206" s="4"/>
      <c r="N206" s="2"/>
      <c r="O206" s="21"/>
      <c r="P206" s="2"/>
      <c r="Q206" s="2"/>
      <c r="R206" s="4"/>
      <c r="S206" s="4"/>
      <c r="T206" s="4"/>
      <c r="U206" s="4"/>
      <c r="V206" s="4"/>
      <c r="W206" s="4"/>
    </row>
    <row r="207" spans="1:23" ht="14.5" hidden="1" customHeight="1" x14ac:dyDescent="0.2">
      <c r="A207">
        <f t="shared" si="3"/>
        <v>201</v>
      </c>
      <c r="B207">
        <v>2009</v>
      </c>
      <c r="C207" t="s">
        <v>198</v>
      </c>
      <c r="D207" t="s">
        <v>815</v>
      </c>
      <c r="E207" s="22">
        <v>400</v>
      </c>
      <c r="G207" t="s">
        <v>2457</v>
      </c>
      <c r="H207" t="s">
        <v>151</v>
      </c>
      <c r="I207" t="s">
        <v>279</v>
      </c>
      <c r="J207" t="s">
        <v>105</v>
      </c>
      <c r="K207" t="s">
        <v>214</v>
      </c>
      <c r="M207" s="4"/>
      <c r="N207" s="2"/>
      <c r="O207" s="21"/>
      <c r="P207" s="2"/>
      <c r="Q207" s="2"/>
      <c r="R207" s="4"/>
      <c r="S207" s="4"/>
      <c r="T207" s="4"/>
      <c r="U207" s="4"/>
      <c r="V207" s="4"/>
      <c r="W207" s="4"/>
    </row>
    <row r="208" spans="1:23" ht="14.5" hidden="1" customHeight="1" x14ac:dyDescent="0.2">
      <c r="A208">
        <f t="shared" si="3"/>
        <v>202</v>
      </c>
      <c r="B208">
        <v>2009</v>
      </c>
      <c r="C208" t="s">
        <v>198</v>
      </c>
      <c r="D208" t="s">
        <v>2386</v>
      </c>
      <c r="E208" s="22">
        <v>720</v>
      </c>
      <c r="H208" t="s">
        <v>155</v>
      </c>
      <c r="J208" t="s">
        <v>92</v>
      </c>
      <c r="K208" t="s">
        <v>214</v>
      </c>
      <c r="M208" s="4"/>
      <c r="N208" s="2"/>
      <c r="O208" s="21"/>
      <c r="P208" s="2"/>
      <c r="Q208" s="2"/>
      <c r="R208" s="4"/>
      <c r="S208" s="4"/>
      <c r="T208" s="4"/>
      <c r="U208" s="4"/>
      <c r="V208" s="4"/>
      <c r="W208" s="4"/>
    </row>
    <row r="209" spans="1:23" ht="14.5" hidden="1" customHeight="1" x14ac:dyDescent="0.2">
      <c r="A209">
        <f t="shared" si="3"/>
        <v>203</v>
      </c>
      <c r="B209">
        <v>2009</v>
      </c>
      <c r="C209" t="s">
        <v>202</v>
      </c>
      <c r="D209" t="s">
        <v>2402</v>
      </c>
      <c r="E209" s="22">
        <v>450</v>
      </c>
      <c r="G209" t="s">
        <v>2458</v>
      </c>
      <c r="H209" t="s">
        <v>144</v>
      </c>
      <c r="I209" t="s">
        <v>197</v>
      </c>
      <c r="J209" t="s">
        <v>40</v>
      </c>
      <c r="K209" t="s">
        <v>219</v>
      </c>
      <c r="M209" s="4"/>
      <c r="N209" s="2"/>
      <c r="O209" s="21"/>
      <c r="P209" s="2"/>
      <c r="Q209" s="2"/>
      <c r="R209" s="4"/>
      <c r="S209" s="4"/>
      <c r="T209" s="4"/>
      <c r="U209" s="4"/>
      <c r="V209" s="4"/>
      <c r="W209" s="4"/>
    </row>
    <row r="210" spans="1:23" ht="14.5" hidden="1" customHeight="1" x14ac:dyDescent="0.2">
      <c r="A210">
        <f t="shared" si="3"/>
        <v>204</v>
      </c>
      <c r="B210">
        <v>2009</v>
      </c>
      <c r="C210" t="s">
        <v>202</v>
      </c>
      <c r="D210" t="s">
        <v>479</v>
      </c>
      <c r="E210" s="22">
        <v>120</v>
      </c>
      <c r="H210" t="s">
        <v>154</v>
      </c>
      <c r="I210" t="s">
        <v>194</v>
      </c>
      <c r="J210" t="s">
        <v>2406</v>
      </c>
      <c r="K210" t="s">
        <v>219</v>
      </c>
      <c r="M210" s="4"/>
      <c r="N210" s="2"/>
      <c r="O210" s="21"/>
      <c r="P210" s="2"/>
      <c r="Q210" s="2"/>
      <c r="R210" s="4"/>
      <c r="S210" s="4"/>
      <c r="T210" s="4"/>
      <c r="U210" s="4"/>
      <c r="V210" s="4"/>
      <c r="W210" s="4"/>
    </row>
    <row r="211" spans="1:23" ht="14.5" hidden="1" customHeight="1" x14ac:dyDescent="0.2">
      <c r="A211">
        <f t="shared" si="3"/>
        <v>205</v>
      </c>
      <c r="B211">
        <v>2009</v>
      </c>
      <c r="C211" t="s">
        <v>202</v>
      </c>
      <c r="D211" t="s">
        <v>2386</v>
      </c>
      <c r="E211" s="22">
        <v>810</v>
      </c>
      <c r="G211" t="s">
        <v>2459</v>
      </c>
      <c r="H211" t="s">
        <v>144</v>
      </c>
      <c r="I211" t="s">
        <v>273</v>
      </c>
      <c r="J211" t="s">
        <v>52</v>
      </c>
      <c r="K211" t="s">
        <v>201</v>
      </c>
      <c r="M211" s="4"/>
      <c r="N211" s="2"/>
      <c r="O211" s="21"/>
      <c r="P211" s="2"/>
      <c r="Q211" s="2"/>
      <c r="R211" s="4"/>
      <c r="S211" s="4"/>
      <c r="T211" s="4"/>
      <c r="U211" s="4"/>
      <c r="V211" s="4"/>
      <c r="W211" s="4"/>
    </row>
    <row r="212" spans="1:23" ht="14.5" hidden="1" customHeight="1" x14ac:dyDescent="0.2">
      <c r="A212">
        <f t="shared" si="3"/>
        <v>206</v>
      </c>
      <c r="B212">
        <v>2009</v>
      </c>
      <c r="C212" t="s">
        <v>202</v>
      </c>
      <c r="D212" t="s">
        <v>530</v>
      </c>
      <c r="E212" s="22">
        <v>490</v>
      </c>
      <c r="F212" s="16">
        <v>0.7</v>
      </c>
      <c r="G212" t="s">
        <v>2460</v>
      </c>
      <c r="H212" t="s">
        <v>152</v>
      </c>
      <c r="I212" t="s">
        <v>257</v>
      </c>
      <c r="J212" t="s">
        <v>108</v>
      </c>
      <c r="K212" t="s">
        <v>183</v>
      </c>
      <c r="M212" s="4"/>
      <c r="N212" s="2"/>
      <c r="O212" s="21"/>
      <c r="P212" s="2"/>
      <c r="Q212" s="2"/>
      <c r="R212" s="4"/>
      <c r="S212" s="4"/>
      <c r="T212" s="4"/>
      <c r="U212" s="4"/>
      <c r="V212" s="4"/>
      <c r="W212" s="4"/>
    </row>
    <row r="213" spans="1:23" ht="14.5" hidden="1" customHeight="1" x14ac:dyDescent="0.2">
      <c r="A213">
        <f t="shared" si="3"/>
        <v>207</v>
      </c>
      <c r="B213">
        <v>2009</v>
      </c>
      <c r="C213" t="s">
        <v>207</v>
      </c>
      <c r="D213" t="s">
        <v>479</v>
      </c>
      <c r="E213" s="22">
        <v>960</v>
      </c>
      <c r="H213" t="s">
        <v>154</v>
      </c>
      <c r="I213" t="s">
        <v>194</v>
      </c>
      <c r="J213" t="s">
        <v>136</v>
      </c>
      <c r="K213" t="s">
        <v>183</v>
      </c>
      <c r="M213" s="4"/>
      <c r="N213" s="2"/>
      <c r="O213" s="21"/>
      <c r="P213" s="2"/>
      <c r="Q213" s="2"/>
      <c r="R213" s="4"/>
      <c r="S213" s="4"/>
      <c r="T213" s="4"/>
      <c r="U213" s="4"/>
      <c r="V213" s="4"/>
      <c r="W213" s="4"/>
    </row>
    <row r="214" spans="1:23" ht="14.5" hidden="1" customHeight="1" x14ac:dyDescent="0.2">
      <c r="A214">
        <f t="shared" si="3"/>
        <v>208</v>
      </c>
      <c r="B214">
        <v>2009</v>
      </c>
      <c r="C214" t="s">
        <v>207</v>
      </c>
      <c r="D214" t="s">
        <v>399</v>
      </c>
      <c r="E214" s="22">
        <v>1380</v>
      </c>
      <c r="G214" t="s">
        <v>2461</v>
      </c>
      <c r="H214" t="s">
        <v>144</v>
      </c>
      <c r="I214" t="s">
        <v>273</v>
      </c>
      <c r="J214" t="s">
        <v>136</v>
      </c>
      <c r="K214" t="s">
        <v>183</v>
      </c>
      <c r="M214" s="4"/>
      <c r="N214" s="2"/>
      <c r="O214" s="21"/>
      <c r="P214" s="2"/>
      <c r="Q214" s="2"/>
      <c r="R214" s="4"/>
      <c r="S214" s="4"/>
      <c r="T214" s="4"/>
      <c r="U214" s="4"/>
      <c r="V214" s="4"/>
      <c r="W214" s="4"/>
    </row>
    <row r="215" spans="1:23" ht="14.5" hidden="1" customHeight="1" x14ac:dyDescent="0.2">
      <c r="A215">
        <f t="shared" si="3"/>
        <v>209</v>
      </c>
      <c r="B215">
        <v>2009</v>
      </c>
      <c r="C215" t="s">
        <v>207</v>
      </c>
      <c r="D215" t="s">
        <v>479</v>
      </c>
      <c r="E215" s="22">
        <v>100</v>
      </c>
      <c r="H215" t="s">
        <v>148</v>
      </c>
      <c r="J215" t="s">
        <v>116</v>
      </c>
      <c r="K215" t="s">
        <v>214</v>
      </c>
      <c r="M215" s="4"/>
      <c r="N215" s="2"/>
      <c r="O215" s="21"/>
      <c r="P215" s="2"/>
      <c r="Q215" s="2"/>
      <c r="R215" s="4"/>
      <c r="S215" s="4"/>
      <c r="T215" s="4"/>
      <c r="U215" s="4"/>
      <c r="V215" s="4"/>
      <c r="W215" s="4"/>
    </row>
    <row r="216" spans="1:23" ht="14.5" hidden="1" customHeight="1" x14ac:dyDescent="0.2">
      <c r="A216">
        <f t="shared" si="3"/>
        <v>210</v>
      </c>
      <c r="B216">
        <v>2009</v>
      </c>
      <c r="C216" t="s">
        <v>207</v>
      </c>
      <c r="D216" t="s">
        <v>479</v>
      </c>
      <c r="E216" s="22">
        <v>100</v>
      </c>
      <c r="H216" t="s">
        <v>154</v>
      </c>
      <c r="I216" t="s">
        <v>271</v>
      </c>
      <c r="J216" t="s">
        <v>19</v>
      </c>
      <c r="K216" t="s">
        <v>205</v>
      </c>
      <c r="M216" s="4"/>
      <c r="N216" s="2"/>
      <c r="O216" s="21"/>
      <c r="P216" s="2"/>
      <c r="Q216" s="2"/>
      <c r="R216" s="4"/>
      <c r="S216" s="4"/>
      <c r="T216" s="4"/>
      <c r="U216" s="4"/>
      <c r="V216" s="4"/>
      <c r="W216" s="4"/>
    </row>
    <row r="217" spans="1:23" ht="14.5" hidden="1" customHeight="1" x14ac:dyDescent="0.2">
      <c r="A217">
        <f t="shared" si="3"/>
        <v>211</v>
      </c>
      <c r="B217">
        <v>2009</v>
      </c>
      <c r="C217" t="s">
        <v>207</v>
      </c>
      <c r="D217" t="s">
        <v>815</v>
      </c>
      <c r="E217" s="22">
        <v>140</v>
      </c>
      <c r="G217" t="s">
        <v>2405</v>
      </c>
      <c r="H217" t="s">
        <v>151</v>
      </c>
      <c r="I217" t="s">
        <v>279</v>
      </c>
      <c r="J217" t="s">
        <v>138</v>
      </c>
      <c r="K217" t="s">
        <v>219</v>
      </c>
      <c r="M217" s="4"/>
      <c r="N217" s="2"/>
      <c r="O217" s="21"/>
      <c r="P217" s="2"/>
      <c r="Q217" s="2"/>
      <c r="R217" s="4"/>
      <c r="S217" s="4"/>
      <c r="T217" s="4"/>
      <c r="U217" s="4"/>
      <c r="V217" s="4"/>
      <c r="W217" s="4"/>
    </row>
    <row r="218" spans="1:23" ht="14.5" hidden="1" customHeight="1" x14ac:dyDescent="0.2">
      <c r="A218">
        <f t="shared" si="3"/>
        <v>212</v>
      </c>
      <c r="B218">
        <v>2009</v>
      </c>
      <c r="C218" t="s">
        <v>207</v>
      </c>
      <c r="D218" t="s">
        <v>815</v>
      </c>
      <c r="E218" s="22">
        <v>140</v>
      </c>
      <c r="G218" t="s">
        <v>2405</v>
      </c>
      <c r="H218" t="s">
        <v>151</v>
      </c>
      <c r="I218" t="s">
        <v>279</v>
      </c>
      <c r="J218" t="s">
        <v>2462</v>
      </c>
      <c r="K218" t="s">
        <v>219</v>
      </c>
      <c r="M218" s="4"/>
      <c r="N218" s="2"/>
      <c r="O218" s="21"/>
      <c r="P218" s="2"/>
      <c r="Q218" s="2"/>
      <c r="R218" s="4"/>
      <c r="S218" s="4"/>
      <c r="T218" s="4"/>
      <c r="U218" s="4"/>
      <c r="V218" s="4"/>
      <c r="W218" s="4"/>
    </row>
    <row r="219" spans="1:23" ht="14.5" hidden="1" customHeight="1" x14ac:dyDescent="0.2">
      <c r="A219">
        <f t="shared" si="3"/>
        <v>213</v>
      </c>
      <c r="B219">
        <v>2009</v>
      </c>
      <c r="C219" t="s">
        <v>207</v>
      </c>
      <c r="D219" t="s">
        <v>483</v>
      </c>
      <c r="E219" s="22">
        <v>610</v>
      </c>
      <c r="H219" t="s">
        <v>151</v>
      </c>
      <c r="I219" t="s">
        <v>279</v>
      </c>
      <c r="J219" t="s">
        <v>101</v>
      </c>
      <c r="K219" t="s">
        <v>201</v>
      </c>
      <c r="M219" s="4"/>
      <c r="N219" s="2"/>
      <c r="O219" s="21"/>
      <c r="P219" s="2"/>
      <c r="Q219" s="2"/>
      <c r="R219" s="4"/>
      <c r="S219" s="4"/>
      <c r="T219" s="4"/>
      <c r="U219" s="4"/>
      <c r="V219" s="4"/>
      <c r="W219" s="4"/>
    </row>
    <row r="220" spans="1:23" ht="14.5" hidden="1" customHeight="1" x14ac:dyDescent="0.2">
      <c r="A220">
        <f t="shared" si="3"/>
        <v>214</v>
      </c>
      <c r="B220">
        <v>2009</v>
      </c>
      <c r="C220" t="s">
        <v>207</v>
      </c>
      <c r="D220" t="s">
        <v>483</v>
      </c>
      <c r="E220" s="22">
        <v>210</v>
      </c>
      <c r="H220" t="s">
        <v>151</v>
      </c>
      <c r="I220" t="s">
        <v>279</v>
      </c>
      <c r="J220" t="s">
        <v>101</v>
      </c>
      <c r="K220" t="s">
        <v>201</v>
      </c>
      <c r="M220" s="4"/>
      <c r="N220" s="2"/>
      <c r="O220" s="21"/>
      <c r="P220" s="2"/>
      <c r="Q220" s="2"/>
      <c r="R220" s="4"/>
      <c r="S220" s="4"/>
      <c r="T220" s="4"/>
      <c r="U220" s="4"/>
      <c r="V220" s="4"/>
      <c r="W220" s="4"/>
    </row>
    <row r="221" spans="1:23" ht="14.5" hidden="1" customHeight="1" x14ac:dyDescent="0.2">
      <c r="A221">
        <f t="shared" si="3"/>
        <v>215</v>
      </c>
      <c r="B221">
        <v>2009</v>
      </c>
      <c r="C221" t="s">
        <v>207</v>
      </c>
      <c r="D221" t="s">
        <v>199</v>
      </c>
      <c r="E221" s="22">
        <v>300</v>
      </c>
      <c r="G221" t="s">
        <v>2002</v>
      </c>
      <c r="H221" t="s">
        <v>144</v>
      </c>
      <c r="J221" t="s">
        <v>105</v>
      </c>
      <c r="K221" t="s">
        <v>214</v>
      </c>
      <c r="M221" s="4"/>
      <c r="N221" s="2"/>
      <c r="O221" s="21"/>
      <c r="P221" s="2"/>
      <c r="Q221" s="2"/>
      <c r="R221" s="4"/>
      <c r="S221" s="4"/>
      <c r="T221" s="4"/>
      <c r="U221" s="4"/>
      <c r="V221" s="4"/>
      <c r="W221" s="4"/>
    </row>
    <row r="222" spans="1:23" ht="14.5" hidden="1" customHeight="1" x14ac:dyDescent="0.2">
      <c r="A222">
        <f t="shared" si="3"/>
        <v>216</v>
      </c>
      <c r="B222">
        <v>2009</v>
      </c>
      <c r="C222" t="s">
        <v>240</v>
      </c>
      <c r="D222" t="s">
        <v>397</v>
      </c>
      <c r="E222" s="22">
        <v>100</v>
      </c>
      <c r="H222" t="s">
        <v>154</v>
      </c>
      <c r="I222" t="s">
        <v>529</v>
      </c>
      <c r="J222" t="s">
        <v>131</v>
      </c>
      <c r="K222" t="s">
        <v>131</v>
      </c>
      <c r="M222" s="4"/>
      <c r="N222" s="2"/>
      <c r="O222" s="21"/>
      <c r="P222" s="2"/>
      <c r="Q222" s="2"/>
      <c r="R222" s="4"/>
      <c r="S222" s="4"/>
      <c r="T222" s="4"/>
      <c r="U222" s="4"/>
      <c r="V222" s="4"/>
      <c r="W222" s="4"/>
    </row>
    <row r="223" spans="1:23" ht="14.5" hidden="1" customHeight="1" x14ac:dyDescent="0.2">
      <c r="A223">
        <f t="shared" si="3"/>
        <v>217</v>
      </c>
      <c r="B223">
        <v>2009</v>
      </c>
      <c r="C223" t="s">
        <v>240</v>
      </c>
      <c r="D223" t="s">
        <v>479</v>
      </c>
      <c r="E223" s="22">
        <v>610</v>
      </c>
      <c r="H223" t="s">
        <v>154</v>
      </c>
      <c r="I223" t="s">
        <v>194</v>
      </c>
      <c r="J223" t="s">
        <v>40</v>
      </c>
      <c r="K223" t="s">
        <v>219</v>
      </c>
      <c r="M223" s="4"/>
      <c r="N223" s="2"/>
      <c r="O223" s="21"/>
      <c r="P223" s="2"/>
      <c r="Q223" s="2"/>
      <c r="R223" s="4"/>
      <c r="S223" s="4"/>
      <c r="T223" s="4"/>
      <c r="U223" s="4"/>
      <c r="V223" s="4"/>
      <c r="W223" s="4"/>
    </row>
    <row r="224" spans="1:23" ht="14.5" hidden="1" customHeight="1" x14ac:dyDescent="0.2">
      <c r="A224">
        <f t="shared" si="3"/>
        <v>218</v>
      </c>
      <c r="B224">
        <v>2009</v>
      </c>
      <c r="C224" t="s">
        <v>240</v>
      </c>
      <c r="D224" t="s">
        <v>479</v>
      </c>
      <c r="E224" s="22">
        <v>210</v>
      </c>
      <c r="H224" t="s">
        <v>154</v>
      </c>
      <c r="I224" t="s">
        <v>250</v>
      </c>
      <c r="J224" t="s">
        <v>115</v>
      </c>
      <c r="K224" t="s">
        <v>201</v>
      </c>
      <c r="M224" s="4"/>
      <c r="N224" s="2"/>
      <c r="O224" s="21"/>
      <c r="P224" s="2"/>
      <c r="Q224" s="2"/>
      <c r="R224" s="4"/>
      <c r="S224" s="4"/>
      <c r="T224" s="4"/>
      <c r="U224" s="4"/>
      <c r="V224" s="4"/>
      <c r="W224" s="4"/>
    </row>
    <row r="225" spans="1:23" ht="14.5" hidden="1" customHeight="1" x14ac:dyDescent="0.2">
      <c r="A225">
        <f t="shared" si="3"/>
        <v>219</v>
      </c>
      <c r="B225">
        <v>2009</v>
      </c>
      <c r="C225" t="s">
        <v>240</v>
      </c>
      <c r="D225" t="s">
        <v>444</v>
      </c>
      <c r="E225" s="22">
        <v>970</v>
      </c>
      <c r="H225" t="s">
        <v>144</v>
      </c>
      <c r="J225" t="s">
        <v>18</v>
      </c>
      <c r="K225" t="s">
        <v>219</v>
      </c>
      <c r="M225" s="4"/>
      <c r="N225" s="2"/>
      <c r="O225" s="21"/>
      <c r="P225" s="2"/>
      <c r="Q225" s="2"/>
      <c r="R225" s="4"/>
      <c r="S225" s="4"/>
      <c r="T225" s="4"/>
      <c r="U225" s="4"/>
      <c r="V225" s="4"/>
      <c r="W225" s="4"/>
    </row>
    <row r="226" spans="1:23" ht="14.5" hidden="1" customHeight="1" x14ac:dyDescent="0.2">
      <c r="A226">
        <f t="shared" si="3"/>
        <v>220</v>
      </c>
      <c r="B226">
        <v>2009</v>
      </c>
      <c r="C226" t="s">
        <v>240</v>
      </c>
      <c r="D226" t="s">
        <v>703</v>
      </c>
      <c r="E226" s="22">
        <v>600</v>
      </c>
      <c r="H226" t="s">
        <v>144</v>
      </c>
      <c r="J226" t="s">
        <v>93</v>
      </c>
      <c r="K226" t="s">
        <v>201</v>
      </c>
      <c r="M226" s="4"/>
      <c r="N226" s="2"/>
      <c r="O226" s="21"/>
      <c r="P226" s="2"/>
      <c r="Q226" s="2"/>
      <c r="R226" s="4"/>
      <c r="S226" s="4"/>
      <c r="T226" s="4"/>
      <c r="U226" s="4"/>
      <c r="V226" s="4"/>
      <c r="W226" s="4"/>
    </row>
    <row r="227" spans="1:23" ht="14.5" hidden="1" customHeight="1" x14ac:dyDescent="0.2">
      <c r="A227">
        <f t="shared" si="3"/>
        <v>221</v>
      </c>
      <c r="B227">
        <v>2009</v>
      </c>
      <c r="C227" t="s">
        <v>240</v>
      </c>
      <c r="D227" t="s">
        <v>530</v>
      </c>
      <c r="E227" s="22">
        <v>180</v>
      </c>
      <c r="G227" t="s">
        <v>2463</v>
      </c>
      <c r="H227" t="s">
        <v>152</v>
      </c>
      <c r="I227" t="s">
        <v>257</v>
      </c>
      <c r="J227" t="s">
        <v>91</v>
      </c>
      <c r="K227" t="s">
        <v>195</v>
      </c>
      <c r="M227" s="4"/>
      <c r="N227" s="2"/>
      <c r="O227" s="21"/>
      <c r="P227" s="2"/>
      <c r="Q227" s="2"/>
      <c r="R227" s="4"/>
      <c r="S227" s="4"/>
      <c r="T227" s="4"/>
      <c r="U227" s="4"/>
      <c r="V227" s="4"/>
      <c r="W227" s="4"/>
    </row>
    <row r="228" spans="1:23" ht="14.5" hidden="1" customHeight="1" x14ac:dyDescent="0.2">
      <c r="A228">
        <f t="shared" si="3"/>
        <v>222</v>
      </c>
      <c r="B228">
        <v>2009</v>
      </c>
      <c r="C228" t="s">
        <v>240</v>
      </c>
      <c r="D228" t="s">
        <v>189</v>
      </c>
      <c r="E228" s="22">
        <v>160</v>
      </c>
      <c r="H228" t="s">
        <v>144</v>
      </c>
      <c r="J228" t="s">
        <v>65</v>
      </c>
      <c r="K228" t="s">
        <v>214</v>
      </c>
      <c r="M228" s="4"/>
      <c r="N228" s="2"/>
      <c r="O228" s="21"/>
      <c r="P228" s="2"/>
      <c r="Q228" s="2"/>
      <c r="R228" s="4"/>
      <c r="S228" s="4"/>
      <c r="T228" s="4"/>
      <c r="U228" s="4"/>
      <c r="V228" s="4"/>
      <c r="W228" s="4"/>
    </row>
    <row r="229" spans="1:23" ht="14.5" hidden="1" customHeight="1" x14ac:dyDescent="0.2">
      <c r="A229">
        <f t="shared" si="3"/>
        <v>223</v>
      </c>
      <c r="B229">
        <v>2009</v>
      </c>
      <c r="C229" t="s">
        <v>212</v>
      </c>
      <c r="D229" t="s">
        <v>479</v>
      </c>
      <c r="E229" s="22">
        <v>500</v>
      </c>
      <c r="H229" t="s">
        <v>154</v>
      </c>
      <c r="I229" t="s">
        <v>271</v>
      </c>
      <c r="J229" t="s">
        <v>24</v>
      </c>
      <c r="K229" t="s">
        <v>219</v>
      </c>
      <c r="M229" s="4"/>
      <c r="N229" s="2"/>
      <c r="O229" s="21"/>
      <c r="P229" s="2"/>
      <c r="Q229" s="2"/>
      <c r="R229" s="4"/>
      <c r="S229" s="4"/>
      <c r="T229" s="4"/>
      <c r="U229" s="4"/>
      <c r="V229" s="4"/>
      <c r="W229" s="4"/>
    </row>
    <row r="230" spans="1:23" ht="14.5" hidden="1" customHeight="1" x14ac:dyDescent="0.2">
      <c r="A230">
        <f t="shared" si="3"/>
        <v>224</v>
      </c>
      <c r="B230">
        <v>2009</v>
      </c>
      <c r="C230" t="s">
        <v>212</v>
      </c>
      <c r="D230" t="s">
        <v>199</v>
      </c>
      <c r="E230" s="22">
        <v>3130</v>
      </c>
      <c r="H230" t="s">
        <v>144</v>
      </c>
      <c r="I230" t="s">
        <v>299</v>
      </c>
      <c r="J230" t="s">
        <v>129</v>
      </c>
      <c r="K230" t="s">
        <v>201</v>
      </c>
      <c r="M230" s="4"/>
      <c r="N230" s="2"/>
      <c r="O230" s="21"/>
      <c r="P230" s="2"/>
      <c r="Q230" s="2"/>
      <c r="R230" s="4"/>
      <c r="S230" s="4"/>
      <c r="T230" s="4"/>
      <c r="U230" s="4"/>
      <c r="V230" s="4"/>
      <c r="W230" s="4"/>
    </row>
    <row r="231" spans="1:23" ht="14.5" hidden="1" customHeight="1" x14ac:dyDescent="0.2">
      <c r="A231">
        <f t="shared" si="3"/>
        <v>225</v>
      </c>
      <c r="B231">
        <v>2009</v>
      </c>
      <c r="C231" t="s">
        <v>212</v>
      </c>
      <c r="D231" t="s">
        <v>196</v>
      </c>
      <c r="E231" s="22">
        <v>170</v>
      </c>
      <c r="H231" t="s">
        <v>154</v>
      </c>
      <c r="I231" t="s">
        <v>194</v>
      </c>
      <c r="J231" t="s">
        <v>13</v>
      </c>
      <c r="K231" t="s">
        <v>201</v>
      </c>
      <c r="M231" s="4"/>
      <c r="N231" s="2"/>
      <c r="O231" s="21"/>
      <c r="P231" s="2"/>
      <c r="Q231" s="2"/>
      <c r="R231" s="4"/>
      <c r="S231" s="4"/>
      <c r="T231" s="4"/>
      <c r="U231" s="4"/>
      <c r="V231" s="4"/>
      <c r="W231" s="4"/>
    </row>
    <row r="232" spans="1:23" ht="14.5" hidden="1" customHeight="1" x14ac:dyDescent="0.2">
      <c r="A232">
        <f t="shared" si="3"/>
        <v>226</v>
      </c>
      <c r="B232">
        <v>2009</v>
      </c>
      <c r="C232" t="s">
        <v>212</v>
      </c>
      <c r="D232" t="s">
        <v>1149</v>
      </c>
      <c r="E232" s="22">
        <v>100</v>
      </c>
      <c r="H232" t="s">
        <v>154</v>
      </c>
      <c r="I232" t="s">
        <v>194</v>
      </c>
      <c r="J232" t="s">
        <v>116</v>
      </c>
      <c r="K232" t="s">
        <v>214</v>
      </c>
      <c r="M232" s="4"/>
      <c r="N232" s="2"/>
      <c r="O232" s="21"/>
      <c r="P232" s="2"/>
      <c r="Q232" s="2"/>
      <c r="R232" s="4"/>
      <c r="S232" s="4"/>
      <c r="T232" s="4"/>
      <c r="U232" s="4"/>
      <c r="V232" s="4"/>
      <c r="W232" s="4"/>
    </row>
    <row r="233" spans="1:23" ht="14.5" hidden="1" customHeight="1" x14ac:dyDescent="0.2">
      <c r="A233">
        <f t="shared" si="3"/>
        <v>227</v>
      </c>
      <c r="B233">
        <v>2009</v>
      </c>
      <c r="C233" t="s">
        <v>212</v>
      </c>
      <c r="D233" t="s">
        <v>444</v>
      </c>
      <c r="E233" s="22">
        <v>310</v>
      </c>
      <c r="H233" t="s">
        <v>142</v>
      </c>
      <c r="J233" t="s">
        <v>135</v>
      </c>
      <c r="K233" t="s">
        <v>205</v>
      </c>
      <c r="M233" s="4"/>
      <c r="N233" s="2"/>
      <c r="O233" s="21"/>
      <c r="P233" s="2"/>
      <c r="Q233" s="2"/>
      <c r="R233" s="4"/>
      <c r="S233" s="4"/>
      <c r="T233" s="4"/>
      <c r="U233" s="4"/>
      <c r="V233" s="4"/>
      <c r="W233" s="4"/>
    </row>
    <row r="234" spans="1:23" ht="14.5" hidden="1" customHeight="1" x14ac:dyDescent="0.2">
      <c r="A234">
        <f t="shared" si="3"/>
        <v>228</v>
      </c>
      <c r="B234">
        <v>2009</v>
      </c>
      <c r="C234" t="s">
        <v>212</v>
      </c>
      <c r="D234" t="s">
        <v>2402</v>
      </c>
      <c r="E234" s="22">
        <v>100</v>
      </c>
      <c r="H234" t="s">
        <v>144</v>
      </c>
      <c r="I234" t="s">
        <v>197</v>
      </c>
      <c r="J234" t="s">
        <v>74</v>
      </c>
      <c r="K234" t="s">
        <v>219</v>
      </c>
      <c r="M234" s="4"/>
      <c r="N234" s="2"/>
      <c r="O234" s="21"/>
      <c r="P234" s="2"/>
      <c r="Q234" s="2"/>
      <c r="R234" s="4"/>
      <c r="S234" s="4"/>
      <c r="T234" s="4"/>
      <c r="U234" s="4"/>
      <c r="V234" s="4"/>
      <c r="W234" s="4"/>
    </row>
    <row r="235" spans="1:23" ht="14.5" hidden="1" customHeight="1" x14ac:dyDescent="0.2">
      <c r="A235">
        <f t="shared" si="3"/>
        <v>229</v>
      </c>
      <c r="B235">
        <v>2009</v>
      </c>
      <c r="C235" t="s">
        <v>212</v>
      </c>
      <c r="D235" t="s">
        <v>2464</v>
      </c>
      <c r="E235" s="22">
        <v>330</v>
      </c>
      <c r="H235" t="s">
        <v>145</v>
      </c>
      <c r="J235" t="s">
        <v>5</v>
      </c>
      <c r="K235" t="s">
        <v>214</v>
      </c>
      <c r="M235" s="4"/>
      <c r="N235" s="2"/>
      <c r="O235" s="21"/>
      <c r="P235" s="2"/>
      <c r="Q235" s="2"/>
      <c r="R235" s="4"/>
      <c r="S235" s="4"/>
      <c r="T235" s="4"/>
      <c r="U235" s="4"/>
      <c r="V235" s="4"/>
      <c r="W235" s="4"/>
    </row>
    <row r="236" spans="1:23" ht="14.5" hidden="1" customHeight="1" x14ac:dyDescent="0.2">
      <c r="A236">
        <f t="shared" si="3"/>
        <v>230</v>
      </c>
      <c r="B236">
        <v>2010</v>
      </c>
      <c r="C236" t="s">
        <v>172</v>
      </c>
      <c r="D236" t="s">
        <v>543</v>
      </c>
      <c r="E236" s="22">
        <v>380</v>
      </c>
      <c r="G236" t="s">
        <v>2465</v>
      </c>
      <c r="H236" t="s">
        <v>152</v>
      </c>
      <c r="I236" t="s">
        <v>257</v>
      </c>
      <c r="J236" t="s">
        <v>112</v>
      </c>
      <c r="K236" t="s">
        <v>219</v>
      </c>
      <c r="M236" s="4"/>
      <c r="N236" s="2"/>
      <c r="O236" s="21"/>
      <c r="P236" s="2"/>
      <c r="Q236" s="2"/>
      <c r="R236" s="4"/>
      <c r="S236" s="4"/>
      <c r="T236" s="4"/>
      <c r="U236" s="4"/>
      <c r="V236" s="4"/>
      <c r="W236" s="4"/>
    </row>
    <row r="237" spans="1:23" ht="14.5" hidden="1" customHeight="1" x14ac:dyDescent="0.2">
      <c r="A237">
        <f t="shared" si="3"/>
        <v>231</v>
      </c>
      <c r="B237">
        <v>2010</v>
      </c>
      <c r="C237" t="s">
        <v>172</v>
      </c>
      <c r="D237" t="s">
        <v>479</v>
      </c>
      <c r="E237" s="22">
        <v>130</v>
      </c>
      <c r="H237" t="s">
        <v>142</v>
      </c>
      <c r="J237" t="s">
        <v>130</v>
      </c>
      <c r="K237" t="s">
        <v>214</v>
      </c>
      <c r="M237" s="4"/>
      <c r="N237" s="2"/>
      <c r="O237" s="21"/>
      <c r="P237" s="2"/>
      <c r="Q237" s="2"/>
      <c r="R237" s="4"/>
      <c r="S237" s="4"/>
      <c r="T237" s="4"/>
      <c r="U237" s="4"/>
      <c r="V237" s="4"/>
      <c r="W237" s="4"/>
    </row>
    <row r="238" spans="1:23" ht="14.5" hidden="1" customHeight="1" x14ac:dyDescent="0.2">
      <c r="A238">
        <f t="shared" si="3"/>
        <v>232</v>
      </c>
      <c r="B238">
        <v>2010</v>
      </c>
      <c r="C238" t="s">
        <v>172</v>
      </c>
      <c r="D238" t="s">
        <v>2402</v>
      </c>
      <c r="E238" s="22">
        <v>600</v>
      </c>
      <c r="G238" t="s">
        <v>2466</v>
      </c>
      <c r="H238" t="s">
        <v>144</v>
      </c>
      <c r="I238" t="s">
        <v>197</v>
      </c>
      <c r="J238" t="s">
        <v>97</v>
      </c>
      <c r="K238" t="s">
        <v>183</v>
      </c>
      <c r="M238" s="4"/>
      <c r="N238" s="2"/>
      <c r="O238" s="21"/>
      <c r="P238" s="2"/>
      <c r="Q238" s="2"/>
      <c r="R238" s="4"/>
      <c r="S238" s="4"/>
      <c r="T238" s="4"/>
      <c r="U238" s="4"/>
      <c r="V238" s="4"/>
      <c r="W238" s="4"/>
    </row>
    <row r="239" spans="1:23" ht="14.5" hidden="1" customHeight="1" x14ac:dyDescent="0.2">
      <c r="A239">
        <f t="shared" si="3"/>
        <v>233</v>
      </c>
      <c r="B239">
        <v>2010</v>
      </c>
      <c r="C239" t="s">
        <v>172</v>
      </c>
      <c r="D239" t="s">
        <v>483</v>
      </c>
      <c r="E239" s="22">
        <v>460</v>
      </c>
      <c r="G239" t="s">
        <v>2467</v>
      </c>
      <c r="H239" t="s">
        <v>154</v>
      </c>
      <c r="I239" t="s">
        <v>194</v>
      </c>
      <c r="J239" t="s">
        <v>101</v>
      </c>
      <c r="K239" t="s">
        <v>201</v>
      </c>
      <c r="M239" s="4"/>
      <c r="N239" s="2"/>
      <c r="O239" s="21"/>
      <c r="P239" s="2"/>
      <c r="Q239" s="2"/>
      <c r="R239" s="4"/>
      <c r="S239" s="4"/>
      <c r="T239" s="4"/>
      <c r="U239" s="4"/>
      <c r="V239" s="4"/>
      <c r="W239" s="4"/>
    </row>
    <row r="240" spans="1:23" ht="14.5" hidden="1" customHeight="1" x14ac:dyDescent="0.2">
      <c r="A240">
        <f t="shared" si="3"/>
        <v>234</v>
      </c>
      <c r="B240">
        <v>2010</v>
      </c>
      <c r="C240" t="s">
        <v>172</v>
      </c>
      <c r="D240" t="s">
        <v>2468</v>
      </c>
      <c r="E240" s="22">
        <v>200</v>
      </c>
      <c r="F240" s="16">
        <v>0.45</v>
      </c>
      <c r="G240" t="s">
        <v>2469</v>
      </c>
      <c r="H240" t="s">
        <v>144</v>
      </c>
      <c r="I240" t="s">
        <v>273</v>
      </c>
      <c r="J240" t="s">
        <v>136</v>
      </c>
      <c r="K240" t="s">
        <v>183</v>
      </c>
      <c r="M240" s="4"/>
      <c r="N240" s="2"/>
      <c r="O240" s="21"/>
      <c r="P240" s="2"/>
      <c r="Q240" s="2"/>
      <c r="R240" s="4"/>
      <c r="S240" s="4"/>
      <c r="T240" s="4"/>
      <c r="U240" s="4"/>
      <c r="V240" s="4"/>
      <c r="W240" s="4"/>
    </row>
    <row r="241" spans="1:23" ht="14.5" hidden="1" customHeight="1" x14ac:dyDescent="0.2">
      <c r="A241">
        <f t="shared" si="3"/>
        <v>235</v>
      </c>
      <c r="B241">
        <v>2010</v>
      </c>
      <c r="C241" t="s">
        <v>172</v>
      </c>
      <c r="D241" t="s">
        <v>246</v>
      </c>
      <c r="E241" s="22">
        <v>110</v>
      </c>
      <c r="H241" t="s">
        <v>154</v>
      </c>
      <c r="I241" t="s">
        <v>194</v>
      </c>
      <c r="J241" t="s">
        <v>24</v>
      </c>
      <c r="K241" t="s">
        <v>219</v>
      </c>
      <c r="M241" s="4"/>
      <c r="N241" s="2"/>
      <c r="O241" s="21"/>
      <c r="P241" s="2"/>
      <c r="Q241" s="2"/>
      <c r="R241" s="4"/>
      <c r="S241" s="4"/>
      <c r="T241" s="4"/>
      <c r="U241" s="4"/>
      <c r="V241" s="4"/>
      <c r="W241" s="4"/>
    </row>
    <row r="242" spans="1:23" ht="14.5" hidden="1" customHeight="1" x14ac:dyDescent="0.2">
      <c r="A242">
        <f t="shared" si="3"/>
        <v>236</v>
      </c>
      <c r="B242">
        <v>2010</v>
      </c>
      <c r="C242" t="s">
        <v>258</v>
      </c>
      <c r="D242" t="s">
        <v>479</v>
      </c>
      <c r="E242" s="22">
        <v>140</v>
      </c>
      <c r="G242" t="s">
        <v>2470</v>
      </c>
      <c r="H242" t="s">
        <v>154</v>
      </c>
      <c r="I242" t="s">
        <v>194</v>
      </c>
      <c r="J242" t="s">
        <v>21</v>
      </c>
      <c r="K242" t="s">
        <v>183</v>
      </c>
      <c r="M242" s="4"/>
      <c r="N242" s="2"/>
      <c r="O242" s="21"/>
      <c r="P242" s="2"/>
      <c r="Q242" s="2"/>
      <c r="R242" s="4"/>
      <c r="S242" s="4"/>
      <c r="T242" s="4"/>
      <c r="U242" s="4"/>
      <c r="V242" s="4"/>
      <c r="W242" s="4"/>
    </row>
    <row r="243" spans="1:23" ht="14.5" hidden="1" customHeight="1" x14ac:dyDescent="0.2">
      <c r="A243">
        <f t="shared" si="3"/>
        <v>237</v>
      </c>
      <c r="B243">
        <v>2010</v>
      </c>
      <c r="C243" t="s">
        <v>258</v>
      </c>
      <c r="D243" t="s">
        <v>2471</v>
      </c>
      <c r="E243" s="22">
        <v>730</v>
      </c>
      <c r="G243" t="s">
        <v>2472</v>
      </c>
      <c r="H243" t="s">
        <v>144</v>
      </c>
      <c r="I243" t="s">
        <v>197</v>
      </c>
      <c r="J243" t="s">
        <v>63</v>
      </c>
      <c r="K243" t="s">
        <v>201</v>
      </c>
      <c r="M243" s="4"/>
      <c r="N243" s="2"/>
      <c r="O243" s="21"/>
      <c r="P243" s="2"/>
      <c r="Q243" s="2"/>
      <c r="R243" s="4"/>
      <c r="S243" s="4"/>
      <c r="T243" s="4"/>
      <c r="U243" s="4"/>
      <c r="V243" s="4"/>
      <c r="W243" s="4"/>
    </row>
    <row r="244" spans="1:23" ht="14.5" hidden="1" customHeight="1" x14ac:dyDescent="0.2">
      <c r="A244">
        <f t="shared" si="3"/>
        <v>238</v>
      </c>
      <c r="B244">
        <v>2010</v>
      </c>
      <c r="C244" t="s">
        <v>258</v>
      </c>
      <c r="D244" t="s">
        <v>2402</v>
      </c>
      <c r="E244" s="22">
        <v>220</v>
      </c>
      <c r="H244" t="s">
        <v>155</v>
      </c>
      <c r="J244" t="s">
        <v>2376</v>
      </c>
      <c r="K244" t="s">
        <v>214</v>
      </c>
      <c r="M244" s="4"/>
      <c r="N244" s="2"/>
      <c r="O244" s="21"/>
      <c r="P244" s="2"/>
      <c r="Q244" s="2"/>
      <c r="R244" s="4"/>
      <c r="S244" s="4"/>
      <c r="T244" s="4"/>
      <c r="U244" s="4"/>
      <c r="V244" s="4"/>
      <c r="W244" s="4"/>
    </row>
    <row r="245" spans="1:23" ht="14.5" hidden="1" customHeight="1" x14ac:dyDescent="0.2">
      <c r="A245">
        <f t="shared" si="3"/>
        <v>239</v>
      </c>
      <c r="B245">
        <v>2010</v>
      </c>
      <c r="C245" t="s">
        <v>258</v>
      </c>
      <c r="D245" t="s">
        <v>745</v>
      </c>
      <c r="E245" s="22">
        <v>160</v>
      </c>
      <c r="H245" t="s">
        <v>144</v>
      </c>
      <c r="J245" t="s">
        <v>13</v>
      </c>
      <c r="K245" t="s">
        <v>201</v>
      </c>
      <c r="M245" s="4"/>
      <c r="N245" s="2"/>
      <c r="O245" s="21"/>
      <c r="P245" s="2"/>
      <c r="Q245" s="2"/>
      <c r="R245" s="4"/>
      <c r="S245" s="4"/>
      <c r="T245" s="4"/>
      <c r="U245" s="4"/>
      <c r="V245" s="4"/>
      <c r="W245" s="4"/>
    </row>
    <row r="246" spans="1:23" ht="14.5" hidden="1" customHeight="1" x14ac:dyDescent="0.2">
      <c r="A246">
        <f t="shared" si="3"/>
        <v>240</v>
      </c>
      <c r="B246">
        <v>2010</v>
      </c>
      <c r="C246" t="s">
        <v>258</v>
      </c>
      <c r="D246" t="s">
        <v>189</v>
      </c>
      <c r="E246" s="22">
        <v>140</v>
      </c>
      <c r="G246" t="s">
        <v>2002</v>
      </c>
      <c r="H246" t="s">
        <v>144</v>
      </c>
      <c r="I246" t="s">
        <v>187</v>
      </c>
      <c r="J246" t="s">
        <v>105</v>
      </c>
      <c r="K246" t="s">
        <v>214</v>
      </c>
      <c r="M246" s="4"/>
      <c r="N246" s="2"/>
      <c r="O246" s="21"/>
      <c r="P246" s="2"/>
      <c r="Q246" s="2"/>
      <c r="R246" s="4"/>
      <c r="S246" s="4"/>
      <c r="T246" s="4"/>
      <c r="U246" s="4"/>
      <c r="V246" s="4"/>
      <c r="W246" s="4"/>
    </row>
    <row r="247" spans="1:23" ht="14.5" hidden="1" customHeight="1" x14ac:dyDescent="0.2">
      <c r="A247">
        <f t="shared" si="3"/>
        <v>241</v>
      </c>
      <c r="B247">
        <v>2010</v>
      </c>
      <c r="C247" t="s">
        <v>179</v>
      </c>
      <c r="D247" t="s">
        <v>444</v>
      </c>
      <c r="E247" s="22">
        <v>320</v>
      </c>
      <c r="H247" t="s">
        <v>145</v>
      </c>
      <c r="J247" t="s">
        <v>24</v>
      </c>
      <c r="K247" t="s">
        <v>219</v>
      </c>
      <c r="M247" s="4"/>
      <c r="N247" s="2"/>
      <c r="O247" s="21"/>
      <c r="P247" s="2"/>
      <c r="Q247" s="2"/>
      <c r="R247" s="4"/>
      <c r="S247" s="4"/>
      <c r="T247" s="4"/>
      <c r="U247" s="4"/>
      <c r="V247" s="4"/>
      <c r="W247" s="4"/>
    </row>
    <row r="248" spans="1:23" ht="14.5" hidden="1" customHeight="1" x14ac:dyDescent="0.2">
      <c r="A248">
        <f t="shared" si="3"/>
        <v>242</v>
      </c>
      <c r="B248">
        <v>2010</v>
      </c>
      <c r="C248" t="s">
        <v>179</v>
      </c>
      <c r="D248" t="s">
        <v>444</v>
      </c>
      <c r="E248" s="22">
        <v>310</v>
      </c>
      <c r="H248" t="s">
        <v>144</v>
      </c>
      <c r="I248" t="s">
        <v>273</v>
      </c>
      <c r="J248" t="s">
        <v>72</v>
      </c>
      <c r="K248" t="s">
        <v>183</v>
      </c>
      <c r="M248" s="4"/>
      <c r="N248" s="2"/>
      <c r="O248" s="21"/>
      <c r="P248" s="2"/>
      <c r="Q248" s="2"/>
      <c r="R248" s="4"/>
      <c r="S248" s="4"/>
      <c r="T248" s="4"/>
      <c r="U248" s="4"/>
      <c r="V248" s="4"/>
      <c r="W248" s="4"/>
    </row>
    <row r="249" spans="1:23" ht="14.5" hidden="1" customHeight="1" x14ac:dyDescent="0.2">
      <c r="A249">
        <f t="shared" si="3"/>
        <v>243</v>
      </c>
      <c r="B249">
        <v>2010</v>
      </c>
      <c r="C249" t="s">
        <v>179</v>
      </c>
      <c r="D249" t="s">
        <v>530</v>
      </c>
      <c r="E249" s="22">
        <v>200</v>
      </c>
      <c r="G249" t="s">
        <v>2473</v>
      </c>
      <c r="H249" t="s">
        <v>152</v>
      </c>
      <c r="I249" t="s">
        <v>257</v>
      </c>
      <c r="J249" t="s">
        <v>23</v>
      </c>
      <c r="K249" t="s">
        <v>183</v>
      </c>
      <c r="M249" s="4"/>
      <c r="N249" s="2"/>
      <c r="O249" s="21"/>
      <c r="P249" s="2"/>
      <c r="Q249" s="2"/>
      <c r="R249" s="4"/>
      <c r="S249" s="4"/>
      <c r="T249" s="4"/>
      <c r="U249" s="4"/>
      <c r="V249" s="4"/>
      <c r="W249" s="4"/>
    </row>
    <row r="250" spans="1:23" ht="14.5" hidden="1" customHeight="1" x14ac:dyDescent="0.2">
      <c r="A250">
        <f t="shared" si="3"/>
        <v>244</v>
      </c>
      <c r="B250">
        <v>2010</v>
      </c>
      <c r="C250" t="s">
        <v>179</v>
      </c>
      <c r="D250" t="s">
        <v>196</v>
      </c>
      <c r="E250" s="22">
        <v>100</v>
      </c>
      <c r="H250" t="s">
        <v>154</v>
      </c>
      <c r="I250" t="s">
        <v>271</v>
      </c>
      <c r="J250" t="s">
        <v>2376</v>
      </c>
      <c r="K250" t="s">
        <v>214</v>
      </c>
      <c r="M250" s="4"/>
      <c r="N250" s="2"/>
      <c r="O250" s="21"/>
      <c r="P250" s="2"/>
      <c r="Q250" s="2"/>
      <c r="R250" s="4"/>
      <c r="S250" s="4"/>
      <c r="T250" s="4"/>
      <c r="U250" s="4"/>
      <c r="V250" s="4"/>
      <c r="W250" s="4"/>
    </row>
    <row r="251" spans="1:23" ht="14.5" hidden="1" customHeight="1" x14ac:dyDescent="0.2">
      <c r="A251">
        <f t="shared" si="3"/>
        <v>245</v>
      </c>
      <c r="B251">
        <v>2010</v>
      </c>
      <c r="C251" t="s">
        <v>179</v>
      </c>
      <c r="D251" t="s">
        <v>2474</v>
      </c>
      <c r="E251" s="22">
        <v>2690</v>
      </c>
      <c r="H251" t="s">
        <v>144</v>
      </c>
      <c r="I251" t="s">
        <v>197</v>
      </c>
      <c r="J251" t="s">
        <v>93</v>
      </c>
      <c r="K251" t="s">
        <v>201</v>
      </c>
      <c r="M251" s="4"/>
      <c r="N251" s="2"/>
      <c r="O251" s="21"/>
      <c r="P251" s="2"/>
      <c r="Q251" s="2"/>
      <c r="R251" s="4"/>
      <c r="S251" s="4"/>
      <c r="T251" s="4"/>
      <c r="U251" s="4"/>
      <c r="V251" s="4"/>
      <c r="W251" s="4"/>
    </row>
    <row r="252" spans="1:23" ht="14.5" hidden="1" customHeight="1" x14ac:dyDescent="0.2">
      <c r="A252">
        <f t="shared" si="3"/>
        <v>246</v>
      </c>
      <c r="B252">
        <v>2010</v>
      </c>
      <c r="C252" t="s">
        <v>179</v>
      </c>
      <c r="D252" t="s">
        <v>196</v>
      </c>
      <c r="E252" s="22">
        <v>640</v>
      </c>
      <c r="H252" t="s">
        <v>144</v>
      </c>
      <c r="I252" t="s">
        <v>197</v>
      </c>
      <c r="J252" t="s">
        <v>24</v>
      </c>
      <c r="K252" t="s">
        <v>219</v>
      </c>
      <c r="M252" s="4"/>
      <c r="N252" s="2"/>
      <c r="O252" s="21"/>
      <c r="P252" s="2"/>
      <c r="Q252" s="2"/>
      <c r="R252" s="4"/>
      <c r="S252" s="4"/>
      <c r="T252" s="4"/>
      <c r="U252" s="4"/>
      <c r="V252" s="4"/>
      <c r="W252" s="4"/>
    </row>
    <row r="253" spans="1:23" ht="14.5" hidden="1" customHeight="1" x14ac:dyDescent="0.2">
      <c r="A253">
        <f t="shared" si="3"/>
        <v>247</v>
      </c>
      <c r="B253">
        <v>2010</v>
      </c>
      <c r="C253" t="s">
        <v>179</v>
      </c>
      <c r="D253" s="52" t="s">
        <v>2392</v>
      </c>
      <c r="E253" s="22">
        <v>1400</v>
      </c>
      <c r="G253" t="s">
        <v>2461</v>
      </c>
      <c r="H253" t="s">
        <v>144</v>
      </c>
      <c r="I253" t="s">
        <v>273</v>
      </c>
      <c r="J253" t="s">
        <v>136</v>
      </c>
      <c r="K253" t="s">
        <v>183</v>
      </c>
      <c r="M253" s="4"/>
      <c r="N253" s="2"/>
      <c r="O253" s="21"/>
      <c r="P253" s="2"/>
      <c r="Q253" s="2"/>
      <c r="R253" s="4"/>
      <c r="S253" s="4"/>
      <c r="T253" s="4"/>
      <c r="U253" s="4"/>
      <c r="V253" s="4"/>
      <c r="W253" s="4"/>
    </row>
    <row r="254" spans="1:23" ht="14.5" hidden="1" customHeight="1" x14ac:dyDescent="0.2">
      <c r="A254">
        <f t="shared" si="3"/>
        <v>248</v>
      </c>
      <c r="B254">
        <v>2010</v>
      </c>
      <c r="C254" t="s">
        <v>179</v>
      </c>
      <c r="D254" t="s">
        <v>189</v>
      </c>
      <c r="E254" s="22">
        <v>1260</v>
      </c>
      <c r="G254" t="s">
        <v>2475</v>
      </c>
      <c r="H254" t="s">
        <v>143</v>
      </c>
      <c r="J254" t="s">
        <v>63</v>
      </c>
      <c r="K254" t="s">
        <v>201</v>
      </c>
      <c r="M254" s="4"/>
      <c r="N254" s="2"/>
      <c r="O254" s="21"/>
      <c r="P254" s="2"/>
      <c r="Q254" s="2"/>
      <c r="R254" s="4"/>
      <c r="S254" s="4"/>
      <c r="T254" s="4"/>
      <c r="U254" s="4"/>
      <c r="V254" s="4"/>
      <c r="W254" s="4"/>
    </row>
    <row r="255" spans="1:23" ht="14.5" hidden="1" customHeight="1" x14ac:dyDescent="0.2">
      <c r="A255">
        <f t="shared" si="3"/>
        <v>249</v>
      </c>
      <c r="B255">
        <v>2010</v>
      </c>
      <c r="C255" t="s">
        <v>179</v>
      </c>
      <c r="D255" t="s">
        <v>444</v>
      </c>
      <c r="E255" s="22">
        <v>420</v>
      </c>
      <c r="H255" t="s">
        <v>151</v>
      </c>
      <c r="I255" t="s">
        <v>279</v>
      </c>
      <c r="J255" t="s">
        <v>138</v>
      </c>
      <c r="K255" t="s">
        <v>219</v>
      </c>
      <c r="M255" s="4"/>
      <c r="N255" s="2"/>
      <c r="O255" s="21"/>
      <c r="P255" s="2"/>
      <c r="Q255" s="2"/>
      <c r="R255" s="4"/>
      <c r="S255" s="4"/>
      <c r="T255" s="4"/>
      <c r="U255" s="4"/>
      <c r="V255" s="4"/>
      <c r="W255" s="4"/>
    </row>
    <row r="256" spans="1:23" ht="14.5" hidden="1" customHeight="1" x14ac:dyDescent="0.2">
      <c r="A256">
        <f t="shared" si="3"/>
        <v>250</v>
      </c>
      <c r="B256">
        <v>2010</v>
      </c>
      <c r="C256" t="s">
        <v>179</v>
      </c>
      <c r="D256" t="s">
        <v>1149</v>
      </c>
      <c r="E256" s="22">
        <v>100</v>
      </c>
      <c r="G256" t="s">
        <v>2476</v>
      </c>
      <c r="H256" t="s">
        <v>142</v>
      </c>
      <c r="J256" t="s">
        <v>2376</v>
      </c>
      <c r="K256" t="s">
        <v>214</v>
      </c>
      <c r="M256" s="4"/>
      <c r="N256" s="2"/>
      <c r="O256" s="21"/>
      <c r="P256" s="2"/>
      <c r="Q256" s="2"/>
      <c r="R256" s="4"/>
      <c r="S256" s="4"/>
      <c r="T256" s="4"/>
      <c r="U256" s="4"/>
      <c r="V256" s="4"/>
      <c r="W256" s="4"/>
    </row>
    <row r="257" spans="1:23" ht="14.5" hidden="1" customHeight="1" x14ac:dyDescent="0.2">
      <c r="A257">
        <f t="shared" si="3"/>
        <v>251</v>
      </c>
      <c r="B257">
        <v>2010</v>
      </c>
      <c r="C257" t="s">
        <v>179</v>
      </c>
      <c r="D257" t="s">
        <v>745</v>
      </c>
      <c r="E257" s="22">
        <v>500</v>
      </c>
      <c r="H257" t="s">
        <v>142</v>
      </c>
      <c r="J257" t="s">
        <v>116</v>
      </c>
      <c r="K257" t="s">
        <v>214</v>
      </c>
      <c r="M257" s="4"/>
      <c r="N257" s="2"/>
      <c r="O257" s="21"/>
      <c r="P257" s="2"/>
      <c r="Q257" s="2"/>
      <c r="R257" s="4"/>
      <c r="S257" s="4"/>
      <c r="T257" s="4"/>
      <c r="U257" s="4"/>
      <c r="V257" s="4"/>
      <c r="W257" s="4"/>
    </row>
    <row r="258" spans="1:23" ht="14.5" hidden="1" customHeight="1" x14ac:dyDescent="0.2">
      <c r="A258">
        <f t="shared" si="3"/>
        <v>252</v>
      </c>
      <c r="B258">
        <v>2010</v>
      </c>
      <c r="C258" t="s">
        <v>179</v>
      </c>
      <c r="D258" t="s">
        <v>444</v>
      </c>
      <c r="E258" s="22">
        <v>1200</v>
      </c>
      <c r="G258" t="s">
        <v>2477</v>
      </c>
      <c r="H258" t="s">
        <v>149</v>
      </c>
      <c r="I258" t="s">
        <v>182</v>
      </c>
      <c r="J258" t="s">
        <v>101</v>
      </c>
      <c r="K258" t="s">
        <v>201</v>
      </c>
      <c r="M258" s="4"/>
      <c r="N258" s="2"/>
      <c r="O258" s="21"/>
      <c r="P258" s="2"/>
      <c r="Q258" s="2"/>
      <c r="R258" s="4"/>
      <c r="S258" s="4"/>
      <c r="T258" s="4"/>
      <c r="U258" s="4"/>
      <c r="V258" s="4"/>
      <c r="W258" s="4"/>
    </row>
    <row r="259" spans="1:23" ht="14.5" hidden="1" customHeight="1" x14ac:dyDescent="0.2">
      <c r="A259">
        <f t="shared" si="3"/>
        <v>253</v>
      </c>
      <c r="B259">
        <v>2010</v>
      </c>
      <c r="C259" t="s">
        <v>179</v>
      </c>
      <c r="D259" t="s">
        <v>199</v>
      </c>
      <c r="E259" s="22">
        <v>210</v>
      </c>
      <c r="F259" s="16">
        <v>0.37</v>
      </c>
      <c r="H259" t="s">
        <v>144</v>
      </c>
      <c r="I259" t="s">
        <v>187</v>
      </c>
      <c r="J259" t="s">
        <v>55</v>
      </c>
      <c r="K259" t="s">
        <v>214</v>
      </c>
      <c r="M259" s="4"/>
      <c r="N259" s="2"/>
      <c r="O259" s="21"/>
      <c r="P259" s="2"/>
      <c r="Q259" s="2"/>
      <c r="R259" s="4"/>
      <c r="S259" s="4"/>
      <c r="T259" s="4"/>
      <c r="U259" s="4"/>
      <c r="V259" s="4"/>
      <c r="W259" s="4"/>
    </row>
    <row r="260" spans="1:23" ht="14.5" hidden="1" customHeight="1" x14ac:dyDescent="0.2">
      <c r="A260">
        <f t="shared" si="3"/>
        <v>254</v>
      </c>
      <c r="B260">
        <v>2010</v>
      </c>
      <c r="C260" t="s">
        <v>184</v>
      </c>
      <c r="D260" t="s">
        <v>246</v>
      </c>
      <c r="E260" s="22">
        <v>180</v>
      </c>
      <c r="H260" t="s">
        <v>154</v>
      </c>
      <c r="I260" t="s">
        <v>194</v>
      </c>
      <c r="J260" t="s">
        <v>80</v>
      </c>
      <c r="K260" t="s">
        <v>214</v>
      </c>
      <c r="M260" s="4"/>
      <c r="N260" s="2"/>
      <c r="O260" s="21"/>
      <c r="P260" s="2"/>
      <c r="Q260" s="2"/>
      <c r="R260" s="4"/>
      <c r="S260" s="4"/>
      <c r="T260" s="4"/>
      <c r="U260" s="4"/>
      <c r="V260" s="4"/>
      <c r="W260" s="4"/>
    </row>
    <row r="261" spans="1:23" ht="14.5" hidden="1" customHeight="1" x14ac:dyDescent="0.2">
      <c r="A261">
        <f t="shared" si="3"/>
        <v>255</v>
      </c>
      <c r="B261">
        <v>2010</v>
      </c>
      <c r="C261" t="s">
        <v>184</v>
      </c>
      <c r="D261" t="s">
        <v>479</v>
      </c>
      <c r="E261" s="22">
        <v>170</v>
      </c>
      <c r="G261" t="s">
        <v>2478</v>
      </c>
      <c r="H261" t="s">
        <v>154</v>
      </c>
      <c r="I261" t="s">
        <v>194</v>
      </c>
      <c r="J261" t="s">
        <v>136</v>
      </c>
      <c r="K261" t="s">
        <v>183</v>
      </c>
      <c r="M261" s="4"/>
      <c r="N261" s="2"/>
      <c r="O261" s="21"/>
      <c r="P261" s="2"/>
      <c r="Q261" s="2"/>
      <c r="R261" s="4"/>
      <c r="S261" s="4"/>
      <c r="T261" s="4"/>
      <c r="U261" s="4"/>
      <c r="V261" s="4"/>
      <c r="W261" s="4"/>
    </row>
    <row r="262" spans="1:23" ht="14.5" hidden="1" customHeight="1" x14ac:dyDescent="0.2">
      <c r="A262">
        <f t="shared" si="3"/>
        <v>256</v>
      </c>
      <c r="B262">
        <v>2010</v>
      </c>
      <c r="C262" t="s">
        <v>184</v>
      </c>
      <c r="D262" t="s">
        <v>185</v>
      </c>
      <c r="E262" s="22">
        <v>180</v>
      </c>
      <c r="G262" t="s">
        <v>508</v>
      </c>
      <c r="H262" t="s">
        <v>144</v>
      </c>
      <c r="I262" t="s">
        <v>299</v>
      </c>
      <c r="J262" t="s">
        <v>9</v>
      </c>
      <c r="K262" t="s">
        <v>9</v>
      </c>
      <c r="M262" s="4"/>
      <c r="N262" s="2"/>
      <c r="O262" s="21"/>
      <c r="P262" s="2"/>
      <c r="Q262" s="2"/>
      <c r="R262" s="4"/>
      <c r="S262" s="4"/>
      <c r="T262" s="4"/>
      <c r="U262" s="4"/>
      <c r="V262" s="4"/>
      <c r="W262" s="4"/>
    </row>
    <row r="263" spans="1:23" ht="14.5" hidden="1" customHeight="1" x14ac:dyDescent="0.2">
      <c r="A263">
        <f t="shared" ref="A263:A326" si="4">ROW()-6</f>
        <v>257</v>
      </c>
      <c r="B263">
        <v>2010</v>
      </c>
      <c r="C263" t="s">
        <v>184</v>
      </c>
      <c r="D263" t="s">
        <v>196</v>
      </c>
      <c r="E263" s="22">
        <v>200</v>
      </c>
      <c r="H263" t="s">
        <v>142</v>
      </c>
      <c r="J263" t="s">
        <v>18</v>
      </c>
      <c r="K263" t="s">
        <v>219</v>
      </c>
      <c r="M263" s="4"/>
      <c r="N263" s="2"/>
      <c r="O263" s="21"/>
      <c r="P263" s="2"/>
      <c r="Q263" s="2"/>
      <c r="R263" s="4"/>
      <c r="S263" s="4"/>
      <c r="T263" s="4"/>
      <c r="U263" s="4"/>
      <c r="V263" s="4"/>
      <c r="W263" s="4"/>
    </row>
    <row r="264" spans="1:23" ht="14.5" hidden="1" customHeight="1" x14ac:dyDescent="0.2">
      <c r="A264">
        <f t="shared" si="4"/>
        <v>258</v>
      </c>
      <c r="B264">
        <v>2010</v>
      </c>
      <c r="C264" t="s">
        <v>184</v>
      </c>
      <c r="D264" t="s">
        <v>2479</v>
      </c>
      <c r="E264" s="22">
        <v>270</v>
      </c>
      <c r="H264" t="s">
        <v>144</v>
      </c>
      <c r="J264" t="s">
        <v>13</v>
      </c>
      <c r="K264" t="s">
        <v>201</v>
      </c>
      <c r="M264" s="4"/>
      <c r="N264" s="2"/>
      <c r="O264" s="21"/>
      <c r="P264" s="2"/>
      <c r="Q264" s="2"/>
      <c r="R264" s="4"/>
      <c r="S264" s="4"/>
      <c r="T264" s="4"/>
      <c r="U264" s="4"/>
      <c r="V264" s="4"/>
      <c r="W264" s="4"/>
    </row>
    <row r="265" spans="1:23" ht="14.5" hidden="1" customHeight="1" x14ac:dyDescent="0.2">
      <c r="A265">
        <f t="shared" si="4"/>
        <v>259</v>
      </c>
      <c r="B265">
        <v>2010</v>
      </c>
      <c r="C265" t="s">
        <v>184</v>
      </c>
      <c r="D265" t="s">
        <v>479</v>
      </c>
      <c r="E265" s="22">
        <v>260</v>
      </c>
      <c r="H265" t="s">
        <v>154</v>
      </c>
      <c r="I265" t="s">
        <v>194</v>
      </c>
      <c r="J265" t="s">
        <v>106</v>
      </c>
      <c r="K265" t="s">
        <v>195</v>
      </c>
      <c r="M265" s="4"/>
      <c r="N265" s="2"/>
      <c r="O265" s="21"/>
      <c r="P265" s="2"/>
      <c r="Q265" s="2"/>
      <c r="R265" s="4"/>
      <c r="S265" s="4"/>
      <c r="T265" s="4"/>
      <c r="U265" s="4"/>
      <c r="V265" s="4"/>
      <c r="W265" s="4"/>
    </row>
    <row r="266" spans="1:23" ht="14.5" hidden="1" customHeight="1" x14ac:dyDescent="0.2">
      <c r="A266">
        <f t="shared" si="4"/>
        <v>260</v>
      </c>
      <c r="B266">
        <v>2010</v>
      </c>
      <c r="C266" t="s">
        <v>184</v>
      </c>
      <c r="D266" t="s">
        <v>815</v>
      </c>
      <c r="E266" s="22">
        <v>780</v>
      </c>
      <c r="G266" t="s">
        <v>2480</v>
      </c>
      <c r="H266" t="s">
        <v>151</v>
      </c>
      <c r="I266" t="s">
        <v>279</v>
      </c>
      <c r="J266" t="s">
        <v>128</v>
      </c>
      <c r="K266" t="s">
        <v>201</v>
      </c>
      <c r="M266" s="4"/>
      <c r="N266" s="2"/>
      <c r="O266" s="21"/>
      <c r="P266" s="2"/>
      <c r="Q266" s="2"/>
      <c r="R266" s="4"/>
      <c r="S266" s="4"/>
      <c r="T266" s="4"/>
      <c r="U266" s="4"/>
      <c r="V266" s="4"/>
      <c r="W266" s="4"/>
    </row>
    <row r="267" spans="1:23" ht="14.5" hidden="1" customHeight="1" x14ac:dyDescent="0.2">
      <c r="A267">
        <f t="shared" si="4"/>
        <v>261</v>
      </c>
      <c r="B267">
        <v>2010</v>
      </c>
      <c r="C267" t="s">
        <v>184</v>
      </c>
      <c r="D267" t="s">
        <v>444</v>
      </c>
      <c r="E267" s="22">
        <v>360</v>
      </c>
      <c r="H267" t="s">
        <v>144</v>
      </c>
      <c r="J267" t="s">
        <v>128</v>
      </c>
      <c r="K267" t="s">
        <v>201</v>
      </c>
      <c r="M267" s="4"/>
      <c r="N267" s="2"/>
      <c r="O267" s="21"/>
      <c r="P267" s="2"/>
      <c r="Q267" s="2"/>
      <c r="R267" s="4"/>
      <c r="S267" s="4"/>
      <c r="T267" s="4"/>
      <c r="U267" s="4"/>
      <c r="V267" s="4"/>
      <c r="W267" s="4"/>
    </row>
    <row r="268" spans="1:23" ht="14.5" hidden="1" customHeight="1" x14ac:dyDescent="0.2">
      <c r="A268">
        <f t="shared" si="4"/>
        <v>262</v>
      </c>
      <c r="B268">
        <v>2010</v>
      </c>
      <c r="C268" t="s">
        <v>184</v>
      </c>
      <c r="D268" t="s">
        <v>246</v>
      </c>
      <c r="E268" s="22">
        <v>840</v>
      </c>
      <c r="H268" t="s">
        <v>144</v>
      </c>
      <c r="I268" t="s">
        <v>197</v>
      </c>
      <c r="J268" t="s">
        <v>116</v>
      </c>
      <c r="K268" t="s">
        <v>214</v>
      </c>
      <c r="M268" s="4"/>
      <c r="N268" s="2"/>
      <c r="O268" s="21"/>
      <c r="P268" s="2"/>
      <c r="Q268" s="2"/>
      <c r="R268" s="4"/>
      <c r="S268" s="4"/>
      <c r="T268" s="4"/>
      <c r="U268" s="4"/>
      <c r="V268" s="4"/>
      <c r="W268" s="4"/>
    </row>
    <row r="269" spans="1:23" ht="14.5" hidden="1" customHeight="1" x14ac:dyDescent="0.2">
      <c r="A269">
        <f t="shared" si="4"/>
        <v>263</v>
      </c>
      <c r="B269">
        <v>2010</v>
      </c>
      <c r="C269" t="s">
        <v>184</v>
      </c>
      <c r="D269" t="s">
        <v>1234</v>
      </c>
      <c r="E269" s="22">
        <v>280</v>
      </c>
      <c r="H269" t="s">
        <v>154</v>
      </c>
      <c r="I269" t="s">
        <v>529</v>
      </c>
      <c r="J269" t="s">
        <v>115</v>
      </c>
      <c r="K269" t="s">
        <v>201</v>
      </c>
      <c r="M269" s="4"/>
      <c r="N269" s="2"/>
      <c r="O269" s="21"/>
      <c r="P269" s="2"/>
      <c r="Q269" s="2"/>
      <c r="R269" s="4"/>
      <c r="S269" s="4"/>
      <c r="T269" s="4"/>
      <c r="U269" s="4"/>
      <c r="V269" s="4"/>
      <c r="W269" s="4"/>
    </row>
    <row r="270" spans="1:23" ht="14.5" hidden="1" customHeight="1" x14ac:dyDescent="0.2">
      <c r="A270">
        <f t="shared" si="4"/>
        <v>264</v>
      </c>
      <c r="B270">
        <v>2010</v>
      </c>
      <c r="C270" t="s">
        <v>225</v>
      </c>
      <c r="D270" t="s">
        <v>444</v>
      </c>
      <c r="E270" s="22">
        <v>100</v>
      </c>
      <c r="H270" t="s">
        <v>155</v>
      </c>
      <c r="J270" t="s">
        <v>64</v>
      </c>
      <c r="K270" t="s">
        <v>219</v>
      </c>
      <c r="M270" s="4"/>
      <c r="N270" s="2"/>
      <c r="O270" s="21"/>
      <c r="P270" s="2"/>
      <c r="Q270" s="2"/>
      <c r="R270" s="4"/>
      <c r="S270" s="4"/>
      <c r="T270" s="4"/>
      <c r="U270" s="4"/>
      <c r="V270" s="4"/>
      <c r="W270" s="4"/>
    </row>
    <row r="271" spans="1:23" ht="14.5" hidden="1" customHeight="1" x14ac:dyDescent="0.2">
      <c r="A271">
        <f t="shared" si="4"/>
        <v>265</v>
      </c>
      <c r="B271">
        <v>2010</v>
      </c>
      <c r="C271" t="s">
        <v>225</v>
      </c>
      <c r="D271" t="s">
        <v>2481</v>
      </c>
      <c r="E271" s="22">
        <v>1990</v>
      </c>
      <c r="H271" t="s">
        <v>144</v>
      </c>
      <c r="I271" t="s">
        <v>187</v>
      </c>
      <c r="J271" t="s">
        <v>38</v>
      </c>
      <c r="K271" t="s">
        <v>214</v>
      </c>
      <c r="M271" s="4"/>
      <c r="N271" s="2"/>
      <c r="O271" s="21"/>
      <c r="P271" s="2"/>
      <c r="Q271" s="2"/>
      <c r="R271" s="4"/>
      <c r="S271" s="4"/>
      <c r="T271" s="4"/>
      <c r="U271" s="4"/>
      <c r="V271" s="4"/>
      <c r="W271" s="4"/>
    </row>
    <row r="272" spans="1:23" ht="14.5" hidden="1" customHeight="1" x14ac:dyDescent="0.2">
      <c r="A272">
        <f t="shared" si="4"/>
        <v>266</v>
      </c>
      <c r="B272">
        <v>2010</v>
      </c>
      <c r="C272" t="s">
        <v>225</v>
      </c>
      <c r="D272" s="52" t="s">
        <v>2392</v>
      </c>
      <c r="E272" s="22">
        <v>500</v>
      </c>
      <c r="H272" t="s">
        <v>144</v>
      </c>
      <c r="I272" t="s">
        <v>197</v>
      </c>
      <c r="J272" t="s">
        <v>40</v>
      </c>
      <c r="K272" t="s">
        <v>219</v>
      </c>
      <c r="M272" s="4"/>
      <c r="N272" s="2"/>
      <c r="O272" s="21"/>
      <c r="P272" s="2"/>
      <c r="Q272" s="2"/>
      <c r="R272" s="4"/>
      <c r="S272" s="4"/>
      <c r="T272" s="4"/>
      <c r="U272" s="4"/>
      <c r="V272" s="4"/>
      <c r="W272" s="4"/>
    </row>
    <row r="273" spans="1:23" ht="14.5" hidden="1" customHeight="1" x14ac:dyDescent="0.2">
      <c r="A273">
        <f t="shared" si="4"/>
        <v>267</v>
      </c>
      <c r="B273">
        <v>2010</v>
      </c>
      <c r="C273" t="s">
        <v>225</v>
      </c>
      <c r="D273" t="s">
        <v>196</v>
      </c>
      <c r="E273" s="22">
        <v>400</v>
      </c>
      <c r="G273" t="s">
        <v>2482</v>
      </c>
      <c r="H273" t="s">
        <v>144</v>
      </c>
      <c r="I273" t="s">
        <v>197</v>
      </c>
      <c r="J273" t="s">
        <v>139</v>
      </c>
      <c r="K273" t="s">
        <v>219</v>
      </c>
      <c r="M273" s="4"/>
      <c r="N273" s="2"/>
      <c r="O273" s="21"/>
      <c r="P273" s="2"/>
      <c r="Q273" s="2"/>
      <c r="R273" s="4"/>
      <c r="S273" s="4"/>
      <c r="T273" s="4"/>
      <c r="U273" s="4"/>
      <c r="V273" s="4"/>
      <c r="W273" s="4"/>
    </row>
    <row r="274" spans="1:23" ht="14.5" hidden="1" customHeight="1" x14ac:dyDescent="0.2">
      <c r="A274">
        <f t="shared" si="4"/>
        <v>268</v>
      </c>
      <c r="B274">
        <v>2010</v>
      </c>
      <c r="C274" t="s">
        <v>225</v>
      </c>
      <c r="D274" t="s">
        <v>196</v>
      </c>
      <c r="E274" s="22">
        <v>1040</v>
      </c>
      <c r="H274" t="s">
        <v>144</v>
      </c>
      <c r="I274" t="s">
        <v>299</v>
      </c>
      <c r="J274" t="s">
        <v>135</v>
      </c>
      <c r="K274" t="s">
        <v>205</v>
      </c>
      <c r="M274" s="4"/>
      <c r="N274" s="2"/>
      <c r="O274" s="21"/>
      <c r="P274" s="2"/>
      <c r="Q274" s="2"/>
      <c r="R274" s="4"/>
      <c r="S274" s="4"/>
      <c r="T274" s="4"/>
      <c r="U274" s="4"/>
      <c r="V274" s="4"/>
      <c r="W274" s="4"/>
    </row>
    <row r="275" spans="1:23" ht="14.5" hidden="1" customHeight="1" x14ac:dyDescent="0.2">
      <c r="A275">
        <f t="shared" si="4"/>
        <v>269</v>
      </c>
      <c r="B275">
        <v>2010</v>
      </c>
      <c r="C275" t="s">
        <v>225</v>
      </c>
      <c r="D275" t="s">
        <v>815</v>
      </c>
      <c r="E275" s="22">
        <v>140</v>
      </c>
      <c r="G275" t="s">
        <v>2003</v>
      </c>
      <c r="H275" t="s">
        <v>151</v>
      </c>
      <c r="I275" t="s">
        <v>279</v>
      </c>
      <c r="J275" t="s">
        <v>101</v>
      </c>
      <c r="K275" t="s">
        <v>201</v>
      </c>
      <c r="M275" s="4"/>
      <c r="N275" s="2"/>
      <c r="O275" s="21"/>
      <c r="P275" s="2"/>
      <c r="Q275" s="2"/>
      <c r="R275" s="4"/>
      <c r="S275" s="4"/>
      <c r="T275" s="4"/>
      <c r="U275" s="4"/>
      <c r="V275" s="4"/>
      <c r="W275" s="4"/>
    </row>
    <row r="276" spans="1:23" ht="14.5" hidden="1" customHeight="1" x14ac:dyDescent="0.2">
      <c r="A276">
        <f t="shared" si="4"/>
        <v>270</v>
      </c>
      <c r="B276">
        <v>2010</v>
      </c>
      <c r="C276" t="s">
        <v>225</v>
      </c>
      <c r="D276" t="s">
        <v>815</v>
      </c>
      <c r="E276" s="22">
        <v>200</v>
      </c>
      <c r="G276" t="s">
        <v>2483</v>
      </c>
      <c r="H276" t="s">
        <v>151</v>
      </c>
      <c r="I276" t="s">
        <v>279</v>
      </c>
      <c r="J276" t="s">
        <v>105</v>
      </c>
      <c r="K276" t="s">
        <v>214</v>
      </c>
      <c r="M276" s="4"/>
      <c r="N276" s="2"/>
      <c r="O276" s="21"/>
      <c r="P276" s="2"/>
      <c r="Q276" s="2"/>
      <c r="R276" s="4"/>
      <c r="S276" s="4"/>
      <c r="T276" s="4"/>
      <c r="U276" s="4"/>
      <c r="V276" s="4"/>
      <c r="W276" s="4"/>
    </row>
    <row r="277" spans="1:23" ht="14.5" hidden="1" customHeight="1" x14ac:dyDescent="0.2">
      <c r="A277">
        <f t="shared" si="4"/>
        <v>271</v>
      </c>
      <c r="B277">
        <v>2010</v>
      </c>
      <c r="C277" t="s">
        <v>225</v>
      </c>
      <c r="D277" t="s">
        <v>180</v>
      </c>
      <c r="E277" s="22">
        <v>840</v>
      </c>
      <c r="G277" t="s">
        <v>2401</v>
      </c>
      <c r="H277" t="s">
        <v>149</v>
      </c>
      <c r="I277" t="s">
        <v>182</v>
      </c>
      <c r="J277" t="s">
        <v>9</v>
      </c>
      <c r="K277" t="s">
        <v>9</v>
      </c>
      <c r="M277" s="4"/>
      <c r="N277" s="2"/>
      <c r="O277" s="21"/>
      <c r="P277" s="2"/>
      <c r="Q277" s="2"/>
      <c r="R277" s="4"/>
      <c r="S277" s="4"/>
      <c r="T277" s="4"/>
      <c r="U277" s="4"/>
      <c r="V277" s="4"/>
      <c r="W277" s="4"/>
    </row>
    <row r="278" spans="1:23" ht="14.5" hidden="1" customHeight="1" x14ac:dyDescent="0.2">
      <c r="A278">
        <f t="shared" si="4"/>
        <v>272</v>
      </c>
      <c r="B278">
        <v>2010</v>
      </c>
      <c r="C278" t="s">
        <v>188</v>
      </c>
      <c r="D278" t="s">
        <v>479</v>
      </c>
      <c r="E278" s="22">
        <v>320</v>
      </c>
      <c r="G278" t="s">
        <v>2484</v>
      </c>
      <c r="H278" t="s">
        <v>154</v>
      </c>
      <c r="I278" t="s">
        <v>271</v>
      </c>
      <c r="J278" t="s">
        <v>108</v>
      </c>
      <c r="K278" t="s">
        <v>183</v>
      </c>
      <c r="M278" s="4"/>
      <c r="N278" s="2"/>
      <c r="O278" s="21"/>
      <c r="P278" s="2"/>
      <c r="Q278" s="2"/>
      <c r="R278" s="4"/>
      <c r="S278" s="4"/>
      <c r="T278" s="4"/>
      <c r="U278" s="4"/>
      <c r="V278" s="4"/>
      <c r="W278" s="4"/>
    </row>
    <row r="279" spans="1:23" ht="14.5" hidden="1" customHeight="1" x14ac:dyDescent="0.2">
      <c r="A279">
        <f t="shared" si="4"/>
        <v>273</v>
      </c>
      <c r="B279">
        <v>2010</v>
      </c>
      <c r="C279" t="s">
        <v>188</v>
      </c>
      <c r="D279" t="s">
        <v>246</v>
      </c>
      <c r="E279" s="22">
        <v>210</v>
      </c>
      <c r="H279" t="s">
        <v>155</v>
      </c>
      <c r="J279" t="s">
        <v>96</v>
      </c>
      <c r="K279" t="s">
        <v>205</v>
      </c>
      <c r="M279" s="4"/>
      <c r="N279" s="2"/>
      <c r="O279" s="21"/>
      <c r="P279" s="2"/>
      <c r="Q279" s="2"/>
      <c r="R279" s="4"/>
      <c r="S279" s="4"/>
      <c r="T279" s="4"/>
      <c r="U279" s="4"/>
      <c r="V279" s="4"/>
      <c r="W279" s="4"/>
    </row>
    <row r="280" spans="1:23" ht="14.5" hidden="1" customHeight="1" x14ac:dyDescent="0.2">
      <c r="A280">
        <f t="shared" si="4"/>
        <v>274</v>
      </c>
      <c r="B280">
        <v>2010</v>
      </c>
      <c r="C280" t="s">
        <v>188</v>
      </c>
      <c r="D280" t="s">
        <v>196</v>
      </c>
      <c r="E280" s="22">
        <v>170</v>
      </c>
      <c r="F280" s="16">
        <v>0.5</v>
      </c>
      <c r="G280" t="s">
        <v>2485</v>
      </c>
      <c r="H280" t="s">
        <v>154</v>
      </c>
      <c r="I280" t="s">
        <v>529</v>
      </c>
      <c r="J280" t="s">
        <v>124</v>
      </c>
      <c r="K280" t="s">
        <v>183</v>
      </c>
      <c r="M280" s="4"/>
      <c r="N280" s="2"/>
      <c r="O280" s="21"/>
      <c r="P280" s="2"/>
      <c r="Q280" s="2"/>
      <c r="R280" s="4"/>
      <c r="S280" s="4"/>
      <c r="T280" s="4"/>
      <c r="U280" s="4"/>
      <c r="V280" s="4"/>
      <c r="W280" s="4"/>
    </row>
    <row r="281" spans="1:23" ht="14.5" hidden="1" customHeight="1" x14ac:dyDescent="0.2">
      <c r="A281">
        <f t="shared" si="4"/>
        <v>275</v>
      </c>
      <c r="B281">
        <v>2010</v>
      </c>
      <c r="C281" t="s">
        <v>188</v>
      </c>
      <c r="D281" t="s">
        <v>2486</v>
      </c>
      <c r="E281" s="22">
        <v>130</v>
      </c>
      <c r="H281" t="s">
        <v>153</v>
      </c>
      <c r="J281" t="s">
        <v>47</v>
      </c>
      <c r="K281" t="s">
        <v>195</v>
      </c>
      <c r="M281" s="4"/>
      <c r="N281" s="2"/>
      <c r="O281" s="21"/>
      <c r="P281" s="2"/>
      <c r="Q281" s="2"/>
      <c r="R281" s="4"/>
      <c r="S281" s="4"/>
      <c r="T281" s="4"/>
      <c r="U281" s="4"/>
      <c r="V281" s="4"/>
      <c r="W281" s="4"/>
    </row>
    <row r="282" spans="1:23" ht="14.5" hidden="1" customHeight="1" x14ac:dyDescent="0.2">
      <c r="A282">
        <f t="shared" si="4"/>
        <v>276</v>
      </c>
      <c r="B282">
        <v>2010</v>
      </c>
      <c r="C282" t="s">
        <v>188</v>
      </c>
      <c r="D282" t="s">
        <v>196</v>
      </c>
      <c r="E282" s="22">
        <v>2300</v>
      </c>
      <c r="G282" t="s">
        <v>2487</v>
      </c>
      <c r="H282" t="s">
        <v>144</v>
      </c>
      <c r="I282" t="s">
        <v>197</v>
      </c>
      <c r="J282" t="s">
        <v>37</v>
      </c>
      <c r="K282" t="s">
        <v>205</v>
      </c>
      <c r="M282" s="4"/>
      <c r="N282" s="2"/>
      <c r="O282" s="21"/>
      <c r="P282" s="2"/>
      <c r="Q282" s="2"/>
      <c r="R282" s="4"/>
      <c r="S282" s="4"/>
      <c r="T282" s="4"/>
      <c r="U282" s="4"/>
      <c r="V282" s="4"/>
      <c r="W282" s="4"/>
    </row>
    <row r="283" spans="1:23" ht="14.5" hidden="1" customHeight="1" x14ac:dyDescent="0.2">
      <c r="A283">
        <f t="shared" si="4"/>
        <v>277</v>
      </c>
      <c r="B283">
        <v>2010</v>
      </c>
      <c r="C283" t="s">
        <v>188</v>
      </c>
      <c r="D283" t="s">
        <v>444</v>
      </c>
      <c r="E283" s="22">
        <v>1680</v>
      </c>
      <c r="G283" t="s">
        <v>2488</v>
      </c>
      <c r="H283" t="s">
        <v>144</v>
      </c>
      <c r="I283" t="s">
        <v>273</v>
      </c>
      <c r="J283" t="s">
        <v>67</v>
      </c>
      <c r="K283" t="s">
        <v>183</v>
      </c>
      <c r="M283" s="4"/>
      <c r="N283" s="2"/>
      <c r="O283" s="21"/>
      <c r="P283" s="2"/>
      <c r="Q283" s="2"/>
      <c r="R283" s="4"/>
      <c r="S283" s="4"/>
      <c r="T283" s="4"/>
      <c r="U283" s="4"/>
      <c r="V283" s="4"/>
      <c r="W283" s="4"/>
    </row>
    <row r="284" spans="1:23" ht="14.5" hidden="1" customHeight="1" x14ac:dyDescent="0.2">
      <c r="A284">
        <f t="shared" si="4"/>
        <v>278</v>
      </c>
      <c r="B284">
        <v>2010</v>
      </c>
      <c r="C284" t="s">
        <v>191</v>
      </c>
      <c r="D284" s="52" t="s">
        <v>2392</v>
      </c>
      <c r="E284" s="22">
        <v>710</v>
      </c>
      <c r="G284" t="s">
        <v>2489</v>
      </c>
      <c r="H284" t="s">
        <v>144</v>
      </c>
      <c r="I284" t="s">
        <v>273</v>
      </c>
      <c r="J284" t="s">
        <v>17</v>
      </c>
      <c r="K284" t="s">
        <v>195</v>
      </c>
      <c r="M284" s="4"/>
      <c r="N284" s="2"/>
      <c r="O284" s="21"/>
      <c r="P284" s="2"/>
      <c r="Q284" s="2"/>
      <c r="R284" s="4"/>
      <c r="S284" s="4"/>
      <c r="T284" s="4"/>
      <c r="U284" s="4"/>
      <c r="V284" s="4"/>
      <c r="W284" s="4"/>
    </row>
    <row r="285" spans="1:23" ht="14.5" hidden="1" customHeight="1" x14ac:dyDescent="0.2">
      <c r="A285">
        <f t="shared" si="4"/>
        <v>279</v>
      </c>
      <c r="B285">
        <v>2010</v>
      </c>
      <c r="C285" t="s">
        <v>191</v>
      </c>
      <c r="D285" t="s">
        <v>444</v>
      </c>
      <c r="E285" s="22">
        <v>160</v>
      </c>
      <c r="H285" t="s">
        <v>144</v>
      </c>
      <c r="I285" t="s">
        <v>273</v>
      </c>
      <c r="J285" t="s">
        <v>93</v>
      </c>
      <c r="K285" t="s">
        <v>201</v>
      </c>
      <c r="M285" s="79"/>
      <c r="N285" s="2"/>
      <c r="O285" s="21"/>
      <c r="P285" s="2"/>
      <c r="Q285" s="2"/>
      <c r="R285" s="4"/>
      <c r="S285" s="4"/>
      <c r="T285" s="4"/>
      <c r="U285" s="4"/>
      <c r="V285" s="4"/>
      <c r="W285" s="4"/>
    </row>
    <row r="286" spans="1:23" ht="14.5" hidden="1" customHeight="1" x14ac:dyDescent="0.2">
      <c r="A286">
        <f t="shared" si="4"/>
        <v>280</v>
      </c>
      <c r="B286">
        <v>2010</v>
      </c>
      <c r="C286" t="s">
        <v>191</v>
      </c>
      <c r="D286" t="s">
        <v>196</v>
      </c>
      <c r="E286" s="22">
        <v>110</v>
      </c>
      <c r="H286" t="s">
        <v>144</v>
      </c>
      <c r="I286" t="s">
        <v>197</v>
      </c>
      <c r="J286" t="s">
        <v>93</v>
      </c>
      <c r="K286" t="s">
        <v>201</v>
      </c>
      <c r="M286" s="4"/>
      <c r="N286" s="2"/>
      <c r="O286" s="21"/>
      <c r="P286" s="2"/>
      <c r="Q286" s="2"/>
      <c r="R286" s="4"/>
      <c r="S286" s="4"/>
      <c r="T286" s="4"/>
      <c r="U286" s="4"/>
      <c r="V286" s="4"/>
      <c r="W286" s="4"/>
    </row>
    <row r="287" spans="1:23" ht="14.5" hidden="1" customHeight="1" x14ac:dyDescent="0.2">
      <c r="A287">
        <f t="shared" si="4"/>
        <v>281</v>
      </c>
      <c r="B287">
        <v>2010</v>
      </c>
      <c r="C287" t="s">
        <v>198</v>
      </c>
      <c r="D287" t="s">
        <v>2490</v>
      </c>
      <c r="E287" s="22">
        <v>700</v>
      </c>
      <c r="G287" t="s">
        <v>2491</v>
      </c>
      <c r="H287" t="s">
        <v>144</v>
      </c>
      <c r="I287" t="s">
        <v>273</v>
      </c>
      <c r="J287" t="s">
        <v>2492</v>
      </c>
      <c r="K287" t="s">
        <v>177</v>
      </c>
      <c r="M287" s="4"/>
      <c r="N287" s="2"/>
      <c r="O287" s="21"/>
      <c r="P287" s="2"/>
      <c r="Q287" s="2"/>
      <c r="R287" s="4"/>
      <c r="S287" s="4"/>
      <c r="T287" s="4"/>
      <c r="U287" s="4"/>
      <c r="V287" s="4"/>
      <c r="W287" s="4"/>
    </row>
    <row r="288" spans="1:23" ht="14.5" hidden="1" customHeight="1" x14ac:dyDescent="0.2">
      <c r="A288">
        <f t="shared" si="4"/>
        <v>282</v>
      </c>
      <c r="B288">
        <v>2010</v>
      </c>
      <c r="C288" t="s">
        <v>198</v>
      </c>
      <c r="D288" t="s">
        <v>2402</v>
      </c>
      <c r="E288" s="22">
        <v>570</v>
      </c>
      <c r="G288" t="s">
        <v>2493</v>
      </c>
      <c r="H288" t="s">
        <v>144</v>
      </c>
      <c r="I288" t="s">
        <v>197</v>
      </c>
      <c r="J288" t="s">
        <v>37</v>
      </c>
      <c r="K288" t="s">
        <v>205</v>
      </c>
      <c r="M288" s="4"/>
      <c r="N288" s="2"/>
      <c r="O288" s="21"/>
      <c r="P288" s="2"/>
      <c r="Q288" s="2"/>
      <c r="R288" s="4"/>
      <c r="S288" s="4"/>
      <c r="T288" s="4"/>
      <c r="U288" s="4"/>
      <c r="V288" s="4"/>
      <c r="W288" s="4"/>
    </row>
    <row r="289" spans="1:23" ht="14.5" hidden="1" customHeight="1" x14ac:dyDescent="0.2">
      <c r="A289">
        <f t="shared" si="4"/>
        <v>283</v>
      </c>
      <c r="B289">
        <v>2010</v>
      </c>
      <c r="C289" t="s">
        <v>198</v>
      </c>
      <c r="D289" t="s">
        <v>483</v>
      </c>
      <c r="E289" s="22">
        <v>1500</v>
      </c>
      <c r="H289" t="s">
        <v>142</v>
      </c>
      <c r="J289" t="s">
        <v>67</v>
      </c>
      <c r="K289" t="s">
        <v>183</v>
      </c>
      <c r="M289" s="4"/>
      <c r="N289" s="2"/>
      <c r="O289" s="21"/>
      <c r="P289" s="2"/>
      <c r="Q289" s="2"/>
      <c r="R289" s="4"/>
      <c r="S289" s="4"/>
      <c r="T289" s="4"/>
      <c r="U289" s="4"/>
      <c r="V289" s="4"/>
      <c r="W289" s="4"/>
    </row>
    <row r="290" spans="1:23" ht="14.5" hidden="1" customHeight="1" x14ac:dyDescent="0.2">
      <c r="A290">
        <f t="shared" si="4"/>
        <v>284</v>
      </c>
      <c r="B290">
        <v>2010</v>
      </c>
      <c r="C290" t="s">
        <v>198</v>
      </c>
      <c r="D290" t="s">
        <v>815</v>
      </c>
      <c r="E290" s="22">
        <v>140</v>
      </c>
      <c r="G290" t="s">
        <v>2494</v>
      </c>
      <c r="H290" t="s">
        <v>151</v>
      </c>
      <c r="I290" t="s">
        <v>279</v>
      </c>
      <c r="J290" t="s">
        <v>72</v>
      </c>
      <c r="K290" t="s">
        <v>183</v>
      </c>
      <c r="M290" s="4"/>
      <c r="N290" s="2"/>
      <c r="O290" s="21"/>
      <c r="P290" s="2"/>
      <c r="Q290" s="2"/>
      <c r="R290" s="4"/>
      <c r="S290" s="4"/>
      <c r="T290" s="4"/>
      <c r="U290" s="4"/>
      <c r="V290" s="4"/>
      <c r="W290" s="4"/>
    </row>
    <row r="291" spans="1:23" ht="14.5" hidden="1" customHeight="1" x14ac:dyDescent="0.2">
      <c r="A291">
        <f t="shared" si="4"/>
        <v>285</v>
      </c>
      <c r="B291">
        <v>2010</v>
      </c>
      <c r="C291" t="s">
        <v>198</v>
      </c>
      <c r="D291" t="s">
        <v>444</v>
      </c>
      <c r="E291" s="22">
        <v>100</v>
      </c>
      <c r="H291" t="s">
        <v>142</v>
      </c>
      <c r="J291" t="s">
        <v>116</v>
      </c>
      <c r="K291" t="s">
        <v>214</v>
      </c>
      <c r="M291" s="4"/>
      <c r="N291" s="2"/>
      <c r="O291" s="21"/>
      <c r="P291" s="2"/>
      <c r="Q291" s="2"/>
      <c r="R291" s="4"/>
      <c r="S291" s="4"/>
      <c r="T291" s="4"/>
      <c r="U291" s="4"/>
      <c r="V291" s="4"/>
      <c r="W291" s="4"/>
    </row>
    <row r="292" spans="1:23" ht="14.5" hidden="1" customHeight="1" x14ac:dyDescent="0.2">
      <c r="A292">
        <f t="shared" si="4"/>
        <v>286</v>
      </c>
      <c r="B292">
        <v>2010</v>
      </c>
      <c r="C292" t="s">
        <v>198</v>
      </c>
      <c r="D292" t="s">
        <v>557</v>
      </c>
      <c r="E292" s="22">
        <v>250</v>
      </c>
      <c r="G292" t="s">
        <v>2495</v>
      </c>
      <c r="H292" t="s">
        <v>151</v>
      </c>
      <c r="I292" t="s">
        <v>279</v>
      </c>
      <c r="J292" t="s">
        <v>55</v>
      </c>
      <c r="K292" t="s">
        <v>214</v>
      </c>
      <c r="M292" s="4"/>
      <c r="N292" s="2"/>
      <c r="O292" s="21"/>
      <c r="P292" s="2"/>
      <c r="Q292" s="2"/>
      <c r="R292" s="4"/>
      <c r="S292" s="4"/>
      <c r="T292" s="4"/>
      <c r="U292" s="4"/>
      <c r="V292" s="4"/>
      <c r="W292" s="4"/>
    </row>
    <row r="293" spans="1:23" ht="14.5" hidden="1" customHeight="1" x14ac:dyDescent="0.2">
      <c r="A293">
        <f t="shared" si="4"/>
        <v>287</v>
      </c>
      <c r="B293">
        <v>2010</v>
      </c>
      <c r="C293" t="s">
        <v>198</v>
      </c>
      <c r="D293" t="s">
        <v>479</v>
      </c>
      <c r="E293" s="22">
        <v>130</v>
      </c>
      <c r="H293" t="s">
        <v>154</v>
      </c>
      <c r="I293" t="s">
        <v>194</v>
      </c>
      <c r="J293" t="s">
        <v>2376</v>
      </c>
      <c r="K293" t="s">
        <v>214</v>
      </c>
      <c r="M293" s="4"/>
      <c r="N293" s="2"/>
      <c r="O293" s="21"/>
      <c r="P293" s="2"/>
      <c r="Q293" s="2"/>
      <c r="R293" s="4"/>
      <c r="S293" s="4"/>
      <c r="T293" s="4"/>
      <c r="U293" s="4"/>
      <c r="V293" s="4"/>
      <c r="W293" s="4"/>
    </row>
    <row r="294" spans="1:23" ht="14.5" hidden="1" customHeight="1" x14ac:dyDescent="0.2">
      <c r="A294">
        <f t="shared" si="4"/>
        <v>288</v>
      </c>
      <c r="B294">
        <v>2010</v>
      </c>
      <c r="C294" t="s">
        <v>202</v>
      </c>
      <c r="D294" t="s">
        <v>196</v>
      </c>
      <c r="E294" s="22">
        <v>100</v>
      </c>
      <c r="H294" t="s">
        <v>154</v>
      </c>
      <c r="I294" t="s">
        <v>194</v>
      </c>
      <c r="J294" t="s">
        <v>115</v>
      </c>
      <c r="K294" t="s">
        <v>201</v>
      </c>
      <c r="M294" s="4"/>
      <c r="N294" s="2"/>
      <c r="O294" s="21"/>
      <c r="P294" s="2"/>
      <c r="Q294" s="2"/>
      <c r="R294" s="4"/>
      <c r="S294" s="4"/>
      <c r="T294" s="4"/>
      <c r="U294" s="4"/>
      <c r="V294" s="4"/>
      <c r="W294" s="4"/>
    </row>
    <row r="295" spans="1:23" ht="14.5" hidden="1" customHeight="1" x14ac:dyDescent="0.2">
      <c r="A295">
        <f t="shared" si="4"/>
        <v>289</v>
      </c>
      <c r="B295">
        <v>2010</v>
      </c>
      <c r="C295" t="s">
        <v>202</v>
      </c>
      <c r="D295" t="s">
        <v>180</v>
      </c>
      <c r="E295" s="22">
        <v>340</v>
      </c>
      <c r="H295" t="s">
        <v>149</v>
      </c>
      <c r="I295" t="s">
        <v>182</v>
      </c>
      <c r="J295" t="s">
        <v>136</v>
      </c>
      <c r="K295" t="s">
        <v>183</v>
      </c>
      <c r="M295" s="4"/>
      <c r="N295" s="2"/>
      <c r="O295" s="21"/>
      <c r="P295" s="2"/>
      <c r="Q295" s="2"/>
      <c r="R295" s="4"/>
      <c r="S295" s="4"/>
      <c r="T295" s="4"/>
      <c r="U295" s="4"/>
      <c r="V295" s="4"/>
      <c r="W295" s="4"/>
    </row>
    <row r="296" spans="1:23" ht="14.5" hidden="1" customHeight="1" x14ac:dyDescent="0.2">
      <c r="A296">
        <f t="shared" si="4"/>
        <v>290</v>
      </c>
      <c r="B296">
        <v>2010</v>
      </c>
      <c r="C296" t="s">
        <v>202</v>
      </c>
      <c r="D296" t="s">
        <v>444</v>
      </c>
      <c r="E296" s="22">
        <v>960</v>
      </c>
      <c r="G296" t="s">
        <v>2496</v>
      </c>
      <c r="H296" t="s">
        <v>144</v>
      </c>
      <c r="I296" t="s">
        <v>273</v>
      </c>
      <c r="J296" t="s">
        <v>135</v>
      </c>
      <c r="K296" t="s">
        <v>205</v>
      </c>
      <c r="M296" s="4"/>
      <c r="N296" s="2"/>
      <c r="O296" s="21"/>
      <c r="P296" s="2"/>
      <c r="Q296" s="2"/>
      <c r="R296" s="4"/>
      <c r="S296" s="4"/>
      <c r="T296" s="4"/>
      <c r="U296" s="4"/>
      <c r="V296" s="4"/>
      <c r="W296" s="4"/>
    </row>
    <row r="297" spans="1:23" ht="14.5" hidden="1" customHeight="1" x14ac:dyDescent="0.2">
      <c r="A297">
        <f t="shared" si="4"/>
        <v>291</v>
      </c>
      <c r="B297">
        <v>2010</v>
      </c>
      <c r="C297" t="s">
        <v>202</v>
      </c>
      <c r="D297" t="s">
        <v>444</v>
      </c>
      <c r="E297" s="22">
        <v>110</v>
      </c>
      <c r="H297" t="s">
        <v>154</v>
      </c>
      <c r="I297" t="s">
        <v>250</v>
      </c>
      <c r="J297" t="s">
        <v>107</v>
      </c>
      <c r="K297" t="s">
        <v>219</v>
      </c>
      <c r="M297" s="4"/>
      <c r="N297" s="2"/>
      <c r="O297" s="21"/>
      <c r="P297" s="2"/>
      <c r="Q297" s="2"/>
      <c r="R297" s="4"/>
      <c r="S297" s="4"/>
      <c r="T297" s="4"/>
      <c r="U297" s="4"/>
      <c r="V297" s="4"/>
      <c r="W297" s="4"/>
    </row>
    <row r="298" spans="1:23" ht="14.5" hidden="1" customHeight="1" x14ac:dyDescent="0.2">
      <c r="A298">
        <f t="shared" si="4"/>
        <v>292</v>
      </c>
      <c r="B298">
        <v>2010</v>
      </c>
      <c r="C298" t="s">
        <v>202</v>
      </c>
      <c r="D298" t="s">
        <v>444</v>
      </c>
      <c r="E298" s="22">
        <v>290</v>
      </c>
      <c r="H298" t="s">
        <v>155</v>
      </c>
      <c r="J298" t="s">
        <v>46</v>
      </c>
      <c r="K298" t="s">
        <v>219</v>
      </c>
      <c r="M298" s="4"/>
      <c r="N298" s="2"/>
      <c r="O298" s="21"/>
      <c r="P298" s="2"/>
      <c r="Q298" s="2"/>
      <c r="R298" s="4"/>
      <c r="S298" s="4"/>
      <c r="T298" s="4"/>
      <c r="U298" s="4"/>
      <c r="V298" s="4"/>
      <c r="W298" s="4"/>
    </row>
    <row r="299" spans="1:23" ht="14.5" hidden="1" customHeight="1" x14ac:dyDescent="0.2">
      <c r="A299">
        <f t="shared" si="4"/>
        <v>293</v>
      </c>
      <c r="B299">
        <v>2010</v>
      </c>
      <c r="C299" t="s">
        <v>202</v>
      </c>
      <c r="D299" t="s">
        <v>246</v>
      </c>
      <c r="E299" s="22">
        <v>110</v>
      </c>
      <c r="G299" t="s">
        <v>849</v>
      </c>
      <c r="H299" t="s">
        <v>144</v>
      </c>
      <c r="J299" t="s">
        <v>67</v>
      </c>
      <c r="K299" t="s">
        <v>183</v>
      </c>
      <c r="M299" s="4"/>
      <c r="N299" s="2"/>
      <c r="O299" s="21"/>
      <c r="P299" s="2"/>
      <c r="Q299" s="2"/>
      <c r="R299" s="4"/>
      <c r="S299" s="4"/>
      <c r="T299" s="4"/>
      <c r="U299" s="4"/>
      <c r="V299" s="4"/>
      <c r="W299" s="4"/>
    </row>
    <row r="300" spans="1:23" ht="14.5" hidden="1" customHeight="1" x14ac:dyDescent="0.2">
      <c r="A300">
        <f t="shared" si="4"/>
        <v>294</v>
      </c>
      <c r="B300">
        <v>2010</v>
      </c>
      <c r="C300" t="s">
        <v>202</v>
      </c>
      <c r="D300" t="s">
        <v>196</v>
      </c>
      <c r="E300" s="22">
        <v>180</v>
      </c>
      <c r="H300" t="s">
        <v>144</v>
      </c>
      <c r="I300" t="s">
        <v>197</v>
      </c>
      <c r="J300" t="s">
        <v>84</v>
      </c>
      <c r="K300" t="s">
        <v>201</v>
      </c>
      <c r="M300" s="4"/>
      <c r="N300" s="2"/>
      <c r="O300" s="21"/>
      <c r="P300" s="2"/>
      <c r="Q300" s="2"/>
      <c r="R300" s="4"/>
      <c r="S300" s="4"/>
      <c r="T300" s="4"/>
      <c r="U300" s="4"/>
      <c r="V300" s="4"/>
      <c r="W300" s="4"/>
    </row>
    <row r="301" spans="1:23" ht="14.5" hidden="1" customHeight="1" x14ac:dyDescent="0.2">
      <c r="A301">
        <f t="shared" si="4"/>
        <v>295</v>
      </c>
      <c r="B301">
        <v>2010</v>
      </c>
      <c r="C301" t="s">
        <v>202</v>
      </c>
      <c r="D301" t="s">
        <v>444</v>
      </c>
      <c r="E301" s="22">
        <v>200</v>
      </c>
      <c r="H301" t="s">
        <v>144</v>
      </c>
      <c r="I301" t="s">
        <v>273</v>
      </c>
      <c r="J301" t="s">
        <v>72</v>
      </c>
      <c r="K301" t="s">
        <v>183</v>
      </c>
      <c r="M301" s="4"/>
      <c r="N301" s="2"/>
      <c r="O301" s="21"/>
      <c r="P301" s="2"/>
      <c r="Q301" s="2"/>
      <c r="R301" s="4"/>
      <c r="S301" s="4"/>
      <c r="T301" s="4"/>
      <c r="U301" s="4"/>
      <c r="V301" s="4"/>
      <c r="W301" s="4"/>
    </row>
    <row r="302" spans="1:23" ht="15" hidden="1" customHeight="1" x14ac:dyDescent="0.2">
      <c r="A302">
        <f t="shared" si="4"/>
        <v>296</v>
      </c>
      <c r="B302">
        <v>2010</v>
      </c>
      <c r="C302" t="s">
        <v>207</v>
      </c>
      <c r="D302" t="s">
        <v>444</v>
      </c>
      <c r="E302" s="22">
        <v>750</v>
      </c>
      <c r="H302" t="s">
        <v>144</v>
      </c>
      <c r="J302" t="s">
        <v>14</v>
      </c>
      <c r="K302" t="s">
        <v>195</v>
      </c>
      <c r="M302" s="4"/>
      <c r="N302" s="2"/>
      <c r="O302" s="21"/>
      <c r="P302" s="2"/>
      <c r="Q302" s="2"/>
      <c r="R302" s="4"/>
      <c r="S302" s="4"/>
      <c r="T302" s="4"/>
      <c r="U302" s="4"/>
      <c r="V302" s="4"/>
      <c r="W302" s="4"/>
    </row>
    <row r="303" spans="1:23" ht="14.5" hidden="1" customHeight="1" x14ac:dyDescent="0.2">
      <c r="A303">
        <f t="shared" si="4"/>
        <v>297</v>
      </c>
      <c r="B303">
        <v>2010</v>
      </c>
      <c r="C303" t="s">
        <v>207</v>
      </c>
      <c r="D303" t="s">
        <v>2497</v>
      </c>
      <c r="E303" s="22">
        <v>220</v>
      </c>
      <c r="H303" t="s">
        <v>154</v>
      </c>
      <c r="I303" t="s">
        <v>194</v>
      </c>
      <c r="J303" t="s">
        <v>115</v>
      </c>
      <c r="K303" t="s">
        <v>201</v>
      </c>
      <c r="M303" s="4"/>
      <c r="N303" s="2"/>
      <c r="O303" s="21"/>
      <c r="P303" s="2"/>
      <c r="Q303" s="2"/>
      <c r="R303" s="4"/>
      <c r="S303" s="4"/>
      <c r="T303" s="4"/>
      <c r="U303" s="4"/>
      <c r="V303" s="4"/>
      <c r="W303" s="4"/>
    </row>
    <row r="304" spans="1:23" ht="14.5" hidden="1" customHeight="1" x14ac:dyDescent="0.2">
      <c r="A304">
        <f t="shared" si="4"/>
        <v>298</v>
      </c>
      <c r="B304">
        <v>2010</v>
      </c>
      <c r="C304" t="s">
        <v>207</v>
      </c>
      <c r="D304" t="s">
        <v>196</v>
      </c>
      <c r="E304" s="22">
        <v>1500</v>
      </c>
      <c r="G304" t="s">
        <v>2498</v>
      </c>
      <c r="H304" t="s">
        <v>144</v>
      </c>
      <c r="I304" t="s">
        <v>197</v>
      </c>
      <c r="J304" t="s">
        <v>54</v>
      </c>
      <c r="K304" t="s">
        <v>201</v>
      </c>
      <c r="M304" s="4"/>
      <c r="N304" s="2"/>
      <c r="O304" s="21"/>
      <c r="P304" s="2"/>
      <c r="Q304" s="2"/>
      <c r="R304" s="4"/>
      <c r="S304" s="4"/>
      <c r="T304" s="4"/>
      <c r="U304" s="4"/>
      <c r="V304" s="4"/>
      <c r="W304" s="4"/>
    </row>
    <row r="305" spans="1:23" ht="14.5" hidden="1" customHeight="1" x14ac:dyDescent="0.2">
      <c r="A305">
        <f t="shared" si="4"/>
        <v>299</v>
      </c>
      <c r="B305">
        <v>2010</v>
      </c>
      <c r="C305" t="s">
        <v>207</v>
      </c>
      <c r="D305" t="s">
        <v>530</v>
      </c>
      <c r="E305" s="22">
        <v>970</v>
      </c>
      <c r="G305" t="s">
        <v>2499</v>
      </c>
      <c r="H305" t="s">
        <v>152</v>
      </c>
      <c r="I305" t="s">
        <v>257</v>
      </c>
      <c r="J305" t="s">
        <v>58</v>
      </c>
      <c r="K305" t="s">
        <v>195</v>
      </c>
      <c r="M305" s="4"/>
      <c r="N305" s="2"/>
      <c r="O305" s="21"/>
      <c r="P305" s="2"/>
      <c r="Q305" s="2"/>
      <c r="R305" s="4"/>
      <c r="S305" s="4"/>
      <c r="T305" s="4"/>
      <c r="U305" s="4"/>
      <c r="V305" s="4"/>
      <c r="W305" s="4"/>
    </row>
    <row r="306" spans="1:23" ht="14.5" hidden="1" customHeight="1" x14ac:dyDescent="0.2">
      <c r="A306">
        <f t="shared" si="4"/>
        <v>300</v>
      </c>
      <c r="B306">
        <v>2010</v>
      </c>
      <c r="C306" t="s">
        <v>207</v>
      </c>
      <c r="D306" t="s">
        <v>180</v>
      </c>
      <c r="E306" s="22">
        <v>570</v>
      </c>
      <c r="G306" t="s">
        <v>2500</v>
      </c>
      <c r="H306" t="s">
        <v>151</v>
      </c>
      <c r="I306" t="s">
        <v>279</v>
      </c>
      <c r="J306" t="s">
        <v>65</v>
      </c>
      <c r="K306" t="s">
        <v>214</v>
      </c>
      <c r="M306" s="4"/>
      <c r="N306" s="2"/>
      <c r="O306" s="21"/>
      <c r="P306" s="2"/>
      <c r="Q306" s="2"/>
      <c r="R306" s="4"/>
      <c r="S306" s="4"/>
      <c r="T306" s="4"/>
      <c r="U306" s="4"/>
      <c r="V306" s="4"/>
      <c r="W306" s="4"/>
    </row>
    <row r="307" spans="1:23" ht="14.5" hidden="1" customHeight="1" x14ac:dyDescent="0.2">
      <c r="A307">
        <f t="shared" si="4"/>
        <v>301</v>
      </c>
      <c r="B307">
        <v>2010</v>
      </c>
      <c r="C307" t="s">
        <v>207</v>
      </c>
      <c r="D307" t="s">
        <v>444</v>
      </c>
      <c r="E307" s="22">
        <v>610</v>
      </c>
      <c r="G307" t="s">
        <v>457</v>
      </c>
      <c r="H307" t="s">
        <v>149</v>
      </c>
      <c r="I307" t="s">
        <v>236</v>
      </c>
      <c r="J307" t="s">
        <v>9</v>
      </c>
      <c r="K307" t="s">
        <v>9</v>
      </c>
      <c r="M307" s="4"/>
      <c r="N307" s="2"/>
      <c r="O307" s="21"/>
      <c r="P307" s="2"/>
      <c r="Q307" s="2"/>
      <c r="R307" s="4"/>
      <c r="S307" s="4"/>
      <c r="T307" s="4"/>
      <c r="U307" s="4"/>
      <c r="V307" s="4"/>
      <c r="W307" s="4"/>
    </row>
    <row r="308" spans="1:23" ht="14.5" hidden="1" customHeight="1" x14ac:dyDescent="0.2">
      <c r="A308">
        <f t="shared" si="4"/>
        <v>302</v>
      </c>
      <c r="B308">
        <v>2010</v>
      </c>
      <c r="C308" t="s">
        <v>207</v>
      </c>
      <c r="D308" t="s">
        <v>479</v>
      </c>
      <c r="E308" s="22">
        <v>400</v>
      </c>
      <c r="H308" t="s">
        <v>154</v>
      </c>
      <c r="I308" t="s">
        <v>194</v>
      </c>
      <c r="J308" t="s">
        <v>60</v>
      </c>
      <c r="K308" t="s">
        <v>177</v>
      </c>
      <c r="M308" s="4"/>
      <c r="N308" s="2"/>
      <c r="O308" s="21"/>
      <c r="P308" s="2"/>
      <c r="Q308" s="2"/>
      <c r="R308" s="4"/>
      <c r="S308" s="4"/>
      <c r="T308" s="4"/>
      <c r="U308" s="4"/>
      <c r="V308" s="4"/>
      <c r="W308" s="4"/>
    </row>
    <row r="309" spans="1:23" ht="14.5" hidden="1" customHeight="1" x14ac:dyDescent="0.2">
      <c r="A309">
        <f t="shared" si="4"/>
        <v>303</v>
      </c>
      <c r="B309">
        <v>2010</v>
      </c>
      <c r="C309" t="s">
        <v>207</v>
      </c>
      <c r="D309" t="s">
        <v>2501</v>
      </c>
      <c r="E309" s="22">
        <v>240</v>
      </c>
      <c r="H309" t="s">
        <v>154</v>
      </c>
      <c r="I309" t="s">
        <v>194</v>
      </c>
      <c r="J309" t="s">
        <v>80</v>
      </c>
      <c r="K309" t="s">
        <v>214</v>
      </c>
      <c r="M309" s="4"/>
      <c r="N309" s="2"/>
      <c r="O309" s="21"/>
      <c r="P309" s="2"/>
      <c r="Q309" s="2"/>
      <c r="R309" s="4"/>
      <c r="S309" s="4"/>
      <c r="T309" s="4"/>
      <c r="U309" s="4"/>
      <c r="V309" s="4"/>
      <c r="W309" s="4"/>
    </row>
    <row r="310" spans="1:23" ht="14.5" hidden="1" customHeight="1" x14ac:dyDescent="0.2">
      <c r="A310">
        <f t="shared" si="4"/>
        <v>304</v>
      </c>
      <c r="B310">
        <v>2010</v>
      </c>
      <c r="C310" t="s">
        <v>207</v>
      </c>
      <c r="D310" t="s">
        <v>196</v>
      </c>
      <c r="E310" s="22">
        <v>130</v>
      </c>
      <c r="G310" t="s">
        <v>849</v>
      </c>
      <c r="H310" t="s">
        <v>144</v>
      </c>
      <c r="J310" t="s">
        <v>67</v>
      </c>
      <c r="K310" t="s">
        <v>183</v>
      </c>
      <c r="M310" s="4"/>
      <c r="N310" s="2"/>
      <c r="O310" s="21"/>
      <c r="P310" s="2"/>
      <c r="Q310" s="2"/>
      <c r="R310" s="4"/>
      <c r="S310" s="4"/>
      <c r="T310" s="4"/>
      <c r="U310" s="4"/>
      <c r="V310" s="4"/>
      <c r="W310" s="4"/>
    </row>
    <row r="311" spans="1:23" ht="14.5" hidden="1" customHeight="1" x14ac:dyDescent="0.2">
      <c r="A311">
        <f t="shared" si="4"/>
        <v>305</v>
      </c>
      <c r="B311">
        <v>2010</v>
      </c>
      <c r="C311" t="s">
        <v>207</v>
      </c>
      <c r="D311" t="s">
        <v>444</v>
      </c>
      <c r="E311" s="22">
        <v>290</v>
      </c>
      <c r="H311" t="s">
        <v>155</v>
      </c>
      <c r="J311" t="s">
        <v>54</v>
      </c>
      <c r="K311" t="s">
        <v>201</v>
      </c>
      <c r="M311" s="4"/>
      <c r="N311" s="2"/>
      <c r="O311" s="21"/>
      <c r="P311" s="2"/>
      <c r="Q311" s="2"/>
      <c r="R311" s="4"/>
      <c r="S311" s="4"/>
      <c r="T311" s="4"/>
      <c r="U311" s="4"/>
      <c r="V311" s="4"/>
      <c r="W311" s="4"/>
    </row>
    <row r="312" spans="1:23" ht="14.5" hidden="1" customHeight="1" x14ac:dyDescent="0.2">
      <c r="A312">
        <f t="shared" si="4"/>
        <v>306</v>
      </c>
      <c r="B312">
        <v>2010</v>
      </c>
      <c r="C312" t="s">
        <v>207</v>
      </c>
      <c r="D312" t="s">
        <v>2502</v>
      </c>
      <c r="E312" s="22">
        <v>100</v>
      </c>
      <c r="H312" t="s">
        <v>154</v>
      </c>
      <c r="I312" t="s">
        <v>194</v>
      </c>
      <c r="J312" t="s">
        <v>37</v>
      </c>
      <c r="K312" t="s">
        <v>205</v>
      </c>
      <c r="M312" s="4"/>
      <c r="N312" s="2"/>
      <c r="O312" s="21"/>
      <c r="P312" s="2"/>
      <c r="Q312" s="2"/>
      <c r="R312" s="4"/>
      <c r="S312" s="4"/>
      <c r="T312" s="4"/>
      <c r="U312" s="4"/>
      <c r="V312" s="4"/>
      <c r="W312" s="4"/>
    </row>
    <row r="313" spans="1:23" ht="14.5" hidden="1" customHeight="1" x14ac:dyDescent="0.2">
      <c r="A313">
        <f t="shared" si="4"/>
        <v>307</v>
      </c>
      <c r="B313">
        <v>2010</v>
      </c>
      <c r="C313" t="s">
        <v>207</v>
      </c>
      <c r="D313" t="s">
        <v>444</v>
      </c>
      <c r="E313" s="22">
        <v>490</v>
      </c>
      <c r="H313" t="s">
        <v>144</v>
      </c>
      <c r="I313" t="s">
        <v>273</v>
      </c>
      <c r="J313" t="s">
        <v>97</v>
      </c>
      <c r="K313" t="s">
        <v>183</v>
      </c>
      <c r="M313" s="4"/>
      <c r="N313" s="2"/>
      <c r="O313" s="21"/>
      <c r="P313" s="2"/>
      <c r="Q313" s="2"/>
      <c r="R313" s="4"/>
      <c r="S313" s="4"/>
      <c r="T313" s="4"/>
      <c r="U313" s="4"/>
      <c r="V313" s="4"/>
      <c r="W313" s="4"/>
    </row>
    <row r="314" spans="1:23" ht="14.5" hidden="1" customHeight="1" x14ac:dyDescent="0.2">
      <c r="A314">
        <f t="shared" si="4"/>
        <v>308</v>
      </c>
      <c r="B314">
        <v>2010</v>
      </c>
      <c r="C314" t="s">
        <v>240</v>
      </c>
      <c r="D314" t="s">
        <v>444</v>
      </c>
      <c r="E314" s="22">
        <v>280</v>
      </c>
      <c r="H314" t="s">
        <v>144</v>
      </c>
      <c r="I314" t="s">
        <v>197</v>
      </c>
      <c r="J314" t="s">
        <v>29</v>
      </c>
      <c r="K314" t="s">
        <v>219</v>
      </c>
      <c r="M314" s="4"/>
      <c r="N314" s="2"/>
      <c r="O314" s="21"/>
      <c r="P314" s="2"/>
      <c r="Q314" s="2"/>
      <c r="R314" s="4"/>
      <c r="S314" s="4"/>
      <c r="T314" s="4"/>
      <c r="U314" s="4"/>
      <c r="V314" s="4"/>
      <c r="W314" s="4"/>
    </row>
    <row r="315" spans="1:23" ht="14.5" hidden="1" customHeight="1" x14ac:dyDescent="0.2">
      <c r="A315">
        <f t="shared" si="4"/>
        <v>309</v>
      </c>
      <c r="B315">
        <v>2010</v>
      </c>
      <c r="C315" t="s">
        <v>240</v>
      </c>
      <c r="D315" t="s">
        <v>337</v>
      </c>
      <c r="E315" s="22">
        <v>170</v>
      </c>
      <c r="H315" t="s">
        <v>144</v>
      </c>
      <c r="I315" t="s">
        <v>273</v>
      </c>
      <c r="J315" t="s">
        <v>23</v>
      </c>
      <c r="K315" t="s">
        <v>183</v>
      </c>
      <c r="M315" s="4"/>
      <c r="N315" s="2"/>
      <c r="O315" s="21"/>
      <c r="P315" s="2"/>
      <c r="Q315" s="2"/>
      <c r="R315" s="4"/>
      <c r="S315" s="4"/>
      <c r="T315" s="4"/>
      <c r="U315" s="4"/>
      <c r="V315" s="4"/>
      <c r="W315" s="4"/>
    </row>
    <row r="316" spans="1:23" ht="14.5" hidden="1" customHeight="1" x14ac:dyDescent="0.2">
      <c r="A316">
        <f t="shared" si="4"/>
        <v>310</v>
      </c>
      <c r="B316">
        <v>2010</v>
      </c>
      <c r="C316" t="s">
        <v>240</v>
      </c>
      <c r="D316" t="s">
        <v>2402</v>
      </c>
      <c r="E316" s="22">
        <v>800</v>
      </c>
      <c r="H316" t="s">
        <v>144</v>
      </c>
      <c r="I316" t="s">
        <v>197</v>
      </c>
      <c r="J316" t="s">
        <v>116</v>
      </c>
      <c r="K316" t="s">
        <v>214</v>
      </c>
      <c r="M316" s="4"/>
      <c r="N316" s="2"/>
      <c r="O316" s="21"/>
      <c r="P316" s="2"/>
      <c r="Q316" s="2"/>
      <c r="R316" s="4"/>
      <c r="S316" s="4"/>
      <c r="T316" s="4"/>
      <c r="U316" s="4"/>
      <c r="V316" s="4"/>
      <c r="W316" s="4"/>
    </row>
    <row r="317" spans="1:23" ht="14.5" hidden="1" customHeight="1" x14ac:dyDescent="0.2">
      <c r="A317">
        <f t="shared" si="4"/>
        <v>311</v>
      </c>
      <c r="B317">
        <v>2010</v>
      </c>
      <c r="C317" t="s">
        <v>240</v>
      </c>
      <c r="D317" t="s">
        <v>745</v>
      </c>
      <c r="E317" s="22">
        <v>270</v>
      </c>
      <c r="G317" t="s">
        <v>2503</v>
      </c>
      <c r="H317" t="s">
        <v>142</v>
      </c>
      <c r="J317" t="s">
        <v>101</v>
      </c>
      <c r="K317" t="s">
        <v>201</v>
      </c>
      <c r="M317" s="4"/>
      <c r="N317" s="2"/>
      <c r="O317" s="21"/>
      <c r="P317" s="2"/>
      <c r="Q317" s="2"/>
      <c r="R317" s="4"/>
      <c r="S317" s="4"/>
      <c r="T317" s="4"/>
      <c r="U317" s="4"/>
      <c r="V317" s="4"/>
      <c r="W317" s="4"/>
    </row>
    <row r="318" spans="1:23" ht="14.5" hidden="1" customHeight="1" x14ac:dyDescent="0.2">
      <c r="A318">
        <f t="shared" si="4"/>
        <v>312</v>
      </c>
      <c r="B318">
        <v>2010</v>
      </c>
      <c r="C318" t="s">
        <v>240</v>
      </c>
      <c r="D318" t="s">
        <v>703</v>
      </c>
      <c r="E318" s="22">
        <v>450</v>
      </c>
      <c r="G318" t="s">
        <v>2504</v>
      </c>
      <c r="H318" t="s">
        <v>144</v>
      </c>
      <c r="I318" t="s">
        <v>273</v>
      </c>
      <c r="J318" t="s">
        <v>52</v>
      </c>
      <c r="K318" t="s">
        <v>201</v>
      </c>
      <c r="M318" s="4"/>
      <c r="N318" s="2"/>
      <c r="O318" s="21"/>
      <c r="P318" s="2"/>
      <c r="Q318" s="2"/>
      <c r="R318" s="4"/>
      <c r="S318" s="4"/>
      <c r="T318" s="4"/>
      <c r="U318" s="4"/>
      <c r="V318" s="4"/>
      <c r="W318" s="4"/>
    </row>
    <row r="319" spans="1:23" s="41" customFormat="1" ht="14.5" hidden="1" customHeight="1" x14ac:dyDescent="0.2">
      <c r="A319">
        <f t="shared" si="4"/>
        <v>313</v>
      </c>
      <c r="B319">
        <v>2010</v>
      </c>
      <c r="C319" t="s">
        <v>240</v>
      </c>
      <c r="D319" t="s">
        <v>479</v>
      </c>
      <c r="E319" s="22">
        <v>220</v>
      </c>
      <c r="F319" s="16"/>
      <c r="H319" t="s">
        <v>154</v>
      </c>
      <c r="I319" t="s">
        <v>529</v>
      </c>
      <c r="J319" t="s">
        <v>64</v>
      </c>
      <c r="K319" t="s">
        <v>219</v>
      </c>
      <c r="M319" s="77"/>
      <c r="N319" s="78"/>
      <c r="O319" s="42"/>
      <c r="P319" s="78"/>
      <c r="Q319" s="78"/>
      <c r="R319" s="77"/>
      <c r="S319" s="77"/>
      <c r="T319" s="77"/>
      <c r="U319" s="77"/>
      <c r="V319" s="77"/>
      <c r="W319" s="77"/>
    </row>
    <row r="320" spans="1:23" ht="14.5" hidden="1" customHeight="1" x14ac:dyDescent="0.2">
      <c r="A320">
        <f t="shared" si="4"/>
        <v>314</v>
      </c>
      <c r="B320">
        <v>2010</v>
      </c>
      <c r="C320" t="s">
        <v>240</v>
      </c>
      <c r="D320" t="s">
        <v>479</v>
      </c>
      <c r="E320" s="22">
        <v>250</v>
      </c>
      <c r="H320" t="s">
        <v>154</v>
      </c>
      <c r="I320" t="s">
        <v>194</v>
      </c>
      <c r="J320" t="s">
        <v>29</v>
      </c>
      <c r="K320" t="s">
        <v>219</v>
      </c>
      <c r="M320" s="4"/>
      <c r="N320" s="2"/>
      <c r="O320" s="21"/>
      <c r="P320" s="2"/>
      <c r="Q320" s="2"/>
      <c r="R320" s="4"/>
      <c r="S320" s="4"/>
      <c r="T320" s="4"/>
      <c r="U320" s="4"/>
      <c r="V320" s="4"/>
      <c r="W320" s="4"/>
    </row>
    <row r="321" spans="1:23" ht="14.5" hidden="1" customHeight="1" x14ac:dyDescent="0.2">
      <c r="A321">
        <f t="shared" si="4"/>
        <v>315</v>
      </c>
      <c r="B321">
        <v>2010</v>
      </c>
      <c r="C321" t="s">
        <v>212</v>
      </c>
      <c r="D321" t="s">
        <v>815</v>
      </c>
      <c r="E321" s="22">
        <v>300</v>
      </c>
      <c r="H321" t="s">
        <v>151</v>
      </c>
      <c r="I321" t="s">
        <v>279</v>
      </c>
      <c r="J321" t="s">
        <v>120</v>
      </c>
      <c r="K321" t="s">
        <v>214</v>
      </c>
      <c r="M321" s="4"/>
      <c r="N321" s="2"/>
      <c r="O321" s="21"/>
      <c r="P321" s="2"/>
      <c r="Q321" s="2"/>
      <c r="R321" s="4"/>
      <c r="S321" s="4"/>
      <c r="T321" s="4"/>
      <c r="U321" s="4"/>
      <c r="V321" s="4"/>
      <c r="W321" s="4"/>
    </row>
    <row r="322" spans="1:23" ht="14.5" hidden="1" customHeight="1" x14ac:dyDescent="0.2">
      <c r="A322">
        <f t="shared" si="4"/>
        <v>316</v>
      </c>
      <c r="B322">
        <v>2010</v>
      </c>
      <c r="C322" t="s">
        <v>212</v>
      </c>
      <c r="D322" t="s">
        <v>2505</v>
      </c>
      <c r="E322" s="22">
        <v>1150</v>
      </c>
      <c r="G322" t="s">
        <v>2506</v>
      </c>
      <c r="H322" t="s">
        <v>144</v>
      </c>
      <c r="I322" t="s">
        <v>197</v>
      </c>
      <c r="J322" t="s">
        <v>136</v>
      </c>
      <c r="K322" t="s">
        <v>183</v>
      </c>
      <c r="M322" s="4"/>
      <c r="N322" s="2"/>
      <c r="O322" s="21"/>
      <c r="P322" s="2"/>
      <c r="Q322" s="2"/>
      <c r="R322" s="4"/>
      <c r="S322" s="4"/>
      <c r="T322" s="4"/>
      <c r="U322" s="4"/>
      <c r="V322" s="4"/>
      <c r="W322" s="4"/>
    </row>
    <row r="323" spans="1:23" ht="14.5" hidden="1" customHeight="1" x14ac:dyDescent="0.2">
      <c r="A323">
        <f t="shared" si="4"/>
        <v>317</v>
      </c>
      <c r="B323">
        <v>2010</v>
      </c>
      <c r="C323" t="s">
        <v>212</v>
      </c>
      <c r="D323" t="s">
        <v>2402</v>
      </c>
      <c r="E323" s="22">
        <v>290</v>
      </c>
      <c r="H323" t="s">
        <v>142</v>
      </c>
      <c r="J323" t="s">
        <v>135</v>
      </c>
      <c r="K323" t="s">
        <v>205</v>
      </c>
      <c r="M323" s="4"/>
      <c r="N323" s="2"/>
      <c r="O323" s="21"/>
      <c r="P323" s="2"/>
      <c r="Q323" s="2"/>
      <c r="R323" s="4"/>
      <c r="S323" s="4"/>
      <c r="T323" s="4"/>
      <c r="U323" s="4"/>
      <c r="V323" s="4"/>
      <c r="W323" s="4"/>
    </row>
    <row r="324" spans="1:23" ht="14.5" hidden="1" customHeight="1" x14ac:dyDescent="0.2">
      <c r="A324">
        <f t="shared" si="4"/>
        <v>318</v>
      </c>
      <c r="B324">
        <v>2010</v>
      </c>
      <c r="C324" t="s">
        <v>212</v>
      </c>
      <c r="D324" t="s">
        <v>479</v>
      </c>
      <c r="E324" s="22">
        <v>100</v>
      </c>
      <c r="H324" t="s">
        <v>154</v>
      </c>
      <c r="I324" t="s">
        <v>250</v>
      </c>
      <c r="J324" t="s">
        <v>82</v>
      </c>
      <c r="K324" t="s">
        <v>183</v>
      </c>
      <c r="M324" s="4"/>
      <c r="N324" s="2"/>
      <c r="O324" s="21"/>
      <c r="P324" s="2"/>
      <c r="Q324" s="2"/>
      <c r="R324" s="4"/>
      <c r="S324" s="4"/>
      <c r="T324" s="4"/>
      <c r="U324" s="4"/>
      <c r="V324" s="4"/>
      <c r="W324" s="4"/>
    </row>
    <row r="325" spans="1:23" ht="14.5" hidden="1" customHeight="1" x14ac:dyDescent="0.2">
      <c r="A325">
        <f t="shared" si="4"/>
        <v>319</v>
      </c>
      <c r="B325">
        <v>2010</v>
      </c>
      <c r="C325" t="s">
        <v>212</v>
      </c>
      <c r="D325" t="s">
        <v>246</v>
      </c>
      <c r="E325" s="22">
        <v>250</v>
      </c>
      <c r="F325" s="16">
        <v>0.4</v>
      </c>
      <c r="H325" t="s">
        <v>144</v>
      </c>
      <c r="I325" t="s">
        <v>197</v>
      </c>
      <c r="J325" t="s">
        <v>37</v>
      </c>
      <c r="K325" t="s">
        <v>205</v>
      </c>
      <c r="M325" s="4"/>
      <c r="N325" s="2"/>
      <c r="O325" s="21"/>
      <c r="P325" s="2"/>
      <c r="Q325" s="2"/>
      <c r="R325" s="4"/>
      <c r="S325" s="4"/>
      <c r="T325" s="4"/>
      <c r="U325" s="4"/>
      <c r="V325" s="4"/>
      <c r="W325" s="4"/>
    </row>
    <row r="326" spans="1:23" ht="14.5" hidden="1" customHeight="1" x14ac:dyDescent="0.2">
      <c r="A326">
        <f t="shared" si="4"/>
        <v>320</v>
      </c>
      <c r="B326">
        <v>2010</v>
      </c>
      <c r="C326" t="s">
        <v>212</v>
      </c>
      <c r="D326" t="s">
        <v>543</v>
      </c>
      <c r="E326" s="22">
        <v>400</v>
      </c>
      <c r="H326" t="s">
        <v>152</v>
      </c>
      <c r="I326" t="s">
        <v>257</v>
      </c>
      <c r="J326" t="s">
        <v>89</v>
      </c>
      <c r="K326" t="s">
        <v>219</v>
      </c>
      <c r="M326" s="4"/>
      <c r="N326" s="2"/>
      <c r="O326" s="21"/>
      <c r="P326" s="2"/>
      <c r="Q326" s="2"/>
      <c r="R326" s="4"/>
      <c r="S326" s="4"/>
      <c r="T326" s="4"/>
      <c r="U326" s="4"/>
      <c r="V326" s="4"/>
      <c r="W326" s="4"/>
    </row>
    <row r="327" spans="1:23" ht="14.5" hidden="1" customHeight="1" x14ac:dyDescent="0.2">
      <c r="A327">
        <f t="shared" ref="A327:A390" si="5">ROW()-6</f>
        <v>321</v>
      </c>
      <c r="B327">
        <v>2010</v>
      </c>
      <c r="C327" t="s">
        <v>212</v>
      </c>
      <c r="D327" t="s">
        <v>2468</v>
      </c>
      <c r="E327" s="22">
        <v>650</v>
      </c>
      <c r="G327" t="s">
        <v>2507</v>
      </c>
      <c r="H327" t="s">
        <v>144</v>
      </c>
      <c r="I327" t="s">
        <v>273</v>
      </c>
      <c r="J327" t="s">
        <v>136</v>
      </c>
      <c r="K327" t="s">
        <v>183</v>
      </c>
      <c r="M327" s="4"/>
      <c r="N327" s="2"/>
      <c r="O327" s="21"/>
      <c r="P327" s="2"/>
      <c r="Q327" s="2"/>
      <c r="R327" s="4"/>
      <c r="S327" s="4"/>
      <c r="T327" s="4"/>
      <c r="U327" s="4"/>
      <c r="V327" s="4"/>
      <c r="W327" s="4"/>
    </row>
    <row r="328" spans="1:23" ht="14.5" hidden="1" customHeight="1" x14ac:dyDescent="0.2">
      <c r="A328">
        <f t="shared" si="5"/>
        <v>322</v>
      </c>
      <c r="B328">
        <v>2010</v>
      </c>
      <c r="C328" t="s">
        <v>212</v>
      </c>
      <c r="D328" t="s">
        <v>815</v>
      </c>
      <c r="E328" s="22">
        <v>110</v>
      </c>
      <c r="G328" t="s">
        <v>2508</v>
      </c>
      <c r="H328" t="s">
        <v>151</v>
      </c>
      <c r="I328" t="s">
        <v>279</v>
      </c>
      <c r="J328" t="s">
        <v>55</v>
      </c>
      <c r="K328" t="s">
        <v>214</v>
      </c>
      <c r="M328" s="4"/>
      <c r="N328" s="2"/>
      <c r="O328" s="21"/>
      <c r="P328" s="2"/>
      <c r="Q328" s="2"/>
      <c r="R328" s="4"/>
      <c r="S328" s="4"/>
      <c r="T328" s="4"/>
      <c r="U328" s="4"/>
      <c r="V328" s="4"/>
      <c r="W328" s="4"/>
    </row>
    <row r="329" spans="1:23" ht="14.5" hidden="1" customHeight="1" x14ac:dyDescent="0.2">
      <c r="A329">
        <f t="shared" si="5"/>
        <v>323</v>
      </c>
      <c r="B329">
        <v>2010</v>
      </c>
      <c r="C329" t="s">
        <v>212</v>
      </c>
      <c r="D329" t="s">
        <v>444</v>
      </c>
      <c r="E329" s="22">
        <v>900</v>
      </c>
      <c r="G329" t="s">
        <v>2509</v>
      </c>
      <c r="H329" t="s">
        <v>149</v>
      </c>
      <c r="I329" t="s">
        <v>182</v>
      </c>
      <c r="J329" t="s">
        <v>72</v>
      </c>
      <c r="K329" t="s">
        <v>183</v>
      </c>
      <c r="M329" s="4"/>
      <c r="N329" s="2"/>
      <c r="O329" s="21"/>
      <c r="P329" s="2"/>
      <c r="Q329" s="2"/>
      <c r="R329" s="4"/>
      <c r="S329" s="4"/>
      <c r="T329" s="4"/>
      <c r="U329" s="4"/>
      <c r="V329" s="4"/>
      <c r="W329" s="4"/>
    </row>
    <row r="330" spans="1:23" ht="14.5" hidden="1" customHeight="1" x14ac:dyDescent="0.2">
      <c r="A330">
        <f t="shared" si="5"/>
        <v>324</v>
      </c>
      <c r="B330">
        <v>2010</v>
      </c>
      <c r="C330" t="s">
        <v>212</v>
      </c>
      <c r="D330" t="s">
        <v>444</v>
      </c>
      <c r="E330" s="22">
        <v>230</v>
      </c>
      <c r="H330" t="s">
        <v>144</v>
      </c>
      <c r="I330" t="s">
        <v>197</v>
      </c>
      <c r="J330" t="s">
        <v>14</v>
      </c>
      <c r="K330" t="s">
        <v>195</v>
      </c>
      <c r="M330" s="4"/>
      <c r="N330" s="2"/>
      <c r="O330" s="21"/>
      <c r="P330" s="2"/>
      <c r="Q330" s="2"/>
      <c r="R330" s="4"/>
      <c r="S330" s="4"/>
      <c r="T330" s="4"/>
      <c r="U330" s="4"/>
      <c r="V330" s="4"/>
      <c r="W330" s="4"/>
    </row>
    <row r="331" spans="1:23" ht="14.5" hidden="1" customHeight="1" x14ac:dyDescent="0.2">
      <c r="A331">
        <f t="shared" si="5"/>
        <v>325</v>
      </c>
      <c r="B331">
        <v>2010</v>
      </c>
      <c r="C331" t="s">
        <v>212</v>
      </c>
      <c r="D331" t="s">
        <v>444</v>
      </c>
      <c r="E331" s="22">
        <v>220</v>
      </c>
      <c r="G331" t="s">
        <v>2510</v>
      </c>
      <c r="H331" t="s">
        <v>152</v>
      </c>
      <c r="I331" t="s">
        <v>257</v>
      </c>
      <c r="J331" t="s">
        <v>13</v>
      </c>
      <c r="K331" t="s">
        <v>201</v>
      </c>
      <c r="M331" s="4"/>
      <c r="N331" s="2"/>
      <c r="O331" s="21"/>
      <c r="P331" s="2"/>
      <c r="Q331" s="2"/>
      <c r="R331" s="4"/>
      <c r="S331" s="4"/>
      <c r="T331" s="4"/>
      <c r="U331" s="4"/>
      <c r="V331" s="4"/>
      <c r="W331" s="4"/>
    </row>
    <row r="332" spans="1:23" ht="14.5" hidden="1" customHeight="1" x14ac:dyDescent="0.2">
      <c r="A332">
        <f t="shared" si="5"/>
        <v>326</v>
      </c>
      <c r="B332">
        <v>2010</v>
      </c>
      <c r="C332" t="s">
        <v>212</v>
      </c>
      <c r="D332" t="s">
        <v>196</v>
      </c>
      <c r="E332" s="22">
        <v>320</v>
      </c>
      <c r="H332" t="s">
        <v>155</v>
      </c>
      <c r="J332" t="s">
        <v>2406</v>
      </c>
      <c r="K332" t="s">
        <v>219</v>
      </c>
      <c r="M332" s="4"/>
      <c r="N332" s="2"/>
      <c r="O332" s="21"/>
      <c r="P332" s="2"/>
      <c r="Q332" s="2"/>
      <c r="R332" s="4"/>
      <c r="S332" s="4"/>
      <c r="T332" s="4"/>
      <c r="U332" s="4"/>
      <c r="V332" s="4"/>
      <c r="W332" s="4"/>
    </row>
    <row r="333" spans="1:23" ht="14.5" hidden="1" customHeight="1" x14ac:dyDescent="0.2">
      <c r="A333">
        <f t="shared" si="5"/>
        <v>327</v>
      </c>
      <c r="B333">
        <v>2010</v>
      </c>
      <c r="C333" t="s">
        <v>212</v>
      </c>
      <c r="D333" t="s">
        <v>196</v>
      </c>
      <c r="E333" s="22">
        <v>260</v>
      </c>
      <c r="G333" t="s">
        <v>2511</v>
      </c>
      <c r="H333" t="s">
        <v>144</v>
      </c>
      <c r="I333" t="s">
        <v>197</v>
      </c>
      <c r="J333" t="s">
        <v>72</v>
      </c>
      <c r="K333" t="s">
        <v>183</v>
      </c>
      <c r="M333" s="4"/>
      <c r="N333" s="2"/>
      <c r="O333" s="21"/>
      <c r="P333" s="2"/>
      <c r="Q333" s="2"/>
      <c r="R333" s="4"/>
      <c r="S333" s="4"/>
      <c r="T333" s="4"/>
      <c r="U333" s="4"/>
      <c r="V333" s="4"/>
      <c r="W333" s="4"/>
    </row>
    <row r="334" spans="1:23" ht="14.5" hidden="1" customHeight="1" x14ac:dyDescent="0.2">
      <c r="A334">
        <f t="shared" si="5"/>
        <v>328</v>
      </c>
      <c r="B334">
        <v>2010</v>
      </c>
      <c r="C334" t="s">
        <v>212</v>
      </c>
      <c r="D334" t="s">
        <v>277</v>
      </c>
      <c r="E334" s="22">
        <v>1400</v>
      </c>
      <c r="G334" t="s">
        <v>2512</v>
      </c>
      <c r="H334" t="s">
        <v>144</v>
      </c>
      <c r="I334" t="s">
        <v>273</v>
      </c>
      <c r="J334" t="s">
        <v>52</v>
      </c>
      <c r="K334" t="s">
        <v>201</v>
      </c>
      <c r="M334" s="4"/>
      <c r="N334" s="2"/>
      <c r="O334" s="21"/>
      <c r="P334" s="2"/>
      <c r="Q334" s="2"/>
      <c r="R334" s="4"/>
      <c r="S334" s="4"/>
      <c r="T334" s="4"/>
      <c r="U334" s="4"/>
      <c r="V334" s="4"/>
      <c r="W334" s="4"/>
    </row>
    <row r="335" spans="1:23" ht="14.5" hidden="1" customHeight="1" x14ac:dyDescent="0.2">
      <c r="A335">
        <f t="shared" si="5"/>
        <v>329</v>
      </c>
      <c r="B335">
        <v>2010</v>
      </c>
      <c r="C335" t="s">
        <v>212</v>
      </c>
      <c r="D335" t="s">
        <v>479</v>
      </c>
      <c r="E335" s="22">
        <v>160</v>
      </c>
      <c r="G335" t="s">
        <v>2513</v>
      </c>
      <c r="H335" t="s">
        <v>148</v>
      </c>
      <c r="J335" t="s">
        <v>93</v>
      </c>
      <c r="K335" t="s">
        <v>201</v>
      </c>
      <c r="M335" s="4"/>
      <c r="N335" s="2"/>
      <c r="O335" s="21"/>
      <c r="P335" s="2"/>
      <c r="Q335" s="2"/>
      <c r="R335" s="4"/>
      <c r="S335" s="4"/>
      <c r="T335" s="4"/>
      <c r="U335" s="4"/>
      <c r="V335" s="4"/>
      <c r="W335" s="4"/>
    </row>
    <row r="336" spans="1:23" ht="14.5" hidden="1" customHeight="1" x14ac:dyDescent="0.2">
      <c r="A336">
        <f t="shared" si="5"/>
        <v>330</v>
      </c>
      <c r="B336">
        <v>2010</v>
      </c>
      <c r="C336" t="s">
        <v>212</v>
      </c>
      <c r="D336" t="s">
        <v>815</v>
      </c>
      <c r="E336" s="22">
        <v>140</v>
      </c>
      <c r="H336" t="s">
        <v>151</v>
      </c>
      <c r="I336" t="s">
        <v>279</v>
      </c>
      <c r="J336" t="s">
        <v>105</v>
      </c>
      <c r="K336" t="s">
        <v>214</v>
      </c>
      <c r="M336" s="4"/>
      <c r="N336" s="2"/>
      <c r="O336" s="21"/>
      <c r="P336" s="2"/>
      <c r="Q336" s="2"/>
      <c r="R336" s="4"/>
      <c r="S336" s="4"/>
      <c r="T336" s="4"/>
      <c r="U336" s="4"/>
      <c r="V336" s="4"/>
      <c r="W336" s="4"/>
    </row>
    <row r="337" spans="1:23" ht="15.5" hidden="1" customHeight="1" x14ac:dyDescent="0.2">
      <c r="A337">
        <f t="shared" si="5"/>
        <v>331</v>
      </c>
      <c r="B337">
        <v>2010</v>
      </c>
      <c r="C337" t="s">
        <v>212</v>
      </c>
      <c r="D337" t="s">
        <v>444</v>
      </c>
      <c r="E337" s="22">
        <v>220</v>
      </c>
      <c r="H337" t="s">
        <v>144</v>
      </c>
      <c r="J337" t="s">
        <v>135</v>
      </c>
      <c r="K337" t="s">
        <v>205</v>
      </c>
      <c r="M337" s="4"/>
      <c r="N337" s="2"/>
      <c r="O337" s="21"/>
      <c r="P337" s="2"/>
      <c r="Q337" s="2"/>
      <c r="R337" s="4"/>
      <c r="S337" s="4"/>
      <c r="T337" s="4"/>
      <c r="U337" s="4"/>
      <c r="V337" s="4"/>
      <c r="W337" s="4"/>
    </row>
    <row r="338" spans="1:23" ht="14.5" hidden="1" customHeight="1" x14ac:dyDescent="0.2">
      <c r="A338">
        <f t="shared" si="5"/>
        <v>332</v>
      </c>
      <c r="B338">
        <v>2010</v>
      </c>
      <c r="C338" t="s">
        <v>212</v>
      </c>
      <c r="D338" t="s">
        <v>2414</v>
      </c>
      <c r="E338" s="22">
        <v>170</v>
      </c>
      <c r="H338" t="s">
        <v>154</v>
      </c>
      <c r="I338" t="s">
        <v>529</v>
      </c>
      <c r="J338" t="s">
        <v>14</v>
      </c>
      <c r="K338" t="s">
        <v>195</v>
      </c>
      <c r="M338" s="4"/>
      <c r="N338" s="2"/>
      <c r="O338" s="21"/>
      <c r="P338" s="2"/>
      <c r="Q338" s="2"/>
      <c r="R338" s="4"/>
      <c r="S338" s="4"/>
      <c r="T338" s="4"/>
      <c r="U338" s="4"/>
      <c r="V338" s="4"/>
      <c r="W338" s="4"/>
    </row>
    <row r="339" spans="1:23" ht="14.5" hidden="1" customHeight="1" x14ac:dyDescent="0.2">
      <c r="A339">
        <f t="shared" si="5"/>
        <v>333</v>
      </c>
      <c r="B339">
        <v>2011</v>
      </c>
      <c r="C339" t="s">
        <v>172</v>
      </c>
      <c r="D339" t="s">
        <v>397</v>
      </c>
      <c r="E339" s="22">
        <v>450</v>
      </c>
      <c r="G339" t="s">
        <v>2514</v>
      </c>
      <c r="H339" t="s">
        <v>151</v>
      </c>
      <c r="I339" t="s">
        <v>279</v>
      </c>
      <c r="J339" t="s">
        <v>130</v>
      </c>
      <c r="K339" t="s">
        <v>214</v>
      </c>
      <c r="M339" s="4"/>
      <c r="N339" s="2"/>
      <c r="O339" s="21"/>
      <c r="P339" s="2"/>
      <c r="Q339" s="2"/>
      <c r="R339" s="4"/>
      <c r="S339" s="4"/>
      <c r="T339" s="4"/>
      <c r="U339" s="4"/>
      <c r="V339" s="4"/>
      <c r="W339" s="4"/>
    </row>
    <row r="340" spans="1:23" ht="14.5" hidden="1" customHeight="1" x14ac:dyDescent="0.2">
      <c r="A340">
        <f t="shared" si="5"/>
        <v>334</v>
      </c>
      <c r="B340">
        <v>2011</v>
      </c>
      <c r="C340" t="s">
        <v>172</v>
      </c>
      <c r="D340" t="s">
        <v>479</v>
      </c>
      <c r="E340" s="22">
        <v>100</v>
      </c>
      <c r="H340" t="s">
        <v>154</v>
      </c>
      <c r="I340" t="s">
        <v>271</v>
      </c>
      <c r="J340" t="s">
        <v>53</v>
      </c>
      <c r="K340" t="s">
        <v>183</v>
      </c>
      <c r="M340" s="4"/>
      <c r="N340" s="2"/>
      <c r="O340" s="21"/>
      <c r="P340" s="2"/>
      <c r="Q340" s="2"/>
      <c r="R340" s="4"/>
      <c r="S340" s="4"/>
      <c r="T340" s="4"/>
      <c r="U340" s="4"/>
      <c r="V340" s="4"/>
      <c r="W340" s="4"/>
    </row>
    <row r="341" spans="1:23" ht="14.5" hidden="1" customHeight="1" x14ac:dyDescent="0.2">
      <c r="A341">
        <f t="shared" si="5"/>
        <v>335</v>
      </c>
      <c r="B341">
        <v>2011</v>
      </c>
      <c r="C341" t="s">
        <v>172</v>
      </c>
      <c r="D341" t="s">
        <v>479</v>
      </c>
      <c r="E341" s="22">
        <v>810</v>
      </c>
      <c r="H341" t="s">
        <v>154</v>
      </c>
      <c r="I341" t="s">
        <v>271</v>
      </c>
      <c r="J341" t="s">
        <v>115</v>
      </c>
      <c r="K341" t="s">
        <v>201</v>
      </c>
      <c r="M341" s="4"/>
      <c r="N341" s="2"/>
      <c r="O341" s="21"/>
      <c r="P341" s="2"/>
      <c r="Q341" s="2"/>
      <c r="R341" s="4"/>
      <c r="S341" s="4"/>
      <c r="T341" s="4"/>
      <c r="U341" s="4"/>
      <c r="V341" s="4"/>
      <c r="W341" s="4"/>
    </row>
    <row r="342" spans="1:23" ht="14.5" hidden="1" customHeight="1" x14ac:dyDescent="0.2">
      <c r="A342">
        <f t="shared" si="5"/>
        <v>336</v>
      </c>
      <c r="B342">
        <v>2011</v>
      </c>
      <c r="C342" t="s">
        <v>172</v>
      </c>
      <c r="D342" t="s">
        <v>479</v>
      </c>
      <c r="E342" s="22">
        <v>880</v>
      </c>
      <c r="H342" t="s">
        <v>154</v>
      </c>
      <c r="I342" t="s">
        <v>271</v>
      </c>
      <c r="J342" t="s">
        <v>100</v>
      </c>
      <c r="K342" t="s">
        <v>214</v>
      </c>
      <c r="M342" s="4"/>
      <c r="N342" s="2"/>
      <c r="O342" s="21"/>
      <c r="P342" s="2"/>
      <c r="Q342" s="2"/>
      <c r="R342" s="4"/>
      <c r="S342" s="4"/>
      <c r="T342" s="4"/>
      <c r="U342" s="4"/>
      <c r="V342" s="4"/>
      <c r="W342" s="4"/>
    </row>
    <row r="343" spans="1:23" ht="14.5" hidden="1" customHeight="1" x14ac:dyDescent="0.2">
      <c r="A343">
        <f t="shared" si="5"/>
        <v>337</v>
      </c>
      <c r="B343">
        <v>2011</v>
      </c>
      <c r="C343" t="s">
        <v>172</v>
      </c>
      <c r="D343" t="s">
        <v>2515</v>
      </c>
      <c r="E343" s="22">
        <v>180</v>
      </c>
      <c r="H343" t="s">
        <v>154</v>
      </c>
      <c r="I343" t="s">
        <v>194</v>
      </c>
      <c r="J343" t="s">
        <v>136</v>
      </c>
      <c r="K343" t="s">
        <v>183</v>
      </c>
      <c r="M343" s="4"/>
      <c r="N343" s="2"/>
      <c r="O343" s="21"/>
      <c r="P343" s="2"/>
      <c r="Q343" s="2"/>
      <c r="R343" s="4"/>
      <c r="S343" s="4"/>
      <c r="T343" s="4"/>
      <c r="U343" s="4"/>
      <c r="V343" s="4"/>
      <c r="W343" s="4"/>
    </row>
    <row r="344" spans="1:23" ht="14.5" hidden="1" customHeight="1" x14ac:dyDescent="0.2">
      <c r="A344">
        <f t="shared" si="5"/>
        <v>338</v>
      </c>
      <c r="B344">
        <v>2011</v>
      </c>
      <c r="C344" t="s">
        <v>172</v>
      </c>
      <c r="D344" t="s">
        <v>196</v>
      </c>
      <c r="E344" s="22">
        <v>720</v>
      </c>
      <c r="G344" t="s">
        <v>2452</v>
      </c>
      <c r="H344" t="s">
        <v>151</v>
      </c>
      <c r="I344" t="s">
        <v>279</v>
      </c>
      <c r="J344" t="s">
        <v>100</v>
      </c>
      <c r="K344" t="s">
        <v>214</v>
      </c>
      <c r="M344" s="4"/>
      <c r="N344" s="2"/>
      <c r="O344" s="21"/>
      <c r="P344" s="2"/>
      <c r="Q344" s="2"/>
      <c r="R344" s="4"/>
      <c r="S344" s="4"/>
      <c r="T344" s="4"/>
      <c r="U344" s="4"/>
      <c r="V344" s="4"/>
      <c r="W344" s="4"/>
    </row>
    <row r="345" spans="1:23" ht="14.5" hidden="1" customHeight="1" x14ac:dyDescent="0.2">
      <c r="A345">
        <f t="shared" si="5"/>
        <v>339</v>
      </c>
      <c r="B345">
        <v>2011</v>
      </c>
      <c r="C345" t="s">
        <v>172</v>
      </c>
      <c r="D345" t="s">
        <v>479</v>
      </c>
      <c r="E345" s="22">
        <v>100</v>
      </c>
      <c r="H345" t="s">
        <v>154</v>
      </c>
      <c r="I345" t="s">
        <v>271</v>
      </c>
      <c r="J345" t="s">
        <v>38</v>
      </c>
      <c r="K345" t="s">
        <v>214</v>
      </c>
      <c r="M345" s="4"/>
      <c r="N345" s="2"/>
      <c r="O345" s="21"/>
      <c r="P345" s="2"/>
      <c r="Q345" s="2"/>
      <c r="R345" s="4"/>
      <c r="S345" s="4"/>
      <c r="T345" s="4"/>
      <c r="U345" s="4"/>
      <c r="V345" s="4"/>
      <c r="W345" s="4"/>
    </row>
    <row r="346" spans="1:23" ht="14.5" hidden="1" customHeight="1" x14ac:dyDescent="0.2">
      <c r="A346">
        <f t="shared" si="5"/>
        <v>340</v>
      </c>
      <c r="B346">
        <v>2011</v>
      </c>
      <c r="C346" t="s">
        <v>172</v>
      </c>
      <c r="D346" t="s">
        <v>530</v>
      </c>
      <c r="E346" s="22">
        <v>260</v>
      </c>
      <c r="G346" t="s">
        <v>2516</v>
      </c>
      <c r="H346" t="s">
        <v>152</v>
      </c>
      <c r="I346" t="s">
        <v>257</v>
      </c>
      <c r="J346" t="s">
        <v>24</v>
      </c>
      <c r="K346" t="s">
        <v>219</v>
      </c>
      <c r="M346" s="4"/>
      <c r="N346" s="2"/>
      <c r="O346" s="21"/>
      <c r="P346" s="2"/>
      <c r="Q346" s="2"/>
      <c r="R346" s="4"/>
      <c r="S346" s="4"/>
      <c r="T346" s="4"/>
      <c r="U346" s="4"/>
      <c r="V346" s="4"/>
      <c r="W346" s="4"/>
    </row>
    <row r="347" spans="1:23" ht="14.5" hidden="1" customHeight="1" x14ac:dyDescent="0.2">
      <c r="A347">
        <f t="shared" si="5"/>
        <v>341</v>
      </c>
      <c r="B347">
        <v>2011</v>
      </c>
      <c r="C347" t="s">
        <v>172</v>
      </c>
      <c r="D347" t="s">
        <v>2517</v>
      </c>
      <c r="E347" s="22">
        <v>190</v>
      </c>
      <c r="H347" t="s">
        <v>154</v>
      </c>
      <c r="I347" t="s">
        <v>271</v>
      </c>
      <c r="J347" t="s">
        <v>38</v>
      </c>
      <c r="K347" t="s">
        <v>214</v>
      </c>
      <c r="M347" s="4"/>
      <c r="N347" s="2"/>
      <c r="O347" s="21"/>
      <c r="P347" s="2"/>
      <c r="Q347" s="2"/>
      <c r="R347" s="4"/>
      <c r="S347" s="4"/>
      <c r="T347" s="4"/>
      <c r="U347" s="4"/>
      <c r="V347" s="4"/>
      <c r="W347" s="4"/>
    </row>
    <row r="348" spans="1:23" ht="14.5" hidden="1" customHeight="1" x14ac:dyDescent="0.2">
      <c r="A348">
        <f t="shared" si="5"/>
        <v>342</v>
      </c>
      <c r="B348">
        <v>2011</v>
      </c>
      <c r="C348" t="s">
        <v>172</v>
      </c>
      <c r="D348" t="s">
        <v>221</v>
      </c>
      <c r="E348" s="22">
        <v>1470</v>
      </c>
      <c r="H348" t="s">
        <v>151</v>
      </c>
      <c r="I348" t="s">
        <v>279</v>
      </c>
      <c r="J348" t="s">
        <v>6</v>
      </c>
      <c r="K348" t="s">
        <v>219</v>
      </c>
      <c r="M348" s="4"/>
      <c r="N348" s="2"/>
      <c r="O348" s="21"/>
      <c r="P348" s="2"/>
      <c r="Q348" s="2"/>
      <c r="R348" s="4"/>
      <c r="S348" s="4"/>
      <c r="T348" s="4"/>
      <c r="U348" s="4"/>
      <c r="V348" s="4"/>
      <c r="W348" s="4"/>
    </row>
    <row r="349" spans="1:23" ht="14.5" hidden="1" customHeight="1" x14ac:dyDescent="0.2">
      <c r="A349">
        <f t="shared" si="5"/>
        <v>343</v>
      </c>
      <c r="B349">
        <v>2011</v>
      </c>
      <c r="C349" t="s">
        <v>258</v>
      </c>
      <c r="D349" t="s">
        <v>180</v>
      </c>
      <c r="E349" s="22">
        <v>260</v>
      </c>
      <c r="F349" s="16">
        <v>0.5</v>
      </c>
      <c r="G349" t="s">
        <v>2518</v>
      </c>
      <c r="H349" t="s">
        <v>150</v>
      </c>
      <c r="I349" t="s">
        <v>744</v>
      </c>
      <c r="J349" t="s">
        <v>65</v>
      </c>
      <c r="K349" t="s">
        <v>214</v>
      </c>
      <c r="M349" s="4"/>
      <c r="N349" s="2"/>
      <c r="O349" s="21"/>
      <c r="P349" s="2"/>
      <c r="Q349" s="2"/>
      <c r="R349" s="4"/>
      <c r="S349" s="4"/>
      <c r="T349" s="4"/>
      <c r="U349" s="4"/>
      <c r="V349" s="4"/>
      <c r="W349" s="4"/>
    </row>
    <row r="350" spans="1:23" ht="14.5" hidden="1" customHeight="1" x14ac:dyDescent="0.2">
      <c r="A350">
        <f t="shared" si="5"/>
        <v>344</v>
      </c>
      <c r="B350">
        <v>2011</v>
      </c>
      <c r="C350" t="s">
        <v>258</v>
      </c>
      <c r="D350" t="s">
        <v>341</v>
      </c>
      <c r="E350" s="22">
        <v>330</v>
      </c>
      <c r="H350" t="s">
        <v>154</v>
      </c>
      <c r="I350" t="s">
        <v>529</v>
      </c>
      <c r="J350" t="s">
        <v>40</v>
      </c>
      <c r="K350" t="s">
        <v>219</v>
      </c>
      <c r="M350" s="4"/>
      <c r="N350" s="2"/>
      <c r="O350" s="21"/>
      <c r="P350" s="2"/>
      <c r="Q350" s="2"/>
      <c r="R350" s="4"/>
      <c r="S350" s="4"/>
      <c r="T350" s="4"/>
      <c r="U350" s="4"/>
      <c r="V350" s="4"/>
      <c r="W350" s="4"/>
    </row>
    <row r="351" spans="1:23" ht="14.5" hidden="1" customHeight="1" x14ac:dyDescent="0.2">
      <c r="A351">
        <f t="shared" si="5"/>
        <v>345</v>
      </c>
      <c r="B351">
        <v>2011</v>
      </c>
      <c r="C351" t="s">
        <v>258</v>
      </c>
      <c r="D351" t="s">
        <v>196</v>
      </c>
      <c r="E351" s="22">
        <v>370</v>
      </c>
      <c r="H351" t="s">
        <v>144</v>
      </c>
      <c r="I351" t="s">
        <v>197</v>
      </c>
      <c r="J351" t="s">
        <v>34</v>
      </c>
      <c r="K351" t="s">
        <v>219</v>
      </c>
      <c r="M351" s="4"/>
      <c r="N351" s="2"/>
      <c r="O351" s="21"/>
      <c r="P351" s="2"/>
      <c r="Q351" s="2"/>
      <c r="R351" s="4"/>
      <c r="S351" s="4"/>
      <c r="T351" s="4"/>
      <c r="U351" s="4"/>
      <c r="V351" s="4"/>
      <c r="W351" s="4"/>
    </row>
    <row r="352" spans="1:23" ht="14.5" hidden="1" customHeight="1" x14ac:dyDescent="0.2">
      <c r="A352">
        <f t="shared" si="5"/>
        <v>346</v>
      </c>
      <c r="B352">
        <v>2011</v>
      </c>
      <c r="C352" t="s">
        <v>258</v>
      </c>
      <c r="D352" t="s">
        <v>815</v>
      </c>
      <c r="E352" s="22">
        <v>240</v>
      </c>
      <c r="G352" t="s">
        <v>2519</v>
      </c>
      <c r="H352" t="s">
        <v>151</v>
      </c>
      <c r="I352" t="s">
        <v>279</v>
      </c>
      <c r="J352" t="s">
        <v>51</v>
      </c>
      <c r="K352" t="s">
        <v>195</v>
      </c>
      <c r="M352" s="4"/>
      <c r="N352" s="2"/>
      <c r="O352" s="21"/>
      <c r="P352" s="2"/>
      <c r="Q352" s="2"/>
      <c r="R352" s="4"/>
      <c r="S352" s="4"/>
      <c r="T352" s="4"/>
      <c r="U352" s="4"/>
      <c r="V352" s="4"/>
      <c r="W352" s="4"/>
    </row>
    <row r="353" spans="1:23" ht="14.5" hidden="1" customHeight="1" x14ac:dyDescent="0.2">
      <c r="A353">
        <f t="shared" si="5"/>
        <v>347</v>
      </c>
      <c r="B353">
        <v>2011</v>
      </c>
      <c r="C353" t="s">
        <v>258</v>
      </c>
      <c r="D353" t="s">
        <v>444</v>
      </c>
      <c r="E353" s="22">
        <v>120</v>
      </c>
      <c r="H353" t="s">
        <v>144</v>
      </c>
      <c r="I353" t="s">
        <v>299</v>
      </c>
      <c r="J353" t="s">
        <v>2406</v>
      </c>
      <c r="K353" t="s">
        <v>219</v>
      </c>
      <c r="M353" s="4"/>
      <c r="N353" s="2"/>
      <c r="O353" s="21"/>
      <c r="P353" s="2"/>
      <c r="Q353" s="2"/>
      <c r="R353" s="4"/>
      <c r="S353" s="4"/>
      <c r="T353" s="4"/>
      <c r="U353" s="4"/>
      <c r="V353" s="4"/>
      <c r="W353" s="4"/>
    </row>
    <row r="354" spans="1:23" ht="14.5" hidden="1" customHeight="1" x14ac:dyDescent="0.2">
      <c r="A354">
        <f t="shared" si="5"/>
        <v>348</v>
      </c>
      <c r="B354">
        <v>2011</v>
      </c>
      <c r="C354" t="s">
        <v>179</v>
      </c>
      <c r="D354" t="s">
        <v>280</v>
      </c>
      <c r="E354" s="22">
        <v>1080</v>
      </c>
      <c r="G354" t="s">
        <v>2520</v>
      </c>
      <c r="H354" t="s">
        <v>149</v>
      </c>
      <c r="I354" t="s">
        <v>182</v>
      </c>
      <c r="J354" t="s">
        <v>101</v>
      </c>
      <c r="K354" t="s">
        <v>201</v>
      </c>
      <c r="M354" s="4"/>
      <c r="N354" s="2"/>
      <c r="O354" s="21"/>
      <c r="P354" s="2"/>
      <c r="Q354" s="2"/>
      <c r="R354" s="4"/>
      <c r="S354" s="4"/>
      <c r="T354" s="4"/>
      <c r="U354" s="4"/>
      <c r="V354" s="4"/>
      <c r="W354" s="4"/>
    </row>
    <row r="355" spans="1:23" ht="14.5" hidden="1" customHeight="1" x14ac:dyDescent="0.2">
      <c r="A355">
        <f t="shared" si="5"/>
        <v>349</v>
      </c>
      <c r="B355">
        <v>2011</v>
      </c>
      <c r="C355" t="s">
        <v>179</v>
      </c>
      <c r="D355" t="s">
        <v>397</v>
      </c>
      <c r="E355" s="22">
        <v>300</v>
      </c>
      <c r="H355" t="s">
        <v>154</v>
      </c>
      <c r="I355" t="s">
        <v>250</v>
      </c>
      <c r="J355" t="s">
        <v>76</v>
      </c>
      <c r="K355" t="s">
        <v>219</v>
      </c>
      <c r="M355" s="4"/>
      <c r="N355" s="2"/>
      <c r="O355" s="21"/>
      <c r="P355" s="2"/>
      <c r="Q355" s="2"/>
      <c r="R355" s="4"/>
      <c r="S355" s="4"/>
      <c r="T355" s="4"/>
      <c r="U355" s="4"/>
      <c r="V355" s="4"/>
      <c r="W355" s="4"/>
    </row>
    <row r="356" spans="1:23" ht="14.5" hidden="1" customHeight="1" x14ac:dyDescent="0.2">
      <c r="A356">
        <f t="shared" si="5"/>
        <v>350</v>
      </c>
      <c r="B356">
        <v>2011</v>
      </c>
      <c r="C356" t="s">
        <v>179</v>
      </c>
      <c r="D356" t="s">
        <v>668</v>
      </c>
      <c r="E356" s="22">
        <v>330</v>
      </c>
      <c r="G356" t="s">
        <v>2435</v>
      </c>
      <c r="H356" t="s">
        <v>144</v>
      </c>
      <c r="J356" t="s">
        <v>138</v>
      </c>
      <c r="K356" t="s">
        <v>219</v>
      </c>
      <c r="M356" s="4"/>
      <c r="N356" s="2"/>
      <c r="O356" s="21"/>
      <c r="P356" s="2"/>
      <c r="Q356" s="2"/>
      <c r="R356" s="4"/>
      <c r="S356" s="4"/>
      <c r="T356" s="4"/>
      <c r="U356" s="4"/>
      <c r="V356" s="4"/>
      <c r="W356" s="4"/>
    </row>
    <row r="357" spans="1:23" ht="14.5" hidden="1" customHeight="1" x14ac:dyDescent="0.2">
      <c r="A357">
        <f t="shared" si="5"/>
        <v>351</v>
      </c>
      <c r="B357">
        <v>2011</v>
      </c>
      <c r="C357" t="s">
        <v>179</v>
      </c>
      <c r="D357" t="s">
        <v>397</v>
      </c>
      <c r="E357" s="22">
        <v>150</v>
      </c>
      <c r="H357" t="s">
        <v>154</v>
      </c>
      <c r="I357" t="s">
        <v>194</v>
      </c>
      <c r="J357" t="s">
        <v>53</v>
      </c>
      <c r="K357" t="s">
        <v>183</v>
      </c>
      <c r="M357" s="4"/>
      <c r="N357" s="2"/>
      <c r="O357" s="21"/>
      <c r="P357" s="2"/>
      <c r="Q357" s="2"/>
      <c r="R357" s="4"/>
      <c r="S357" s="4"/>
      <c r="T357" s="4"/>
      <c r="U357" s="4"/>
      <c r="V357" s="4"/>
      <c r="W357" s="4"/>
    </row>
    <row r="358" spans="1:23" ht="14.5" hidden="1" customHeight="1" x14ac:dyDescent="0.2">
      <c r="A358">
        <f t="shared" si="5"/>
        <v>352</v>
      </c>
      <c r="B358">
        <v>2011</v>
      </c>
      <c r="C358" t="s">
        <v>179</v>
      </c>
      <c r="D358" t="s">
        <v>479</v>
      </c>
      <c r="E358" s="22">
        <v>210</v>
      </c>
      <c r="H358" t="s">
        <v>154</v>
      </c>
      <c r="I358" t="s">
        <v>271</v>
      </c>
      <c r="J358" t="s">
        <v>82</v>
      </c>
      <c r="K358" t="s">
        <v>183</v>
      </c>
      <c r="M358" s="4"/>
      <c r="N358" s="2"/>
      <c r="O358" s="21"/>
      <c r="P358" s="2"/>
      <c r="Q358" s="2"/>
      <c r="R358" s="4"/>
      <c r="S358" s="4"/>
      <c r="T358" s="4"/>
      <c r="U358" s="4"/>
      <c r="V358" s="4"/>
      <c r="W358" s="4"/>
    </row>
    <row r="359" spans="1:23" ht="14.5" hidden="1" customHeight="1" x14ac:dyDescent="0.2">
      <c r="A359">
        <f t="shared" si="5"/>
        <v>353</v>
      </c>
      <c r="B359">
        <v>2011</v>
      </c>
      <c r="C359" t="s">
        <v>179</v>
      </c>
      <c r="D359" t="s">
        <v>557</v>
      </c>
      <c r="E359" s="22">
        <v>100</v>
      </c>
      <c r="G359" t="s">
        <v>2521</v>
      </c>
      <c r="H359" t="s">
        <v>151</v>
      </c>
      <c r="I359" t="s">
        <v>279</v>
      </c>
      <c r="J359" t="s">
        <v>11</v>
      </c>
      <c r="K359" t="s">
        <v>201</v>
      </c>
      <c r="M359" s="4"/>
      <c r="N359" s="2"/>
      <c r="O359" s="21"/>
      <c r="P359" s="2"/>
      <c r="Q359" s="2"/>
      <c r="R359" s="4"/>
      <c r="S359" s="4"/>
      <c r="T359" s="4"/>
      <c r="U359" s="4"/>
      <c r="V359" s="4"/>
      <c r="W359" s="4"/>
    </row>
    <row r="360" spans="1:23" ht="14.5" hidden="1" customHeight="1" x14ac:dyDescent="0.2">
      <c r="A360">
        <f t="shared" si="5"/>
        <v>354</v>
      </c>
      <c r="B360">
        <v>2011</v>
      </c>
      <c r="C360" t="s">
        <v>179</v>
      </c>
      <c r="D360" t="s">
        <v>2400</v>
      </c>
      <c r="E360" s="22">
        <v>300</v>
      </c>
      <c r="G360" t="s">
        <v>2522</v>
      </c>
      <c r="H360" t="s">
        <v>144</v>
      </c>
      <c r="I360" t="s">
        <v>273</v>
      </c>
      <c r="J360" t="s">
        <v>52</v>
      </c>
      <c r="K360" t="s">
        <v>201</v>
      </c>
      <c r="M360" s="4"/>
      <c r="N360" s="2"/>
      <c r="O360" s="21"/>
      <c r="P360" s="2"/>
      <c r="Q360" s="2"/>
      <c r="R360" s="4"/>
      <c r="S360" s="4"/>
      <c r="T360" s="4"/>
      <c r="U360" s="4"/>
      <c r="V360" s="4"/>
      <c r="W360" s="4"/>
    </row>
    <row r="361" spans="1:23" ht="14.5" hidden="1" customHeight="1" x14ac:dyDescent="0.2">
      <c r="A361">
        <f t="shared" si="5"/>
        <v>355</v>
      </c>
      <c r="B361">
        <v>2011</v>
      </c>
      <c r="C361" t="s">
        <v>179</v>
      </c>
      <c r="D361" t="s">
        <v>557</v>
      </c>
      <c r="E361" s="22">
        <v>100</v>
      </c>
      <c r="H361" t="s">
        <v>151</v>
      </c>
      <c r="I361" t="s">
        <v>279</v>
      </c>
      <c r="J361" t="s">
        <v>138</v>
      </c>
      <c r="K361" t="s">
        <v>219</v>
      </c>
      <c r="M361" s="4"/>
      <c r="N361" s="2"/>
      <c r="O361" s="21"/>
      <c r="P361" s="2"/>
      <c r="Q361" s="2"/>
      <c r="R361" s="4"/>
      <c r="S361" s="4"/>
      <c r="T361" s="4"/>
      <c r="U361" s="4"/>
      <c r="V361" s="4"/>
      <c r="W361" s="4"/>
    </row>
    <row r="362" spans="1:23" ht="15.5" hidden="1" customHeight="1" x14ac:dyDescent="0.2">
      <c r="A362">
        <f t="shared" si="5"/>
        <v>356</v>
      </c>
      <c r="B362">
        <v>2011</v>
      </c>
      <c r="C362" t="s">
        <v>179</v>
      </c>
      <c r="D362" t="s">
        <v>2523</v>
      </c>
      <c r="E362" s="22">
        <v>350</v>
      </c>
      <c r="H362" t="s">
        <v>154</v>
      </c>
      <c r="I362" t="s">
        <v>194</v>
      </c>
      <c r="J362" t="s">
        <v>64</v>
      </c>
      <c r="K362" t="s">
        <v>219</v>
      </c>
      <c r="M362" s="4"/>
      <c r="N362" s="2"/>
      <c r="O362" s="21"/>
      <c r="P362" s="2"/>
      <c r="Q362" s="2"/>
      <c r="R362" s="4"/>
      <c r="S362" s="4"/>
      <c r="T362" s="4"/>
      <c r="U362" s="4"/>
      <c r="V362" s="4"/>
      <c r="W362" s="4"/>
    </row>
    <row r="363" spans="1:23" ht="13.5" hidden="1" customHeight="1" x14ac:dyDescent="0.2">
      <c r="A363">
        <f t="shared" si="5"/>
        <v>357</v>
      </c>
      <c r="B363">
        <v>2011</v>
      </c>
      <c r="C363" t="s">
        <v>179</v>
      </c>
      <c r="D363" t="s">
        <v>444</v>
      </c>
      <c r="E363" s="22">
        <v>270</v>
      </c>
      <c r="H363" t="s">
        <v>152</v>
      </c>
      <c r="I363" t="s">
        <v>257</v>
      </c>
      <c r="J363" t="s">
        <v>6</v>
      </c>
      <c r="K363" t="s">
        <v>219</v>
      </c>
      <c r="M363" s="4"/>
      <c r="N363" s="2"/>
      <c r="O363" s="21"/>
      <c r="P363" s="2"/>
      <c r="Q363" s="2"/>
      <c r="R363" s="4"/>
      <c r="S363" s="4"/>
      <c r="T363" s="4"/>
      <c r="U363" s="4"/>
      <c r="V363" s="4"/>
      <c r="W363" s="4"/>
    </row>
    <row r="364" spans="1:23" ht="14.5" hidden="1" customHeight="1" x14ac:dyDescent="0.2">
      <c r="A364">
        <f t="shared" si="5"/>
        <v>358</v>
      </c>
      <c r="B364">
        <v>2011</v>
      </c>
      <c r="C364" t="s">
        <v>179</v>
      </c>
      <c r="D364" t="s">
        <v>612</v>
      </c>
      <c r="E364" s="22">
        <v>100</v>
      </c>
      <c r="H364" t="s">
        <v>145</v>
      </c>
      <c r="J364" t="s">
        <v>2445</v>
      </c>
      <c r="K364" t="s">
        <v>177</v>
      </c>
      <c r="M364" s="4"/>
      <c r="N364" s="2"/>
      <c r="O364" s="21"/>
      <c r="P364" s="2"/>
      <c r="Q364" s="2"/>
      <c r="R364" s="4"/>
      <c r="S364" s="4"/>
      <c r="T364" s="4"/>
      <c r="U364" s="4"/>
      <c r="V364" s="4"/>
      <c r="W364" s="4"/>
    </row>
    <row r="365" spans="1:23" ht="14.5" hidden="1" customHeight="1" x14ac:dyDescent="0.2">
      <c r="A365">
        <f t="shared" si="5"/>
        <v>359</v>
      </c>
      <c r="B365">
        <v>2011</v>
      </c>
      <c r="C365" t="s">
        <v>184</v>
      </c>
      <c r="D365" t="s">
        <v>444</v>
      </c>
      <c r="E365" s="22">
        <v>160</v>
      </c>
      <c r="H365" t="s">
        <v>142</v>
      </c>
      <c r="J365" t="s">
        <v>6</v>
      </c>
      <c r="K365" t="s">
        <v>219</v>
      </c>
      <c r="M365" s="4"/>
      <c r="N365" s="2"/>
      <c r="O365" s="21"/>
      <c r="P365" s="2"/>
      <c r="Q365" s="2"/>
      <c r="R365" s="4"/>
      <c r="S365" s="4"/>
      <c r="T365" s="4"/>
      <c r="U365" s="4"/>
      <c r="V365" s="4"/>
      <c r="W365" s="4"/>
    </row>
    <row r="366" spans="1:23" ht="14.5" hidden="1" customHeight="1" x14ac:dyDescent="0.2">
      <c r="A366">
        <f t="shared" si="5"/>
        <v>360</v>
      </c>
      <c r="B366">
        <v>2011</v>
      </c>
      <c r="C366" t="s">
        <v>184</v>
      </c>
      <c r="D366" t="s">
        <v>444</v>
      </c>
      <c r="E366" s="22">
        <v>280</v>
      </c>
      <c r="G366" t="s">
        <v>2524</v>
      </c>
      <c r="H366" t="s">
        <v>149</v>
      </c>
      <c r="I366" t="s">
        <v>182</v>
      </c>
      <c r="J366" t="s">
        <v>54</v>
      </c>
      <c r="K366" t="s">
        <v>201</v>
      </c>
      <c r="M366" s="4"/>
      <c r="N366" s="2"/>
      <c r="O366" s="21"/>
      <c r="P366" s="2"/>
      <c r="Q366" s="2"/>
      <c r="R366" s="4"/>
      <c r="S366" s="4"/>
      <c r="T366" s="4"/>
      <c r="U366" s="4"/>
      <c r="V366" s="4"/>
      <c r="W366" s="4"/>
    </row>
    <row r="367" spans="1:23" ht="14.5" hidden="1" customHeight="1" x14ac:dyDescent="0.2">
      <c r="A367">
        <f t="shared" si="5"/>
        <v>361</v>
      </c>
      <c r="B367">
        <v>2011</v>
      </c>
      <c r="C367" t="s">
        <v>184</v>
      </c>
      <c r="D367" t="s">
        <v>196</v>
      </c>
      <c r="E367" s="22">
        <v>170</v>
      </c>
      <c r="H367" t="s">
        <v>154</v>
      </c>
      <c r="I367" t="s">
        <v>194</v>
      </c>
      <c r="J367" t="s">
        <v>34</v>
      </c>
      <c r="K367" t="s">
        <v>219</v>
      </c>
      <c r="M367" s="4"/>
      <c r="N367" s="2"/>
      <c r="O367" s="21"/>
      <c r="P367" s="2"/>
      <c r="Q367" s="2"/>
      <c r="R367" s="4"/>
      <c r="S367" s="4"/>
      <c r="T367" s="4"/>
      <c r="U367" s="4"/>
      <c r="V367" s="4"/>
      <c r="W367" s="4"/>
    </row>
    <row r="368" spans="1:23" ht="14.5" hidden="1" customHeight="1" x14ac:dyDescent="0.2">
      <c r="A368">
        <f t="shared" si="5"/>
        <v>362</v>
      </c>
      <c r="B368">
        <v>2011</v>
      </c>
      <c r="C368" t="s">
        <v>184</v>
      </c>
      <c r="D368" t="s">
        <v>2525</v>
      </c>
      <c r="E368" s="22">
        <v>300</v>
      </c>
      <c r="H368" t="s">
        <v>151</v>
      </c>
      <c r="I368" t="s">
        <v>279</v>
      </c>
      <c r="J368" t="s">
        <v>5</v>
      </c>
      <c r="K368" t="s">
        <v>214</v>
      </c>
      <c r="M368" s="4"/>
      <c r="N368" s="2"/>
      <c r="O368" s="21"/>
      <c r="P368" s="2"/>
      <c r="Q368" s="2"/>
      <c r="R368" s="4"/>
      <c r="S368" s="4"/>
      <c r="T368" s="4"/>
      <c r="U368" s="4"/>
      <c r="V368" s="4"/>
      <c r="W368" s="4"/>
    </row>
    <row r="369" spans="1:23" ht="14.5" hidden="1" customHeight="1" x14ac:dyDescent="0.2">
      <c r="A369">
        <f t="shared" si="5"/>
        <v>363</v>
      </c>
      <c r="B369">
        <v>2011</v>
      </c>
      <c r="C369" t="s">
        <v>184</v>
      </c>
      <c r="D369" t="s">
        <v>397</v>
      </c>
      <c r="E369" s="22">
        <v>200</v>
      </c>
      <c r="H369" t="s">
        <v>153</v>
      </c>
      <c r="J369" t="s">
        <v>5</v>
      </c>
      <c r="K369" t="s">
        <v>214</v>
      </c>
      <c r="M369" s="4"/>
      <c r="N369" s="2"/>
      <c r="O369" s="21"/>
      <c r="P369" s="2"/>
      <c r="Q369" s="2"/>
      <c r="R369" s="4"/>
      <c r="S369" s="4"/>
      <c r="T369" s="4"/>
      <c r="U369" s="4"/>
      <c r="V369" s="4"/>
      <c r="W369" s="4"/>
    </row>
    <row r="370" spans="1:23" ht="14.5" hidden="1" customHeight="1" x14ac:dyDescent="0.2">
      <c r="A370">
        <f t="shared" si="5"/>
        <v>364</v>
      </c>
      <c r="B370">
        <v>2011</v>
      </c>
      <c r="C370" t="s">
        <v>184</v>
      </c>
      <c r="D370" t="s">
        <v>397</v>
      </c>
      <c r="E370" s="22">
        <v>450</v>
      </c>
      <c r="H370" t="s">
        <v>154</v>
      </c>
      <c r="I370" t="s">
        <v>250</v>
      </c>
      <c r="J370" t="s">
        <v>93</v>
      </c>
      <c r="K370" t="s">
        <v>201</v>
      </c>
      <c r="M370" s="4"/>
      <c r="N370" s="2"/>
      <c r="O370" s="21"/>
      <c r="P370" s="2"/>
      <c r="Q370" s="2"/>
      <c r="R370" s="4"/>
      <c r="S370" s="4"/>
      <c r="T370" s="4"/>
      <c r="U370" s="4"/>
      <c r="V370" s="4"/>
      <c r="W370" s="4"/>
    </row>
    <row r="371" spans="1:23" ht="14.5" hidden="1" customHeight="1" x14ac:dyDescent="0.2">
      <c r="A371">
        <f t="shared" si="5"/>
        <v>365</v>
      </c>
      <c r="B371">
        <v>2011</v>
      </c>
      <c r="C371" t="s">
        <v>184</v>
      </c>
      <c r="D371" t="s">
        <v>399</v>
      </c>
      <c r="E371" s="22">
        <v>1010</v>
      </c>
      <c r="H371" t="s">
        <v>144</v>
      </c>
      <c r="J371" t="s">
        <v>55</v>
      </c>
      <c r="K371" t="s">
        <v>214</v>
      </c>
      <c r="M371" s="4"/>
      <c r="N371" s="2"/>
      <c r="O371" s="21"/>
      <c r="P371" s="2"/>
      <c r="Q371" s="2"/>
      <c r="R371" s="4"/>
      <c r="S371" s="4"/>
      <c r="T371" s="4"/>
      <c r="U371" s="4"/>
      <c r="V371" s="4"/>
      <c r="W371" s="4"/>
    </row>
    <row r="372" spans="1:23" ht="14.5" hidden="1" customHeight="1" x14ac:dyDescent="0.2">
      <c r="A372">
        <f t="shared" si="5"/>
        <v>366</v>
      </c>
      <c r="B372">
        <v>2011</v>
      </c>
      <c r="C372" t="s">
        <v>184</v>
      </c>
      <c r="D372" t="s">
        <v>337</v>
      </c>
      <c r="E372" s="22">
        <v>1490</v>
      </c>
      <c r="G372" t="s">
        <v>2526</v>
      </c>
      <c r="H372" t="s">
        <v>144</v>
      </c>
      <c r="I372" t="s">
        <v>273</v>
      </c>
      <c r="J372" t="s">
        <v>136</v>
      </c>
      <c r="K372" t="s">
        <v>183</v>
      </c>
      <c r="M372" s="4"/>
      <c r="N372" s="2"/>
      <c r="O372" s="21"/>
      <c r="P372" s="2"/>
      <c r="Q372" s="2"/>
      <c r="R372" s="4"/>
      <c r="S372" s="4"/>
      <c r="T372" s="4"/>
      <c r="U372" s="4"/>
      <c r="V372" s="4"/>
      <c r="W372" s="4"/>
    </row>
    <row r="373" spans="1:23" ht="14.5" hidden="1" customHeight="1" x14ac:dyDescent="0.2">
      <c r="A373">
        <f t="shared" si="5"/>
        <v>367</v>
      </c>
      <c r="B373">
        <v>2011</v>
      </c>
      <c r="C373" t="s">
        <v>184</v>
      </c>
      <c r="D373" t="s">
        <v>444</v>
      </c>
      <c r="E373" s="22">
        <v>180</v>
      </c>
      <c r="H373" t="s">
        <v>154</v>
      </c>
      <c r="I373" t="s">
        <v>194</v>
      </c>
      <c r="J373" t="s">
        <v>138</v>
      </c>
      <c r="K373" t="s">
        <v>219</v>
      </c>
      <c r="M373" s="4"/>
      <c r="N373" s="2"/>
      <c r="O373" s="21"/>
      <c r="P373" s="2"/>
      <c r="Q373" s="2"/>
      <c r="R373" s="4"/>
      <c r="S373" s="4"/>
      <c r="T373" s="4"/>
      <c r="U373" s="4"/>
      <c r="V373" s="4"/>
      <c r="W373" s="4"/>
    </row>
    <row r="374" spans="1:23" ht="14.5" hidden="1" customHeight="1" x14ac:dyDescent="0.2">
      <c r="A374">
        <f t="shared" si="5"/>
        <v>368</v>
      </c>
      <c r="B374">
        <v>2011</v>
      </c>
      <c r="C374" t="s">
        <v>184</v>
      </c>
      <c r="D374" t="s">
        <v>444</v>
      </c>
      <c r="E374" s="22">
        <v>860</v>
      </c>
      <c r="H374" t="s">
        <v>150</v>
      </c>
      <c r="I374" t="s">
        <v>226</v>
      </c>
      <c r="J374" t="s">
        <v>14</v>
      </c>
      <c r="K374" t="s">
        <v>195</v>
      </c>
      <c r="M374" s="4"/>
      <c r="N374" s="2"/>
      <c r="O374" s="21"/>
      <c r="P374" s="2"/>
      <c r="Q374" s="2"/>
      <c r="R374" s="4"/>
      <c r="S374" s="4"/>
      <c r="T374" s="4"/>
      <c r="U374" s="4"/>
      <c r="V374" s="4"/>
      <c r="W374" s="4"/>
    </row>
    <row r="375" spans="1:23" ht="14.5" hidden="1" customHeight="1" x14ac:dyDescent="0.2">
      <c r="A375">
        <f t="shared" si="5"/>
        <v>369</v>
      </c>
      <c r="B375">
        <v>2011</v>
      </c>
      <c r="C375" t="s">
        <v>184</v>
      </c>
      <c r="D375" t="s">
        <v>2402</v>
      </c>
      <c r="E375" s="22">
        <v>170</v>
      </c>
      <c r="G375" t="s">
        <v>1188</v>
      </c>
      <c r="H375" t="s">
        <v>144</v>
      </c>
      <c r="I375" t="s">
        <v>273</v>
      </c>
      <c r="J375" t="s">
        <v>53</v>
      </c>
      <c r="K375" t="s">
        <v>183</v>
      </c>
      <c r="M375" s="4"/>
      <c r="N375" s="2"/>
      <c r="O375" s="21"/>
      <c r="P375" s="2"/>
      <c r="Q375" s="2"/>
      <c r="R375" s="4"/>
      <c r="S375" s="4"/>
      <c r="T375" s="4"/>
      <c r="U375" s="4"/>
      <c r="V375" s="4"/>
      <c r="W375" s="4"/>
    </row>
    <row r="376" spans="1:23" ht="14.5" hidden="1" customHeight="1" x14ac:dyDescent="0.2">
      <c r="A376">
        <f t="shared" si="5"/>
        <v>370</v>
      </c>
      <c r="B376">
        <v>2011</v>
      </c>
      <c r="C376" t="s">
        <v>184</v>
      </c>
      <c r="D376" t="s">
        <v>1234</v>
      </c>
      <c r="E376" s="22">
        <v>830</v>
      </c>
      <c r="F376" s="16">
        <v>0.5</v>
      </c>
      <c r="G376" t="s">
        <v>2506</v>
      </c>
      <c r="H376" t="s">
        <v>144</v>
      </c>
      <c r="I376" t="s">
        <v>273</v>
      </c>
      <c r="J376" t="s">
        <v>72</v>
      </c>
      <c r="K376" t="s">
        <v>183</v>
      </c>
      <c r="M376" s="4"/>
      <c r="N376" s="2"/>
      <c r="O376" s="21"/>
      <c r="P376" s="2"/>
      <c r="Q376" s="2"/>
      <c r="R376" s="4"/>
      <c r="S376" s="4"/>
      <c r="T376" s="4"/>
      <c r="U376" s="4"/>
      <c r="V376" s="4"/>
      <c r="W376" s="4"/>
    </row>
    <row r="377" spans="1:23" ht="14.5" hidden="1" customHeight="1" x14ac:dyDescent="0.2">
      <c r="A377">
        <f t="shared" si="5"/>
        <v>371</v>
      </c>
      <c r="B377">
        <v>2011</v>
      </c>
      <c r="C377" t="s">
        <v>184</v>
      </c>
      <c r="D377" t="s">
        <v>557</v>
      </c>
      <c r="E377" s="22">
        <v>180</v>
      </c>
      <c r="F377" s="16">
        <v>0.5</v>
      </c>
      <c r="G377" t="s">
        <v>2527</v>
      </c>
      <c r="H377" t="s">
        <v>151</v>
      </c>
      <c r="I377" t="s">
        <v>279</v>
      </c>
      <c r="J377" t="s">
        <v>53</v>
      </c>
      <c r="K377" t="s">
        <v>183</v>
      </c>
      <c r="M377" s="4"/>
      <c r="N377" s="2"/>
      <c r="O377" s="21"/>
      <c r="P377" s="2"/>
      <c r="Q377" s="2"/>
      <c r="R377" s="4"/>
      <c r="S377" s="4"/>
      <c r="T377" s="4"/>
      <c r="U377" s="4"/>
      <c r="V377" s="4"/>
      <c r="W377" s="4"/>
    </row>
    <row r="378" spans="1:23" ht="14.5" hidden="1" customHeight="1" x14ac:dyDescent="0.2">
      <c r="A378">
        <f t="shared" si="5"/>
        <v>372</v>
      </c>
      <c r="B378">
        <v>2011</v>
      </c>
      <c r="C378" t="s">
        <v>184</v>
      </c>
      <c r="D378" t="s">
        <v>246</v>
      </c>
      <c r="E378" s="22">
        <v>100</v>
      </c>
      <c r="H378" t="s">
        <v>154</v>
      </c>
      <c r="I378" t="s">
        <v>194</v>
      </c>
      <c r="J378" t="s">
        <v>24</v>
      </c>
      <c r="K378" t="s">
        <v>219</v>
      </c>
      <c r="M378" s="4"/>
      <c r="N378" s="2"/>
      <c r="O378" s="21"/>
      <c r="P378" s="2"/>
      <c r="Q378" s="2"/>
      <c r="R378" s="4"/>
      <c r="S378" s="4"/>
      <c r="T378" s="4"/>
      <c r="U378" s="4"/>
      <c r="V378" s="4"/>
      <c r="W378" s="4"/>
    </row>
    <row r="379" spans="1:23" ht="14.5" hidden="1" customHeight="1" x14ac:dyDescent="0.2">
      <c r="A379">
        <f t="shared" si="5"/>
        <v>373</v>
      </c>
      <c r="B379">
        <v>2011</v>
      </c>
      <c r="C379" t="s">
        <v>184</v>
      </c>
      <c r="D379" t="s">
        <v>244</v>
      </c>
      <c r="E379" s="22">
        <v>100</v>
      </c>
      <c r="G379" t="s">
        <v>2528</v>
      </c>
      <c r="H379" t="s">
        <v>149</v>
      </c>
      <c r="I379" t="s">
        <v>182</v>
      </c>
      <c r="J379" t="s">
        <v>54</v>
      </c>
      <c r="K379" t="s">
        <v>201</v>
      </c>
      <c r="M379" s="4"/>
      <c r="N379" s="2"/>
      <c r="O379" s="21"/>
      <c r="P379" s="2"/>
      <c r="Q379" s="2"/>
      <c r="R379" s="4"/>
      <c r="S379" s="4"/>
      <c r="T379" s="4"/>
      <c r="U379" s="4"/>
      <c r="V379" s="4"/>
      <c r="W379" s="4"/>
    </row>
    <row r="380" spans="1:23" ht="14.5" hidden="1" customHeight="1" x14ac:dyDescent="0.2">
      <c r="A380">
        <f t="shared" si="5"/>
        <v>374</v>
      </c>
      <c r="B380">
        <v>2011</v>
      </c>
      <c r="C380" t="s">
        <v>184</v>
      </c>
      <c r="D380" t="s">
        <v>189</v>
      </c>
      <c r="E380" s="22">
        <v>100</v>
      </c>
      <c r="G380" t="s">
        <v>2002</v>
      </c>
      <c r="H380" t="s">
        <v>144</v>
      </c>
      <c r="I380" t="s">
        <v>187</v>
      </c>
      <c r="J380" t="s">
        <v>105</v>
      </c>
      <c r="K380" t="s">
        <v>214</v>
      </c>
      <c r="M380" s="4"/>
      <c r="N380" s="2"/>
      <c r="O380" s="21"/>
      <c r="P380" s="2"/>
      <c r="Q380" s="2"/>
      <c r="R380" s="4"/>
      <c r="S380" s="4"/>
      <c r="T380" s="4"/>
      <c r="U380" s="4"/>
      <c r="V380" s="4"/>
      <c r="W380" s="4"/>
    </row>
    <row r="381" spans="1:23" ht="14.5" hidden="1" customHeight="1" x14ac:dyDescent="0.2">
      <c r="A381">
        <f t="shared" si="5"/>
        <v>375</v>
      </c>
      <c r="B381">
        <v>2011</v>
      </c>
      <c r="C381" t="s">
        <v>184</v>
      </c>
      <c r="D381" t="s">
        <v>483</v>
      </c>
      <c r="E381" s="22">
        <v>590</v>
      </c>
      <c r="H381" t="s">
        <v>154</v>
      </c>
      <c r="I381" t="s">
        <v>529</v>
      </c>
      <c r="J381" t="s">
        <v>54</v>
      </c>
      <c r="K381" t="s">
        <v>201</v>
      </c>
      <c r="M381" s="4"/>
      <c r="N381" s="2"/>
      <c r="O381" s="21"/>
      <c r="P381" s="2"/>
      <c r="Q381" s="2"/>
      <c r="R381" s="4"/>
      <c r="S381" s="4"/>
      <c r="T381" s="4"/>
      <c r="U381" s="4"/>
      <c r="V381" s="4"/>
      <c r="W381" s="4"/>
    </row>
    <row r="382" spans="1:23" ht="14.5" hidden="1" customHeight="1" x14ac:dyDescent="0.2">
      <c r="A382">
        <f t="shared" si="5"/>
        <v>376</v>
      </c>
      <c r="B382">
        <v>2011</v>
      </c>
      <c r="C382" t="s">
        <v>225</v>
      </c>
      <c r="D382" t="s">
        <v>2529</v>
      </c>
      <c r="E382" s="22">
        <v>100</v>
      </c>
      <c r="H382" t="s">
        <v>144</v>
      </c>
      <c r="I382" t="s">
        <v>232</v>
      </c>
      <c r="J382" t="s">
        <v>123</v>
      </c>
      <c r="K382" t="s">
        <v>219</v>
      </c>
      <c r="M382" s="4"/>
      <c r="N382" s="2"/>
      <c r="O382" s="21"/>
      <c r="P382" s="2"/>
      <c r="Q382" s="2"/>
      <c r="R382" s="4"/>
      <c r="S382" s="4"/>
      <c r="T382" s="4"/>
      <c r="U382" s="4"/>
      <c r="V382" s="4"/>
      <c r="W382" s="4"/>
    </row>
    <row r="383" spans="1:23" ht="14.5" hidden="1" customHeight="1" x14ac:dyDescent="0.2">
      <c r="A383">
        <f t="shared" si="5"/>
        <v>377</v>
      </c>
      <c r="B383">
        <v>2011</v>
      </c>
      <c r="C383" t="s">
        <v>225</v>
      </c>
      <c r="D383" t="s">
        <v>246</v>
      </c>
      <c r="E383" s="22">
        <v>200</v>
      </c>
      <c r="G383" t="s">
        <v>2530</v>
      </c>
      <c r="H383" t="s">
        <v>144</v>
      </c>
      <c r="I383" t="s">
        <v>197</v>
      </c>
      <c r="J383" t="s">
        <v>24</v>
      </c>
      <c r="K383" t="s">
        <v>219</v>
      </c>
      <c r="M383" s="4"/>
      <c r="N383" s="2"/>
      <c r="O383" s="21"/>
      <c r="P383" s="2"/>
      <c r="Q383" s="2"/>
      <c r="R383" s="4"/>
      <c r="S383" s="4"/>
      <c r="T383" s="4"/>
      <c r="U383" s="4"/>
      <c r="V383" s="4"/>
      <c r="W383" s="4"/>
    </row>
    <row r="384" spans="1:23" ht="14.5" hidden="1" customHeight="1" x14ac:dyDescent="0.2">
      <c r="A384">
        <f t="shared" si="5"/>
        <v>378</v>
      </c>
      <c r="B384">
        <v>2011</v>
      </c>
      <c r="C384" t="s">
        <v>225</v>
      </c>
      <c r="D384" t="s">
        <v>2402</v>
      </c>
      <c r="E384" s="22">
        <v>990</v>
      </c>
      <c r="G384" t="s">
        <v>1188</v>
      </c>
      <c r="H384" t="s">
        <v>144</v>
      </c>
      <c r="I384" t="s">
        <v>197</v>
      </c>
      <c r="J384" t="s">
        <v>53</v>
      </c>
      <c r="K384" t="s">
        <v>183</v>
      </c>
      <c r="M384" s="4"/>
      <c r="N384" s="2"/>
      <c r="O384" s="21"/>
      <c r="P384" s="2"/>
      <c r="Q384" s="2"/>
      <c r="R384" s="4"/>
      <c r="S384" s="4"/>
      <c r="T384" s="4"/>
      <c r="U384" s="4"/>
      <c r="V384" s="4"/>
      <c r="W384" s="4"/>
    </row>
    <row r="385" spans="1:23" ht="14.5" hidden="1" customHeight="1" x14ac:dyDescent="0.2">
      <c r="A385">
        <f t="shared" si="5"/>
        <v>379</v>
      </c>
      <c r="B385">
        <v>2011</v>
      </c>
      <c r="C385" t="s">
        <v>225</v>
      </c>
      <c r="D385" t="s">
        <v>444</v>
      </c>
      <c r="E385" s="22">
        <v>370</v>
      </c>
      <c r="H385" t="s">
        <v>154</v>
      </c>
      <c r="I385" t="s">
        <v>194</v>
      </c>
      <c r="J385" t="s">
        <v>133</v>
      </c>
      <c r="K385" t="s">
        <v>195</v>
      </c>
      <c r="M385" s="4"/>
      <c r="N385" s="2"/>
      <c r="O385" s="21"/>
      <c r="P385" s="2"/>
      <c r="Q385" s="2"/>
      <c r="R385" s="4"/>
      <c r="S385" s="4"/>
      <c r="T385" s="4"/>
      <c r="U385" s="4"/>
      <c r="V385" s="4"/>
      <c r="W385" s="4"/>
    </row>
    <row r="386" spans="1:23" ht="14.5" hidden="1" customHeight="1" x14ac:dyDescent="0.2">
      <c r="A386">
        <f t="shared" si="5"/>
        <v>380</v>
      </c>
      <c r="B386">
        <v>2011</v>
      </c>
      <c r="C386" t="s">
        <v>225</v>
      </c>
      <c r="D386" t="s">
        <v>336</v>
      </c>
      <c r="E386" s="22">
        <v>1770</v>
      </c>
      <c r="H386" t="s">
        <v>144</v>
      </c>
      <c r="J386" t="s">
        <v>93</v>
      </c>
      <c r="K386" t="s">
        <v>201</v>
      </c>
      <c r="M386" s="4"/>
      <c r="N386" s="2"/>
      <c r="O386" s="21"/>
      <c r="P386" s="2"/>
      <c r="Q386" s="2"/>
      <c r="R386" s="4"/>
      <c r="S386" s="4"/>
      <c r="T386" s="4"/>
      <c r="U386" s="4"/>
      <c r="V386" s="4"/>
      <c r="W386" s="4"/>
    </row>
    <row r="387" spans="1:23" ht="14.5" hidden="1" customHeight="1" x14ac:dyDescent="0.2">
      <c r="A387">
        <f t="shared" si="5"/>
        <v>381</v>
      </c>
      <c r="B387">
        <v>2011</v>
      </c>
      <c r="C387" t="s">
        <v>188</v>
      </c>
      <c r="D387" t="s">
        <v>2402</v>
      </c>
      <c r="E387" s="22">
        <v>270</v>
      </c>
      <c r="H387" t="s">
        <v>155</v>
      </c>
      <c r="J387" t="s">
        <v>46</v>
      </c>
      <c r="K387" t="s">
        <v>219</v>
      </c>
      <c r="M387" s="4"/>
      <c r="N387" s="2"/>
      <c r="O387" s="21"/>
      <c r="P387" s="2"/>
      <c r="Q387" s="2"/>
      <c r="R387" s="4"/>
      <c r="S387" s="4"/>
      <c r="T387" s="4"/>
      <c r="U387" s="4"/>
      <c r="V387" s="4"/>
      <c r="W387" s="4"/>
    </row>
    <row r="388" spans="1:23" ht="14.5" hidden="1" customHeight="1" x14ac:dyDescent="0.2">
      <c r="A388">
        <f t="shared" si="5"/>
        <v>382</v>
      </c>
      <c r="B388">
        <v>2011</v>
      </c>
      <c r="C388" t="s">
        <v>188</v>
      </c>
      <c r="D388" t="s">
        <v>199</v>
      </c>
      <c r="E388" s="22">
        <v>170</v>
      </c>
      <c r="G388" t="s">
        <v>2531</v>
      </c>
      <c r="H388" t="s">
        <v>144</v>
      </c>
      <c r="I388" t="s">
        <v>187</v>
      </c>
      <c r="J388" t="s">
        <v>55</v>
      </c>
      <c r="K388" t="s">
        <v>214</v>
      </c>
      <c r="M388" s="4"/>
      <c r="N388" s="2"/>
      <c r="O388" s="21"/>
      <c r="P388" s="2"/>
      <c r="Q388" s="2"/>
      <c r="R388" s="4"/>
      <c r="S388" s="4"/>
      <c r="T388" s="4"/>
      <c r="U388" s="4"/>
      <c r="V388" s="4"/>
      <c r="W388" s="4"/>
    </row>
    <row r="389" spans="1:23" ht="14.5" hidden="1" customHeight="1" x14ac:dyDescent="0.2">
      <c r="A389">
        <f t="shared" si="5"/>
        <v>383</v>
      </c>
      <c r="B389">
        <v>2011</v>
      </c>
      <c r="C389" t="s">
        <v>188</v>
      </c>
      <c r="D389" t="s">
        <v>612</v>
      </c>
      <c r="E389" s="22">
        <v>100</v>
      </c>
      <c r="H389" t="s">
        <v>151</v>
      </c>
      <c r="I389" t="s">
        <v>279</v>
      </c>
      <c r="J389" t="s">
        <v>139</v>
      </c>
      <c r="K389" t="s">
        <v>219</v>
      </c>
      <c r="M389" s="4"/>
      <c r="N389" s="2"/>
      <c r="O389" s="21"/>
      <c r="P389" s="2"/>
      <c r="Q389" s="2"/>
      <c r="R389" s="4"/>
      <c r="S389" s="4"/>
      <c r="T389" s="4"/>
      <c r="U389" s="4"/>
      <c r="V389" s="4"/>
      <c r="W389" s="4"/>
    </row>
    <row r="390" spans="1:23" ht="14.5" hidden="1" customHeight="1" x14ac:dyDescent="0.2">
      <c r="A390">
        <f t="shared" si="5"/>
        <v>384</v>
      </c>
      <c r="B390">
        <v>2011</v>
      </c>
      <c r="C390" t="s">
        <v>188</v>
      </c>
      <c r="D390" t="s">
        <v>2505</v>
      </c>
      <c r="E390" s="22">
        <v>120</v>
      </c>
      <c r="H390" t="s">
        <v>144</v>
      </c>
      <c r="I390" t="s">
        <v>232</v>
      </c>
      <c r="J390" t="s">
        <v>40</v>
      </c>
      <c r="K390" t="s">
        <v>219</v>
      </c>
      <c r="M390" s="4"/>
      <c r="N390" s="2"/>
      <c r="O390" s="21"/>
      <c r="P390" s="2"/>
      <c r="Q390" s="2"/>
      <c r="R390" s="4"/>
      <c r="S390" s="4"/>
      <c r="T390" s="4"/>
      <c r="U390" s="4"/>
      <c r="V390" s="4"/>
      <c r="W390" s="4"/>
    </row>
    <row r="391" spans="1:23" ht="14.5" hidden="1" customHeight="1" x14ac:dyDescent="0.2">
      <c r="A391">
        <f t="shared" ref="A391:A454" si="6">ROW()-6</f>
        <v>385</v>
      </c>
      <c r="B391">
        <v>2011</v>
      </c>
      <c r="C391" t="s">
        <v>188</v>
      </c>
      <c r="D391" t="s">
        <v>397</v>
      </c>
      <c r="E391" s="22">
        <v>700</v>
      </c>
      <c r="H391" t="s">
        <v>151</v>
      </c>
      <c r="I391" t="s">
        <v>279</v>
      </c>
      <c r="J391" t="s">
        <v>5</v>
      </c>
      <c r="K391" t="s">
        <v>214</v>
      </c>
      <c r="M391" s="4"/>
      <c r="N391" s="2"/>
      <c r="O391" s="21"/>
      <c r="P391" s="2"/>
      <c r="Q391" s="2"/>
      <c r="R391" s="4"/>
      <c r="S391" s="4"/>
      <c r="T391" s="4"/>
      <c r="U391" s="4"/>
      <c r="V391" s="4"/>
      <c r="W391" s="4"/>
    </row>
    <row r="392" spans="1:23" ht="14.5" hidden="1" customHeight="1" x14ac:dyDescent="0.2">
      <c r="A392">
        <f t="shared" si="6"/>
        <v>386</v>
      </c>
      <c r="B392">
        <v>2011</v>
      </c>
      <c r="C392" t="s">
        <v>188</v>
      </c>
      <c r="D392" t="s">
        <v>444</v>
      </c>
      <c r="E392" s="22">
        <v>250</v>
      </c>
      <c r="H392" t="s">
        <v>142</v>
      </c>
      <c r="J392" t="s">
        <v>133</v>
      </c>
      <c r="K392" t="s">
        <v>195</v>
      </c>
      <c r="M392" s="4"/>
      <c r="N392" s="2"/>
      <c r="O392" s="21"/>
      <c r="P392" s="2"/>
      <c r="Q392" s="2"/>
      <c r="R392" s="4"/>
      <c r="S392" s="4"/>
      <c r="T392" s="4"/>
      <c r="U392" s="4"/>
      <c r="V392" s="4"/>
      <c r="W392" s="4"/>
    </row>
    <row r="393" spans="1:23" ht="14.5" hidden="1" customHeight="1" x14ac:dyDescent="0.2">
      <c r="A393">
        <f t="shared" si="6"/>
        <v>387</v>
      </c>
      <c r="B393">
        <v>2011</v>
      </c>
      <c r="C393" t="s">
        <v>188</v>
      </c>
      <c r="D393" t="s">
        <v>397</v>
      </c>
      <c r="E393" s="22">
        <v>180</v>
      </c>
      <c r="H393" t="s">
        <v>154</v>
      </c>
      <c r="I393" t="s">
        <v>529</v>
      </c>
      <c r="J393" t="s">
        <v>108</v>
      </c>
      <c r="K393" t="s">
        <v>183</v>
      </c>
      <c r="M393" s="4"/>
      <c r="N393" s="2"/>
      <c r="O393" s="21"/>
      <c r="P393" s="2"/>
      <c r="Q393" s="2"/>
      <c r="R393" s="4"/>
      <c r="S393" s="4"/>
      <c r="T393" s="4"/>
      <c r="U393" s="4"/>
      <c r="V393" s="4"/>
      <c r="W393" s="4"/>
    </row>
    <row r="394" spans="1:23" ht="14.5" hidden="1" customHeight="1" x14ac:dyDescent="0.2">
      <c r="A394">
        <f t="shared" si="6"/>
        <v>388</v>
      </c>
      <c r="B394">
        <v>2011</v>
      </c>
      <c r="C394" t="s">
        <v>188</v>
      </c>
      <c r="D394" t="s">
        <v>196</v>
      </c>
      <c r="E394" s="22">
        <v>1440</v>
      </c>
      <c r="H394" t="s">
        <v>144</v>
      </c>
      <c r="I394" t="s">
        <v>197</v>
      </c>
      <c r="J394" t="s">
        <v>133</v>
      </c>
      <c r="K394" t="s">
        <v>195</v>
      </c>
      <c r="M394" s="4"/>
      <c r="N394" s="2"/>
      <c r="O394" s="21"/>
      <c r="P394" s="2"/>
      <c r="Q394" s="2"/>
      <c r="R394" s="4"/>
      <c r="S394" s="4"/>
      <c r="T394" s="4"/>
      <c r="U394" s="4"/>
      <c r="V394" s="4"/>
      <c r="W394" s="4"/>
    </row>
    <row r="395" spans="1:23" ht="14.5" hidden="1" customHeight="1" x14ac:dyDescent="0.2">
      <c r="A395">
        <f t="shared" si="6"/>
        <v>389</v>
      </c>
      <c r="B395">
        <v>2011</v>
      </c>
      <c r="C395" t="s">
        <v>188</v>
      </c>
      <c r="D395" t="s">
        <v>444</v>
      </c>
      <c r="E395" s="22">
        <v>220</v>
      </c>
      <c r="H395" t="s">
        <v>144</v>
      </c>
      <c r="J395" t="s">
        <v>116</v>
      </c>
      <c r="K395" t="s">
        <v>214</v>
      </c>
      <c r="M395" s="4"/>
      <c r="N395" s="2"/>
      <c r="O395" s="21"/>
      <c r="P395" s="2"/>
      <c r="Q395" s="2"/>
      <c r="R395" s="4"/>
      <c r="S395" s="4"/>
      <c r="T395" s="4"/>
      <c r="U395" s="4"/>
      <c r="V395" s="4"/>
      <c r="W395" s="4"/>
    </row>
    <row r="396" spans="1:23" ht="14.5" hidden="1" customHeight="1" x14ac:dyDescent="0.2">
      <c r="A396">
        <f t="shared" si="6"/>
        <v>390</v>
      </c>
      <c r="B396">
        <v>2011</v>
      </c>
      <c r="C396" t="s">
        <v>188</v>
      </c>
      <c r="D396" t="s">
        <v>221</v>
      </c>
      <c r="E396" s="22">
        <v>150</v>
      </c>
      <c r="H396" t="s">
        <v>153</v>
      </c>
      <c r="J396" t="s">
        <v>6</v>
      </c>
      <c r="K396" t="s">
        <v>219</v>
      </c>
      <c r="M396" s="4"/>
      <c r="N396" s="2"/>
      <c r="O396" s="21"/>
      <c r="P396" s="2"/>
      <c r="Q396" s="2"/>
      <c r="R396" s="4"/>
      <c r="S396" s="4"/>
      <c r="T396" s="4"/>
      <c r="U396" s="4"/>
      <c r="V396" s="4"/>
      <c r="W396" s="4"/>
    </row>
    <row r="397" spans="1:23" ht="14.5" hidden="1" customHeight="1" x14ac:dyDescent="0.2">
      <c r="A397">
        <f t="shared" si="6"/>
        <v>391</v>
      </c>
      <c r="B397">
        <v>2011</v>
      </c>
      <c r="C397" t="s">
        <v>191</v>
      </c>
      <c r="D397" t="s">
        <v>668</v>
      </c>
      <c r="E397" s="22">
        <v>390</v>
      </c>
      <c r="G397" t="s">
        <v>2532</v>
      </c>
      <c r="H397" t="s">
        <v>144</v>
      </c>
      <c r="J397" t="s">
        <v>66</v>
      </c>
      <c r="K397" t="s">
        <v>201</v>
      </c>
      <c r="M397" s="4"/>
      <c r="N397" s="2"/>
      <c r="O397" s="21"/>
      <c r="P397" s="2"/>
      <c r="Q397" s="2"/>
      <c r="R397" s="4"/>
      <c r="S397" s="4"/>
      <c r="T397" s="4"/>
      <c r="U397" s="4"/>
      <c r="V397" s="4"/>
      <c r="W397" s="4"/>
    </row>
    <row r="398" spans="1:23" ht="14.5" hidden="1" customHeight="1" x14ac:dyDescent="0.2">
      <c r="A398">
        <f t="shared" si="6"/>
        <v>392</v>
      </c>
      <c r="B398">
        <v>2011</v>
      </c>
      <c r="C398" t="s">
        <v>191</v>
      </c>
      <c r="D398" t="s">
        <v>180</v>
      </c>
      <c r="E398" s="22">
        <v>240</v>
      </c>
      <c r="G398" t="s">
        <v>2533</v>
      </c>
      <c r="H398" t="s">
        <v>149</v>
      </c>
      <c r="I398" t="s">
        <v>182</v>
      </c>
      <c r="J398" t="s">
        <v>101</v>
      </c>
      <c r="K398" t="s">
        <v>201</v>
      </c>
      <c r="M398" s="4"/>
      <c r="N398" s="2"/>
      <c r="O398" s="21"/>
      <c r="P398" s="2"/>
      <c r="Q398" s="2"/>
      <c r="R398" s="4"/>
      <c r="S398" s="4"/>
      <c r="T398" s="4"/>
      <c r="U398" s="4"/>
      <c r="V398" s="4"/>
      <c r="W398" s="4"/>
    </row>
    <row r="399" spans="1:23" ht="14.5" hidden="1" customHeight="1" x14ac:dyDescent="0.2">
      <c r="A399">
        <f t="shared" si="6"/>
        <v>393</v>
      </c>
      <c r="B399">
        <v>2011</v>
      </c>
      <c r="C399" t="s">
        <v>191</v>
      </c>
      <c r="D399" t="s">
        <v>341</v>
      </c>
      <c r="E399" s="22">
        <v>200</v>
      </c>
      <c r="G399" t="s">
        <v>2534</v>
      </c>
      <c r="H399" t="s">
        <v>154</v>
      </c>
      <c r="I399" t="s">
        <v>529</v>
      </c>
      <c r="J399" t="s">
        <v>13</v>
      </c>
      <c r="K399" t="s">
        <v>201</v>
      </c>
      <c r="M399" s="4"/>
      <c r="N399" s="2"/>
      <c r="O399" s="21"/>
      <c r="P399" s="2"/>
      <c r="Q399" s="2"/>
      <c r="R399" s="4"/>
      <c r="S399" s="4"/>
      <c r="T399" s="4"/>
      <c r="U399" s="4"/>
      <c r="V399" s="4"/>
      <c r="W399" s="4"/>
    </row>
    <row r="400" spans="1:23" ht="14.5" hidden="1" customHeight="1" x14ac:dyDescent="0.2">
      <c r="A400">
        <f t="shared" si="6"/>
        <v>394</v>
      </c>
      <c r="B400">
        <v>2011</v>
      </c>
      <c r="C400" t="s">
        <v>191</v>
      </c>
      <c r="D400" t="s">
        <v>189</v>
      </c>
      <c r="E400" s="22">
        <v>200</v>
      </c>
      <c r="H400" t="s">
        <v>142</v>
      </c>
      <c r="J400" t="s">
        <v>105</v>
      </c>
      <c r="K400" t="s">
        <v>214</v>
      </c>
      <c r="M400" s="4"/>
      <c r="N400" s="2"/>
      <c r="O400" s="21"/>
      <c r="P400" s="2"/>
      <c r="Q400" s="2"/>
      <c r="R400" s="4"/>
      <c r="S400" s="4"/>
      <c r="T400" s="4"/>
      <c r="U400" s="4"/>
      <c r="V400" s="4"/>
      <c r="W400" s="4"/>
    </row>
    <row r="401" spans="1:23" ht="14.5" hidden="1" customHeight="1" x14ac:dyDescent="0.2">
      <c r="A401">
        <f t="shared" si="6"/>
        <v>395</v>
      </c>
      <c r="B401">
        <v>2011</v>
      </c>
      <c r="C401" t="s">
        <v>191</v>
      </c>
      <c r="D401" t="s">
        <v>756</v>
      </c>
      <c r="E401" s="22">
        <v>330</v>
      </c>
      <c r="H401" t="s">
        <v>155</v>
      </c>
      <c r="J401" t="s">
        <v>72</v>
      </c>
      <c r="K401" t="s">
        <v>183</v>
      </c>
      <c r="M401" s="4"/>
      <c r="N401" s="2"/>
      <c r="O401" s="21"/>
      <c r="P401" s="2"/>
      <c r="Q401" s="2"/>
      <c r="R401" s="4"/>
      <c r="S401" s="4"/>
      <c r="T401" s="4"/>
      <c r="U401" s="4"/>
      <c r="V401" s="4"/>
      <c r="W401" s="4"/>
    </row>
    <row r="402" spans="1:23" ht="14.5" hidden="1" customHeight="1" x14ac:dyDescent="0.2">
      <c r="A402">
        <f t="shared" si="6"/>
        <v>396</v>
      </c>
      <c r="B402">
        <v>2011</v>
      </c>
      <c r="C402" t="s">
        <v>191</v>
      </c>
      <c r="D402" t="s">
        <v>449</v>
      </c>
      <c r="E402" s="22">
        <v>870</v>
      </c>
      <c r="H402" t="s">
        <v>154</v>
      </c>
      <c r="I402" t="s">
        <v>529</v>
      </c>
      <c r="J402" t="s">
        <v>89</v>
      </c>
      <c r="K402" t="s">
        <v>219</v>
      </c>
      <c r="M402" s="4"/>
      <c r="N402" s="2"/>
      <c r="O402" s="21"/>
      <c r="P402" s="2"/>
      <c r="Q402" s="2"/>
      <c r="R402" s="4"/>
      <c r="S402" s="4"/>
      <c r="T402" s="4"/>
      <c r="U402" s="4"/>
      <c r="V402" s="4"/>
      <c r="W402" s="4"/>
    </row>
    <row r="403" spans="1:23" ht="14.5" hidden="1" customHeight="1" x14ac:dyDescent="0.2">
      <c r="A403">
        <f t="shared" si="6"/>
        <v>397</v>
      </c>
      <c r="B403">
        <v>2011</v>
      </c>
      <c r="C403" t="s">
        <v>198</v>
      </c>
      <c r="D403" t="s">
        <v>246</v>
      </c>
      <c r="E403" s="22">
        <v>450</v>
      </c>
      <c r="H403" t="s">
        <v>144</v>
      </c>
      <c r="I403" t="s">
        <v>197</v>
      </c>
      <c r="J403" t="s">
        <v>48</v>
      </c>
      <c r="K403" t="s">
        <v>219</v>
      </c>
      <c r="M403" s="4"/>
      <c r="N403" s="2"/>
      <c r="O403" s="21"/>
      <c r="P403" s="2"/>
      <c r="Q403" s="2"/>
      <c r="R403" s="4"/>
      <c r="S403" s="4"/>
      <c r="T403" s="4"/>
      <c r="U403" s="4"/>
      <c r="V403" s="4"/>
      <c r="W403" s="4"/>
    </row>
    <row r="404" spans="1:23" ht="14.25" hidden="1" customHeight="1" x14ac:dyDescent="0.2">
      <c r="A404">
        <f t="shared" si="6"/>
        <v>398</v>
      </c>
      <c r="B404">
        <v>2011</v>
      </c>
      <c r="C404" t="s">
        <v>198</v>
      </c>
      <c r="D404" t="s">
        <v>2535</v>
      </c>
      <c r="E404" s="22">
        <v>1300</v>
      </c>
      <c r="G404" t="s">
        <v>2461</v>
      </c>
      <c r="H404" t="s">
        <v>144</v>
      </c>
      <c r="I404" t="s">
        <v>273</v>
      </c>
      <c r="J404" t="s">
        <v>136</v>
      </c>
      <c r="K404" t="s">
        <v>183</v>
      </c>
      <c r="M404" s="4"/>
      <c r="N404" s="2"/>
      <c r="O404" s="21"/>
      <c r="P404" s="2"/>
      <c r="Q404" s="2"/>
      <c r="R404" s="4"/>
      <c r="S404" s="4"/>
      <c r="T404" s="4"/>
      <c r="U404" s="4"/>
      <c r="V404" s="4"/>
      <c r="W404" s="4"/>
    </row>
    <row r="405" spans="1:23" ht="14.5" hidden="1" customHeight="1" x14ac:dyDescent="0.2">
      <c r="A405">
        <f t="shared" si="6"/>
        <v>399</v>
      </c>
      <c r="B405">
        <v>2011</v>
      </c>
      <c r="C405" t="s">
        <v>198</v>
      </c>
      <c r="D405" t="s">
        <v>444</v>
      </c>
      <c r="E405" s="22">
        <v>150</v>
      </c>
      <c r="H405" t="s">
        <v>142</v>
      </c>
      <c r="J405" t="s">
        <v>116</v>
      </c>
      <c r="K405" t="s">
        <v>214</v>
      </c>
      <c r="M405" s="4"/>
      <c r="N405" s="2"/>
      <c r="O405" s="21"/>
      <c r="P405" s="2"/>
      <c r="Q405" s="2"/>
      <c r="R405" s="4"/>
      <c r="S405" s="4"/>
      <c r="T405" s="4"/>
      <c r="U405" s="4"/>
      <c r="V405" s="4"/>
      <c r="W405" s="4"/>
    </row>
    <row r="406" spans="1:23" ht="14.5" hidden="1" customHeight="1" x14ac:dyDescent="0.2">
      <c r="A406">
        <f t="shared" si="6"/>
        <v>400</v>
      </c>
      <c r="B406">
        <v>2011</v>
      </c>
      <c r="C406" t="s">
        <v>198</v>
      </c>
      <c r="D406" t="s">
        <v>196</v>
      </c>
      <c r="E406" s="22">
        <v>270</v>
      </c>
      <c r="G406" t="s">
        <v>2536</v>
      </c>
      <c r="H406" t="s">
        <v>149</v>
      </c>
      <c r="J406" t="s">
        <v>88</v>
      </c>
      <c r="K406" t="s">
        <v>219</v>
      </c>
      <c r="M406" s="4"/>
      <c r="N406" s="2"/>
      <c r="O406" s="21"/>
      <c r="P406" s="2"/>
      <c r="Q406" s="2"/>
      <c r="R406" s="4"/>
      <c r="S406" s="4"/>
      <c r="T406" s="4"/>
      <c r="U406" s="4"/>
      <c r="V406" s="4"/>
      <c r="W406" s="4"/>
    </row>
    <row r="407" spans="1:23" ht="14.5" hidden="1" customHeight="1" x14ac:dyDescent="0.2">
      <c r="A407">
        <f t="shared" si="6"/>
        <v>401</v>
      </c>
      <c r="B407">
        <v>2011</v>
      </c>
      <c r="C407" t="s">
        <v>198</v>
      </c>
      <c r="D407" t="s">
        <v>449</v>
      </c>
      <c r="E407" s="22">
        <v>340</v>
      </c>
      <c r="H407" t="s">
        <v>154</v>
      </c>
      <c r="I407" t="s">
        <v>529</v>
      </c>
      <c r="J407" t="s">
        <v>44</v>
      </c>
      <c r="K407" t="s">
        <v>201</v>
      </c>
      <c r="M407" s="4"/>
      <c r="N407" s="2"/>
      <c r="O407" s="21"/>
      <c r="P407" s="2"/>
      <c r="Q407" s="2"/>
      <c r="R407" s="4"/>
      <c r="S407" s="4"/>
      <c r="T407" s="4"/>
      <c r="U407" s="4"/>
      <c r="V407" s="4"/>
      <c r="W407" s="4"/>
    </row>
    <row r="408" spans="1:23" ht="14.5" hidden="1" customHeight="1" x14ac:dyDescent="0.2">
      <c r="A408">
        <f t="shared" si="6"/>
        <v>402</v>
      </c>
      <c r="B408">
        <v>2011</v>
      </c>
      <c r="C408" t="s">
        <v>198</v>
      </c>
      <c r="D408" t="s">
        <v>479</v>
      </c>
      <c r="E408" s="22">
        <v>100</v>
      </c>
      <c r="H408" t="s">
        <v>142</v>
      </c>
      <c r="J408" t="s">
        <v>116</v>
      </c>
      <c r="K408" t="s">
        <v>214</v>
      </c>
      <c r="M408" s="79"/>
      <c r="N408" s="2"/>
      <c r="O408" s="21"/>
      <c r="P408" s="2"/>
      <c r="Q408" s="2"/>
      <c r="R408" s="4"/>
      <c r="S408" s="4"/>
      <c r="T408" s="4"/>
      <c r="U408" s="4"/>
      <c r="V408" s="4"/>
      <c r="W408" s="4"/>
    </row>
    <row r="409" spans="1:23" ht="14.5" hidden="1" customHeight="1" x14ac:dyDescent="0.2">
      <c r="A409">
        <f t="shared" si="6"/>
        <v>403</v>
      </c>
      <c r="B409">
        <v>2011</v>
      </c>
      <c r="C409" t="s">
        <v>198</v>
      </c>
      <c r="D409" t="s">
        <v>189</v>
      </c>
      <c r="E409" s="22">
        <v>130</v>
      </c>
      <c r="G409" t="s">
        <v>625</v>
      </c>
      <c r="H409" t="s">
        <v>143</v>
      </c>
      <c r="J409" t="s">
        <v>105</v>
      </c>
      <c r="K409" t="s">
        <v>214</v>
      </c>
      <c r="M409" s="4"/>
      <c r="N409" s="2"/>
      <c r="O409" s="21"/>
      <c r="P409" s="2"/>
      <c r="Q409" s="2"/>
      <c r="R409" s="4"/>
      <c r="S409" s="4"/>
      <c r="T409" s="4"/>
      <c r="U409" s="4"/>
      <c r="V409" s="4"/>
      <c r="W409" s="4"/>
    </row>
    <row r="410" spans="1:23" ht="14.5" hidden="1" customHeight="1" x14ac:dyDescent="0.2">
      <c r="A410">
        <f t="shared" si="6"/>
        <v>404</v>
      </c>
      <c r="B410">
        <v>2011</v>
      </c>
      <c r="C410" t="s">
        <v>198</v>
      </c>
      <c r="D410" t="s">
        <v>397</v>
      </c>
      <c r="E410" s="22">
        <v>420</v>
      </c>
      <c r="H410" t="s">
        <v>154</v>
      </c>
      <c r="I410" t="s">
        <v>271</v>
      </c>
      <c r="J410" t="s">
        <v>36</v>
      </c>
      <c r="K410" t="s">
        <v>219</v>
      </c>
      <c r="M410" s="4"/>
      <c r="N410" s="2"/>
      <c r="O410" s="21"/>
      <c r="P410" s="2"/>
      <c r="Q410" s="2"/>
      <c r="R410" s="4"/>
      <c r="S410" s="4"/>
      <c r="T410" s="4"/>
      <c r="U410" s="4"/>
      <c r="V410" s="4"/>
      <c r="W410" s="4"/>
    </row>
    <row r="411" spans="1:23" ht="14.5" hidden="1" customHeight="1" x14ac:dyDescent="0.2">
      <c r="A411">
        <f t="shared" si="6"/>
        <v>405</v>
      </c>
      <c r="B411">
        <v>2011</v>
      </c>
      <c r="C411" t="s">
        <v>198</v>
      </c>
      <c r="D411" t="s">
        <v>175</v>
      </c>
      <c r="E411" s="22">
        <v>210</v>
      </c>
      <c r="G411" t="s">
        <v>2537</v>
      </c>
      <c r="H411" t="s">
        <v>151</v>
      </c>
      <c r="I411" t="s">
        <v>279</v>
      </c>
      <c r="J411" t="s">
        <v>72</v>
      </c>
      <c r="K411" t="s">
        <v>183</v>
      </c>
      <c r="M411" s="4"/>
      <c r="N411" s="2"/>
      <c r="O411" s="21"/>
      <c r="P411" s="2"/>
      <c r="Q411" s="2"/>
      <c r="R411" s="4"/>
      <c r="S411" s="4"/>
      <c r="T411" s="4"/>
      <c r="U411" s="4"/>
      <c r="V411" s="4"/>
      <c r="W411" s="4"/>
    </row>
    <row r="412" spans="1:23" ht="14.5" hidden="1" customHeight="1" x14ac:dyDescent="0.2">
      <c r="A412">
        <f t="shared" si="6"/>
        <v>406</v>
      </c>
      <c r="B412">
        <v>2011</v>
      </c>
      <c r="C412" t="s">
        <v>202</v>
      </c>
      <c r="D412" t="s">
        <v>2538</v>
      </c>
      <c r="E412" s="22">
        <v>100</v>
      </c>
      <c r="H412" t="s">
        <v>154</v>
      </c>
      <c r="I412" t="s">
        <v>194</v>
      </c>
      <c r="J412" t="s">
        <v>46</v>
      </c>
      <c r="K412" t="s">
        <v>219</v>
      </c>
      <c r="M412" s="4"/>
      <c r="N412" s="2"/>
      <c r="O412" s="21"/>
      <c r="P412" s="2"/>
      <c r="Q412" s="2"/>
      <c r="R412" s="4"/>
      <c r="S412" s="4"/>
      <c r="T412" s="4"/>
      <c r="U412" s="4"/>
      <c r="V412" s="4"/>
      <c r="W412" s="4"/>
    </row>
    <row r="413" spans="1:23" ht="14.5" hidden="1" customHeight="1" x14ac:dyDescent="0.2">
      <c r="A413">
        <f t="shared" si="6"/>
        <v>407</v>
      </c>
      <c r="B413">
        <v>2011</v>
      </c>
      <c r="C413" t="s">
        <v>202</v>
      </c>
      <c r="D413" t="s">
        <v>2539</v>
      </c>
      <c r="E413" s="22">
        <v>440</v>
      </c>
      <c r="H413" t="s">
        <v>151</v>
      </c>
      <c r="I413" t="s">
        <v>279</v>
      </c>
      <c r="J413" t="s">
        <v>81</v>
      </c>
      <c r="K413" t="s">
        <v>219</v>
      </c>
      <c r="M413" s="4"/>
      <c r="N413" s="2"/>
      <c r="O413" s="21"/>
      <c r="P413" s="2"/>
      <c r="Q413" s="2"/>
      <c r="R413" s="4"/>
      <c r="S413" s="4"/>
      <c r="T413" s="4"/>
      <c r="U413" s="4"/>
      <c r="V413" s="4"/>
      <c r="W413" s="4"/>
    </row>
    <row r="414" spans="1:23" ht="14.5" hidden="1" customHeight="1" x14ac:dyDescent="0.2">
      <c r="A414">
        <f t="shared" si="6"/>
        <v>408</v>
      </c>
      <c r="B414">
        <v>2011</v>
      </c>
      <c r="C414" t="s">
        <v>202</v>
      </c>
      <c r="D414" t="s">
        <v>479</v>
      </c>
      <c r="E414" s="22">
        <v>320</v>
      </c>
      <c r="G414" t="s">
        <v>2540</v>
      </c>
      <c r="H414" t="s">
        <v>154</v>
      </c>
      <c r="I414" t="s">
        <v>271</v>
      </c>
      <c r="J414" t="s">
        <v>135</v>
      </c>
      <c r="K414" t="s">
        <v>205</v>
      </c>
      <c r="M414" s="4"/>
      <c r="N414" s="2"/>
      <c r="O414" s="21"/>
      <c r="P414" s="2"/>
      <c r="Q414" s="2"/>
      <c r="R414" s="4"/>
      <c r="S414" s="4"/>
      <c r="T414" s="4"/>
      <c r="U414" s="4"/>
      <c r="V414" s="4"/>
      <c r="W414" s="4"/>
    </row>
    <row r="415" spans="1:23" ht="14.5" hidden="1" customHeight="1" x14ac:dyDescent="0.2">
      <c r="A415">
        <f t="shared" si="6"/>
        <v>409</v>
      </c>
      <c r="B415">
        <v>2011</v>
      </c>
      <c r="C415" t="s">
        <v>202</v>
      </c>
      <c r="D415" t="s">
        <v>1035</v>
      </c>
      <c r="E415" s="22">
        <v>160</v>
      </c>
      <c r="H415" t="s">
        <v>144</v>
      </c>
      <c r="I415" t="s">
        <v>197</v>
      </c>
      <c r="J415" t="s">
        <v>138</v>
      </c>
      <c r="K415" t="s">
        <v>219</v>
      </c>
      <c r="M415" s="4"/>
      <c r="N415" s="2"/>
      <c r="O415" s="21"/>
      <c r="P415" s="2"/>
      <c r="Q415" s="2"/>
      <c r="R415" s="4"/>
      <c r="S415" s="4"/>
      <c r="T415" s="4"/>
      <c r="U415" s="4"/>
      <c r="V415" s="4"/>
      <c r="W415" s="4"/>
    </row>
    <row r="416" spans="1:23" ht="14.5" hidden="1" customHeight="1" x14ac:dyDescent="0.2">
      <c r="A416">
        <f t="shared" si="6"/>
        <v>410</v>
      </c>
      <c r="B416">
        <v>2011</v>
      </c>
      <c r="C416" t="s">
        <v>202</v>
      </c>
      <c r="D416" t="s">
        <v>479</v>
      </c>
      <c r="E416" s="22">
        <v>220</v>
      </c>
      <c r="G416" t="s">
        <v>2541</v>
      </c>
      <c r="H416" t="s">
        <v>148</v>
      </c>
      <c r="J416" t="s">
        <v>77</v>
      </c>
      <c r="K416" t="s">
        <v>177</v>
      </c>
      <c r="M416" s="4"/>
      <c r="N416" s="2"/>
      <c r="O416" s="21"/>
      <c r="P416" s="2"/>
      <c r="Q416" s="2"/>
      <c r="R416" s="4"/>
      <c r="S416" s="4"/>
      <c r="T416" s="4"/>
      <c r="U416" s="4"/>
      <c r="V416" s="4"/>
      <c r="W416" s="4"/>
    </row>
    <row r="417" spans="1:23" ht="14.5" hidden="1" customHeight="1" x14ac:dyDescent="0.2">
      <c r="A417">
        <f t="shared" si="6"/>
        <v>411</v>
      </c>
      <c r="B417">
        <v>2011</v>
      </c>
      <c r="C417" t="s">
        <v>202</v>
      </c>
      <c r="D417" t="s">
        <v>199</v>
      </c>
      <c r="E417" s="22">
        <v>500</v>
      </c>
      <c r="F417" s="16">
        <v>0.5</v>
      </c>
      <c r="G417" t="s">
        <v>2542</v>
      </c>
      <c r="H417" t="s">
        <v>144</v>
      </c>
      <c r="I417" t="s">
        <v>299</v>
      </c>
      <c r="J417" t="s">
        <v>123</v>
      </c>
      <c r="K417" t="s">
        <v>219</v>
      </c>
      <c r="M417" s="4"/>
      <c r="N417" s="2"/>
      <c r="O417" s="21"/>
      <c r="P417" s="2"/>
      <c r="Q417" s="2"/>
      <c r="R417" s="4"/>
      <c r="S417" s="4"/>
      <c r="T417" s="4"/>
      <c r="U417" s="4"/>
      <c r="V417" s="4"/>
      <c r="W417" s="4"/>
    </row>
    <row r="418" spans="1:23" ht="14.5" hidden="1" customHeight="1" x14ac:dyDescent="0.2">
      <c r="A418">
        <f t="shared" si="6"/>
        <v>412</v>
      </c>
      <c r="B418">
        <v>2011</v>
      </c>
      <c r="C418" t="s">
        <v>202</v>
      </c>
      <c r="D418" t="s">
        <v>1035</v>
      </c>
      <c r="E418" s="22">
        <v>150</v>
      </c>
      <c r="F418" s="16">
        <v>0.5</v>
      </c>
      <c r="G418" t="s">
        <v>828</v>
      </c>
      <c r="H418" t="s">
        <v>144</v>
      </c>
      <c r="I418" t="s">
        <v>299</v>
      </c>
      <c r="J418" t="s">
        <v>38</v>
      </c>
      <c r="K418" t="s">
        <v>214</v>
      </c>
      <c r="M418" s="4"/>
      <c r="N418" s="2"/>
      <c r="O418" s="21"/>
      <c r="P418" s="2"/>
      <c r="Q418" s="2"/>
      <c r="R418" s="4"/>
      <c r="S418" s="4"/>
      <c r="T418" s="4"/>
      <c r="U418" s="4"/>
      <c r="V418" s="4"/>
      <c r="W418" s="4"/>
    </row>
    <row r="419" spans="1:23" ht="14.5" hidden="1" customHeight="1" x14ac:dyDescent="0.2">
      <c r="A419">
        <f t="shared" si="6"/>
        <v>413</v>
      </c>
      <c r="B419">
        <v>2011</v>
      </c>
      <c r="C419" t="s">
        <v>202</v>
      </c>
      <c r="D419" t="s">
        <v>444</v>
      </c>
      <c r="E419" s="22">
        <v>240</v>
      </c>
      <c r="H419" t="s">
        <v>150</v>
      </c>
      <c r="I419" t="s">
        <v>744</v>
      </c>
      <c r="J419" t="s">
        <v>6</v>
      </c>
      <c r="K419" t="s">
        <v>219</v>
      </c>
      <c r="M419" s="4"/>
      <c r="N419" s="2"/>
      <c r="O419" s="21"/>
      <c r="P419" s="2"/>
      <c r="Q419" s="2"/>
      <c r="R419" s="4"/>
      <c r="S419" s="4"/>
      <c r="T419" s="4"/>
      <c r="U419" s="4"/>
      <c r="V419" s="4"/>
      <c r="W419" s="4"/>
    </row>
    <row r="420" spans="1:23" ht="14.5" hidden="1" customHeight="1" x14ac:dyDescent="0.2">
      <c r="A420">
        <f t="shared" si="6"/>
        <v>414</v>
      </c>
      <c r="B420">
        <v>2011</v>
      </c>
      <c r="C420" t="s">
        <v>202</v>
      </c>
      <c r="D420" t="s">
        <v>474</v>
      </c>
      <c r="E420" s="22">
        <v>590</v>
      </c>
      <c r="H420" t="s">
        <v>142</v>
      </c>
      <c r="J420" t="s">
        <v>13</v>
      </c>
      <c r="K420" t="s">
        <v>201</v>
      </c>
      <c r="M420" s="4"/>
      <c r="N420" s="2"/>
      <c r="O420" s="21"/>
      <c r="P420" s="2"/>
      <c r="Q420" s="2"/>
      <c r="R420" s="4"/>
      <c r="S420" s="4"/>
      <c r="T420" s="4"/>
      <c r="U420" s="4"/>
      <c r="V420" s="4"/>
      <c r="W420" s="4"/>
    </row>
    <row r="421" spans="1:23" ht="14.5" hidden="1" customHeight="1" x14ac:dyDescent="0.2">
      <c r="A421">
        <f t="shared" si="6"/>
        <v>415</v>
      </c>
      <c r="B421">
        <v>2011</v>
      </c>
      <c r="C421" t="s">
        <v>202</v>
      </c>
      <c r="D421" t="s">
        <v>221</v>
      </c>
      <c r="E421" s="22">
        <v>1590</v>
      </c>
      <c r="H421" t="s">
        <v>151</v>
      </c>
      <c r="I421" t="s">
        <v>279</v>
      </c>
      <c r="J421" t="s">
        <v>135</v>
      </c>
      <c r="K421" t="s">
        <v>205</v>
      </c>
      <c r="M421" s="4"/>
      <c r="N421" s="2"/>
      <c r="O421" s="21"/>
      <c r="P421" s="2"/>
      <c r="Q421" s="2"/>
      <c r="R421" s="4"/>
      <c r="S421" s="4"/>
      <c r="T421" s="4"/>
      <c r="U421" s="4"/>
      <c r="V421" s="4"/>
      <c r="W421" s="4"/>
    </row>
    <row r="422" spans="1:23" ht="14.5" hidden="1" customHeight="1" x14ac:dyDescent="0.2">
      <c r="A422">
        <f t="shared" si="6"/>
        <v>416</v>
      </c>
      <c r="B422">
        <v>2011</v>
      </c>
      <c r="C422" t="s">
        <v>202</v>
      </c>
      <c r="D422" t="s">
        <v>2402</v>
      </c>
      <c r="E422" s="22">
        <v>110</v>
      </c>
      <c r="H422" t="s">
        <v>144</v>
      </c>
      <c r="I422" t="s">
        <v>197</v>
      </c>
      <c r="J422" t="s">
        <v>29</v>
      </c>
      <c r="K422" t="s">
        <v>219</v>
      </c>
      <c r="M422" s="4"/>
      <c r="N422" s="2"/>
      <c r="O422" s="21"/>
      <c r="P422" s="2"/>
      <c r="Q422" s="2"/>
      <c r="R422" s="4"/>
      <c r="S422" s="4"/>
      <c r="T422" s="4"/>
      <c r="U422" s="4"/>
      <c r="V422" s="4"/>
      <c r="W422" s="4"/>
    </row>
    <row r="423" spans="1:23" ht="14.5" hidden="1" customHeight="1" x14ac:dyDescent="0.2">
      <c r="A423">
        <f t="shared" si="6"/>
        <v>417</v>
      </c>
      <c r="B423">
        <v>2011</v>
      </c>
      <c r="C423" t="s">
        <v>207</v>
      </c>
      <c r="D423" t="s">
        <v>1035</v>
      </c>
      <c r="E423" s="22">
        <v>220</v>
      </c>
      <c r="G423" t="s">
        <v>2543</v>
      </c>
      <c r="H423" t="s">
        <v>144</v>
      </c>
      <c r="I423" t="s">
        <v>197</v>
      </c>
      <c r="J423" t="s">
        <v>37</v>
      </c>
      <c r="K423" t="s">
        <v>205</v>
      </c>
      <c r="M423" s="4"/>
      <c r="N423" s="2"/>
      <c r="O423" s="21"/>
      <c r="P423" s="2"/>
      <c r="Q423" s="2"/>
      <c r="R423" s="4"/>
      <c r="S423" s="4"/>
      <c r="T423" s="4"/>
      <c r="U423" s="4"/>
      <c r="V423" s="4"/>
      <c r="W423" s="4"/>
    </row>
    <row r="424" spans="1:23" ht="14.5" hidden="1" customHeight="1" x14ac:dyDescent="0.2">
      <c r="A424">
        <f t="shared" si="6"/>
        <v>418</v>
      </c>
      <c r="B424">
        <v>2011</v>
      </c>
      <c r="C424" t="s">
        <v>207</v>
      </c>
      <c r="D424" t="s">
        <v>246</v>
      </c>
      <c r="E424" s="22">
        <v>110</v>
      </c>
      <c r="H424" t="s">
        <v>144</v>
      </c>
      <c r="I424" t="s">
        <v>197</v>
      </c>
      <c r="J424" t="s">
        <v>76</v>
      </c>
      <c r="K424" t="s">
        <v>219</v>
      </c>
      <c r="M424" s="4"/>
      <c r="N424" s="2"/>
      <c r="O424" s="21"/>
      <c r="P424" s="2"/>
      <c r="Q424" s="2"/>
      <c r="R424" s="4"/>
      <c r="S424" s="4"/>
      <c r="T424" s="4"/>
      <c r="U424" s="4"/>
      <c r="V424" s="4"/>
      <c r="W424" s="4"/>
    </row>
    <row r="425" spans="1:23" ht="14.5" hidden="1" customHeight="1" x14ac:dyDescent="0.2">
      <c r="A425">
        <f t="shared" si="6"/>
        <v>419</v>
      </c>
      <c r="B425">
        <v>2011</v>
      </c>
      <c r="C425" t="s">
        <v>207</v>
      </c>
      <c r="D425" t="s">
        <v>444</v>
      </c>
      <c r="E425" s="22">
        <v>240</v>
      </c>
      <c r="H425" t="s">
        <v>144</v>
      </c>
      <c r="I425" t="s">
        <v>273</v>
      </c>
      <c r="J425" t="s">
        <v>28</v>
      </c>
      <c r="K425" t="s">
        <v>205</v>
      </c>
      <c r="M425" s="4"/>
      <c r="N425" s="2"/>
      <c r="O425" s="21"/>
      <c r="P425" s="2"/>
      <c r="Q425" s="2"/>
      <c r="R425" s="4"/>
      <c r="S425" s="4"/>
      <c r="T425" s="4"/>
      <c r="U425" s="4"/>
      <c r="V425" s="4"/>
      <c r="W425" s="4"/>
    </row>
    <row r="426" spans="1:23" ht="14.5" hidden="1" customHeight="1" x14ac:dyDescent="0.2">
      <c r="A426">
        <f t="shared" si="6"/>
        <v>420</v>
      </c>
      <c r="B426">
        <v>2011</v>
      </c>
      <c r="C426" t="s">
        <v>207</v>
      </c>
      <c r="D426" t="s">
        <v>479</v>
      </c>
      <c r="E426" s="22">
        <v>260</v>
      </c>
      <c r="G426" t="s">
        <v>2544</v>
      </c>
      <c r="H426" t="s">
        <v>148</v>
      </c>
      <c r="J426" t="s">
        <v>135</v>
      </c>
      <c r="K426" t="s">
        <v>205</v>
      </c>
      <c r="M426" s="4"/>
      <c r="N426" s="2"/>
      <c r="O426" s="21"/>
      <c r="P426" s="2"/>
      <c r="Q426" s="2"/>
      <c r="R426" s="4"/>
      <c r="S426" s="4"/>
      <c r="T426" s="4"/>
      <c r="U426" s="4"/>
      <c r="V426" s="4"/>
      <c r="W426" s="4"/>
    </row>
    <row r="427" spans="1:23" ht="14.5" hidden="1" customHeight="1" x14ac:dyDescent="0.2">
      <c r="A427">
        <f t="shared" si="6"/>
        <v>421</v>
      </c>
      <c r="B427">
        <v>2011</v>
      </c>
      <c r="C427" t="s">
        <v>207</v>
      </c>
      <c r="D427" t="s">
        <v>444</v>
      </c>
      <c r="E427" s="22">
        <v>340</v>
      </c>
      <c r="G427" t="s">
        <v>2545</v>
      </c>
      <c r="H427" t="s">
        <v>144</v>
      </c>
      <c r="I427" t="s">
        <v>299</v>
      </c>
      <c r="J427" t="s">
        <v>123</v>
      </c>
      <c r="K427" t="s">
        <v>219</v>
      </c>
      <c r="M427" s="4"/>
      <c r="N427" s="2"/>
      <c r="O427" s="21"/>
      <c r="P427" s="2"/>
      <c r="Q427" s="2"/>
      <c r="R427" s="4"/>
      <c r="S427" s="4"/>
      <c r="T427" s="4"/>
      <c r="U427" s="4"/>
      <c r="V427" s="4"/>
      <c r="W427" s="4"/>
    </row>
    <row r="428" spans="1:23" ht="14.5" hidden="1" customHeight="1" x14ac:dyDescent="0.2">
      <c r="A428">
        <f t="shared" si="6"/>
        <v>422</v>
      </c>
      <c r="B428">
        <v>2011</v>
      </c>
      <c r="C428" t="s">
        <v>207</v>
      </c>
      <c r="D428" t="s">
        <v>246</v>
      </c>
      <c r="E428" s="22">
        <v>240</v>
      </c>
      <c r="H428" t="s">
        <v>144</v>
      </c>
      <c r="I428" t="s">
        <v>197</v>
      </c>
      <c r="J428" t="s">
        <v>93</v>
      </c>
      <c r="K428" t="s">
        <v>201</v>
      </c>
      <c r="M428" s="4"/>
      <c r="N428" s="2"/>
      <c r="O428" s="21"/>
      <c r="P428" s="2"/>
      <c r="Q428" s="2"/>
      <c r="R428" s="4"/>
      <c r="S428" s="4"/>
      <c r="T428" s="4"/>
      <c r="U428" s="4"/>
      <c r="V428" s="4"/>
      <c r="W428" s="4"/>
    </row>
    <row r="429" spans="1:23" ht="14.5" hidden="1" customHeight="1" x14ac:dyDescent="0.2">
      <c r="A429">
        <f t="shared" si="6"/>
        <v>423</v>
      </c>
      <c r="B429">
        <v>2011</v>
      </c>
      <c r="C429" t="s">
        <v>207</v>
      </c>
      <c r="D429" t="s">
        <v>397</v>
      </c>
      <c r="E429" s="22">
        <v>140</v>
      </c>
      <c r="G429" t="s">
        <v>2546</v>
      </c>
      <c r="H429" t="s">
        <v>151</v>
      </c>
      <c r="I429" t="s">
        <v>279</v>
      </c>
      <c r="J429" t="s">
        <v>136</v>
      </c>
      <c r="K429" t="s">
        <v>183</v>
      </c>
      <c r="M429" s="4"/>
      <c r="N429" s="2"/>
      <c r="O429" s="21"/>
      <c r="P429" s="2"/>
      <c r="Q429" s="2"/>
      <c r="R429" s="4"/>
      <c r="S429" s="4"/>
      <c r="T429" s="4"/>
      <c r="U429" s="4"/>
      <c r="V429" s="4"/>
      <c r="W429" s="4"/>
    </row>
    <row r="430" spans="1:23" ht="14.5" hidden="1" customHeight="1" x14ac:dyDescent="0.2">
      <c r="A430">
        <f t="shared" si="6"/>
        <v>424</v>
      </c>
      <c r="B430">
        <v>2011</v>
      </c>
      <c r="C430" t="s">
        <v>207</v>
      </c>
      <c r="D430" t="s">
        <v>397</v>
      </c>
      <c r="E430" s="22">
        <v>120</v>
      </c>
      <c r="H430" t="s">
        <v>151</v>
      </c>
      <c r="I430" t="s">
        <v>279</v>
      </c>
      <c r="J430" t="s">
        <v>100</v>
      </c>
      <c r="K430" t="s">
        <v>214</v>
      </c>
      <c r="M430" s="4"/>
      <c r="N430" s="2"/>
      <c r="O430" s="21"/>
      <c r="P430" s="2"/>
      <c r="Q430" s="2"/>
      <c r="R430" s="4"/>
      <c r="S430" s="4"/>
      <c r="T430" s="4"/>
      <c r="U430" s="4"/>
      <c r="V430" s="4"/>
      <c r="W430" s="4"/>
    </row>
    <row r="431" spans="1:23" ht="14.5" hidden="1" customHeight="1" x14ac:dyDescent="0.2">
      <c r="A431">
        <f t="shared" si="6"/>
        <v>425</v>
      </c>
      <c r="B431">
        <v>2011</v>
      </c>
      <c r="C431" t="s">
        <v>207</v>
      </c>
      <c r="D431" t="s">
        <v>397</v>
      </c>
      <c r="E431" s="22">
        <v>120</v>
      </c>
      <c r="H431" t="s">
        <v>153</v>
      </c>
      <c r="J431" t="s">
        <v>5</v>
      </c>
      <c r="K431" t="s">
        <v>214</v>
      </c>
      <c r="M431" s="4"/>
      <c r="N431" s="2"/>
      <c r="O431" s="21"/>
      <c r="P431" s="2"/>
      <c r="Q431" s="2"/>
      <c r="R431" s="4"/>
      <c r="S431" s="4"/>
      <c r="T431" s="4"/>
      <c r="U431" s="4"/>
      <c r="V431" s="4"/>
      <c r="W431" s="4"/>
    </row>
    <row r="432" spans="1:23" ht="14.5" hidden="1" customHeight="1" x14ac:dyDescent="0.2">
      <c r="A432">
        <f t="shared" si="6"/>
        <v>426</v>
      </c>
      <c r="B432">
        <v>2011</v>
      </c>
      <c r="C432" t="s">
        <v>207</v>
      </c>
      <c r="D432" t="s">
        <v>397</v>
      </c>
      <c r="E432" s="22">
        <v>110</v>
      </c>
      <c r="H432" t="s">
        <v>147</v>
      </c>
      <c r="J432" t="s">
        <v>5</v>
      </c>
      <c r="K432" t="s">
        <v>214</v>
      </c>
      <c r="M432" s="4"/>
      <c r="N432" s="2"/>
      <c r="O432" s="21"/>
      <c r="P432" s="2"/>
      <c r="Q432" s="2"/>
      <c r="R432" s="4"/>
      <c r="S432" s="4"/>
      <c r="T432" s="4"/>
      <c r="U432" s="4"/>
      <c r="V432" s="4"/>
      <c r="W432" s="4"/>
    </row>
    <row r="433" spans="1:23" ht="14.5" hidden="1" customHeight="1" x14ac:dyDescent="0.2">
      <c r="A433">
        <f t="shared" si="6"/>
        <v>427</v>
      </c>
      <c r="B433">
        <v>2011</v>
      </c>
      <c r="C433" t="s">
        <v>207</v>
      </c>
      <c r="D433" t="s">
        <v>2547</v>
      </c>
      <c r="E433" s="22">
        <v>280</v>
      </c>
      <c r="H433" t="s">
        <v>144</v>
      </c>
      <c r="I433" t="s">
        <v>299</v>
      </c>
      <c r="J433" t="s">
        <v>81</v>
      </c>
      <c r="K433" t="s">
        <v>219</v>
      </c>
      <c r="M433" s="4"/>
      <c r="N433" s="2"/>
      <c r="O433" s="21"/>
      <c r="P433" s="2"/>
      <c r="Q433" s="2"/>
      <c r="R433" s="4"/>
      <c r="S433" s="4"/>
      <c r="T433" s="4"/>
      <c r="U433" s="4"/>
      <c r="V433" s="4"/>
      <c r="W433" s="4"/>
    </row>
    <row r="434" spans="1:23" ht="14.5" hidden="1" customHeight="1" x14ac:dyDescent="0.2">
      <c r="A434">
        <f t="shared" si="6"/>
        <v>428</v>
      </c>
      <c r="B434">
        <v>2011</v>
      </c>
      <c r="C434" t="s">
        <v>240</v>
      </c>
      <c r="D434" t="s">
        <v>397</v>
      </c>
      <c r="E434" s="22">
        <v>200</v>
      </c>
      <c r="H434" t="s">
        <v>151</v>
      </c>
      <c r="I434" t="s">
        <v>279</v>
      </c>
      <c r="J434" t="s">
        <v>40</v>
      </c>
      <c r="K434" t="s">
        <v>219</v>
      </c>
      <c r="M434" s="4"/>
      <c r="N434" s="2"/>
      <c r="O434" s="21"/>
      <c r="P434" s="2"/>
      <c r="Q434" s="2"/>
      <c r="R434" s="4"/>
      <c r="S434" s="4"/>
      <c r="T434" s="4"/>
      <c r="U434" s="4"/>
      <c r="V434" s="4"/>
      <c r="W434" s="4"/>
    </row>
    <row r="435" spans="1:23" ht="14.5" hidden="1" customHeight="1" x14ac:dyDescent="0.2">
      <c r="A435">
        <f t="shared" si="6"/>
        <v>429</v>
      </c>
      <c r="B435">
        <v>2011</v>
      </c>
      <c r="C435" t="s">
        <v>240</v>
      </c>
      <c r="D435" t="s">
        <v>2548</v>
      </c>
      <c r="E435" s="22">
        <v>100</v>
      </c>
      <c r="G435" t="s">
        <v>2549</v>
      </c>
      <c r="H435" t="s">
        <v>149</v>
      </c>
      <c r="J435" t="s">
        <v>72</v>
      </c>
      <c r="K435" t="s">
        <v>183</v>
      </c>
      <c r="M435" s="4"/>
      <c r="N435" s="2"/>
      <c r="O435" s="21"/>
      <c r="P435" s="2"/>
      <c r="Q435" s="2"/>
      <c r="R435" s="4"/>
      <c r="S435" s="4"/>
      <c r="T435" s="4"/>
      <c r="U435" s="4"/>
      <c r="V435" s="4"/>
      <c r="W435" s="4"/>
    </row>
    <row r="436" spans="1:23" ht="14.5" hidden="1" customHeight="1" x14ac:dyDescent="0.2">
      <c r="A436">
        <f t="shared" si="6"/>
        <v>430</v>
      </c>
      <c r="B436">
        <v>2011</v>
      </c>
      <c r="C436" t="s">
        <v>240</v>
      </c>
      <c r="D436" t="s">
        <v>1035</v>
      </c>
      <c r="E436" s="22">
        <v>240</v>
      </c>
      <c r="G436" t="s">
        <v>1188</v>
      </c>
      <c r="H436" t="s">
        <v>144</v>
      </c>
      <c r="I436" t="s">
        <v>273</v>
      </c>
      <c r="J436" t="s">
        <v>53</v>
      </c>
      <c r="K436" t="s">
        <v>183</v>
      </c>
      <c r="M436" s="4"/>
      <c r="N436" s="2"/>
      <c r="O436" s="21"/>
      <c r="P436" s="2"/>
      <c r="Q436" s="2"/>
      <c r="R436" s="4"/>
      <c r="S436" s="4"/>
      <c r="T436" s="4"/>
      <c r="U436" s="4"/>
      <c r="V436" s="4"/>
      <c r="W436" s="4"/>
    </row>
    <row r="437" spans="1:23" ht="14.5" hidden="1" customHeight="1" x14ac:dyDescent="0.2">
      <c r="A437">
        <f t="shared" si="6"/>
        <v>431</v>
      </c>
      <c r="B437">
        <v>2011</v>
      </c>
      <c r="C437" t="s">
        <v>240</v>
      </c>
      <c r="D437" t="s">
        <v>479</v>
      </c>
      <c r="E437" s="22">
        <v>140</v>
      </c>
      <c r="H437" t="s">
        <v>154</v>
      </c>
      <c r="I437" t="s">
        <v>250</v>
      </c>
      <c r="J437" t="s">
        <v>50</v>
      </c>
      <c r="K437" t="s">
        <v>205</v>
      </c>
      <c r="M437" s="4"/>
      <c r="N437" s="2"/>
      <c r="O437" s="21"/>
      <c r="P437" s="2"/>
      <c r="Q437" s="2"/>
      <c r="R437" s="4"/>
      <c r="S437" s="4"/>
      <c r="T437" s="4"/>
      <c r="U437" s="4"/>
      <c r="V437" s="4"/>
      <c r="W437" s="4"/>
    </row>
    <row r="438" spans="1:23" ht="14.5" hidden="1" customHeight="1" x14ac:dyDescent="0.2">
      <c r="A438">
        <f t="shared" si="6"/>
        <v>432</v>
      </c>
      <c r="B438">
        <v>2011</v>
      </c>
      <c r="C438" t="s">
        <v>240</v>
      </c>
      <c r="D438" t="s">
        <v>479</v>
      </c>
      <c r="E438" s="22">
        <v>460</v>
      </c>
      <c r="G438" t="s">
        <v>2550</v>
      </c>
      <c r="H438" t="s">
        <v>143</v>
      </c>
      <c r="J438" t="s">
        <v>135</v>
      </c>
      <c r="K438" t="s">
        <v>205</v>
      </c>
      <c r="M438" s="4"/>
      <c r="N438" s="2"/>
      <c r="O438" s="21"/>
      <c r="P438" s="2"/>
      <c r="Q438" s="2"/>
      <c r="R438" s="4"/>
      <c r="S438" s="4"/>
      <c r="T438" s="4"/>
      <c r="U438" s="4"/>
      <c r="V438" s="4"/>
      <c r="W438" s="4"/>
    </row>
    <row r="439" spans="1:23" ht="14.5" hidden="1" customHeight="1" x14ac:dyDescent="0.2">
      <c r="A439">
        <f t="shared" si="6"/>
        <v>433</v>
      </c>
      <c r="B439">
        <v>2011</v>
      </c>
      <c r="C439" t="s">
        <v>240</v>
      </c>
      <c r="D439" t="s">
        <v>479</v>
      </c>
      <c r="E439" s="22">
        <v>140</v>
      </c>
      <c r="H439" t="s">
        <v>154</v>
      </c>
      <c r="I439" t="s">
        <v>194</v>
      </c>
      <c r="J439" t="s">
        <v>115</v>
      </c>
      <c r="K439" t="s">
        <v>201</v>
      </c>
      <c r="M439" s="4"/>
      <c r="N439" s="2"/>
      <c r="O439" s="21"/>
      <c r="P439" s="2"/>
      <c r="Q439" s="2"/>
      <c r="R439" s="4"/>
      <c r="S439" s="4"/>
      <c r="T439" s="4"/>
      <c r="U439" s="4"/>
      <c r="V439" s="4"/>
      <c r="W439" s="4"/>
    </row>
    <row r="440" spans="1:23" ht="14.5" hidden="1" customHeight="1" x14ac:dyDescent="0.2">
      <c r="A440">
        <f t="shared" si="6"/>
        <v>434</v>
      </c>
      <c r="B440">
        <v>2011</v>
      </c>
      <c r="C440" t="s">
        <v>240</v>
      </c>
      <c r="D440" t="s">
        <v>444</v>
      </c>
      <c r="E440" s="22">
        <v>180</v>
      </c>
      <c r="H440" t="s">
        <v>142</v>
      </c>
      <c r="J440" t="s">
        <v>115</v>
      </c>
      <c r="K440" t="s">
        <v>201</v>
      </c>
      <c r="M440" s="4"/>
      <c r="N440" s="2"/>
      <c r="O440" s="21"/>
      <c r="P440" s="2"/>
      <c r="Q440" s="2"/>
      <c r="R440" s="4"/>
      <c r="S440" s="4"/>
      <c r="T440" s="4"/>
      <c r="U440" s="4"/>
      <c r="V440" s="4"/>
      <c r="W440" s="4"/>
    </row>
    <row r="441" spans="1:23" ht="14.5" hidden="1" customHeight="1" x14ac:dyDescent="0.2">
      <c r="A441">
        <f t="shared" si="6"/>
        <v>435</v>
      </c>
      <c r="B441">
        <v>2011</v>
      </c>
      <c r="C441" t="s">
        <v>240</v>
      </c>
      <c r="D441" t="s">
        <v>175</v>
      </c>
      <c r="E441" s="22">
        <v>110</v>
      </c>
      <c r="H441" t="s">
        <v>144</v>
      </c>
      <c r="I441" t="s">
        <v>197</v>
      </c>
      <c r="J441" t="s">
        <v>136</v>
      </c>
      <c r="K441" t="s">
        <v>183</v>
      </c>
      <c r="M441" s="4"/>
      <c r="N441" s="2"/>
      <c r="O441" s="21"/>
      <c r="P441" s="2"/>
      <c r="Q441" s="2"/>
      <c r="R441" s="4"/>
      <c r="S441" s="4"/>
      <c r="T441" s="4"/>
      <c r="U441" s="4"/>
      <c r="V441" s="4"/>
      <c r="W441" s="4"/>
    </row>
    <row r="442" spans="1:23" ht="14.5" hidden="1" customHeight="1" x14ac:dyDescent="0.2">
      <c r="A442">
        <f t="shared" si="6"/>
        <v>436</v>
      </c>
      <c r="B442">
        <v>2011</v>
      </c>
      <c r="C442" t="s">
        <v>240</v>
      </c>
      <c r="D442" t="s">
        <v>449</v>
      </c>
      <c r="E442" s="22">
        <v>400</v>
      </c>
      <c r="H442" t="s">
        <v>154</v>
      </c>
      <c r="I442" t="s">
        <v>529</v>
      </c>
      <c r="J442" t="s">
        <v>108</v>
      </c>
      <c r="K442" t="s">
        <v>183</v>
      </c>
      <c r="M442" s="4"/>
      <c r="N442" s="2"/>
      <c r="O442" s="21"/>
      <c r="P442" s="2"/>
      <c r="Q442" s="2"/>
      <c r="R442" s="4"/>
      <c r="S442" s="4"/>
      <c r="T442" s="4"/>
      <c r="U442" s="4"/>
      <c r="V442" s="4"/>
      <c r="W442" s="4"/>
    </row>
    <row r="443" spans="1:23" ht="14.5" hidden="1" customHeight="1" x14ac:dyDescent="0.2">
      <c r="A443">
        <f t="shared" si="6"/>
        <v>437</v>
      </c>
      <c r="B443">
        <v>2011</v>
      </c>
      <c r="C443" t="s">
        <v>240</v>
      </c>
      <c r="D443" t="s">
        <v>2414</v>
      </c>
      <c r="E443" s="22">
        <v>180</v>
      </c>
      <c r="H443" t="s">
        <v>151</v>
      </c>
      <c r="I443" t="s">
        <v>279</v>
      </c>
      <c r="J443" t="s">
        <v>105</v>
      </c>
      <c r="K443" t="s">
        <v>214</v>
      </c>
      <c r="M443" s="4"/>
      <c r="N443" s="2"/>
      <c r="O443" s="21"/>
      <c r="P443" s="2"/>
      <c r="Q443" s="2"/>
      <c r="R443" s="4"/>
      <c r="S443" s="4"/>
      <c r="T443" s="4"/>
      <c r="U443" s="4"/>
      <c r="V443" s="4"/>
      <c r="W443" s="4"/>
    </row>
    <row r="444" spans="1:23" ht="14.5" hidden="1" customHeight="1" x14ac:dyDescent="0.2">
      <c r="A444">
        <f t="shared" si="6"/>
        <v>438</v>
      </c>
      <c r="B444">
        <v>2011</v>
      </c>
      <c r="C444" t="s">
        <v>212</v>
      </c>
      <c r="D444" t="s">
        <v>703</v>
      </c>
      <c r="E444" s="22">
        <v>480</v>
      </c>
      <c r="G444" t="s">
        <v>2543</v>
      </c>
      <c r="H444" t="s">
        <v>144</v>
      </c>
      <c r="I444" t="s">
        <v>197</v>
      </c>
      <c r="J444" t="s">
        <v>37</v>
      </c>
      <c r="K444" t="s">
        <v>205</v>
      </c>
      <c r="M444" s="4"/>
      <c r="N444" s="2"/>
      <c r="O444" s="21"/>
      <c r="P444" s="2"/>
      <c r="Q444" s="2"/>
      <c r="R444" s="4"/>
      <c r="S444" s="4"/>
      <c r="T444" s="4"/>
      <c r="U444" s="4"/>
      <c r="V444" s="4"/>
      <c r="W444" s="4"/>
    </row>
    <row r="445" spans="1:23" ht="14.5" hidden="1" customHeight="1" x14ac:dyDescent="0.2">
      <c r="A445">
        <f t="shared" si="6"/>
        <v>439</v>
      </c>
      <c r="B445">
        <v>2011</v>
      </c>
      <c r="C445" t="s">
        <v>212</v>
      </c>
      <c r="D445" t="s">
        <v>479</v>
      </c>
      <c r="E445" s="22">
        <v>490</v>
      </c>
      <c r="G445" t="s">
        <v>450</v>
      </c>
      <c r="H445" t="s">
        <v>154</v>
      </c>
      <c r="I445" t="s">
        <v>529</v>
      </c>
      <c r="J445" t="s">
        <v>107</v>
      </c>
      <c r="K445" t="s">
        <v>219</v>
      </c>
      <c r="M445" s="4"/>
      <c r="N445" s="2"/>
      <c r="O445" s="21"/>
      <c r="P445" s="2"/>
      <c r="Q445" s="2"/>
      <c r="R445" s="4"/>
      <c r="S445" s="4"/>
      <c r="T445" s="4"/>
      <c r="U445" s="4"/>
      <c r="V445" s="4"/>
      <c r="W445" s="4"/>
    </row>
    <row r="446" spans="1:23" ht="14.5" hidden="1" customHeight="1" x14ac:dyDescent="0.2">
      <c r="A446">
        <f t="shared" si="6"/>
        <v>440</v>
      </c>
      <c r="B446">
        <v>2011</v>
      </c>
      <c r="C446" t="s">
        <v>212</v>
      </c>
      <c r="D446" t="s">
        <v>189</v>
      </c>
      <c r="E446" s="22">
        <v>850</v>
      </c>
      <c r="G446" t="s">
        <v>2393</v>
      </c>
      <c r="H446" t="s">
        <v>144</v>
      </c>
      <c r="I446" t="s">
        <v>187</v>
      </c>
      <c r="J446" t="s">
        <v>63</v>
      </c>
      <c r="K446" t="s">
        <v>201</v>
      </c>
      <c r="M446" s="4"/>
      <c r="N446" s="2"/>
      <c r="O446" s="21"/>
      <c r="P446" s="2"/>
      <c r="Q446" s="2"/>
      <c r="R446" s="4"/>
      <c r="S446" s="4"/>
      <c r="T446" s="4"/>
      <c r="U446" s="4"/>
      <c r="V446" s="4"/>
      <c r="W446" s="4"/>
    </row>
    <row r="447" spans="1:23" ht="14.5" hidden="1" customHeight="1" x14ac:dyDescent="0.2">
      <c r="A447">
        <f t="shared" si="6"/>
        <v>441</v>
      </c>
      <c r="B447">
        <v>2011</v>
      </c>
      <c r="C447" t="s">
        <v>212</v>
      </c>
      <c r="D447" t="s">
        <v>449</v>
      </c>
      <c r="E447" s="22">
        <v>5630</v>
      </c>
      <c r="H447" t="s">
        <v>154</v>
      </c>
      <c r="I447" t="s">
        <v>529</v>
      </c>
      <c r="J447" t="s">
        <v>26</v>
      </c>
      <c r="K447" t="s">
        <v>219</v>
      </c>
      <c r="M447" s="4"/>
      <c r="N447" s="2"/>
      <c r="O447" s="21"/>
      <c r="P447" s="2"/>
      <c r="Q447" s="2"/>
      <c r="R447" s="4"/>
      <c r="S447" s="4"/>
      <c r="T447" s="4"/>
      <c r="U447" s="4"/>
      <c r="V447" s="4"/>
      <c r="W447" s="4"/>
    </row>
    <row r="448" spans="1:23" ht="14.5" hidden="1" customHeight="1" x14ac:dyDescent="0.2">
      <c r="A448">
        <f t="shared" si="6"/>
        <v>442</v>
      </c>
      <c r="B448">
        <v>2011</v>
      </c>
      <c r="C448" t="s">
        <v>212</v>
      </c>
      <c r="D448" t="s">
        <v>1035</v>
      </c>
      <c r="E448" s="22">
        <v>130</v>
      </c>
      <c r="G448" t="s">
        <v>2551</v>
      </c>
      <c r="H448" t="s">
        <v>151</v>
      </c>
      <c r="I448" t="s">
        <v>279</v>
      </c>
      <c r="J448" t="s">
        <v>100</v>
      </c>
      <c r="K448" t="s">
        <v>214</v>
      </c>
      <c r="M448" s="4"/>
      <c r="N448" s="2"/>
      <c r="O448" s="21"/>
      <c r="P448" s="2"/>
      <c r="Q448" s="2"/>
      <c r="R448" s="4"/>
      <c r="S448" s="4"/>
      <c r="T448" s="4"/>
      <c r="U448" s="4"/>
      <c r="V448" s="4"/>
      <c r="W448" s="4"/>
    </row>
    <row r="449" spans="1:23" ht="14.5" hidden="1" customHeight="1" x14ac:dyDescent="0.2">
      <c r="A449">
        <f t="shared" si="6"/>
        <v>443</v>
      </c>
      <c r="B449">
        <v>2011</v>
      </c>
      <c r="C449" t="s">
        <v>212</v>
      </c>
      <c r="D449" t="s">
        <v>341</v>
      </c>
      <c r="E449" s="22">
        <v>690</v>
      </c>
      <c r="H449" t="s">
        <v>151</v>
      </c>
      <c r="I449" t="s">
        <v>279</v>
      </c>
      <c r="J449" t="s">
        <v>6</v>
      </c>
      <c r="K449" t="s">
        <v>219</v>
      </c>
      <c r="M449" s="4"/>
      <c r="N449" s="2"/>
      <c r="O449" s="21"/>
      <c r="P449" s="2"/>
      <c r="Q449" s="2"/>
      <c r="R449" s="4"/>
      <c r="S449" s="4"/>
      <c r="T449" s="4"/>
      <c r="U449" s="4"/>
      <c r="V449" s="4"/>
      <c r="W449" s="4"/>
    </row>
    <row r="450" spans="1:23" ht="14.5" hidden="1" customHeight="1" x14ac:dyDescent="0.2">
      <c r="A450">
        <f t="shared" si="6"/>
        <v>444</v>
      </c>
      <c r="B450">
        <v>2011</v>
      </c>
      <c r="C450" t="s">
        <v>212</v>
      </c>
      <c r="D450" t="s">
        <v>815</v>
      </c>
      <c r="E450" s="22">
        <v>260</v>
      </c>
      <c r="G450" t="s">
        <v>2552</v>
      </c>
      <c r="H450" t="s">
        <v>151</v>
      </c>
      <c r="I450" t="s">
        <v>279</v>
      </c>
      <c r="J450" t="s">
        <v>6</v>
      </c>
      <c r="K450" t="s">
        <v>219</v>
      </c>
      <c r="M450" s="4"/>
      <c r="N450" s="2"/>
      <c r="O450" s="21"/>
      <c r="P450" s="2"/>
      <c r="Q450" s="2"/>
      <c r="R450" s="4"/>
      <c r="S450" s="4"/>
      <c r="T450" s="4"/>
      <c r="U450" s="4"/>
      <c r="V450" s="4"/>
      <c r="W450" s="4"/>
    </row>
    <row r="451" spans="1:23" ht="14.5" hidden="1" customHeight="1" x14ac:dyDescent="0.2">
      <c r="A451">
        <f t="shared" si="6"/>
        <v>445</v>
      </c>
      <c r="B451">
        <v>2011</v>
      </c>
      <c r="C451" t="s">
        <v>212</v>
      </c>
      <c r="D451" t="s">
        <v>557</v>
      </c>
      <c r="E451" s="22">
        <v>350</v>
      </c>
      <c r="G451" t="s">
        <v>2553</v>
      </c>
      <c r="H451" t="s">
        <v>151</v>
      </c>
      <c r="I451" t="s">
        <v>279</v>
      </c>
      <c r="J451" t="s">
        <v>40</v>
      </c>
      <c r="K451" t="s">
        <v>219</v>
      </c>
      <c r="M451" s="4"/>
      <c r="N451" s="2"/>
      <c r="O451" s="21"/>
      <c r="P451" s="2"/>
      <c r="Q451" s="2"/>
      <c r="R451" s="4"/>
      <c r="S451" s="4"/>
      <c r="T451" s="4"/>
      <c r="U451" s="4"/>
      <c r="V451" s="4"/>
      <c r="W451" s="4"/>
    </row>
    <row r="452" spans="1:23" ht="14.5" hidden="1" customHeight="1" x14ac:dyDescent="0.2">
      <c r="A452">
        <f t="shared" si="6"/>
        <v>446</v>
      </c>
      <c r="B452">
        <v>2011</v>
      </c>
      <c r="C452" t="s">
        <v>212</v>
      </c>
      <c r="D452" t="s">
        <v>703</v>
      </c>
      <c r="E452" s="22">
        <v>100</v>
      </c>
      <c r="G452" t="s">
        <v>2543</v>
      </c>
      <c r="H452" t="s">
        <v>144</v>
      </c>
      <c r="I452" t="s">
        <v>187</v>
      </c>
      <c r="J452" t="s">
        <v>37</v>
      </c>
      <c r="K452" t="s">
        <v>205</v>
      </c>
      <c r="M452" s="4"/>
      <c r="N452" s="2"/>
      <c r="O452" s="21"/>
      <c r="P452" s="2"/>
      <c r="Q452" s="2"/>
      <c r="R452" s="4"/>
      <c r="S452" s="4"/>
      <c r="T452" s="4"/>
      <c r="U452" s="4"/>
      <c r="V452" s="4"/>
      <c r="W452" s="4"/>
    </row>
    <row r="453" spans="1:23" ht="14.5" hidden="1" customHeight="1" x14ac:dyDescent="0.2">
      <c r="A453">
        <f t="shared" si="6"/>
        <v>447</v>
      </c>
      <c r="B453">
        <v>2011</v>
      </c>
      <c r="C453" t="s">
        <v>212</v>
      </c>
      <c r="D453" t="s">
        <v>397</v>
      </c>
      <c r="E453" s="22">
        <v>110</v>
      </c>
      <c r="H453" t="s">
        <v>154</v>
      </c>
      <c r="I453" t="s">
        <v>194</v>
      </c>
      <c r="J453" t="s">
        <v>131</v>
      </c>
      <c r="K453" t="s">
        <v>131</v>
      </c>
      <c r="M453" s="4"/>
      <c r="N453" s="2"/>
      <c r="O453" s="21"/>
      <c r="P453" s="2"/>
      <c r="Q453" s="2"/>
      <c r="R453" s="4"/>
      <c r="S453" s="4"/>
      <c r="T453" s="4"/>
      <c r="U453" s="4"/>
      <c r="V453" s="4"/>
      <c r="W453" s="4"/>
    </row>
    <row r="454" spans="1:23" ht="14.5" hidden="1" customHeight="1" x14ac:dyDescent="0.2">
      <c r="A454">
        <f t="shared" si="6"/>
        <v>448</v>
      </c>
      <c r="B454">
        <v>2011</v>
      </c>
      <c r="C454" t="s">
        <v>212</v>
      </c>
      <c r="D454" t="s">
        <v>2389</v>
      </c>
      <c r="E454" s="22">
        <v>150</v>
      </c>
      <c r="H454" t="s">
        <v>154</v>
      </c>
      <c r="I454" t="s">
        <v>250</v>
      </c>
      <c r="J454" t="s">
        <v>125</v>
      </c>
      <c r="K454" t="s">
        <v>219</v>
      </c>
      <c r="M454" s="4"/>
      <c r="N454" s="2"/>
      <c r="O454" s="21"/>
      <c r="P454" s="2"/>
      <c r="Q454" s="2"/>
      <c r="R454" s="4"/>
      <c r="S454" s="4"/>
      <c r="T454" s="4"/>
      <c r="U454" s="4"/>
      <c r="V454" s="4"/>
      <c r="W454" s="4"/>
    </row>
    <row r="455" spans="1:23" ht="14.5" hidden="1" customHeight="1" x14ac:dyDescent="0.2">
      <c r="A455">
        <f t="shared" ref="A455:A518" si="7">ROW()-6</f>
        <v>449</v>
      </c>
      <c r="B455">
        <v>2011</v>
      </c>
      <c r="C455" t="s">
        <v>212</v>
      </c>
      <c r="D455" t="s">
        <v>180</v>
      </c>
      <c r="E455" s="22">
        <v>820</v>
      </c>
      <c r="G455" t="s">
        <v>2401</v>
      </c>
      <c r="H455" t="s">
        <v>149</v>
      </c>
      <c r="I455" t="s">
        <v>182</v>
      </c>
      <c r="J455" t="s">
        <v>9</v>
      </c>
      <c r="K455" t="s">
        <v>9</v>
      </c>
      <c r="M455" s="4"/>
      <c r="N455" s="2"/>
      <c r="O455" s="21"/>
      <c r="P455" s="2"/>
      <c r="Q455" s="2"/>
      <c r="R455" s="4"/>
      <c r="S455" s="4"/>
      <c r="T455" s="4"/>
      <c r="U455" s="4"/>
      <c r="V455" s="4"/>
      <c r="W455" s="4"/>
    </row>
    <row r="456" spans="1:23" ht="14.5" hidden="1" customHeight="1" x14ac:dyDescent="0.2">
      <c r="A456">
        <f t="shared" si="7"/>
        <v>450</v>
      </c>
      <c r="B456">
        <v>2011</v>
      </c>
      <c r="C456" t="s">
        <v>212</v>
      </c>
      <c r="D456" t="s">
        <v>449</v>
      </c>
      <c r="E456" s="22">
        <v>100</v>
      </c>
      <c r="H456" t="s">
        <v>154</v>
      </c>
      <c r="I456" t="s">
        <v>250</v>
      </c>
      <c r="J456" t="s">
        <v>7</v>
      </c>
      <c r="K456" t="s">
        <v>177</v>
      </c>
      <c r="M456" s="4"/>
      <c r="N456" s="2"/>
      <c r="O456" s="21"/>
      <c r="P456" s="2"/>
      <c r="Q456" s="2"/>
      <c r="R456" s="4"/>
      <c r="S456" s="4"/>
      <c r="T456" s="4"/>
      <c r="U456" s="4"/>
      <c r="V456" s="4"/>
      <c r="W456" s="4"/>
    </row>
    <row r="457" spans="1:23" ht="14.5" hidden="1" customHeight="1" x14ac:dyDescent="0.2">
      <c r="A457">
        <f t="shared" si="7"/>
        <v>451</v>
      </c>
      <c r="B457">
        <v>2012</v>
      </c>
      <c r="C457" t="s">
        <v>172</v>
      </c>
      <c r="D457" t="s">
        <v>875</v>
      </c>
      <c r="E457" s="22">
        <v>1400</v>
      </c>
      <c r="H457" t="s">
        <v>144</v>
      </c>
      <c r="I457" t="s">
        <v>197</v>
      </c>
      <c r="J457" t="s">
        <v>2554</v>
      </c>
      <c r="K457" t="s">
        <v>219</v>
      </c>
      <c r="M457" s="4"/>
      <c r="N457" s="2"/>
      <c r="O457" s="21"/>
      <c r="P457" s="2"/>
      <c r="Q457" s="2"/>
      <c r="R457" s="4"/>
      <c r="S457" s="4"/>
      <c r="T457" s="4"/>
      <c r="U457" s="4"/>
      <c r="V457" s="4"/>
      <c r="W457" s="4"/>
    </row>
    <row r="458" spans="1:23" ht="14.5" hidden="1" customHeight="1" x14ac:dyDescent="0.2">
      <c r="A458">
        <f t="shared" si="7"/>
        <v>452</v>
      </c>
      <c r="B458">
        <v>2012</v>
      </c>
      <c r="C458" t="s">
        <v>172</v>
      </c>
      <c r="D458" t="s">
        <v>1035</v>
      </c>
      <c r="E458" s="22">
        <v>440</v>
      </c>
      <c r="G458" t="s">
        <v>849</v>
      </c>
      <c r="H458" t="s">
        <v>144</v>
      </c>
      <c r="I458" t="s">
        <v>197</v>
      </c>
      <c r="J458" t="s">
        <v>67</v>
      </c>
      <c r="K458" t="s">
        <v>183</v>
      </c>
      <c r="M458" s="4"/>
      <c r="N458" s="2"/>
      <c r="O458" s="21"/>
      <c r="P458" s="2"/>
      <c r="Q458" s="2"/>
      <c r="R458" s="4"/>
      <c r="S458" s="4"/>
      <c r="T458" s="4"/>
      <c r="U458" s="4"/>
      <c r="V458" s="4"/>
      <c r="W458" s="4"/>
    </row>
    <row r="459" spans="1:23" ht="14.5" hidden="1" customHeight="1" x14ac:dyDescent="0.2">
      <c r="A459">
        <f t="shared" si="7"/>
        <v>453</v>
      </c>
      <c r="B459">
        <v>2012</v>
      </c>
      <c r="C459" t="s">
        <v>172</v>
      </c>
      <c r="D459" t="s">
        <v>2555</v>
      </c>
      <c r="E459" s="22">
        <v>170</v>
      </c>
      <c r="H459" t="s">
        <v>154</v>
      </c>
      <c r="I459" t="s">
        <v>194</v>
      </c>
      <c r="J459" t="s">
        <v>68</v>
      </c>
      <c r="K459" t="s">
        <v>219</v>
      </c>
      <c r="M459" s="4"/>
      <c r="N459" s="2"/>
      <c r="O459" s="21"/>
      <c r="P459" s="2"/>
      <c r="Q459" s="2"/>
      <c r="R459" s="4"/>
      <c r="S459" s="4"/>
      <c r="T459" s="4"/>
      <c r="U459" s="4"/>
      <c r="V459" s="4"/>
      <c r="W459" s="4"/>
    </row>
    <row r="460" spans="1:23" ht="14.5" hidden="1" customHeight="1" x14ac:dyDescent="0.2">
      <c r="A460">
        <f t="shared" si="7"/>
        <v>454</v>
      </c>
      <c r="B460">
        <v>2012</v>
      </c>
      <c r="C460" t="s">
        <v>258</v>
      </c>
      <c r="D460" t="s">
        <v>530</v>
      </c>
      <c r="E460" s="22">
        <v>350</v>
      </c>
      <c r="G460" t="s">
        <v>2556</v>
      </c>
      <c r="H460" t="s">
        <v>152</v>
      </c>
      <c r="I460" t="s">
        <v>257</v>
      </c>
      <c r="J460" t="s">
        <v>97</v>
      </c>
      <c r="K460" t="s">
        <v>183</v>
      </c>
      <c r="M460" s="4"/>
      <c r="N460" s="2"/>
      <c r="O460" s="21"/>
      <c r="P460" s="2"/>
      <c r="Q460" s="2"/>
      <c r="R460" s="4"/>
      <c r="S460" s="4"/>
      <c r="T460" s="4"/>
      <c r="U460" s="4"/>
      <c r="V460" s="4"/>
      <c r="W460" s="4"/>
    </row>
    <row r="461" spans="1:23" ht="14.5" hidden="1" customHeight="1" x14ac:dyDescent="0.2">
      <c r="A461">
        <f t="shared" si="7"/>
        <v>455</v>
      </c>
      <c r="B461">
        <v>2012</v>
      </c>
      <c r="C461" t="s">
        <v>258</v>
      </c>
      <c r="D461" t="s">
        <v>444</v>
      </c>
      <c r="E461" s="22">
        <v>100</v>
      </c>
      <c r="G461" t="s">
        <v>1969</v>
      </c>
      <c r="H461" t="s">
        <v>144</v>
      </c>
      <c r="I461" t="s">
        <v>273</v>
      </c>
      <c r="J461" t="s">
        <v>53</v>
      </c>
      <c r="K461" t="s">
        <v>183</v>
      </c>
      <c r="M461" s="4"/>
      <c r="N461" s="2"/>
      <c r="O461" s="21"/>
      <c r="P461" s="2"/>
      <c r="Q461" s="2"/>
      <c r="R461" s="4"/>
      <c r="S461" s="4"/>
      <c r="T461" s="4"/>
      <c r="U461" s="4"/>
      <c r="V461" s="4"/>
      <c r="W461" s="4"/>
    </row>
    <row r="462" spans="1:23" ht="14.5" hidden="1" customHeight="1" x14ac:dyDescent="0.2">
      <c r="A462">
        <f t="shared" si="7"/>
        <v>456</v>
      </c>
      <c r="B462">
        <v>2012</v>
      </c>
      <c r="C462" t="s">
        <v>258</v>
      </c>
      <c r="D462" t="s">
        <v>1035</v>
      </c>
      <c r="E462" s="22">
        <v>300</v>
      </c>
      <c r="G462" t="s">
        <v>453</v>
      </c>
      <c r="H462" t="s">
        <v>144</v>
      </c>
      <c r="I462" t="s">
        <v>187</v>
      </c>
      <c r="J462" t="s">
        <v>135</v>
      </c>
      <c r="K462" t="s">
        <v>205</v>
      </c>
      <c r="M462" s="4"/>
      <c r="N462" s="2"/>
      <c r="O462" s="21"/>
      <c r="P462" s="2"/>
      <c r="Q462" s="2"/>
      <c r="R462" s="4"/>
      <c r="S462" s="4"/>
      <c r="T462" s="4"/>
      <c r="U462" s="4"/>
      <c r="V462" s="4"/>
      <c r="W462" s="4"/>
    </row>
    <row r="463" spans="1:23" ht="14.5" hidden="1" customHeight="1" x14ac:dyDescent="0.2">
      <c r="A463">
        <f t="shared" si="7"/>
        <v>457</v>
      </c>
      <c r="B463">
        <v>2012</v>
      </c>
      <c r="C463" t="s">
        <v>258</v>
      </c>
      <c r="D463" t="s">
        <v>815</v>
      </c>
      <c r="E463" s="22">
        <v>240</v>
      </c>
      <c r="H463" t="s">
        <v>151</v>
      </c>
      <c r="I463" t="s">
        <v>279</v>
      </c>
      <c r="J463" t="s">
        <v>2557</v>
      </c>
      <c r="K463" t="s">
        <v>219</v>
      </c>
      <c r="M463" s="4"/>
      <c r="N463" s="2"/>
      <c r="O463" s="21"/>
      <c r="P463" s="2"/>
      <c r="Q463" s="2"/>
      <c r="R463" s="4"/>
      <c r="S463" s="4"/>
      <c r="T463" s="4"/>
      <c r="U463" s="4"/>
      <c r="V463" s="4"/>
      <c r="W463" s="4"/>
    </row>
    <row r="464" spans="1:23" ht="14.5" hidden="1" customHeight="1" x14ac:dyDescent="0.2">
      <c r="A464">
        <f t="shared" si="7"/>
        <v>458</v>
      </c>
      <c r="B464">
        <v>2012</v>
      </c>
      <c r="C464" t="s">
        <v>258</v>
      </c>
      <c r="D464" t="s">
        <v>449</v>
      </c>
      <c r="E464" s="22">
        <v>510</v>
      </c>
      <c r="H464" t="s">
        <v>154</v>
      </c>
      <c r="I464" t="s">
        <v>529</v>
      </c>
      <c r="J464" t="s">
        <v>36</v>
      </c>
      <c r="K464" t="s">
        <v>219</v>
      </c>
      <c r="M464" s="4"/>
      <c r="N464" s="2"/>
      <c r="O464" s="21"/>
      <c r="P464" s="2"/>
      <c r="Q464" s="2"/>
      <c r="R464" s="4"/>
      <c r="S464" s="4"/>
      <c r="T464" s="4"/>
      <c r="U464" s="4"/>
      <c r="V464" s="4"/>
      <c r="W464" s="4"/>
    </row>
    <row r="465" spans="1:23" ht="14.5" hidden="1" customHeight="1" x14ac:dyDescent="0.2">
      <c r="A465">
        <f t="shared" si="7"/>
        <v>459</v>
      </c>
      <c r="B465">
        <v>2012</v>
      </c>
      <c r="C465" t="s">
        <v>258</v>
      </c>
      <c r="D465" t="s">
        <v>397</v>
      </c>
      <c r="E465" s="22">
        <v>1500</v>
      </c>
      <c r="H465" t="s">
        <v>151</v>
      </c>
      <c r="I465" t="s">
        <v>279</v>
      </c>
      <c r="J465" t="s">
        <v>5</v>
      </c>
      <c r="K465" t="s">
        <v>214</v>
      </c>
      <c r="M465" s="4"/>
      <c r="N465" s="2"/>
      <c r="O465" s="21"/>
      <c r="P465" s="2"/>
      <c r="Q465" s="2"/>
      <c r="R465" s="4"/>
      <c r="S465" s="4"/>
      <c r="T465" s="4"/>
      <c r="U465" s="4"/>
      <c r="V465" s="4"/>
      <c r="W465" s="4"/>
    </row>
    <row r="466" spans="1:23" ht="14.5" hidden="1" customHeight="1" x14ac:dyDescent="0.2">
      <c r="A466">
        <f t="shared" si="7"/>
        <v>460</v>
      </c>
      <c r="B466">
        <v>2012</v>
      </c>
      <c r="C466" t="s">
        <v>258</v>
      </c>
      <c r="D466" t="s">
        <v>479</v>
      </c>
      <c r="E466" s="22">
        <v>400</v>
      </c>
      <c r="H466" t="s">
        <v>154</v>
      </c>
      <c r="I466" t="s">
        <v>194</v>
      </c>
      <c r="J466" t="s">
        <v>14</v>
      </c>
      <c r="K466" t="s">
        <v>195</v>
      </c>
      <c r="M466" s="4"/>
      <c r="N466" s="2"/>
      <c r="O466" s="21"/>
      <c r="P466" s="2"/>
      <c r="Q466" s="2"/>
      <c r="R466" s="4"/>
      <c r="S466" s="4"/>
      <c r="T466" s="4"/>
      <c r="U466" s="4"/>
      <c r="V466" s="4"/>
      <c r="W466" s="4"/>
    </row>
    <row r="467" spans="1:23" ht="14.5" hidden="1" customHeight="1" x14ac:dyDescent="0.2">
      <c r="A467">
        <f t="shared" si="7"/>
        <v>461</v>
      </c>
      <c r="B467">
        <v>2012</v>
      </c>
      <c r="C467" t="s">
        <v>258</v>
      </c>
      <c r="D467" t="s">
        <v>246</v>
      </c>
      <c r="E467" s="22">
        <v>350</v>
      </c>
      <c r="H467" t="s">
        <v>154</v>
      </c>
      <c r="I467" t="s">
        <v>194</v>
      </c>
      <c r="J467" t="s">
        <v>2462</v>
      </c>
      <c r="K467" t="s">
        <v>219</v>
      </c>
      <c r="M467" s="4"/>
      <c r="N467" s="2"/>
      <c r="O467" s="21"/>
      <c r="P467" s="2"/>
      <c r="Q467" s="2"/>
      <c r="R467" s="4"/>
      <c r="S467" s="4"/>
      <c r="T467" s="4"/>
      <c r="U467" s="4"/>
      <c r="V467" s="4"/>
      <c r="W467" s="4"/>
    </row>
    <row r="468" spans="1:23" ht="14.5" hidden="1" customHeight="1" x14ac:dyDescent="0.2">
      <c r="A468">
        <f t="shared" si="7"/>
        <v>462</v>
      </c>
      <c r="B468">
        <v>2012</v>
      </c>
      <c r="C468" t="s">
        <v>258</v>
      </c>
      <c r="D468" t="s">
        <v>246</v>
      </c>
      <c r="E468" s="22">
        <v>270</v>
      </c>
      <c r="G468" t="s">
        <v>2558</v>
      </c>
      <c r="H468" t="s">
        <v>142</v>
      </c>
      <c r="J468" t="s">
        <v>93</v>
      </c>
      <c r="K468" t="s">
        <v>201</v>
      </c>
      <c r="M468" s="4"/>
      <c r="N468" s="2"/>
      <c r="O468" s="21"/>
      <c r="P468" s="2"/>
      <c r="Q468" s="2"/>
      <c r="R468" s="4"/>
      <c r="S468" s="4"/>
      <c r="T468" s="4"/>
      <c r="U468" s="4"/>
      <c r="V468" s="4"/>
      <c r="W468" s="4"/>
    </row>
    <row r="469" spans="1:23" ht="14.5" hidden="1" customHeight="1" x14ac:dyDescent="0.2">
      <c r="A469">
        <f t="shared" si="7"/>
        <v>463</v>
      </c>
      <c r="B469">
        <v>2012</v>
      </c>
      <c r="C469" t="s">
        <v>258</v>
      </c>
      <c r="D469" t="s">
        <v>875</v>
      </c>
      <c r="E469" s="22">
        <v>160</v>
      </c>
      <c r="H469" t="s">
        <v>154</v>
      </c>
      <c r="I469" t="s">
        <v>529</v>
      </c>
      <c r="J469" t="s">
        <v>89</v>
      </c>
      <c r="K469" t="s">
        <v>219</v>
      </c>
      <c r="M469" s="4"/>
      <c r="N469" s="2"/>
      <c r="O469" s="21"/>
      <c r="P469" s="2"/>
      <c r="Q469" s="2"/>
      <c r="R469" s="4"/>
      <c r="S469" s="4"/>
      <c r="T469" s="4"/>
      <c r="U469" s="4"/>
      <c r="V469" s="4"/>
      <c r="W469" s="4"/>
    </row>
    <row r="470" spans="1:23" ht="14.5" hidden="1" customHeight="1" x14ac:dyDescent="0.2">
      <c r="A470">
        <f t="shared" si="7"/>
        <v>464</v>
      </c>
      <c r="B470">
        <v>2012</v>
      </c>
      <c r="C470" t="s">
        <v>258</v>
      </c>
      <c r="D470" t="s">
        <v>444</v>
      </c>
      <c r="E470" s="22">
        <v>310</v>
      </c>
      <c r="H470" t="s">
        <v>155</v>
      </c>
      <c r="J470" t="s">
        <v>29</v>
      </c>
      <c r="K470" t="s">
        <v>219</v>
      </c>
      <c r="M470" s="4"/>
      <c r="N470" s="2"/>
      <c r="O470" s="21"/>
      <c r="P470" s="2"/>
      <c r="Q470" s="2"/>
      <c r="R470" s="4"/>
      <c r="S470" s="4"/>
      <c r="T470" s="4"/>
      <c r="U470" s="4"/>
      <c r="V470" s="4"/>
      <c r="W470" s="4"/>
    </row>
    <row r="471" spans="1:23" ht="14.5" hidden="1" customHeight="1" x14ac:dyDescent="0.2">
      <c r="A471">
        <f t="shared" si="7"/>
        <v>465</v>
      </c>
      <c r="B471">
        <v>2012</v>
      </c>
      <c r="C471" t="s">
        <v>258</v>
      </c>
      <c r="D471" t="s">
        <v>449</v>
      </c>
      <c r="E471" s="22">
        <v>940</v>
      </c>
      <c r="H471" t="s">
        <v>154</v>
      </c>
      <c r="I471" t="s">
        <v>194</v>
      </c>
      <c r="J471" t="s">
        <v>89</v>
      </c>
      <c r="K471" t="s">
        <v>219</v>
      </c>
      <c r="M471" s="80"/>
      <c r="N471" s="5"/>
      <c r="O471" s="20"/>
      <c r="P471" s="5"/>
      <c r="Q471" s="5"/>
      <c r="R471" s="80"/>
      <c r="S471" s="80"/>
      <c r="T471" s="80"/>
      <c r="U471" s="80"/>
      <c r="V471" s="80"/>
      <c r="W471" s="80"/>
    </row>
    <row r="472" spans="1:23" ht="14.5" hidden="1" customHeight="1" x14ac:dyDescent="0.2">
      <c r="A472">
        <f t="shared" si="7"/>
        <v>466</v>
      </c>
      <c r="B472">
        <v>2012</v>
      </c>
      <c r="C472" t="s">
        <v>258</v>
      </c>
      <c r="D472" s="52" t="s">
        <v>2392</v>
      </c>
      <c r="E472" s="22">
        <v>740</v>
      </c>
      <c r="G472" t="s">
        <v>1188</v>
      </c>
      <c r="H472" t="s">
        <v>144</v>
      </c>
      <c r="I472" t="s">
        <v>273</v>
      </c>
      <c r="J472" t="s">
        <v>53</v>
      </c>
      <c r="K472" t="s">
        <v>183</v>
      </c>
      <c r="M472" s="4"/>
      <c r="N472" s="2"/>
      <c r="O472" s="21"/>
      <c r="P472" s="2"/>
      <c r="Q472" s="2"/>
      <c r="R472" s="4"/>
      <c r="S472" s="4"/>
      <c r="T472" s="4"/>
      <c r="U472" s="4"/>
      <c r="V472" s="4"/>
      <c r="W472" s="4"/>
    </row>
    <row r="473" spans="1:23" ht="14.5" hidden="1" customHeight="1" x14ac:dyDescent="0.2">
      <c r="A473">
        <f t="shared" si="7"/>
        <v>467</v>
      </c>
      <c r="B473">
        <v>2012</v>
      </c>
      <c r="C473" t="s">
        <v>179</v>
      </c>
      <c r="D473" t="s">
        <v>2559</v>
      </c>
      <c r="E473" s="22">
        <v>320</v>
      </c>
      <c r="G473" t="s">
        <v>2560</v>
      </c>
      <c r="H473" t="s">
        <v>144</v>
      </c>
      <c r="I473" t="s">
        <v>187</v>
      </c>
      <c r="J473" t="s">
        <v>38</v>
      </c>
      <c r="K473" t="s">
        <v>214</v>
      </c>
      <c r="M473" s="4"/>
      <c r="N473" s="2"/>
      <c r="O473" s="21"/>
      <c r="P473" s="2"/>
      <c r="Q473" s="2"/>
      <c r="R473" s="4"/>
      <c r="S473" s="4"/>
      <c r="T473" s="4"/>
      <c r="U473" s="4"/>
      <c r="V473" s="4"/>
      <c r="W473" s="4"/>
    </row>
    <row r="474" spans="1:23" ht="14.5" hidden="1" customHeight="1" x14ac:dyDescent="0.2">
      <c r="A474">
        <f t="shared" si="7"/>
        <v>468</v>
      </c>
      <c r="B474">
        <v>2012</v>
      </c>
      <c r="C474" t="s">
        <v>179</v>
      </c>
      <c r="D474" t="s">
        <v>1035</v>
      </c>
      <c r="E474" s="22">
        <v>510</v>
      </c>
      <c r="H474" t="s">
        <v>150</v>
      </c>
      <c r="I474" t="s">
        <v>744</v>
      </c>
      <c r="J474" t="s">
        <v>65</v>
      </c>
      <c r="K474" t="s">
        <v>214</v>
      </c>
      <c r="M474" s="4"/>
      <c r="N474" s="2"/>
      <c r="O474" s="21"/>
      <c r="P474" s="2"/>
      <c r="Q474" s="2"/>
      <c r="R474" s="4"/>
      <c r="S474" s="4"/>
      <c r="T474" s="4"/>
      <c r="U474" s="4"/>
      <c r="V474" s="4"/>
      <c r="W474" s="4"/>
    </row>
    <row r="475" spans="1:23" ht="14.5" hidden="1" customHeight="1" x14ac:dyDescent="0.2">
      <c r="A475">
        <f t="shared" si="7"/>
        <v>469</v>
      </c>
      <c r="B475">
        <v>2012</v>
      </c>
      <c r="C475" t="s">
        <v>179</v>
      </c>
      <c r="D475" t="s">
        <v>1035</v>
      </c>
      <c r="E475" s="22">
        <v>1420</v>
      </c>
      <c r="G475" t="s">
        <v>2561</v>
      </c>
      <c r="H475" t="s">
        <v>151</v>
      </c>
      <c r="I475" t="s">
        <v>279</v>
      </c>
      <c r="J475" t="s">
        <v>72</v>
      </c>
      <c r="K475" t="s">
        <v>183</v>
      </c>
      <c r="M475" s="4"/>
      <c r="N475" s="2"/>
      <c r="O475" s="21"/>
      <c r="P475" s="2"/>
      <c r="Q475" s="2"/>
      <c r="R475" s="4"/>
      <c r="S475" s="4"/>
      <c r="T475" s="4"/>
      <c r="U475" s="4"/>
      <c r="V475" s="4"/>
      <c r="W475" s="4"/>
    </row>
    <row r="476" spans="1:23" ht="14.5" hidden="1" customHeight="1" x14ac:dyDescent="0.2">
      <c r="A476">
        <f t="shared" si="7"/>
        <v>470</v>
      </c>
      <c r="B476">
        <v>2012</v>
      </c>
      <c r="C476" t="s">
        <v>179</v>
      </c>
      <c r="D476" t="s">
        <v>307</v>
      </c>
      <c r="E476" s="22">
        <v>550</v>
      </c>
      <c r="G476" t="s">
        <v>2562</v>
      </c>
      <c r="H476" t="s">
        <v>144</v>
      </c>
      <c r="J476" t="s">
        <v>19</v>
      </c>
      <c r="K476" t="s">
        <v>205</v>
      </c>
      <c r="M476" s="4"/>
      <c r="N476" s="2"/>
      <c r="O476" s="21"/>
      <c r="P476" s="2"/>
      <c r="Q476" s="2"/>
      <c r="R476" s="4"/>
      <c r="S476" s="4"/>
      <c r="T476" s="4"/>
      <c r="U476" s="4"/>
      <c r="V476" s="4"/>
      <c r="W476" s="4"/>
    </row>
    <row r="477" spans="1:23" ht="14.5" hidden="1" customHeight="1" x14ac:dyDescent="0.2">
      <c r="A477">
        <f t="shared" si="7"/>
        <v>471</v>
      </c>
      <c r="B477">
        <v>2012</v>
      </c>
      <c r="C477" t="s">
        <v>179</v>
      </c>
      <c r="D477" t="s">
        <v>479</v>
      </c>
      <c r="E477" s="22">
        <v>290</v>
      </c>
      <c r="H477" t="s">
        <v>154</v>
      </c>
      <c r="I477" t="s">
        <v>271</v>
      </c>
      <c r="J477" t="s">
        <v>95</v>
      </c>
      <c r="K477" t="s">
        <v>183</v>
      </c>
      <c r="M477" s="4"/>
      <c r="N477" s="2"/>
      <c r="O477" s="21"/>
      <c r="P477" s="2"/>
      <c r="Q477" s="2"/>
      <c r="R477" s="4"/>
      <c r="S477" s="4"/>
      <c r="T477" s="4"/>
      <c r="U477" s="4"/>
      <c r="V477" s="4"/>
      <c r="W477" s="4"/>
    </row>
    <row r="478" spans="1:23" ht="14.5" hidden="1" customHeight="1" x14ac:dyDescent="0.2">
      <c r="A478">
        <f t="shared" si="7"/>
        <v>472</v>
      </c>
      <c r="B478">
        <v>2012</v>
      </c>
      <c r="C478" t="s">
        <v>179</v>
      </c>
      <c r="D478" t="s">
        <v>246</v>
      </c>
      <c r="E478" s="22">
        <v>180</v>
      </c>
      <c r="H478" t="s">
        <v>144</v>
      </c>
      <c r="J478" t="s">
        <v>46</v>
      </c>
      <c r="K478" t="s">
        <v>219</v>
      </c>
      <c r="M478" s="4"/>
      <c r="N478" s="2"/>
      <c r="O478" s="21"/>
      <c r="P478" s="2"/>
      <c r="Q478" s="2"/>
      <c r="R478" s="4"/>
      <c r="S478" s="4"/>
      <c r="T478" s="4"/>
      <c r="U478" s="4"/>
      <c r="V478" s="4"/>
      <c r="W478" s="4"/>
    </row>
    <row r="479" spans="1:23" ht="14.5" hidden="1" customHeight="1" x14ac:dyDescent="0.2">
      <c r="A479">
        <f t="shared" si="7"/>
        <v>473</v>
      </c>
      <c r="B479">
        <v>2012</v>
      </c>
      <c r="C479" t="s">
        <v>179</v>
      </c>
      <c r="D479" t="s">
        <v>444</v>
      </c>
      <c r="E479" s="22">
        <v>170</v>
      </c>
      <c r="G479" t="s">
        <v>2563</v>
      </c>
      <c r="H479" t="s">
        <v>142</v>
      </c>
      <c r="J479" t="s">
        <v>16</v>
      </c>
      <c r="K479" t="s">
        <v>205</v>
      </c>
      <c r="M479" s="4"/>
      <c r="N479" s="2"/>
      <c r="O479" s="21"/>
      <c r="P479" s="2"/>
      <c r="Q479" s="2"/>
      <c r="R479" s="4"/>
      <c r="S479" s="4"/>
      <c r="T479" s="4"/>
      <c r="U479" s="4"/>
      <c r="V479" s="4"/>
      <c r="W479" s="4"/>
    </row>
    <row r="480" spans="1:23" ht="14.5" hidden="1" customHeight="1" x14ac:dyDescent="0.2">
      <c r="A480">
        <f t="shared" si="7"/>
        <v>474</v>
      </c>
      <c r="B480">
        <v>2012</v>
      </c>
      <c r="C480" t="s">
        <v>179</v>
      </c>
      <c r="D480" t="s">
        <v>815</v>
      </c>
      <c r="E480" s="22">
        <v>210</v>
      </c>
      <c r="G480" t="s">
        <v>2564</v>
      </c>
      <c r="H480" t="s">
        <v>151</v>
      </c>
      <c r="I480" t="s">
        <v>279</v>
      </c>
      <c r="J480" t="s">
        <v>22</v>
      </c>
      <c r="K480" t="s">
        <v>195</v>
      </c>
      <c r="M480" s="4"/>
      <c r="N480" s="2"/>
      <c r="O480" s="21"/>
      <c r="P480" s="2"/>
      <c r="Q480" s="2"/>
      <c r="R480" s="4"/>
      <c r="S480" s="4"/>
      <c r="T480" s="4"/>
      <c r="U480" s="4"/>
      <c r="V480" s="4"/>
      <c r="W480" s="4"/>
    </row>
    <row r="481" spans="1:23" ht="14.5" hidden="1" customHeight="1" x14ac:dyDescent="0.2">
      <c r="A481">
        <f t="shared" si="7"/>
        <v>475</v>
      </c>
      <c r="B481">
        <v>2012</v>
      </c>
      <c r="C481" t="s">
        <v>179</v>
      </c>
      <c r="D481" t="s">
        <v>875</v>
      </c>
      <c r="E481" s="22">
        <v>900</v>
      </c>
      <c r="G481" t="s">
        <v>2565</v>
      </c>
      <c r="H481" t="s">
        <v>144</v>
      </c>
      <c r="I481" t="s">
        <v>197</v>
      </c>
      <c r="J481" t="s">
        <v>96</v>
      </c>
      <c r="K481" t="s">
        <v>205</v>
      </c>
      <c r="M481" s="4"/>
      <c r="N481" s="2"/>
      <c r="O481" s="21"/>
      <c r="P481" s="2"/>
      <c r="Q481" s="2"/>
      <c r="R481" s="4"/>
      <c r="S481" s="4"/>
      <c r="T481" s="4"/>
      <c r="U481" s="4"/>
      <c r="V481" s="4"/>
      <c r="W481" s="4"/>
    </row>
    <row r="482" spans="1:23" ht="14.5" hidden="1" customHeight="1" x14ac:dyDescent="0.2">
      <c r="A482">
        <f t="shared" si="7"/>
        <v>476</v>
      </c>
      <c r="B482">
        <v>2012</v>
      </c>
      <c r="C482" t="s">
        <v>179</v>
      </c>
      <c r="D482" t="s">
        <v>474</v>
      </c>
      <c r="E482" s="22">
        <v>220</v>
      </c>
      <c r="G482" t="s">
        <v>2566</v>
      </c>
      <c r="H482" t="s">
        <v>142</v>
      </c>
      <c r="J482" t="s">
        <v>40</v>
      </c>
      <c r="K482" t="s">
        <v>219</v>
      </c>
      <c r="M482" s="4"/>
      <c r="N482" s="2"/>
      <c r="O482" s="21"/>
      <c r="P482" s="2"/>
      <c r="Q482" s="2"/>
      <c r="R482" s="4"/>
      <c r="S482" s="4"/>
      <c r="T482" s="4"/>
      <c r="U482" s="4"/>
      <c r="V482" s="4"/>
      <c r="W482" s="4"/>
    </row>
    <row r="483" spans="1:23" ht="14.5" hidden="1" customHeight="1" x14ac:dyDescent="0.2">
      <c r="A483">
        <f t="shared" si="7"/>
        <v>477</v>
      </c>
      <c r="B483">
        <v>2012</v>
      </c>
      <c r="C483" t="s">
        <v>184</v>
      </c>
      <c r="D483" t="s">
        <v>444</v>
      </c>
      <c r="E483" s="22">
        <v>230</v>
      </c>
      <c r="G483" t="s">
        <v>2567</v>
      </c>
      <c r="H483" t="s">
        <v>144</v>
      </c>
      <c r="I483" t="s">
        <v>187</v>
      </c>
      <c r="J483" t="s">
        <v>87</v>
      </c>
      <c r="K483" t="s">
        <v>177</v>
      </c>
      <c r="M483" s="4"/>
      <c r="N483" s="2"/>
      <c r="O483" s="21"/>
      <c r="P483" s="2"/>
      <c r="Q483" s="2"/>
      <c r="R483" s="4"/>
      <c r="S483" s="4"/>
      <c r="T483" s="4"/>
      <c r="U483" s="4"/>
      <c r="V483" s="4"/>
      <c r="W483" s="4"/>
    </row>
    <row r="484" spans="1:23" ht="14.5" hidden="1" customHeight="1" x14ac:dyDescent="0.2">
      <c r="A484">
        <f t="shared" si="7"/>
        <v>478</v>
      </c>
      <c r="B484">
        <v>2012</v>
      </c>
      <c r="C484" t="s">
        <v>184</v>
      </c>
      <c r="D484" t="s">
        <v>1035</v>
      </c>
      <c r="E484" s="22">
        <v>250</v>
      </c>
      <c r="H484" t="s">
        <v>142</v>
      </c>
      <c r="J484" t="s">
        <v>115</v>
      </c>
      <c r="K484" t="s">
        <v>201</v>
      </c>
      <c r="M484" s="4"/>
      <c r="N484" s="2"/>
      <c r="O484" s="21"/>
      <c r="P484" s="2"/>
      <c r="Q484" s="2"/>
      <c r="R484" s="4"/>
      <c r="S484" s="4"/>
      <c r="T484" s="4"/>
      <c r="U484" s="4"/>
      <c r="V484" s="4"/>
      <c r="W484" s="4"/>
    </row>
    <row r="485" spans="1:23" ht="14.5" hidden="1" customHeight="1" x14ac:dyDescent="0.2">
      <c r="A485">
        <f t="shared" si="7"/>
        <v>479</v>
      </c>
      <c r="B485">
        <v>2012</v>
      </c>
      <c r="C485" t="s">
        <v>184</v>
      </c>
      <c r="D485" t="s">
        <v>189</v>
      </c>
      <c r="E485" s="22">
        <v>850</v>
      </c>
      <c r="G485" t="s">
        <v>2568</v>
      </c>
      <c r="H485" t="s">
        <v>144</v>
      </c>
      <c r="I485" t="s">
        <v>299</v>
      </c>
      <c r="J485" t="s">
        <v>46</v>
      </c>
      <c r="K485" t="s">
        <v>219</v>
      </c>
      <c r="M485" s="4"/>
      <c r="N485" s="2"/>
      <c r="O485" s="21"/>
      <c r="P485" s="2"/>
      <c r="Q485" s="2"/>
      <c r="R485" s="4"/>
      <c r="S485" s="4"/>
      <c r="T485" s="4"/>
      <c r="U485" s="4"/>
      <c r="V485" s="4"/>
      <c r="W485" s="4"/>
    </row>
    <row r="486" spans="1:23" ht="14.5" hidden="1" customHeight="1" x14ac:dyDescent="0.2">
      <c r="A486">
        <f t="shared" si="7"/>
        <v>480</v>
      </c>
      <c r="B486">
        <v>2012</v>
      </c>
      <c r="C486" t="s">
        <v>184</v>
      </c>
      <c r="D486" t="s">
        <v>449</v>
      </c>
      <c r="E486" s="22">
        <v>140</v>
      </c>
      <c r="F486" s="16">
        <v>0.5</v>
      </c>
      <c r="G486" t="s">
        <v>2569</v>
      </c>
      <c r="H486" t="s">
        <v>154</v>
      </c>
      <c r="I486" t="s">
        <v>194</v>
      </c>
      <c r="J486" t="s">
        <v>57</v>
      </c>
      <c r="K486" t="s">
        <v>195</v>
      </c>
      <c r="M486" s="4"/>
      <c r="N486" s="2"/>
      <c r="O486" s="21"/>
      <c r="P486" s="2"/>
      <c r="Q486" s="2"/>
      <c r="R486" s="4"/>
      <c r="S486" s="4"/>
      <c r="T486" s="4"/>
      <c r="U486" s="4"/>
      <c r="V486" s="4"/>
      <c r="W486" s="4"/>
    </row>
    <row r="487" spans="1:23" ht="14.5" hidden="1" customHeight="1" x14ac:dyDescent="0.2">
      <c r="A487">
        <f t="shared" si="7"/>
        <v>481</v>
      </c>
      <c r="B487">
        <v>2012</v>
      </c>
      <c r="C487" t="s">
        <v>184</v>
      </c>
      <c r="D487" t="s">
        <v>479</v>
      </c>
      <c r="E487" s="22">
        <v>320</v>
      </c>
      <c r="H487" t="s">
        <v>154</v>
      </c>
      <c r="I487" t="s">
        <v>194</v>
      </c>
      <c r="J487" t="s">
        <v>81</v>
      </c>
      <c r="K487" t="s">
        <v>219</v>
      </c>
      <c r="M487" s="4"/>
      <c r="N487" s="2"/>
      <c r="O487" s="21"/>
      <c r="P487" s="2"/>
      <c r="Q487" s="2"/>
      <c r="R487" s="4"/>
      <c r="S487" s="4"/>
      <c r="T487" s="4"/>
      <c r="U487" s="4"/>
      <c r="V487" s="4"/>
      <c r="W487" s="4"/>
    </row>
    <row r="488" spans="1:23" ht="14.5" hidden="1" customHeight="1" x14ac:dyDescent="0.2">
      <c r="A488">
        <f t="shared" si="7"/>
        <v>482</v>
      </c>
      <c r="B488">
        <v>2012</v>
      </c>
      <c r="C488" t="s">
        <v>184</v>
      </c>
      <c r="D488" t="s">
        <v>341</v>
      </c>
      <c r="E488" s="22">
        <v>270</v>
      </c>
      <c r="H488" t="s">
        <v>149</v>
      </c>
      <c r="J488" t="s">
        <v>34</v>
      </c>
      <c r="K488" t="s">
        <v>219</v>
      </c>
      <c r="M488" s="4"/>
      <c r="N488" s="2"/>
      <c r="O488" s="21"/>
      <c r="P488" s="2"/>
      <c r="Q488" s="2"/>
      <c r="R488" s="4"/>
      <c r="S488" s="4"/>
      <c r="T488" s="4"/>
      <c r="U488" s="4"/>
      <c r="V488" s="4"/>
      <c r="W488" s="4"/>
    </row>
    <row r="489" spans="1:23" ht="14.5" hidden="1" customHeight="1" x14ac:dyDescent="0.2">
      <c r="A489">
        <f t="shared" si="7"/>
        <v>483</v>
      </c>
      <c r="B489">
        <v>2012</v>
      </c>
      <c r="C489" t="s">
        <v>225</v>
      </c>
      <c r="D489" t="s">
        <v>337</v>
      </c>
      <c r="E489" s="22">
        <v>1300</v>
      </c>
      <c r="G489" t="s">
        <v>2570</v>
      </c>
      <c r="H489" t="s">
        <v>144</v>
      </c>
      <c r="I489" t="s">
        <v>273</v>
      </c>
      <c r="J489" t="s">
        <v>2571</v>
      </c>
      <c r="K489" t="s">
        <v>195</v>
      </c>
      <c r="M489" s="4"/>
      <c r="N489" s="2"/>
      <c r="O489" s="21"/>
      <c r="P489" s="2"/>
      <c r="Q489" s="2"/>
      <c r="R489" s="4"/>
      <c r="S489" s="4"/>
      <c r="T489" s="4"/>
      <c r="U489" s="4"/>
      <c r="V489" s="4"/>
      <c r="W489" s="4"/>
    </row>
    <row r="490" spans="1:23" ht="14.5" hidden="1" customHeight="1" x14ac:dyDescent="0.2">
      <c r="A490">
        <f t="shared" si="7"/>
        <v>484</v>
      </c>
      <c r="B490">
        <v>2012</v>
      </c>
      <c r="C490" t="s">
        <v>225</v>
      </c>
      <c r="D490" t="s">
        <v>745</v>
      </c>
      <c r="E490" s="22">
        <v>950</v>
      </c>
      <c r="H490" t="s">
        <v>151</v>
      </c>
      <c r="I490" t="s">
        <v>279</v>
      </c>
      <c r="J490" t="s">
        <v>130</v>
      </c>
      <c r="K490" t="s">
        <v>214</v>
      </c>
      <c r="M490" s="4"/>
      <c r="N490" s="2"/>
      <c r="O490" s="21"/>
      <c r="P490" s="2"/>
      <c r="Q490" s="2"/>
      <c r="R490" s="4"/>
      <c r="S490" s="4"/>
      <c r="T490" s="4"/>
      <c r="U490" s="4"/>
      <c r="V490" s="4"/>
      <c r="W490" s="4"/>
    </row>
    <row r="491" spans="1:23" ht="14.5" hidden="1" customHeight="1" x14ac:dyDescent="0.2">
      <c r="A491">
        <f t="shared" si="7"/>
        <v>485</v>
      </c>
      <c r="B491">
        <v>2012</v>
      </c>
      <c r="C491" t="s">
        <v>225</v>
      </c>
      <c r="D491" t="s">
        <v>483</v>
      </c>
      <c r="E491" s="22">
        <v>1250</v>
      </c>
      <c r="G491" t="s">
        <v>2572</v>
      </c>
      <c r="H491" t="s">
        <v>154</v>
      </c>
      <c r="I491" t="s">
        <v>529</v>
      </c>
      <c r="J491" t="s">
        <v>54</v>
      </c>
      <c r="K491" t="s">
        <v>201</v>
      </c>
      <c r="M491" s="4"/>
      <c r="N491" s="2"/>
      <c r="O491" s="21"/>
      <c r="P491" s="2"/>
      <c r="Q491" s="2"/>
      <c r="R491" s="4"/>
      <c r="S491" s="4"/>
      <c r="T491" s="4"/>
      <c r="U491" s="4"/>
      <c r="V491" s="4"/>
      <c r="W491" s="4"/>
    </row>
    <row r="492" spans="1:23" ht="14.5" hidden="1" customHeight="1" x14ac:dyDescent="0.2">
      <c r="A492">
        <f t="shared" si="7"/>
        <v>486</v>
      </c>
      <c r="B492">
        <v>2012</v>
      </c>
      <c r="C492" t="s">
        <v>225</v>
      </c>
      <c r="D492" t="s">
        <v>1093</v>
      </c>
      <c r="E492" s="22">
        <v>120</v>
      </c>
      <c r="H492" t="s">
        <v>154</v>
      </c>
      <c r="I492" t="s">
        <v>194</v>
      </c>
      <c r="J492" t="s">
        <v>23</v>
      </c>
      <c r="K492" t="s">
        <v>183</v>
      </c>
      <c r="M492" s="4"/>
      <c r="N492" s="2"/>
      <c r="O492" s="21"/>
      <c r="P492" s="2"/>
      <c r="Q492" s="2"/>
      <c r="R492" s="4"/>
      <c r="S492" s="4"/>
      <c r="T492" s="4"/>
      <c r="U492" s="4"/>
      <c r="V492" s="4"/>
      <c r="W492" s="4"/>
    </row>
    <row r="493" spans="1:23" ht="14.5" hidden="1" customHeight="1" x14ac:dyDescent="0.2">
      <c r="A493">
        <f t="shared" si="7"/>
        <v>487</v>
      </c>
      <c r="B493">
        <v>2012</v>
      </c>
      <c r="C493" t="s">
        <v>225</v>
      </c>
      <c r="D493" t="s">
        <v>1035</v>
      </c>
      <c r="E493" s="22">
        <v>100</v>
      </c>
      <c r="H493" t="s">
        <v>155</v>
      </c>
      <c r="J493" t="s">
        <v>6</v>
      </c>
      <c r="K493" t="s">
        <v>219</v>
      </c>
      <c r="M493" s="4"/>
      <c r="N493" s="2"/>
      <c r="O493" s="21"/>
      <c r="P493" s="2"/>
      <c r="Q493" s="2"/>
      <c r="R493" s="4"/>
      <c r="S493" s="4"/>
      <c r="T493" s="4"/>
      <c r="U493" s="4"/>
      <c r="V493" s="4"/>
      <c r="W493" s="4"/>
    </row>
    <row r="494" spans="1:23" ht="14.5" hidden="1" customHeight="1" x14ac:dyDescent="0.2">
      <c r="A494">
        <f t="shared" si="7"/>
        <v>488</v>
      </c>
      <c r="B494">
        <v>2012</v>
      </c>
      <c r="C494" t="s">
        <v>225</v>
      </c>
      <c r="D494" t="s">
        <v>444</v>
      </c>
      <c r="E494" s="22">
        <v>100</v>
      </c>
      <c r="H494" t="s">
        <v>144</v>
      </c>
      <c r="I494" t="s">
        <v>232</v>
      </c>
      <c r="J494" t="s">
        <v>124</v>
      </c>
      <c r="K494" t="s">
        <v>183</v>
      </c>
      <c r="M494" s="4"/>
      <c r="N494" s="2"/>
      <c r="O494" s="21"/>
      <c r="P494" s="2"/>
      <c r="Q494" s="2"/>
      <c r="R494" s="4"/>
      <c r="S494" s="4"/>
      <c r="T494" s="4"/>
      <c r="U494" s="4"/>
      <c r="V494" s="4"/>
      <c r="W494" s="4"/>
    </row>
    <row r="495" spans="1:23" ht="14.5" hidden="1" customHeight="1" x14ac:dyDescent="0.2">
      <c r="A495">
        <f t="shared" si="7"/>
        <v>489</v>
      </c>
      <c r="B495">
        <v>2012</v>
      </c>
      <c r="C495" t="s">
        <v>225</v>
      </c>
      <c r="D495" t="s">
        <v>246</v>
      </c>
      <c r="E495" s="22">
        <v>200</v>
      </c>
      <c r="H495" t="s">
        <v>144</v>
      </c>
      <c r="I495" t="s">
        <v>197</v>
      </c>
      <c r="J495" t="s">
        <v>72</v>
      </c>
      <c r="K495" t="s">
        <v>183</v>
      </c>
      <c r="M495" s="4"/>
      <c r="N495" s="2"/>
      <c r="O495" s="21"/>
      <c r="P495" s="2"/>
      <c r="Q495" s="2"/>
      <c r="R495" s="4"/>
      <c r="S495" s="4"/>
      <c r="T495" s="4"/>
      <c r="U495" s="4"/>
      <c r="V495" s="4"/>
      <c r="W495" s="4"/>
    </row>
    <row r="496" spans="1:23" ht="14.5" hidden="1" customHeight="1" x14ac:dyDescent="0.2">
      <c r="A496">
        <f t="shared" si="7"/>
        <v>490</v>
      </c>
      <c r="B496">
        <v>2012</v>
      </c>
      <c r="C496" t="s">
        <v>188</v>
      </c>
      <c r="D496" t="s">
        <v>397</v>
      </c>
      <c r="E496" s="22">
        <v>100</v>
      </c>
      <c r="H496" t="s">
        <v>154</v>
      </c>
      <c r="I496" t="s">
        <v>194</v>
      </c>
      <c r="J496" t="s">
        <v>131</v>
      </c>
      <c r="K496" t="s">
        <v>131</v>
      </c>
      <c r="M496" s="4"/>
      <c r="N496" s="2"/>
      <c r="O496" s="21"/>
      <c r="P496" s="2"/>
      <c r="Q496" s="2"/>
      <c r="R496" s="4"/>
      <c r="S496" s="4"/>
      <c r="T496" s="4"/>
      <c r="U496" s="4"/>
      <c r="V496" s="4"/>
      <c r="W496" s="4"/>
    </row>
    <row r="497" spans="1:23" ht="14.5" hidden="1" customHeight="1" x14ac:dyDescent="0.2">
      <c r="A497">
        <f t="shared" si="7"/>
        <v>491</v>
      </c>
      <c r="B497">
        <v>2012</v>
      </c>
      <c r="C497" t="s">
        <v>188</v>
      </c>
      <c r="D497" t="s">
        <v>397</v>
      </c>
      <c r="E497" s="22">
        <v>170</v>
      </c>
      <c r="G497" t="s">
        <v>2573</v>
      </c>
      <c r="H497" t="s">
        <v>150</v>
      </c>
      <c r="I497" t="s">
        <v>744</v>
      </c>
      <c r="J497" t="s">
        <v>5</v>
      </c>
      <c r="K497" t="s">
        <v>214</v>
      </c>
      <c r="M497" s="4"/>
      <c r="N497" s="2"/>
      <c r="O497" s="21"/>
      <c r="P497" s="2"/>
      <c r="Q497" s="2"/>
      <c r="R497" s="4"/>
      <c r="S497" s="4"/>
      <c r="T497" s="4"/>
      <c r="U497" s="4"/>
      <c r="V497" s="4"/>
      <c r="W497" s="4"/>
    </row>
    <row r="498" spans="1:23" ht="14.5" hidden="1" customHeight="1" x14ac:dyDescent="0.2">
      <c r="A498">
        <f t="shared" si="7"/>
        <v>492</v>
      </c>
      <c r="B498">
        <v>2012</v>
      </c>
      <c r="C498" t="s">
        <v>188</v>
      </c>
      <c r="D498" t="s">
        <v>2574</v>
      </c>
      <c r="E498" s="22">
        <v>630</v>
      </c>
      <c r="F498" s="16">
        <v>0.31</v>
      </c>
      <c r="G498" t="s">
        <v>453</v>
      </c>
      <c r="H498" t="s">
        <v>144</v>
      </c>
      <c r="I498" t="s">
        <v>187</v>
      </c>
      <c r="J498" t="s">
        <v>135</v>
      </c>
      <c r="K498" t="s">
        <v>205</v>
      </c>
      <c r="M498" s="4"/>
      <c r="N498" s="2"/>
      <c r="O498" s="21"/>
      <c r="P498" s="2"/>
      <c r="Q498" s="2"/>
      <c r="R498" s="4"/>
      <c r="S498" s="4"/>
      <c r="T498" s="4"/>
      <c r="U498" s="4"/>
      <c r="V498" s="4"/>
      <c r="W498" s="4"/>
    </row>
    <row r="499" spans="1:23" ht="14.5" hidden="1" customHeight="1" x14ac:dyDescent="0.2">
      <c r="A499">
        <f t="shared" si="7"/>
        <v>493</v>
      </c>
      <c r="B499">
        <v>2012</v>
      </c>
      <c r="C499" t="s">
        <v>188</v>
      </c>
      <c r="D499" t="s">
        <v>479</v>
      </c>
      <c r="E499" s="22">
        <v>200</v>
      </c>
      <c r="G499" t="s">
        <v>2461</v>
      </c>
      <c r="H499" t="s">
        <v>154</v>
      </c>
      <c r="I499" t="s">
        <v>271</v>
      </c>
      <c r="J499" t="s">
        <v>136</v>
      </c>
      <c r="K499" t="s">
        <v>183</v>
      </c>
      <c r="M499" s="4"/>
      <c r="N499" s="2"/>
      <c r="O499" s="21"/>
      <c r="P499" s="2"/>
      <c r="Q499" s="2"/>
      <c r="R499" s="4"/>
      <c r="S499" s="4"/>
      <c r="T499" s="4"/>
      <c r="U499" s="4"/>
      <c r="V499" s="4"/>
      <c r="W499" s="4"/>
    </row>
    <row r="500" spans="1:23" ht="14.5" hidden="1" customHeight="1" x14ac:dyDescent="0.2">
      <c r="A500">
        <f t="shared" si="7"/>
        <v>494</v>
      </c>
      <c r="B500">
        <v>2012</v>
      </c>
      <c r="C500" t="s">
        <v>188</v>
      </c>
      <c r="D500" t="s">
        <v>479</v>
      </c>
      <c r="E500" s="22">
        <v>1580</v>
      </c>
      <c r="H500" t="s">
        <v>154</v>
      </c>
      <c r="I500" t="s">
        <v>529</v>
      </c>
      <c r="J500" t="s">
        <v>40</v>
      </c>
      <c r="K500" t="s">
        <v>219</v>
      </c>
      <c r="M500" s="4"/>
      <c r="N500" s="2"/>
      <c r="O500" s="21"/>
      <c r="P500" s="2"/>
      <c r="Q500" s="2"/>
      <c r="R500" s="4"/>
      <c r="S500" s="4"/>
      <c r="T500" s="4"/>
      <c r="U500" s="4"/>
      <c r="V500" s="4"/>
      <c r="W500" s="4"/>
    </row>
    <row r="501" spans="1:23" ht="14.5" hidden="1" customHeight="1" x14ac:dyDescent="0.2">
      <c r="A501">
        <f t="shared" si="7"/>
        <v>495</v>
      </c>
      <c r="B501">
        <v>2012</v>
      </c>
      <c r="C501" t="s">
        <v>188</v>
      </c>
      <c r="D501" t="s">
        <v>1035</v>
      </c>
      <c r="E501" s="22">
        <v>100</v>
      </c>
      <c r="G501" t="s">
        <v>2461</v>
      </c>
      <c r="H501" t="s">
        <v>144</v>
      </c>
      <c r="I501" t="s">
        <v>197</v>
      </c>
      <c r="J501" t="s">
        <v>136</v>
      </c>
      <c r="K501" t="s">
        <v>183</v>
      </c>
      <c r="M501" s="4"/>
      <c r="N501" s="2"/>
      <c r="O501" s="21"/>
      <c r="P501" s="2"/>
      <c r="Q501" s="2"/>
      <c r="R501" s="4"/>
      <c r="S501" s="4"/>
      <c r="T501" s="4"/>
      <c r="U501" s="4"/>
      <c r="V501" s="4"/>
      <c r="W501" s="4"/>
    </row>
    <row r="502" spans="1:23" ht="14.5" hidden="1" customHeight="1" x14ac:dyDescent="0.2">
      <c r="A502">
        <f t="shared" si="7"/>
        <v>496</v>
      </c>
      <c r="B502">
        <v>2012</v>
      </c>
      <c r="C502" t="s">
        <v>188</v>
      </c>
      <c r="D502" t="s">
        <v>246</v>
      </c>
      <c r="E502" s="22">
        <v>360</v>
      </c>
      <c r="H502" t="s">
        <v>144</v>
      </c>
      <c r="I502" t="s">
        <v>197</v>
      </c>
      <c r="J502" t="s">
        <v>63</v>
      </c>
      <c r="K502" t="s">
        <v>201</v>
      </c>
      <c r="M502" s="4"/>
      <c r="N502" s="2"/>
      <c r="O502" s="21"/>
      <c r="P502" s="2"/>
      <c r="Q502" s="2"/>
      <c r="R502" s="4"/>
      <c r="S502" s="4"/>
      <c r="T502" s="4"/>
      <c r="U502" s="4"/>
      <c r="V502" s="4"/>
      <c r="W502" s="4"/>
    </row>
    <row r="503" spans="1:23" ht="14.5" hidden="1" customHeight="1" x14ac:dyDescent="0.2">
      <c r="A503">
        <f t="shared" si="7"/>
        <v>497</v>
      </c>
      <c r="B503">
        <v>2012</v>
      </c>
      <c r="C503" t="s">
        <v>188</v>
      </c>
      <c r="D503" t="s">
        <v>444</v>
      </c>
      <c r="E503" s="22">
        <v>170</v>
      </c>
      <c r="H503" t="s">
        <v>144</v>
      </c>
      <c r="J503" t="s">
        <v>13</v>
      </c>
      <c r="K503" t="s">
        <v>201</v>
      </c>
      <c r="M503" s="4"/>
      <c r="N503" s="2"/>
      <c r="O503" s="21"/>
      <c r="P503" s="2"/>
      <c r="Q503" s="2"/>
      <c r="R503" s="4"/>
      <c r="S503" s="4"/>
      <c r="T503" s="4"/>
      <c r="U503" s="4"/>
      <c r="V503" s="4"/>
      <c r="W503" s="4"/>
    </row>
    <row r="504" spans="1:23" ht="14.5" hidden="1" customHeight="1" x14ac:dyDescent="0.2">
      <c r="A504">
        <f t="shared" si="7"/>
        <v>498</v>
      </c>
      <c r="B504">
        <v>2012</v>
      </c>
      <c r="C504" t="s">
        <v>188</v>
      </c>
      <c r="D504" t="s">
        <v>479</v>
      </c>
      <c r="E504" s="22">
        <v>160</v>
      </c>
      <c r="H504" t="s">
        <v>154</v>
      </c>
      <c r="I504" t="s">
        <v>250</v>
      </c>
      <c r="J504" t="s">
        <v>2554</v>
      </c>
      <c r="K504" t="s">
        <v>219</v>
      </c>
      <c r="M504" s="4"/>
      <c r="N504" s="2"/>
      <c r="O504" s="21"/>
      <c r="P504" s="2"/>
      <c r="Q504" s="2"/>
      <c r="R504" s="4"/>
      <c r="S504" s="4"/>
      <c r="T504" s="4"/>
      <c r="U504" s="4"/>
      <c r="V504" s="4"/>
      <c r="W504" s="4"/>
    </row>
    <row r="505" spans="1:23" ht="14.5" hidden="1" customHeight="1" x14ac:dyDescent="0.2">
      <c r="A505">
        <f t="shared" si="7"/>
        <v>499</v>
      </c>
      <c r="B505">
        <v>2012</v>
      </c>
      <c r="C505" t="s">
        <v>188</v>
      </c>
      <c r="D505" t="s">
        <v>244</v>
      </c>
      <c r="E505" s="22">
        <v>110</v>
      </c>
      <c r="G505" t="s">
        <v>2575</v>
      </c>
      <c r="H505" t="s">
        <v>149</v>
      </c>
      <c r="J505" t="s">
        <v>52</v>
      </c>
      <c r="K505" t="s">
        <v>201</v>
      </c>
      <c r="M505" s="4"/>
      <c r="N505" s="2"/>
      <c r="O505" s="21"/>
      <c r="P505" s="2"/>
      <c r="Q505" s="2"/>
      <c r="R505" s="4"/>
      <c r="S505" s="4"/>
      <c r="T505" s="4"/>
      <c r="U505" s="4"/>
      <c r="V505" s="4"/>
      <c r="W505" s="4"/>
    </row>
    <row r="506" spans="1:23" ht="14.5" hidden="1" customHeight="1" x14ac:dyDescent="0.2">
      <c r="A506">
        <f t="shared" si="7"/>
        <v>500</v>
      </c>
      <c r="B506">
        <v>2012</v>
      </c>
      <c r="C506" t="s">
        <v>188</v>
      </c>
      <c r="D506" t="s">
        <v>189</v>
      </c>
      <c r="E506" s="22">
        <v>150</v>
      </c>
      <c r="G506" t="s">
        <v>2002</v>
      </c>
      <c r="H506" t="s">
        <v>144</v>
      </c>
      <c r="I506" t="s">
        <v>187</v>
      </c>
      <c r="J506" t="s">
        <v>105</v>
      </c>
      <c r="K506" t="s">
        <v>214</v>
      </c>
      <c r="M506" s="4"/>
      <c r="N506" s="2"/>
      <c r="O506" s="21"/>
      <c r="P506" s="2"/>
      <c r="Q506" s="2"/>
      <c r="R506" s="4"/>
      <c r="S506" s="4"/>
      <c r="T506" s="4"/>
      <c r="U506" s="4"/>
      <c r="V506" s="4"/>
      <c r="W506" s="4"/>
    </row>
    <row r="507" spans="1:23" ht="15" hidden="1" customHeight="1" x14ac:dyDescent="0.2">
      <c r="A507">
        <f t="shared" si="7"/>
        <v>501</v>
      </c>
      <c r="B507">
        <v>2012</v>
      </c>
      <c r="C507" t="s">
        <v>188</v>
      </c>
      <c r="D507" t="s">
        <v>1035</v>
      </c>
      <c r="E507" s="22">
        <v>210</v>
      </c>
      <c r="H507" t="s">
        <v>144</v>
      </c>
      <c r="I507" t="s">
        <v>197</v>
      </c>
      <c r="J507" t="s">
        <v>128</v>
      </c>
      <c r="K507" t="s">
        <v>201</v>
      </c>
      <c r="M507" s="4"/>
      <c r="N507" s="2"/>
      <c r="O507" s="21"/>
      <c r="P507" s="2"/>
      <c r="Q507" s="2"/>
      <c r="R507" s="4"/>
      <c r="S507" s="4"/>
      <c r="T507" s="4"/>
      <c r="U507" s="4"/>
      <c r="V507" s="4"/>
      <c r="W507" s="4"/>
    </row>
    <row r="508" spans="1:23" ht="14.5" hidden="1" customHeight="1" x14ac:dyDescent="0.2">
      <c r="A508">
        <f t="shared" si="7"/>
        <v>502</v>
      </c>
      <c r="B508">
        <v>2012</v>
      </c>
      <c r="C508" t="s">
        <v>191</v>
      </c>
      <c r="D508" t="s">
        <v>397</v>
      </c>
      <c r="E508" s="22">
        <v>1750</v>
      </c>
      <c r="H508" t="s">
        <v>144</v>
      </c>
      <c r="I508" t="s">
        <v>197</v>
      </c>
      <c r="J508" t="s">
        <v>64</v>
      </c>
      <c r="K508" t="s">
        <v>219</v>
      </c>
      <c r="M508" s="4"/>
      <c r="N508" s="2"/>
      <c r="O508" s="21"/>
      <c r="P508" s="2"/>
      <c r="Q508" s="2"/>
      <c r="R508" s="4"/>
      <c r="S508" s="4"/>
      <c r="T508" s="4"/>
      <c r="U508" s="4"/>
      <c r="V508" s="4"/>
      <c r="W508" s="4"/>
    </row>
    <row r="509" spans="1:23" s="41" customFormat="1" ht="14.5" hidden="1" customHeight="1" x14ac:dyDescent="0.2">
      <c r="A509">
        <f t="shared" si="7"/>
        <v>503</v>
      </c>
      <c r="B509">
        <v>2012</v>
      </c>
      <c r="C509" t="s">
        <v>191</v>
      </c>
      <c r="D509" t="s">
        <v>444</v>
      </c>
      <c r="E509" s="22">
        <v>200</v>
      </c>
      <c r="F509" s="16"/>
      <c r="H509" t="s">
        <v>142</v>
      </c>
      <c r="J509" t="s">
        <v>139</v>
      </c>
      <c r="K509" t="s">
        <v>219</v>
      </c>
      <c r="M509" s="77"/>
      <c r="N509" s="78"/>
      <c r="O509" s="42"/>
      <c r="P509" s="78"/>
      <c r="Q509" s="78"/>
      <c r="R509" s="77"/>
      <c r="S509" s="77"/>
      <c r="T509" s="77"/>
      <c r="U509" s="77"/>
      <c r="V509" s="77"/>
      <c r="W509" s="77"/>
    </row>
    <row r="510" spans="1:23" ht="14.5" hidden="1" customHeight="1" x14ac:dyDescent="0.2">
      <c r="A510">
        <f t="shared" si="7"/>
        <v>504</v>
      </c>
      <c r="B510">
        <v>2012</v>
      </c>
      <c r="C510" t="s">
        <v>191</v>
      </c>
      <c r="D510" t="s">
        <v>341</v>
      </c>
      <c r="E510" s="22">
        <v>360</v>
      </c>
      <c r="H510" t="s">
        <v>151</v>
      </c>
      <c r="I510" t="s">
        <v>279</v>
      </c>
      <c r="J510" t="s">
        <v>46</v>
      </c>
      <c r="K510" t="s">
        <v>219</v>
      </c>
      <c r="M510" s="4"/>
      <c r="N510" s="2"/>
      <c r="O510" s="21"/>
      <c r="P510" s="2"/>
      <c r="Q510" s="2"/>
      <c r="R510" s="4"/>
      <c r="S510" s="4"/>
      <c r="T510" s="4"/>
      <c r="U510" s="4"/>
      <c r="V510" s="4"/>
      <c r="W510" s="4"/>
    </row>
    <row r="511" spans="1:23" ht="14.5" hidden="1" customHeight="1" x14ac:dyDescent="0.2">
      <c r="A511">
        <f t="shared" si="7"/>
        <v>505</v>
      </c>
      <c r="B511">
        <v>2012</v>
      </c>
      <c r="C511" t="s">
        <v>191</v>
      </c>
      <c r="D511" t="s">
        <v>307</v>
      </c>
      <c r="E511" s="22">
        <v>1310</v>
      </c>
      <c r="G511" t="s">
        <v>2576</v>
      </c>
      <c r="H511" t="s">
        <v>144</v>
      </c>
      <c r="J511" t="s">
        <v>135</v>
      </c>
      <c r="K511" t="s">
        <v>205</v>
      </c>
      <c r="M511" s="4"/>
      <c r="N511" s="2"/>
      <c r="O511" s="21"/>
      <c r="P511" s="2"/>
      <c r="Q511" s="2"/>
      <c r="R511" s="4"/>
      <c r="S511" s="4"/>
      <c r="T511" s="4"/>
      <c r="U511" s="4"/>
      <c r="V511" s="4"/>
      <c r="W511" s="4"/>
    </row>
    <row r="512" spans="1:23" ht="14.5" hidden="1" customHeight="1" x14ac:dyDescent="0.2">
      <c r="A512">
        <f t="shared" si="7"/>
        <v>506</v>
      </c>
      <c r="B512">
        <v>2012</v>
      </c>
      <c r="C512" t="s">
        <v>191</v>
      </c>
      <c r="D512" t="s">
        <v>2438</v>
      </c>
      <c r="E512" s="22">
        <v>590</v>
      </c>
      <c r="H512" t="s">
        <v>154</v>
      </c>
      <c r="I512" t="s">
        <v>194</v>
      </c>
      <c r="J512" t="s">
        <v>64</v>
      </c>
      <c r="K512" t="s">
        <v>219</v>
      </c>
      <c r="M512" s="79"/>
      <c r="N512" s="2"/>
      <c r="O512" s="21"/>
      <c r="P512" s="2"/>
      <c r="Q512" s="2"/>
      <c r="R512" s="4"/>
      <c r="S512" s="4"/>
      <c r="T512" s="4"/>
      <c r="U512" s="4"/>
      <c r="V512" s="4"/>
      <c r="W512" s="4"/>
    </row>
    <row r="513" spans="1:23" ht="14.5" hidden="1" customHeight="1" x14ac:dyDescent="0.2">
      <c r="A513">
        <f t="shared" si="7"/>
        <v>507</v>
      </c>
      <c r="B513">
        <v>2012</v>
      </c>
      <c r="C513" t="s">
        <v>191</v>
      </c>
      <c r="D513" t="s">
        <v>479</v>
      </c>
      <c r="E513" s="22">
        <v>200</v>
      </c>
      <c r="H513" t="s">
        <v>142</v>
      </c>
      <c r="J513" t="s">
        <v>46</v>
      </c>
      <c r="K513" t="s">
        <v>219</v>
      </c>
      <c r="M513" s="4"/>
      <c r="N513" s="2"/>
      <c r="O513" s="21"/>
      <c r="P513" s="2"/>
      <c r="Q513" s="2"/>
      <c r="R513" s="4"/>
      <c r="S513" s="4"/>
      <c r="T513" s="4"/>
      <c r="U513" s="4"/>
      <c r="V513" s="4"/>
      <c r="W513" s="4"/>
    </row>
    <row r="514" spans="1:23" ht="14.5" hidden="1" customHeight="1" x14ac:dyDescent="0.2">
      <c r="A514">
        <f t="shared" si="7"/>
        <v>508</v>
      </c>
      <c r="B514">
        <v>2012</v>
      </c>
      <c r="C514" t="s">
        <v>191</v>
      </c>
      <c r="D514" t="s">
        <v>246</v>
      </c>
      <c r="E514" s="22">
        <v>210</v>
      </c>
      <c r="H514" t="s">
        <v>144</v>
      </c>
      <c r="I514" t="s">
        <v>197</v>
      </c>
      <c r="J514" t="s">
        <v>24</v>
      </c>
      <c r="K514" t="s">
        <v>219</v>
      </c>
      <c r="M514" s="4"/>
      <c r="N514" s="2"/>
      <c r="O514" s="21"/>
      <c r="P514" s="2"/>
      <c r="Q514" s="2"/>
      <c r="R514" s="4"/>
      <c r="S514" s="4"/>
      <c r="T514" s="4"/>
      <c r="U514" s="4"/>
      <c r="V514" s="4"/>
      <c r="W514" s="4"/>
    </row>
    <row r="515" spans="1:23" ht="14.5" hidden="1" customHeight="1" x14ac:dyDescent="0.2">
      <c r="A515">
        <f t="shared" si="7"/>
        <v>509</v>
      </c>
      <c r="B515">
        <v>2012</v>
      </c>
      <c r="C515" t="s">
        <v>191</v>
      </c>
      <c r="D515" t="s">
        <v>479</v>
      </c>
      <c r="E515" s="22">
        <v>120</v>
      </c>
      <c r="H515" t="s">
        <v>154</v>
      </c>
      <c r="I515" t="s">
        <v>194</v>
      </c>
      <c r="J515" t="s">
        <v>102</v>
      </c>
      <c r="K515" t="s">
        <v>219</v>
      </c>
      <c r="M515" s="79"/>
      <c r="N515" s="2"/>
      <c r="O515" s="21"/>
      <c r="P515" s="2"/>
      <c r="Q515" s="2"/>
      <c r="R515" s="4"/>
      <c r="S515" s="4"/>
      <c r="T515" s="4"/>
      <c r="U515" s="4"/>
      <c r="V515" s="4"/>
      <c r="W515" s="4"/>
    </row>
    <row r="516" spans="1:23" ht="14.5" hidden="1" customHeight="1" x14ac:dyDescent="0.2">
      <c r="A516">
        <f t="shared" si="7"/>
        <v>510</v>
      </c>
      <c r="B516">
        <v>2012</v>
      </c>
      <c r="C516" t="s">
        <v>191</v>
      </c>
      <c r="D516" t="s">
        <v>479</v>
      </c>
      <c r="E516" s="22">
        <v>280</v>
      </c>
      <c r="H516" t="s">
        <v>154</v>
      </c>
      <c r="I516" t="s">
        <v>194</v>
      </c>
      <c r="J516" t="s">
        <v>64</v>
      </c>
      <c r="K516" t="s">
        <v>219</v>
      </c>
      <c r="M516" s="79"/>
      <c r="N516" s="2"/>
      <c r="O516" s="21"/>
      <c r="P516" s="2"/>
      <c r="Q516" s="2"/>
      <c r="R516" s="4"/>
      <c r="S516" s="4"/>
      <c r="T516" s="4"/>
      <c r="U516" s="4"/>
      <c r="V516" s="4"/>
      <c r="W516" s="4"/>
    </row>
    <row r="517" spans="1:23" ht="14.5" hidden="1" customHeight="1" x14ac:dyDescent="0.2">
      <c r="A517">
        <f t="shared" si="7"/>
        <v>511</v>
      </c>
      <c r="B517">
        <v>2012</v>
      </c>
      <c r="C517" t="s">
        <v>191</v>
      </c>
      <c r="D517" t="s">
        <v>2577</v>
      </c>
      <c r="E517" s="22">
        <v>420</v>
      </c>
      <c r="G517" t="s">
        <v>2578</v>
      </c>
      <c r="H517" t="s">
        <v>149</v>
      </c>
      <c r="I517" t="s">
        <v>182</v>
      </c>
      <c r="J517" t="s">
        <v>53</v>
      </c>
      <c r="K517" t="s">
        <v>183</v>
      </c>
      <c r="M517" s="4"/>
      <c r="N517" s="2"/>
      <c r="O517" s="21"/>
      <c r="P517" s="2"/>
      <c r="Q517" s="2"/>
      <c r="R517" s="4"/>
      <c r="S517" s="4"/>
      <c r="T517" s="4"/>
      <c r="U517" s="4"/>
      <c r="V517" s="4"/>
      <c r="W517" s="4"/>
    </row>
    <row r="518" spans="1:23" ht="14.5" hidden="1" customHeight="1" x14ac:dyDescent="0.2">
      <c r="A518">
        <f t="shared" si="7"/>
        <v>512</v>
      </c>
      <c r="B518">
        <v>2012</v>
      </c>
      <c r="C518" t="s">
        <v>191</v>
      </c>
      <c r="D518" t="s">
        <v>2577</v>
      </c>
      <c r="E518" s="22">
        <v>180</v>
      </c>
      <c r="G518" t="s">
        <v>2579</v>
      </c>
      <c r="H518" t="s">
        <v>149</v>
      </c>
      <c r="J518" t="s">
        <v>53</v>
      </c>
      <c r="K518" t="s">
        <v>183</v>
      </c>
      <c r="M518" s="4"/>
      <c r="N518" s="2"/>
      <c r="O518" s="21"/>
      <c r="P518" s="2"/>
      <c r="Q518" s="2"/>
      <c r="R518" s="4"/>
      <c r="S518" s="4"/>
      <c r="T518" s="4"/>
      <c r="U518" s="4"/>
      <c r="V518" s="4"/>
      <c r="W518" s="4"/>
    </row>
    <row r="519" spans="1:23" ht="14.5" hidden="1" customHeight="1" x14ac:dyDescent="0.2">
      <c r="A519">
        <f t="shared" ref="A519:A582" si="8">ROW()-6</f>
        <v>513</v>
      </c>
      <c r="B519">
        <v>2012</v>
      </c>
      <c r="C519" t="s">
        <v>191</v>
      </c>
      <c r="D519" t="s">
        <v>479</v>
      </c>
      <c r="E519" s="22">
        <v>2660</v>
      </c>
      <c r="H519" t="s">
        <v>154</v>
      </c>
      <c r="I519" t="s">
        <v>529</v>
      </c>
      <c r="J519" t="s">
        <v>64</v>
      </c>
      <c r="K519" t="s">
        <v>219</v>
      </c>
      <c r="M519" s="79"/>
      <c r="N519" s="2"/>
      <c r="O519" s="21"/>
      <c r="P519" s="2"/>
      <c r="Q519" s="2"/>
      <c r="R519" s="4"/>
      <c r="S519" s="4"/>
      <c r="T519" s="4"/>
      <c r="U519" s="4"/>
      <c r="V519" s="4"/>
      <c r="W519" s="4"/>
    </row>
    <row r="520" spans="1:23" ht="14.5" hidden="1" customHeight="1" x14ac:dyDescent="0.2">
      <c r="A520">
        <f t="shared" si="8"/>
        <v>514</v>
      </c>
      <c r="B520">
        <v>2012</v>
      </c>
      <c r="C520" t="s">
        <v>198</v>
      </c>
      <c r="D520" t="s">
        <v>189</v>
      </c>
      <c r="E520" s="22">
        <v>140</v>
      </c>
      <c r="G520" t="s">
        <v>2580</v>
      </c>
      <c r="H520" t="s">
        <v>144</v>
      </c>
      <c r="J520" t="s">
        <v>64</v>
      </c>
      <c r="K520" t="s">
        <v>219</v>
      </c>
      <c r="M520" s="4"/>
      <c r="N520" s="2"/>
      <c r="O520" s="21"/>
      <c r="P520" s="2"/>
      <c r="Q520" s="2"/>
      <c r="R520" s="4"/>
      <c r="S520" s="4"/>
      <c r="T520" s="4"/>
      <c r="U520" s="4"/>
      <c r="V520" s="4"/>
      <c r="W520" s="4"/>
    </row>
    <row r="521" spans="1:23" ht="14.5" hidden="1" customHeight="1" x14ac:dyDescent="0.2">
      <c r="A521">
        <f t="shared" si="8"/>
        <v>515</v>
      </c>
      <c r="B521">
        <v>2012</v>
      </c>
      <c r="C521" t="s">
        <v>198</v>
      </c>
      <c r="D521" t="s">
        <v>246</v>
      </c>
      <c r="E521" s="22">
        <v>300</v>
      </c>
      <c r="G521" t="s">
        <v>2581</v>
      </c>
      <c r="H521" t="s">
        <v>144</v>
      </c>
      <c r="I521" t="s">
        <v>197</v>
      </c>
      <c r="J521" t="s">
        <v>67</v>
      </c>
      <c r="K521" t="s">
        <v>183</v>
      </c>
      <c r="M521" s="4"/>
      <c r="N521" s="2"/>
      <c r="O521" s="21"/>
      <c r="P521" s="2"/>
      <c r="Q521" s="2"/>
      <c r="R521" s="4"/>
      <c r="S521" s="4"/>
      <c r="T521" s="4"/>
      <c r="U521" s="4"/>
      <c r="V521" s="4"/>
      <c r="W521" s="4"/>
    </row>
    <row r="522" spans="1:23" ht="14.5" hidden="1" customHeight="1" x14ac:dyDescent="0.2">
      <c r="A522">
        <f t="shared" si="8"/>
        <v>516</v>
      </c>
      <c r="B522">
        <v>2012</v>
      </c>
      <c r="C522" t="s">
        <v>198</v>
      </c>
      <c r="D522" t="s">
        <v>397</v>
      </c>
      <c r="E522" s="22">
        <v>230</v>
      </c>
      <c r="H522" t="s">
        <v>153</v>
      </c>
      <c r="J522" t="s">
        <v>93</v>
      </c>
      <c r="K522" t="s">
        <v>201</v>
      </c>
      <c r="M522" s="4"/>
      <c r="N522" s="2"/>
      <c r="O522" s="21"/>
      <c r="P522" s="2"/>
      <c r="Q522" s="2"/>
      <c r="R522" s="4"/>
      <c r="S522" s="4"/>
      <c r="T522" s="4"/>
      <c r="U522" s="4"/>
      <c r="V522" s="4"/>
      <c r="W522" s="4"/>
    </row>
    <row r="523" spans="1:23" ht="14.5" hidden="1" customHeight="1" x14ac:dyDescent="0.2">
      <c r="A523">
        <f t="shared" si="8"/>
        <v>517</v>
      </c>
      <c r="B523">
        <v>2012</v>
      </c>
      <c r="C523" t="s">
        <v>198</v>
      </c>
      <c r="D523" t="s">
        <v>875</v>
      </c>
      <c r="E523" s="22">
        <v>130</v>
      </c>
      <c r="H523" t="s">
        <v>155</v>
      </c>
      <c r="J523" t="s">
        <v>55</v>
      </c>
      <c r="K523" t="s">
        <v>214</v>
      </c>
      <c r="M523" s="4"/>
      <c r="N523" s="2"/>
      <c r="O523" s="21"/>
      <c r="P523" s="2"/>
      <c r="Q523" s="2"/>
      <c r="R523" s="4"/>
      <c r="S523" s="4"/>
      <c r="T523" s="4"/>
      <c r="U523" s="4"/>
      <c r="V523" s="4"/>
      <c r="W523" s="4"/>
    </row>
    <row r="524" spans="1:23" ht="14.5" hidden="1" customHeight="1" x14ac:dyDescent="0.2">
      <c r="A524">
        <f t="shared" si="8"/>
        <v>518</v>
      </c>
      <c r="B524">
        <v>2012</v>
      </c>
      <c r="C524" t="s">
        <v>198</v>
      </c>
      <c r="D524" t="s">
        <v>444</v>
      </c>
      <c r="E524" s="22">
        <v>190</v>
      </c>
      <c r="H524" t="s">
        <v>155</v>
      </c>
      <c r="J524" t="s">
        <v>63</v>
      </c>
      <c r="K524" t="s">
        <v>201</v>
      </c>
      <c r="M524" s="4"/>
      <c r="N524" s="2"/>
      <c r="O524" s="21"/>
      <c r="P524" s="2"/>
      <c r="Q524" s="2"/>
      <c r="R524" s="4"/>
      <c r="S524" s="4"/>
      <c r="T524" s="4"/>
      <c r="U524" s="4"/>
      <c r="V524" s="4"/>
      <c r="W524" s="4"/>
    </row>
    <row r="525" spans="1:23" ht="14.5" hidden="1" customHeight="1" x14ac:dyDescent="0.2">
      <c r="A525">
        <f t="shared" si="8"/>
        <v>519</v>
      </c>
      <c r="B525">
        <v>2012</v>
      </c>
      <c r="C525" t="s">
        <v>198</v>
      </c>
      <c r="D525" t="s">
        <v>444</v>
      </c>
      <c r="E525" s="22">
        <v>120</v>
      </c>
      <c r="H525" t="s">
        <v>154</v>
      </c>
      <c r="I525" t="s">
        <v>194</v>
      </c>
      <c r="J525" t="s">
        <v>59</v>
      </c>
      <c r="K525" t="s">
        <v>219</v>
      </c>
      <c r="M525" s="4"/>
      <c r="N525" s="2"/>
      <c r="O525" s="21"/>
      <c r="P525" s="2"/>
      <c r="Q525" s="2"/>
      <c r="R525" s="4"/>
      <c r="S525" s="4"/>
      <c r="T525" s="4"/>
      <c r="U525" s="4"/>
      <c r="V525" s="4"/>
      <c r="W525" s="4"/>
    </row>
    <row r="526" spans="1:23" ht="14.5" hidden="1" customHeight="1" x14ac:dyDescent="0.2">
      <c r="A526">
        <f t="shared" si="8"/>
        <v>520</v>
      </c>
      <c r="B526">
        <v>2012</v>
      </c>
      <c r="C526" t="s">
        <v>198</v>
      </c>
      <c r="D526" t="s">
        <v>444</v>
      </c>
      <c r="E526" s="22">
        <v>1180</v>
      </c>
      <c r="H526" t="s">
        <v>144</v>
      </c>
      <c r="I526" t="s">
        <v>187</v>
      </c>
      <c r="J526" t="s">
        <v>55</v>
      </c>
      <c r="K526" t="s">
        <v>214</v>
      </c>
      <c r="M526" s="4"/>
      <c r="N526" s="2"/>
      <c r="O526" s="21"/>
      <c r="P526" s="2"/>
      <c r="Q526" s="2"/>
      <c r="R526" s="4"/>
      <c r="S526" s="4"/>
      <c r="T526" s="4"/>
      <c r="U526" s="4"/>
      <c r="V526" s="4"/>
      <c r="W526" s="4"/>
    </row>
    <row r="527" spans="1:23" ht="14.5" hidden="1" customHeight="1" x14ac:dyDescent="0.2">
      <c r="A527">
        <f t="shared" si="8"/>
        <v>521</v>
      </c>
      <c r="B527">
        <v>2012</v>
      </c>
      <c r="C527" t="s">
        <v>202</v>
      </c>
      <c r="D527" t="s">
        <v>341</v>
      </c>
      <c r="E527" s="22">
        <v>510</v>
      </c>
      <c r="G527" t="s">
        <v>2582</v>
      </c>
      <c r="H527" t="s">
        <v>144</v>
      </c>
      <c r="I527" t="s">
        <v>197</v>
      </c>
      <c r="J527" t="s">
        <v>50</v>
      </c>
      <c r="K527" t="s">
        <v>205</v>
      </c>
      <c r="M527" s="4"/>
      <c r="N527" s="2"/>
      <c r="O527" s="21"/>
      <c r="P527" s="2"/>
      <c r="Q527" s="2"/>
      <c r="R527" s="4"/>
      <c r="S527" s="4"/>
      <c r="T527" s="4"/>
      <c r="U527" s="4"/>
      <c r="V527" s="4"/>
      <c r="W527" s="4"/>
    </row>
    <row r="528" spans="1:23" ht="14.5" hidden="1" customHeight="1" x14ac:dyDescent="0.2">
      <c r="A528">
        <f t="shared" si="8"/>
        <v>522</v>
      </c>
      <c r="B528">
        <v>2012</v>
      </c>
      <c r="C528" t="s">
        <v>202</v>
      </c>
      <c r="D528" t="s">
        <v>479</v>
      </c>
      <c r="E528" s="22">
        <v>160</v>
      </c>
      <c r="G528" t="s">
        <v>2583</v>
      </c>
      <c r="H528" t="s">
        <v>148</v>
      </c>
      <c r="J528" t="s">
        <v>105</v>
      </c>
      <c r="K528" t="s">
        <v>214</v>
      </c>
      <c r="M528" s="4"/>
      <c r="N528" s="2"/>
      <c r="O528" s="21"/>
      <c r="P528" s="2"/>
      <c r="Q528" s="2"/>
      <c r="R528" s="4"/>
      <c r="S528" s="4"/>
      <c r="T528" s="4"/>
      <c r="U528" s="4"/>
      <c r="V528" s="4"/>
      <c r="W528" s="4"/>
    </row>
    <row r="529" spans="1:23" ht="14.5" hidden="1" customHeight="1" x14ac:dyDescent="0.2">
      <c r="A529">
        <f t="shared" si="8"/>
        <v>523</v>
      </c>
      <c r="B529">
        <v>2012</v>
      </c>
      <c r="C529" t="s">
        <v>202</v>
      </c>
      <c r="D529" t="s">
        <v>815</v>
      </c>
      <c r="E529" s="22">
        <v>190</v>
      </c>
      <c r="G529" t="s">
        <v>2584</v>
      </c>
      <c r="H529" t="s">
        <v>151</v>
      </c>
      <c r="I529" t="s">
        <v>279</v>
      </c>
      <c r="J529" t="s">
        <v>105</v>
      </c>
      <c r="K529" t="s">
        <v>214</v>
      </c>
      <c r="M529" s="4"/>
      <c r="N529" s="2"/>
      <c r="O529" s="21"/>
      <c r="P529" s="2"/>
      <c r="Q529" s="2"/>
      <c r="R529" s="4"/>
      <c r="S529" s="4"/>
      <c r="T529" s="4"/>
      <c r="U529" s="4"/>
      <c r="V529" s="4"/>
      <c r="W529" s="4"/>
    </row>
    <row r="530" spans="1:23" ht="15" hidden="1" customHeight="1" x14ac:dyDescent="0.2">
      <c r="A530">
        <f t="shared" si="8"/>
        <v>524</v>
      </c>
      <c r="B530">
        <v>2012</v>
      </c>
      <c r="C530" t="s">
        <v>202</v>
      </c>
      <c r="D530" t="s">
        <v>479</v>
      </c>
      <c r="E530" s="22">
        <v>700</v>
      </c>
      <c r="G530" t="s">
        <v>2114</v>
      </c>
      <c r="H530" t="s">
        <v>154</v>
      </c>
      <c r="I530" t="s">
        <v>271</v>
      </c>
      <c r="J530" t="s">
        <v>81</v>
      </c>
      <c r="K530" t="s">
        <v>219</v>
      </c>
      <c r="M530" s="4"/>
      <c r="N530" s="2"/>
      <c r="O530" s="21"/>
      <c r="P530" s="2"/>
      <c r="Q530" s="2"/>
      <c r="R530" s="4"/>
      <c r="S530" s="4"/>
      <c r="T530" s="4"/>
      <c r="U530" s="4"/>
      <c r="V530" s="4"/>
      <c r="W530" s="4"/>
    </row>
    <row r="531" spans="1:23" ht="14.5" hidden="1" customHeight="1" x14ac:dyDescent="0.2">
      <c r="A531">
        <f t="shared" si="8"/>
        <v>525</v>
      </c>
      <c r="B531">
        <v>2012</v>
      </c>
      <c r="C531" t="s">
        <v>202</v>
      </c>
      <c r="D531" t="s">
        <v>444</v>
      </c>
      <c r="E531" s="22">
        <v>310</v>
      </c>
      <c r="H531" t="s">
        <v>155</v>
      </c>
      <c r="J531" t="s">
        <v>13</v>
      </c>
      <c r="K531" t="s">
        <v>201</v>
      </c>
      <c r="M531" s="4"/>
      <c r="N531" s="2"/>
      <c r="O531" s="21"/>
      <c r="P531" s="2"/>
      <c r="Q531" s="2"/>
      <c r="R531" s="4"/>
      <c r="S531" s="4"/>
      <c r="T531" s="4"/>
      <c r="U531" s="4"/>
      <c r="V531" s="4"/>
      <c r="W531" s="4"/>
    </row>
    <row r="532" spans="1:23" ht="14.5" hidden="1" customHeight="1" x14ac:dyDescent="0.2">
      <c r="A532">
        <f t="shared" si="8"/>
        <v>526</v>
      </c>
      <c r="B532">
        <v>2012</v>
      </c>
      <c r="C532" t="s">
        <v>202</v>
      </c>
      <c r="D532" t="s">
        <v>479</v>
      </c>
      <c r="E532" s="22">
        <v>150</v>
      </c>
      <c r="H532" t="s">
        <v>154</v>
      </c>
      <c r="I532" t="s">
        <v>271</v>
      </c>
      <c r="J532" t="s">
        <v>46</v>
      </c>
      <c r="K532" t="s">
        <v>219</v>
      </c>
      <c r="M532" s="4"/>
      <c r="N532" s="2"/>
      <c r="O532" s="21"/>
      <c r="P532" s="2"/>
      <c r="Q532" s="2"/>
      <c r="R532" s="4"/>
      <c r="S532" s="4"/>
      <c r="T532" s="4"/>
      <c r="U532" s="4"/>
      <c r="V532" s="4"/>
      <c r="W532" s="4"/>
    </row>
    <row r="533" spans="1:23" ht="14.5" hidden="1" customHeight="1" x14ac:dyDescent="0.2">
      <c r="A533">
        <f t="shared" si="8"/>
        <v>527</v>
      </c>
      <c r="B533">
        <v>2012</v>
      </c>
      <c r="C533" t="s">
        <v>202</v>
      </c>
      <c r="D533" t="s">
        <v>444</v>
      </c>
      <c r="E533" s="22">
        <v>210</v>
      </c>
      <c r="H533" t="s">
        <v>155</v>
      </c>
      <c r="J533" t="s">
        <v>2554</v>
      </c>
      <c r="K533" t="s">
        <v>219</v>
      </c>
      <c r="M533" s="4"/>
      <c r="N533" s="2"/>
      <c r="O533" s="21"/>
      <c r="P533" s="2"/>
      <c r="Q533" s="2"/>
      <c r="R533" s="4"/>
      <c r="S533" s="4"/>
      <c r="T533" s="4"/>
      <c r="U533" s="4"/>
      <c r="V533" s="4"/>
      <c r="W533" s="4"/>
    </row>
    <row r="534" spans="1:23" ht="14.5" hidden="1" customHeight="1" x14ac:dyDescent="0.2">
      <c r="A534">
        <f t="shared" si="8"/>
        <v>528</v>
      </c>
      <c r="B534">
        <v>2012</v>
      </c>
      <c r="C534" t="s">
        <v>202</v>
      </c>
      <c r="D534" t="s">
        <v>199</v>
      </c>
      <c r="E534" s="22">
        <v>2920</v>
      </c>
      <c r="H534" t="s">
        <v>144</v>
      </c>
      <c r="I534" t="s">
        <v>299</v>
      </c>
      <c r="J534" t="s">
        <v>129</v>
      </c>
      <c r="K534" t="s">
        <v>201</v>
      </c>
      <c r="M534" s="4"/>
      <c r="N534" s="2"/>
      <c r="O534" s="21"/>
      <c r="P534" s="2"/>
      <c r="Q534" s="2"/>
      <c r="R534" s="4"/>
      <c r="S534" s="4"/>
      <c r="T534" s="4"/>
      <c r="U534" s="4"/>
      <c r="V534" s="4"/>
      <c r="W534" s="4"/>
    </row>
    <row r="535" spans="1:23" ht="14.5" hidden="1" customHeight="1" x14ac:dyDescent="0.2">
      <c r="A535">
        <f t="shared" si="8"/>
        <v>529</v>
      </c>
      <c r="B535">
        <v>2012</v>
      </c>
      <c r="C535" t="s">
        <v>202</v>
      </c>
      <c r="D535" t="s">
        <v>199</v>
      </c>
      <c r="E535" s="22">
        <v>2040</v>
      </c>
      <c r="H535" t="s">
        <v>144</v>
      </c>
      <c r="I535" t="s">
        <v>299</v>
      </c>
      <c r="J535" t="s">
        <v>134</v>
      </c>
      <c r="K535" t="s">
        <v>201</v>
      </c>
      <c r="M535" s="4"/>
      <c r="N535" s="2"/>
      <c r="O535" s="21"/>
      <c r="P535" s="2"/>
      <c r="Q535" s="2"/>
      <c r="R535" s="4"/>
      <c r="S535" s="4"/>
      <c r="T535" s="4"/>
      <c r="U535" s="4"/>
      <c r="V535" s="4"/>
      <c r="W535" s="4"/>
    </row>
    <row r="536" spans="1:23" ht="14.5" hidden="1" customHeight="1" x14ac:dyDescent="0.2">
      <c r="A536">
        <f t="shared" si="8"/>
        <v>530</v>
      </c>
      <c r="B536">
        <v>2012</v>
      </c>
      <c r="C536" t="s">
        <v>202</v>
      </c>
      <c r="D536" t="s">
        <v>199</v>
      </c>
      <c r="E536" s="22">
        <v>150</v>
      </c>
      <c r="H536" t="s">
        <v>144</v>
      </c>
      <c r="I536" t="s">
        <v>299</v>
      </c>
      <c r="J536" t="s">
        <v>63</v>
      </c>
      <c r="K536" t="s">
        <v>201</v>
      </c>
      <c r="M536" s="4"/>
      <c r="N536" s="2"/>
      <c r="O536" s="21"/>
      <c r="P536" s="2"/>
      <c r="Q536" s="2"/>
      <c r="R536" s="4"/>
      <c r="S536" s="4"/>
      <c r="T536" s="4"/>
      <c r="U536" s="4"/>
      <c r="V536" s="4"/>
      <c r="W536" s="4"/>
    </row>
    <row r="537" spans="1:23" ht="14.5" hidden="1" customHeight="1" x14ac:dyDescent="0.2">
      <c r="A537">
        <f t="shared" si="8"/>
        <v>531</v>
      </c>
      <c r="B537">
        <v>2012</v>
      </c>
      <c r="C537" t="s">
        <v>202</v>
      </c>
      <c r="D537" t="s">
        <v>1035</v>
      </c>
      <c r="E537" s="22">
        <v>130</v>
      </c>
      <c r="H537" t="s">
        <v>154</v>
      </c>
      <c r="I537" t="s">
        <v>194</v>
      </c>
      <c r="J537" t="s">
        <v>44</v>
      </c>
      <c r="K537" t="s">
        <v>201</v>
      </c>
      <c r="M537" s="4"/>
      <c r="N537" s="2"/>
      <c r="O537" s="21"/>
      <c r="P537" s="2"/>
      <c r="Q537" s="2"/>
      <c r="R537" s="4"/>
      <c r="S537" s="4"/>
      <c r="T537" s="4"/>
      <c r="U537" s="4"/>
      <c r="V537" s="4"/>
      <c r="W537" s="4"/>
    </row>
    <row r="538" spans="1:23" ht="14.5" hidden="1" customHeight="1" x14ac:dyDescent="0.2">
      <c r="A538">
        <f t="shared" si="8"/>
        <v>532</v>
      </c>
      <c r="B538">
        <v>2012</v>
      </c>
      <c r="C538" t="s">
        <v>202</v>
      </c>
      <c r="D538" t="s">
        <v>745</v>
      </c>
      <c r="E538" s="22">
        <v>640</v>
      </c>
      <c r="H538" t="s">
        <v>144</v>
      </c>
      <c r="I538" t="s">
        <v>299</v>
      </c>
      <c r="J538" t="s">
        <v>128</v>
      </c>
      <c r="K538" t="s">
        <v>201</v>
      </c>
      <c r="M538" s="4"/>
      <c r="N538" s="2"/>
      <c r="O538" s="21"/>
      <c r="P538" s="2"/>
      <c r="Q538" s="2"/>
      <c r="R538" s="4"/>
      <c r="S538" s="4"/>
      <c r="T538" s="4"/>
      <c r="U538" s="4"/>
      <c r="V538" s="4"/>
      <c r="W538" s="4"/>
    </row>
    <row r="539" spans="1:23" ht="14.5" hidden="1" customHeight="1" x14ac:dyDescent="0.2">
      <c r="A539">
        <f t="shared" si="8"/>
        <v>533</v>
      </c>
      <c r="B539">
        <v>2012</v>
      </c>
      <c r="C539" t="s">
        <v>207</v>
      </c>
      <c r="D539" t="s">
        <v>399</v>
      </c>
      <c r="E539" s="22">
        <v>200</v>
      </c>
      <c r="G539" t="s">
        <v>2585</v>
      </c>
      <c r="H539" t="s">
        <v>144</v>
      </c>
      <c r="I539" t="s">
        <v>273</v>
      </c>
      <c r="J539" t="s">
        <v>130</v>
      </c>
      <c r="K539" t="s">
        <v>214</v>
      </c>
      <c r="M539" s="4"/>
      <c r="N539" s="2"/>
      <c r="O539" s="21"/>
      <c r="P539" s="2"/>
      <c r="Q539" s="2"/>
      <c r="R539" s="4"/>
      <c r="S539" s="4"/>
      <c r="T539" s="4"/>
      <c r="U539" s="4"/>
      <c r="V539" s="4"/>
      <c r="W539" s="4"/>
    </row>
    <row r="540" spans="1:23" ht="14.5" hidden="1" customHeight="1" x14ac:dyDescent="0.2">
      <c r="A540">
        <f t="shared" si="8"/>
        <v>534</v>
      </c>
      <c r="B540">
        <v>2012</v>
      </c>
      <c r="C540" t="s">
        <v>207</v>
      </c>
      <c r="D540" t="s">
        <v>180</v>
      </c>
      <c r="E540" s="22">
        <v>2290</v>
      </c>
      <c r="G540" t="s">
        <v>2586</v>
      </c>
      <c r="H540" t="s">
        <v>149</v>
      </c>
      <c r="I540" t="s">
        <v>182</v>
      </c>
      <c r="J540" t="s">
        <v>136</v>
      </c>
      <c r="K540" t="s">
        <v>183</v>
      </c>
      <c r="M540" s="4"/>
      <c r="N540" s="2"/>
      <c r="O540" s="21"/>
      <c r="P540" s="2"/>
      <c r="Q540" s="2"/>
      <c r="R540" s="4"/>
      <c r="S540" s="4"/>
      <c r="T540" s="4"/>
      <c r="U540" s="4"/>
      <c r="V540" s="4"/>
      <c r="W540" s="4"/>
    </row>
    <row r="541" spans="1:23" ht="14.5" hidden="1" customHeight="1" x14ac:dyDescent="0.2">
      <c r="A541">
        <f t="shared" si="8"/>
        <v>535</v>
      </c>
      <c r="B541">
        <v>2012</v>
      </c>
      <c r="C541" t="s">
        <v>207</v>
      </c>
      <c r="D541" t="s">
        <v>449</v>
      </c>
      <c r="E541" s="22">
        <v>150</v>
      </c>
      <c r="H541" t="s">
        <v>155</v>
      </c>
      <c r="J541" t="s">
        <v>138</v>
      </c>
      <c r="K541" t="s">
        <v>219</v>
      </c>
      <c r="M541" s="4"/>
      <c r="N541" s="2"/>
      <c r="O541" s="21"/>
      <c r="P541" s="2"/>
      <c r="Q541" s="2"/>
      <c r="R541" s="4"/>
      <c r="S541" s="4"/>
      <c r="T541" s="4"/>
      <c r="U541" s="4"/>
      <c r="V541" s="4"/>
      <c r="W541" s="4"/>
    </row>
    <row r="542" spans="1:23" ht="14.5" hidden="1" customHeight="1" x14ac:dyDescent="0.2">
      <c r="A542">
        <f t="shared" si="8"/>
        <v>536</v>
      </c>
      <c r="B542">
        <v>2012</v>
      </c>
      <c r="C542" t="s">
        <v>207</v>
      </c>
      <c r="D542" t="s">
        <v>444</v>
      </c>
      <c r="E542" s="22">
        <v>320</v>
      </c>
      <c r="H542" t="s">
        <v>142</v>
      </c>
      <c r="J542" t="s">
        <v>116</v>
      </c>
      <c r="K542" t="s">
        <v>214</v>
      </c>
      <c r="M542" s="4"/>
      <c r="N542" s="2"/>
      <c r="O542" s="21"/>
      <c r="P542" s="2"/>
      <c r="Q542" s="2"/>
      <c r="R542" s="4"/>
      <c r="S542" s="4"/>
      <c r="T542" s="4"/>
      <c r="U542" s="4"/>
      <c r="V542" s="4"/>
      <c r="W542" s="4"/>
    </row>
    <row r="543" spans="1:23" ht="14.5" hidden="1" customHeight="1" x14ac:dyDescent="0.2">
      <c r="A543">
        <f t="shared" si="8"/>
        <v>537</v>
      </c>
      <c r="B543">
        <v>2012</v>
      </c>
      <c r="C543" t="s">
        <v>207</v>
      </c>
      <c r="D543" t="s">
        <v>875</v>
      </c>
      <c r="E543" s="22">
        <v>210</v>
      </c>
      <c r="G543" t="s">
        <v>2587</v>
      </c>
      <c r="H543" t="s">
        <v>144</v>
      </c>
      <c r="I543" t="s">
        <v>299</v>
      </c>
      <c r="J543" t="s">
        <v>13</v>
      </c>
      <c r="K543" t="s">
        <v>201</v>
      </c>
      <c r="M543" s="4"/>
      <c r="N543" s="2"/>
      <c r="O543" s="21"/>
      <c r="P543" s="2"/>
      <c r="Q543" s="2"/>
      <c r="R543" s="4"/>
      <c r="S543" s="4"/>
      <c r="T543" s="4"/>
      <c r="U543" s="4"/>
      <c r="V543" s="4"/>
      <c r="W543" s="4"/>
    </row>
    <row r="544" spans="1:23" ht="14.5" hidden="1" customHeight="1" x14ac:dyDescent="0.2">
      <c r="A544">
        <f t="shared" si="8"/>
        <v>538</v>
      </c>
      <c r="B544">
        <v>2012</v>
      </c>
      <c r="C544" t="s">
        <v>207</v>
      </c>
      <c r="D544" t="s">
        <v>479</v>
      </c>
      <c r="E544" s="22">
        <v>1150</v>
      </c>
      <c r="H544" t="s">
        <v>154</v>
      </c>
      <c r="I544" t="s">
        <v>529</v>
      </c>
      <c r="J544" t="s">
        <v>64</v>
      </c>
      <c r="K544" t="s">
        <v>219</v>
      </c>
      <c r="M544" s="4"/>
      <c r="N544" s="2"/>
      <c r="O544" s="21"/>
      <c r="P544" s="2"/>
      <c r="Q544" s="2"/>
      <c r="R544" s="4"/>
      <c r="S544" s="4"/>
      <c r="T544" s="4"/>
      <c r="U544" s="4"/>
      <c r="V544" s="4"/>
      <c r="W544" s="4"/>
    </row>
    <row r="545" spans="1:23" ht="14.5" hidden="1" customHeight="1" x14ac:dyDescent="0.2">
      <c r="A545">
        <f t="shared" si="8"/>
        <v>539</v>
      </c>
      <c r="B545">
        <v>2012</v>
      </c>
      <c r="C545" t="s">
        <v>207</v>
      </c>
      <c r="D545" t="s">
        <v>444</v>
      </c>
      <c r="E545" s="22">
        <v>100</v>
      </c>
      <c r="H545" t="s">
        <v>153</v>
      </c>
      <c r="J545" t="s">
        <v>67</v>
      </c>
      <c r="K545" t="s">
        <v>183</v>
      </c>
      <c r="M545" s="4"/>
      <c r="N545" s="2"/>
      <c r="O545" s="21"/>
      <c r="P545" s="2"/>
      <c r="Q545" s="2"/>
      <c r="R545" s="4"/>
      <c r="S545" s="4"/>
      <c r="T545" s="4"/>
      <c r="U545" s="4"/>
      <c r="V545" s="4"/>
      <c r="W545" s="4"/>
    </row>
    <row r="546" spans="1:23" ht="14.5" hidden="1" customHeight="1" x14ac:dyDescent="0.2">
      <c r="A546">
        <f t="shared" si="8"/>
        <v>540</v>
      </c>
      <c r="B546">
        <v>2012</v>
      </c>
      <c r="C546" t="s">
        <v>207</v>
      </c>
      <c r="D546" t="s">
        <v>2588</v>
      </c>
      <c r="E546" s="22">
        <v>150</v>
      </c>
      <c r="H546" t="s">
        <v>151</v>
      </c>
      <c r="I546" t="s">
        <v>279</v>
      </c>
      <c r="J546" t="s">
        <v>9</v>
      </c>
      <c r="K546" t="s">
        <v>9</v>
      </c>
      <c r="M546" s="4"/>
      <c r="N546" s="2"/>
      <c r="O546" s="21"/>
      <c r="P546" s="2"/>
      <c r="Q546" s="2"/>
      <c r="R546" s="4"/>
      <c r="S546" s="4"/>
      <c r="T546" s="4"/>
      <c r="U546" s="4"/>
      <c r="V546" s="4"/>
      <c r="W546" s="4"/>
    </row>
    <row r="547" spans="1:23" ht="14.5" hidden="1" customHeight="1" x14ac:dyDescent="0.2">
      <c r="A547">
        <f t="shared" si="8"/>
        <v>541</v>
      </c>
      <c r="B547">
        <v>2012</v>
      </c>
      <c r="C547" t="s">
        <v>240</v>
      </c>
      <c r="D547" t="s">
        <v>1035</v>
      </c>
      <c r="E547" s="22">
        <v>590</v>
      </c>
      <c r="H547" t="s">
        <v>144</v>
      </c>
      <c r="J547" t="s">
        <v>138</v>
      </c>
      <c r="K547" t="s">
        <v>219</v>
      </c>
      <c r="M547" s="4"/>
      <c r="N547" s="2"/>
      <c r="O547" s="21"/>
      <c r="P547" s="2"/>
      <c r="Q547" s="2"/>
      <c r="R547" s="4"/>
      <c r="S547" s="4"/>
      <c r="T547" s="4"/>
      <c r="U547" s="4"/>
      <c r="V547" s="4"/>
      <c r="W547" s="4"/>
    </row>
    <row r="548" spans="1:23" ht="14.5" hidden="1" customHeight="1" x14ac:dyDescent="0.2">
      <c r="A548">
        <f t="shared" si="8"/>
        <v>542</v>
      </c>
      <c r="B548">
        <v>2012</v>
      </c>
      <c r="C548" t="s">
        <v>240</v>
      </c>
      <c r="D548" t="s">
        <v>397</v>
      </c>
      <c r="E548" s="22">
        <v>110</v>
      </c>
      <c r="H548" t="s">
        <v>151</v>
      </c>
      <c r="I548" t="s">
        <v>279</v>
      </c>
      <c r="J548" t="s">
        <v>108</v>
      </c>
      <c r="K548" t="s">
        <v>183</v>
      </c>
      <c r="M548" s="4"/>
      <c r="N548" s="2"/>
      <c r="O548" s="21"/>
      <c r="P548" s="2"/>
      <c r="Q548" s="2"/>
      <c r="R548" s="4"/>
      <c r="S548" s="4"/>
      <c r="T548" s="4"/>
      <c r="U548" s="4"/>
      <c r="V548" s="4"/>
      <c r="W548" s="4"/>
    </row>
    <row r="549" spans="1:23" ht="14.5" hidden="1" customHeight="1" x14ac:dyDescent="0.2">
      <c r="A549">
        <f t="shared" si="8"/>
        <v>543</v>
      </c>
      <c r="B549">
        <v>2012</v>
      </c>
      <c r="C549" t="s">
        <v>240</v>
      </c>
      <c r="D549" t="s">
        <v>530</v>
      </c>
      <c r="E549" s="22">
        <v>500</v>
      </c>
      <c r="G549" t="s">
        <v>2589</v>
      </c>
      <c r="H549" t="s">
        <v>152</v>
      </c>
      <c r="I549" t="s">
        <v>257</v>
      </c>
      <c r="J549" t="s">
        <v>93</v>
      </c>
      <c r="K549" t="s">
        <v>201</v>
      </c>
      <c r="M549" s="4"/>
      <c r="N549" s="2"/>
      <c r="O549" s="21"/>
      <c r="P549" s="2"/>
      <c r="Q549" s="2"/>
      <c r="R549" s="4"/>
      <c r="S549" s="4"/>
      <c r="T549" s="4"/>
      <c r="U549" s="4"/>
      <c r="V549" s="4"/>
      <c r="W549" s="4"/>
    </row>
    <row r="550" spans="1:23" ht="14.5" hidden="1" customHeight="1" x14ac:dyDescent="0.2">
      <c r="A550">
        <f t="shared" si="8"/>
        <v>544</v>
      </c>
      <c r="B550">
        <v>2012</v>
      </c>
      <c r="C550" t="s">
        <v>240</v>
      </c>
      <c r="D550" t="s">
        <v>815</v>
      </c>
      <c r="E550" s="22">
        <v>210</v>
      </c>
      <c r="G550" t="s">
        <v>2590</v>
      </c>
      <c r="H550" t="s">
        <v>151</v>
      </c>
      <c r="I550" t="s">
        <v>279</v>
      </c>
      <c r="J550" t="s">
        <v>53</v>
      </c>
      <c r="K550" t="s">
        <v>183</v>
      </c>
      <c r="M550" s="4"/>
      <c r="N550" s="2"/>
      <c r="O550" s="21"/>
      <c r="P550" s="2"/>
      <c r="Q550" s="2"/>
      <c r="R550" s="4"/>
      <c r="S550" s="4"/>
      <c r="T550" s="4"/>
      <c r="U550" s="4"/>
      <c r="V550" s="4"/>
      <c r="W550" s="4"/>
    </row>
    <row r="551" spans="1:23" ht="14.5" hidden="1" customHeight="1" x14ac:dyDescent="0.2">
      <c r="A551">
        <f t="shared" si="8"/>
        <v>545</v>
      </c>
      <c r="B551">
        <v>2012</v>
      </c>
      <c r="C551" t="s">
        <v>240</v>
      </c>
      <c r="D551" t="s">
        <v>745</v>
      </c>
      <c r="E551" s="22">
        <v>340</v>
      </c>
      <c r="G551" t="s">
        <v>625</v>
      </c>
      <c r="H551" t="s">
        <v>154</v>
      </c>
      <c r="I551" t="s">
        <v>271</v>
      </c>
      <c r="J551" t="s">
        <v>105</v>
      </c>
      <c r="K551" t="s">
        <v>214</v>
      </c>
      <c r="M551" s="4"/>
      <c r="N551" s="2"/>
      <c r="O551" s="21"/>
      <c r="P551" s="2"/>
      <c r="Q551" s="2"/>
      <c r="R551" s="4"/>
      <c r="S551" s="4"/>
      <c r="T551" s="4"/>
      <c r="U551" s="4"/>
      <c r="V551" s="4"/>
      <c r="W551" s="4"/>
    </row>
    <row r="552" spans="1:23" ht="14.5" hidden="1" customHeight="1" x14ac:dyDescent="0.2">
      <c r="A552">
        <f t="shared" si="8"/>
        <v>546</v>
      </c>
      <c r="B552">
        <v>2012</v>
      </c>
      <c r="C552" t="s">
        <v>240</v>
      </c>
      <c r="D552" t="s">
        <v>399</v>
      </c>
      <c r="E552" s="22">
        <v>990</v>
      </c>
      <c r="F552" s="16">
        <v>0.33</v>
      </c>
      <c r="G552" t="s">
        <v>2591</v>
      </c>
      <c r="H552" t="s">
        <v>155</v>
      </c>
      <c r="J552" t="s">
        <v>105</v>
      </c>
      <c r="K552" t="s">
        <v>214</v>
      </c>
      <c r="M552" s="4"/>
      <c r="N552" s="2"/>
      <c r="O552" s="21"/>
      <c r="P552" s="2"/>
      <c r="Q552" s="2"/>
      <c r="R552" s="4"/>
      <c r="S552" s="4"/>
      <c r="T552" s="4"/>
      <c r="U552" s="4"/>
      <c r="V552" s="4"/>
      <c r="W552" s="4"/>
    </row>
    <row r="553" spans="1:23" ht="14.5" hidden="1" customHeight="1" x14ac:dyDescent="0.2">
      <c r="A553">
        <f t="shared" si="8"/>
        <v>547</v>
      </c>
      <c r="B553">
        <v>2012</v>
      </c>
      <c r="C553" t="s">
        <v>240</v>
      </c>
      <c r="D553" t="s">
        <v>479</v>
      </c>
      <c r="E553" s="22">
        <v>480</v>
      </c>
      <c r="H553" t="s">
        <v>154</v>
      </c>
      <c r="I553" t="s">
        <v>194</v>
      </c>
      <c r="J553" t="s">
        <v>132</v>
      </c>
      <c r="K553" t="s">
        <v>219</v>
      </c>
      <c r="M553" s="4"/>
      <c r="N553" s="2"/>
      <c r="O553" s="21"/>
      <c r="P553" s="2"/>
      <c r="Q553" s="2"/>
      <c r="R553" s="4"/>
      <c r="S553" s="4"/>
      <c r="T553" s="4"/>
      <c r="U553" s="4"/>
      <c r="V553" s="4"/>
      <c r="W553" s="4"/>
    </row>
    <row r="554" spans="1:23" ht="14.5" hidden="1" customHeight="1" x14ac:dyDescent="0.2">
      <c r="A554">
        <f t="shared" si="8"/>
        <v>548</v>
      </c>
      <c r="B554">
        <v>2012</v>
      </c>
      <c r="C554" t="s">
        <v>212</v>
      </c>
      <c r="D554" t="s">
        <v>180</v>
      </c>
      <c r="E554" s="22">
        <v>1480</v>
      </c>
      <c r="H554" t="s">
        <v>150</v>
      </c>
      <c r="I554" t="s">
        <v>226</v>
      </c>
      <c r="J554" t="s">
        <v>72</v>
      </c>
      <c r="K554" t="s">
        <v>183</v>
      </c>
      <c r="M554" s="4"/>
      <c r="N554" s="2"/>
      <c r="O554" s="21"/>
      <c r="P554" s="2"/>
      <c r="Q554" s="2"/>
      <c r="R554" s="4"/>
      <c r="S554" s="4"/>
      <c r="T554" s="4"/>
      <c r="U554" s="4"/>
      <c r="V554" s="4"/>
      <c r="W554" s="4"/>
    </row>
    <row r="555" spans="1:23" ht="14.25" hidden="1" customHeight="1" x14ac:dyDescent="0.2">
      <c r="A555">
        <f t="shared" si="8"/>
        <v>549</v>
      </c>
      <c r="B555">
        <v>2012</v>
      </c>
      <c r="C555" t="s">
        <v>212</v>
      </c>
      <c r="D555" t="s">
        <v>2592</v>
      </c>
      <c r="E555" s="22">
        <v>800</v>
      </c>
      <c r="H555" t="s">
        <v>144</v>
      </c>
      <c r="J555" t="s">
        <v>6</v>
      </c>
      <c r="K555" t="s">
        <v>219</v>
      </c>
      <c r="M555" s="4"/>
      <c r="N555" s="2"/>
      <c r="O555" s="21"/>
      <c r="P555" s="2"/>
      <c r="Q555" s="2"/>
      <c r="R555" s="4"/>
      <c r="S555" s="4"/>
      <c r="T555" s="4"/>
      <c r="U555" s="4"/>
      <c r="V555" s="4"/>
      <c r="W555" s="4"/>
    </row>
    <row r="556" spans="1:23" s="17" customFormat="1" ht="15" hidden="1" customHeight="1" x14ac:dyDescent="0.2">
      <c r="A556">
        <f t="shared" si="8"/>
        <v>550</v>
      </c>
      <c r="B556">
        <v>2012</v>
      </c>
      <c r="C556" t="s">
        <v>212</v>
      </c>
      <c r="D556" t="s">
        <v>397</v>
      </c>
      <c r="E556" s="22">
        <v>140</v>
      </c>
      <c r="F556" s="16"/>
      <c r="H556" t="s">
        <v>151</v>
      </c>
      <c r="I556" t="s">
        <v>279</v>
      </c>
      <c r="J556" t="s">
        <v>108</v>
      </c>
      <c r="K556" t="s">
        <v>183</v>
      </c>
      <c r="M556" s="4"/>
      <c r="N556" s="2"/>
      <c r="O556" s="21"/>
      <c r="P556" s="2"/>
      <c r="Q556" s="2"/>
      <c r="R556" s="4"/>
      <c r="S556" s="4"/>
      <c r="T556" s="4"/>
      <c r="U556" s="4"/>
      <c r="V556" s="4"/>
      <c r="W556" s="4"/>
    </row>
    <row r="557" spans="1:23" ht="14.5" hidden="1" customHeight="1" x14ac:dyDescent="0.2">
      <c r="A557">
        <f t="shared" si="8"/>
        <v>551</v>
      </c>
      <c r="B557">
        <v>2012</v>
      </c>
      <c r="C557" t="s">
        <v>212</v>
      </c>
      <c r="D557" t="s">
        <v>341</v>
      </c>
      <c r="E557" s="22">
        <v>140</v>
      </c>
      <c r="H557" t="s">
        <v>154</v>
      </c>
      <c r="I557" t="s">
        <v>194</v>
      </c>
      <c r="J557" t="s">
        <v>123</v>
      </c>
      <c r="K557" t="s">
        <v>219</v>
      </c>
      <c r="M557" s="4"/>
      <c r="N557" s="2"/>
      <c r="O557" s="21"/>
      <c r="P557" s="2"/>
      <c r="Q557" s="2"/>
      <c r="R557" s="4"/>
      <c r="S557" s="4"/>
      <c r="T557" s="4"/>
      <c r="U557" s="4"/>
      <c r="V557" s="4"/>
      <c r="W557" s="4"/>
    </row>
    <row r="558" spans="1:23" s="41" customFormat="1" ht="14.5" hidden="1" customHeight="1" x14ac:dyDescent="0.2">
      <c r="A558">
        <f t="shared" si="8"/>
        <v>552</v>
      </c>
      <c r="B558">
        <v>2012</v>
      </c>
      <c r="C558" t="s">
        <v>212</v>
      </c>
      <c r="D558" t="s">
        <v>208</v>
      </c>
      <c r="E558" s="22">
        <v>690</v>
      </c>
      <c r="F558" s="16"/>
      <c r="H558" t="s">
        <v>149</v>
      </c>
      <c r="I558" t="s">
        <v>182</v>
      </c>
      <c r="J558" t="s">
        <v>54</v>
      </c>
      <c r="K558" t="s">
        <v>201</v>
      </c>
      <c r="M558" s="77"/>
      <c r="N558" s="78"/>
      <c r="O558" s="42"/>
      <c r="P558" s="78"/>
      <c r="Q558" s="78"/>
      <c r="R558" s="77"/>
      <c r="S558" s="77"/>
      <c r="T558" s="77"/>
      <c r="U558" s="77"/>
      <c r="V558" s="77"/>
      <c r="W558" s="77"/>
    </row>
    <row r="559" spans="1:23" ht="14.5" hidden="1" customHeight="1" x14ac:dyDescent="0.2">
      <c r="A559">
        <f t="shared" si="8"/>
        <v>553</v>
      </c>
      <c r="B559">
        <v>2012</v>
      </c>
      <c r="C559" t="s">
        <v>212</v>
      </c>
      <c r="D559" t="s">
        <v>2414</v>
      </c>
      <c r="E559" s="22">
        <v>100</v>
      </c>
      <c r="H559" t="s">
        <v>152</v>
      </c>
      <c r="I559" t="s">
        <v>257</v>
      </c>
      <c r="J559" t="s">
        <v>115</v>
      </c>
      <c r="K559" t="s">
        <v>201</v>
      </c>
      <c r="M559" s="4"/>
      <c r="N559" s="2"/>
      <c r="O559" s="21"/>
      <c r="P559" s="2"/>
      <c r="Q559" s="2"/>
      <c r="R559" s="4"/>
      <c r="S559" s="4"/>
      <c r="T559" s="4"/>
      <c r="U559" s="4"/>
      <c r="V559" s="4"/>
      <c r="W559" s="4"/>
    </row>
    <row r="560" spans="1:23" ht="14.5" hidden="1" customHeight="1" x14ac:dyDescent="0.2">
      <c r="A560">
        <f t="shared" si="8"/>
        <v>554</v>
      </c>
      <c r="B560">
        <v>2012</v>
      </c>
      <c r="C560" t="s">
        <v>212</v>
      </c>
      <c r="D560" t="s">
        <v>479</v>
      </c>
      <c r="E560" s="22">
        <v>730</v>
      </c>
      <c r="H560" t="s">
        <v>154</v>
      </c>
      <c r="I560" t="s">
        <v>194</v>
      </c>
      <c r="J560" t="s">
        <v>81</v>
      </c>
      <c r="K560" t="s">
        <v>219</v>
      </c>
      <c r="M560" s="4"/>
      <c r="N560" s="2"/>
      <c r="O560" s="21"/>
      <c r="P560" s="2"/>
      <c r="Q560" s="2"/>
      <c r="R560" s="4"/>
      <c r="S560" s="4"/>
      <c r="T560" s="4"/>
      <c r="U560" s="4"/>
      <c r="V560" s="4"/>
      <c r="W560" s="4"/>
    </row>
    <row r="561" spans="1:23" s="17" customFormat="1" ht="14.5" hidden="1" customHeight="1" x14ac:dyDescent="0.2">
      <c r="A561">
        <f t="shared" si="8"/>
        <v>555</v>
      </c>
      <c r="B561">
        <v>2012</v>
      </c>
      <c r="C561" t="s">
        <v>212</v>
      </c>
      <c r="D561" t="s">
        <v>1234</v>
      </c>
      <c r="E561" s="22">
        <v>110</v>
      </c>
      <c r="F561" s="16"/>
      <c r="H561" t="s">
        <v>144</v>
      </c>
      <c r="I561" t="s">
        <v>299</v>
      </c>
      <c r="J561" t="s">
        <v>13</v>
      </c>
      <c r="K561" t="s">
        <v>201</v>
      </c>
      <c r="M561" s="4"/>
      <c r="N561" s="2"/>
      <c r="O561" s="21"/>
      <c r="P561" s="2"/>
      <c r="Q561" s="2"/>
      <c r="R561" s="4"/>
      <c r="S561" s="4"/>
      <c r="T561" s="4"/>
      <c r="U561" s="4"/>
      <c r="V561" s="4"/>
      <c r="W561" s="4"/>
    </row>
    <row r="562" spans="1:23" ht="14.5" hidden="1" customHeight="1" x14ac:dyDescent="0.2">
      <c r="A562">
        <f t="shared" si="8"/>
        <v>556</v>
      </c>
      <c r="B562">
        <v>2012</v>
      </c>
      <c r="C562" t="s">
        <v>212</v>
      </c>
      <c r="D562" t="s">
        <v>199</v>
      </c>
      <c r="E562" s="22">
        <v>190</v>
      </c>
      <c r="G562" t="s">
        <v>2593</v>
      </c>
      <c r="H562" t="s">
        <v>144</v>
      </c>
      <c r="I562" t="s">
        <v>187</v>
      </c>
      <c r="J562" t="s">
        <v>55</v>
      </c>
      <c r="K562" t="s">
        <v>214</v>
      </c>
      <c r="M562" s="4"/>
      <c r="N562" s="2"/>
      <c r="O562" s="21"/>
      <c r="P562" s="2"/>
      <c r="Q562" s="2"/>
      <c r="R562" s="4"/>
      <c r="S562" s="4"/>
      <c r="T562" s="4"/>
      <c r="U562" s="4"/>
      <c r="V562" s="4"/>
      <c r="W562" s="4"/>
    </row>
    <row r="563" spans="1:23" ht="14.5" hidden="1" customHeight="1" x14ac:dyDescent="0.2">
      <c r="A563">
        <f t="shared" si="8"/>
        <v>557</v>
      </c>
      <c r="B563">
        <v>2012</v>
      </c>
      <c r="C563" t="s">
        <v>212</v>
      </c>
      <c r="D563" t="s">
        <v>815</v>
      </c>
      <c r="E563" s="22">
        <v>420</v>
      </c>
      <c r="G563" t="s">
        <v>2405</v>
      </c>
      <c r="H563" t="s">
        <v>151</v>
      </c>
      <c r="I563" t="s">
        <v>279</v>
      </c>
      <c r="J563" t="s">
        <v>123</v>
      </c>
      <c r="K563" t="s">
        <v>219</v>
      </c>
      <c r="M563" s="4"/>
      <c r="N563" s="2"/>
      <c r="O563" s="21"/>
      <c r="P563" s="2"/>
      <c r="Q563" s="2"/>
      <c r="R563" s="4"/>
      <c r="S563" s="4"/>
      <c r="T563" s="4"/>
      <c r="U563" s="4"/>
      <c r="V563" s="4"/>
      <c r="W563" s="4"/>
    </row>
    <row r="564" spans="1:23" ht="14.5" hidden="1" customHeight="1" x14ac:dyDescent="0.2">
      <c r="A564">
        <f t="shared" si="8"/>
        <v>558</v>
      </c>
      <c r="B564">
        <v>2012</v>
      </c>
      <c r="C564" t="s">
        <v>212</v>
      </c>
      <c r="D564" t="s">
        <v>397</v>
      </c>
      <c r="E564" s="22">
        <v>1200</v>
      </c>
      <c r="H564" t="s">
        <v>154</v>
      </c>
      <c r="I564" t="s">
        <v>194</v>
      </c>
      <c r="J564" t="s">
        <v>5</v>
      </c>
      <c r="K564" t="s">
        <v>214</v>
      </c>
      <c r="M564" s="4"/>
      <c r="N564" s="2"/>
      <c r="O564" s="21"/>
      <c r="P564" s="2"/>
      <c r="Q564" s="2"/>
      <c r="R564" s="4"/>
      <c r="S564" s="4"/>
      <c r="T564" s="4"/>
      <c r="U564" s="4"/>
      <c r="V564" s="4"/>
      <c r="W564" s="4"/>
    </row>
    <row r="565" spans="1:23" ht="14.5" hidden="1" customHeight="1" x14ac:dyDescent="0.2">
      <c r="A565">
        <f t="shared" si="8"/>
        <v>559</v>
      </c>
      <c r="B565">
        <v>2013</v>
      </c>
      <c r="C565" t="s">
        <v>172</v>
      </c>
      <c r="D565" t="s">
        <v>745</v>
      </c>
      <c r="E565" s="22">
        <v>810</v>
      </c>
      <c r="G565" t="s">
        <v>2594</v>
      </c>
      <c r="H565" t="s">
        <v>143</v>
      </c>
      <c r="J565" t="s">
        <v>128</v>
      </c>
      <c r="K565" t="s">
        <v>201</v>
      </c>
      <c r="M565" s="4"/>
      <c r="N565" s="2"/>
      <c r="O565" s="21"/>
      <c r="P565" s="2"/>
      <c r="Q565" s="2"/>
      <c r="R565" s="4"/>
      <c r="S565" s="4"/>
      <c r="T565" s="4"/>
      <c r="U565" s="4"/>
      <c r="V565" s="4"/>
      <c r="W565" s="4"/>
    </row>
    <row r="566" spans="1:23" ht="14.5" hidden="1" customHeight="1" x14ac:dyDescent="0.2">
      <c r="A566">
        <f t="shared" si="8"/>
        <v>560</v>
      </c>
      <c r="B566">
        <v>2013</v>
      </c>
      <c r="C566" t="s">
        <v>172</v>
      </c>
      <c r="D566" t="s">
        <v>397</v>
      </c>
      <c r="E566" s="22">
        <v>160</v>
      </c>
      <c r="H566" t="s">
        <v>154</v>
      </c>
      <c r="I566" t="s">
        <v>250</v>
      </c>
      <c r="J566" t="s">
        <v>130</v>
      </c>
      <c r="K566" t="s">
        <v>214</v>
      </c>
      <c r="M566" s="4"/>
      <c r="N566" s="2"/>
      <c r="O566" s="21"/>
      <c r="P566" s="2"/>
      <c r="Q566" s="2"/>
      <c r="R566" s="4"/>
      <c r="S566" s="4"/>
      <c r="T566" s="4"/>
      <c r="U566" s="4"/>
      <c r="V566" s="4"/>
      <c r="W566" s="4"/>
    </row>
    <row r="567" spans="1:23" ht="14.5" hidden="1" customHeight="1" x14ac:dyDescent="0.2">
      <c r="A567">
        <f t="shared" si="8"/>
        <v>561</v>
      </c>
      <c r="B567">
        <v>2013</v>
      </c>
      <c r="C567" t="s">
        <v>172</v>
      </c>
      <c r="D567" t="s">
        <v>246</v>
      </c>
      <c r="E567" s="22">
        <v>260</v>
      </c>
      <c r="H567" t="s">
        <v>148</v>
      </c>
      <c r="J567" t="s">
        <v>93</v>
      </c>
      <c r="K567" t="s">
        <v>201</v>
      </c>
      <c r="M567" s="4"/>
      <c r="N567" s="2"/>
      <c r="O567" s="21"/>
      <c r="P567" s="2"/>
      <c r="Q567" s="2"/>
      <c r="R567" s="4"/>
      <c r="S567" s="4"/>
      <c r="T567" s="4"/>
      <c r="U567" s="4"/>
      <c r="V567" s="4"/>
      <c r="W567" s="4"/>
    </row>
    <row r="568" spans="1:23" ht="14.5" hidden="1" customHeight="1" x14ac:dyDescent="0.2">
      <c r="A568">
        <f t="shared" si="8"/>
        <v>562</v>
      </c>
      <c r="B568">
        <v>2013</v>
      </c>
      <c r="C568" t="s">
        <v>172</v>
      </c>
      <c r="D568" t="s">
        <v>479</v>
      </c>
      <c r="E568" s="22">
        <v>930</v>
      </c>
      <c r="H568" t="s">
        <v>154</v>
      </c>
      <c r="I568" t="s">
        <v>271</v>
      </c>
      <c r="J568" t="s">
        <v>59</v>
      </c>
      <c r="K568" t="s">
        <v>219</v>
      </c>
      <c r="M568" s="4"/>
      <c r="N568" s="2"/>
      <c r="O568" s="21"/>
      <c r="P568" s="2"/>
      <c r="Q568" s="2"/>
      <c r="R568" s="4"/>
      <c r="S568" s="4"/>
      <c r="T568" s="4"/>
      <c r="U568" s="4"/>
      <c r="V568" s="4"/>
      <c r="W568" s="4"/>
    </row>
    <row r="569" spans="1:23" ht="14.5" hidden="1" customHeight="1" x14ac:dyDescent="0.2">
      <c r="A569">
        <f t="shared" si="8"/>
        <v>563</v>
      </c>
      <c r="B569">
        <v>2013</v>
      </c>
      <c r="C569" t="s">
        <v>172</v>
      </c>
      <c r="D569" t="s">
        <v>397</v>
      </c>
      <c r="E569" s="22">
        <v>320</v>
      </c>
      <c r="H569" t="s">
        <v>151</v>
      </c>
      <c r="I569" t="s">
        <v>279</v>
      </c>
      <c r="J569" t="s">
        <v>81</v>
      </c>
      <c r="K569" t="s">
        <v>219</v>
      </c>
      <c r="M569" s="4"/>
      <c r="N569" s="2"/>
      <c r="O569" s="21"/>
      <c r="P569" s="2"/>
      <c r="Q569" s="2"/>
      <c r="R569" s="4"/>
      <c r="S569" s="4"/>
      <c r="T569" s="4"/>
      <c r="U569" s="4"/>
      <c r="V569" s="4"/>
      <c r="W569" s="4"/>
    </row>
    <row r="570" spans="1:23" ht="14.5" hidden="1" customHeight="1" x14ac:dyDescent="0.2">
      <c r="A570">
        <f t="shared" si="8"/>
        <v>564</v>
      </c>
      <c r="B570">
        <v>2013</v>
      </c>
      <c r="C570" t="s">
        <v>172</v>
      </c>
      <c r="D570" t="s">
        <v>479</v>
      </c>
      <c r="E570" s="22">
        <v>300</v>
      </c>
      <c r="F570" s="16">
        <v>0.8</v>
      </c>
      <c r="H570" t="s">
        <v>144</v>
      </c>
      <c r="I570" t="s">
        <v>197</v>
      </c>
      <c r="J570" t="s">
        <v>93</v>
      </c>
      <c r="K570" t="s">
        <v>201</v>
      </c>
      <c r="M570" s="4"/>
      <c r="N570" s="2"/>
      <c r="O570" s="21"/>
      <c r="P570" s="2"/>
      <c r="Q570" s="2"/>
      <c r="R570" s="4"/>
      <c r="S570" s="4"/>
      <c r="T570" s="4"/>
      <c r="U570" s="4"/>
      <c r="V570" s="4"/>
      <c r="W570" s="4"/>
    </row>
    <row r="571" spans="1:23" ht="14.5" hidden="1" customHeight="1" x14ac:dyDescent="0.2">
      <c r="A571">
        <f t="shared" si="8"/>
        <v>565</v>
      </c>
      <c r="B571">
        <v>2013</v>
      </c>
      <c r="C571" t="s">
        <v>172</v>
      </c>
      <c r="D571" t="s">
        <v>244</v>
      </c>
      <c r="E571" s="22">
        <v>710</v>
      </c>
      <c r="H571" t="s">
        <v>149</v>
      </c>
      <c r="I571" t="s">
        <v>182</v>
      </c>
      <c r="J571" t="s">
        <v>54</v>
      </c>
      <c r="K571" t="s">
        <v>201</v>
      </c>
      <c r="M571" s="4"/>
      <c r="N571" s="2"/>
      <c r="O571" s="21"/>
      <c r="P571" s="2"/>
      <c r="Q571" s="2"/>
      <c r="R571" s="4"/>
      <c r="S571" s="4"/>
      <c r="T571" s="4"/>
      <c r="U571" s="4"/>
      <c r="V571" s="4"/>
      <c r="W571" s="4"/>
    </row>
    <row r="572" spans="1:23" ht="14.5" hidden="1" customHeight="1" x14ac:dyDescent="0.2">
      <c r="A572">
        <f t="shared" si="8"/>
        <v>566</v>
      </c>
      <c r="B572">
        <v>2013</v>
      </c>
      <c r="C572" t="s">
        <v>172</v>
      </c>
      <c r="D572" t="s">
        <v>1035</v>
      </c>
      <c r="E572" s="22">
        <v>570</v>
      </c>
      <c r="H572" t="s">
        <v>144</v>
      </c>
      <c r="I572" t="s">
        <v>197</v>
      </c>
      <c r="J572" t="s">
        <v>59</v>
      </c>
      <c r="K572" t="s">
        <v>219</v>
      </c>
      <c r="M572" s="4"/>
      <c r="N572" s="2"/>
      <c r="O572" s="21"/>
      <c r="P572" s="2"/>
      <c r="Q572" s="2"/>
      <c r="R572" s="4"/>
      <c r="S572" s="4"/>
      <c r="T572" s="4"/>
      <c r="U572" s="4"/>
      <c r="V572" s="4"/>
      <c r="W572" s="4"/>
    </row>
    <row r="573" spans="1:23" ht="14.5" hidden="1" customHeight="1" x14ac:dyDescent="0.2">
      <c r="A573">
        <f t="shared" si="8"/>
        <v>567</v>
      </c>
      <c r="B573">
        <v>2013</v>
      </c>
      <c r="C573" t="s">
        <v>172</v>
      </c>
      <c r="D573" t="s">
        <v>444</v>
      </c>
      <c r="E573" s="22">
        <v>130</v>
      </c>
      <c r="G573" t="s">
        <v>2595</v>
      </c>
      <c r="H573" t="s">
        <v>151</v>
      </c>
      <c r="I573" t="s">
        <v>279</v>
      </c>
      <c r="J573" t="s">
        <v>25</v>
      </c>
      <c r="K573" t="s">
        <v>177</v>
      </c>
      <c r="M573" s="4"/>
      <c r="N573" s="2"/>
      <c r="O573" s="21"/>
      <c r="P573" s="2"/>
      <c r="Q573" s="2"/>
      <c r="R573" s="4"/>
      <c r="S573" s="4"/>
      <c r="T573" s="4"/>
      <c r="U573" s="4"/>
      <c r="V573" s="4"/>
      <c r="W573" s="4"/>
    </row>
    <row r="574" spans="1:23" ht="14.5" hidden="1" customHeight="1" x14ac:dyDescent="0.2">
      <c r="A574">
        <f t="shared" si="8"/>
        <v>568</v>
      </c>
      <c r="B574">
        <v>2013</v>
      </c>
      <c r="C574" t="s">
        <v>172</v>
      </c>
      <c r="D574" t="s">
        <v>246</v>
      </c>
      <c r="E574" s="22">
        <v>390</v>
      </c>
      <c r="H574" t="s">
        <v>144</v>
      </c>
      <c r="I574" t="s">
        <v>197</v>
      </c>
      <c r="J574" t="s">
        <v>37</v>
      </c>
      <c r="K574" t="s">
        <v>205</v>
      </c>
      <c r="M574" s="4"/>
      <c r="N574" s="2"/>
      <c r="O574" s="21"/>
      <c r="P574" s="2"/>
      <c r="Q574" s="2"/>
      <c r="R574" s="4"/>
      <c r="S574" s="4"/>
      <c r="T574" s="4"/>
      <c r="U574" s="4"/>
      <c r="V574" s="4"/>
      <c r="W574" s="4"/>
    </row>
    <row r="575" spans="1:23" ht="14.5" hidden="1" customHeight="1" x14ac:dyDescent="0.2">
      <c r="A575">
        <f t="shared" si="8"/>
        <v>569</v>
      </c>
      <c r="B575">
        <v>2013</v>
      </c>
      <c r="C575" t="s">
        <v>172</v>
      </c>
      <c r="D575" t="s">
        <v>2596</v>
      </c>
      <c r="E575" s="22">
        <v>210</v>
      </c>
      <c r="H575" t="s">
        <v>154</v>
      </c>
      <c r="I575" t="s">
        <v>194</v>
      </c>
      <c r="J575" t="s">
        <v>138</v>
      </c>
      <c r="K575" t="s">
        <v>219</v>
      </c>
      <c r="M575" s="4"/>
      <c r="N575" s="2"/>
      <c r="O575" s="21"/>
      <c r="P575" s="2"/>
      <c r="Q575" s="2"/>
      <c r="R575" s="4"/>
      <c r="S575" s="4"/>
      <c r="T575" s="4"/>
      <c r="U575" s="4"/>
      <c r="V575" s="4"/>
      <c r="W575" s="4"/>
    </row>
    <row r="576" spans="1:23" ht="14.5" hidden="1" customHeight="1" x14ac:dyDescent="0.2">
      <c r="A576">
        <f t="shared" si="8"/>
        <v>570</v>
      </c>
      <c r="B576">
        <v>2013</v>
      </c>
      <c r="C576" t="s">
        <v>172</v>
      </c>
      <c r="D576" t="s">
        <v>246</v>
      </c>
      <c r="E576" s="22">
        <v>150</v>
      </c>
      <c r="H576" t="s">
        <v>154</v>
      </c>
      <c r="I576" t="s">
        <v>194</v>
      </c>
      <c r="J576" t="s">
        <v>46</v>
      </c>
      <c r="K576" t="s">
        <v>219</v>
      </c>
      <c r="M576" s="4"/>
      <c r="N576" s="2"/>
      <c r="O576" s="21"/>
      <c r="P576" s="2"/>
      <c r="Q576" s="2"/>
      <c r="R576" s="4"/>
      <c r="S576" s="4"/>
      <c r="T576" s="4"/>
      <c r="U576" s="4"/>
      <c r="V576" s="4"/>
      <c r="W576" s="4"/>
    </row>
    <row r="577" spans="1:23" ht="14.5" hidden="1" customHeight="1" x14ac:dyDescent="0.2">
      <c r="A577">
        <f t="shared" si="8"/>
        <v>571</v>
      </c>
      <c r="B577">
        <v>2013</v>
      </c>
      <c r="C577" t="s">
        <v>172</v>
      </c>
      <c r="D577" t="s">
        <v>1035</v>
      </c>
      <c r="E577" s="22">
        <v>250</v>
      </c>
      <c r="G577" t="s">
        <v>1188</v>
      </c>
      <c r="H577" t="s">
        <v>144</v>
      </c>
      <c r="I577" t="s">
        <v>273</v>
      </c>
      <c r="J577" t="s">
        <v>53</v>
      </c>
      <c r="K577" t="s">
        <v>183</v>
      </c>
      <c r="M577" s="4"/>
      <c r="N577" s="2"/>
      <c r="O577" s="21"/>
      <c r="P577" s="2"/>
      <c r="Q577" s="2"/>
      <c r="R577" s="4"/>
      <c r="S577" s="4"/>
      <c r="T577" s="4"/>
      <c r="U577" s="4"/>
      <c r="V577" s="4"/>
      <c r="W577" s="4"/>
    </row>
    <row r="578" spans="1:23" ht="14.5" hidden="1" customHeight="1" x14ac:dyDescent="0.2">
      <c r="A578">
        <f t="shared" si="8"/>
        <v>572</v>
      </c>
      <c r="B578">
        <v>2013</v>
      </c>
      <c r="C578" t="s">
        <v>172</v>
      </c>
      <c r="D578" t="s">
        <v>246</v>
      </c>
      <c r="E578" s="22">
        <v>100</v>
      </c>
      <c r="H578" t="s">
        <v>144</v>
      </c>
      <c r="I578" t="s">
        <v>197</v>
      </c>
      <c r="J578" t="s">
        <v>5</v>
      </c>
      <c r="K578" t="s">
        <v>214</v>
      </c>
      <c r="M578" s="4"/>
      <c r="N578" s="2"/>
      <c r="O578" s="21"/>
      <c r="P578" s="2"/>
      <c r="Q578" s="2"/>
      <c r="R578" s="4"/>
      <c r="S578" s="4"/>
      <c r="T578" s="4"/>
      <c r="U578" s="4"/>
      <c r="V578" s="4"/>
      <c r="W578" s="4"/>
    </row>
    <row r="579" spans="1:23" ht="14.5" hidden="1" customHeight="1" x14ac:dyDescent="0.2">
      <c r="A579">
        <f t="shared" si="8"/>
        <v>573</v>
      </c>
      <c r="B579">
        <v>2013</v>
      </c>
      <c r="C579" t="s">
        <v>172</v>
      </c>
      <c r="D579" t="s">
        <v>875</v>
      </c>
      <c r="E579" s="22">
        <v>130</v>
      </c>
      <c r="H579" t="s">
        <v>144</v>
      </c>
      <c r="I579" t="s">
        <v>197</v>
      </c>
      <c r="J579" t="s">
        <v>84</v>
      </c>
      <c r="K579" t="s">
        <v>201</v>
      </c>
      <c r="M579" s="4"/>
      <c r="N579" s="2"/>
      <c r="O579" s="21"/>
      <c r="P579" s="2"/>
      <c r="Q579" s="2"/>
      <c r="R579" s="4"/>
      <c r="S579" s="4"/>
      <c r="T579" s="4"/>
      <c r="U579" s="4"/>
      <c r="V579" s="4"/>
      <c r="W579" s="4"/>
    </row>
    <row r="580" spans="1:23" ht="14.5" hidden="1" customHeight="1" x14ac:dyDescent="0.2">
      <c r="A580">
        <f t="shared" si="8"/>
        <v>574</v>
      </c>
      <c r="B580">
        <v>2013</v>
      </c>
      <c r="C580" t="s">
        <v>172</v>
      </c>
      <c r="D580" t="s">
        <v>397</v>
      </c>
      <c r="E580" s="22">
        <v>110</v>
      </c>
      <c r="H580" t="s">
        <v>153</v>
      </c>
      <c r="J580" t="s">
        <v>2406</v>
      </c>
      <c r="K580" t="s">
        <v>219</v>
      </c>
      <c r="M580" s="4"/>
      <c r="N580" s="2"/>
      <c r="O580" s="21"/>
      <c r="P580" s="2"/>
      <c r="Q580" s="2"/>
      <c r="R580" s="4"/>
      <c r="S580" s="4"/>
      <c r="T580" s="4"/>
      <c r="U580" s="4"/>
      <c r="V580" s="4"/>
      <c r="W580" s="4"/>
    </row>
    <row r="581" spans="1:23" ht="14.5" hidden="1" customHeight="1" x14ac:dyDescent="0.2">
      <c r="A581">
        <f t="shared" si="8"/>
        <v>575</v>
      </c>
      <c r="B581">
        <v>2013</v>
      </c>
      <c r="C581" t="s">
        <v>258</v>
      </c>
      <c r="D581" t="s">
        <v>1035</v>
      </c>
      <c r="E581" s="22">
        <v>350</v>
      </c>
      <c r="H581" t="s">
        <v>144</v>
      </c>
      <c r="I581" t="s">
        <v>197</v>
      </c>
      <c r="J581" t="s">
        <v>2597</v>
      </c>
      <c r="K581" t="s">
        <v>177</v>
      </c>
      <c r="M581" s="4"/>
      <c r="N581" s="2"/>
      <c r="O581" s="21"/>
      <c r="P581" s="2"/>
      <c r="Q581" s="2"/>
      <c r="R581" s="4"/>
      <c r="S581" s="4"/>
      <c r="T581" s="4"/>
      <c r="U581" s="4"/>
      <c r="V581" s="4"/>
      <c r="W581" s="4"/>
    </row>
    <row r="582" spans="1:23" ht="14.5" hidden="1" customHeight="1" x14ac:dyDescent="0.2">
      <c r="A582">
        <f t="shared" si="8"/>
        <v>576</v>
      </c>
      <c r="B582">
        <v>2013</v>
      </c>
      <c r="C582" t="s">
        <v>258</v>
      </c>
      <c r="D582" t="s">
        <v>444</v>
      </c>
      <c r="E582" s="22">
        <v>250</v>
      </c>
      <c r="H582" t="s">
        <v>147</v>
      </c>
      <c r="J582" t="s">
        <v>37</v>
      </c>
      <c r="K582" t="s">
        <v>205</v>
      </c>
      <c r="M582" s="4"/>
      <c r="N582" s="2"/>
      <c r="O582" s="21"/>
      <c r="P582" s="2"/>
      <c r="Q582" s="2"/>
      <c r="R582" s="4"/>
      <c r="S582" s="4"/>
      <c r="T582" s="4"/>
      <c r="U582" s="4"/>
      <c r="V582" s="4"/>
      <c r="W582" s="4"/>
    </row>
    <row r="583" spans="1:23" ht="14.5" hidden="1" customHeight="1" x14ac:dyDescent="0.2">
      <c r="A583">
        <f t="shared" ref="A583:A646" si="9">ROW()-6</f>
        <v>577</v>
      </c>
      <c r="B583">
        <v>2013</v>
      </c>
      <c r="C583" t="s">
        <v>258</v>
      </c>
      <c r="D583" t="s">
        <v>397</v>
      </c>
      <c r="E583" s="22">
        <v>400</v>
      </c>
      <c r="H583" t="s">
        <v>153</v>
      </c>
      <c r="J583" t="s">
        <v>5</v>
      </c>
      <c r="K583" t="s">
        <v>214</v>
      </c>
      <c r="M583" s="4"/>
      <c r="N583" s="2"/>
      <c r="O583" s="21"/>
      <c r="P583" s="2"/>
      <c r="Q583" s="2"/>
      <c r="R583" s="4"/>
      <c r="S583" s="4"/>
      <c r="T583" s="4"/>
      <c r="U583" s="4"/>
      <c r="V583" s="4"/>
      <c r="W583" s="4"/>
    </row>
    <row r="584" spans="1:23" ht="14.5" hidden="1" customHeight="1" x14ac:dyDescent="0.2">
      <c r="A584">
        <f t="shared" si="9"/>
        <v>578</v>
      </c>
      <c r="B584">
        <v>2013</v>
      </c>
      <c r="C584" t="s">
        <v>258</v>
      </c>
      <c r="D584" t="s">
        <v>1234</v>
      </c>
      <c r="E584" s="22">
        <v>460</v>
      </c>
      <c r="G584" t="s">
        <v>2598</v>
      </c>
      <c r="H584" t="s">
        <v>144</v>
      </c>
      <c r="I584" t="s">
        <v>197</v>
      </c>
      <c r="J584" t="s">
        <v>128</v>
      </c>
      <c r="K584" t="s">
        <v>201</v>
      </c>
      <c r="M584" s="4"/>
      <c r="N584" s="2"/>
      <c r="O584" s="21"/>
      <c r="P584" s="2"/>
      <c r="Q584" s="2"/>
      <c r="R584" s="4"/>
      <c r="S584" s="4"/>
      <c r="T584" s="4"/>
      <c r="U584" s="4"/>
      <c r="V584" s="4"/>
      <c r="W584" s="4"/>
    </row>
    <row r="585" spans="1:23" ht="14.5" hidden="1" customHeight="1" x14ac:dyDescent="0.2">
      <c r="A585">
        <f t="shared" si="9"/>
        <v>579</v>
      </c>
      <c r="B585">
        <v>2013</v>
      </c>
      <c r="C585" t="s">
        <v>179</v>
      </c>
      <c r="D585" t="s">
        <v>1093</v>
      </c>
      <c r="E585" s="22">
        <v>250</v>
      </c>
      <c r="H585" t="s">
        <v>154</v>
      </c>
      <c r="I585" t="s">
        <v>194</v>
      </c>
      <c r="J585" t="s">
        <v>23</v>
      </c>
      <c r="K585" t="s">
        <v>183</v>
      </c>
      <c r="M585" s="4"/>
      <c r="N585" s="2"/>
      <c r="O585" s="21"/>
      <c r="P585" s="2"/>
      <c r="Q585" s="2"/>
      <c r="R585" s="4"/>
      <c r="S585" s="4"/>
      <c r="T585" s="4"/>
      <c r="U585" s="4"/>
      <c r="V585" s="4"/>
      <c r="W585" s="4"/>
    </row>
    <row r="586" spans="1:23" ht="14.5" hidden="1" customHeight="1" x14ac:dyDescent="0.2">
      <c r="A586">
        <f t="shared" si="9"/>
        <v>580</v>
      </c>
      <c r="B586">
        <v>2013</v>
      </c>
      <c r="C586" t="s">
        <v>179</v>
      </c>
      <c r="D586" t="s">
        <v>397</v>
      </c>
      <c r="E586" s="22">
        <v>100</v>
      </c>
      <c r="H586" t="s">
        <v>154</v>
      </c>
      <c r="I586" t="s">
        <v>194</v>
      </c>
      <c r="J586" t="s">
        <v>138</v>
      </c>
      <c r="K586" t="s">
        <v>219</v>
      </c>
      <c r="M586" s="4"/>
      <c r="N586" s="2"/>
      <c r="O586" s="21"/>
      <c r="P586" s="2"/>
      <c r="Q586" s="2"/>
      <c r="R586" s="4"/>
      <c r="S586" s="4"/>
      <c r="T586" s="4"/>
      <c r="U586" s="4"/>
      <c r="V586" s="4"/>
      <c r="W586" s="4"/>
    </row>
    <row r="587" spans="1:23" ht="14.5" hidden="1" customHeight="1" x14ac:dyDescent="0.2">
      <c r="A587">
        <f t="shared" si="9"/>
        <v>581</v>
      </c>
      <c r="B587">
        <v>2013</v>
      </c>
      <c r="C587" t="s">
        <v>179</v>
      </c>
      <c r="D587" t="s">
        <v>397</v>
      </c>
      <c r="E587" s="22">
        <v>110</v>
      </c>
      <c r="H587" t="s">
        <v>144</v>
      </c>
      <c r="I587" t="s">
        <v>273</v>
      </c>
      <c r="J587" t="s">
        <v>53</v>
      </c>
      <c r="K587" t="s">
        <v>183</v>
      </c>
      <c r="M587" s="4"/>
      <c r="N587" s="2"/>
      <c r="O587" s="21"/>
      <c r="P587" s="2"/>
      <c r="Q587" s="2"/>
      <c r="R587" s="4"/>
      <c r="S587" s="4"/>
      <c r="T587" s="4"/>
      <c r="U587" s="4"/>
      <c r="V587" s="4"/>
      <c r="W587" s="4"/>
    </row>
    <row r="588" spans="1:23" ht="14.5" hidden="1" customHeight="1" x14ac:dyDescent="0.2">
      <c r="A588">
        <f t="shared" si="9"/>
        <v>582</v>
      </c>
      <c r="B588">
        <v>2013</v>
      </c>
      <c r="C588" t="s">
        <v>179</v>
      </c>
      <c r="D588" t="s">
        <v>397</v>
      </c>
      <c r="E588" s="22">
        <v>120</v>
      </c>
      <c r="H588" t="s">
        <v>147</v>
      </c>
      <c r="J588" t="s">
        <v>130</v>
      </c>
      <c r="K588" t="s">
        <v>214</v>
      </c>
      <c r="M588" s="4"/>
      <c r="N588" s="2"/>
      <c r="O588" s="21"/>
      <c r="P588" s="2"/>
      <c r="Q588" s="2"/>
      <c r="R588" s="4"/>
      <c r="S588" s="4"/>
      <c r="T588" s="4"/>
      <c r="U588" s="4"/>
      <c r="V588" s="4"/>
      <c r="W588" s="4"/>
    </row>
    <row r="589" spans="1:23" ht="14.5" hidden="1" customHeight="1" x14ac:dyDescent="0.2">
      <c r="A589">
        <f t="shared" si="9"/>
        <v>583</v>
      </c>
      <c r="B589">
        <v>2013</v>
      </c>
      <c r="C589" t="s">
        <v>179</v>
      </c>
      <c r="D589" t="s">
        <v>1035</v>
      </c>
      <c r="E589" s="22">
        <v>300</v>
      </c>
      <c r="G589" t="s">
        <v>2549</v>
      </c>
      <c r="H589" t="s">
        <v>149</v>
      </c>
      <c r="J589" t="s">
        <v>72</v>
      </c>
      <c r="K589" t="s">
        <v>183</v>
      </c>
      <c r="M589" s="4"/>
      <c r="N589" s="2"/>
      <c r="O589" s="21"/>
      <c r="P589" s="2"/>
      <c r="Q589" s="2"/>
      <c r="R589" s="4"/>
      <c r="S589" s="4"/>
      <c r="T589" s="4"/>
      <c r="U589" s="4"/>
      <c r="V589" s="4"/>
      <c r="W589" s="4"/>
    </row>
    <row r="590" spans="1:23" ht="14.5" hidden="1" customHeight="1" x14ac:dyDescent="0.2">
      <c r="A590">
        <f t="shared" si="9"/>
        <v>584</v>
      </c>
      <c r="B590">
        <v>2013</v>
      </c>
      <c r="C590" t="s">
        <v>179</v>
      </c>
      <c r="D590" t="s">
        <v>815</v>
      </c>
      <c r="E590" s="22">
        <v>120</v>
      </c>
      <c r="G590" t="s">
        <v>2599</v>
      </c>
      <c r="H590" t="s">
        <v>151</v>
      </c>
      <c r="I590" t="s">
        <v>279</v>
      </c>
      <c r="J590" t="s">
        <v>53</v>
      </c>
      <c r="K590" t="s">
        <v>183</v>
      </c>
      <c r="M590" s="4"/>
      <c r="N590" s="2"/>
      <c r="O590" s="21"/>
      <c r="P590" s="2"/>
      <c r="Q590" s="2"/>
      <c r="R590" s="4"/>
      <c r="S590" s="4"/>
      <c r="T590" s="4"/>
      <c r="U590" s="4"/>
      <c r="V590" s="4"/>
      <c r="W590" s="4"/>
    </row>
    <row r="591" spans="1:23" ht="14.5" hidden="1" customHeight="1" x14ac:dyDescent="0.2">
      <c r="A591">
        <f t="shared" si="9"/>
        <v>585</v>
      </c>
      <c r="B591">
        <v>2013</v>
      </c>
      <c r="C591" t="s">
        <v>179</v>
      </c>
      <c r="D591" t="s">
        <v>474</v>
      </c>
      <c r="E591" s="22">
        <v>680</v>
      </c>
      <c r="G591" t="s">
        <v>2600</v>
      </c>
      <c r="H591" t="s">
        <v>142</v>
      </c>
      <c r="J591" t="s">
        <v>40</v>
      </c>
      <c r="K591" t="s">
        <v>219</v>
      </c>
      <c r="M591" s="4"/>
      <c r="N591" s="2"/>
      <c r="O591" s="21"/>
      <c r="P591" s="2"/>
      <c r="Q591" s="2"/>
      <c r="R591" s="4"/>
      <c r="S591" s="4"/>
      <c r="T591" s="4"/>
      <c r="U591" s="4"/>
      <c r="V591" s="4"/>
      <c r="W591" s="4"/>
    </row>
    <row r="592" spans="1:23" ht="14.5" hidden="1" customHeight="1" x14ac:dyDescent="0.2">
      <c r="A592">
        <f t="shared" si="9"/>
        <v>586</v>
      </c>
      <c r="B592">
        <v>2013</v>
      </c>
      <c r="C592" t="s">
        <v>179</v>
      </c>
      <c r="D592" t="s">
        <v>2601</v>
      </c>
      <c r="E592" s="22">
        <v>100</v>
      </c>
      <c r="H592" t="s">
        <v>142</v>
      </c>
      <c r="J592" t="s">
        <v>95</v>
      </c>
      <c r="K592" t="s">
        <v>183</v>
      </c>
      <c r="M592" s="4"/>
      <c r="N592" s="2"/>
      <c r="O592" s="21"/>
      <c r="P592" s="2"/>
      <c r="Q592" s="2"/>
      <c r="R592" s="4"/>
      <c r="S592" s="4"/>
      <c r="T592" s="4"/>
      <c r="U592" s="4"/>
      <c r="V592" s="4"/>
      <c r="W592" s="4"/>
    </row>
    <row r="593" spans="1:23" ht="14.5" hidden="1" customHeight="1" x14ac:dyDescent="0.2">
      <c r="A593">
        <f t="shared" si="9"/>
        <v>587</v>
      </c>
      <c r="B593">
        <v>2013</v>
      </c>
      <c r="C593" t="s">
        <v>179</v>
      </c>
      <c r="D593" t="s">
        <v>1149</v>
      </c>
      <c r="E593" s="22">
        <v>200</v>
      </c>
      <c r="H593" t="s">
        <v>147</v>
      </c>
      <c r="J593" t="s">
        <v>115</v>
      </c>
      <c r="K593" t="s">
        <v>201</v>
      </c>
      <c r="M593" s="4"/>
      <c r="N593" s="2"/>
      <c r="O593" s="21"/>
      <c r="P593" s="2"/>
      <c r="Q593" s="2"/>
      <c r="R593" s="4"/>
      <c r="S593" s="4"/>
      <c r="T593" s="4"/>
      <c r="U593" s="4"/>
      <c r="V593" s="4"/>
      <c r="W593" s="4"/>
    </row>
    <row r="594" spans="1:23" ht="14.5" hidden="1" customHeight="1" x14ac:dyDescent="0.2">
      <c r="A594">
        <f t="shared" si="9"/>
        <v>588</v>
      </c>
      <c r="B594">
        <v>2013</v>
      </c>
      <c r="C594" t="s">
        <v>184</v>
      </c>
      <c r="D594" t="s">
        <v>875</v>
      </c>
      <c r="E594" s="22">
        <v>180</v>
      </c>
      <c r="H594" t="s">
        <v>144</v>
      </c>
      <c r="I594" t="s">
        <v>273</v>
      </c>
      <c r="J594" t="s">
        <v>13</v>
      </c>
      <c r="K594" t="s">
        <v>201</v>
      </c>
      <c r="M594" s="4"/>
      <c r="N594" s="2"/>
      <c r="O594" s="21"/>
      <c r="P594" s="2"/>
      <c r="Q594" s="2"/>
      <c r="R594" s="4"/>
      <c r="S594" s="4"/>
      <c r="T594" s="4"/>
      <c r="U594" s="4"/>
      <c r="V594" s="4"/>
      <c r="W594" s="4"/>
    </row>
    <row r="595" spans="1:23" ht="14.5" hidden="1" customHeight="1" x14ac:dyDescent="0.2">
      <c r="A595">
        <f t="shared" si="9"/>
        <v>589</v>
      </c>
      <c r="B595">
        <v>2013</v>
      </c>
      <c r="C595" t="s">
        <v>184</v>
      </c>
      <c r="D595" t="s">
        <v>530</v>
      </c>
      <c r="E595" s="22">
        <v>750</v>
      </c>
      <c r="G595" t="s">
        <v>2602</v>
      </c>
      <c r="H595" t="s">
        <v>152</v>
      </c>
      <c r="I595" t="s">
        <v>257</v>
      </c>
      <c r="J595" t="s">
        <v>89</v>
      </c>
      <c r="K595" t="s">
        <v>219</v>
      </c>
      <c r="M595" s="4"/>
      <c r="N595" s="2"/>
      <c r="O595" s="21"/>
      <c r="P595" s="2"/>
      <c r="Q595" s="2"/>
      <c r="R595" s="4"/>
      <c r="S595" s="4"/>
      <c r="T595" s="4"/>
      <c r="U595" s="4"/>
      <c r="V595" s="4"/>
      <c r="W595" s="4"/>
    </row>
    <row r="596" spans="1:23" ht="14.5" hidden="1" customHeight="1" x14ac:dyDescent="0.2">
      <c r="A596">
        <f t="shared" si="9"/>
        <v>590</v>
      </c>
      <c r="B596">
        <v>2013</v>
      </c>
      <c r="C596" t="s">
        <v>184</v>
      </c>
      <c r="D596" t="s">
        <v>543</v>
      </c>
      <c r="E596" s="22">
        <v>480</v>
      </c>
      <c r="G596" t="s">
        <v>2602</v>
      </c>
      <c r="H596" t="s">
        <v>152</v>
      </c>
      <c r="I596" t="s">
        <v>257</v>
      </c>
      <c r="J596" t="s">
        <v>89</v>
      </c>
      <c r="K596" t="s">
        <v>219</v>
      </c>
      <c r="M596" s="4"/>
      <c r="N596" s="2"/>
      <c r="O596" s="21"/>
      <c r="P596" s="2"/>
      <c r="Q596" s="2"/>
      <c r="R596" s="4"/>
      <c r="S596" s="4"/>
      <c r="T596" s="4"/>
      <c r="U596" s="4"/>
      <c r="V596" s="4"/>
      <c r="W596" s="4"/>
    </row>
    <row r="597" spans="1:23" ht="14.5" hidden="1" customHeight="1" x14ac:dyDescent="0.2">
      <c r="A597">
        <f t="shared" si="9"/>
        <v>591</v>
      </c>
      <c r="B597">
        <v>2013</v>
      </c>
      <c r="C597" t="s">
        <v>184</v>
      </c>
      <c r="D597" t="s">
        <v>2391</v>
      </c>
      <c r="E597" s="22">
        <v>150</v>
      </c>
      <c r="H597" t="s">
        <v>154</v>
      </c>
      <c r="I597" t="s">
        <v>250</v>
      </c>
      <c r="J597" t="s">
        <v>139</v>
      </c>
      <c r="K597" t="s">
        <v>219</v>
      </c>
      <c r="M597" s="4"/>
      <c r="N597" s="2"/>
      <c r="O597" s="21"/>
      <c r="P597" s="2"/>
      <c r="Q597" s="2"/>
      <c r="R597" s="4"/>
      <c r="S597" s="4"/>
      <c r="T597" s="4"/>
      <c r="U597" s="4"/>
      <c r="V597" s="4"/>
      <c r="W597" s="4"/>
    </row>
    <row r="598" spans="1:23" ht="14.5" hidden="1" customHeight="1" x14ac:dyDescent="0.2">
      <c r="A598">
        <f t="shared" si="9"/>
        <v>592</v>
      </c>
      <c r="B598">
        <v>2013</v>
      </c>
      <c r="C598" t="s">
        <v>184</v>
      </c>
      <c r="D598" t="s">
        <v>530</v>
      </c>
      <c r="E598" s="22">
        <v>1300</v>
      </c>
      <c r="G598" t="s">
        <v>2603</v>
      </c>
      <c r="H598" t="s">
        <v>152</v>
      </c>
      <c r="I598" t="s">
        <v>257</v>
      </c>
      <c r="J598" t="s">
        <v>58</v>
      </c>
      <c r="K598" t="s">
        <v>195</v>
      </c>
      <c r="M598" s="4"/>
      <c r="N598" s="2"/>
      <c r="O598" s="21"/>
      <c r="P598" s="2"/>
      <c r="Q598" s="2"/>
      <c r="R598" s="4"/>
      <c r="S598" s="4"/>
      <c r="T598" s="4"/>
      <c r="U598" s="4"/>
      <c r="V598" s="4"/>
      <c r="W598" s="4"/>
    </row>
    <row r="599" spans="1:23" ht="14.5" hidden="1" customHeight="1" x14ac:dyDescent="0.2">
      <c r="A599">
        <f t="shared" si="9"/>
        <v>593</v>
      </c>
      <c r="B599">
        <v>2013</v>
      </c>
      <c r="C599" t="s">
        <v>184</v>
      </c>
      <c r="D599" t="s">
        <v>444</v>
      </c>
      <c r="E599" s="22">
        <v>220</v>
      </c>
      <c r="H599" t="s">
        <v>147</v>
      </c>
      <c r="J599" t="s">
        <v>2554</v>
      </c>
      <c r="K599" t="s">
        <v>219</v>
      </c>
      <c r="M599" s="4"/>
      <c r="N599" s="2"/>
      <c r="O599" s="21"/>
      <c r="P599" s="2"/>
      <c r="Q599" s="2"/>
      <c r="R599" s="4"/>
      <c r="S599" s="4"/>
      <c r="T599" s="4"/>
      <c r="U599" s="4"/>
      <c r="V599" s="4"/>
      <c r="W599" s="4"/>
    </row>
    <row r="600" spans="1:23" ht="14.5" hidden="1" customHeight="1" x14ac:dyDescent="0.2">
      <c r="A600">
        <f t="shared" si="9"/>
        <v>594</v>
      </c>
      <c r="B600">
        <v>2013</v>
      </c>
      <c r="C600" t="s">
        <v>184</v>
      </c>
      <c r="D600" t="s">
        <v>307</v>
      </c>
      <c r="E600" s="22">
        <v>1460</v>
      </c>
      <c r="H600" t="s">
        <v>144</v>
      </c>
      <c r="I600" t="s">
        <v>197</v>
      </c>
      <c r="J600" t="s">
        <v>40</v>
      </c>
      <c r="K600" t="s">
        <v>219</v>
      </c>
      <c r="M600" s="4"/>
      <c r="N600" s="2"/>
      <c r="O600" s="21"/>
      <c r="P600" s="2"/>
      <c r="Q600" s="2"/>
      <c r="R600" s="4"/>
      <c r="S600" s="4"/>
      <c r="T600" s="4"/>
      <c r="U600" s="4"/>
      <c r="V600" s="4"/>
      <c r="W600" s="4"/>
    </row>
    <row r="601" spans="1:23" ht="14.5" hidden="1" customHeight="1" x14ac:dyDescent="0.2">
      <c r="A601">
        <f t="shared" si="9"/>
        <v>595</v>
      </c>
      <c r="B601">
        <v>2013</v>
      </c>
      <c r="C601" t="s">
        <v>184</v>
      </c>
      <c r="D601" t="s">
        <v>875</v>
      </c>
      <c r="E601" s="22">
        <v>600</v>
      </c>
      <c r="G601" t="s">
        <v>2604</v>
      </c>
      <c r="H601" t="s">
        <v>144</v>
      </c>
      <c r="I601" t="s">
        <v>273</v>
      </c>
      <c r="J601" t="s">
        <v>97</v>
      </c>
      <c r="K601" t="s">
        <v>183</v>
      </c>
      <c r="M601" s="4"/>
      <c r="N601" s="2"/>
      <c r="O601" s="21"/>
      <c r="P601" s="2"/>
      <c r="Q601" s="2"/>
      <c r="R601" s="4"/>
      <c r="S601" s="4"/>
      <c r="T601" s="4"/>
      <c r="U601" s="4"/>
      <c r="V601" s="4"/>
      <c r="W601" s="4"/>
    </row>
    <row r="602" spans="1:23" ht="14.5" hidden="1" customHeight="1" x14ac:dyDescent="0.2">
      <c r="A602">
        <f t="shared" si="9"/>
        <v>596</v>
      </c>
      <c r="B602">
        <v>2013</v>
      </c>
      <c r="C602" t="s">
        <v>184</v>
      </c>
      <c r="D602" t="s">
        <v>1035</v>
      </c>
      <c r="E602" s="22">
        <v>130</v>
      </c>
      <c r="H602" t="s">
        <v>144</v>
      </c>
      <c r="I602" t="s">
        <v>187</v>
      </c>
      <c r="J602" t="s">
        <v>88</v>
      </c>
      <c r="K602" t="s">
        <v>219</v>
      </c>
      <c r="M602" s="4"/>
      <c r="N602" s="2"/>
      <c r="O602" s="21"/>
      <c r="P602" s="2"/>
      <c r="Q602" s="2"/>
      <c r="R602" s="4"/>
      <c r="S602" s="4"/>
      <c r="T602" s="4"/>
      <c r="U602" s="4"/>
      <c r="V602" s="4"/>
      <c r="W602" s="4"/>
    </row>
    <row r="603" spans="1:23" ht="14.5" hidden="1" customHeight="1" x14ac:dyDescent="0.2">
      <c r="A603">
        <f t="shared" si="9"/>
        <v>597</v>
      </c>
      <c r="B603">
        <v>2013</v>
      </c>
      <c r="C603" t="s">
        <v>225</v>
      </c>
      <c r="D603" t="s">
        <v>444</v>
      </c>
      <c r="E603" s="22">
        <v>130</v>
      </c>
      <c r="H603" t="s">
        <v>152</v>
      </c>
      <c r="I603" t="s">
        <v>257</v>
      </c>
      <c r="J603" t="s">
        <v>13</v>
      </c>
      <c r="K603" t="s">
        <v>201</v>
      </c>
      <c r="M603" s="4"/>
      <c r="N603" s="2"/>
      <c r="O603" s="21"/>
      <c r="P603" s="2"/>
      <c r="Q603" s="2"/>
      <c r="R603" s="4"/>
      <c r="S603" s="4"/>
      <c r="T603" s="4"/>
      <c r="U603" s="4"/>
      <c r="V603" s="4"/>
      <c r="W603" s="4"/>
    </row>
    <row r="604" spans="1:23" ht="14.5" hidden="1" customHeight="1" x14ac:dyDescent="0.2">
      <c r="A604">
        <f t="shared" si="9"/>
        <v>598</v>
      </c>
      <c r="B604" s="17">
        <v>2013</v>
      </c>
      <c r="C604" s="17" t="s">
        <v>225</v>
      </c>
      <c r="D604" s="17" t="s">
        <v>1035</v>
      </c>
      <c r="E604" s="24">
        <v>240</v>
      </c>
      <c r="F604" s="18"/>
      <c r="G604" s="17" t="s">
        <v>2511</v>
      </c>
      <c r="H604" s="17" t="s">
        <v>144</v>
      </c>
      <c r="I604" s="17" t="s">
        <v>299</v>
      </c>
      <c r="J604" s="17" t="s">
        <v>72</v>
      </c>
      <c r="K604" s="17" t="s">
        <v>183</v>
      </c>
      <c r="L604" s="17"/>
      <c r="M604" s="4"/>
      <c r="N604" s="2"/>
      <c r="O604" s="21"/>
      <c r="P604" s="2"/>
      <c r="Q604" s="2"/>
      <c r="R604" s="4"/>
      <c r="S604" s="4"/>
      <c r="T604" s="4"/>
      <c r="U604" s="4"/>
      <c r="V604" s="4"/>
      <c r="W604" s="4"/>
    </row>
    <row r="605" spans="1:23" ht="14.5" hidden="1" customHeight="1" x14ac:dyDescent="0.2">
      <c r="A605">
        <f t="shared" si="9"/>
        <v>599</v>
      </c>
      <c r="B605">
        <v>2013</v>
      </c>
      <c r="C605" t="s">
        <v>225</v>
      </c>
      <c r="D605" t="s">
        <v>703</v>
      </c>
      <c r="E605" s="22">
        <v>2400</v>
      </c>
      <c r="G605" t="s">
        <v>2605</v>
      </c>
      <c r="H605" t="s">
        <v>144</v>
      </c>
      <c r="I605" t="s">
        <v>273</v>
      </c>
      <c r="J605" t="s">
        <v>128</v>
      </c>
      <c r="K605" t="s">
        <v>201</v>
      </c>
      <c r="M605" s="4"/>
      <c r="N605" s="2"/>
      <c r="O605" s="21"/>
      <c r="P605" s="2"/>
      <c r="Q605" s="2"/>
      <c r="R605" s="4"/>
      <c r="S605" s="4"/>
      <c r="T605" s="4"/>
      <c r="U605" s="4"/>
      <c r="V605" s="4"/>
      <c r="W605" s="4"/>
    </row>
    <row r="606" spans="1:23" ht="14.5" hidden="1" customHeight="1" x14ac:dyDescent="0.2">
      <c r="A606">
        <f t="shared" si="9"/>
        <v>600</v>
      </c>
      <c r="B606">
        <v>2013</v>
      </c>
      <c r="C606" t="s">
        <v>225</v>
      </c>
      <c r="D606" t="s">
        <v>397</v>
      </c>
      <c r="E606" s="22">
        <v>130</v>
      </c>
      <c r="H606" t="s">
        <v>154</v>
      </c>
      <c r="I606" t="s">
        <v>194</v>
      </c>
      <c r="J606" t="s">
        <v>131</v>
      </c>
      <c r="K606" t="s">
        <v>131</v>
      </c>
      <c r="M606" s="4"/>
      <c r="N606" s="2"/>
      <c r="O606" s="21"/>
      <c r="P606" s="2"/>
      <c r="Q606" s="2"/>
      <c r="R606" s="4"/>
      <c r="S606" s="4"/>
      <c r="T606" s="4"/>
      <c r="U606" s="4"/>
      <c r="V606" s="4"/>
      <c r="W606" s="4"/>
    </row>
    <row r="607" spans="1:23" ht="14.5" hidden="1" customHeight="1" x14ac:dyDescent="0.2">
      <c r="A607">
        <f t="shared" si="9"/>
        <v>601</v>
      </c>
      <c r="B607">
        <v>2013</v>
      </c>
      <c r="C607" t="s">
        <v>225</v>
      </c>
      <c r="D607" t="s">
        <v>479</v>
      </c>
      <c r="E607" s="22">
        <v>120</v>
      </c>
      <c r="H607" t="s">
        <v>154</v>
      </c>
      <c r="I607" t="s">
        <v>271</v>
      </c>
      <c r="J607" t="s">
        <v>43</v>
      </c>
      <c r="K607" t="s">
        <v>219</v>
      </c>
      <c r="M607" s="4"/>
      <c r="N607" s="2"/>
      <c r="O607" s="21"/>
      <c r="P607" s="2"/>
      <c r="Q607" s="2"/>
      <c r="R607" s="4"/>
      <c r="S607" s="4"/>
      <c r="T607" s="4"/>
      <c r="U607" s="4"/>
      <c r="V607" s="4"/>
      <c r="W607" s="4"/>
    </row>
    <row r="608" spans="1:23" ht="14.5" hidden="1" customHeight="1" x14ac:dyDescent="0.2">
      <c r="A608">
        <f t="shared" si="9"/>
        <v>602</v>
      </c>
      <c r="B608">
        <v>2013</v>
      </c>
      <c r="C608" t="s">
        <v>225</v>
      </c>
      <c r="D608" t="s">
        <v>175</v>
      </c>
      <c r="E608" s="22">
        <v>250</v>
      </c>
      <c r="G608" t="s">
        <v>2606</v>
      </c>
      <c r="H608" t="s">
        <v>149</v>
      </c>
      <c r="I608" t="s">
        <v>182</v>
      </c>
      <c r="J608" t="s">
        <v>133</v>
      </c>
      <c r="K608" t="s">
        <v>195</v>
      </c>
      <c r="M608" s="4"/>
      <c r="N608" s="2"/>
      <c r="O608" s="21"/>
      <c r="P608" s="2"/>
      <c r="Q608" s="2"/>
      <c r="R608" s="4"/>
      <c r="S608" s="4"/>
      <c r="T608" s="4"/>
      <c r="U608" s="4"/>
      <c r="V608" s="4"/>
      <c r="W608" s="4"/>
    </row>
    <row r="609" spans="1:23" ht="14.5" hidden="1" customHeight="1" x14ac:dyDescent="0.2">
      <c r="A609">
        <f t="shared" si="9"/>
        <v>603</v>
      </c>
      <c r="B609">
        <v>2013</v>
      </c>
      <c r="C609" t="s">
        <v>225</v>
      </c>
      <c r="D609" t="s">
        <v>875</v>
      </c>
      <c r="E609" s="22">
        <v>280</v>
      </c>
      <c r="H609" t="s">
        <v>144</v>
      </c>
      <c r="I609" t="s">
        <v>273</v>
      </c>
      <c r="J609" t="s">
        <v>13</v>
      </c>
      <c r="K609" t="s">
        <v>201</v>
      </c>
      <c r="M609" s="4"/>
      <c r="N609" s="2"/>
      <c r="O609" s="21"/>
      <c r="P609" s="2"/>
      <c r="Q609" s="2"/>
      <c r="R609" s="4"/>
      <c r="S609" s="4"/>
      <c r="T609" s="4"/>
      <c r="U609" s="4"/>
      <c r="V609" s="4"/>
      <c r="W609" s="4"/>
    </row>
    <row r="610" spans="1:23" ht="14.5" hidden="1" customHeight="1" x14ac:dyDescent="0.2">
      <c r="A610">
        <f t="shared" si="9"/>
        <v>604</v>
      </c>
      <c r="B610">
        <v>2013</v>
      </c>
      <c r="C610" t="s">
        <v>188</v>
      </c>
      <c r="D610" t="s">
        <v>1035</v>
      </c>
      <c r="E610" s="22">
        <v>120</v>
      </c>
      <c r="H610" t="s">
        <v>145</v>
      </c>
      <c r="J610" t="s">
        <v>29</v>
      </c>
      <c r="K610" t="s">
        <v>219</v>
      </c>
      <c r="M610" s="4"/>
      <c r="N610" s="2"/>
      <c r="O610" s="21"/>
      <c r="P610" s="2"/>
      <c r="Q610" s="2"/>
      <c r="R610" s="4"/>
      <c r="S610" s="4"/>
      <c r="T610" s="4"/>
      <c r="U610" s="4"/>
      <c r="V610" s="4"/>
      <c r="W610" s="4"/>
    </row>
    <row r="611" spans="1:23" ht="14.5" hidden="1" customHeight="1" x14ac:dyDescent="0.2">
      <c r="A611">
        <f t="shared" si="9"/>
        <v>605</v>
      </c>
      <c r="B611">
        <v>2013</v>
      </c>
      <c r="C611" t="s">
        <v>188</v>
      </c>
      <c r="D611" t="s">
        <v>397</v>
      </c>
      <c r="E611" s="22">
        <v>240</v>
      </c>
      <c r="H611" t="s">
        <v>150</v>
      </c>
      <c r="I611" t="s">
        <v>744</v>
      </c>
      <c r="J611" t="s">
        <v>2406</v>
      </c>
      <c r="K611" t="s">
        <v>219</v>
      </c>
      <c r="M611" s="4"/>
      <c r="N611" s="2"/>
      <c r="O611" s="21"/>
      <c r="P611" s="2"/>
      <c r="Q611" s="2"/>
      <c r="R611" s="4"/>
      <c r="S611" s="4"/>
      <c r="T611" s="4"/>
      <c r="U611" s="4"/>
      <c r="V611" s="4"/>
      <c r="W611" s="4"/>
    </row>
    <row r="612" spans="1:23" ht="14.5" hidden="1" customHeight="1" x14ac:dyDescent="0.2">
      <c r="A612">
        <f t="shared" si="9"/>
        <v>606</v>
      </c>
      <c r="B612">
        <v>2013</v>
      </c>
      <c r="C612" t="s">
        <v>188</v>
      </c>
      <c r="D612" t="s">
        <v>2228</v>
      </c>
      <c r="E612" s="22">
        <v>330</v>
      </c>
      <c r="F612" s="16">
        <v>0.19</v>
      </c>
      <c r="H612" t="s">
        <v>154</v>
      </c>
      <c r="I612" t="s">
        <v>194</v>
      </c>
      <c r="J612" t="s">
        <v>106</v>
      </c>
      <c r="K612" t="s">
        <v>195</v>
      </c>
      <c r="M612" s="4"/>
      <c r="N612" s="2"/>
      <c r="O612" s="21"/>
      <c r="P612" s="2"/>
      <c r="Q612" s="2"/>
      <c r="R612" s="4"/>
      <c r="S612" s="4"/>
      <c r="T612" s="4"/>
      <c r="U612" s="4"/>
      <c r="V612" s="4"/>
      <c r="W612" s="4"/>
    </row>
    <row r="613" spans="1:23" ht="14.5" hidden="1" customHeight="1" x14ac:dyDescent="0.2">
      <c r="A613">
        <f t="shared" si="9"/>
        <v>607</v>
      </c>
      <c r="B613">
        <v>2013</v>
      </c>
      <c r="C613" t="s">
        <v>188</v>
      </c>
      <c r="D613" t="s">
        <v>479</v>
      </c>
      <c r="E613" s="22">
        <v>140</v>
      </c>
      <c r="H613" t="s">
        <v>154</v>
      </c>
      <c r="I613" t="s">
        <v>194</v>
      </c>
      <c r="J613" t="s">
        <v>95</v>
      </c>
      <c r="K613" t="s">
        <v>183</v>
      </c>
      <c r="M613" s="4"/>
      <c r="N613" s="2"/>
      <c r="O613" s="21"/>
      <c r="P613" s="2"/>
      <c r="Q613" s="2"/>
      <c r="R613" s="4"/>
      <c r="S613" s="4"/>
      <c r="T613" s="4"/>
      <c r="U613" s="4"/>
      <c r="V613" s="4"/>
      <c r="W613" s="4"/>
    </row>
    <row r="614" spans="1:23" ht="14.5" hidden="1" customHeight="1" x14ac:dyDescent="0.2">
      <c r="A614">
        <f t="shared" si="9"/>
        <v>608</v>
      </c>
      <c r="B614">
        <v>2013</v>
      </c>
      <c r="C614" t="s">
        <v>188</v>
      </c>
      <c r="D614" t="s">
        <v>479</v>
      </c>
      <c r="E614" s="22">
        <v>600</v>
      </c>
      <c r="H614" t="s">
        <v>154</v>
      </c>
      <c r="I614" t="s">
        <v>194</v>
      </c>
      <c r="J614" t="s">
        <v>100</v>
      </c>
      <c r="K614" t="s">
        <v>214</v>
      </c>
      <c r="M614" s="4"/>
      <c r="N614" s="2"/>
      <c r="O614" s="21"/>
      <c r="P614" s="2"/>
      <c r="Q614" s="2"/>
      <c r="R614" s="4"/>
      <c r="S614" s="4"/>
      <c r="T614" s="4"/>
      <c r="U614" s="4"/>
      <c r="V614" s="4"/>
      <c r="W614" s="4"/>
    </row>
    <row r="615" spans="1:23" ht="14.5" hidden="1" customHeight="1" x14ac:dyDescent="0.2">
      <c r="A615">
        <f t="shared" si="9"/>
        <v>609</v>
      </c>
      <c r="B615">
        <v>2013</v>
      </c>
      <c r="C615" t="s">
        <v>188</v>
      </c>
      <c r="D615" t="s">
        <v>246</v>
      </c>
      <c r="E615" s="22">
        <v>110</v>
      </c>
      <c r="H615" t="s">
        <v>144</v>
      </c>
      <c r="I615" t="s">
        <v>197</v>
      </c>
      <c r="J615" t="s">
        <v>124</v>
      </c>
      <c r="K615" t="s">
        <v>183</v>
      </c>
      <c r="M615" s="4"/>
      <c r="N615" s="2"/>
      <c r="O615" s="21"/>
      <c r="P615" s="2"/>
      <c r="Q615" s="2"/>
      <c r="R615" s="4"/>
      <c r="S615" s="4"/>
      <c r="T615" s="4"/>
      <c r="U615" s="4"/>
      <c r="V615" s="4"/>
      <c r="W615" s="4"/>
    </row>
    <row r="616" spans="1:23" ht="14.5" hidden="1" customHeight="1" x14ac:dyDescent="0.2">
      <c r="A616">
        <f t="shared" si="9"/>
        <v>610</v>
      </c>
      <c r="B616">
        <v>2013</v>
      </c>
      <c r="C616" t="s">
        <v>188</v>
      </c>
      <c r="D616" t="s">
        <v>341</v>
      </c>
      <c r="E616" s="22">
        <v>460</v>
      </c>
      <c r="H616" t="s">
        <v>154</v>
      </c>
      <c r="I616" t="s">
        <v>529</v>
      </c>
      <c r="J616" t="s">
        <v>134</v>
      </c>
      <c r="K616" t="s">
        <v>201</v>
      </c>
      <c r="M616" s="4"/>
      <c r="N616" s="2"/>
      <c r="O616" s="21"/>
      <c r="P616" s="2"/>
      <c r="Q616" s="2"/>
      <c r="R616" s="4"/>
      <c r="S616" s="4"/>
      <c r="T616" s="4"/>
      <c r="U616" s="4"/>
      <c r="V616" s="4"/>
      <c r="W616" s="4"/>
    </row>
    <row r="617" spans="1:23" ht="14.5" hidden="1" customHeight="1" x14ac:dyDescent="0.2">
      <c r="A617">
        <f t="shared" si="9"/>
        <v>611</v>
      </c>
      <c r="B617">
        <v>2013</v>
      </c>
      <c r="C617" t="s">
        <v>188</v>
      </c>
      <c r="D617" t="s">
        <v>444</v>
      </c>
      <c r="E617" s="22">
        <v>650</v>
      </c>
      <c r="H617" t="s">
        <v>144</v>
      </c>
      <c r="J617" t="s">
        <v>29</v>
      </c>
      <c r="K617" t="s">
        <v>219</v>
      </c>
      <c r="M617" s="4"/>
      <c r="N617" s="2"/>
      <c r="O617" s="21"/>
      <c r="P617" s="2"/>
      <c r="Q617" s="2"/>
      <c r="R617" s="4"/>
      <c r="S617" s="4"/>
      <c r="T617" s="4"/>
      <c r="U617" s="4"/>
      <c r="V617" s="4"/>
      <c r="W617" s="4"/>
    </row>
    <row r="618" spans="1:23" ht="14.5" hidden="1" customHeight="1" x14ac:dyDescent="0.2">
      <c r="A618">
        <f t="shared" si="9"/>
        <v>612</v>
      </c>
      <c r="B618">
        <v>2013</v>
      </c>
      <c r="C618" t="s">
        <v>188</v>
      </c>
      <c r="D618" t="s">
        <v>444</v>
      </c>
      <c r="E618" s="22">
        <v>140</v>
      </c>
      <c r="H618" t="s">
        <v>155</v>
      </c>
      <c r="J618" t="s">
        <v>139</v>
      </c>
      <c r="K618" t="s">
        <v>219</v>
      </c>
      <c r="M618" s="4"/>
      <c r="N618" s="2"/>
      <c r="O618" s="21"/>
      <c r="P618" s="2"/>
      <c r="Q618" s="2"/>
      <c r="R618" s="4"/>
      <c r="S618" s="4"/>
      <c r="T618" s="4"/>
      <c r="U618" s="4"/>
      <c r="V618" s="4"/>
      <c r="W618" s="4"/>
    </row>
    <row r="619" spans="1:23" ht="14.5" hidden="1" customHeight="1" x14ac:dyDescent="0.2">
      <c r="A619">
        <f t="shared" si="9"/>
        <v>613</v>
      </c>
      <c r="B619">
        <v>2013</v>
      </c>
      <c r="C619" t="s">
        <v>188</v>
      </c>
      <c r="D619" t="s">
        <v>444</v>
      </c>
      <c r="E619" s="22">
        <v>100</v>
      </c>
      <c r="H619" t="s">
        <v>147</v>
      </c>
      <c r="J619" t="s">
        <v>139</v>
      </c>
      <c r="K619" t="s">
        <v>219</v>
      </c>
      <c r="M619" s="4"/>
      <c r="N619" s="2"/>
      <c r="O619" s="21"/>
      <c r="P619" s="2"/>
      <c r="Q619" s="2"/>
      <c r="R619" s="4"/>
      <c r="S619" s="4"/>
      <c r="T619" s="4"/>
      <c r="U619" s="4"/>
      <c r="V619" s="4"/>
      <c r="W619" s="4"/>
    </row>
    <row r="620" spans="1:23" ht="14.5" hidden="1" customHeight="1" x14ac:dyDescent="0.2">
      <c r="A620">
        <f t="shared" si="9"/>
        <v>614</v>
      </c>
      <c r="B620">
        <v>2013</v>
      </c>
      <c r="C620" t="s">
        <v>188</v>
      </c>
      <c r="D620" t="s">
        <v>208</v>
      </c>
      <c r="E620" s="22">
        <v>290</v>
      </c>
      <c r="G620" t="s">
        <v>2607</v>
      </c>
      <c r="H620" t="s">
        <v>149</v>
      </c>
      <c r="J620" t="s">
        <v>9</v>
      </c>
      <c r="K620" t="s">
        <v>9</v>
      </c>
      <c r="M620" s="4"/>
      <c r="N620" s="2"/>
      <c r="O620" s="21"/>
      <c r="P620" s="2"/>
      <c r="Q620" s="2"/>
      <c r="R620" s="4"/>
      <c r="S620" s="4"/>
      <c r="T620" s="4"/>
      <c r="U620" s="4"/>
      <c r="V620" s="4"/>
      <c r="W620" s="4"/>
    </row>
    <row r="621" spans="1:23" ht="14.5" hidden="1" customHeight="1" x14ac:dyDescent="0.2">
      <c r="A621">
        <f t="shared" si="9"/>
        <v>615</v>
      </c>
      <c r="B621">
        <v>2013</v>
      </c>
      <c r="C621" t="s">
        <v>191</v>
      </c>
      <c r="D621" t="s">
        <v>246</v>
      </c>
      <c r="E621" s="22">
        <v>120</v>
      </c>
      <c r="H621" t="s">
        <v>155</v>
      </c>
      <c r="J621" t="s">
        <v>2554</v>
      </c>
      <c r="K621" t="s">
        <v>219</v>
      </c>
      <c r="M621" s="4"/>
      <c r="N621" s="2"/>
      <c r="O621" s="21"/>
      <c r="P621" s="2"/>
      <c r="Q621" s="2"/>
      <c r="R621" s="4"/>
      <c r="S621" s="4"/>
      <c r="T621" s="4"/>
      <c r="U621" s="4"/>
      <c r="V621" s="4"/>
      <c r="W621" s="4"/>
    </row>
    <row r="622" spans="1:23" ht="14.5" hidden="1" customHeight="1" x14ac:dyDescent="0.2">
      <c r="A622">
        <f t="shared" si="9"/>
        <v>616</v>
      </c>
      <c r="B622">
        <v>2013</v>
      </c>
      <c r="C622" t="s">
        <v>191</v>
      </c>
      <c r="D622" t="s">
        <v>2608</v>
      </c>
      <c r="E622" s="22">
        <v>340</v>
      </c>
      <c r="G622" t="s">
        <v>2609</v>
      </c>
      <c r="H622" t="s">
        <v>144</v>
      </c>
      <c r="I622" t="s">
        <v>232</v>
      </c>
      <c r="J622" t="s">
        <v>40</v>
      </c>
      <c r="K622" t="s">
        <v>219</v>
      </c>
      <c r="M622" s="4"/>
      <c r="N622" s="2"/>
      <c r="O622" s="21"/>
      <c r="P622" s="2"/>
      <c r="Q622" s="2"/>
      <c r="R622" s="4"/>
      <c r="S622" s="4"/>
      <c r="T622" s="4"/>
      <c r="U622" s="4"/>
      <c r="V622" s="4"/>
      <c r="W622" s="4"/>
    </row>
    <row r="623" spans="1:23" ht="14.5" hidden="1" customHeight="1" x14ac:dyDescent="0.2">
      <c r="A623">
        <f t="shared" si="9"/>
        <v>617</v>
      </c>
      <c r="B623">
        <v>2013</v>
      </c>
      <c r="C623" t="s">
        <v>191</v>
      </c>
      <c r="D623" t="s">
        <v>199</v>
      </c>
      <c r="E623" s="22">
        <v>340</v>
      </c>
      <c r="H623" t="s">
        <v>144</v>
      </c>
      <c r="I623" t="s">
        <v>187</v>
      </c>
      <c r="J623" t="s">
        <v>55</v>
      </c>
      <c r="K623" t="s">
        <v>214</v>
      </c>
      <c r="M623" s="4"/>
      <c r="N623" s="2"/>
      <c r="O623" s="21"/>
      <c r="P623" s="2"/>
      <c r="Q623" s="2"/>
      <c r="R623" s="4"/>
      <c r="S623" s="4"/>
      <c r="T623" s="4"/>
      <c r="U623" s="4"/>
      <c r="V623" s="4"/>
      <c r="W623" s="4"/>
    </row>
    <row r="624" spans="1:23" ht="14.5" hidden="1" customHeight="1" x14ac:dyDescent="0.2">
      <c r="A624">
        <f t="shared" si="9"/>
        <v>618</v>
      </c>
      <c r="B624">
        <v>2013</v>
      </c>
      <c r="C624" t="s">
        <v>191</v>
      </c>
      <c r="D624" t="s">
        <v>246</v>
      </c>
      <c r="E624" s="22">
        <v>560</v>
      </c>
      <c r="H624" t="s">
        <v>144</v>
      </c>
      <c r="I624" t="s">
        <v>197</v>
      </c>
      <c r="J624" t="s">
        <v>132</v>
      </c>
      <c r="K624" t="s">
        <v>219</v>
      </c>
      <c r="M624" s="4"/>
      <c r="N624" s="2"/>
      <c r="O624" s="21"/>
      <c r="P624" s="2"/>
      <c r="Q624" s="2"/>
      <c r="R624" s="4"/>
      <c r="S624" s="4"/>
      <c r="T624" s="4"/>
      <c r="U624" s="4"/>
      <c r="V624" s="4"/>
      <c r="W624" s="4"/>
    </row>
    <row r="625" spans="1:23" ht="14.5" hidden="1" customHeight="1" x14ac:dyDescent="0.2">
      <c r="A625">
        <f t="shared" si="9"/>
        <v>619</v>
      </c>
      <c r="B625">
        <v>2013</v>
      </c>
      <c r="C625" t="s">
        <v>191</v>
      </c>
      <c r="D625" t="s">
        <v>444</v>
      </c>
      <c r="E625" s="22">
        <v>420</v>
      </c>
      <c r="G625" t="s">
        <v>2610</v>
      </c>
      <c r="H625" t="s">
        <v>144</v>
      </c>
      <c r="J625" t="s">
        <v>89</v>
      </c>
      <c r="K625" t="s">
        <v>219</v>
      </c>
      <c r="M625" s="4"/>
      <c r="N625" s="2"/>
      <c r="O625" s="21"/>
      <c r="P625" s="2"/>
      <c r="Q625" s="2"/>
      <c r="R625" s="4"/>
      <c r="S625" s="4"/>
      <c r="T625" s="4"/>
      <c r="U625" s="4"/>
      <c r="V625" s="4"/>
      <c r="W625" s="4"/>
    </row>
    <row r="626" spans="1:23" ht="14.5" hidden="1" customHeight="1" x14ac:dyDescent="0.2">
      <c r="A626">
        <f t="shared" si="9"/>
        <v>620</v>
      </c>
      <c r="B626">
        <v>2013</v>
      </c>
      <c r="C626" t="s">
        <v>191</v>
      </c>
      <c r="D626" t="s">
        <v>444</v>
      </c>
      <c r="E626" s="22">
        <v>200</v>
      </c>
      <c r="H626" t="s">
        <v>144</v>
      </c>
      <c r="J626" t="s">
        <v>89</v>
      </c>
      <c r="K626" t="s">
        <v>219</v>
      </c>
      <c r="M626" s="4"/>
      <c r="N626" s="2"/>
      <c r="O626" s="21"/>
      <c r="P626" s="2"/>
      <c r="Q626" s="2"/>
      <c r="R626" s="4"/>
      <c r="S626" s="4"/>
      <c r="T626" s="4"/>
      <c r="U626" s="4"/>
      <c r="V626" s="4"/>
      <c r="W626" s="4"/>
    </row>
    <row r="627" spans="1:23" ht="14.5" hidden="1" customHeight="1" x14ac:dyDescent="0.2">
      <c r="A627">
        <f t="shared" si="9"/>
        <v>621</v>
      </c>
      <c r="B627">
        <v>2013</v>
      </c>
      <c r="C627" t="s">
        <v>191</v>
      </c>
      <c r="D627" t="s">
        <v>703</v>
      </c>
      <c r="E627" s="22">
        <v>600</v>
      </c>
      <c r="G627" t="s">
        <v>2543</v>
      </c>
      <c r="H627" t="s">
        <v>144</v>
      </c>
      <c r="I627" t="s">
        <v>197</v>
      </c>
      <c r="J627" t="s">
        <v>37</v>
      </c>
      <c r="K627" t="s">
        <v>205</v>
      </c>
      <c r="M627" s="4"/>
      <c r="N627" s="2"/>
      <c r="O627" s="21"/>
      <c r="P627" s="2"/>
      <c r="Q627" s="2"/>
      <c r="R627" s="4"/>
      <c r="S627" s="4"/>
      <c r="T627" s="4"/>
      <c r="U627" s="4"/>
      <c r="V627" s="4"/>
      <c r="W627" s="4"/>
    </row>
    <row r="628" spans="1:23" ht="14.5" hidden="1" customHeight="1" x14ac:dyDescent="0.2">
      <c r="A628">
        <f t="shared" si="9"/>
        <v>622</v>
      </c>
      <c r="B628">
        <v>2013</v>
      </c>
      <c r="C628" t="s">
        <v>191</v>
      </c>
      <c r="D628" t="s">
        <v>1035</v>
      </c>
      <c r="E628" s="22">
        <v>280</v>
      </c>
      <c r="G628" t="s">
        <v>2611</v>
      </c>
      <c r="H628" t="s">
        <v>144</v>
      </c>
      <c r="I628" t="s">
        <v>299</v>
      </c>
      <c r="J628" t="s">
        <v>17</v>
      </c>
      <c r="K628" t="s">
        <v>195</v>
      </c>
      <c r="M628" s="4"/>
      <c r="N628" s="2"/>
      <c r="O628" s="21"/>
      <c r="P628" s="2"/>
      <c r="Q628" s="2"/>
      <c r="R628" s="4"/>
      <c r="S628" s="4"/>
      <c r="T628" s="4"/>
      <c r="U628" s="4"/>
      <c r="V628" s="4"/>
      <c r="W628" s="4"/>
    </row>
    <row r="629" spans="1:23" ht="14.5" hidden="1" customHeight="1" x14ac:dyDescent="0.2">
      <c r="A629">
        <f t="shared" si="9"/>
        <v>623</v>
      </c>
      <c r="B629">
        <v>2013</v>
      </c>
      <c r="C629" t="s">
        <v>191</v>
      </c>
      <c r="D629" t="s">
        <v>479</v>
      </c>
      <c r="E629" s="22">
        <v>100</v>
      </c>
      <c r="H629" t="s">
        <v>154</v>
      </c>
      <c r="I629" t="s">
        <v>271</v>
      </c>
      <c r="J629" t="s">
        <v>72</v>
      </c>
      <c r="K629" t="s">
        <v>183</v>
      </c>
      <c r="M629" s="4"/>
      <c r="N629" s="2"/>
      <c r="O629" s="21"/>
      <c r="P629" s="2"/>
      <c r="Q629" s="2"/>
      <c r="R629" s="4"/>
      <c r="S629" s="4"/>
      <c r="T629" s="4"/>
      <c r="U629" s="4"/>
      <c r="V629" s="4"/>
      <c r="W629" s="4"/>
    </row>
    <row r="630" spans="1:23" ht="14.5" hidden="1" customHeight="1" x14ac:dyDescent="0.2">
      <c r="A630">
        <f t="shared" si="9"/>
        <v>624</v>
      </c>
      <c r="B630">
        <v>2013</v>
      </c>
      <c r="C630" t="s">
        <v>191</v>
      </c>
      <c r="D630" t="s">
        <v>479</v>
      </c>
      <c r="E630" s="22">
        <v>500</v>
      </c>
      <c r="H630" t="s">
        <v>155</v>
      </c>
      <c r="J630" t="s">
        <v>105</v>
      </c>
      <c r="K630" t="s">
        <v>214</v>
      </c>
      <c r="M630" s="4"/>
      <c r="N630" s="2"/>
      <c r="O630" s="21"/>
      <c r="P630" s="2"/>
      <c r="Q630" s="2"/>
      <c r="R630" s="4"/>
      <c r="S630" s="4"/>
      <c r="T630" s="4"/>
      <c r="U630" s="4"/>
      <c r="V630" s="4"/>
      <c r="W630" s="4"/>
    </row>
    <row r="631" spans="1:23" ht="14.5" hidden="1" customHeight="1" x14ac:dyDescent="0.2">
      <c r="A631">
        <f t="shared" si="9"/>
        <v>625</v>
      </c>
      <c r="B631">
        <v>2013</v>
      </c>
      <c r="C631" t="s">
        <v>191</v>
      </c>
      <c r="D631" t="s">
        <v>397</v>
      </c>
      <c r="E631" s="22">
        <v>160</v>
      </c>
      <c r="H631" t="s">
        <v>145</v>
      </c>
      <c r="J631" t="s">
        <v>5</v>
      </c>
      <c r="K631" t="s">
        <v>214</v>
      </c>
      <c r="M631" s="4"/>
      <c r="N631" s="2"/>
      <c r="O631" s="21"/>
      <c r="P631" s="2"/>
      <c r="Q631" s="2"/>
      <c r="R631" s="4"/>
      <c r="S631" s="4"/>
      <c r="T631" s="4"/>
      <c r="U631" s="4"/>
      <c r="V631" s="4"/>
      <c r="W631" s="4"/>
    </row>
    <row r="632" spans="1:23" ht="14.5" hidden="1" customHeight="1" x14ac:dyDescent="0.2">
      <c r="A632">
        <f t="shared" si="9"/>
        <v>626</v>
      </c>
      <c r="B632">
        <v>2013</v>
      </c>
      <c r="C632" t="s">
        <v>191</v>
      </c>
      <c r="D632" t="s">
        <v>246</v>
      </c>
      <c r="E632" s="22">
        <v>330</v>
      </c>
      <c r="H632" t="s">
        <v>144</v>
      </c>
      <c r="I632" t="s">
        <v>197</v>
      </c>
      <c r="J632" t="s">
        <v>24</v>
      </c>
      <c r="K632" t="s">
        <v>219</v>
      </c>
      <c r="M632" s="4"/>
      <c r="N632" s="2"/>
      <c r="O632" s="21"/>
      <c r="P632" s="2"/>
      <c r="Q632" s="2"/>
      <c r="R632" s="4"/>
      <c r="S632" s="4"/>
      <c r="T632" s="4"/>
      <c r="U632" s="4"/>
      <c r="V632" s="4"/>
      <c r="W632" s="4"/>
    </row>
    <row r="633" spans="1:23" ht="14.5" hidden="1" customHeight="1" x14ac:dyDescent="0.2">
      <c r="A633">
        <f t="shared" si="9"/>
        <v>627</v>
      </c>
      <c r="B633">
        <v>2013</v>
      </c>
      <c r="C633" t="s">
        <v>191</v>
      </c>
      <c r="D633" t="s">
        <v>703</v>
      </c>
      <c r="E633" s="22">
        <v>300</v>
      </c>
      <c r="H633" t="s">
        <v>144</v>
      </c>
      <c r="I633" t="s">
        <v>273</v>
      </c>
      <c r="J633" t="s">
        <v>13</v>
      </c>
      <c r="K633" t="s">
        <v>201</v>
      </c>
      <c r="M633" s="4"/>
      <c r="N633" s="2"/>
      <c r="O633" s="21"/>
      <c r="P633" s="2"/>
      <c r="Q633" s="2"/>
      <c r="R633" s="4"/>
      <c r="S633" s="4"/>
      <c r="T633" s="4"/>
      <c r="U633" s="4"/>
      <c r="V633" s="4"/>
      <c r="W633" s="4"/>
    </row>
    <row r="634" spans="1:23" ht="14.5" hidden="1" customHeight="1" x14ac:dyDescent="0.2">
      <c r="A634">
        <f t="shared" si="9"/>
        <v>628</v>
      </c>
      <c r="B634">
        <v>2013</v>
      </c>
      <c r="C634" t="s">
        <v>191</v>
      </c>
      <c r="D634" t="s">
        <v>875</v>
      </c>
      <c r="E634" s="22">
        <v>250</v>
      </c>
      <c r="H634" t="s">
        <v>144</v>
      </c>
      <c r="I634" t="s">
        <v>197</v>
      </c>
      <c r="J634" t="s">
        <v>67</v>
      </c>
      <c r="K634" t="s">
        <v>183</v>
      </c>
      <c r="M634" s="4"/>
      <c r="N634" s="2"/>
      <c r="O634" s="21"/>
      <c r="P634" s="2"/>
      <c r="Q634" s="2"/>
      <c r="R634" s="4"/>
      <c r="S634" s="4"/>
      <c r="T634" s="4"/>
      <c r="U634" s="4"/>
      <c r="V634" s="4"/>
      <c r="W634" s="4"/>
    </row>
    <row r="635" spans="1:23" ht="14.5" hidden="1" customHeight="1" x14ac:dyDescent="0.2">
      <c r="A635">
        <f t="shared" si="9"/>
        <v>629</v>
      </c>
      <c r="B635">
        <v>2013</v>
      </c>
      <c r="C635" t="s">
        <v>198</v>
      </c>
      <c r="D635" t="s">
        <v>530</v>
      </c>
      <c r="E635" s="22">
        <v>800</v>
      </c>
      <c r="H635" t="s">
        <v>152</v>
      </c>
      <c r="I635" t="s">
        <v>257</v>
      </c>
      <c r="J635" t="s">
        <v>40</v>
      </c>
      <c r="K635" t="s">
        <v>219</v>
      </c>
      <c r="M635" s="4"/>
      <c r="N635" s="2"/>
      <c r="O635" s="21"/>
      <c r="P635" s="2"/>
      <c r="Q635" s="2"/>
      <c r="R635" s="4"/>
      <c r="S635" s="4"/>
      <c r="T635" s="4"/>
      <c r="U635" s="4"/>
      <c r="V635" s="4"/>
      <c r="W635" s="4"/>
    </row>
    <row r="636" spans="1:23" ht="14.5" hidden="1" customHeight="1" x14ac:dyDescent="0.2">
      <c r="A636">
        <f t="shared" si="9"/>
        <v>630</v>
      </c>
      <c r="B636">
        <v>2013</v>
      </c>
      <c r="C636" t="s">
        <v>198</v>
      </c>
      <c r="D636" t="s">
        <v>444</v>
      </c>
      <c r="E636" s="22">
        <v>320</v>
      </c>
      <c r="H636" t="s">
        <v>150</v>
      </c>
      <c r="I636" t="s">
        <v>744</v>
      </c>
      <c r="J636" t="s">
        <v>2406</v>
      </c>
      <c r="K636" t="s">
        <v>219</v>
      </c>
      <c r="M636" s="4"/>
      <c r="N636" s="2"/>
      <c r="O636" s="21"/>
      <c r="P636" s="2"/>
      <c r="Q636" s="2"/>
      <c r="R636" s="4"/>
      <c r="S636" s="4"/>
      <c r="T636" s="4"/>
      <c r="U636" s="4"/>
      <c r="V636" s="4"/>
      <c r="W636" s="4"/>
    </row>
    <row r="637" spans="1:23" ht="14.5" hidden="1" customHeight="1" x14ac:dyDescent="0.2">
      <c r="A637">
        <f t="shared" si="9"/>
        <v>631</v>
      </c>
      <c r="B637">
        <v>2013</v>
      </c>
      <c r="C637" t="s">
        <v>198</v>
      </c>
      <c r="D637" t="s">
        <v>444</v>
      </c>
      <c r="E637" s="22">
        <v>220</v>
      </c>
      <c r="H637" t="s">
        <v>144</v>
      </c>
      <c r="J637" t="s">
        <v>128</v>
      </c>
      <c r="K637" t="s">
        <v>201</v>
      </c>
      <c r="M637" s="4"/>
      <c r="N637" s="2"/>
      <c r="O637" s="21"/>
      <c r="P637" s="2"/>
      <c r="Q637" s="2"/>
      <c r="R637" s="4"/>
      <c r="S637" s="4"/>
      <c r="T637" s="4"/>
      <c r="U637" s="4"/>
      <c r="V637" s="4"/>
      <c r="W637" s="4"/>
    </row>
    <row r="638" spans="1:23" ht="14.5" hidden="1" customHeight="1" x14ac:dyDescent="0.2">
      <c r="A638">
        <f t="shared" si="9"/>
        <v>632</v>
      </c>
      <c r="B638">
        <v>2013</v>
      </c>
      <c r="C638" t="s">
        <v>198</v>
      </c>
      <c r="D638" t="s">
        <v>479</v>
      </c>
      <c r="E638" s="22">
        <v>300</v>
      </c>
      <c r="H638" t="s">
        <v>148</v>
      </c>
      <c r="J638" t="s">
        <v>115</v>
      </c>
      <c r="K638" t="s">
        <v>201</v>
      </c>
      <c r="M638" s="4"/>
      <c r="N638" s="2"/>
      <c r="O638" s="21"/>
      <c r="P638" s="2"/>
      <c r="Q638" s="2"/>
      <c r="R638" s="4"/>
      <c r="S638" s="4"/>
      <c r="T638" s="4"/>
      <c r="U638" s="4"/>
      <c r="V638" s="4"/>
      <c r="W638" s="4"/>
    </row>
    <row r="639" spans="1:23" ht="14.5" hidden="1" customHeight="1" x14ac:dyDescent="0.2">
      <c r="A639">
        <f t="shared" si="9"/>
        <v>633</v>
      </c>
      <c r="B639">
        <v>2013</v>
      </c>
      <c r="C639" t="s">
        <v>198</v>
      </c>
      <c r="D639" t="s">
        <v>397</v>
      </c>
      <c r="E639" s="22">
        <v>290</v>
      </c>
      <c r="H639" t="s">
        <v>142</v>
      </c>
      <c r="J639" t="s">
        <v>13</v>
      </c>
      <c r="K639" t="s">
        <v>201</v>
      </c>
      <c r="M639" s="4"/>
      <c r="N639" s="2"/>
      <c r="O639" s="21"/>
      <c r="P639" s="2"/>
      <c r="Q639" s="2"/>
      <c r="R639" s="4"/>
      <c r="S639" s="4"/>
      <c r="T639" s="4"/>
      <c r="U639" s="4"/>
      <c r="V639" s="4"/>
      <c r="W639" s="4"/>
    </row>
    <row r="640" spans="1:23" ht="14.5" hidden="1" customHeight="1" x14ac:dyDescent="0.2">
      <c r="A640">
        <f t="shared" si="9"/>
        <v>634</v>
      </c>
      <c r="B640">
        <v>2013</v>
      </c>
      <c r="C640" t="s">
        <v>198</v>
      </c>
      <c r="D640" t="s">
        <v>1035</v>
      </c>
      <c r="E640" s="22">
        <v>100</v>
      </c>
      <c r="G640" t="s">
        <v>2612</v>
      </c>
      <c r="H640" t="s">
        <v>144</v>
      </c>
      <c r="J640" t="s">
        <v>72</v>
      </c>
      <c r="K640" t="s">
        <v>183</v>
      </c>
      <c r="M640" s="4"/>
      <c r="N640" s="2"/>
      <c r="O640" s="21"/>
      <c r="P640" s="2"/>
      <c r="Q640" s="2"/>
      <c r="R640" s="4"/>
      <c r="S640" s="4"/>
      <c r="T640" s="4"/>
      <c r="U640" s="4"/>
      <c r="V640" s="4"/>
      <c r="W640" s="4"/>
    </row>
    <row r="641" spans="1:23" ht="14.5" hidden="1" customHeight="1" x14ac:dyDescent="0.2">
      <c r="A641">
        <f t="shared" si="9"/>
        <v>635</v>
      </c>
      <c r="B641">
        <v>2013</v>
      </c>
      <c r="C641" t="s">
        <v>198</v>
      </c>
      <c r="D641" t="s">
        <v>444</v>
      </c>
      <c r="E641" s="22">
        <v>100</v>
      </c>
      <c r="H641" t="s">
        <v>155</v>
      </c>
      <c r="J641" t="s">
        <v>132</v>
      </c>
      <c r="K641" t="s">
        <v>219</v>
      </c>
      <c r="M641" s="4"/>
      <c r="N641" s="2"/>
      <c r="O641" s="21"/>
      <c r="P641" s="2"/>
      <c r="Q641" s="2"/>
      <c r="R641" s="4"/>
      <c r="S641" s="4"/>
      <c r="T641" s="4"/>
      <c r="U641" s="4"/>
      <c r="V641" s="4"/>
      <c r="W641" s="4"/>
    </row>
    <row r="642" spans="1:23" ht="14.5" hidden="1" customHeight="1" x14ac:dyDescent="0.2">
      <c r="A642">
        <f t="shared" si="9"/>
        <v>636</v>
      </c>
      <c r="B642">
        <v>2013</v>
      </c>
      <c r="C642" t="s">
        <v>198</v>
      </c>
      <c r="D642" t="s">
        <v>421</v>
      </c>
      <c r="E642" s="22">
        <v>240</v>
      </c>
      <c r="H642" t="s">
        <v>154</v>
      </c>
      <c r="I642" t="s">
        <v>194</v>
      </c>
      <c r="J642" t="s">
        <v>138</v>
      </c>
      <c r="K642" t="s">
        <v>219</v>
      </c>
      <c r="M642" s="4"/>
      <c r="N642" s="2"/>
      <c r="O642" s="21"/>
      <c r="P642" s="2"/>
      <c r="Q642" s="2"/>
      <c r="R642" s="4"/>
      <c r="S642" s="4"/>
      <c r="T642" s="4"/>
      <c r="U642" s="4"/>
      <c r="V642" s="4"/>
      <c r="W642" s="4"/>
    </row>
    <row r="643" spans="1:23" ht="14.5" hidden="1" customHeight="1" x14ac:dyDescent="0.2">
      <c r="A643">
        <f t="shared" si="9"/>
        <v>637</v>
      </c>
      <c r="B643">
        <v>2013</v>
      </c>
      <c r="C643" t="s">
        <v>198</v>
      </c>
      <c r="D643" t="s">
        <v>1035</v>
      </c>
      <c r="E643" s="22">
        <v>2700</v>
      </c>
      <c r="H643" t="s">
        <v>144</v>
      </c>
      <c r="I643" t="s">
        <v>273</v>
      </c>
      <c r="J643" t="s">
        <v>52</v>
      </c>
      <c r="K643" t="s">
        <v>201</v>
      </c>
      <c r="M643" s="4"/>
      <c r="N643" s="2"/>
      <c r="O643" s="21"/>
      <c r="P643" s="2"/>
      <c r="Q643" s="2"/>
      <c r="R643" s="4"/>
      <c r="S643" s="4"/>
      <c r="T643" s="4"/>
      <c r="U643" s="4"/>
      <c r="V643" s="4"/>
      <c r="W643" s="4"/>
    </row>
    <row r="644" spans="1:23" ht="14.5" hidden="1" customHeight="1" x14ac:dyDescent="0.2">
      <c r="A644">
        <f t="shared" si="9"/>
        <v>638</v>
      </c>
      <c r="B644">
        <v>2013</v>
      </c>
      <c r="C644" t="s">
        <v>202</v>
      </c>
      <c r="D644" t="s">
        <v>1035</v>
      </c>
      <c r="E644" s="22">
        <v>1700</v>
      </c>
      <c r="G644" t="s">
        <v>2613</v>
      </c>
      <c r="H644" t="s">
        <v>144</v>
      </c>
      <c r="I644" t="s">
        <v>187</v>
      </c>
      <c r="J644" t="s">
        <v>62</v>
      </c>
      <c r="K644" t="s">
        <v>214</v>
      </c>
      <c r="M644" s="4"/>
      <c r="N644" s="2"/>
      <c r="O644" s="21"/>
      <c r="P644" s="2"/>
      <c r="Q644" s="2"/>
      <c r="R644" s="4"/>
      <c r="S644" s="4"/>
      <c r="T644" s="4"/>
      <c r="U644" s="4"/>
      <c r="V644" s="4"/>
      <c r="W644" s="4"/>
    </row>
    <row r="645" spans="1:23" ht="14.5" hidden="1" customHeight="1" x14ac:dyDescent="0.2">
      <c r="A645">
        <f t="shared" si="9"/>
        <v>639</v>
      </c>
      <c r="B645">
        <v>2013</v>
      </c>
      <c r="C645" t="s">
        <v>202</v>
      </c>
      <c r="D645" t="s">
        <v>479</v>
      </c>
      <c r="E645" s="22">
        <v>140</v>
      </c>
      <c r="H645" t="s">
        <v>154</v>
      </c>
      <c r="I645" t="s">
        <v>194</v>
      </c>
      <c r="J645" t="s">
        <v>136</v>
      </c>
      <c r="K645" t="s">
        <v>183</v>
      </c>
      <c r="M645" s="4"/>
      <c r="N645" s="2"/>
      <c r="O645" s="21"/>
      <c r="P645" s="2"/>
      <c r="Q645" s="2"/>
      <c r="R645" s="4"/>
      <c r="S645" s="4"/>
      <c r="T645" s="4"/>
      <c r="U645" s="4"/>
      <c r="V645" s="4"/>
      <c r="W645" s="4"/>
    </row>
    <row r="646" spans="1:23" ht="14.5" hidden="1" customHeight="1" x14ac:dyDescent="0.2">
      <c r="A646">
        <f t="shared" si="9"/>
        <v>640</v>
      </c>
      <c r="B646">
        <v>2013</v>
      </c>
      <c r="C646" t="s">
        <v>202</v>
      </c>
      <c r="D646" t="s">
        <v>479</v>
      </c>
      <c r="E646" s="22">
        <v>100</v>
      </c>
      <c r="H646" t="s">
        <v>154</v>
      </c>
      <c r="I646" t="s">
        <v>250</v>
      </c>
      <c r="J646" t="s">
        <v>115</v>
      </c>
      <c r="K646" t="s">
        <v>201</v>
      </c>
      <c r="M646" s="4"/>
      <c r="N646" s="2"/>
      <c r="O646" s="21"/>
      <c r="P646" s="2"/>
      <c r="Q646" s="2"/>
      <c r="R646" s="4"/>
      <c r="S646" s="4"/>
      <c r="T646" s="4"/>
      <c r="U646" s="4"/>
      <c r="V646" s="4"/>
      <c r="W646" s="4"/>
    </row>
    <row r="647" spans="1:23" ht="14.5" hidden="1" customHeight="1" x14ac:dyDescent="0.2">
      <c r="A647">
        <f t="shared" ref="A647:A710" si="10">ROW()-6</f>
        <v>641</v>
      </c>
      <c r="B647">
        <v>2013</v>
      </c>
      <c r="C647" t="s">
        <v>202</v>
      </c>
      <c r="D647" t="s">
        <v>479</v>
      </c>
      <c r="E647" s="22">
        <v>390</v>
      </c>
      <c r="G647" t="s">
        <v>2002</v>
      </c>
      <c r="H647" t="s">
        <v>154</v>
      </c>
      <c r="I647" t="s">
        <v>271</v>
      </c>
      <c r="J647" t="s">
        <v>105</v>
      </c>
      <c r="K647" t="s">
        <v>214</v>
      </c>
      <c r="M647" s="4"/>
      <c r="N647" s="2"/>
      <c r="O647" s="21"/>
      <c r="P647" s="2"/>
      <c r="Q647" s="2"/>
      <c r="R647" s="4"/>
      <c r="S647" s="4"/>
      <c r="T647" s="4"/>
      <c r="U647" s="4"/>
      <c r="V647" s="4"/>
      <c r="W647" s="4"/>
    </row>
    <row r="648" spans="1:23" ht="14.5" hidden="1" customHeight="1" x14ac:dyDescent="0.2">
      <c r="A648">
        <f t="shared" si="10"/>
        <v>642</v>
      </c>
      <c r="B648">
        <v>2013</v>
      </c>
      <c r="C648" t="s">
        <v>202</v>
      </c>
      <c r="D648" t="s">
        <v>1035</v>
      </c>
      <c r="E648" s="22">
        <v>1690</v>
      </c>
      <c r="H648" t="s">
        <v>144</v>
      </c>
      <c r="I648" t="s">
        <v>197</v>
      </c>
      <c r="J648" t="s">
        <v>132</v>
      </c>
      <c r="K648" t="s">
        <v>219</v>
      </c>
      <c r="M648" s="4"/>
      <c r="N648" s="2"/>
      <c r="O648" s="21"/>
      <c r="P648" s="2"/>
      <c r="Q648" s="2"/>
      <c r="R648" s="4"/>
      <c r="S648" s="4"/>
      <c r="T648" s="4"/>
      <c r="U648" s="4"/>
      <c r="V648" s="4"/>
      <c r="W648" s="4"/>
    </row>
    <row r="649" spans="1:23" ht="14.5" hidden="1" customHeight="1" x14ac:dyDescent="0.2">
      <c r="A649">
        <f t="shared" si="10"/>
        <v>643</v>
      </c>
      <c r="B649">
        <v>2013</v>
      </c>
      <c r="C649" t="s">
        <v>202</v>
      </c>
      <c r="D649" t="s">
        <v>246</v>
      </c>
      <c r="E649" s="22">
        <v>600</v>
      </c>
      <c r="G649" t="s">
        <v>849</v>
      </c>
      <c r="H649" t="s">
        <v>144</v>
      </c>
      <c r="J649" t="s">
        <v>67</v>
      </c>
      <c r="K649" t="s">
        <v>183</v>
      </c>
      <c r="M649" s="4"/>
      <c r="N649" s="2"/>
      <c r="O649" s="21"/>
      <c r="P649" s="2"/>
      <c r="Q649" s="2"/>
      <c r="R649" s="4"/>
      <c r="S649" s="4"/>
      <c r="T649" s="4"/>
      <c r="U649" s="4"/>
      <c r="V649" s="4"/>
      <c r="W649" s="4"/>
    </row>
    <row r="650" spans="1:23" s="17" customFormat="1" ht="14.5" hidden="1" customHeight="1" x14ac:dyDescent="0.2">
      <c r="A650">
        <f t="shared" si="10"/>
        <v>644</v>
      </c>
      <c r="B650">
        <v>2013</v>
      </c>
      <c r="C650" t="s">
        <v>202</v>
      </c>
      <c r="D650" t="s">
        <v>444</v>
      </c>
      <c r="E650" s="22">
        <v>2470</v>
      </c>
      <c r="F650" s="16"/>
      <c r="H650" t="s">
        <v>154</v>
      </c>
      <c r="I650" t="s">
        <v>529</v>
      </c>
      <c r="J650" t="s">
        <v>8</v>
      </c>
      <c r="K650" t="s">
        <v>205</v>
      </c>
      <c r="M650" s="4"/>
      <c r="N650" s="2"/>
      <c r="O650" s="21"/>
      <c r="P650" s="2"/>
      <c r="Q650" s="2"/>
      <c r="R650" s="4"/>
      <c r="S650" s="4"/>
      <c r="T650" s="4"/>
      <c r="U650" s="4"/>
      <c r="V650" s="4"/>
      <c r="W650" s="4"/>
    </row>
    <row r="651" spans="1:23" ht="14.5" customHeight="1" x14ac:dyDescent="0.2">
      <c r="A651">
        <f t="shared" si="10"/>
        <v>645</v>
      </c>
      <c r="B651">
        <v>2013</v>
      </c>
      <c r="C651" t="s">
        <v>202</v>
      </c>
      <c r="D651" t="s">
        <v>479</v>
      </c>
      <c r="E651" s="22">
        <v>210</v>
      </c>
      <c r="H651" t="s">
        <v>154</v>
      </c>
      <c r="I651" t="s">
        <v>194</v>
      </c>
      <c r="J651" t="s">
        <v>4</v>
      </c>
      <c r="K651" t="s">
        <v>201</v>
      </c>
      <c r="M651" s="4"/>
      <c r="N651" s="81"/>
      <c r="O651" s="21"/>
      <c r="P651" s="2"/>
      <c r="Q651" s="2"/>
      <c r="R651" s="4"/>
      <c r="S651" s="4"/>
      <c r="T651" s="4"/>
      <c r="U651" s="4"/>
      <c r="V651" s="4"/>
      <c r="W651" s="4"/>
    </row>
    <row r="652" spans="1:23" ht="14.5" hidden="1" customHeight="1" x14ac:dyDescent="0.2">
      <c r="A652">
        <f t="shared" si="10"/>
        <v>646</v>
      </c>
      <c r="B652">
        <v>2013</v>
      </c>
      <c r="C652" t="s">
        <v>202</v>
      </c>
      <c r="D652" t="s">
        <v>1292</v>
      </c>
      <c r="E652" s="22">
        <v>130</v>
      </c>
      <c r="H652" t="s">
        <v>154</v>
      </c>
      <c r="I652" t="s">
        <v>194</v>
      </c>
      <c r="J652" t="s">
        <v>2557</v>
      </c>
      <c r="K652" t="s">
        <v>219</v>
      </c>
      <c r="M652" s="4"/>
      <c r="N652" s="81"/>
      <c r="O652" s="21"/>
      <c r="P652" s="2"/>
      <c r="Q652" s="2"/>
      <c r="R652" s="4"/>
      <c r="S652" s="4"/>
      <c r="T652" s="4"/>
      <c r="U652" s="4"/>
      <c r="V652" s="4"/>
      <c r="W652" s="4"/>
    </row>
    <row r="653" spans="1:23" ht="14.5" hidden="1" customHeight="1" x14ac:dyDescent="0.2">
      <c r="A653">
        <f t="shared" si="10"/>
        <v>647</v>
      </c>
      <c r="B653">
        <v>2013</v>
      </c>
      <c r="C653" t="s">
        <v>202</v>
      </c>
      <c r="D653" t="s">
        <v>244</v>
      </c>
      <c r="E653" s="22">
        <v>930</v>
      </c>
      <c r="G653" t="s">
        <v>2614</v>
      </c>
      <c r="H653" t="s">
        <v>149</v>
      </c>
      <c r="I653" t="s">
        <v>238</v>
      </c>
      <c r="J653" t="s">
        <v>54</v>
      </c>
      <c r="K653" t="s">
        <v>201</v>
      </c>
      <c r="M653" s="4"/>
      <c r="N653" s="81"/>
      <c r="O653" s="21"/>
      <c r="P653" s="2"/>
      <c r="Q653" s="2"/>
      <c r="R653" s="4"/>
      <c r="S653" s="4"/>
      <c r="T653" s="4"/>
      <c r="U653" s="4"/>
      <c r="V653" s="4"/>
      <c r="W653" s="4"/>
    </row>
    <row r="654" spans="1:23" ht="14.5" hidden="1" customHeight="1" x14ac:dyDescent="0.2">
      <c r="A654">
        <f t="shared" si="10"/>
        <v>648</v>
      </c>
      <c r="B654">
        <v>2013</v>
      </c>
      <c r="C654" t="s">
        <v>207</v>
      </c>
      <c r="D654" t="s">
        <v>1581</v>
      </c>
      <c r="E654" s="22">
        <v>300</v>
      </c>
      <c r="G654" t="s">
        <v>2615</v>
      </c>
      <c r="H654" t="s">
        <v>152</v>
      </c>
      <c r="I654" t="s">
        <v>257</v>
      </c>
      <c r="J654" t="s">
        <v>16</v>
      </c>
      <c r="K654" t="s">
        <v>205</v>
      </c>
      <c r="L654">
        <v>1</v>
      </c>
      <c r="M654" s="4"/>
      <c r="N654" s="2"/>
      <c r="O654" s="21"/>
      <c r="P654" s="2"/>
      <c r="Q654" s="2"/>
      <c r="R654" s="4"/>
      <c r="S654" s="4"/>
      <c r="T654" s="4"/>
      <c r="U654" s="4"/>
      <c r="V654" s="4"/>
      <c r="W654" s="4"/>
    </row>
    <row r="655" spans="1:23" ht="14.5" hidden="1" customHeight="1" x14ac:dyDescent="0.2">
      <c r="A655">
        <f t="shared" si="10"/>
        <v>649</v>
      </c>
      <c r="B655">
        <v>2013</v>
      </c>
      <c r="C655" t="s">
        <v>207</v>
      </c>
      <c r="D655" t="s">
        <v>530</v>
      </c>
      <c r="E655" s="22">
        <v>700</v>
      </c>
      <c r="G655" t="s">
        <v>2616</v>
      </c>
      <c r="H655" t="s">
        <v>152</v>
      </c>
      <c r="I655" t="s">
        <v>257</v>
      </c>
      <c r="J655" t="s">
        <v>35</v>
      </c>
      <c r="K655" t="s">
        <v>195</v>
      </c>
      <c r="L655">
        <v>0</v>
      </c>
      <c r="M655" s="4"/>
      <c r="N655" s="2"/>
      <c r="O655" s="21"/>
      <c r="P655" s="2"/>
      <c r="Q655" s="2"/>
      <c r="R655" s="4"/>
      <c r="S655" s="4"/>
      <c r="T655" s="4"/>
      <c r="U655" s="4"/>
      <c r="V655" s="4"/>
      <c r="W655" s="4"/>
    </row>
    <row r="656" spans="1:23" ht="14.5" hidden="1" customHeight="1" x14ac:dyDescent="0.2">
      <c r="A656">
        <f t="shared" si="10"/>
        <v>650</v>
      </c>
      <c r="B656">
        <v>2013</v>
      </c>
      <c r="C656" t="s">
        <v>207</v>
      </c>
      <c r="D656" t="s">
        <v>246</v>
      </c>
      <c r="E656" s="22">
        <v>240</v>
      </c>
      <c r="G656" t="s">
        <v>2617</v>
      </c>
      <c r="H656" t="s">
        <v>155</v>
      </c>
      <c r="J656" t="s">
        <v>46</v>
      </c>
      <c r="K656" t="s">
        <v>219</v>
      </c>
      <c r="L656">
        <v>1</v>
      </c>
      <c r="M656" s="4"/>
      <c r="N656" s="2"/>
      <c r="O656" s="21"/>
      <c r="P656" s="2"/>
      <c r="Q656" s="2"/>
      <c r="R656" s="4"/>
      <c r="S656" s="4"/>
      <c r="T656" s="4"/>
      <c r="U656" s="4"/>
      <c r="V656" s="4"/>
      <c r="W656" s="4"/>
    </row>
    <row r="657" spans="1:23" ht="14.5" hidden="1" customHeight="1" x14ac:dyDescent="0.2">
      <c r="A657">
        <f t="shared" si="10"/>
        <v>651</v>
      </c>
      <c r="B657">
        <v>2013</v>
      </c>
      <c r="C657" t="s">
        <v>207</v>
      </c>
      <c r="D657" t="s">
        <v>444</v>
      </c>
      <c r="E657" s="22">
        <v>170</v>
      </c>
      <c r="H657" t="s">
        <v>154</v>
      </c>
      <c r="I657" t="s">
        <v>194</v>
      </c>
      <c r="J657" t="s">
        <v>95</v>
      </c>
      <c r="K657" t="s">
        <v>183</v>
      </c>
      <c r="L657">
        <v>1</v>
      </c>
      <c r="M657" s="4"/>
      <c r="N657" s="2"/>
      <c r="O657" s="21"/>
      <c r="P657" s="2"/>
      <c r="Q657" s="2"/>
      <c r="R657" s="4"/>
      <c r="S657" s="4"/>
      <c r="T657" s="4"/>
      <c r="U657" s="4"/>
      <c r="V657" s="4"/>
      <c r="W657" s="4"/>
    </row>
    <row r="658" spans="1:23" ht="14.5" hidden="1" customHeight="1" x14ac:dyDescent="0.2">
      <c r="A658">
        <f t="shared" si="10"/>
        <v>652</v>
      </c>
      <c r="B658">
        <v>2013</v>
      </c>
      <c r="C658" t="s">
        <v>207</v>
      </c>
      <c r="D658" t="s">
        <v>479</v>
      </c>
      <c r="E658" s="22">
        <v>900</v>
      </c>
      <c r="F658" s="16">
        <v>0.7</v>
      </c>
      <c r="G658" t="s">
        <v>2618</v>
      </c>
      <c r="H658" t="s">
        <v>154</v>
      </c>
      <c r="I658" t="s">
        <v>271</v>
      </c>
      <c r="J658" t="s">
        <v>53</v>
      </c>
      <c r="K658" t="s">
        <v>183</v>
      </c>
      <c r="L658">
        <v>1</v>
      </c>
      <c r="M658" s="4"/>
      <c r="N658" s="2"/>
      <c r="O658" s="21"/>
      <c r="P658" s="2"/>
      <c r="Q658" s="2"/>
      <c r="R658" s="4"/>
      <c r="S658" s="4"/>
      <c r="T658" s="4"/>
      <c r="U658" s="4"/>
      <c r="V658" s="4"/>
      <c r="W658" s="4"/>
    </row>
    <row r="659" spans="1:23" ht="14.5" hidden="1" customHeight="1" x14ac:dyDescent="0.2">
      <c r="A659">
        <f t="shared" si="10"/>
        <v>653</v>
      </c>
      <c r="B659">
        <v>2013</v>
      </c>
      <c r="C659" t="s">
        <v>207</v>
      </c>
      <c r="D659" t="s">
        <v>2486</v>
      </c>
      <c r="E659" s="22">
        <v>220</v>
      </c>
      <c r="F659" s="16">
        <v>0.2</v>
      </c>
      <c r="G659" t="s">
        <v>2619</v>
      </c>
      <c r="H659" t="s">
        <v>151</v>
      </c>
      <c r="I659" t="s">
        <v>279</v>
      </c>
      <c r="J659" t="s">
        <v>20</v>
      </c>
      <c r="K659" t="s">
        <v>195</v>
      </c>
      <c r="L659">
        <v>0</v>
      </c>
      <c r="M659" s="4"/>
      <c r="N659" s="2"/>
      <c r="O659" s="21"/>
      <c r="P659" s="2"/>
      <c r="Q659" s="2"/>
      <c r="R659" s="4"/>
      <c r="S659" s="4"/>
      <c r="T659" s="4"/>
      <c r="U659" s="4"/>
      <c r="V659" s="4"/>
      <c r="W659" s="4"/>
    </row>
    <row r="660" spans="1:23" ht="14.5" hidden="1" customHeight="1" x14ac:dyDescent="0.2">
      <c r="A660">
        <f t="shared" si="10"/>
        <v>654</v>
      </c>
      <c r="B660">
        <v>2013</v>
      </c>
      <c r="C660" t="s">
        <v>207</v>
      </c>
      <c r="D660" t="s">
        <v>692</v>
      </c>
      <c r="E660" s="22">
        <v>400</v>
      </c>
      <c r="G660" t="s">
        <v>2620</v>
      </c>
      <c r="H660" t="s">
        <v>144</v>
      </c>
      <c r="I660" t="s">
        <v>299</v>
      </c>
      <c r="J660" t="s">
        <v>123</v>
      </c>
      <c r="K660" t="s">
        <v>219</v>
      </c>
      <c r="L660">
        <v>1</v>
      </c>
      <c r="M660" s="4"/>
      <c r="N660" s="81"/>
      <c r="O660" s="21"/>
      <c r="P660" s="2"/>
      <c r="Q660" s="2"/>
      <c r="R660" s="4"/>
      <c r="S660" s="4"/>
      <c r="T660" s="4"/>
      <c r="U660" s="4"/>
      <c r="V660" s="4"/>
      <c r="W660" s="4"/>
    </row>
    <row r="661" spans="1:23" ht="14.5" hidden="1" customHeight="1" x14ac:dyDescent="0.2">
      <c r="A661">
        <f t="shared" si="10"/>
        <v>655</v>
      </c>
      <c r="B661">
        <v>2013</v>
      </c>
      <c r="C661" t="s">
        <v>207</v>
      </c>
      <c r="D661" t="s">
        <v>815</v>
      </c>
      <c r="E661" s="22">
        <v>280</v>
      </c>
      <c r="G661" t="s">
        <v>2621</v>
      </c>
      <c r="H661" t="s">
        <v>151</v>
      </c>
      <c r="I661" t="s">
        <v>279</v>
      </c>
      <c r="J661" t="s">
        <v>89</v>
      </c>
      <c r="K661" t="s">
        <v>219</v>
      </c>
      <c r="L661">
        <v>1</v>
      </c>
      <c r="M661" s="4"/>
      <c r="N661" s="2"/>
      <c r="O661" s="21"/>
      <c r="P661" s="2"/>
      <c r="Q661" s="2"/>
      <c r="R661" s="4"/>
      <c r="S661" s="4"/>
      <c r="T661" s="4"/>
      <c r="U661" s="4"/>
      <c r="V661" s="4"/>
      <c r="W661" s="4"/>
    </row>
    <row r="662" spans="1:23" ht="14.5" hidden="1" customHeight="1" x14ac:dyDescent="0.2">
      <c r="A662">
        <f t="shared" si="10"/>
        <v>656</v>
      </c>
      <c r="B662">
        <v>2013</v>
      </c>
      <c r="C662" t="s">
        <v>207</v>
      </c>
      <c r="D662" t="s">
        <v>2622</v>
      </c>
      <c r="E662" s="22">
        <v>130</v>
      </c>
      <c r="F662" s="16">
        <v>0.27</v>
      </c>
      <c r="H662" t="s">
        <v>154</v>
      </c>
      <c r="I662" t="s">
        <v>194</v>
      </c>
      <c r="J662" t="s">
        <v>91</v>
      </c>
      <c r="K662" t="s">
        <v>195</v>
      </c>
      <c r="L662">
        <v>0</v>
      </c>
      <c r="M662" s="4"/>
      <c r="N662" s="2"/>
      <c r="O662" s="21"/>
      <c r="P662" s="2"/>
      <c r="Q662" s="2"/>
      <c r="R662" s="4"/>
      <c r="S662" s="4"/>
      <c r="T662" s="4"/>
      <c r="U662" s="4"/>
      <c r="V662" s="4"/>
      <c r="W662" s="4"/>
    </row>
    <row r="663" spans="1:23" ht="14.5" hidden="1" customHeight="1" x14ac:dyDescent="0.2">
      <c r="A663">
        <f t="shared" si="10"/>
        <v>657</v>
      </c>
      <c r="B663">
        <v>2013</v>
      </c>
      <c r="C663" t="s">
        <v>207</v>
      </c>
      <c r="D663" t="s">
        <v>1035</v>
      </c>
      <c r="E663" s="22">
        <v>140</v>
      </c>
      <c r="H663" t="s">
        <v>144</v>
      </c>
      <c r="I663" t="s">
        <v>197</v>
      </c>
      <c r="J663" t="s">
        <v>123</v>
      </c>
      <c r="K663" t="s">
        <v>219</v>
      </c>
      <c r="L663">
        <v>1</v>
      </c>
      <c r="M663" s="4"/>
      <c r="N663" s="2"/>
      <c r="O663" s="21"/>
      <c r="P663" s="2"/>
      <c r="Q663" s="2"/>
      <c r="R663" s="4"/>
      <c r="S663" s="4"/>
      <c r="T663" s="4"/>
      <c r="U663" s="4"/>
      <c r="V663" s="4"/>
      <c r="W663" s="4"/>
    </row>
    <row r="664" spans="1:23" ht="14.5" hidden="1" customHeight="1" x14ac:dyDescent="0.2">
      <c r="A664">
        <f t="shared" si="10"/>
        <v>658</v>
      </c>
      <c r="B664">
        <v>2013</v>
      </c>
      <c r="C664" t="s">
        <v>207</v>
      </c>
      <c r="D664" t="s">
        <v>444</v>
      </c>
      <c r="E664" s="22">
        <v>100</v>
      </c>
      <c r="H664" t="s">
        <v>154</v>
      </c>
      <c r="I664" t="s">
        <v>529</v>
      </c>
      <c r="J664" t="s">
        <v>16</v>
      </c>
      <c r="K664" t="s">
        <v>205</v>
      </c>
      <c r="L664">
        <v>1</v>
      </c>
      <c r="M664" s="4"/>
      <c r="N664" s="2"/>
      <c r="O664" s="21"/>
      <c r="P664" s="2"/>
      <c r="Q664" s="2"/>
      <c r="R664" s="4"/>
      <c r="S664" s="4"/>
      <c r="T664" s="4"/>
      <c r="U664" s="4"/>
      <c r="V664" s="4"/>
      <c r="W664" s="4"/>
    </row>
    <row r="665" spans="1:23" ht="14.5" hidden="1" customHeight="1" x14ac:dyDescent="0.2">
      <c r="A665">
        <f t="shared" si="10"/>
        <v>659</v>
      </c>
      <c r="B665">
        <v>2013</v>
      </c>
      <c r="C665" t="s">
        <v>207</v>
      </c>
      <c r="D665" t="s">
        <v>285</v>
      </c>
      <c r="E665" s="22">
        <v>300</v>
      </c>
      <c r="H665" t="s">
        <v>144</v>
      </c>
      <c r="J665" t="s">
        <v>67</v>
      </c>
      <c r="K665" t="s">
        <v>183</v>
      </c>
      <c r="L665">
        <v>1</v>
      </c>
      <c r="M665" s="4"/>
      <c r="N665" s="2"/>
      <c r="O665" s="21"/>
      <c r="P665" s="2"/>
      <c r="Q665" s="2"/>
      <c r="R665" s="4"/>
      <c r="S665" s="4"/>
      <c r="T665" s="4"/>
      <c r="U665" s="4"/>
      <c r="V665" s="4"/>
      <c r="W665" s="4"/>
    </row>
    <row r="666" spans="1:23" ht="14.5" hidden="1" customHeight="1" x14ac:dyDescent="0.2">
      <c r="A666">
        <f t="shared" si="10"/>
        <v>660</v>
      </c>
      <c r="B666">
        <v>2013</v>
      </c>
      <c r="C666" t="s">
        <v>207</v>
      </c>
      <c r="D666" t="s">
        <v>2623</v>
      </c>
      <c r="E666" s="22">
        <v>510</v>
      </c>
      <c r="G666" t="s">
        <v>2624</v>
      </c>
      <c r="H666" t="s">
        <v>144</v>
      </c>
      <c r="I666" t="s">
        <v>232</v>
      </c>
      <c r="J666" t="s">
        <v>5</v>
      </c>
      <c r="K666" t="s">
        <v>214</v>
      </c>
      <c r="L666">
        <v>1</v>
      </c>
      <c r="M666" s="4"/>
      <c r="N666" s="2"/>
      <c r="O666" s="21"/>
      <c r="P666" s="2"/>
      <c r="Q666" s="2"/>
      <c r="R666" s="4"/>
      <c r="S666" s="4"/>
      <c r="T666" s="4"/>
      <c r="U666" s="4"/>
      <c r="V666" s="4"/>
      <c r="W666" s="4"/>
    </row>
    <row r="667" spans="1:23" s="17" customFormat="1" ht="14.5" hidden="1" customHeight="1" x14ac:dyDescent="0.2">
      <c r="A667">
        <f t="shared" si="10"/>
        <v>661</v>
      </c>
      <c r="B667">
        <v>2013</v>
      </c>
      <c r="C667" t="s">
        <v>207</v>
      </c>
      <c r="D667" t="s">
        <v>2625</v>
      </c>
      <c r="E667" s="22">
        <v>870</v>
      </c>
      <c r="F667" s="16"/>
      <c r="G667" t="s">
        <v>2626</v>
      </c>
      <c r="H667" t="s">
        <v>144</v>
      </c>
      <c r="I667" t="s">
        <v>273</v>
      </c>
      <c r="J667" t="s">
        <v>136</v>
      </c>
      <c r="K667" t="s">
        <v>183</v>
      </c>
      <c r="L667">
        <v>1</v>
      </c>
      <c r="M667" s="4"/>
      <c r="N667" s="2"/>
      <c r="O667" s="21"/>
      <c r="P667" s="2"/>
      <c r="Q667" s="2"/>
      <c r="R667" s="4"/>
      <c r="S667" s="4"/>
      <c r="T667" s="4"/>
      <c r="U667" s="4"/>
      <c r="V667" s="4"/>
      <c r="W667" s="4"/>
    </row>
    <row r="668" spans="1:23" ht="14.5" hidden="1" customHeight="1" x14ac:dyDescent="0.2">
      <c r="A668">
        <f t="shared" si="10"/>
        <v>662</v>
      </c>
      <c r="B668">
        <v>2013</v>
      </c>
      <c r="C668" t="s">
        <v>207</v>
      </c>
      <c r="D668" t="s">
        <v>815</v>
      </c>
      <c r="E668" s="22">
        <v>350</v>
      </c>
      <c r="G668" t="s">
        <v>2627</v>
      </c>
      <c r="H668" t="s">
        <v>151</v>
      </c>
      <c r="I668" t="s">
        <v>279</v>
      </c>
      <c r="J668" t="s">
        <v>55</v>
      </c>
      <c r="K668" t="s">
        <v>214</v>
      </c>
      <c r="L668">
        <v>1</v>
      </c>
      <c r="M668" s="4"/>
      <c r="N668" s="2"/>
      <c r="O668" s="21"/>
      <c r="P668" s="2"/>
      <c r="Q668" s="2"/>
      <c r="R668" s="4"/>
      <c r="S668" s="4"/>
      <c r="T668" s="4"/>
      <c r="U668" s="4"/>
      <c r="V668" s="4"/>
      <c r="W668" s="4"/>
    </row>
    <row r="669" spans="1:23" ht="14.5" hidden="1" customHeight="1" x14ac:dyDescent="0.2">
      <c r="A669">
        <f t="shared" si="10"/>
        <v>663</v>
      </c>
      <c r="B669">
        <v>2013</v>
      </c>
      <c r="C669" t="s">
        <v>240</v>
      </c>
      <c r="D669" t="s">
        <v>1035</v>
      </c>
      <c r="E669" s="22">
        <v>370</v>
      </c>
      <c r="F669" s="16">
        <v>0.51</v>
      </c>
      <c r="H669" t="s">
        <v>154</v>
      </c>
      <c r="I669" t="s">
        <v>194</v>
      </c>
      <c r="J669" t="s">
        <v>2628</v>
      </c>
      <c r="K669" t="s">
        <v>195</v>
      </c>
      <c r="L669">
        <v>1</v>
      </c>
      <c r="M669" s="4"/>
      <c r="N669" s="2"/>
      <c r="O669" s="21"/>
      <c r="P669" s="2"/>
      <c r="Q669" s="2"/>
      <c r="R669" s="4"/>
      <c r="S669" s="4"/>
      <c r="T669" s="4"/>
      <c r="U669" s="4"/>
      <c r="V669" s="4"/>
      <c r="W669" s="4"/>
    </row>
    <row r="670" spans="1:23" ht="14.5" hidden="1" customHeight="1" x14ac:dyDescent="0.2">
      <c r="A670">
        <f t="shared" si="10"/>
        <v>664</v>
      </c>
      <c r="B670">
        <v>2013</v>
      </c>
      <c r="C670" t="s">
        <v>240</v>
      </c>
      <c r="D670" t="s">
        <v>2629</v>
      </c>
      <c r="E670" s="22">
        <v>540</v>
      </c>
      <c r="G670" t="s">
        <v>2630</v>
      </c>
      <c r="H670" t="s">
        <v>144</v>
      </c>
      <c r="I670" t="s">
        <v>232</v>
      </c>
      <c r="J670" t="s">
        <v>2571</v>
      </c>
      <c r="K670" t="s">
        <v>195</v>
      </c>
      <c r="L670">
        <v>1</v>
      </c>
      <c r="M670" s="4"/>
      <c r="N670" s="2"/>
      <c r="O670" s="21"/>
      <c r="P670" s="2"/>
      <c r="Q670" s="2"/>
      <c r="R670" s="4"/>
      <c r="S670" s="4"/>
      <c r="T670" s="4"/>
      <c r="U670" s="4"/>
      <c r="V670" s="4"/>
      <c r="W670" s="4"/>
    </row>
    <row r="671" spans="1:23" ht="14.5" hidden="1" customHeight="1" x14ac:dyDescent="0.2">
      <c r="A671">
        <f t="shared" si="10"/>
        <v>665</v>
      </c>
      <c r="B671">
        <v>2013</v>
      </c>
      <c r="C671" t="s">
        <v>240</v>
      </c>
      <c r="D671" t="s">
        <v>444</v>
      </c>
      <c r="E671" s="22">
        <v>270</v>
      </c>
      <c r="H671" t="s">
        <v>150</v>
      </c>
      <c r="I671" t="s">
        <v>744</v>
      </c>
      <c r="J671" t="s">
        <v>62</v>
      </c>
      <c r="K671" t="s">
        <v>214</v>
      </c>
      <c r="L671">
        <v>1</v>
      </c>
      <c r="M671" s="4"/>
      <c r="N671" s="2"/>
      <c r="O671" s="21"/>
      <c r="P671" s="2"/>
      <c r="Q671" s="2"/>
      <c r="R671" s="4"/>
      <c r="S671" s="4"/>
      <c r="T671" s="4"/>
      <c r="U671" s="4"/>
      <c r="V671" s="4"/>
      <c r="W671" s="4"/>
    </row>
    <row r="672" spans="1:23" ht="14.5" hidden="1" customHeight="1" x14ac:dyDescent="0.2">
      <c r="A672">
        <f t="shared" si="10"/>
        <v>666</v>
      </c>
      <c r="B672">
        <v>2013</v>
      </c>
      <c r="C672" t="s">
        <v>240</v>
      </c>
      <c r="D672" t="s">
        <v>444</v>
      </c>
      <c r="E672" s="22">
        <v>290</v>
      </c>
      <c r="H672" t="s">
        <v>147</v>
      </c>
      <c r="J672" t="s">
        <v>64</v>
      </c>
      <c r="K672" t="s">
        <v>219</v>
      </c>
      <c r="L672">
        <v>1</v>
      </c>
      <c r="M672" s="4"/>
      <c r="N672" s="2"/>
      <c r="O672" s="21"/>
      <c r="P672" s="2"/>
      <c r="Q672" s="2"/>
      <c r="R672" s="4"/>
      <c r="S672" s="4"/>
      <c r="T672" s="4"/>
      <c r="U672" s="4"/>
      <c r="V672" s="4"/>
      <c r="W672" s="4"/>
    </row>
    <row r="673" spans="1:23" ht="14.5" hidden="1" customHeight="1" x14ac:dyDescent="0.2">
      <c r="A673">
        <f t="shared" si="10"/>
        <v>667</v>
      </c>
      <c r="B673">
        <v>2013</v>
      </c>
      <c r="C673" t="s">
        <v>240</v>
      </c>
      <c r="D673" t="s">
        <v>479</v>
      </c>
      <c r="E673" s="22">
        <v>540</v>
      </c>
      <c r="H673" t="s">
        <v>153</v>
      </c>
      <c r="J673" t="s">
        <v>115</v>
      </c>
      <c r="K673" t="s">
        <v>201</v>
      </c>
      <c r="L673">
        <v>1</v>
      </c>
      <c r="M673" s="4"/>
      <c r="N673" s="2"/>
      <c r="O673" s="21"/>
      <c r="P673" s="2"/>
      <c r="Q673" s="2"/>
      <c r="R673" s="4"/>
      <c r="S673" s="4"/>
      <c r="T673" s="4"/>
      <c r="U673" s="4"/>
      <c r="V673" s="4"/>
      <c r="W673" s="4"/>
    </row>
    <row r="674" spans="1:23" ht="14.5" hidden="1" customHeight="1" x14ac:dyDescent="0.2">
      <c r="A674">
        <f t="shared" si="10"/>
        <v>668</v>
      </c>
      <c r="B674">
        <v>2013</v>
      </c>
      <c r="C674" t="s">
        <v>240</v>
      </c>
      <c r="D674" t="s">
        <v>479</v>
      </c>
      <c r="E674" s="22">
        <v>510</v>
      </c>
      <c r="H674" t="s">
        <v>154</v>
      </c>
      <c r="I674" t="s">
        <v>271</v>
      </c>
      <c r="J674" t="s">
        <v>137</v>
      </c>
      <c r="K674" t="s">
        <v>214</v>
      </c>
      <c r="L674">
        <v>1</v>
      </c>
      <c r="M674" s="4"/>
      <c r="N674" s="2"/>
      <c r="O674" s="21"/>
      <c r="P674" s="2"/>
      <c r="Q674" s="2"/>
      <c r="R674" s="4"/>
      <c r="S674" s="4"/>
      <c r="T674" s="4"/>
      <c r="U674" s="4"/>
      <c r="V674" s="4"/>
      <c r="W674" s="4"/>
    </row>
    <row r="675" spans="1:23" ht="14.5" hidden="1" customHeight="1" x14ac:dyDescent="0.2">
      <c r="A675">
        <f t="shared" si="10"/>
        <v>669</v>
      </c>
      <c r="B675">
        <v>2013</v>
      </c>
      <c r="C675" t="s">
        <v>240</v>
      </c>
      <c r="D675" t="s">
        <v>479</v>
      </c>
      <c r="E675" s="22">
        <v>170</v>
      </c>
      <c r="H675" t="s">
        <v>155</v>
      </c>
      <c r="J675" t="s">
        <v>55</v>
      </c>
      <c r="K675" t="s">
        <v>214</v>
      </c>
      <c r="L675">
        <v>1</v>
      </c>
      <c r="M675" s="4"/>
      <c r="N675" s="2"/>
      <c r="O675" s="21"/>
      <c r="P675" s="2"/>
      <c r="Q675" s="2"/>
      <c r="R675" s="4"/>
      <c r="S675" s="4"/>
      <c r="T675" s="4"/>
      <c r="U675" s="4"/>
      <c r="V675" s="4"/>
      <c r="W675" s="4"/>
    </row>
    <row r="676" spans="1:23" ht="14.5" hidden="1" customHeight="1" x14ac:dyDescent="0.2">
      <c r="A676">
        <f t="shared" si="10"/>
        <v>670</v>
      </c>
      <c r="B676">
        <v>2013</v>
      </c>
      <c r="C676" t="s">
        <v>240</v>
      </c>
      <c r="D676" t="s">
        <v>479</v>
      </c>
      <c r="E676" s="22">
        <v>400</v>
      </c>
      <c r="H676" t="s">
        <v>154</v>
      </c>
      <c r="I676" t="s">
        <v>194</v>
      </c>
      <c r="J676" t="s">
        <v>115</v>
      </c>
      <c r="K676" t="s">
        <v>201</v>
      </c>
      <c r="L676">
        <v>1</v>
      </c>
      <c r="M676" s="4"/>
      <c r="N676" s="2"/>
      <c r="O676" s="21"/>
      <c r="P676" s="2"/>
      <c r="Q676" s="2"/>
      <c r="R676" s="4"/>
      <c r="S676" s="4"/>
      <c r="T676" s="4"/>
      <c r="U676" s="4"/>
      <c r="V676" s="4"/>
      <c r="W676" s="4"/>
    </row>
    <row r="677" spans="1:23" ht="14.5" hidden="1" customHeight="1" x14ac:dyDescent="0.2">
      <c r="A677">
        <f t="shared" si="10"/>
        <v>671</v>
      </c>
      <c r="B677">
        <v>2013</v>
      </c>
      <c r="C677" t="s">
        <v>240</v>
      </c>
      <c r="D677" t="s">
        <v>444</v>
      </c>
      <c r="E677" s="22">
        <v>200</v>
      </c>
      <c r="H677" t="s">
        <v>155</v>
      </c>
      <c r="J677" t="s">
        <v>2406</v>
      </c>
      <c r="K677" t="s">
        <v>219</v>
      </c>
      <c r="L677">
        <v>1</v>
      </c>
      <c r="M677" s="4"/>
      <c r="N677" s="2"/>
      <c r="O677" s="21"/>
      <c r="P677" s="2"/>
      <c r="Q677" s="2"/>
      <c r="R677" s="4"/>
      <c r="S677" s="4"/>
      <c r="T677" s="4"/>
      <c r="U677" s="4"/>
      <c r="V677" s="4"/>
      <c r="W677" s="4"/>
    </row>
    <row r="678" spans="1:23" ht="14.5" hidden="1" customHeight="1" x14ac:dyDescent="0.2">
      <c r="A678">
        <f t="shared" si="10"/>
        <v>672</v>
      </c>
      <c r="B678">
        <v>2013</v>
      </c>
      <c r="C678" t="s">
        <v>240</v>
      </c>
      <c r="D678" t="s">
        <v>1149</v>
      </c>
      <c r="E678" s="22">
        <v>200</v>
      </c>
      <c r="G678" t="s">
        <v>2631</v>
      </c>
      <c r="H678" t="s">
        <v>151</v>
      </c>
      <c r="I678" t="s">
        <v>279</v>
      </c>
      <c r="J678" t="s">
        <v>123</v>
      </c>
      <c r="K678" t="s">
        <v>219</v>
      </c>
      <c r="L678">
        <v>1</v>
      </c>
      <c r="M678" s="4"/>
      <c r="N678" s="2"/>
      <c r="O678" s="21"/>
      <c r="P678" s="2"/>
      <c r="Q678" s="2"/>
      <c r="R678" s="4"/>
      <c r="S678" s="4"/>
      <c r="T678" s="4"/>
      <c r="U678" s="4"/>
      <c r="V678" s="4"/>
      <c r="W678" s="4"/>
    </row>
    <row r="679" spans="1:23" ht="14.5" hidden="1" customHeight="1" x14ac:dyDescent="0.2">
      <c r="A679">
        <f t="shared" si="10"/>
        <v>673</v>
      </c>
      <c r="B679">
        <v>2013</v>
      </c>
      <c r="C679" t="s">
        <v>240</v>
      </c>
      <c r="D679" t="s">
        <v>479</v>
      </c>
      <c r="E679" s="22">
        <v>300</v>
      </c>
      <c r="H679" t="s">
        <v>148</v>
      </c>
      <c r="J679" t="s">
        <v>83</v>
      </c>
      <c r="K679" t="s">
        <v>219</v>
      </c>
      <c r="L679">
        <v>1</v>
      </c>
      <c r="M679" s="4"/>
      <c r="N679" s="2"/>
      <c r="O679" s="21"/>
      <c r="P679" s="2"/>
      <c r="Q679" s="2"/>
      <c r="R679" s="4"/>
      <c r="S679" s="4"/>
      <c r="T679" s="4"/>
      <c r="U679" s="4"/>
      <c r="V679" s="4"/>
      <c r="W679" s="4"/>
    </row>
    <row r="680" spans="1:23" ht="14.5" hidden="1" customHeight="1" x14ac:dyDescent="0.2">
      <c r="A680">
        <f t="shared" si="10"/>
        <v>674</v>
      </c>
      <c r="B680">
        <v>2013</v>
      </c>
      <c r="C680" t="s">
        <v>240</v>
      </c>
      <c r="D680" t="s">
        <v>1035</v>
      </c>
      <c r="E680" s="22">
        <v>150</v>
      </c>
      <c r="H680" t="s">
        <v>154</v>
      </c>
      <c r="I680" t="s">
        <v>529</v>
      </c>
      <c r="J680" t="s">
        <v>108</v>
      </c>
      <c r="K680" t="s">
        <v>183</v>
      </c>
      <c r="L680">
        <v>1</v>
      </c>
      <c r="M680" s="4"/>
      <c r="N680" s="2"/>
      <c r="O680" s="21"/>
      <c r="P680" s="2"/>
      <c r="Q680" s="2"/>
      <c r="R680" s="4"/>
      <c r="S680" s="4"/>
      <c r="T680" s="4"/>
      <c r="U680" s="4"/>
      <c r="V680" s="4"/>
      <c r="W680" s="4"/>
    </row>
    <row r="681" spans="1:23" ht="14.5" hidden="1" customHeight="1" x14ac:dyDescent="0.2">
      <c r="A681">
        <f t="shared" si="10"/>
        <v>675</v>
      </c>
      <c r="B681">
        <v>2013</v>
      </c>
      <c r="C681" t="s">
        <v>240</v>
      </c>
      <c r="D681" t="s">
        <v>444</v>
      </c>
      <c r="E681" s="22">
        <v>180</v>
      </c>
      <c r="G681" t="s">
        <v>2632</v>
      </c>
      <c r="H681" t="s">
        <v>152</v>
      </c>
      <c r="I681" t="s">
        <v>257</v>
      </c>
      <c r="J681" t="s">
        <v>13</v>
      </c>
      <c r="K681" t="s">
        <v>201</v>
      </c>
      <c r="L681">
        <v>1</v>
      </c>
      <c r="M681" s="4"/>
      <c r="N681" s="2"/>
      <c r="O681" s="21"/>
      <c r="P681" s="2"/>
      <c r="Q681" s="2"/>
      <c r="R681" s="4"/>
      <c r="S681" s="4"/>
      <c r="T681" s="4"/>
      <c r="U681" s="4"/>
      <c r="V681" s="4"/>
      <c r="W681" s="4"/>
    </row>
    <row r="682" spans="1:23" ht="14.5" hidden="1" customHeight="1" x14ac:dyDescent="0.2">
      <c r="A682">
        <f t="shared" si="10"/>
        <v>676</v>
      </c>
      <c r="B682">
        <v>2013</v>
      </c>
      <c r="C682" t="s">
        <v>240</v>
      </c>
      <c r="D682" t="s">
        <v>2588</v>
      </c>
      <c r="E682" s="22">
        <v>120</v>
      </c>
      <c r="H682" t="s">
        <v>151</v>
      </c>
      <c r="I682" t="s">
        <v>279</v>
      </c>
      <c r="J682" t="s">
        <v>108</v>
      </c>
      <c r="K682" t="s">
        <v>183</v>
      </c>
      <c r="L682">
        <v>1</v>
      </c>
      <c r="M682" s="4"/>
      <c r="N682" s="2"/>
      <c r="O682" s="21"/>
      <c r="P682" s="2"/>
      <c r="Q682" s="2"/>
      <c r="R682" s="4"/>
      <c r="S682" s="4"/>
      <c r="T682" s="4"/>
      <c r="U682" s="4"/>
      <c r="V682" s="4"/>
      <c r="W682" s="4"/>
    </row>
    <row r="683" spans="1:23" ht="14.5" hidden="1" customHeight="1" x14ac:dyDescent="0.2">
      <c r="A683">
        <f t="shared" si="10"/>
        <v>677</v>
      </c>
      <c r="B683">
        <v>2013</v>
      </c>
      <c r="C683" t="s">
        <v>240</v>
      </c>
      <c r="D683" t="s">
        <v>189</v>
      </c>
      <c r="E683" s="22">
        <v>170</v>
      </c>
      <c r="F683" s="16">
        <v>0.7</v>
      </c>
      <c r="H683" t="s">
        <v>144</v>
      </c>
      <c r="I683" t="s">
        <v>299</v>
      </c>
      <c r="J683" t="s">
        <v>124</v>
      </c>
      <c r="K683" t="s">
        <v>183</v>
      </c>
      <c r="L683">
        <v>1</v>
      </c>
      <c r="M683" s="4"/>
      <c r="N683" s="2"/>
      <c r="O683" s="21"/>
      <c r="P683" s="2"/>
      <c r="Q683" s="2"/>
      <c r="R683" s="4"/>
      <c r="S683" s="4"/>
      <c r="T683" s="4"/>
      <c r="U683" s="4"/>
      <c r="V683" s="4"/>
      <c r="W683" s="4"/>
    </row>
    <row r="684" spans="1:23" ht="14.5" hidden="1" customHeight="1" x14ac:dyDescent="0.2">
      <c r="A684">
        <f t="shared" si="10"/>
        <v>678</v>
      </c>
      <c r="B684">
        <v>2013</v>
      </c>
      <c r="C684" t="s">
        <v>212</v>
      </c>
      <c r="D684" t="s">
        <v>815</v>
      </c>
      <c r="E684" s="22">
        <v>540</v>
      </c>
      <c r="G684" t="s">
        <v>2405</v>
      </c>
      <c r="H684" t="s">
        <v>151</v>
      </c>
      <c r="I684" t="s">
        <v>279</v>
      </c>
      <c r="J684" t="s">
        <v>89</v>
      </c>
      <c r="K684" t="s">
        <v>219</v>
      </c>
      <c r="L684">
        <v>1</v>
      </c>
      <c r="M684" s="4"/>
      <c r="N684" s="2"/>
      <c r="O684" s="21"/>
      <c r="P684" s="2"/>
      <c r="Q684" s="2"/>
      <c r="R684" s="4"/>
      <c r="S684" s="4"/>
      <c r="T684" s="4"/>
      <c r="U684" s="4"/>
      <c r="V684" s="4"/>
      <c r="W684" s="4"/>
    </row>
    <row r="685" spans="1:23" ht="14.5" hidden="1" customHeight="1" x14ac:dyDescent="0.2">
      <c r="A685">
        <f t="shared" si="10"/>
        <v>679</v>
      </c>
      <c r="B685">
        <v>2013</v>
      </c>
      <c r="C685" t="s">
        <v>212</v>
      </c>
      <c r="D685" t="s">
        <v>221</v>
      </c>
      <c r="E685" s="22">
        <v>200</v>
      </c>
      <c r="G685" t="s">
        <v>2633</v>
      </c>
      <c r="H685" t="s">
        <v>151</v>
      </c>
      <c r="I685" t="s">
        <v>279</v>
      </c>
      <c r="J685" t="s">
        <v>82</v>
      </c>
      <c r="K685" t="s">
        <v>183</v>
      </c>
      <c r="L685">
        <v>1</v>
      </c>
      <c r="M685" s="4"/>
      <c r="N685" s="2"/>
      <c r="O685" s="21"/>
      <c r="P685" s="2"/>
      <c r="Q685" s="2"/>
      <c r="R685" s="4"/>
      <c r="S685" s="4"/>
      <c r="T685" s="4"/>
      <c r="U685" s="4"/>
      <c r="V685" s="4"/>
      <c r="W685" s="4"/>
    </row>
    <row r="686" spans="1:23" ht="14.5" hidden="1" customHeight="1" x14ac:dyDescent="0.2">
      <c r="A686">
        <f t="shared" si="10"/>
        <v>680</v>
      </c>
      <c r="B686">
        <v>2013</v>
      </c>
      <c r="C686" t="s">
        <v>212</v>
      </c>
      <c r="D686" t="s">
        <v>449</v>
      </c>
      <c r="E686" s="22">
        <v>1280</v>
      </c>
      <c r="H686" t="s">
        <v>154</v>
      </c>
      <c r="I686" t="s">
        <v>194</v>
      </c>
      <c r="J686" t="s">
        <v>5</v>
      </c>
      <c r="K686" t="s">
        <v>214</v>
      </c>
      <c r="L686">
        <v>1</v>
      </c>
      <c r="M686" s="4"/>
      <c r="N686" s="2"/>
      <c r="O686" s="21"/>
      <c r="P686" s="2"/>
      <c r="Q686" s="2"/>
      <c r="R686" s="4"/>
      <c r="S686" s="4"/>
      <c r="T686" s="4"/>
      <c r="U686" s="4"/>
      <c r="V686" s="4"/>
      <c r="W686" s="4"/>
    </row>
    <row r="687" spans="1:23" ht="14.5" hidden="1" customHeight="1" x14ac:dyDescent="0.2">
      <c r="A687">
        <f t="shared" si="10"/>
        <v>681</v>
      </c>
      <c r="B687">
        <v>2013</v>
      </c>
      <c r="C687" t="s">
        <v>212</v>
      </c>
      <c r="D687" t="s">
        <v>479</v>
      </c>
      <c r="E687" s="22">
        <v>160</v>
      </c>
      <c r="H687" t="s">
        <v>155</v>
      </c>
      <c r="J687" t="s">
        <v>55</v>
      </c>
      <c r="K687" t="s">
        <v>214</v>
      </c>
      <c r="L687">
        <v>1</v>
      </c>
      <c r="M687" s="4"/>
      <c r="N687" s="2"/>
      <c r="O687" s="21"/>
      <c r="P687" s="2"/>
      <c r="Q687" s="2"/>
      <c r="R687" s="4"/>
      <c r="S687" s="4"/>
      <c r="T687" s="4"/>
      <c r="U687" s="4"/>
      <c r="V687" s="4"/>
      <c r="W687" s="4"/>
    </row>
    <row r="688" spans="1:23" ht="14.5" hidden="1" customHeight="1" x14ac:dyDescent="0.2">
      <c r="A688">
        <f t="shared" si="10"/>
        <v>682</v>
      </c>
      <c r="B688">
        <v>2013</v>
      </c>
      <c r="C688" t="s">
        <v>212</v>
      </c>
      <c r="D688" t="s">
        <v>444</v>
      </c>
      <c r="E688" s="22">
        <v>190</v>
      </c>
      <c r="G688" t="s">
        <v>2634</v>
      </c>
      <c r="H688" t="s">
        <v>144</v>
      </c>
      <c r="I688" t="s">
        <v>232</v>
      </c>
      <c r="J688" t="s">
        <v>98</v>
      </c>
      <c r="K688" t="s">
        <v>195</v>
      </c>
      <c r="L688">
        <v>1</v>
      </c>
      <c r="M688" s="4"/>
      <c r="N688" s="2"/>
      <c r="O688" s="21"/>
      <c r="P688" s="2"/>
      <c r="Q688" s="2"/>
      <c r="R688" s="4"/>
      <c r="S688" s="4"/>
      <c r="T688" s="4"/>
      <c r="U688" s="4"/>
      <c r="V688" s="4"/>
      <c r="W688" s="4"/>
    </row>
    <row r="689" spans="1:23" ht="14.5" hidden="1" customHeight="1" x14ac:dyDescent="0.2">
      <c r="A689">
        <f t="shared" si="10"/>
        <v>683</v>
      </c>
      <c r="B689">
        <v>2013</v>
      </c>
      <c r="C689" t="s">
        <v>212</v>
      </c>
      <c r="D689" t="s">
        <v>2635</v>
      </c>
      <c r="E689" s="22">
        <v>1640</v>
      </c>
      <c r="H689" t="s">
        <v>154</v>
      </c>
      <c r="I689" t="s">
        <v>529</v>
      </c>
      <c r="J689" t="s">
        <v>40</v>
      </c>
      <c r="K689" t="s">
        <v>219</v>
      </c>
      <c r="L689">
        <v>1</v>
      </c>
      <c r="M689" s="4"/>
      <c r="N689" s="2"/>
      <c r="O689" s="21"/>
      <c r="P689" s="2"/>
      <c r="Q689" s="2"/>
      <c r="R689" s="4"/>
      <c r="S689" s="4"/>
      <c r="T689" s="4"/>
      <c r="U689" s="4"/>
      <c r="V689" s="4"/>
      <c r="W689" s="4"/>
    </row>
    <row r="690" spans="1:23" ht="14.5" hidden="1" customHeight="1" x14ac:dyDescent="0.2">
      <c r="A690">
        <f t="shared" si="10"/>
        <v>684</v>
      </c>
      <c r="B690">
        <v>2013</v>
      </c>
      <c r="C690" t="s">
        <v>212</v>
      </c>
      <c r="D690" t="s">
        <v>479</v>
      </c>
      <c r="E690" s="22">
        <v>100</v>
      </c>
      <c r="H690" t="s">
        <v>148</v>
      </c>
      <c r="J690" t="s">
        <v>93</v>
      </c>
      <c r="K690" t="s">
        <v>201</v>
      </c>
      <c r="L690">
        <v>1</v>
      </c>
      <c r="M690" s="4"/>
      <c r="N690" s="2"/>
      <c r="O690" s="21"/>
      <c r="P690" s="2"/>
      <c r="Q690" s="2"/>
      <c r="R690" s="4"/>
      <c r="S690" s="4"/>
      <c r="T690" s="4"/>
      <c r="U690" s="4"/>
      <c r="V690" s="4"/>
      <c r="W690" s="4"/>
    </row>
    <row r="691" spans="1:23" ht="14.5" hidden="1" customHeight="1" x14ac:dyDescent="0.2">
      <c r="A691">
        <f t="shared" si="10"/>
        <v>685</v>
      </c>
      <c r="B691">
        <v>2013</v>
      </c>
      <c r="C691" t="s">
        <v>212</v>
      </c>
      <c r="D691" t="s">
        <v>449</v>
      </c>
      <c r="E691" s="22">
        <v>1190</v>
      </c>
      <c r="H691" t="s">
        <v>154</v>
      </c>
      <c r="I691" t="s">
        <v>194</v>
      </c>
      <c r="J691" t="s">
        <v>72</v>
      </c>
      <c r="K691" t="s">
        <v>183</v>
      </c>
      <c r="L691">
        <v>1</v>
      </c>
      <c r="M691" s="4"/>
      <c r="N691" s="2"/>
      <c r="O691" s="21"/>
      <c r="P691" s="2"/>
      <c r="Q691" s="2"/>
      <c r="R691" s="4"/>
      <c r="S691" s="4"/>
      <c r="T691" s="4"/>
      <c r="U691" s="4"/>
      <c r="V691" s="4"/>
      <c r="W691" s="4"/>
    </row>
    <row r="692" spans="1:23" ht="14.5" hidden="1" customHeight="1" x14ac:dyDescent="0.2">
      <c r="A692">
        <f t="shared" si="10"/>
        <v>686</v>
      </c>
      <c r="B692" s="17">
        <v>2013</v>
      </c>
      <c r="C692" s="17" t="s">
        <v>212</v>
      </c>
      <c r="D692" s="17" t="s">
        <v>479</v>
      </c>
      <c r="E692" s="24">
        <v>230</v>
      </c>
      <c r="F692" s="18"/>
      <c r="G692" s="17"/>
      <c r="H692" s="17" t="s">
        <v>154</v>
      </c>
      <c r="I692" s="17" t="s">
        <v>194</v>
      </c>
      <c r="J692" s="17" t="s">
        <v>2406</v>
      </c>
      <c r="K692" s="17" t="s">
        <v>219</v>
      </c>
      <c r="L692" s="17">
        <v>1</v>
      </c>
      <c r="M692" s="4"/>
      <c r="N692" s="2"/>
      <c r="O692" s="21"/>
      <c r="P692" s="2"/>
      <c r="Q692" s="2"/>
      <c r="R692" s="4"/>
      <c r="S692" s="4"/>
      <c r="T692" s="4"/>
      <c r="U692" s="4"/>
      <c r="V692" s="4"/>
      <c r="W692" s="4"/>
    </row>
    <row r="693" spans="1:23" ht="14.5" hidden="1" customHeight="1" x14ac:dyDescent="0.2">
      <c r="A693">
        <f t="shared" si="10"/>
        <v>687</v>
      </c>
      <c r="B693">
        <v>2013</v>
      </c>
      <c r="C693" t="s">
        <v>212</v>
      </c>
      <c r="D693" t="s">
        <v>180</v>
      </c>
      <c r="E693" s="22">
        <v>180</v>
      </c>
      <c r="G693" t="s">
        <v>2636</v>
      </c>
      <c r="H693" t="s">
        <v>149</v>
      </c>
      <c r="I693" t="s">
        <v>182</v>
      </c>
      <c r="J693" t="s">
        <v>53</v>
      </c>
      <c r="K693" t="s">
        <v>183</v>
      </c>
      <c r="L693">
        <v>1</v>
      </c>
      <c r="M693" s="4"/>
      <c r="N693" s="2"/>
      <c r="O693" s="21"/>
      <c r="P693" s="2"/>
      <c r="Q693" s="2"/>
      <c r="R693" s="4"/>
      <c r="S693" s="4"/>
      <c r="T693" s="4"/>
      <c r="U693" s="4"/>
      <c r="V693" s="4"/>
      <c r="W693" s="4"/>
    </row>
    <row r="694" spans="1:23" ht="14.5" hidden="1" customHeight="1" x14ac:dyDescent="0.2">
      <c r="A694">
        <f t="shared" si="10"/>
        <v>688</v>
      </c>
      <c r="B694">
        <v>2013</v>
      </c>
      <c r="C694" t="s">
        <v>212</v>
      </c>
      <c r="D694" t="s">
        <v>2637</v>
      </c>
      <c r="E694" s="22">
        <v>1290</v>
      </c>
      <c r="H694" t="s">
        <v>144</v>
      </c>
      <c r="I694" t="s">
        <v>197</v>
      </c>
      <c r="J694" t="s">
        <v>89</v>
      </c>
      <c r="K694" t="s">
        <v>219</v>
      </c>
      <c r="L694">
        <v>1</v>
      </c>
      <c r="M694" s="4"/>
      <c r="N694" s="2"/>
      <c r="O694" s="21"/>
      <c r="P694" s="2"/>
      <c r="Q694" s="2"/>
      <c r="R694" s="4"/>
      <c r="S694" s="4"/>
      <c r="T694" s="4"/>
      <c r="U694" s="4"/>
      <c r="V694" s="4"/>
      <c r="W694" s="4"/>
    </row>
    <row r="695" spans="1:23" ht="14.5" hidden="1" customHeight="1" x14ac:dyDescent="0.2">
      <c r="A695">
        <f t="shared" si="10"/>
        <v>689</v>
      </c>
      <c r="B695">
        <v>2013</v>
      </c>
      <c r="C695" t="s">
        <v>212</v>
      </c>
      <c r="D695" t="s">
        <v>2638</v>
      </c>
      <c r="E695" s="22">
        <v>1720</v>
      </c>
      <c r="F695" s="16">
        <v>0.7</v>
      </c>
      <c r="G695" t="s">
        <v>2639</v>
      </c>
      <c r="H695" t="s">
        <v>144</v>
      </c>
      <c r="J695" t="s">
        <v>105</v>
      </c>
      <c r="K695" t="s">
        <v>214</v>
      </c>
      <c r="L695">
        <v>1</v>
      </c>
      <c r="M695" s="4"/>
      <c r="N695" s="2"/>
      <c r="O695" s="21"/>
      <c r="P695" s="2"/>
      <c r="Q695" s="2"/>
      <c r="R695" s="4"/>
      <c r="S695" s="4"/>
      <c r="T695" s="4"/>
      <c r="U695" s="4"/>
      <c r="V695" s="4"/>
      <c r="W695" s="4"/>
    </row>
    <row r="696" spans="1:23" ht="14.5" hidden="1" customHeight="1" x14ac:dyDescent="0.2">
      <c r="A696">
        <f t="shared" si="10"/>
        <v>690</v>
      </c>
      <c r="B696">
        <v>2013</v>
      </c>
      <c r="C696" t="s">
        <v>212</v>
      </c>
      <c r="D696" t="s">
        <v>189</v>
      </c>
      <c r="E696" s="22">
        <v>1770</v>
      </c>
      <c r="G696" t="s">
        <v>2002</v>
      </c>
      <c r="H696" t="s">
        <v>144</v>
      </c>
      <c r="I696" t="s">
        <v>187</v>
      </c>
      <c r="J696" t="s">
        <v>105</v>
      </c>
      <c r="K696" t="s">
        <v>214</v>
      </c>
      <c r="L696">
        <v>1</v>
      </c>
      <c r="M696" s="4"/>
      <c r="N696" s="2"/>
      <c r="O696" s="21"/>
      <c r="P696" s="2"/>
      <c r="Q696" s="2"/>
      <c r="R696" s="4"/>
      <c r="S696" s="4"/>
      <c r="T696" s="4"/>
      <c r="U696" s="4"/>
      <c r="V696" s="4"/>
      <c r="W696" s="4"/>
    </row>
    <row r="697" spans="1:23" ht="14.5" hidden="1" customHeight="1" x14ac:dyDescent="0.2">
      <c r="A697">
        <f t="shared" si="10"/>
        <v>691</v>
      </c>
      <c r="B697">
        <v>2013</v>
      </c>
      <c r="C697" t="s">
        <v>212</v>
      </c>
      <c r="D697" t="s">
        <v>479</v>
      </c>
      <c r="E697" s="22">
        <v>570</v>
      </c>
      <c r="H697" t="s">
        <v>154</v>
      </c>
      <c r="I697" t="s">
        <v>194</v>
      </c>
      <c r="J697" t="s">
        <v>24</v>
      </c>
      <c r="K697" t="s">
        <v>219</v>
      </c>
      <c r="L697">
        <v>1</v>
      </c>
      <c r="M697" s="4"/>
      <c r="N697" s="2"/>
      <c r="O697" s="21"/>
      <c r="P697" s="2"/>
      <c r="Q697" s="2"/>
      <c r="R697" s="4"/>
      <c r="S697" s="4"/>
      <c r="T697" s="4"/>
      <c r="U697" s="4"/>
      <c r="V697" s="4"/>
      <c r="W697" s="4"/>
    </row>
    <row r="698" spans="1:23" ht="14.5" hidden="1" customHeight="1" x14ac:dyDescent="0.2">
      <c r="A698">
        <f t="shared" si="10"/>
        <v>692</v>
      </c>
      <c r="B698">
        <v>2013</v>
      </c>
      <c r="C698" t="s">
        <v>212</v>
      </c>
      <c r="D698" t="s">
        <v>221</v>
      </c>
      <c r="E698" s="22">
        <v>150</v>
      </c>
      <c r="H698" t="s">
        <v>154</v>
      </c>
      <c r="I698" t="s">
        <v>194</v>
      </c>
      <c r="J698" t="s">
        <v>63</v>
      </c>
      <c r="K698" t="s">
        <v>201</v>
      </c>
      <c r="L698">
        <v>1</v>
      </c>
      <c r="M698" s="4"/>
      <c r="N698" s="2"/>
      <c r="O698" s="21"/>
      <c r="P698" s="2"/>
      <c r="Q698" s="2"/>
      <c r="R698" s="4"/>
      <c r="S698" s="4"/>
      <c r="T698" s="4"/>
      <c r="U698" s="4"/>
      <c r="V698" s="4"/>
      <c r="W698" s="4"/>
    </row>
    <row r="699" spans="1:23" ht="14.5" hidden="1" customHeight="1" x14ac:dyDescent="0.2">
      <c r="A699">
        <f t="shared" si="10"/>
        <v>693</v>
      </c>
      <c r="B699">
        <v>2014</v>
      </c>
      <c r="C699" t="s">
        <v>172</v>
      </c>
      <c r="D699" t="s">
        <v>444</v>
      </c>
      <c r="E699" s="22">
        <v>300</v>
      </c>
      <c r="G699" t="s">
        <v>2640</v>
      </c>
      <c r="H699" t="s">
        <v>155</v>
      </c>
      <c r="J699" t="s">
        <v>46</v>
      </c>
      <c r="K699" t="s">
        <v>219</v>
      </c>
      <c r="L699">
        <v>1</v>
      </c>
      <c r="M699" s="4"/>
      <c r="N699" s="2"/>
      <c r="O699" s="21"/>
      <c r="P699" s="2"/>
      <c r="Q699" s="2"/>
      <c r="R699" s="4"/>
      <c r="S699" s="4"/>
      <c r="T699" s="4"/>
      <c r="U699" s="4"/>
      <c r="V699" s="4"/>
      <c r="W699" s="4"/>
    </row>
    <row r="700" spans="1:23" ht="14.5" hidden="1" customHeight="1" x14ac:dyDescent="0.2">
      <c r="A700">
        <f t="shared" si="10"/>
        <v>694</v>
      </c>
      <c r="B700">
        <v>2014</v>
      </c>
      <c r="C700" t="s">
        <v>172</v>
      </c>
      <c r="D700" t="s">
        <v>1035</v>
      </c>
      <c r="E700" s="22">
        <v>240</v>
      </c>
      <c r="H700" t="s">
        <v>144</v>
      </c>
      <c r="I700" t="s">
        <v>197</v>
      </c>
      <c r="J700" t="s">
        <v>93</v>
      </c>
      <c r="K700" t="s">
        <v>201</v>
      </c>
      <c r="L700">
        <v>1</v>
      </c>
      <c r="M700" s="4"/>
      <c r="N700" s="2"/>
      <c r="O700" s="21"/>
      <c r="P700" s="2"/>
      <c r="Q700" s="2"/>
      <c r="R700" s="4"/>
      <c r="S700" s="4"/>
      <c r="T700" s="4"/>
      <c r="U700" s="4"/>
      <c r="V700" s="4"/>
      <c r="W700" s="4"/>
    </row>
    <row r="701" spans="1:23" ht="15" hidden="1" customHeight="1" x14ac:dyDescent="0.2">
      <c r="A701">
        <f t="shared" si="10"/>
        <v>695</v>
      </c>
      <c r="B701">
        <v>2014</v>
      </c>
      <c r="C701" t="s">
        <v>172</v>
      </c>
      <c r="D701" t="s">
        <v>449</v>
      </c>
      <c r="E701" s="22">
        <v>1450</v>
      </c>
      <c r="H701" t="s">
        <v>154</v>
      </c>
      <c r="I701" t="s">
        <v>529</v>
      </c>
      <c r="J701" t="s">
        <v>116</v>
      </c>
      <c r="K701" t="s">
        <v>214</v>
      </c>
      <c r="L701">
        <v>1</v>
      </c>
      <c r="M701" s="4"/>
      <c r="N701" s="2"/>
      <c r="O701" s="21"/>
      <c r="P701" s="2"/>
      <c r="Q701" s="2"/>
      <c r="R701" s="4"/>
      <c r="S701" s="4"/>
      <c r="T701" s="4"/>
      <c r="U701" s="4"/>
      <c r="V701" s="4"/>
      <c r="W701" s="4"/>
    </row>
    <row r="702" spans="1:23" ht="14.5" hidden="1" customHeight="1" x14ac:dyDescent="0.2">
      <c r="A702">
        <f t="shared" si="10"/>
        <v>696</v>
      </c>
      <c r="B702">
        <v>2014</v>
      </c>
      <c r="C702" t="s">
        <v>172</v>
      </c>
      <c r="D702" t="s">
        <v>444</v>
      </c>
      <c r="E702" s="22">
        <v>130</v>
      </c>
      <c r="H702" t="s">
        <v>144</v>
      </c>
      <c r="J702" t="s">
        <v>26</v>
      </c>
      <c r="K702" t="s">
        <v>219</v>
      </c>
      <c r="L702">
        <v>1</v>
      </c>
      <c r="M702" s="4"/>
      <c r="N702" s="2"/>
      <c r="O702" s="21"/>
      <c r="P702" s="2"/>
      <c r="Q702" s="2"/>
      <c r="R702" s="4"/>
      <c r="S702" s="4"/>
      <c r="T702" s="4"/>
      <c r="U702" s="4"/>
      <c r="V702" s="4"/>
      <c r="W702" s="4"/>
    </row>
    <row r="703" spans="1:23" ht="14.5" hidden="1" customHeight="1" x14ac:dyDescent="0.2">
      <c r="A703">
        <f t="shared" si="10"/>
        <v>697</v>
      </c>
      <c r="B703">
        <v>2014</v>
      </c>
      <c r="C703" t="s">
        <v>172</v>
      </c>
      <c r="D703" t="s">
        <v>815</v>
      </c>
      <c r="E703" s="22">
        <v>190</v>
      </c>
      <c r="G703" t="s">
        <v>2641</v>
      </c>
      <c r="H703" t="s">
        <v>151</v>
      </c>
      <c r="I703" t="s">
        <v>279</v>
      </c>
      <c r="J703" t="s">
        <v>55</v>
      </c>
      <c r="K703" t="s">
        <v>214</v>
      </c>
      <c r="L703">
        <v>1</v>
      </c>
      <c r="M703" s="4"/>
      <c r="N703" s="2"/>
      <c r="O703" s="21"/>
      <c r="P703" s="2"/>
      <c r="Q703" s="2"/>
      <c r="R703" s="4"/>
      <c r="S703" s="4"/>
      <c r="T703" s="4"/>
      <c r="U703" s="4"/>
      <c r="V703" s="4"/>
      <c r="W703" s="4"/>
    </row>
    <row r="704" spans="1:23" ht="14.5" hidden="1" customHeight="1" x14ac:dyDescent="0.2">
      <c r="A704">
        <f t="shared" si="10"/>
        <v>698</v>
      </c>
      <c r="B704">
        <v>2014</v>
      </c>
      <c r="C704" t="s">
        <v>172</v>
      </c>
      <c r="D704" t="s">
        <v>444</v>
      </c>
      <c r="E704" s="22">
        <v>100</v>
      </c>
      <c r="G704" t="s">
        <v>2642</v>
      </c>
      <c r="H704" t="s">
        <v>144</v>
      </c>
      <c r="I704" t="s">
        <v>232</v>
      </c>
      <c r="J704" t="s">
        <v>65</v>
      </c>
      <c r="K704" t="s">
        <v>214</v>
      </c>
      <c r="L704">
        <v>1</v>
      </c>
      <c r="M704" s="4"/>
      <c r="N704" s="2"/>
      <c r="O704" s="21"/>
      <c r="P704" s="2"/>
      <c r="Q704" s="2"/>
      <c r="R704" s="4"/>
      <c r="S704" s="4"/>
      <c r="T704" s="4"/>
      <c r="U704" s="4"/>
      <c r="V704" s="4"/>
      <c r="W704" s="4"/>
    </row>
    <row r="705" spans="1:23" ht="14.5" hidden="1" customHeight="1" x14ac:dyDescent="0.2">
      <c r="A705">
        <f t="shared" si="10"/>
        <v>699</v>
      </c>
      <c r="B705">
        <v>2014</v>
      </c>
      <c r="C705" t="s">
        <v>172</v>
      </c>
      <c r="D705" t="s">
        <v>246</v>
      </c>
      <c r="E705" s="22">
        <v>100</v>
      </c>
      <c r="H705" t="s">
        <v>144</v>
      </c>
      <c r="I705" t="s">
        <v>197</v>
      </c>
      <c r="J705" t="s">
        <v>84</v>
      </c>
      <c r="K705" t="s">
        <v>201</v>
      </c>
      <c r="L705">
        <v>1</v>
      </c>
      <c r="M705" s="4"/>
      <c r="N705" s="2"/>
      <c r="O705" s="21"/>
      <c r="P705" s="2"/>
      <c r="Q705" s="2"/>
      <c r="R705" s="4"/>
      <c r="S705" s="4"/>
      <c r="T705" s="4"/>
      <c r="U705" s="4"/>
      <c r="V705" s="4"/>
      <c r="W705" s="4"/>
    </row>
    <row r="706" spans="1:23" ht="14.5" hidden="1" customHeight="1" x14ac:dyDescent="0.2">
      <c r="A706">
        <f t="shared" si="10"/>
        <v>700</v>
      </c>
      <c r="B706">
        <v>2014</v>
      </c>
      <c r="C706" t="s">
        <v>172</v>
      </c>
      <c r="D706" t="s">
        <v>2643</v>
      </c>
      <c r="E706" s="22">
        <v>100</v>
      </c>
      <c r="H706" t="s">
        <v>144</v>
      </c>
      <c r="I706" t="s">
        <v>197</v>
      </c>
      <c r="J706" t="s">
        <v>39</v>
      </c>
      <c r="K706" t="s">
        <v>219</v>
      </c>
      <c r="L706">
        <v>1</v>
      </c>
      <c r="M706" s="4"/>
      <c r="N706" s="2"/>
      <c r="O706" s="21"/>
      <c r="P706" s="2"/>
      <c r="Q706" s="2"/>
      <c r="R706" s="4"/>
      <c r="S706" s="4"/>
      <c r="T706" s="4"/>
      <c r="U706" s="4"/>
      <c r="V706" s="4"/>
      <c r="W706" s="4"/>
    </row>
    <row r="707" spans="1:23" ht="14.5" hidden="1" customHeight="1" x14ac:dyDescent="0.2">
      <c r="A707">
        <f t="shared" si="10"/>
        <v>701</v>
      </c>
      <c r="B707">
        <v>2014</v>
      </c>
      <c r="C707" t="s">
        <v>172</v>
      </c>
      <c r="D707" t="s">
        <v>1234</v>
      </c>
      <c r="E707" s="22">
        <v>210</v>
      </c>
      <c r="H707" t="s">
        <v>144</v>
      </c>
      <c r="I707" t="s">
        <v>273</v>
      </c>
      <c r="J707" t="s">
        <v>97</v>
      </c>
      <c r="K707" t="s">
        <v>183</v>
      </c>
      <c r="L707">
        <v>1</v>
      </c>
      <c r="M707" s="4"/>
      <c r="N707" s="2"/>
      <c r="O707" s="21"/>
      <c r="P707" s="2"/>
      <c r="Q707" s="2"/>
      <c r="R707" s="4"/>
      <c r="S707" s="4"/>
      <c r="T707" s="4"/>
      <c r="U707" s="4"/>
      <c r="V707" s="4"/>
      <c r="W707" s="4"/>
    </row>
    <row r="708" spans="1:23" ht="14.5" hidden="1" customHeight="1" x14ac:dyDescent="0.2">
      <c r="A708">
        <f t="shared" si="10"/>
        <v>702</v>
      </c>
      <c r="B708">
        <v>2014</v>
      </c>
      <c r="C708" t="s">
        <v>172</v>
      </c>
      <c r="D708" t="s">
        <v>668</v>
      </c>
      <c r="E708" s="22">
        <v>780</v>
      </c>
      <c r="H708" t="s">
        <v>144</v>
      </c>
      <c r="I708" t="s">
        <v>197</v>
      </c>
      <c r="J708" t="s">
        <v>6</v>
      </c>
      <c r="K708" t="s">
        <v>219</v>
      </c>
      <c r="L708">
        <v>1</v>
      </c>
      <c r="M708" s="4"/>
      <c r="N708" s="2"/>
      <c r="O708" s="21"/>
      <c r="P708" s="2"/>
      <c r="Q708" s="2"/>
      <c r="R708" s="4"/>
      <c r="S708" s="4"/>
      <c r="T708" s="4"/>
      <c r="U708" s="4"/>
      <c r="V708" s="4"/>
      <c r="W708" s="4"/>
    </row>
    <row r="709" spans="1:23" ht="14.5" hidden="1" customHeight="1" x14ac:dyDescent="0.2">
      <c r="A709">
        <f t="shared" si="10"/>
        <v>703</v>
      </c>
      <c r="B709">
        <v>2014</v>
      </c>
      <c r="C709" t="s">
        <v>172</v>
      </c>
      <c r="D709" t="s">
        <v>1035</v>
      </c>
      <c r="E709" s="22">
        <v>450</v>
      </c>
      <c r="G709" t="s">
        <v>2190</v>
      </c>
      <c r="H709" t="s">
        <v>144</v>
      </c>
      <c r="I709" t="s">
        <v>273</v>
      </c>
      <c r="J709" t="s">
        <v>138</v>
      </c>
      <c r="K709" t="s">
        <v>219</v>
      </c>
      <c r="L709">
        <v>1</v>
      </c>
      <c r="M709" s="4"/>
      <c r="N709" s="2"/>
      <c r="O709" s="21"/>
      <c r="P709" s="2"/>
      <c r="Q709" s="2"/>
      <c r="R709" s="4"/>
      <c r="S709" s="4"/>
      <c r="T709" s="4"/>
      <c r="U709" s="4"/>
      <c r="V709" s="4"/>
      <c r="W709" s="4"/>
    </row>
    <row r="710" spans="1:23" ht="14.5" hidden="1" customHeight="1" x14ac:dyDescent="0.2">
      <c r="A710">
        <f t="shared" si="10"/>
        <v>704</v>
      </c>
      <c r="B710">
        <v>2014</v>
      </c>
      <c r="C710" t="s">
        <v>172</v>
      </c>
      <c r="D710" t="s">
        <v>2486</v>
      </c>
      <c r="E710" s="22">
        <v>130</v>
      </c>
      <c r="H710" t="s">
        <v>154</v>
      </c>
      <c r="I710" t="s">
        <v>250</v>
      </c>
      <c r="J710" t="s">
        <v>123</v>
      </c>
      <c r="K710" t="s">
        <v>219</v>
      </c>
      <c r="L710">
        <v>1</v>
      </c>
      <c r="M710" s="4"/>
      <c r="N710" s="2"/>
      <c r="O710" s="21"/>
      <c r="P710" s="2"/>
      <c r="Q710" s="2"/>
      <c r="R710" s="4"/>
      <c r="S710" s="4"/>
      <c r="T710" s="4"/>
      <c r="U710" s="4"/>
      <c r="V710" s="4"/>
      <c r="W710" s="4"/>
    </row>
    <row r="711" spans="1:23" ht="14.5" hidden="1" customHeight="1" x14ac:dyDescent="0.2">
      <c r="A711">
        <f t="shared" ref="A711:A774" si="11">ROW()-6</f>
        <v>705</v>
      </c>
      <c r="B711">
        <v>2014</v>
      </c>
      <c r="C711" t="s">
        <v>258</v>
      </c>
      <c r="D711" t="s">
        <v>479</v>
      </c>
      <c r="E711" s="22">
        <v>100</v>
      </c>
      <c r="H711" t="s">
        <v>154</v>
      </c>
      <c r="I711" t="s">
        <v>271</v>
      </c>
      <c r="J711" t="s">
        <v>31</v>
      </c>
      <c r="K711" t="s">
        <v>177</v>
      </c>
      <c r="L711">
        <v>1</v>
      </c>
      <c r="M711" s="4"/>
      <c r="N711" s="2"/>
      <c r="O711" s="21"/>
      <c r="P711" s="2"/>
      <c r="Q711" s="2"/>
      <c r="R711" s="4"/>
      <c r="S711" s="4"/>
      <c r="T711" s="4"/>
      <c r="U711" s="4"/>
      <c r="V711" s="4"/>
      <c r="W711" s="4"/>
    </row>
    <row r="712" spans="1:23" ht="14.5" hidden="1" customHeight="1" x14ac:dyDescent="0.2">
      <c r="A712">
        <f t="shared" si="11"/>
        <v>706</v>
      </c>
      <c r="B712">
        <v>2014</v>
      </c>
      <c r="C712" t="s">
        <v>258</v>
      </c>
      <c r="D712" t="s">
        <v>307</v>
      </c>
      <c r="E712" s="22">
        <v>970</v>
      </c>
      <c r="F712" s="16">
        <v>0.51</v>
      </c>
      <c r="G712" t="s">
        <v>2644</v>
      </c>
      <c r="H712" t="s">
        <v>144</v>
      </c>
      <c r="J712" t="s">
        <v>19</v>
      </c>
      <c r="K712" t="s">
        <v>205</v>
      </c>
      <c r="L712">
        <v>0</v>
      </c>
      <c r="M712" s="4"/>
      <c r="N712" s="2"/>
      <c r="O712" s="21"/>
      <c r="P712" s="2"/>
      <c r="Q712" s="2"/>
      <c r="R712" s="4"/>
      <c r="S712" s="4"/>
      <c r="T712" s="4"/>
      <c r="U712" s="4"/>
      <c r="V712" s="4"/>
      <c r="W712" s="4"/>
    </row>
    <row r="713" spans="1:23" ht="14.5" hidden="1" customHeight="1" x14ac:dyDescent="0.2">
      <c r="A713">
        <f t="shared" si="11"/>
        <v>707</v>
      </c>
      <c r="B713">
        <v>2014</v>
      </c>
      <c r="C713" t="s">
        <v>258</v>
      </c>
      <c r="D713" t="s">
        <v>479</v>
      </c>
      <c r="E713" s="22">
        <v>400</v>
      </c>
      <c r="H713" t="s">
        <v>154</v>
      </c>
      <c r="I713" t="s">
        <v>271</v>
      </c>
      <c r="J713" t="s">
        <v>39</v>
      </c>
      <c r="K713" t="s">
        <v>219</v>
      </c>
      <c r="L713">
        <v>1</v>
      </c>
      <c r="M713" s="4"/>
      <c r="N713" s="2"/>
      <c r="O713" s="21"/>
      <c r="P713" s="2"/>
      <c r="Q713" s="2"/>
      <c r="R713" s="4"/>
      <c r="S713" s="4"/>
      <c r="T713" s="4"/>
      <c r="U713" s="4"/>
      <c r="V713" s="4"/>
      <c r="W713" s="4"/>
    </row>
    <row r="714" spans="1:23" ht="14.5" hidden="1" customHeight="1" x14ac:dyDescent="0.2">
      <c r="A714">
        <f t="shared" si="11"/>
        <v>708</v>
      </c>
      <c r="B714">
        <v>2014</v>
      </c>
      <c r="C714" t="s">
        <v>258</v>
      </c>
      <c r="D714" t="s">
        <v>479</v>
      </c>
      <c r="E714" s="22">
        <v>200</v>
      </c>
      <c r="H714" t="s">
        <v>154</v>
      </c>
      <c r="I714" t="s">
        <v>271</v>
      </c>
      <c r="J714" t="s">
        <v>123</v>
      </c>
      <c r="K714" t="s">
        <v>219</v>
      </c>
      <c r="L714">
        <v>1</v>
      </c>
      <c r="M714" s="4"/>
      <c r="N714" s="2"/>
      <c r="O714" s="21"/>
      <c r="P714" s="2"/>
      <c r="Q714" s="2"/>
      <c r="R714" s="4"/>
      <c r="S714" s="4"/>
      <c r="T714" s="4"/>
      <c r="U714" s="4"/>
      <c r="V714" s="4"/>
      <c r="W714" s="4"/>
    </row>
    <row r="715" spans="1:23" ht="14.5" hidden="1" customHeight="1" x14ac:dyDescent="0.2">
      <c r="A715">
        <f t="shared" si="11"/>
        <v>709</v>
      </c>
      <c r="B715">
        <v>2014</v>
      </c>
      <c r="C715" t="s">
        <v>258</v>
      </c>
      <c r="D715" t="s">
        <v>479</v>
      </c>
      <c r="E715" s="22">
        <v>200</v>
      </c>
      <c r="H715" t="s">
        <v>154</v>
      </c>
      <c r="I715" t="s">
        <v>271</v>
      </c>
      <c r="J715" t="s">
        <v>105</v>
      </c>
      <c r="K715" t="s">
        <v>214</v>
      </c>
      <c r="L715">
        <v>1</v>
      </c>
      <c r="M715" s="4"/>
      <c r="N715" s="2"/>
      <c r="O715" s="21"/>
      <c r="P715" s="2"/>
      <c r="Q715" s="2"/>
      <c r="R715" s="4"/>
      <c r="S715" s="4"/>
      <c r="T715" s="4"/>
      <c r="U715" s="4"/>
      <c r="V715" s="4"/>
      <c r="W715" s="4"/>
    </row>
    <row r="716" spans="1:23" ht="14.5" hidden="1" customHeight="1" x14ac:dyDescent="0.2">
      <c r="A716">
        <f t="shared" si="11"/>
        <v>710</v>
      </c>
      <c r="B716">
        <v>2014</v>
      </c>
      <c r="C716" t="s">
        <v>258</v>
      </c>
      <c r="D716" t="s">
        <v>397</v>
      </c>
      <c r="E716" s="22">
        <v>520</v>
      </c>
      <c r="H716" t="s">
        <v>145</v>
      </c>
      <c r="J716" t="s">
        <v>29</v>
      </c>
      <c r="K716" t="s">
        <v>219</v>
      </c>
      <c r="L716">
        <v>1</v>
      </c>
      <c r="M716" s="4"/>
      <c r="N716" s="2"/>
      <c r="O716" s="21"/>
      <c r="P716" s="2"/>
      <c r="Q716" s="2"/>
      <c r="R716" s="4"/>
      <c r="S716" s="4"/>
      <c r="T716" s="4"/>
      <c r="U716" s="4"/>
      <c r="V716" s="4"/>
      <c r="W716" s="4"/>
    </row>
    <row r="717" spans="1:23" ht="14.5" hidden="1" customHeight="1" x14ac:dyDescent="0.2">
      <c r="A717">
        <f t="shared" si="11"/>
        <v>711</v>
      </c>
      <c r="B717">
        <v>2014</v>
      </c>
      <c r="C717" t="s">
        <v>258</v>
      </c>
      <c r="D717" t="s">
        <v>244</v>
      </c>
      <c r="E717" s="22">
        <v>490</v>
      </c>
      <c r="G717" t="s">
        <v>448</v>
      </c>
      <c r="H717" t="s">
        <v>149</v>
      </c>
      <c r="I717" t="s">
        <v>236</v>
      </c>
      <c r="J717" t="s">
        <v>63</v>
      </c>
      <c r="K717" t="s">
        <v>201</v>
      </c>
      <c r="L717">
        <v>1</v>
      </c>
      <c r="M717" s="4"/>
      <c r="N717" s="2"/>
      <c r="O717" s="21"/>
      <c r="P717" s="2"/>
      <c r="Q717" s="2"/>
      <c r="R717" s="4"/>
      <c r="S717" s="4"/>
      <c r="T717" s="4"/>
      <c r="U717" s="4"/>
      <c r="V717" s="4"/>
      <c r="W717" s="4"/>
    </row>
    <row r="718" spans="1:23" ht="14.5" hidden="1" customHeight="1" x14ac:dyDescent="0.2">
      <c r="A718">
        <f t="shared" si="11"/>
        <v>712</v>
      </c>
      <c r="B718">
        <v>2014</v>
      </c>
      <c r="C718" t="s">
        <v>258</v>
      </c>
      <c r="D718" t="s">
        <v>1035</v>
      </c>
      <c r="E718" s="22">
        <v>480</v>
      </c>
      <c r="F718" s="16">
        <v>0.8</v>
      </c>
      <c r="G718" t="s">
        <v>2645</v>
      </c>
      <c r="H718" t="s">
        <v>154</v>
      </c>
      <c r="I718" t="s">
        <v>194</v>
      </c>
      <c r="J718" t="s">
        <v>135</v>
      </c>
      <c r="K718" t="s">
        <v>205</v>
      </c>
      <c r="L718">
        <v>1</v>
      </c>
      <c r="M718" s="4"/>
      <c r="N718" s="2"/>
      <c r="O718" s="21"/>
      <c r="P718" s="2"/>
      <c r="Q718" s="2"/>
      <c r="R718" s="4"/>
      <c r="S718" s="4"/>
      <c r="T718" s="4"/>
      <c r="U718" s="4"/>
      <c r="V718" s="4"/>
      <c r="W718" s="4"/>
    </row>
    <row r="719" spans="1:23" ht="14.5" hidden="1" customHeight="1" x14ac:dyDescent="0.2">
      <c r="A719">
        <f t="shared" si="11"/>
        <v>713</v>
      </c>
      <c r="B719">
        <v>2014</v>
      </c>
      <c r="C719" t="s">
        <v>258</v>
      </c>
      <c r="D719" t="s">
        <v>444</v>
      </c>
      <c r="E719" s="22">
        <v>130</v>
      </c>
      <c r="H719" t="s">
        <v>154</v>
      </c>
      <c r="I719" t="s">
        <v>194</v>
      </c>
      <c r="J719" t="s">
        <v>29</v>
      </c>
      <c r="K719" t="s">
        <v>219</v>
      </c>
      <c r="L719">
        <v>1</v>
      </c>
      <c r="M719" s="4"/>
      <c r="N719" s="2"/>
      <c r="O719" s="21"/>
      <c r="P719" s="2"/>
      <c r="Q719" s="2"/>
      <c r="R719" s="4"/>
      <c r="S719" s="4"/>
      <c r="T719" s="4"/>
      <c r="U719" s="4"/>
      <c r="V719" s="4"/>
      <c r="W719" s="4"/>
    </row>
    <row r="720" spans="1:23" ht="14.5" hidden="1" customHeight="1" x14ac:dyDescent="0.2">
      <c r="A720">
        <f t="shared" si="11"/>
        <v>714</v>
      </c>
      <c r="B720" s="17">
        <v>2014</v>
      </c>
      <c r="C720" s="17" t="s">
        <v>258</v>
      </c>
      <c r="D720" s="17" t="s">
        <v>199</v>
      </c>
      <c r="E720" s="24">
        <v>1400</v>
      </c>
      <c r="F720" s="18"/>
      <c r="G720" s="17"/>
      <c r="H720" s="17" t="s">
        <v>144</v>
      </c>
      <c r="I720" s="17" t="s">
        <v>299</v>
      </c>
      <c r="J720" s="17" t="s">
        <v>66</v>
      </c>
      <c r="K720" s="17" t="s">
        <v>201</v>
      </c>
      <c r="L720" s="17">
        <v>1</v>
      </c>
      <c r="M720" s="4"/>
      <c r="N720" s="2"/>
      <c r="O720" s="21"/>
      <c r="P720" s="2"/>
      <c r="Q720" s="2"/>
      <c r="R720" s="4"/>
      <c r="S720" s="4"/>
      <c r="T720" s="4"/>
      <c r="U720" s="4"/>
      <c r="V720" s="4"/>
      <c r="W720" s="4"/>
    </row>
    <row r="721" spans="1:23" ht="14.5" hidden="1" customHeight="1" x14ac:dyDescent="0.2">
      <c r="A721">
        <f t="shared" si="11"/>
        <v>715</v>
      </c>
      <c r="B721">
        <v>2014</v>
      </c>
      <c r="C721" t="s">
        <v>258</v>
      </c>
      <c r="D721" t="s">
        <v>1035</v>
      </c>
      <c r="E721" s="22">
        <v>240</v>
      </c>
      <c r="G721" t="s">
        <v>2646</v>
      </c>
      <c r="H721" t="s">
        <v>144</v>
      </c>
      <c r="I721" t="s">
        <v>197</v>
      </c>
      <c r="J721" t="s">
        <v>37</v>
      </c>
      <c r="K721" t="s">
        <v>205</v>
      </c>
      <c r="L721">
        <v>1</v>
      </c>
      <c r="M721" s="4"/>
      <c r="N721" s="2"/>
      <c r="O721" s="21"/>
      <c r="P721" s="2"/>
      <c r="Q721" s="2"/>
      <c r="R721" s="4"/>
      <c r="S721" s="4"/>
      <c r="T721" s="4"/>
      <c r="U721" s="4"/>
      <c r="V721" s="4"/>
      <c r="W721" s="4"/>
    </row>
    <row r="722" spans="1:23" ht="14.5" hidden="1" customHeight="1" x14ac:dyDescent="0.2">
      <c r="A722">
        <f t="shared" si="11"/>
        <v>716</v>
      </c>
      <c r="B722">
        <v>2014</v>
      </c>
      <c r="C722" t="s">
        <v>258</v>
      </c>
      <c r="D722" t="s">
        <v>189</v>
      </c>
      <c r="E722" s="22">
        <v>260</v>
      </c>
      <c r="F722" s="16">
        <v>0.35</v>
      </c>
      <c r="G722" t="s">
        <v>2422</v>
      </c>
      <c r="H722" t="s">
        <v>143</v>
      </c>
      <c r="J722" t="s">
        <v>105</v>
      </c>
      <c r="K722" t="s">
        <v>214</v>
      </c>
      <c r="L722">
        <v>1</v>
      </c>
      <c r="M722" s="4"/>
      <c r="N722" s="2"/>
      <c r="O722" s="21"/>
      <c r="P722" s="2"/>
      <c r="Q722" s="2"/>
      <c r="R722" s="4"/>
      <c r="S722" s="4"/>
      <c r="T722" s="4"/>
      <c r="U722" s="4"/>
      <c r="V722" s="4"/>
      <c r="W722" s="4"/>
    </row>
    <row r="723" spans="1:23" ht="14.5" hidden="1" customHeight="1" x14ac:dyDescent="0.2">
      <c r="A723">
        <f t="shared" si="11"/>
        <v>717</v>
      </c>
      <c r="B723">
        <v>2014</v>
      </c>
      <c r="C723" t="s">
        <v>179</v>
      </c>
      <c r="D723" t="s">
        <v>479</v>
      </c>
      <c r="E723" s="22">
        <v>1020</v>
      </c>
      <c r="H723" t="s">
        <v>154</v>
      </c>
      <c r="I723" t="s">
        <v>194</v>
      </c>
      <c r="J723" t="s">
        <v>79</v>
      </c>
      <c r="K723" t="s">
        <v>195</v>
      </c>
      <c r="L723">
        <v>1</v>
      </c>
      <c r="M723" s="4"/>
      <c r="N723" s="2"/>
      <c r="O723" s="21"/>
      <c r="P723" s="2"/>
      <c r="Q723" s="2"/>
      <c r="R723" s="4"/>
      <c r="S723" s="4"/>
      <c r="T723" s="4"/>
      <c r="U723" s="4"/>
      <c r="V723" s="4"/>
      <c r="W723" s="4"/>
    </row>
    <row r="724" spans="1:23" ht="14.5" hidden="1" customHeight="1" x14ac:dyDescent="0.2">
      <c r="A724">
        <f t="shared" si="11"/>
        <v>718</v>
      </c>
      <c r="B724">
        <v>2014</v>
      </c>
      <c r="C724" t="s">
        <v>179</v>
      </c>
      <c r="D724" t="s">
        <v>479</v>
      </c>
      <c r="E724" s="22">
        <v>160</v>
      </c>
      <c r="H724" t="s">
        <v>151</v>
      </c>
      <c r="I724" t="s">
        <v>279</v>
      </c>
      <c r="J724" t="s">
        <v>54</v>
      </c>
      <c r="K724" t="s">
        <v>201</v>
      </c>
      <c r="L724">
        <v>1</v>
      </c>
      <c r="M724" s="4"/>
      <c r="N724" s="2"/>
      <c r="O724" s="21"/>
      <c r="P724" s="2"/>
      <c r="Q724" s="2"/>
      <c r="R724" s="4"/>
      <c r="S724" s="4"/>
      <c r="T724" s="4"/>
      <c r="U724" s="4"/>
      <c r="V724" s="4"/>
      <c r="W724" s="4"/>
    </row>
    <row r="725" spans="1:23" ht="14.5" hidden="1" customHeight="1" x14ac:dyDescent="0.2">
      <c r="A725">
        <f t="shared" si="11"/>
        <v>719</v>
      </c>
      <c r="B725">
        <v>2014</v>
      </c>
      <c r="C725" t="s">
        <v>179</v>
      </c>
      <c r="D725" t="s">
        <v>397</v>
      </c>
      <c r="E725" s="22">
        <v>210</v>
      </c>
      <c r="H725" t="s">
        <v>154</v>
      </c>
      <c r="I725" t="s">
        <v>194</v>
      </c>
      <c r="J725" t="s">
        <v>131</v>
      </c>
      <c r="K725" t="s">
        <v>131</v>
      </c>
      <c r="L725">
        <v>0</v>
      </c>
      <c r="M725" s="4"/>
      <c r="N725" s="2"/>
      <c r="O725" s="21"/>
      <c r="P725" s="2"/>
      <c r="Q725" s="2"/>
      <c r="R725" s="4"/>
      <c r="S725" s="4"/>
      <c r="T725" s="4"/>
      <c r="U725" s="4"/>
      <c r="V725" s="4"/>
      <c r="W725" s="4"/>
    </row>
    <row r="726" spans="1:23" ht="14.5" hidden="1" customHeight="1" x14ac:dyDescent="0.2">
      <c r="A726">
        <f t="shared" si="11"/>
        <v>720</v>
      </c>
      <c r="B726">
        <v>2014</v>
      </c>
      <c r="C726" t="s">
        <v>179</v>
      </c>
      <c r="D726" t="s">
        <v>397</v>
      </c>
      <c r="E726" s="22">
        <v>710</v>
      </c>
      <c r="H726" t="s">
        <v>151</v>
      </c>
      <c r="I726" t="s">
        <v>279</v>
      </c>
      <c r="J726" t="s">
        <v>101</v>
      </c>
      <c r="K726" t="s">
        <v>201</v>
      </c>
      <c r="L726">
        <v>1</v>
      </c>
      <c r="M726" s="4"/>
      <c r="N726" s="2"/>
      <c r="O726" s="21"/>
      <c r="P726" s="2"/>
      <c r="Q726" s="2"/>
      <c r="R726" s="4"/>
      <c r="S726" s="4"/>
      <c r="T726" s="4"/>
      <c r="U726" s="4"/>
      <c r="V726" s="4"/>
      <c r="W726" s="4"/>
    </row>
    <row r="727" spans="1:23" ht="14.5" hidden="1" customHeight="1" x14ac:dyDescent="0.2">
      <c r="A727">
        <f t="shared" si="11"/>
        <v>721</v>
      </c>
      <c r="B727">
        <v>2014</v>
      </c>
      <c r="C727" t="s">
        <v>179</v>
      </c>
      <c r="D727" t="s">
        <v>444</v>
      </c>
      <c r="E727" s="22">
        <v>250</v>
      </c>
      <c r="H727" t="s">
        <v>155</v>
      </c>
      <c r="J727" t="s">
        <v>29</v>
      </c>
      <c r="K727" t="s">
        <v>219</v>
      </c>
      <c r="L727">
        <v>1</v>
      </c>
      <c r="M727" s="4"/>
      <c r="N727" s="2"/>
      <c r="O727" s="21"/>
      <c r="P727" s="2"/>
      <c r="Q727" s="2"/>
      <c r="R727" s="4"/>
      <c r="S727" s="4"/>
      <c r="T727" s="4"/>
      <c r="U727" s="4"/>
      <c r="V727" s="4"/>
      <c r="W727" s="4"/>
    </row>
    <row r="728" spans="1:23" ht="14.5" hidden="1" customHeight="1" x14ac:dyDescent="0.2">
      <c r="A728">
        <f t="shared" si="11"/>
        <v>722</v>
      </c>
      <c r="B728">
        <v>2014</v>
      </c>
      <c r="C728" t="s">
        <v>179</v>
      </c>
      <c r="D728" t="s">
        <v>479</v>
      </c>
      <c r="E728" s="22">
        <v>220</v>
      </c>
      <c r="H728" t="s">
        <v>154</v>
      </c>
      <c r="I728" t="s">
        <v>271</v>
      </c>
      <c r="J728" t="s">
        <v>93</v>
      </c>
      <c r="K728" t="s">
        <v>201</v>
      </c>
      <c r="L728">
        <v>1</v>
      </c>
      <c r="M728" s="4"/>
      <c r="N728" s="2"/>
      <c r="O728" s="21"/>
      <c r="P728" s="2"/>
      <c r="Q728" s="2"/>
      <c r="R728" s="4"/>
      <c r="S728" s="4"/>
      <c r="T728" s="4"/>
      <c r="U728" s="4"/>
      <c r="V728" s="4"/>
      <c r="W728" s="4"/>
    </row>
    <row r="729" spans="1:23" ht="14.5" hidden="1" customHeight="1" x14ac:dyDescent="0.2">
      <c r="A729">
        <f t="shared" si="11"/>
        <v>723</v>
      </c>
      <c r="B729">
        <v>2014</v>
      </c>
      <c r="C729" t="s">
        <v>179</v>
      </c>
      <c r="D729" t="s">
        <v>397</v>
      </c>
      <c r="E729" s="22">
        <v>680</v>
      </c>
      <c r="H729" t="s">
        <v>154</v>
      </c>
      <c r="I729" t="s">
        <v>194</v>
      </c>
      <c r="J729" t="s">
        <v>29</v>
      </c>
      <c r="K729" t="s">
        <v>219</v>
      </c>
      <c r="L729">
        <v>1</v>
      </c>
      <c r="M729" s="4"/>
      <c r="N729" s="2"/>
      <c r="O729" s="21"/>
      <c r="P729" s="2"/>
      <c r="Q729" s="2"/>
      <c r="R729" s="4"/>
      <c r="S729" s="4"/>
      <c r="T729" s="4"/>
      <c r="U729" s="4"/>
      <c r="V729" s="4"/>
      <c r="W729" s="4"/>
    </row>
    <row r="730" spans="1:23" ht="14.5" hidden="1" customHeight="1" x14ac:dyDescent="0.2">
      <c r="A730">
        <f t="shared" si="11"/>
        <v>724</v>
      </c>
      <c r="B730">
        <v>2014</v>
      </c>
      <c r="C730" t="s">
        <v>179</v>
      </c>
      <c r="D730" t="s">
        <v>875</v>
      </c>
      <c r="E730" s="22">
        <v>390</v>
      </c>
      <c r="H730" t="s">
        <v>155</v>
      </c>
      <c r="J730" t="s">
        <v>2406</v>
      </c>
      <c r="K730" t="s">
        <v>219</v>
      </c>
      <c r="L730">
        <v>1</v>
      </c>
      <c r="M730" s="4"/>
      <c r="N730" s="2"/>
      <c r="O730" s="21"/>
      <c r="P730" s="2"/>
      <c r="Q730" s="2"/>
      <c r="R730" s="4"/>
      <c r="S730" s="4"/>
      <c r="T730" s="4"/>
      <c r="U730" s="4"/>
      <c r="V730" s="4"/>
      <c r="W730" s="4"/>
    </row>
    <row r="731" spans="1:23" ht="14.5" hidden="1" customHeight="1" x14ac:dyDescent="0.2">
      <c r="A731">
        <f t="shared" si="11"/>
        <v>725</v>
      </c>
      <c r="B731">
        <v>2014</v>
      </c>
      <c r="C731" t="s">
        <v>179</v>
      </c>
      <c r="D731" t="s">
        <v>2647</v>
      </c>
      <c r="E731" s="22">
        <v>710</v>
      </c>
      <c r="H731" t="s">
        <v>154</v>
      </c>
      <c r="I731" t="s">
        <v>271</v>
      </c>
      <c r="J731" t="s">
        <v>107</v>
      </c>
      <c r="K731" t="s">
        <v>219</v>
      </c>
      <c r="L731">
        <v>1</v>
      </c>
      <c r="M731" s="4"/>
      <c r="N731" s="2"/>
      <c r="O731" s="21"/>
      <c r="P731" s="2"/>
      <c r="Q731" s="2"/>
      <c r="R731" s="4"/>
      <c r="S731" s="4"/>
      <c r="T731" s="4"/>
      <c r="U731" s="4"/>
      <c r="V731" s="4"/>
      <c r="W731" s="4"/>
    </row>
    <row r="732" spans="1:23" ht="14.5" hidden="1" customHeight="1" x14ac:dyDescent="0.2">
      <c r="A732">
        <f t="shared" si="11"/>
        <v>726</v>
      </c>
      <c r="B732">
        <v>2014</v>
      </c>
      <c r="C732" t="s">
        <v>179</v>
      </c>
      <c r="D732" t="s">
        <v>2389</v>
      </c>
      <c r="E732" s="22">
        <v>200</v>
      </c>
      <c r="H732" t="s">
        <v>154</v>
      </c>
      <c r="I732" t="s">
        <v>250</v>
      </c>
      <c r="J732" t="s">
        <v>2406</v>
      </c>
      <c r="K732" t="s">
        <v>219</v>
      </c>
      <c r="L732">
        <v>1</v>
      </c>
      <c r="M732" s="4"/>
      <c r="N732" s="2"/>
      <c r="O732" s="21"/>
      <c r="P732" s="2"/>
      <c r="Q732" s="2"/>
      <c r="R732" s="4"/>
      <c r="S732" s="4"/>
      <c r="T732" s="4"/>
      <c r="U732" s="4"/>
      <c r="V732" s="4"/>
      <c r="W732" s="4"/>
    </row>
    <row r="733" spans="1:23" ht="14.5" hidden="1" customHeight="1" x14ac:dyDescent="0.2">
      <c r="A733">
        <f t="shared" si="11"/>
        <v>727</v>
      </c>
      <c r="B733">
        <v>2014</v>
      </c>
      <c r="C733" t="s">
        <v>179</v>
      </c>
      <c r="D733" t="s">
        <v>399</v>
      </c>
      <c r="E733" s="22">
        <v>190</v>
      </c>
      <c r="G733" t="s">
        <v>2648</v>
      </c>
      <c r="H733" t="s">
        <v>144</v>
      </c>
      <c r="I733" t="s">
        <v>299</v>
      </c>
      <c r="J733" t="s">
        <v>13</v>
      </c>
      <c r="K733" t="s">
        <v>201</v>
      </c>
      <c r="L733">
        <v>1</v>
      </c>
      <c r="M733" s="4"/>
      <c r="N733" s="2"/>
      <c r="O733" s="21"/>
      <c r="P733" s="2"/>
      <c r="Q733" s="2"/>
      <c r="R733" s="4"/>
      <c r="S733" s="4"/>
      <c r="T733" s="4"/>
      <c r="U733" s="4"/>
      <c r="V733" s="4"/>
      <c r="W733" s="4"/>
    </row>
    <row r="734" spans="1:23" ht="14.5" hidden="1" customHeight="1" x14ac:dyDescent="0.2">
      <c r="A734">
        <f t="shared" si="11"/>
        <v>728</v>
      </c>
      <c r="B734">
        <v>2014</v>
      </c>
      <c r="C734" t="s">
        <v>179</v>
      </c>
      <c r="D734" s="17" t="s">
        <v>199</v>
      </c>
      <c r="E734" s="22">
        <v>1570</v>
      </c>
      <c r="H734" t="s">
        <v>144</v>
      </c>
      <c r="I734" t="s">
        <v>187</v>
      </c>
      <c r="J734" t="s">
        <v>63</v>
      </c>
      <c r="K734" t="s">
        <v>201</v>
      </c>
      <c r="L734">
        <v>1</v>
      </c>
      <c r="M734" s="4"/>
      <c r="N734" s="2"/>
      <c r="O734" s="21"/>
      <c r="P734" s="2"/>
      <c r="Q734" s="2"/>
      <c r="R734" s="4"/>
      <c r="S734" s="4"/>
      <c r="T734" s="4"/>
      <c r="U734" s="4"/>
      <c r="V734" s="4"/>
      <c r="W734" s="4"/>
    </row>
    <row r="735" spans="1:23" ht="14.5" hidden="1" customHeight="1" x14ac:dyDescent="0.2">
      <c r="A735">
        <f t="shared" si="11"/>
        <v>729</v>
      </c>
      <c r="B735">
        <v>2014</v>
      </c>
      <c r="C735" t="s">
        <v>179</v>
      </c>
      <c r="D735" t="s">
        <v>479</v>
      </c>
      <c r="E735" s="22">
        <v>660</v>
      </c>
      <c r="H735" t="s">
        <v>154</v>
      </c>
      <c r="I735" t="s">
        <v>194</v>
      </c>
      <c r="J735" t="s">
        <v>43</v>
      </c>
      <c r="K735" t="s">
        <v>219</v>
      </c>
      <c r="L735">
        <v>1</v>
      </c>
      <c r="M735" s="4"/>
      <c r="N735" s="2"/>
      <c r="O735" s="21"/>
      <c r="P735" s="2"/>
      <c r="Q735" s="2"/>
      <c r="R735" s="4"/>
      <c r="S735" s="4"/>
      <c r="T735" s="4"/>
      <c r="U735" s="4"/>
      <c r="V735" s="4"/>
      <c r="W735" s="4"/>
    </row>
    <row r="736" spans="1:23" ht="14.5" hidden="1" customHeight="1" x14ac:dyDescent="0.2">
      <c r="A736">
        <f t="shared" si="11"/>
        <v>730</v>
      </c>
      <c r="B736">
        <v>2014</v>
      </c>
      <c r="C736" t="s">
        <v>184</v>
      </c>
      <c r="D736" t="s">
        <v>1035</v>
      </c>
      <c r="E736" s="22">
        <v>110</v>
      </c>
      <c r="H736" t="s">
        <v>154</v>
      </c>
      <c r="I736" t="s">
        <v>194</v>
      </c>
      <c r="J736" t="s">
        <v>16</v>
      </c>
      <c r="K736" t="s">
        <v>205</v>
      </c>
      <c r="L736">
        <v>1</v>
      </c>
      <c r="M736" s="4"/>
      <c r="N736" s="2"/>
      <c r="O736" s="21"/>
      <c r="P736" s="2"/>
      <c r="Q736" s="2"/>
      <c r="R736" s="4"/>
      <c r="S736" s="4"/>
      <c r="T736" s="4"/>
      <c r="U736" s="4"/>
      <c r="V736" s="4"/>
      <c r="W736" s="4"/>
    </row>
    <row r="737" spans="1:23" ht="14.5" hidden="1" customHeight="1" x14ac:dyDescent="0.2">
      <c r="A737">
        <f t="shared" si="11"/>
        <v>731</v>
      </c>
      <c r="B737">
        <v>2014</v>
      </c>
      <c r="C737" t="s">
        <v>184</v>
      </c>
      <c r="D737" t="s">
        <v>444</v>
      </c>
      <c r="E737" s="22">
        <v>670</v>
      </c>
      <c r="G737" t="s">
        <v>2649</v>
      </c>
      <c r="H737" t="s">
        <v>144</v>
      </c>
      <c r="I737" t="s">
        <v>273</v>
      </c>
      <c r="J737" t="s">
        <v>53</v>
      </c>
      <c r="K737" t="s">
        <v>183</v>
      </c>
      <c r="L737">
        <v>1</v>
      </c>
      <c r="M737" s="4"/>
      <c r="N737" s="2"/>
      <c r="O737" s="21"/>
      <c r="P737" s="2"/>
      <c r="Q737" s="2"/>
      <c r="R737" s="4"/>
      <c r="S737" s="4"/>
      <c r="T737" s="4"/>
      <c r="U737" s="4"/>
      <c r="V737" s="4"/>
      <c r="W737" s="4"/>
    </row>
    <row r="738" spans="1:23" ht="14.5" hidden="1" customHeight="1" x14ac:dyDescent="0.2">
      <c r="A738">
        <f t="shared" si="11"/>
        <v>732</v>
      </c>
      <c r="B738">
        <v>2014</v>
      </c>
      <c r="C738" t="s">
        <v>184</v>
      </c>
      <c r="D738" t="s">
        <v>479</v>
      </c>
      <c r="E738" s="22">
        <v>130</v>
      </c>
      <c r="H738" t="s">
        <v>154</v>
      </c>
      <c r="I738" t="s">
        <v>271</v>
      </c>
      <c r="J738" t="s">
        <v>93</v>
      </c>
      <c r="K738" t="s">
        <v>201</v>
      </c>
      <c r="L738">
        <v>1</v>
      </c>
      <c r="M738" s="4"/>
      <c r="N738" s="2"/>
      <c r="O738" s="21"/>
      <c r="P738" s="2"/>
      <c r="Q738" s="2"/>
      <c r="R738" s="4"/>
      <c r="S738" s="4"/>
      <c r="T738" s="4"/>
      <c r="U738" s="4"/>
      <c r="V738" s="4"/>
      <c r="W738" s="4"/>
    </row>
    <row r="739" spans="1:23" ht="14.5" hidden="1" customHeight="1" x14ac:dyDescent="0.2">
      <c r="A739">
        <f t="shared" si="11"/>
        <v>733</v>
      </c>
      <c r="B739">
        <v>2014</v>
      </c>
      <c r="C739" t="s">
        <v>184</v>
      </c>
      <c r="D739" t="s">
        <v>815</v>
      </c>
      <c r="E739" s="22">
        <v>180</v>
      </c>
      <c r="H739" t="s">
        <v>151</v>
      </c>
      <c r="I739" t="s">
        <v>279</v>
      </c>
      <c r="J739" t="s">
        <v>29</v>
      </c>
      <c r="K739" t="s">
        <v>219</v>
      </c>
      <c r="L739">
        <v>1</v>
      </c>
      <c r="M739" s="4"/>
      <c r="N739" s="2"/>
      <c r="O739" s="21"/>
      <c r="P739" s="2"/>
      <c r="Q739" s="2"/>
      <c r="R739" s="4"/>
      <c r="S739" s="4"/>
      <c r="T739" s="4"/>
      <c r="U739" s="4"/>
      <c r="V739" s="4"/>
      <c r="W739" s="4"/>
    </row>
    <row r="740" spans="1:23" s="41" customFormat="1" ht="14.5" hidden="1" customHeight="1" x14ac:dyDescent="0.2">
      <c r="A740">
        <f t="shared" si="11"/>
        <v>734</v>
      </c>
      <c r="B740">
        <v>2014</v>
      </c>
      <c r="C740" t="s">
        <v>184</v>
      </c>
      <c r="D740" t="s">
        <v>815</v>
      </c>
      <c r="E740" s="22">
        <v>260</v>
      </c>
      <c r="F740" s="16"/>
      <c r="G740" t="s">
        <v>2650</v>
      </c>
      <c r="H740" t="s">
        <v>151</v>
      </c>
      <c r="I740" t="s">
        <v>279</v>
      </c>
      <c r="J740" t="s">
        <v>5</v>
      </c>
      <c r="K740" t="s">
        <v>214</v>
      </c>
      <c r="L740">
        <v>1</v>
      </c>
      <c r="M740" s="77"/>
      <c r="N740" s="78"/>
      <c r="O740" s="42"/>
      <c r="P740" s="78"/>
      <c r="Q740" s="78"/>
      <c r="R740" s="77"/>
      <c r="S740" s="77"/>
      <c r="T740" s="77"/>
      <c r="U740" s="77"/>
      <c r="V740" s="77"/>
      <c r="W740" s="77"/>
    </row>
    <row r="741" spans="1:23" ht="14.5" hidden="1" customHeight="1" x14ac:dyDescent="0.2">
      <c r="A741">
        <f t="shared" si="11"/>
        <v>735</v>
      </c>
      <c r="B741">
        <v>2014</v>
      </c>
      <c r="C741" t="s">
        <v>184</v>
      </c>
      <c r="D741" t="s">
        <v>341</v>
      </c>
      <c r="E741" s="22">
        <v>480</v>
      </c>
      <c r="H741" t="s">
        <v>154</v>
      </c>
      <c r="I741" t="s">
        <v>529</v>
      </c>
      <c r="J741" t="s">
        <v>40</v>
      </c>
      <c r="K741" t="s">
        <v>219</v>
      </c>
      <c r="L741">
        <v>1</v>
      </c>
      <c r="M741" s="4"/>
      <c r="N741" s="2"/>
      <c r="O741" s="21"/>
      <c r="P741" s="2"/>
      <c r="Q741" s="2"/>
      <c r="R741" s="4"/>
      <c r="S741" s="4"/>
      <c r="T741" s="4"/>
      <c r="U741" s="4"/>
      <c r="V741" s="4"/>
      <c r="W741" s="4"/>
    </row>
    <row r="742" spans="1:23" ht="14.5" hidden="1" customHeight="1" x14ac:dyDescent="0.2">
      <c r="A742">
        <f t="shared" si="11"/>
        <v>736</v>
      </c>
      <c r="B742">
        <v>2014</v>
      </c>
      <c r="C742" t="s">
        <v>184</v>
      </c>
      <c r="D742" t="s">
        <v>267</v>
      </c>
      <c r="E742" s="22">
        <v>500</v>
      </c>
      <c r="G742" t="s">
        <v>2651</v>
      </c>
      <c r="H742" t="s">
        <v>149</v>
      </c>
      <c r="I742" t="s">
        <v>238</v>
      </c>
      <c r="J742" t="s">
        <v>135</v>
      </c>
      <c r="K742" t="s">
        <v>205</v>
      </c>
      <c r="L742">
        <v>1</v>
      </c>
      <c r="M742" s="4"/>
      <c r="N742" s="2"/>
      <c r="O742" s="21"/>
      <c r="P742" s="2"/>
      <c r="Q742" s="2"/>
      <c r="R742" s="4"/>
      <c r="S742" s="4"/>
      <c r="T742" s="4"/>
      <c r="U742" s="4"/>
      <c r="V742" s="4"/>
      <c r="W742" s="4"/>
    </row>
    <row r="743" spans="1:23" ht="14.5" hidden="1" customHeight="1" x14ac:dyDescent="0.2">
      <c r="A743">
        <f t="shared" si="11"/>
        <v>737</v>
      </c>
      <c r="B743">
        <v>2014</v>
      </c>
      <c r="C743" t="s">
        <v>184</v>
      </c>
      <c r="D743" t="s">
        <v>479</v>
      </c>
      <c r="E743" s="22">
        <v>100</v>
      </c>
      <c r="H743" t="s">
        <v>142</v>
      </c>
      <c r="J743" t="s">
        <v>2554</v>
      </c>
      <c r="K743" t="s">
        <v>219</v>
      </c>
      <c r="L743">
        <v>1</v>
      </c>
      <c r="M743" s="4"/>
      <c r="N743" s="2"/>
      <c r="O743" s="21"/>
      <c r="P743" s="2"/>
      <c r="Q743" s="2"/>
      <c r="R743" s="4"/>
      <c r="S743" s="4"/>
      <c r="T743" s="4"/>
      <c r="U743" s="4"/>
      <c r="V743" s="4"/>
      <c r="W743" s="4"/>
    </row>
    <row r="744" spans="1:23" ht="14.5" hidden="1" customHeight="1" x14ac:dyDescent="0.2">
      <c r="A744">
        <f t="shared" si="11"/>
        <v>738</v>
      </c>
      <c r="B744">
        <v>2014</v>
      </c>
      <c r="C744" t="s">
        <v>184</v>
      </c>
      <c r="D744" t="s">
        <v>397</v>
      </c>
      <c r="E744" s="22">
        <v>100</v>
      </c>
      <c r="H744" t="s">
        <v>154</v>
      </c>
      <c r="I744" t="s">
        <v>250</v>
      </c>
      <c r="J744" t="s">
        <v>130</v>
      </c>
      <c r="K744" t="s">
        <v>214</v>
      </c>
      <c r="L744">
        <v>1</v>
      </c>
      <c r="M744" s="4"/>
      <c r="N744" s="2"/>
      <c r="O744" s="21"/>
      <c r="P744" s="2"/>
      <c r="Q744" s="2"/>
      <c r="R744" s="4"/>
      <c r="S744" s="4"/>
      <c r="T744" s="4"/>
      <c r="U744" s="4"/>
      <c r="V744" s="4"/>
      <c r="W744" s="4"/>
    </row>
    <row r="745" spans="1:23" ht="14.5" hidden="1" customHeight="1" x14ac:dyDescent="0.2">
      <c r="A745">
        <f t="shared" si="11"/>
        <v>739</v>
      </c>
      <c r="B745">
        <v>2014</v>
      </c>
      <c r="C745" t="s">
        <v>184</v>
      </c>
      <c r="D745" t="s">
        <v>397</v>
      </c>
      <c r="E745" s="22">
        <v>110</v>
      </c>
      <c r="H745" t="s">
        <v>154</v>
      </c>
      <c r="I745" t="s">
        <v>194</v>
      </c>
      <c r="J745" t="s">
        <v>130</v>
      </c>
      <c r="K745" t="s">
        <v>214</v>
      </c>
      <c r="L745">
        <v>1</v>
      </c>
      <c r="M745" s="4"/>
      <c r="N745" s="2"/>
      <c r="O745" s="21"/>
      <c r="P745" s="2"/>
      <c r="Q745" s="2"/>
      <c r="R745" s="4"/>
      <c r="S745" s="4"/>
      <c r="T745" s="4"/>
      <c r="U745" s="4"/>
      <c r="V745" s="4"/>
      <c r="W745" s="4"/>
    </row>
    <row r="746" spans="1:23" ht="14.5" hidden="1" customHeight="1" x14ac:dyDescent="0.2">
      <c r="A746">
        <f t="shared" si="11"/>
        <v>740</v>
      </c>
      <c r="B746">
        <v>2014</v>
      </c>
      <c r="C746" t="s">
        <v>184</v>
      </c>
      <c r="D746" t="s">
        <v>397</v>
      </c>
      <c r="E746" s="22">
        <v>230</v>
      </c>
      <c r="G746" t="s">
        <v>2652</v>
      </c>
      <c r="H746" t="s">
        <v>154</v>
      </c>
      <c r="I746" t="s">
        <v>194</v>
      </c>
      <c r="J746" t="s">
        <v>5</v>
      </c>
      <c r="K746" t="s">
        <v>214</v>
      </c>
      <c r="L746">
        <v>1</v>
      </c>
      <c r="M746" s="4"/>
      <c r="N746" s="2"/>
      <c r="O746" s="21"/>
      <c r="P746" s="2"/>
      <c r="Q746" s="2"/>
      <c r="R746" s="4"/>
      <c r="S746" s="4"/>
      <c r="T746" s="4"/>
      <c r="U746" s="4"/>
      <c r="V746" s="4"/>
      <c r="W746" s="4"/>
    </row>
    <row r="747" spans="1:23" ht="14.5" hidden="1" customHeight="1" x14ac:dyDescent="0.2">
      <c r="A747">
        <f t="shared" si="11"/>
        <v>741</v>
      </c>
      <c r="B747">
        <v>2014</v>
      </c>
      <c r="C747" t="s">
        <v>184</v>
      </c>
      <c r="D747" t="s">
        <v>483</v>
      </c>
      <c r="E747" s="22">
        <v>280</v>
      </c>
      <c r="H747" t="s">
        <v>144</v>
      </c>
      <c r="I747" t="s">
        <v>197</v>
      </c>
      <c r="J747" t="s">
        <v>49</v>
      </c>
      <c r="K747" t="s">
        <v>219</v>
      </c>
      <c r="L747">
        <v>1</v>
      </c>
      <c r="M747" s="4"/>
      <c r="N747" s="2"/>
      <c r="O747" s="21"/>
      <c r="P747" s="2"/>
      <c r="Q747" s="2"/>
      <c r="R747" s="4"/>
      <c r="S747" s="4"/>
      <c r="T747" s="4"/>
      <c r="U747" s="4"/>
      <c r="V747" s="4"/>
      <c r="W747" s="4"/>
    </row>
    <row r="748" spans="1:23" ht="14.5" hidden="1" customHeight="1" x14ac:dyDescent="0.2">
      <c r="A748">
        <f t="shared" si="11"/>
        <v>742</v>
      </c>
      <c r="B748">
        <v>2014</v>
      </c>
      <c r="C748" t="s">
        <v>184</v>
      </c>
      <c r="D748" t="s">
        <v>189</v>
      </c>
      <c r="E748" s="22">
        <v>190</v>
      </c>
      <c r="G748" t="s">
        <v>2002</v>
      </c>
      <c r="H748" t="s">
        <v>144</v>
      </c>
      <c r="I748" t="s">
        <v>187</v>
      </c>
      <c r="J748" t="s">
        <v>105</v>
      </c>
      <c r="K748" t="s">
        <v>214</v>
      </c>
      <c r="L748">
        <v>1</v>
      </c>
      <c r="M748" s="4"/>
      <c r="N748" s="2"/>
      <c r="O748" s="21"/>
      <c r="P748" s="2"/>
      <c r="Q748" s="2"/>
      <c r="R748" s="4"/>
      <c r="S748" s="4"/>
      <c r="T748" s="4"/>
      <c r="U748" s="4"/>
      <c r="V748" s="4"/>
      <c r="W748" s="4"/>
    </row>
    <row r="749" spans="1:23" ht="14.5" hidden="1" customHeight="1" x14ac:dyDescent="0.2">
      <c r="A749">
        <f t="shared" si="11"/>
        <v>743</v>
      </c>
      <c r="B749">
        <v>2014</v>
      </c>
      <c r="C749" t="s">
        <v>184</v>
      </c>
      <c r="D749" t="s">
        <v>875</v>
      </c>
      <c r="E749" s="22">
        <v>340</v>
      </c>
      <c r="G749" t="s">
        <v>2653</v>
      </c>
      <c r="H749" t="s">
        <v>144</v>
      </c>
      <c r="J749" t="s">
        <v>14</v>
      </c>
      <c r="K749" t="s">
        <v>195</v>
      </c>
      <c r="L749">
        <v>1</v>
      </c>
      <c r="M749" s="4"/>
      <c r="N749" s="2"/>
      <c r="O749" s="21"/>
      <c r="P749" s="2"/>
      <c r="Q749" s="2"/>
      <c r="R749" s="4"/>
      <c r="S749" s="4"/>
      <c r="T749" s="4"/>
      <c r="U749" s="4"/>
      <c r="V749" s="4"/>
      <c r="W749" s="4"/>
    </row>
    <row r="750" spans="1:23" ht="14.5" hidden="1" customHeight="1" x14ac:dyDescent="0.2">
      <c r="A750">
        <f t="shared" si="11"/>
        <v>744</v>
      </c>
      <c r="B750">
        <v>2014</v>
      </c>
      <c r="C750" t="s">
        <v>184</v>
      </c>
      <c r="D750" t="s">
        <v>244</v>
      </c>
      <c r="E750" s="22">
        <v>150</v>
      </c>
      <c r="G750" t="s">
        <v>931</v>
      </c>
      <c r="H750" t="s">
        <v>149</v>
      </c>
      <c r="J750" t="s">
        <v>53</v>
      </c>
      <c r="K750" t="s">
        <v>183</v>
      </c>
      <c r="L750">
        <v>1</v>
      </c>
      <c r="M750" s="4"/>
      <c r="N750" s="2"/>
      <c r="O750" s="21"/>
      <c r="P750" s="2"/>
      <c r="Q750" s="2"/>
      <c r="R750" s="4"/>
      <c r="S750" s="4"/>
      <c r="T750" s="4"/>
      <c r="U750" s="4"/>
      <c r="V750" s="4"/>
      <c r="W750" s="4"/>
    </row>
    <row r="751" spans="1:23" ht="14.5" hidden="1" customHeight="1" x14ac:dyDescent="0.2">
      <c r="A751">
        <f t="shared" si="11"/>
        <v>745</v>
      </c>
      <c r="B751">
        <v>2014</v>
      </c>
      <c r="C751" t="s">
        <v>225</v>
      </c>
      <c r="D751" t="s">
        <v>397</v>
      </c>
      <c r="E751" s="22">
        <v>100</v>
      </c>
      <c r="H751" t="s">
        <v>154</v>
      </c>
      <c r="I751" t="s">
        <v>194</v>
      </c>
      <c r="J751" t="s">
        <v>130</v>
      </c>
      <c r="K751" t="s">
        <v>214</v>
      </c>
      <c r="L751">
        <v>1</v>
      </c>
      <c r="M751" s="4"/>
      <c r="N751" s="2"/>
      <c r="O751" s="21"/>
      <c r="P751" s="2"/>
      <c r="Q751" s="2"/>
      <c r="R751" s="4"/>
      <c r="S751" s="4"/>
      <c r="T751" s="4"/>
      <c r="U751" s="4"/>
      <c r="V751" s="4"/>
      <c r="W751" s="4"/>
    </row>
    <row r="752" spans="1:23" ht="14.5" hidden="1" customHeight="1" x14ac:dyDescent="0.2">
      <c r="A752">
        <f t="shared" si="11"/>
        <v>746</v>
      </c>
      <c r="B752">
        <v>2014</v>
      </c>
      <c r="C752" t="s">
        <v>225</v>
      </c>
      <c r="D752" t="s">
        <v>1035</v>
      </c>
      <c r="E752" s="22">
        <v>1000</v>
      </c>
      <c r="G752" t="s">
        <v>2654</v>
      </c>
      <c r="H752" t="s">
        <v>144</v>
      </c>
      <c r="I752" t="s">
        <v>273</v>
      </c>
      <c r="J752" t="s">
        <v>97</v>
      </c>
      <c r="K752" t="s">
        <v>183</v>
      </c>
      <c r="L752">
        <v>1</v>
      </c>
      <c r="M752" s="4"/>
      <c r="N752" s="2"/>
      <c r="O752" s="21"/>
      <c r="P752" s="2"/>
      <c r="Q752" s="2"/>
      <c r="R752" s="4"/>
      <c r="S752" s="4"/>
      <c r="T752" s="4"/>
      <c r="U752" s="4"/>
      <c r="V752" s="4"/>
      <c r="W752" s="4"/>
    </row>
    <row r="753" spans="1:23" ht="14.5" hidden="1" customHeight="1" x14ac:dyDescent="0.2">
      <c r="A753">
        <f t="shared" si="11"/>
        <v>747</v>
      </c>
      <c r="B753">
        <v>2014</v>
      </c>
      <c r="C753" t="s">
        <v>225</v>
      </c>
      <c r="D753" t="s">
        <v>479</v>
      </c>
      <c r="E753" s="22">
        <v>500</v>
      </c>
      <c r="G753" t="s">
        <v>2002</v>
      </c>
      <c r="H753" t="s">
        <v>155</v>
      </c>
      <c r="J753" t="s">
        <v>105</v>
      </c>
      <c r="K753" t="s">
        <v>214</v>
      </c>
      <c r="L753">
        <v>1</v>
      </c>
      <c r="M753" s="4"/>
      <c r="N753" s="2"/>
      <c r="O753" s="21"/>
      <c r="P753" s="2"/>
      <c r="Q753" s="2"/>
      <c r="R753" s="4"/>
      <c r="S753" s="4"/>
      <c r="T753" s="4"/>
      <c r="U753" s="4"/>
      <c r="V753" s="4"/>
      <c r="W753" s="4"/>
    </row>
    <row r="754" spans="1:23" ht="14.5" hidden="1" customHeight="1" x14ac:dyDescent="0.2">
      <c r="A754">
        <f t="shared" si="11"/>
        <v>748</v>
      </c>
      <c r="B754">
        <v>2014</v>
      </c>
      <c r="C754" t="s">
        <v>225</v>
      </c>
      <c r="D754" t="s">
        <v>2655</v>
      </c>
      <c r="E754" s="22">
        <v>290</v>
      </c>
      <c r="H754" t="s">
        <v>154</v>
      </c>
      <c r="I754" t="s">
        <v>529</v>
      </c>
      <c r="J754" t="s">
        <v>108</v>
      </c>
      <c r="K754" t="s">
        <v>183</v>
      </c>
      <c r="L754">
        <v>1</v>
      </c>
      <c r="M754" s="4"/>
      <c r="N754" s="2"/>
      <c r="O754" s="21"/>
      <c r="P754" s="2"/>
      <c r="Q754" s="2"/>
      <c r="R754" s="4"/>
      <c r="S754" s="4"/>
      <c r="T754" s="4"/>
      <c r="U754" s="4"/>
      <c r="V754" s="4"/>
      <c r="W754" s="4"/>
    </row>
    <row r="755" spans="1:23" ht="14.5" hidden="1" customHeight="1" x14ac:dyDescent="0.2">
      <c r="A755">
        <f t="shared" si="11"/>
        <v>749</v>
      </c>
      <c r="B755">
        <v>2014</v>
      </c>
      <c r="C755" t="s">
        <v>225</v>
      </c>
      <c r="D755" t="s">
        <v>444</v>
      </c>
      <c r="E755" s="22">
        <v>180</v>
      </c>
      <c r="G755" t="s">
        <v>2656</v>
      </c>
      <c r="H755" t="s">
        <v>151</v>
      </c>
      <c r="I755" t="s">
        <v>279</v>
      </c>
      <c r="J755" t="s">
        <v>101</v>
      </c>
      <c r="K755" t="s">
        <v>201</v>
      </c>
      <c r="L755">
        <v>1</v>
      </c>
      <c r="M755" s="4"/>
      <c r="N755" s="2"/>
      <c r="O755" s="21"/>
      <c r="P755" s="2"/>
      <c r="Q755" s="2"/>
      <c r="R755" s="4"/>
      <c r="S755" s="4"/>
      <c r="T755" s="4"/>
      <c r="U755" s="4"/>
      <c r="V755" s="4"/>
      <c r="W755" s="4"/>
    </row>
    <row r="756" spans="1:23" ht="14.5" hidden="1" customHeight="1" x14ac:dyDescent="0.2">
      <c r="A756">
        <f t="shared" si="11"/>
        <v>750</v>
      </c>
      <c r="B756">
        <v>2014</v>
      </c>
      <c r="C756" t="s">
        <v>225</v>
      </c>
      <c r="D756" t="s">
        <v>815</v>
      </c>
      <c r="E756" s="22">
        <v>150</v>
      </c>
      <c r="G756" t="s">
        <v>2656</v>
      </c>
      <c r="H756" t="s">
        <v>151</v>
      </c>
      <c r="I756" t="s">
        <v>279</v>
      </c>
      <c r="J756" t="s">
        <v>101</v>
      </c>
      <c r="K756" t="s">
        <v>201</v>
      </c>
      <c r="L756">
        <v>1</v>
      </c>
      <c r="M756" s="4"/>
      <c r="N756" s="2"/>
      <c r="O756" s="21"/>
      <c r="P756" s="2"/>
      <c r="Q756" s="2"/>
      <c r="R756" s="4"/>
      <c r="S756" s="4"/>
      <c r="T756" s="4"/>
      <c r="U756" s="4"/>
      <c r="V756" s="4"/>
      <c r="W756" s="4"/>
    </row>
    <row r="757" spans="1:23" ht="14.5" hidden="1" customHeight="1" x14ac:dyDescent="0.2">
      <c r="A757">
        <f t="shared" si="11"/>
        <v>751</v>
      </c>
      <c r="B757">
        <v>2014</v>
      </c>
      <c r="C757" t="s">
        <v>225</v>
      </c>
      <c r="D757" t="s">
        <v>199</v>
      </c>
      <c r="E757" s="22">
        <v>420</v>
      </c>
      <c r="H757" t="s">
        <v>144</v>
      </c>
      <c r="I757" t="s">
        <v>187</v>
      </c>
      <c r="J757" t="s">
        <v>55</v>
      </c>
      <c r="K757" t="s">
        <v>214</v>
      </c>
      <c r="L757">
        <v>1</v>
      </c>
      <c r="M757" s="4"/>
      <c r="N757" s="2"/>
      <c r="O757" s="21"/>
      <c r="P757" s="2"/>
      <c r="Q757" s="2"/>
      <c r="R757" s="4"/>
      <c r="S757" s="4"/>
      <c r="T757" s="4"/>
      <c r="U757" s="4"/>
      <c r="V757" s="4"/>
      <c r="W757" s="4"/>
    </row>
    <row r="758" spans="1:23" ht="14.5" hidden="1" customHeight="1" x14ac:dyDescent="0.2">
      <c r="A758">
        <f t="shared" si="11"/>
        <v>752</v>
      </c>
      <c r="B758">
        <v>2014</v>
      </c>
      <c r="C758" t="s">
        <v>225</v>
      </c>
      <c r="D758" t="s">
        <v>479</v>
      </c>
      <c r="E758" s="22">
        <v>170</v>
      </c>
      <c r="H758" t="s">
        <v>154</v>
      </c>
      <c r="I758" t="s">
        <v>271</v>
      </c>
      <c r="J758" t="s">
        <v>100</v>
      </c>
      <c r="K758" t="s">
        <v>214</v>
      </c>
      <c r="L758">
        <v>1</v>
      </c>
      <c r="M758" s="4"/>
      <c r="N758" s="2"/>
      <c r="O758" s="21"/>
      <c r="P758" s="2"/>
      <c r="Q758" s="2"/>
      <c r="R758" s="4"/>
      <c r="S758" s="4"/>
      <c r="T758" s="4"/>
      <c r="U758" s="4"/>
      <c r="V758" s="4"/>
      <c r="W758" s="4"/>
    </row>
    <row r="759" spans="1:23" ht="14.5" hidden="1" customHeight="1" x14ac:dyDescent="0.2">
      <c r="A759">
        <f t="shared" si="11"/>
        <v>753</v>
      </c>
      <c r="B759">
        <v>2014</v>
      </c>
      <c r="C759" t="s">
        <v>225</v>
      </c>
      <c r="D759" t="s">
        <v>444</v>
      </c>
      <c r="E759" s="22">
        <v>300</v>
      </c>
      <c r="H759" t="s">
        <v>144</v>
      </c>
      <c r="I759" t="s">
        <v>197</v>
      </c>
      <c r="J759" t="s">
        <v>34</v>
      </c>
      <c r="K759" t="s">
        <v>219</v>
      </c>
      <c r="L759">
        <v>1</v>
      </c>
      <c r="M759" s="4"/>
      <c r="N759" s="2"/>
      <c r="O759" s="21"/>
      <c r="P759" s="2"/>
      <c r="Q759" s="2"/>
      <c r="R759" s="4"/>
      <c r="S759" s="4"/>
      <c r="T759" s="4"/>
      <c r="U759" s="4"/>
      <c r="V759" s="4"/>
      <c r="W759" s="4"/>
    </row>
    <row r="760" spans="1:23" ht="14.5" hidden="1" customHeight="1" x14ac:dyDescent="0.2">
      <c r="A760">
        <f t="shared" si="11"/>
        <v>754</v>
      </c>
      <c r="B760">
        <v>2014</v>
      </c>
      <c r="C760" t="s">
        <v>225</v>
      </c>
      <c r="D760" t="s">
        <v>815</v>
      </c>
      <c r="E760" s="22">
        <v>300</v>
      </c>
      <c r="G760" t="s">
        <v>2657</v>
      </c>
      <c r="H760" t="s">
        <v>151</v>
      </c>
      <c r="I760" t="s">
        <v>279</v>
      </c>
      <c r="J760" t="s">
        <v>34</v>
      </c>
      <c r="K760" t="s">
        <v>219</v>
      </c>
      <c r="L760">
        <v>1</v>
      </c>
      <c r="M760" s="4"/>
      <c r="N760" s="2"/>
      <c r="O760" s="21"/>
      <c r="P760" s="2"/>
      <c r="Q760" s="2"/>
      <c r="R760" s="4"/>
      <c r="S760" s="4"/>
      <c r="T760" s="4"/>
      <c r="U760" s="4"/>
      <c r="V760" s="4"/>
      <c r="W760" s="4"/>
    </row>
    <row r="761" spans="1:23" ht="14.5" hidden="1" customHeight="1" x14ac:dyDescent="0.2">
      <c r="A761">
        <f t="shared" si="11"/>
        <v>755</v>
      </c>
      <c r="B761">
        <v>2014</v>
      </c>
      <c r="C761" t="s">
        <v>225</v>
      </c>
      <c r="D761" t="s">
        <v>444</v>
      </c>
      <c r="E761" s="22">
        <v>100</v>
      </c>
      <c r="H761" t="s">
        <v>142</v>
      </c>
      <c r="J761" t="s">
        <v>138</v>
      </c>
      <c r="K761" t="s">
        <v>219</v>
      </c>
      <c r="L761">
        <v>1</v>
      </c>
      <c r="M761" s="4"/>
      <c r="N761" s="2"/>
      <c r="O761" s="21"/>
      <c r="P761" s="2"/>
      <c r="Q761" s="2"/>
      <c r="R761" s="4"/>
      <c r="S761" s="4"/>
      <c r="T761" s="4"/>
      <c r="U761" s="4"/>
      <c r="V761" s="4"/>
      <c r="W761" s="4"/>
    </row>
    <row r="762" spans="1:23" ht="14.5" hidden="1" customHeight="1" x14ac:dyDescent="0.2">
      <c r="A762">
        <f t="shared" si="11"/>
        <v>756</v>
      </c>
      <c r="B762">
        <v>2014</v>
      </c>
      <c r="C762" t="s">
        <v>225</v>
      </c>
      <c r="D762" t="s">
        <v>668</v>
      </c>
      <c r="E762" s="22">
        <v>390</v>
      </c>
      <c r="H762" t="s">
        <v>144</v>
      </c>
      <c r="I762" t="s">
        <v>273</v>
      </c>
      <c r="J762" t="s">
        <v>66</v>
      </c>
      <c r="K762" t="s">
        <v>201</v>
      </c>
      <c r="L762">
        <v>1</v>
      </c>
      <c r="M762" s="4"/>
      <c r="N762" s="2"/>
      <c r="O762" s="21"/>
      <c r="P762" s="2"/>
      <c r="Q762" s="2"/>
      <c r="R762" s="4"/>
      <c r="S762" s="4"/>
      <c r="T762" s="4"/>
      <c r="U762" s="4"/>
      <c r="V762" s="4"/>
      <c r="W762" s="4"/>
    </row>
    <row r="763" spans="1:23" ht="14.5" hidden="1" customHeight="1" x14ac:dyDescent="0.2">
      <c r="A763">
        <f t="shared" si="11"/>
        <v>757</v>
      </c>
      <c r="B763">
        <v>2014</v>
      </c>
      <c r="C763" t="s">
        <v>225</v>
      </c>
      <c r="D763" t="s">
        <v>341</v>
      </c>
      <c r="E763" s="22">
        <v>120</v>
      </c>
      <c r="H763" t="s">
        <v>154</v>
      </c>
      <c r="I763" t="s">
        <v>194</v>
      </c>
      <c r="J763" t="s">
        <v>2449</v>
      </c>
      <c r="K763" t="s">
        <v>183</v>
      </c>
      <c r="L763">
        <v>1</v>
      </c>
      <c r="M763" s="4"/>
      <c r="N763" s="2"/>
      <c r="O763" s="21"/>
      <c r="P763" s="2"/>
      <c r="Q763" s="2"/>
      <c r="R763" s="4"/>
      <c r="S763" s="4"/>
      <c r="T763" s="4"/>
      <c r="U763" s="4"/>
      <c r="V763" s="4"/>
      <c r="W763" s="4"/>
    </row>
    <row r="764" spans="1:23" ht="14.5" hidden="1" customHeight="1" x14ac:dyDescent="0.2">
      <c r="A764">
        <f t="shared" si="11"/>
        <v>758</v>
      </c>
      <c r="B764">
        <v>2014</v>
      </c>
      <c r="C764" t="s">
        <v>225</v>
      </c>
      <c r="D764" t="s">
        <v>703</v>
      </c>
      <c r="E764" s="22">
        <v>230</v>
      </c>
      <c r="H764" t="s">
        <v>144</v>
      </c>
      <c r="I764" t="s">
        <v>273</v>
      </c>
      <c r="J764" t="s">
        <v>134</v>
      </c>
      <c r="K764" t="s">
        <v>201</v>
      </c>
      <c r="L764">
        <v>1</v>
      </c>
      <c r="M764" s="4"/>
      <c r="N764" s="2"/>
      <c r="O764" s="21"/>
      <c r="P764" s="2"/>
      <c r="Q764" s="2"/>
      <c r="R764" s="4"/>
      <c r="S764" s="4"/>
      <c r="T764" s="4"/>
      <c r="U764" s="4"/>
      <c r="V764" s="4"/>
      <c r="W764" s="4"/>
    </row>
    <row r="765" spans="1:23" ht="14.5" hidden="1" customHeight="1" x14ac:dyDescent="0.2">
      <c r="A765">
        <f t="shared" si="11"/>
        <v>759</v>
      </c>
      <c r="B765">
        <v>2014</v>
      </c>
      <c r="C765" t="s">
        <v>188</v>
      </c>
      <c r="D765" t="s">
        <v>397</v>
      </c>
      <c r="E765" s="22">
        <v>890</v>
      </c>
      <c r="H765" t="s">
        <v>154</v>
      </c>
      <c r="I765" t="s">
        <v>250</v>
      </c>
      <c r="J765" t="s">
        <v>5</v>
      </c>
      <c r="K765" t="s">
        <v>214</v>
      </c>
      <c r="L765">
        <v>1</v>
      </c>
      <c r="M765" s="4"/>
      <c r="N765" s="2"/>
      <c r="O765" s="21"/>
      <c r="P765" s="2"/>
      <c r="Q765" s="2"/>
      <c r="R765" s="4"/>
      <c r="S765" s="4"/>
      <c r="T765" s="4"/>
      <c r="U765" s="4"/>
      <c r="V765" s="4"/>
      <c r="W765" s="4"/>
    </row>
    <row r="766" spans="1:23" ht="14.5" hidden="1" customHeight="1" x14ac:dyDescent="0.2">
      <c r="A766">
        <f t="shared" si="11"/>
        <v>760</v>
      </c>
      <c r="B766">
        <v>2014</v>
      </c>
      <c r="C766" t="s">
        <v>188</v>
      </c>
      <c r="D766" t="s">
        <v>1035</v>
      </c>
      <c r="E766" s="22">
        <v>240</v>
      </c>
      <c r="G766" t="s">
        <v>2658</v>
      </c>
      <c r="H766" t="s">
        <v>144</v>
      </c>
      <c r="I766" t="s">
        <v>197</v>
      </c>
      <c r="J766" t="s">
        <v>16</v>
      </c>
      <c r="K766" t="s">
        <v>205</v>
      </c>
      <c r="L766">
        <v>1</v>
      </c>
      <c r="M766" s="4"/>
      <c r="N766" s="2"/>
      <c r="O766" s="21"/>
      <c r="P766" s="2"/>
      <c r="Q766" s="2"/>
      <c r="R766" s="4"/>
      <c r="S766" s="4"/>
      <c r="T766" s="4"/>
      <c r="U766" s="4"/>
      <c r="V766" s="4"/>
      <c r="W766" s="4"/>
    </row>
    <row r="767" spans="1:23" ht="14.5" hidden="1" customHeight="1" x14ac:dyDescent="0.2">
      <c r="A767">
        <f t="shared" si="11"/>
        <v>761</v>
      </c>
      <c r="B767">
        <v>2014</v>
      </c>
      <c r="C767" t="s">
        <v>188</v>
      </c>
      <c r="D767" t="s">
        <v>397</v>
      </c>
      <c r="E767" s="22">
        <v>250</v>
      </c>
      <c r="H767" t="s">
        <v>151</v>
      </c>
      <c r="I767" t="s">
        <v>279</v>
      </c>
      <c r="J767" t="s">
        <v>95</v>
      </c>
      <c r="K767" t="s">
        <v>183</v>
      </c>
      <c r="L767">
        <v>1</v>
      </c>
      <c r="M767" s="4"/>
      <c r="N767" s="2"/>
      <c r="O767" s="21"/>
      <c r="P767" s="2"/>
      <c r="Q767" s="2"/>
      <c r="R767" s="4"/>
      <c r="S767" s="4"/>
      <c r="T767" s="4"/>
      <c r="U767" s="4"/>
      <c r="V767" s="4"/>
      <c r="W767" s="4"/>
    </row>
    <row r="768" spans="1:23" ht="14.5" hidden="1" customHeight="1" x14ac:dyDescent="0.2">
      <c r="A768">
        <f t="shared" si="11"/>
        <v>762</v>
      </c>
      <c r="B768">
        <v>2014</v>
      </c>
      <c r="C768" t="s">
        <v>188</v>
      </c>
      <c r="D768" t="s">
        <v>479</v>
      </c>
      <c r="E768" s="22">
        <v>170</v>
      </c>
      <c r="H768" t="s">
        <v>155</v>
      </c>
      <c r="J768" t="s">
        <v>100</v>
      </c>
      <c r="K768" t="s">
        <v>214</v>
      </c>
      <c r="L768">
        <v>1</v>
      </c>
      <c r="M768" s="4"/>
      <c r="N768" s="2"/>
      <c r="O768" s="21"/>
      <c r="P768" s="2"/>
      <c r="Q768" s="2"/>
      <c r="R768" s="4"/>
      <c r="S768" s="4"/>
      <c r="T768" s="4"/>
      <c r="U768" s="4"/>
      <c r="V768" s="4"/>
      <c r="W768" s="4"/>
    </row>
    <row r="769" spans="1:23" ht="14.5" hidden="1" customHeight="1" x14ac:dyDescent="0.2">
      <c r="A769">
        <f t="shared" si="11"/>
        <v>763</v>
      </c>
      <c r="B769">
        <v>2014</v>
      </c>
      <c r="C769" t="s">
        <v>188</v>
      </c>
      <c r="D769" t="s">
        <v>2538</v>
      </c>
      <c r="E769" s="22">
        <v>100</v>
      </c>
      <c r="H769" t="s">
        <v>147</v>
      </c>
      <c r="J769" t="s">
        <v>64</v>
      </c>
      <c r="K769" t="s">
        <v>219</v>
      </c>
      <c r="L769">
        <v>1</v>
      </c>
      <c r="M769" s="4"/>
      <c r="N769" s="2"/>
      <c r="O769" s="21"/>
      <c r="P769" s="2"/>
      <c r="Q769" s="2"/>
      <c r="R769" s="4"/>
      <c r="S769" s="4"/>
      <c r="T769" s="4"/>
      <c r="U769" s="4"/>
      <c r="V769" s="4"/>
      <c r="W769" s="4"/>
    </row>
    <row r="770" spans="1:23" ht="14.5" hidden="1" customHeight="1" x14ac:dyDescent="0.2">
      <c r="A770">
        <f t="shared" si="11"/>
        <v>764</v>
      </c>
      <c r="B770">
        <v>2014</v>
      </c>
      <c r="C770" t="s">
        <v>191</v>
      </c>
      <c r="D770" t="s">
        <v>479</v>
      </c>
      <c r="E770" s="22">
        <v>130</v>
      </c>
      <c r="H770" t="s">
        <v>154</v>
      </c>
      <c r="I770" t="s">
        <v>194</v>
      </c>
      <c r="J770" t="s">
        <v>40</v>
      </c>
      <c r="K770" t="s">
        <v>219</v>
      </c>
      <c r="L770">
        <v>1</v>
      </c>
      <c r="M770" s="4"/>
      <c r="N770" s="2"/>
      <c r="O770" s="21"/>
      <c r="P770" s="2"/>
      <c r="Q770" s="2"/>
      <c r="R770" s="4"/>
      <c r="S770" s="4"/>
      <c r="T770" s="4"/>
      <c r="U770" s="4"/>
      <c r="V770" s="4"/>
      <c r="W770" s="4"/>
    </row>
    <row r="771" spans="1:23" ht="14.5" hidden="1" customHeight="1" x14ac:dyDescent="0.2">
      <c r="A771">
        <f t="shared" si="11"/>
        <v>765</v>
      </c>
      <c r="B771">
        <v>2014</v>
      </c>
      <c r="C771" t="s">
        <v>191</v>
      </c>
      <c r="D771" t="s">
        <v>2547</v>
      </c>
      <c r="E771" s="22">
        <v>990</v>
      </c>
      <c r="H771" t="s">
        <v>154</v>
      </c>
      <c r="I771" t="s">
        <v>250</v>
      </c>
      <c r="J771" t="s">
        <v>66</v>
      </c>
      <c r="K771" t="s">
        <v>201</v>
      </c>
      <c r="L771">
        <v>1</v>
      </c>
      <c r="M771" s="4"/>
      <c r="N771" s="2"/>
      <c r="O771" s="21"/>
      <c r="P771" s="2"/>
      <c r="Q771" s="2"/>
      <c r="R771" s="4"/>
      <c r="S771" s="4"/>
      <c r="T771" s="4"/>
      <c r="U771" s="4"/>
      <c r="V771" s="4"/>
      <c r="W771" s="4"/>
    </row>
    <row r="772" spans="1:23" ht="14.5" hidden="1" customHeight="1" x14ac:dyDescent="0.2">
      <c r="A772">
        <f t="shared" si="11"/>
        <v>766</v>
      </c>
      <c r="B772">
        <v>2014</v>
      </c>
      <c r="C772" t="s">
        <v>191</v>
      </c>
      <c r="D772" t="s">
        <v>444</v>
      </c>
      <c r="E772" s="22">
        <v>300</v>
      </c>
      <c r="H772" t="s">
        <v>154</v>
      </c>
      <c r="I772" t="s">
        <v>250</v>
      </c>
      <c r="J772" t="s">
        <v>66</v>
      </c>
      <c r="K772" t="s">
        <v>201</v>
      </c>
      <c r="L772">
        <v>1</v>
      </c>
      <c r="M772" s="4"/>
      <c r="N772" s="2"/>
      <c r="O772" s="21"/>
      <c r="P772" s="2"/>
      <c r="Q772" s="2"/>
      <c r="R772" s="4"/>
      <c r="S772" s="4"/>
      <c r="T772" s="4"/>
      <c r="U772" s="4"/>
      <c r="V772" s="4"/>
      <c r="W772" s="4"/>
    </row>
    <row r="773" spans="1:23" ht="14.5" hidden="1" customHeight="1" x14ac:dyDescent="0.2">
      <c r="A773">
        <f t="shared" si="11"/>
        <v>767</v>
      </c>
      <c r="B773">
        <v>2014</v>
      </c>
      <c r="C773" t="s">
        <v>191</v>
      </c>
      <c r="D773" t="s">
        <v>185</v>
      </c>
      <c r="E773" s="22">
        <v>1640</v>
      </c>
      <c r="H773" t="s">
        <v>144</v>
      </c>
      <c r="I773" t="s">
        <v>299</v>
      </c>
      <c r="J773" t="s">
        <v>101</v>
      </c>
      <c r="K773" t="s">
        <v>201</v>
      </c>
      <c r="L773">
        <v>1</v>
      </c>
      <c r="M773" s="4"/>
      <c r="N773" s="2"/>
      <c r="O773" s="21"/>
      <c r="P773" s="2"/>
      <c r="Q773" s="2"/>
      <c r="R773" s="4"/>
      <c r="S773" s="4"/>
      <c r="T773" s="4"/>
      <c r="U773" s="4"/>
      <c r="V773" s="4"/>
      <c r="W773" s="4"/>
    </row>
    <row r="774" spans="1:23" ht="14.5" hidden="1" customHeight="1" x14ac:dyDescent="0.2">
      <c r="A774">
        <f t="shared" si="11"/>
        <v>768</v>
      </c>
      <c r="B774">
        <v>2014</v>
      </c>
      <c r="C774" t="s">
        <v>191</v>
      </c>
      <c r="D774" t="s">
        <v>397</v>
      </c>
      <c r="E774" s="22">
        <v>190</v>
      </c>
      <c r="H774" t="s">
        <v>151</v>
      </c>
      <c r="I774" t="s">
        <v>279</v>
      </c>
      <c r="J774" t="s">
        <v>108</v>
      </c>
      <c r="K774" t="s">
        <v>183</v>
      </c>
      <c r="L774">
        <v>1</v>
      </c>
      <c r="M774" s="4"/>
      <c r="N774" s="2"/>
      <c r="O774" s="21"/>
      <c r="P774" s="2"/>
      <c r="Q774" s="2"/>
      <c r="R774" s="4"/>
      <c r="S774" s="4"/>
      <c r="T774" s="4"/>
      <c r="U774" s="4"/>
      <c r="V774" s="4"/>
      <c r="W774" s="4"/>
    </row>
    <row r="775" spans="1:23" ht="14.5" hidden="1" customHeight="1" x14ac:dyDescent="0.2">
      <c r="A775">
        <f t="shared" ref="A775:A838" si="12">ROW()-6</f>
        <v>769</v>
      </c>
      <c r="B775">
        <v>2014</v>
      </c>
      <c r="C775" t="s">
        <v>191</v>
      </c>
      <c r="D775" t="s">
        <v>397</v>
      </c>
      <c r="E775" s="22">
        <v>350</v>
      </c>
      <c r="H775" t="s">
        <v>142</v>
      </c>
      <c r="J775" t="s">
        <v>8</v>
      </c>
      <c r="K775" t="s">
        <v>205</v>
      </c>
      <c r="L775">
        <v>1</v>
      </c>
      <c r="M775" s="4"/>
      <c r="N775" s="2"/>
      <c r="O775" s="21"/>
      <c r="P775" s="2"/>
      <c r="Q775" s="2"/>
      <c r="R775" s="4"/>
      <c r="S775" s="4"/>
      <c r="T775" s="4"/>
      <c r="U775" s="4"/>
      <c r="V775" s="4"/>
      <c r="W775" s="4"/>
    </row>
    <row r="776" spans="1:23" ht="14.5" hidden="1" customHeight="1" x14ac:dyDescent="0.2">
      <c r="A776">
        <f t="shared" si="12"/>
        <v>770</v>
      </c>
      <c r="B776">
        <v>2014</v>
      </c>
      <c r="C776" t="s">
        <v>191</v>
      </c>
      <c r="D776" t="s">
        <v>397</v>
      </c>
      <c r="E776" s="22">
        <v>990</v>
      </c>
      <c r="H776" t="s">
        <v>149</v>
      </c>
      <c r="I776" t="s">
        <v>238</v>
      </c>
      <c r="J776" t="s">
        <v>53</v>
      </c>
      <c r="K776" t="s">
        <v>183</v>
      </c>
      <c r="L776">
        <v>1</v>
      </c>
      <c r="M776" s="4"/>
      <c r="N776" s="2"/>
      <c r="O776" s="21"/>
      <c r="P776" s="2"/>
      <c r="Q776" s="2"/>
      <c r="R776" s="4"/>
      <c r="S776" s="4"/>
      <c r="T776" s="4"/>
      <c r="U776" s="4"/>
      <c r="V776" s="4"/>
      <c r="W776" s="4"/>
    </row>
    <row r="777" spans="1:23" ht="14.5" hidden="1" customHeight="1" x14ac:dyDescent="0.2">
      <c r="A777">
        <f t="shared" si="12"/>
        <v>771</v>
      </c>
      <c r="B777">
        <v>2014</v>
      </c>
      <c r="C777" t="s">
        <v>191</v>
      </c>
      <c r="D777" t="s">
        <v>1035</v>
      </c>
      <c r="E777" s="22">
        <v>200</v>
      </c>
      <c r="F777" s="16">
        <v>0.5</v>
      </c>
      <c r="G777" t="s">
        <v>2659</v>
      </c>
      <c r="H777" t="s">
        <v>154</v>
      </c>
      <c r="I777" t="s">
        <v>529</v>
      </c>
      <c r="J777" t="s">
        <v>108</v>
      </c>
      <c r="K777" t="s">
        <v>183</v>
      </c>
      <c r="L777">
        <v>1</v>
      </c>
      <c r="M777" s="4"/>
      <c r="N777" s="2"/>
      <c r="O777" s="21"/>
      <c r="P777" s="2"/>
      <c r="Q777" s="2"/>
      <c r="R777" s="4"/>
      <c r="S777" s="4"/>
      <c r="T777" s="4"/>
      <c r="U777" s="4"/>
      <c r="V777" s="4"/>
      <c r="W777" s="4"/>
    </row>
    <row r="778" spans="1:23" ht="14.5" hidden="1" customHeight="1" x14ac:dyDescent="0.2">
      <c r="A778">
        <f t="shared" si="12"/>
        <v>772</v>
      </c>
      <c r="B778">
        <v>2014</v>
      </c>
      <c r="C778" t="s">
        <v>191</v>
      </c>
      <c r="D778" t="s">
        <v>815</v>
      </c>
      <c r="E778" s="22">
        <v>370</v>
      </c>
      <c r="H778" t="s">
        <v>151</v>
      </c>
      <c r="I778" t="s">
        <v>279</v>
      </c>
      <c r="J778" t="s">
        <v>38</v>
      </c>
      <c r="K778" t="s">
        <v>214</v>
      </c>
      <c r="L778">
        <v>1</v>
      </c>
      <c r="M778" s="4"/>
      <c r="N778" s="2"/>
      <c r="O778" s="21"/>
      <c r="P778" s="2"/>
      <c r="Q778" s="2"/>
      <c r="R778" s="4"/>
      <c r="S778" s="4"/>
      <c r="T778" s="4"/>
      <c r="U778" s="4"/>
      <c r="V778" s="4"/>
      <c r="W778" s="4"/>
    </row>
    <row r="779" spans="1:23" ht="14.5" hidden="1" customHeight="1" x14ac:dyDescent="0.2">
      <c r="A779">
        <f t="shared" si="12"/>
        <v>773</v>
      </c>
      <c r="B779">
        <v>2014</v>
      </c>
      <c r="C779" t="s">
        <v>191</v>
      </c>
      <c r="D779" t="s">
        <v>2660</v>
      </c>
      <c r="E779" s="22">
        <v>140</v>
      </c>
      <c r="H779" t="s">
        <v>146</v>
      </c>
      <c r="J779" t="s">
        <v>65</v>
      </c>
      <c r="K779" t="s">
        <v>214</v>
      </c>
      <c r="L779">
        <v>1</v>
      </c>
      <c r="M779" s="4"/>
      <c r="N779" s="2"/>
      <c r="O779" s="21"/>
      <c r="P779" s="2"/>
      <c r="Q779" s="2"/>
      <c r="R779" s="4"/>
      <c r="S779" s="4"/>
      <c r="T779" s="4"/>
      <c r="U779" s="4"/>
      <c r="V779" s="4"/>
      <c r="W779" s="4"/>
    </row>
    <row r="780" spans="1:23" ht="14.5" hidden="1" customHeight="1" x14ac:dyDescent="0.2">
      <c r="A780">
        <f t="shared" si="12"/>
        <v>774</v>
      </c>
      <c r="B780">
        <v>2014</v>
      </c>
      <c r="C780" t="s">
        <v>198</v>
      </c>
      <c r="D780" t="s">
        <v>745</v>
      </c>
      <c r="E780" s="22">
        <v>240</v>
      </c>
      <c r="G780" t="s">
        <v>2661</v>
      </c>
      <c r="H780" t="s">
        <v>144</v>
      </c>
      <c r="I780" t="s">
        <v>187</v>
      </c>
      <c r="J780" t="s">
        <v>93</v>
      </c>
      <c r="K780" t="s">
        <v>201</v>
      </c>
      <c r="L780">
        <v>1</v>
      </c>
      <c r="M780" s="4"/>
      <c r="N780" s="2"/>
      <c r="O780" s="21"/>
      <c r="P780" s="2"/>
      <c r="Q780" s="2"/>
      <c r="R780" s="4"/>
      <c r="S780" s="4"/>
      <c r="T780" s="4"/>
      <c r="U780" s="4"/>
      <c r="V780" s="4"/>
      <c r="W780" s="4"/>
    </row>
    <row r="781" spans="1:23" ht="14.5" hidden="1" customHeight="1" x14ac:dyDescent="0.2">
      <c r="A781">
        <f t="shared" si="12"/>
        <v>775</v>
      </c>
      <c r="B781">
        <v>2014</v>
      </c>
      <c r="C781" t="s">
        <v>198</v>
      </c>
      <c r="D781" t="s">
        <v>2662</v>
      </c>
      <c r="E781" s="22">
        <v>480</v>
      </c>
      <c r="G781" t="s">
        <v>2663</v>
      </c>
      <c r="H781" t="s">
        <v>143</v>
      </c>
      <c r="J781" t="s">
        <v>134</v>
      </c>
      <c r="K781" t="s">
        <v>201</v>
      </c>
      <c r="L781">
        <v>1</v>
      </c>
      <c r="M781" s="4"/>
      <c r="N781" s="2"/>
      <c r="O781" s="21"/>
      <c r="P781" s="2"/>
      <c r="Q781" s="2"/>
      <c r="R781" s="4"/>
      <c r="S781" s="4"/>
      <c r="T781" s="4"/>
      <c r="U781" s="4"/>
      <c r="V781" s="4"/>
      <c r="W781" s="4"/>
    </row>
    <row r="782" spans="1:23" ht="14.5" hidden="1" customHeight="1" x14ac:dyDescent="0.2">
      <c r="A782">
        <f t="shared" si="12"/>
        <v>776</v>
      </c>
      <c r="B782">
        <v>2014</v>
      </c>
      <c r="C782" t="s">
        <v>198</v>
      </c>
      <c r="D782" t="s">
        <v>189</v>
      </c>
      <c r="E782" s="22">
        <v>1330</v>
      </c>
      <c r="G782" t="s">
        <v>904</v>
      </c>
      <c r="H782" t="s">
        <v>144</v>
      </c>
      <c r="I782" t="s">
        <v>187</v>
      </c>
      <c r="J782" t="s">
        <v>72</v>
      </c>
      <c r="K782" t="s">
        <v>183</v>
      </c>
      <c r="L782">
        <v>1</v>
      </c>
      <c r="M782" s="4"/>
      <c r="N782" s="2"/>
      <c r="O782" s="21"/>
      <c r="P782" s="2"/>
      <c r="Q782" s="2"/>
      <c r="R782" s="4"/>
      <c r="S782" s="4"/>
      <c r="T782" s="4"/>
      <c r="U782" s="4"/>
      <c r="V782" s="4"/>
      <c r="W782" s="4"/>
    </row>
    <row r="783" spans="1:23" ht="14.5" hidden="1" customHeight="1" x14ac:dyDescent="0.2">
      <c r="A783">
        <f t="shared" si="12"/>
        <v>777</v>
      </c>
      <c r="B783">
        <v>2014</v>
      </c>
      <c r="C783" t="s">
        <v>198</v>
      </c>
      <c r="D783" t="s">
        <v>397</v>
      </c>
      <c r="E783" s="22">
        <v>330</v>
      </c>
      <c r="G783" t="s">
        <v>2664</v>
      </c>
      <c r="H783" t="s">
        <v>153</v>
      </c>
      <c r="J783" t="s">
        <v>130</v>
      </c>
      <c r="K783" t="s">
        <v>214</v>
      </c>
      <c r="L783">
        <v>1</v>
      </c>
      <c r="M783" s="4"/>
      <c r="N783" s="2"/>
      <c r="O783" s="21"/>
      <c r="P783" s="2"/>
      <c r="Q783" s="2"/>
      <c r="R783" s="4"/>
      <c r="S783" s="4"/>
      <c r="T783" s="4"/>
      <c r="U783" s="4"/>
      <c r="V783" s="4"/>
      <c r="W783" s="4"/>
    </row>
    <row r="784" spans="1:23" ht="14.5" hidden="1" customHeight="1" x14ac:dyDescent="0.2">
      <c r="A784">
        <f t="shared" si="12"/>
        <v>778</v>
      </c>
      <c r="B784">
        <v>2014</v>
      </c>
      <c r="C784" t="s">
        <v>198</v>
      </c>
      <c r="D784" t="s">
        <v>449</v>
      </c>
      <c r="E784" s="22">
        <v>580</v>
      </c>
      <c r="H784" t="s">
        <v>154</v>
      </c>
      <c r="I784" t="s">
        <v>194</v>
      </c>
      <c r="J784" t="s">
        <v>16</v>
      </c>
      <c r="K784" t="s">
        <v>205</v>
      </c>
      <c r="L784">
        <v>1</v>
      </c>
      <c r="M784" s="4"/>
      <c r="N784" s="2"/>
      <c r="O784" s="21"/>
      <c r="P784" s="2"/>
      <c r="Q784" s="2"/>
      <c r="R784" s="4"/>
      <c r="S784" s="4"/>
      <c r="T784" s="4"/>
      <c r="U784" s="4"/>
      <c r="V784" s="4"/>
      <c r="W784" s="4"/>
    </row>
    <row r="785" spans="1:23" ht="14.5" hidden="1" customHeight="1" x14ac:dyDescent="0.2">
      <c r="A785">
        <f t="shared" si="12"/>
        <v>779</v>
      </c>
      <c r="B785">
        <v>2014</v>
      </c>
      <c r="C785" t="s">
        <v>198</v>
      </c>
      <c r="D785" s="52" t="s">
        <v>2392</v>
      </c>
      <c r="E785" s="22">
        <v>1080</v>
      </c>
      <c r="G785" t="s">
        <v>2665</v>
      </c>
      <c r="H785" t="s">
        <v>144</v>
      </c>
      <c r="I785" t="s">
        <v>197</v>
      </c>
      <c r="J785" t="s">
        <v>135</v>
      </c>
      <c r="K785" t="s">
        <v>205</v>
      </c>
      <c r="L785">
        <v>1</v>
      </c>
      <c r="M785" s="4"/>
      <c r="N785" s="2"/>
      <c r="O785" s="21"/>
      <c r="P785" s="2"/>
      <c r="Q785" s="2"/>
      <c r="R785" s="4"/>
      <c r="S785" s="4"/>
      <c r="T785" s="4"/>
      <c r="U785" s="4"/>
      <c r="V785" s="4"/>
      <c r="W785" s="4"/>
    </row>
    <row r="786" spans="1:23" ht="14.5" hidden="1" customHeight="1" x14ac:dyDescent="0.2">
      <c r="A786">
        <f t="shared" si="12"/>
        <v>780</v>
      </c>
      <c r="B786">
        <v>2014</v>
      </c>
      <c r="C786" t="s">
        <v>198</v>
      </c>
      <c r="D786" t="s">
        <v>1035</v>
      </c>
      <c r="E786" s="22">
        <v>130</v>
      </c>
      <c r="H786" t="s">
        <v>144</v>
      </c>
      <c r="I786" t="s">
        <v>232</v>
      </c>
      <c r="J786" t="s">
        <v>93</v>
      </c>
      <c r="K786" t="s">
        <v>201</v>
      </c>
      <c r="L786">
        <v>1</v>
      </c>
      <c r="M786" s="4"/>
      <c r="N786" s="2"/>
      <c r="O786" s="21"/>
      <c r="P786" s="2"/>
      <c r="Q786" s="2"/>
      <c r="R786" s="4"/>
      <c r="S786" s="4"/>
      <c r="T786" s="4"/>
      <c r="U786" s="4"/>
      <c r="V786" s="4"/>
      <c r="W786" s="4"/>
    </row>
    <row r="787" spans="1:23" ht="14.5" hidden="1" customHeight="1" x14ac:dyDescent="0.2">
      <c r="A787">
        <f t="shared" si="12"/>
        <v>781</v>
      </c>
      <c r="B787">
        <v>2014</v>
      </c>
      <c r="C787" t="s">
        <v>198</v>
      </c>
      <c r="D787" t="s">
        <v>444</v>
      </c>
      <c r="E787" s="22">
        <v>990</v>
      </c>
      <c r="H787" t="s">
        <v>144</v>
      </c>
      <c r="I787" t="s">
        <v>299</v>
      </c>
      <c r="J787" t="s">
        <v>6</v>
      </c>
      <c r="K787" t="s">
        <v>219</v>
      </c>
      <c r="L787">
        <v>1</v>
      </c>
      <c r="M787" s="4"/>
      <c r="N787" s="2"/>
      <c r="O787" s="21"/>
      <c r="P787" s="2"/>
      <c r="Q787" s="2"/>
      <c r="R787" s="4"/>
      <c r="S787" s="4"/>
      <c r="T787" s="4"/>
      <c r="U787" s="4"/>
      <c r="V787" s="4"/>
      <c r="W787" s="4"/>
    </row>
    <row r="788" spans="1:23" ht="14.5" hidden="1" customHeight="1" x14ac:dyDescent="0.2">
      <c r="A788">
        <f t="shared" si="12"/>
        <v>782</v>
      </c>
      <c r="B788">
        <v>2014</v>
      </c>
      <c r="C788" t="s">
        <v>198</v>
      </c>
      <c r="D788" t="s">
        <v>1149</v>
      </c>
      <c r="E788" s="22">
        <v>180</v>
      </c>
      <c r="G788" t="s">
        <v>2663</v>
      </c>
      <c r="H788" t="s">
        <v>142</v>
      </c>
      <c r="J788" t="s">
        <v>134</v>
      </c>
      <c r="K788" t="s">
        <v>201</v>
      </c>
      <c r="L788">
        <v>1</v>
      </c>
      <c r="M788" s="4"/>
      <c r="N788" s="2"/>
      <c r="O788" s="21"/>
      <c r="P788" s="2"/>
      <c r="Q788" s="2"/>
      <c r="R788" s="4"/>
      <c r="S788" s="4"/>
      <c r="T788" s="4"/>
      <c r="U788" s="4"/>
      <c r="V788" s="4"/>
      <c r="W788" s="4"/>
    </row>
    <row r="789" spans="1:23" ht="14.5" hidden="1" customHeight="1" x14ac:dyDescent="0.2">
      <c r="A789">
        <f t="shared" si="12"/>
        <v>783</v>
      </c>
      <c r="B789">
        <v>2014</v>
      </c>
      <c r="C789" t="s">
        <v>198</v>
      </c>
      <c r="D789" t="s">
        <v>479</v>
      </c>
      <c r="E789" s="22">
        <v>480</v>
      </c>
      <c r="H789" t="s">
        <v>154</v>
      </c>
      <c r="I789" t="s">
        <v>271</v>
      </c>
      <c r="J789" t="s">
        <v>64</v>
      </c>
      <c r="K789" t="s">
        <v>219</v>
      </c>
      <c r="L789">
        <v>1</v>
      </c>
      <c r="M789" s="4"/>
      <c r="N789" s="2"/>
      <c r="O789" s="21"/>
      <c r="P789" s="2"/>
      <c r="Q789" s="2"/>
      <c r="R789" s="4"/>
      <c r="S789" s="4"/>
      <c r="T789" s="4"/>
      <c r="U789" s="4"/>
      <c r="V789" s="4"/>
      <c r="W789" s="4"/>
    </row>
    <row r="790" spans="1:23" ht="14.5" hidden="1" customHeight="1" x14ac:dyDescent="0.2">
      <c r="A790">
        <f t="shared" si="12"/>
        <v>784</v>
      </c>
      <c r="B790">
        <v>2014</v>
      </c>
      <c r="C790" t="s">
        <v>202</v>
      </c>
      <c r="D790" t="s">
        <v>1035</v>
      </c>
      <c r="E790" s="22">
        <v>530</v>
      </c>
      <c r="H790" t="s">
        <v>144</v>
      </c>
      <c r="I790" t="s">
        <v>197</v>
      </c>
      <c r="J790" t="s">
        <v>139</v>
      </c>
      <c r="K790" t="s">
        <v>219</v>
      </c>
      <c r="L790">
        <v>1</v>
      </c>
      <c r="M790" s="4"/>
      <c r="N790" s="2"/>
      <c r="O790" s="21"/>
      <c r="P790" s="2"/>
      <c r="Q790" s="2"/>
      <c r="R790" s="4"/>
      <c r="S790" s="4"/>
      <c r="T790" s="4"/>
      <c r="U790" s="4"/>
      <c r="V790" s="4"/>
      <c r="W790" s="4"/>
    </row>
    <row r="791" spans="1:23" ht="14.5" hidden="1" customHeight="1" x14ac:dyDescent="0.2">
      <c r="A791">
        <f t="shared" si="12"/>
        <v>785</v>
      </c>
      <c r="B791">
        <v>2014</v>
      </c>
      <c r="C791" t="s">
        <v>202</v>
      </c>
      <c r="D791" t="s">
        <v>244</v>
      </c>
      <c r="E791" s="22">
        <v>560</v>
      </c>
      <c r="G791" t="s">
        <v>2666</v>
      </c>
      <c r="H791" t="s">
        <v>149</v>
      </c>
      <c r="I791" t="s">
        <v>236</v>
      </c>
      <c r="J791" t="s">
        <v>63</v>
      </c>
      <c r="K791" t="s">
        <v>201</v>
      </c>
      <c r="L791">
        <v>1</v>
      </c>
      <c r="M791" s="4"/>
      <c r="N791" s="2"/>
      <c r="O791" s="21"/>
      <c r="P791" s="2"/>
      <c r="Q791" s="2"/>
      <c r="R791" s="4"/>
      <c r="S791" s="4"/>
      <c r="T791" s="4"/>
      <c r="U791" s="4"/>
      <c r="V791" s="4"/>
      <c r="W791" s="4"/>
    </row>
    <row r="792" spans="1:23" ht="14.5" hidden="1" customHeight="1" x14ac:dyDescent="0.2">
      <c r="A792">
        <f t="shared" si="12"/>
        <v>786</v>
      </c>
      <c r="B792">
        <v>2014</v>
      </c>
      <c r="C792" t="s">
        <v>202</v>
      </c>
      <c r="D792" t="s">
        <v>557</v>
      </c>
      <c r="E792" s="22">
        <v>130</v>
      </c>
      <c r="H792" t="s">
        <v>148</v>
      </c>
      <c r="J792" t="s">
        <v>30</v>
      </c>
      <c r="K792" t="s">
        <v>195</v>
      </c>
      <c r="L792">
        <v>1</v>
      </c>
      <c r="M792" s="4"/>
      <c r="N792" s="2"/>
      <c r="O792" s="21"/>
      <c r="P792" s="2"/>
      <c r="Q792" s="2"/>
      <c r="R792" s="4"/>
      <c r="S792" s="4"/>
      <c r="T792" s="4"/>
      <c r="U792" s="4"/>
      <c r="V792" s="4"/>
      <c r="W792" s="4"/>
    </row>
    <row r="793" spans="1:23" ht="14.5" hidden="1" customHeight="1" x14ac:dyDescent="0.2">
      <c r="A793">
        <f t="shared" si="12"/>
        <v>787</v>
      </c>
      <c r="B793">
        <v>2014</v>
      </c>
      <c r="C793" t="s">
        <v>202</v>
      </c>
      <c r="D793" t="s">
        <v>449</v>
      </c>
      <c r="E793" s="22">
        <v>600</v>
      </c>
      <c r="H793" t="s">
        <v>154</v>
      </c>
      <c r="I793" t="s">
        <v>250</v>
      </c>
      <c r="J793" t="s">
        <v>89</v>
      </c>
      <c r="K793" t="s">
        <v>219</v>
      </c>
      <c r="L793">
        <v>1</v>
      </c>
      <c r="M793" s="4"/>
      <c r="N793" s="2"/>
      <c r="O793" s="21"/>
      <c r="P793" s="2"/>
      <c r="Q793" s="2"/>
      <c r="R793" s="4"/>
      <c r="S793" s="4"/>
      <c r="T793" s="4"/>
      <c r="U793" s="4"/>
      <c r="V793" s="4"/>
      <c r="W793" s="4"/>
    </row>
    <row r="794" spans="1:23" ht="14.5" hidden="1" customHeight="1" x14ac:dyDescent="0.2">
      <c r="A794">
        <f t="shared" si="12"/>
        <v>788</v>
      </c>
      <c r="B794">
        <v>2014</v>
      </c>
      <c r="C794" t="s">
        <v>202</v>
      </c>
      <c r="D794" t="s">
        <v>2667</v>
      </c>
      <c r="E794" s="22">
        <v>440</v>
      </c>
      <c r="F794" s="16">
        <v>0.75</v>
      </c>
      <c r="G794" t="s">
        <v>2668</v>
      </c>
      <c r="H794" t="s">
        <v>144</v>
      </c>
      <c r="I794" t="s">
        <v>197</v>
      </c>
      <c r="J794" t="s">
        <v>40</v>
      </c>
      <c r="K794" t="s">
        <v>219</v>
      </c>
      <c r="L794">
        <v>1</v>
      </c>
      <c r="M794" s="4"/>
      <c r="N794" s="2"/>
      <c r="O794" s="21"/>
      <c r="P794" s="2"/>
      <c r="Q794" s="2"/>
      <c r="R794" s="4"/>
      <c r="S794" s="4"/>
      <c r="T794" s="4"/>
      <c r="U794" s="4"/>
      <c r="V794" s="4"/>
      <c r="W794" s="4"/>
    </row>
    <row r="795" spans="1:23" ht="14.5" hidden="1" customHeight="1" x14ac:dyDescent="0.2">
      <c r="A795">
        <f t="shared" si="12"/>
        <v>789</v>
      </c>
      <c r="B795">
        <v>2014</v>
      </c>
      <c r="C795" t="s">
        <v>202</v>
      </c>
      <c r="D795" t="s">
        <v>479</v>
      </c>
      <c r="E795" s="22">
        <v>950</v>
      </c>
      <c r="H795" t="s">
        <v>154</v>
      </c>
      <c r="I795" t="s">
        <v>271</v>
      </c>
      <c r="J795" t="s">
        <v>57</v>
      </c>
      <c r="K795" t="s">
        <v>195</v>
      </c>
      <c r="L795">
        <v>0</v>
      </c>
      <c r="M795" s="4"/>
      <c r="N795" s="2"/>
      <c r="O795" s="21"/>
      <c r="P795" s="2"/>
      <c r="Q795" s="2"/>
      <c r="R795" s="4"/>
      <c r="S795" s="4"/>
      <c r="T795" s="4"/>
      <c r="U795" s="4"/>
      <c r="V795" s="4"/>
      <c r="W795" s="4"/>
    </row>
    <row r="796" spans="1:23" ht="14.5" hidden="1" customHeight="1" x14ac:dyDescent="0.2">
      <c r="A796">
        <f t="shared" si="12"/>
        <v>790</v>
      </c>
      <c r="B796">
        <v>2014</v>
      </c>
      <c r="C796" t="s">
        <v>202</v>
      </c>
      <c r="D796" t="s">
        <v>449</v>
      </c>
      <c r="E796" s="22">
        <v>1210</v>
      </c>
      <c r="H796" t="s">
        <v>154</v>
      </c>
      <c r="I796" t="s">
        <v>194</v>
      </c>
      <c r="J796" t="s">
        <v>89</v>
      </c>
      <c r="K796" t="s">
        <v>219</v>
      </c>
      <c r="L796">
        <v>1</v>
      </c>
      <c r="M796" s="4"/>
      <c r="N796" s="2"/>
      <c r="O796" s="21"/>
      <c r="P796" s="2"/>
      <c r="Q796" s="2"/>
      <c r="R796" s="4"/>
      <c r="S796" s="4"/>
      <c r="T796" s="4"/>
      <c r="U796" s="4"/>
      <c r="V796" s="4"/>
      <c r="W796" s="4"/>
    </row>
    <row r="797" spans="1:23" ht="14.5" hidden="1" customHeight="1" x14ac:dyDescent="0.2">
      <c r="A797">
        <f t="shared" si="12"/>
        <v>791</v>
      </c>
      <c r="B797">
        <v>2014</v>
      </c>
      <c r="C797" t="s">
        <v>202</v>
      </c>
      <c r="D797" t="s">
        <v>397</v>
      </c>
      <c r="E797" s="22">
        <v>100</v>
      </c>
      <c r="H797" t="s">
        <v>151</v>
      </c>
      <c r="I797" t="s">
        <v>279</v>
      </c>
      <c r="J797" t="s">
        <v>108</v>
      </c>
      <c r="K797" t="s">
        <v>183</v>
      </c>
      <c r="L797">
        <v>1</v>
      </c>
      <c r="M797" s="4"/>
      <c r="N797" s="2"/>
      <c r="O797" s="21"/>
      <c r="P797" s="2"/>
      <c r="Q797" s="2"/>
      <c r="R797" s="4"/>
      <c r="S797" s="4"/>
      <c r="T797" s="4"/>
      <c r="U797" s="4"/>
      <c r="V797" s="4"/>
      <c r="W797" s="4"/>
    </row>
    <row r="798" spans="1:23" ht="14.5" hidden="1" customHeight="1" x14ac:dyDescent="0.2">
      <c r="A798">
        <f t="shared" si="12"/>
        <v>792</v>
      </c>
      <c r="B798">
        <v>2014</v>
      </c>
      <c r="C798" t="s">
        <v>202</v>
      </c>
      <c r="D798" t="s">
        <v>2547</v>
      </c>
      <c r="E798" s="22">
        <v>400</v>
      </c>
      <c r="H798" t="s">
        <v>154</v>
      </c>
      <c r="I798" t="s">
        <v>250</v>
      </c>
      <c r="J798" t="s">
        <v>73</v>
      </c>
      <c r="K798" t="s">
        <v>201</v>
      </c>
      <c r="L798">
        <v>1</v>
      </c>
      <c r="M798" s="4"/>
      <c r="N798" s="2"/>
      <c r="O798" s="21"/>
      <c r="P798" s="2"/>
      <c r="Q798" s="2"/>
      <c r="R798" s="4"/>
      <c r="S798" s="4"/>
      <c r="T798" s="4"/>
      <c r="U798" s="4"/>
      <c r="V798" s="4"/>
      <c r="W798" s="4"/>
    </row>
    <row r="799" spans="1:23" ht="14.5" hidden="1" customHeight="1" x14ac:dyDescent="0.2">
      <c r="A799">
        <f t="shared" si="12"/>
        <v>793</v>
      </c>
      <c r="B799">
        <v>2014</v>
      </c>
      <c r="C799" t="s">
        <v>202</v>
      </c>
      <c r="D799" t="s">
        <v>444</v>
      </c>
      <c r="E799" s="22">
        <v>1130</v>
      </c>
      <c r="G799" t="s">
        <v>2669</v>
      </c>
      <c r="H799" t="s">
        <v>144</v>
      </c>
      <c r="I799" t="s">
        <v>273</v>
      </c>
      <c r="J799" t="s">
        <v>93</v>
      </c>
      <c r="K799" t="s">
        <v>201</v>
      </c>
      <c r="L799">
        <v>1</v>
      </c>
      <c r="M799" s="4"/>
      <c r="N799" s="2"/>
      <c r="O799" s="21"/>
      <c r="P799" s="2"/>
      <c r="Q799" s="2"/>
      <c r="R799" s="4"/>
      <c r="S799" s="4"/>
      <c r="T799" s="4"/>
      <c r="U799" s="4"/>
      <c r="V799" s="4"/>
      <c r="W799" s="4"/>
    </row>
    <row r="800" spans="1:23" ht="14.5" hidden="1" customHeight="1" x14ac:dyDescent="0.2">
      <c r="A800">
        <f t="shared" si="12"/>
        <v>794</v>
      </c>
      <c r="B800">
        <v>2014</v>
      </c>
      <c r="C800" t="s">
        <v>202</v>
      </c>
      <c r="D800" t="s">
        <v>397</v>
      </c>
      <c r="E800" s="22">
        <v>250</v>
      </c>
      <c r="H800" t="s">
        <v>154</v>
      </c>
      <c r="I800" t="s">
        <v>194</v>
      </c>
      <c r="J800" t="s">
        <v>115</v>
      </c>
      <c r="K800" t="s">
        <v>201</v>
      </c>
      <c r="L800">
        <v>1</v>
      </c>
      <c r="M800" s="4"/>
      <c r="N800" s="2"/>
      <c r="O800" s="21"/>
      <c r="P800" s="2"/>
      <c r="Q800" s="2"/>
      <c r="R800" s="4"/>
      <c r="S800" s="4"/>
      <c r="T800" s="4"/>
      <c r="U800" s="4"/>
      <c r="V800" s="4"/>
      <c r="W800" s="4"/>
    </row>
    <row r="801" spans="1:23" ht="14.5" hidden="1" customHeight="1" x14ac:dyDescent="0.2">
      <c r="A801">
        <f t="shared" si="12"/>
        <v>795</v>
      </c>
      <c r="B801">
        <v>2014</v>
      </c>
      <c r="C801" t="s">
        <v>202</v>
      </c>
      <c r="D801" t="s">
        <v>1035</v>
      </c>
      <c r="E801" s="22">
        <v>120</v>
      </c>
      <c r="H801" t="s">
        <v>144</v>
      </c>
      <c r="I801" t="s">
        <v>197</v>
      </c>
      <c r="J801" t="s">
        <v>67</v>
      </c>
      <c r="K801" t="s">
        <v>183</v>
      </c>
      <c r="L801">
        <v>1</v>
      </c>
      <c r="M801" s="4"/>
      <c r="N801" s="81"/>
      <c r="O801" s="21"/>
      <c r="P801" s="2"/>
      <c r="Q801" s="2"/>
      <c r="R801" s="4"/>
      <c r="S801" s="4"/>
      <c r="T801" s="4"/>
      <c r="U801" s="4"/>
      <c r="V801" s="4"/>
      <c r="W801" s="4"/>
    </row>
    <row r="802" spans="1:23" ht="14.5" hidden="1" customHeight="1" x14ac:dyDescent="0.2">
      <c r="A802">
        <f t="shared" si="12"/>
        <v>796</v>
      </c>
      <c r="B802">
        <v>2014</v>
      </c>
      <c r="C802" t="s">
        <v>202</v>
      </c>
      <c r="D802" t="s">
        <v>1035</v>
      </c>
      <c r="E802" s="22">
        <v>220</v>
      </c>
      <c r="H802" t="s">
        <v>155</v>
      </c>
      <c r="J802" t="s">
        <v>100</v>
      </c>
      <c r="K802" t="s">
        <v>214</v>
      </c>
      <c r="L802">
        <v>1</v>
      </c>
      <c r="M802" s="4"/>
      <c r="N802" s="81"/>
      <c r="O802" s="21"/>
      <c r="P802" s="2"/>
      <c r="Q802" s="2"/>
      <c r="R802" s="4"/>
      <c r="S802" s="4"/>
      <c r="T802" s="4"/>
      <c r="U802" s="4"/>
      <c r="V802" s="4"/>
      <c r="W802" s="4"/>
    </row>
    <row r="803" spans="1:23" ht="14.5" hidden="1" customHeight="1" x14ac:dyDescent="0.2">
      <c r="A803">
        <f t="shared" si="12"/>
        <v>797</v>
      </c>
      <c r="B803">
        <v>2014</v>
      </c>
      <c r="C803" t="s">
        <v>202</v>
      </c>
      <c r="D803" t="s">
        <v>444</v>
      </c>
      <c r="E803" s="22">
        <v>270</v>
      </c>
      <c r="H803" t="s">
        <v>144</v>
      </c>
      <c r="I803" t="s">
        <v>273</v>
      </c>
      <c r="J803" t="s">
        <v>2571</v>
      </c>
      <c r="K803" t="s">
        <v>195</v>
      </c>
      <c r="L803">
        <v>1</v>
      </c>
      <c r="M803" s="4"/>
      <c r="N803" s="81"/>
      <c r="O803" s="21"/>
      <c r="P803" s="2"/>
      <c r="Q803" s="2"/>
      <c r="R803" s="4"/>
      <c r="S803" s="4"/>
      <c r="T803" s="4"/>
      <c r="U803" s="4"/>
      <c r="V803" s="4"/>
      <c r="W803" s="4"/>
    </row>
    <row r="804" spans="1:23" ht="14.5" hidden="1" customHeight="1" x14ac:dyDescent="0.2">
      <c r="A804">
        <f t="shared" si="12"/>
        <v>798</v>
      </c>
      <c r="B804">
        <v>2014</v>
      </c>
      <c r="C804" t="s">
        <v>202</v>
      </c>
      <c r="D804" t="s">
        <v>2434</v>
      </c>
      <c r="E804" s="22">
        <v>270</v>
      </c>
      <c r="H804" t="s">
        <v>154</v>
      </c>
      <c r="I804" t="s">
        <v>529</v>
      </c>
      <c r="J804" t="s">
        <v>108</v>
      </c>
      <c r="K804" t="s">
        <v>183</v>
      </c>
      <c r="L804">
        <v>1</v>
      </c>
      <c r="M804" s="4"/>
      <c r="N804" s="81"/>
      <c r="O804" s="21"/>
      <c r="P804" s="2"/>
      <c r="Q804" s="2"/>
      <c r="R804" s="4"/>
      <c r="S804" s="4"/>
      <c r="T804" s="4"/>
      <c r="U804" s="4"/>
      <c r="V804" s="4"/>
      <c r="W804" s="4"/>
    </row>
    <row r="805" spans="1:23" ht="14.5" hidden="1" customHeight="1" x14ac:dyDescent="0.2">
      <c r="A805">
        <f t="shared" si="12"/>
        <v>799</v>
      </c>
      <c r="B805">
        <v>2014</v>
      </c>
      <c r="C805" t="s">
        <v>202</v>
      </c>
      <c r="D805" t="s">
        <v>1035</v>
      </c>
      <c r="E805" s="22">
        <v>140</v>
      </c>
      <c r="H805" t="s">
        <v>154</v>
      </c>
      <c r="I805" t="s">
        <v>194</v>
      </c>
      <c r="J805" t="s">
        <v>37</v>
      </c>
      <c r="K805" t="s">
        <v>205</v>
      </c>
      <c r="L805">
        <v>1</v>
      </c>
      <c r="M805" s="4"/>
      <c r="N805" s="81"/>
      <c r="O805" s="21"/>
      <c r="P805" s="2"/>
      <c r="Q805" s="2"/>
      <c r="R805" s="4"/>
      <c r="S805" s="4"/>
      <c r="T805" s="4"/>
      <c r="U805" s="4"/>
      <c r="V805" s="4"/>
      <c r="W805" s="4"/>
    </row>
    <row r="806" spans="1:23" ht="14.5" hidden="1" customHeight="1" x14ac:dyDescent="0.2">
      <c r="A806">
        <f t="shared" si="12"/>
        <v>800</v>
      </c>
      <c r="B806">
        <v>2014</v>
      </c>
      <c r="C806" t="s">
        <v>202</v>
      </c>
      <c r="D806" t="s">
        <v>444</v>
      </c>
      <c r="E806" s="22">
        <v>100</v>
      </c>
      <c r="H806" t="s">
        <v>144</v>
      </c>
      <c r="I806" t="s">
        <v>232</v>
      </c>
      <c r="J806" t="s">
        <v>40</v>
      </c>
      <c r="K806" t="s">
        <v>219</v>
      </c>
      <c r="L806">
        <v>1</v>
      </c>
      <c r="M806" s="4"/>
      <c r="N806" s="81"/>
      <c r="O806" s="21"/>
      <c r="P806" s="2"/>
      <c r="Q806" s="2"/>
      <c r="R806" s="4"/>
      <c r="S806" s="4"/>
      <c r="T806" s="4"/>
      <c r="U806" s="4"/>
      <c r="V806" s="4"/>
      <c r="W806" s="4"/>
    </row>
    <row r="807" spans="1:23" ht="14.5" hidden="1" customHeight="1" x14ac:dyDescent="0.2">
      <c r="A807">
        <f t="shared" si="12"/>
        <v>801</v>
      </c>
      <c r="B807">
        <v>2014</v>
      </c>
      <c r="C807" t="s">
        <v>202</v>
      </c>
      <c r="D807" t="s">
        <v>1035</v>
      </c>
      <c r="E807" s="22">
        <v>360</v>
      </c>
      <c r="G807" t="s">
        <v>2670</v>
      </c>
      <c r="H807" t="s">
        <v>144</v>
      </c>
      <c r="I807" t="s">
        <v>273</v>
      </c>
      <c r="J807" t="s">
        <v>80</v>
      </c>
      <c r="K807" t="s">
        <v>214</v>
      </c>
      <c r="L807">
        <v>1</v>
      </c>
      <c r="M807" s="4"/>
      <c r="N807" s="81"/>
      <c r="O807" s="21"/>
      <c r="P807" s="2"/>
      <c r="Q807" s="2"/>
      <c r="R807" s="4"/>
      <c r="S807" s="4"/>
      <c r="T807" s="4"/>
      <c r="U807" s="4"/>
      <c r="V807" s="4"/>
      <c r="W807" s="4"/>
    </row>
    <row r="808" spans="1:23" ht="14.5" hidden="1" customHeight="1" x14ac:dyDescent="0.2">
      <c r="A808">
        <f t="shared" si="12"/>
        <v>802</v>
      </c>
      <c r="B808">
        <v>2014</v>
      </c>
      <c r="C808" t="s">
        <v>202</v>
      </c>
      <c r="D808" t="s">
        <v>875</v>
      </c>
      <c r="E808" s="22">
        <v>210</v>
      </c>
      <c r="H808" t="s">
        <v>144</v>
      </c>
      <c r="I808" t="s">
        <v>197</v>
      </c>
      <c r="J808" t="s">
        <v>6</v>
      </c>
      <c r="K808" t="s">
        <v>219</v>
      </c>
      <c r="L808">
        <v>1</v>
      </c>
      <c r="M808" s="4"/>
      <c r="N808" s="2"/>
      <c r="O808" s="21"/>
      <c r="P808" s="2"/>
      <c r="Q808" s="2"/>
      <c r="R808" s="4"/>
      <c r="S808" s="4"/>
      <c r="T808" s="4"/>
      <c r="U808" s="4"/>
      <c r="V808" s="4"/>
      <c r="W808" s="4"/>
    </row>
    <row r="809" spans="1:23" ht="14.5" hidden="1" customHeight="1" x14ac:dyDescent="0.2">
      <c r="A809">
        <f t="shared" si="12"/>
        <v>803</v>
      </c>
      <c r="B809">
        <v>2014</v>
      </c>
      <c r="C809" t="s">
        <v>207</v>
      </c>
      <c r="D809" t="s">
        <v>479</v>
      </c>
      <c r="E809" s="22">
        <v>360</v>
      </c>
      <c r="H809" t="s">
        <v>154</v>
      </c>
      <c r="I809" t="s">
        <v>271</v>
      </c>
      <c r="J809" t="s">
        <v>83</v>
      </c>
      <c r="K809" t="s">
        <v>219</v>
      </c>
      <c r="L809">
        <v>1</v>
      </c>
      <c r="M809" s="4"/>
      <c r="N809" s="2"/>
      <c r="O809" s="21"/>
      <c r="P809" s="2"/>
      <c r="Q809" s="2"/>
      <c r="R809" s="4"/>
      <c r="S809" s="4"/>
      <c r="T809" s="4"/>
      <c r="U809" s="4"/>
      <c r="V809" s="4"/>
      <c r="W809" s="4"/>
    </row>
    <row r="810" spans="1:23" ht="14.5" hidden="1" customHeight="1" x14ac:dyDescent="0.2">
      <c r="A810">
        <f t="shared" si="12"/>
        <v>804</v>
      </c>
      <c r="B810">
        <v>2014</v>
      </c>
      <c r="C810" t="s">
        <v>207</v>
      </c>
      <c r="D810" t="s">
        <v>341</v>
      </c>
      <c r="E810" s="22">
        <v>990</v>
      </c>
      <c r="G810" t="s">
        <v>2631</v>
      </c>
      <c r="H810" t="s">
        <v>151</v>
      </c>
      <c r="I810" t="s">
        <v>279</v>
      </c>
      <c r="J810" t="s">
        <v>123</v>
      </c>
      <c r="K810" t="s">
        <v>219</v>
      </c>
      <c r="L810">
        <v>1</v>
      </c>
      <c r="M810" s="4"/>
      <c r="N810" s="2"/>
      <c r="O810" s="21"/>
      <c r="P810" s="2"/>
      <c r="Q810" s="2"/>
      <c r="R810" s="4"/>
      <c r="S810" s="4"/>
      <c r="T810" s="4"/>
      <c r="U810" s="4"/>
      <c r="V810" s="4"/>
      <c r="W810" s="4"/>
    </row>
    <row r="811" spans="1:23" ht="14.5" hidden="1" customHeight="1" x14ac:dyDescent="0.2">
      <c r="A811">
        <f t="shared" si="12"/>
        <v>805</v>
      </c>
      <c r="B811">
        <v>2014</v>
      </c>
      <c r="C811" t="s">
        <v>207</v>
      </c>
      <c r="D811" t="s">
        <v>444</v>
      </c>
      <c r="E811" s="22">
        <v>110</v>
      </c>
      <c r="H811" t="s">
        <v>142</v>
      </c>
      <c r="J811" t="s">
        <v>138</v>
      </c>
      <c r="K811" t="s">
        <v>219</v>
      </c>
      <c r="L811">
        <v>1</v>
      </c>
      <c r="M811" s="4"/>
      <c r="N811" s="2"/>
      <c r="O811" s="21"/>
      <c r="P811" s="2"/>
      <c r="Q811" s="2"/>
      <c r="R811" s="4"/>
      <c r="S811" s="4"/>
      <c r="T811" s="4"/>
      <c r="U811" s="4"/>
      <c r="V811" s="4"/>
      <c r="W811" s="4"/>
    </row>
    <row r="812" spans="1:23" ht="14.5" hidden="1" customHeight="1" x14ac:dyDescent="0.2">
      <c r="A812">
        <f t="shared" si="12"/>
        <v>806</v>
      </c>
      <c r="B812">
        <v>2014</v>
      </c>
      <c r="C812" t="s">
        <v>207</v>
      </c>
      <c r="D812" t="s">
        <v>246</v>
      </c>
      <c r="E812" s="22">
        <v>310</v>
      </c>
      <c r="H812" t="s">
        <v>144</v>
      </c>
      <c r="I812" t="s">
        <v>197</v>
      </c>
      <c r="J812" t="s">
        <v>46</v>
      </c>
      <c r="K812" t="s">
        <v>219</v>
      </c>
      <c r="L812">
        <v>1</v>
      </c>
      <c r="M812" s="4"/>
      <c r="N812" s="2"/>
      <c r="O812" s="21"/>
      <c r="P812" s="2"/>
      <c r="Q812" s="2"/>
      <c r="R812" s="4"/>
      <c r="S812" s="4"/>
      <c r="T812" s="4"/>
      <c r="U812" s="4"/>
      <c r="V812" s="4"/>
      <c r="W812" s="4"/>
    </row>
    <row r="813" spans="1:23" ht="14.5" hidden="1" customHeight="1" x14ac:dyDescent="0.2">
      <c r="A813">
        <f t="shared" si="12"/>
        <v>807</v>
      </c>
      <c r="B813">
        <v>2014</v>
      </c>
      <c r="C813" t="s">
        <v>207</v>
      </c>
      <c r="D813" t="s">
        <v>397</v>
      </c>
      <c r="E813" s="22">
        <v>750</v>
      </c>
      <c r="G813" t="s">
        <v>2671</v>
      </c>
      <c r="H813" t="s">
        <v>153</v>
      </c>
      <c r="J813" t="s">
        <v>5</v>
      </c>
      <c r="K813" t="s">
        <v>214</v>
      </c>
      <c r="L813">
        <v>1</v>
      </c>
      <c r="M813" s="4"/>
      <c r="N813" s="2"/>
      <c r="O813" s="21"/>
      <c r="P813" s="2"/>
      <c r="Q813" s="2"/>
      <c r="R813" s="4"/>
      <c r="S813" s="4"/>
      <c r="T813" s="4"/>
      <c r="U813" s="4"/>
      <c r="V813" s="4"/>
      <c r="W813" s="4"/>
    </row>
    <row r="814" spans="1:23" ht="14.5" hidden="1" customHeight="1" x14ac:dyDescent="0.2">
      <c r="A814">
        <f t="shared" si="12"/>
        <v>808</v>
      </c>
      <c r="B814">
        <v>2014</v>
      </c>
      <c r="C814" t="s">
        <v>207</v>
      </c>
      <c r="D814" t="s">
        <v>185</v>
      </c>
      <c r="E814" s="22">
        <v>370</v>
      </c>
      <c r="G814" t="s">
        <v>2672</v>
      </c>
      <c r="H814" t="s">
        <v>144</v>
      </c>
      <c r="I814" t="s">
        <v>187</v>
      </c>
      <c r="J814" t="s">
        <v>82</v>
      </c>
      <c r="K814" t="s">
        <v>183</v>
      </c>
      <c r="L814">
        <v>1</v>
      </c>
      <c r="M814" s="4"/>
      <c r="N814" s="2"/>
      <c r="O814" s="21"/>
      <c r="P814" s="2"/>
      <c r="Q814" s="2"/>
      <c r="R814" s="4"/>
      <c r="S814" s="4"/>
      <c r="T814" s="4"/>
      <c r="U814" s="4"/>
      <c r="V814" s="4"/>
      <c r="W814" s="4"/>
    </row>
    <row r="815" spans="1:23" ht="14.5" hidden="1" customHeight="1" x14ac:dyDescent="0.2">
      <c r="A815">
        <f t="shared" si="12"/>
        <v>809</v>
      </c>
      <c r="B815">
        <v>2014</v>
      </c>
      <c r="C815" t="s">
        <v>207</v>
      </c>
      <c r="D815" t="s">
        <v>399</v>
      </c>
      <c r="E815" s="22">
        <v>240</v>
      </c>
      <c r="G815" t="s">
        <v>2427</v>
      </c>
      <c r="H815" t="s">
        <v>144</v>
      </c>
      <c r="I815" t="s">
        <v>273</v>
      </c>
      <c r="J815" t="s">
        <v>72</v>
      </c>
      <c r="K815" t="s">
        <v>183</v>
      </c>
      <c r="L815">
        <v>1</v>
      </c>
      <c r="M815" s="4"/>
      <c r="N815" s="2"/>
      <c r="O815" s="21"/>
      <c r="P815" s="2"/>
      <c r="Q815" s="2"/>
      <c r="R815" s="4"/>
      <c r="S815" s="4"/>
      <c r="T815" s="4"/>
      <c r="U815" s="4"/>
      <c r="V815" s="4"/>
      <c r="W815" s="4"/>
    </row>
    <row r="816" spans="1:23" ht="14.5" hidden="1" customHeight="1" x14ac:dyDescent="0.2">
      <c r="A816">
        <f t="shared" si="12"/>
        <v>810</v>
      </c>
      <c r="B816">
        <v>2014</v>
      </c>
      <c r="C816" t="s">
        <v>207</v>
      </c>
      <c r="D816" t="s">
        <v>1093</v>
      </c>
      <c r="E816" s="22">
        <v>550</v>
      </c>
      <c r="H816" t="s">
        <v>151</v>
      </c>
      <c r="I816" t="s">
        <v>279</v>
      </c>
      <c r="J816" t="s">
        <v>123</v>
      </c>
      <c r="K816" t="s">
        <v>219</v>
      </c>
      <c r="L816">
        <v>1</v>
      </c>
      <c r="M816" s="4"/>
      <c r="N816" s="2"/>
      <c r="O816" s="21"/>
      <c r="P816" s="2"/>
      <c r="Q816" s="2"/>
      <c r="R816" s="4"/>
      <c r="S816" s="4"/>
      <c r="T816" s="4"/>
      <c r="U816" s="4"/>
      <c r="V816" s="4"/>
      <c r="W816" s="4"/>
    </row>
    <row r="817" spans="1:23" ht="14.5" hidden="1" customHeight="1" x14ac:dyDescent="0.2">
      <c r="A817">
        <f t="shared" si="12"/>
        <v>811</v>
      </c>
      <c r="B817">
        <v>2014</v>
      </c>
      <c r="C817" t="s">
        <v>207</v>
      </c>
      <c r="D817" t="s">
        <v>180</v>
      </c>
      <c r="E817" s="22">
        <v>240</v>
      </c>
      <c r="G817" t="s">
        <v>2673</v>
      </c>
      <c r="H817" t="s">
        <v>149</v>
      </c>
      <c r="I817" t="s">
        <v>182</v>
      </c>
      <c r="J817" t="s">
        <v>52</v>
      </c>
      <c r="K817" t="s">
        <v>201</v>
      </c>
      <c r="L817">
        <v>0</v>
      </c>
      <c r="M817" s="4"/>
      <c r="N817" s="2"/>
      <c r="O817" s="21"/>
      <c r="P817" s="2"/>
      <c r="Q817" s="2"/>
      <c r="R817" s="4"/>
      <c r="S817" s="4"/>
      <c r="T817" s="4"/>
      <c r="U817" s="4"/>
      <c r="V817" s="4"/>
      <c r="W817" s="4"/>
    </row>
    <row r="818" spans="1:23" ht="14.5" hidden="1" customHeight="1" x14ac:dyDescent="0.2">
      <c r="A818">
        <f t="shared" si="12"/>
        <v>812</v>
      </c>
      <c r="B818">
        <v>2014</v>
      </c>
      <c r="C818" t="s">
        <v>207</v>
      </c>
      <c r="D818" t="s">
        <v>479</v>
      </c>
      <c r="E818" s="22">
        <v>130</v>
      </c>
      <c r="H818" t="s">
        <v>148</v>
      </c>
      <c r="J818" t="s">
        <v>5</v>
      </c>
      <c r="K818" t="s">
        <v>214</v>
      </c>
      <c r="L818">
        <v>1</v>
      </c>
      <c r="M818" s="4"/>
      <c r="N818" s="2"/>
      <c r="O818" s="21"/>
      <c r="P818" s="2"/>
      <c r="Q818" s="2"/>
      <c r="R818" s="4"/>
      <c r="S818" s="4"/>
      <c r="T818" s="4"/>
      <c r="U818" s="4"/>
      <c r="V818" s="4"/>
      <c r="W818" s="4"/>
    </row>
    <row r="819" spans="1:23" ht="14.5" hidden="1" customHeight="1" x14ac:dyDescent="0.2">
      <c r="A819">
        <f t="shared" si="12"/>
        <v>813</v>
      </c>
      <c r="B819">
        <v>2014</v>
      </c>
      <c r="C819" t="s">
        <v>240</v>
      </c>
      <c r="D819" t="s">
        <v>444</v>
      </c>
      <c r="E819" s="22">
        <v>690</v>
      </c>
      <c r="H819" t="s">
        <v>142</v>
      </c>
      <c r="J819" t="s">
        <v>115</v>
      </c>
      <c r="K819" t="s">
        <v>201</v>
      </c>
      <c r="L819">
        <v>1</v>
      </c>
      <c r="M819" s="4"/>
      <c r="N819" s="2"/>
      <c r="O819" s="21"/>
      <c r="P819" s="2"/>
      <c r="Q819" s="2"/>
      <c r="R819" s="4"/>
      <c r="S819" s="4"/>
      <c r="T819" s="4"/>
      <c r="U819" s="4"/>
      <c r="V819" s="4"/>
      <c r="W819" s="4"/>
    </row>
    <row r="820" spans="1:23" ht="14.5" hidden="1" customHeight="1" x14ac:dyDescent="0.2">
      <c r="A820">
        <f t="shared" si="12"/>
        <v>814</v>
      </c>
      <c r="B820">
        <v>2014</v>
      </c>
      <c r="C820" t="s">
        <v>240</v>
      </c>
      <c r="D820" t="s">
        <v>397</v>
      </c>
      <c r="E820" s="22">
        <v>210</v>
      </c>
      <c r="H820" t="s">
        <v>153</v>
      </c>
      <c r="J820" t="s">
        <v>2406</v>
      </c>
      <c r="K820" t="s">
        <v>219</v>
      </c>
      <c r="L820">
        <v>1</v>
      </c>
      <c r="M820" s="4"/>
      <c r="N820" s="2"/>
      <c r="O820" s="21"/>
      <c r="P820" s="2"/>
      <c r="Q820" s="2"/>
      <c r="R820" s="4"/>
      <c r="S820" s="4"/>
      <c r="T820" s="4"/>
      <c r="U820" s="4"/>
      <c r="V820" s="4"/>
      <c r="W820" s="4"/>
    </row>
    <row r="821" spans="1:23" ht="14.5" hidden="1" customHeight="1" x14ac:dyDescent="0.2">
      <c r="A821">
        <f t="shared" si="12"/>
        <v>815</v>
      </c>
      <c r="B821">
        <v>2014</v>
      </c>
      <c r="C821" t="s">
        <v>240</v>
      </c>
      <c r="D821" t="s">
        <v>397</v>
      </c>
      <c r="E821" s="22">
        <v>420</v>
      </c>
      <c r="H821" t="s">
        <v>154</v>
      </c>
      <c r="I821" t="s">
        <v>194</v>
      </c>
      <c r="J821" t="s">
        <v>115</v>
      </c>
      <c r="K821" t="s">
        <v>201</v>
      </c>
      <c r="L821">
        <v>1</v>
      </c>
      <c r="M821" s="4"/>
      <c r="N821" s="2"/>
      <c r="O821" s="21"/>
      <c r="P821" s="2"/>
      <c r="Q821" s="2"/>
      <c r="R821" s="4"/>
      <c r="S821" s="4"/>
      <c r="T821" s="4"/>
      <c r="U821" s="4"/>
      <c r="V821" s="4"/>
      <c r="W821" s="4"/>
    </row>
    <row r="822" spans="1:23" ht="14.5" hidden="1" customHeight="1" x14ac:dyDescent="0.2">
      <c r="A822">
        <f t="shared" si="12"/>
        <v>816</v>
      </c>
      <c r="B822">
        <v>2014</v>
      </c>
      <c r="C822" t="s">
        <v>240</v>
      </c>
      <c r="D822" t="s">
        <v>449</v>
      </c>
      <c r="E822" s="22">
        <v>1980</v>
      </c>
      <c r="H822" t="s">
        <v>151</v>
      </c>
      <c r="I822" t="s">
        <v>279</v>
      </c>
      <c r="J822" t="s">
        <v>105</v>
      </c>
      <c r="K822" t="s">
        <v>214</v>
      </c>
      <c r="L822">
        <v>1</v>
      </c>
      <c r="M822" s="4"/>
      <c r="N822" s="2"/>
      <c r="O822" s="21"/>
      <c r="P822" s="2"/>
      <c r="Q822" s="2"/>
      <c r="R822" s="4"/>
      <c r="S822" s="4"/>
      <c r="T822" s="4"/>
      <c r="U822" s="4"/>
      <c r="V822" s="4"/>
      <c r="W822" s="4"/>
    </row>
    <row r="823" spans="1:23" ht="14.5" hidden="1" customHeight="1" x14ac:dyDescent="0.2">
      <c r="A823">
        <f t="shared" si="12"/>
        <v>817</v>
      </c>
      <c r="B823">
        <v>2014</v>
      </c>
      <c r="C823" t="s">
        <v>240</v>
      </c>
      <c r="D823" t="s">
        <v>875</v>
      </c>
      <c r="E823" s="22">
        <v>140</v>
      </c>
      <c r="H823" t="s">
        <v>154</v>
      </c>
      <c r="I823" t="s">
        <v>194</v>
      </c>
      <c r="J823" t="s">
        <v>93</v>
      </c>
      <c r="K823" t="s">
        <v>201</v>
      </c>
      <c r="L823">
        <v>1</v>
      </c>
      <c r="M823" s="4"/>
      <c r="N823" s="2"/>
      <c r="O823" s="21"/>
      <c r="P823" s="2"/>
      <c r="Q823" s="2"/>
      <c r="R823" s="4"/>
      <c r="S823" s="4"/>
      <c r="T823" s="4"/>
      <c r="U823" s="4"/>
      <c r="V823" s="4"/>
      <c r="W823" s="4"/>
    </row>
    <row r="824" spans="1:23" ht="14.5" hidden="1" customHeight="1" x14ac:dyDescent="0.2">
      <c r="A824">
        <f t="shared" si="12"/>
        <v>818</v>
      </c>
      <c r="B824">
        <v>2014</v>
      </c>
      <c r="C824" t="s">
        <v>240</v>
      </c>
      <c r="D824" t="s">
        <v>444</v>
      </c>
      <c r="E824" s="22">
        <v>320</v>
      </c>
      <c r="H824" t="s">
        <v>154</v>
      </c>
      <c r="I824" t="s">
        <v>529</v>
      </c>
      <c r="J824" t="s">
        <v>54</v>
      </c>
      <c r="K824" t="s">
        <v>201</v>
      </c>
      <c r="L824">
        <v>1</v>
      </c>
      <c r="M824" s="4"/>
      <c r="N824" s="2"/>
      <c r="O824" s="21"/>
      <c r="P824" s="2"/>
      <c r="Q824" s="2"/>
      <c r="R824" s="4"/>
      <c r="S824" s="4"/>
      <c r="T824" s="4"/>
      <c r="U824" s="4"/>
      <c r="V824" s="4"/>
      <c r="W824" s="4"/>
    </row>
    <row r="825" spans="1:23" ht="14.5" hidden="1" customHeight="1" x14ac:dyDescent="0.2">
      <c r="A825">
        <f t="shared" si="12"/>
        <v>819</v>
      </c>
      <c r="B825">
        <v>2014</v>
      </c>
      <c r="C825" t="s">
        <v>240</v>
      </c>
      <c r="D825" t="s">
        <v>875</v>
      </c>
      <c r="E825" s="22">
        <v>1600</v>
      </c>
      <c r="H825" t="s">
        <v>144</v>
      </c>
      <c r="I825" t="s">
        <v>187</v>
      </c>
      <c r="J825" t="s">
        <v>62</v>
      </c>
      <c r="K825" t="s">
        <v>214</v>
      </c>
      <c r="L825">
        <v>1</v>
      </c>
      <c r="M825" s="4"/>
      <c r="N825" s="2"/>
      <c r="O825" s="21"/>
      <c r="P825" s="2"/>
      <c r="Q825" s="2"/>
      <c r="R825" s="4"/>
      <c r="S825" s="4"/>
      <c r="T825" s="4"/>
      <c r="U825" s="4"/>
      <c r="V825" s="4"/>
      <c r="W825" s="4"/>
    </row>
    <row r="826" spans="1:23" ht="14.5" hidden="1" customHeight="1" x14ac:dyDescent="0.2">
      <c r="A826">
        <f t="shared" si="12"/>
        <v>820</v>
      </c>
      <c r="B826">
        <v>2014</v>
      </c>
      <c r="C826" t="s">
        <v>240</v>
      </c>
      <c r="D826" t="s">
        <v>1035</v>
      </c>
      <c r="E826" s="22">
        <v>100</v>
      </c>
      <c r="H826" t="s">
        <v>144</v>
      </c>
      <c r="I826" t="s">
        <v>187</v>
      </c>
      <c r="J826" t="s">
        <v>105</v>
      </c>
      <c r="K826" t="s">
        <v>214</v>
      </c>
      <c r="L826">
        <v>1</v>
      </c>
      <c r="M826" s="4"/>
      <c r="N826" s="2"/>
      <c r="O826" s="21"/>
      <c r="P826" s="2"/>
      <c r="Q826" s="2"/>
      <c r="R826" s="4"/>
      <c r="S826" s="4"/>
      <c r="T826" s="4"/>
      <c r="U826" s="4"/>
      <c r="V826" s="4"/>
      <c r="W826" s="4"/>
    </row>
    <row r="827" spans="1:23" ht="14.5" hidden="1" customHeight="1" x14ac:dyDescent="0.2">
      <c r="A827">
        <f t="shared" si="12"/>
        <v>821</v>
      </c>
      <c r="B827">
        <v>2014</v>
      </c>
      <c r="C827" t="s">
        <v>240</v>
      </c>
      <c r="D827" t="s">
        <v>208</v>
      </c>
      <c r="E827" s="22">
        <v>120</v>
      </c>
      <c r="G827" t="s">
        <v>2674</v>
      </c>
      <c r="H827" t="s">
        <v>144</v>
      </c>
      <c r="J827" t="s">
        <v>25</v>
      </c>
      <c r="K827" t="s">
        <v>177</v>
      </c>
      <c r="L827">
        <v>0</v>
      </c>
      <c r="M827" s="4"/>
      <c r="N827" s="2"/>
      <c r="O827" s="21"/>
      <c r="P827" s="2"/>
      <c r="Q827" s="2"/>
      <c r="R827" s="4"/>
      <c r="S827" s="4"/>
      <c r="T827" s="4"/>
      <c r="U827" s="4"/>
      <c r="V827" s="4"/>
      <c r="W827" s="4"/>
    </row>
    <row r="828" spans="1:23" ht="14.5" hidden="1" customHeight="1" x14ac:dyDescent="0.2">
      <c r="A828">
        <f t="shared" si="12"/>
        <v>822</v>
      </c>
      <c r="B828">
        <v>2014</v>
      </c>
      <c r="C828" t="s">
        <v>240</v>
      </c>
      <c r="D828" t="s">
        <v>815</v>
      </c>
      <c r="E828" s="22">
        <v>350</v>
      </c>
      <c r="G828" t="s">
        <v>2675</v>
      </c>
      <c r="H828" t="s">
        <v>151</v>
      </c>
      <c r="I828" t="s">
        <v>279</v>
      </c>
      <c r="J828" t="s">
        <v>53</v>
      </c>
      <c r="K828" t="s">
        <v>183</v>
      </c>
      <c r="L828">
        <v>1</v>
      </c>
      <c r="M828" s="4"/>
      <c r="N828" s="2"/>
      <c r="O828" s="21"/>
      <c r="P828" s="2"/>
      <c r="Q828" s="2"/>
      <c r="R828" s="4"/>
      <c r="S828" s="4"/>
      <c r="T828" s="4"/>
      <c r="U828" s="4"/>
      <c r="V828" s="4"/>
      <c r="W828" s="4"/>
    </row>
    <row r="829" spans="1:23" ht="14.5" hidden="1" customHeight="1" x14ac:dyDescent="0.2">
      <c r="A829">
        <f t="shared" si="12"/>
        <v>823</v>
      </c>
      <c r="B829">
        <v>2014</v>
      </c>
      <c r="C829" t="s">
        <v>240</v>
      </c>
      <c r="D829" t="s">
        <v>1234</v>
      </c>
      <c r="E829" s="22">
        <v>600</v>
      </c>
      <c r="H829" t="s">
        <v>154</v>
      </c>
      <c r="I829" t="s">
        <v>529</v>
      </c>
      <c r="J829" t="s">
        <v>115</v>
      </c>
      <c r="K829" t="s">
        <v>201</v>
      </c>
      <c r="L829">
        <v>1</v>
      </c>
      <c r="M829" s="4"/>
      <c r="N829" s="2"/>
      <c r="O829" s="21"/>
      <c r="P829" s="2"/>
      <c r="Q829" s="2"/>
      <c r="R829" s="4"/>
      <c r="S829" s="4"/>
      <c r="T829" s="4"/>
      <c r="U829" s="4"/>
      <c r="V829" s="4"/>
      <c r="W829" s="4"/>
    </row>
    <row r="830" spans="1:23" ht="14.5" hidden="1" customHeight="1" x14ac:dyDescent="0.2">
      <c r="A830">
        <f t="shared" si="12"/>
        <v>824</v>
      </c>
      <c r="B830">
        <v>2014</v>
      </c>
      <c r="C830" t="s">
        <v>240</v>
      </c>
      <c r="D830" t="s">
        <v>285</v>
      </c>
      <c r="E830" s="22">
        <v>170</v>
      </c>
      <c r="F830" s="16">
        <v>0.5</v>
      </c>
      <c r="H830" t="s">
        <v>144</v>
      </c>
      <c r="I830" t="s">
        <v>197</v>
      </c>
      <c r="J830" t="s">
        <v>67</v>
      </c>
      <c r="K830" t="s">
        <v>183</v>
      </c>
      <c r="L830">
        <v>1</v>
      </c>
      <c r="M830" s="4"/>
      <c r="N830" s="2"/>
      <c r="O830" s="21"/>
      <c r="P830" s="2"/>
      <c r="Q830" s="2"/>
      <c r="R830" s="4"/>
      <c r="S830" s="4"/>
      <c r="T830" s="4"/>
      <c r="U830" s="4"/>
      <c r="V830" s="4"/>
      <c r="W830" s="4"/>
    </row>
    <row r="831" spans="1:23" ht="14.5" hidden="1" customHeight="1" x14ac:dyDescent="0.2">
      <c r="A831">
        <f t="shared" si="12"/>
        <v>825</v>
      </c>
      <c r="B831">
        <v>2014</v>
      </c>
      <c r="C831" t="s">
        <v>240</v>
      </c>
      <c r="D831" t="s">
        <v>2486</v>
      </c>
      <c r="E831" s="22">
        <v>390</v>
      </c>
      <c r="H831" t="s">
        <v>151</v>
      </c>
      <c r="I831" t="s">
        <v>279</v>
      </c>
      <c r="J831" t="s">
        <v>29</v>
      </c>
      <c r="K831" t="s">
        <v>219</v>
      </c>
      <c r="L831">
        <v>1</v>
      </c>
      <c r="M831" s="4"/>
      <c r="N831" s="2"/>
      <c r="O831" s="21"/>
      <c r="P831" s="2"/>
      <c r="Q831" s="2"/>
      <c r="R831" s="4"/>
      <c r="S831" s="4"/>
      <c r="T831" s="4"/>
      <c r="U831" s="4"/>
      <c r="V831" s="4"/>
      <c r="W831" s="4"/>
    </row>
    <row r="832" spans="1:23" ht="14.25" hidden="1" customHeight="1" x14ac:dyDescent="0.2">
      <c r="A832">
        <f t="shared" si="12"/>
        <v>826</v>
      </c>
      <c r="B832">
        <v>2014</v>
      </c>
      <c r="C832" t="s">
        <v>212</v>
      </c>
      <c r="D832" t="s">
        <v>444</v>
      </c>
      <c r="E832" s="22">
        <v>120</v>
      </c>
      <c r="G832" t="s">
        <v>2676</v>
      </c>
      <c r="H832" t="s">
        <v>152</v>
      </c>
      <c r="I832" t="s">
        <v>257</v>
      </c>
      <c r="J832" t="s">
        <v>124</v>
      </c>
      <c r="K832" t="s">
        <v>183</v>
      </c>
      <c r="L832">
        <v>1</v>
      </c>
      <c r="M832" s="4"/>
      <c r="N832" s="2"/>
      <c r="O832" s="21"/>
      <c r="P832" s="2"/>
      <c r="Q832" s="2"/>
      <c r="R832" s="4"/>
      <c r="S832" s="4"/>
      <c r="T832" s="4"/>
      <c r="U832" s="4"/>
      <c r="V832" s="4"/>
      <c r="W832" s="4"/>
    </row>
    <row r="833" spans="1:23" ht="14.5" hidden="1" customHeight="1" x14ac:dyDescent="0.2">
      <c r="A833">
        <f t="shared" si="12"/>
        <v>827</v>
      </c>
      <c r="B833">
        <v>2014</v>
      </c>
      <c r="C833" t="s">
        <v>212</v>
      </c>
      <c r="D833" t="s">
        <v>208</v>
      </c>
      <c r="E833" s="22">
        <v>180</v>
      </c>
      <c r="G833" t="s">
        <v>2677</v>
      </c>
      <c r="H833" t="s">
        <v>144</v>
      </c>
      <c r="I833" t="s">
        <v>273</v>
      </c>
      <c r="J833" t="s">
        <v>54</v>
      </c>
      <c r="K833" t="s">
        <v>201</v>
      </c>
      <c r="L833">
        <v>1</v>
      </c>
      <c r="M833" s="4"/>
      <c r="N833" s="2"/>
      <c r="O833" s="21"/>
      <c r="P833" s="2"/>
      <c r="Q833" s="2"/>
      <c r="R833" s="4"/>
      <c r="S833" s="4"/>
      <c r="T833" s="4"/>
      <c r="U833" s="4"/>
      <c r="V833" s="4"/>
      <c r="W833" s="4"/>
    </row>
    <row r="834" spans="1:23" ht="14.5" hidden="1" customHeight="1" x14ac:dyDescent="0.2">
      <c r="A834">
        <f t="shared" si="12"/>
        <v>828</v>
      </c>
      <c r="B834">
        <v>2014</v>
      </c>
      <c r="C834" t="s">
        <v>212</v>
      </c>
      <c r="D834" t="s">
        <v>444</v>
      </c>
      <c r="E834" s="22">
        <v>610</v>
      </c>
      <c r="H834" t="s">
        <v>144</v>
      </c>
      <c r="J834" t="s">
        <v>81</v>
      </c>
      <c r="K834" t="s">
        <v>219</v>
      </c>
      <c r="L834">
        <v>1</v>
      </c>
      <c r="M834" s="4"/>
      <c r="N834" s="2"/>
      <c r="O834" s="21"/>
      <c r="P834" s="2"/>
      <c r="Q834" s="2"/>
      <c r="R834" s="4"/>
      <c r="S834" s="4"/>
      <c r="T834" s="4"/>
      <c r="U834" s="4"/>
      <c r="V834" s="4"/>
      <c r="W834" s="4"/>
    </row>
    <row r="835" spans="1:23" ht="14.5" hidden="1" customHeight="1" x14ac:dyDescent="0.2">
      <c r="A835">
        <f t="shared" si="12"/>
        <v>829</v>
      </c>
      <c r="B835">
        <v>2014</v>
      </c>
      <c r="C835" t="s">
        <v>212</v>
      </c>
      <c r="D835" t="s">
        <v>449</v>
      </c>
      <c r="E835" s="22">
        <v>100</v>
      </c>
      <c r="H835" t="s">
        <v>154</v>
      </c>
      <c r="I835" t="s">
        <v>271</v>
      </c>
      <c r="J835" t="s">
        <v>7</v>
      </c>
      <c r="K835" t="s">
        <v>177</v>
      </c>
      <c r="L835">
        <v>1</v>
      </c>
      <c r="M835" s="4"/>
      <c r="N835" s="2"/>
      <c r="O835" s="21"/>
      <c r="P835" s="2"/>
      <c r="Q835" s="2"/>
      <c r="R835" s="4"/>
      <c r="S835" s="4"/>
      <c r="T835" s="4"/>
      <c r="U835" s="4"/>
      <c r="V835" s="4"/>
      <c r="W835" s="4"/>
    </row>
    <row r="836" spans="1:23" ht="14.5" hidden="1" customHeight="1" x14ac:dyDescent="0.2">
      <c r="A836">
        <f t="shared" si="12"/>
        <v>830</v>
      </c>
      <c r="B836">
        <v>2014</v>
      </c>
      <c r="C836" t="s">
        <v>212</v>
      </c>
      <c r="D836" t="s">
        <v>221</v>
      </c>
      <c r="E836" s="22">
        <v>550</v>
      </c>
      <c r="G836" t="s">
        <v>2678</v>
      </c>
      <c r="H836" t="s">
        <v>142</v>
      </c>
      <c r="J836" t="s">
        <v>63</v>
      </c>
      <c r="K836" t="s">
        <v>201</v>
      </c>
      <c r="L836">
        <v>1</v>
      </c>
      <c r="M836" s="4"/>
      <c r="N836" s="2"/>
      <c r="O836" s="21"/>
      <c r="P836" s="2"/>
      <c r="Q836" s="2"/>
      <c r="R836" s="4"/>
      <c r="S836" s="4"/>
      <c r="T836" s="4"/>
      <c r="U836" s="4"/>
      <c r="V836" s="4"/>
      <c r="W836" s="4"/>
    </row>
    <row r="837" spans="1:23" ht="14.5" hidden="1" customHeight="1" x14ac:dyDescent="0.2">
      <c r="A837">
        <f t="shared" si="12"/>
        <v>831</v>
      </c>
      <c r="B837">
        <v>2014</v>
      </c>
      <c r="C837" t="s">
        <v>212</v>
      </c>
      <c r="D837" t="s">
        <v>1035</v>
      </c>
      <c r="E837" s="22">
        <v>100</v>
      </c>
      <c r="H837" t="s">
        <v>155</v>
      </c>
      <c r="J837" t="s">
        <v>126</v>
      </c>
      <c r="K837" t="s">
        <v>177</v>
      </c>
      <c r="L837">
        <v>1</v>
      </c>
      <c r="M837" s="4"/>
      <c r="N837" s="2"/>
      <c r="O837" s="21"/>
      <c r="P837" s="2"/>
      <c r="Q837" s="2"/>
      <c r="R837" s="4"/>
      <c r="S837" s="4"/>
      <c r="T837" s="4"/>
      <c r="U837" s="4"/>
      <c r="V837" s="4"/>
      <c r="W837" s="4"/>
    </row>
    <row r="838" spans="1:23" ht="14.5" hidden="1" customHeight="1" x14ac:dyDescent="0.2">
      <c r="A838">
        <f t="shared" si="12"/>
        <v>832</v>
      </c>
      <c r="B838">
        <v>2014</v>
      </c>
      <c r="C838" t="s">
        <v>212</v>
      </c>
      <c r="D838" t="s">
        <v>745</v>
      </c>
      <c r="E838" s="22">
        <v>440</v>
      </c>
      <c r="G838" t="s">
        <v>2679</v>
      </c>
      <c r="H838" t="s">
        <v>143</v>
      </c>
      <c r="J838" t="s">
        <v>53</v>
      </c>
      <c r="K838" t="s">
        <v>183</v>
      </c>
      <c r="L838">
        <v>1</v>
      </c>
      <c r="M838" s="4"/>
      <c r="N838" s="2"/>
      <c r="O838" s="21"/>
      <c r="P838" s="2"/>
      <c r="Q838" s="2"/>
      <c r="R838" s="4"/>
      <c r="S838" s="4"/>
      <c r="T838" s="4"/>
      <c r="U838" s="4"/>
      <c r="V838" s="4"/>
      <c r="W838" s="4"/>
    </row>
    <row r="839" spans="1:23" ht="14.5" hidden="1" customHeight="1" x14ac:dyDescent="0.2">
      <c r="A839">
        <f t="shared" ref="A839:A902" si="13">ROW()-6</f>
        <v>833</v>
      </c>
      <c r="B839">
        <v>2014</v>
      </c>
      <c r="C839" t="s">
        <v>212</v>
      </c>
      <c r="D839" t="s">
        <v>2680</v>
      </c>
      <c r="E839" s="22">
        <v>640</v>
      </c>
      <c r="H839" t="s">
        <v>154</v>
      </c>
      <c r="I839" t="s">
        <v>271</v>
      </c>
      <c r="J839" t="s">
        <v>2557</v>
      </c>
      <c r="K839" t="s">
        <v>219</v>
      </c>
      <c r="L839">
        <v>1</v>
      </c>
      <c r="M839" s="4"/>
      <c r="N839" s="2"/>
      <c r="O839" s="21"/>
      <c r="P839" s="2"/>
      <c r="Q839" s="2"/>
      <c r="R839" s="4"/>
      <c r="S839" s="4"/>
      <c r="T839" s="4"/>
      <c r="U839" s="4"/>
      <c r="V839" s="4"/>
      <c r="W839" s="4"/>
    </row>
    <row r="840" spans="1:23" ht="14.5" hidden="1" customHeight="1" x14ac:dyDescent="0.2">
      <c r="A840">
        <f t="shared" si="13"/>
        <v>834</v>
      </c>
      <c r="B840">
        <v>2014</v>
      </c>
      <c r="C840" t="s">
        <v>212</v>
      </c>
      <c r="D840" t="s">
        <v>444</v>
      </c>
      <c r="E840" s="22">
        <v>100</v>
      </c>
      <c r="G840" t="s">
        <v>2511</v>
      </c>
      <c r="H840" t="s">
        <v>144</v>
      </c>
      <c r="I840" t="s">
        <v>232</v>
      </c>
      <c r="J840" t="s">
        <v>93</v>
      </c>
      <c r="K840" t="s">
        <v>201</v>
      </c>
      <c r="L840">
        <v>1</v>
      </c>
      <c r="M840" s="4"/>
      <c r="N840" s="2"/>
      <c r="O840" s="21"/>
      <c r="P840" s="2"/>
      <c r="Q840" s="2"/>
      <c r="R840" s="4"/>
      <c r="S840" s="4"/>
      <c r="T840" s="4"/>
      <c r="U840" s="4"/>
      <c r="V840" s="4"/>
      <c r="W840" s="4"/>
    </row>
    <row r="841" spans="1:23" ht="14.5" hidden="1" customHeight="1" x14ac:dyDescent="0.2">
      <c r="A841">
        <f t="shared" si="13"/>
        <v>835</v>
      </c>
      <c r="B841">
        <v>2014</v>
      </c>
      <c r="C841" t="s">
        <v>212</v>
      </c>
      <c r="D841" t="s">
        <v>221</v>
      </c>
      <c r="E841" s="22">
        <v>760</v>
      </c>
      <c r="H841" t="s">
        <v>151</v>
      </c>
      <c r="I841" t="s">
        <v>279</v>
      </c>
      <c r="J841" t="s">
        <v>135</v>
      </c>
      <c r="K841" t="s">
        <v>205</v>
      </c>
      <c r="L841">
        <v>1</v>
      </c>
      <c r="M841" s="4"/>
      <c r="N841" s="2"/>
      <c r="O841" s="21"/>
      <c r="P841" s="2"/>
      <c r="Q841" s="2"/>
      <c r="R841" s="4"/>
      <c r="S841" s="4"/>
      <c r="T841" s="4"/>
      <c r="U841" s="4"/>
      <c r="V841" s="4"/>
      <c r="W841" s="4"/>
    </row>
    <row r="842" spans="1:23" ht="14.5" hidden="1" customHeight="1" x14ac:dyDescent="0.2">
      <c r="A842">
        <f t="shared" si="13"/>
        <v>836</v>
      </c>
      <c r="B842">
        <v>2014</v>
      </c>
      <c r="C842" t="s">
        <v>212</v>
      </c>
      <c r="D842" t="s">
        <v>2228</v>
      </c>
      <c r="E842" s="22">
        <v>2100</v>
      </c>
      <c r="H842" t="s">
        <v>154</v>
      </c>
      <c r="I842" t="s">
        <v>194</v>
      </c>
      <c r="J842" t="s">
        <v>2554</v>
      </c>
      <c r="K842" t="s">
        <v>219</v>
      </c>
      <c r="L842">
        <v>1</v>
      </c>
      <c r="M842" s="4"/>
      <c r="N842" s="2"/>
      <c r="O842" s="21"/>
      <c r="P842" s="2"/>
      <c r="Q842" s="2"/>
      <c r="R842" s="4"/>
      <c r="S842" s="4"/>
      <c r="T842" s="4"/>
      <c r="U842" s="4"/>
      <c r="V842" s="4"/>
      <c r="W842" s="4"/>
    </row>
    <row r="843" spans="1:23" ht="14.5" hidden="1" customHeight="1" x14ac:dyDescent="0.2">
      <c r="A843">
        <f t="shared" si="13"/>
        <v>837</v>
      </c>
      <c r="B843">
        <v>2014</v>
      </c>
      <c r="C843" t="s">
        <v>212</v>
      </c>
      <c r="D843" t="s">
        <v>1035</v>
      </c>
      <c r="E843" s="22">
        <v>120</v>
      </c>
      <c r="F843" s="16">
        <v>0.51</v>
      </c>
      <c r="H843" t="s">
        <v>154</v>
      </c>
      <c r="I843" t="s">
        <v>194</v>
      </c>
      <c r="J843" t="s">
        <v>2628</v>
      </c>
      <c r="K843" t="s">
        <v>195</v>
      </c>
      <c r="L843">
        <v>1</v>
      </c>
      <c r="M843" s="4"/>
      <c r="N843" s="2"/>
      <c r="O843" s="21"/>
      <c r="P843" s="2"/>
      <c r="Q843" s="2"/>
      <c r="R843" s="4"/>
      <c r="S843" s="4"/>
      <c r="T843" s="4"/>
      <c r="U843" s="4"/>
      <c r="V843" s="4"/>
      <c r="W843" s="4"/>
    </row>
    <row r="844" spans="1:23" ht="14.5" hidden="1" customHeight="1" x14ac:dyDescent="0.2">
      <c r="A844">
        <f t="shared" si="13"/>
        <v>838</v>
      </c>
      <c r="B844">
        <v>2014</v>
      </c>
      <c r="C844" t="s">
        <v>212</v>
      </c>
      <c r="D844" t="s">
        <v>2681</v>
      </c>
      <c r="E844" s="22">
        <v>220</v>
      </c>
      <c r="H844" t="s">
        <v>151</v>
      </c>
      <c r="I844" t="s">
        <v>279</v>
      </c>
      <c r="J844" t="s">
        <v>78</v>
      </c>
      <c r="K844" t="s">
        <v>183</v>
      </c>
      <c r="L844">
        <v>1</v>
      </c>
      <c r="M844" s="4"/>
      <c r="N844" s="2"/>
      <c r="O844" s="21"/>
      <c r="P844" s="2"/>
      <c r="Q844" s="2"/>
      <c r="R844" s="4"/>
      <c r="S844" s="4"/>
      <c r="T844" s="4"/>
      <c r="U844" s="4"/>
      <c r="V844" s="4"/>
      <c r="W844" s="4"/>
    </row>
    <row r="845" spans="1:23" ht="14.5" hidden="1" customHeight="1" x14ac:dyDescent="0.2">
      <c r="A845">
        <f t="shared" si="13"/>
        <v>839</v>
      </c>
      <c r="B845">
        <v>2014</v>
      </c>
      <c r="C845" t="s">
        <v>212</v>
      </c>
      <c r="D845" t="s">
        <v>444</v>
      </c>
      <c r="E845" s="22">
        <v>650</v>
      </c>
      <c r="H845" t="s">
        <v>142</v>
      </c>
      <c r="J845" t="s">
        <v>40</v>
      </c>
      <c r="K845" t="s">
        <v>219</v>
      </c>
      <c r="L845">
        <v>1</v>
      </c>
      <c r="M845" s="4"/>
      <c r="N845" s="2"/>
      <c r="O845" s="21"/>
      <c r="P845" s="2"/>
      <c r="Q845" s="2"/>
      <c r="R845" s="4"/>
      <c r="S845" s="4"/>
      <c r="T845" s="4"/>
      <c r="U845" s="4"/>
      <c r="V845" s="4"/>
      <c r="W845" s="4"/>
    </row>
    <row r="846" spans="1:23" ht="14.5" hidden="1" customHeight="1" x14ac:dyDescent="0.2">
      <c r="A846">
        <f t="shared" si="13"/>
        <v>840</v>
      </c>
      <c r="B846">
        <v>2014</v>
      </c>
      <c r="C846" t="s">
        <v>212</v>
      </c>
      <c r="D846" t="s">
        <v>479</v>
      </c>
      <c r="E846" s="22">
        <v>730</v>
      </c>
      <c r="H846" t="s">
        <v>154</v>
      </c>
      <c r="I846" t="s">
        <v>194</v>
      </c>
      <c r="J846" t="s">
        <v>24</v>
      </c>
      <c r="K846" t="s">
        <v>219</v>
      </c>
      <c r="L846">
        <v>1</v>
      </c>
      <c r="M846" s="4"/>
      <c r="N846" s="2"/>
      <c r="O846" s="21"/>
      <c r="P846" s="2"/>
      <c r="Q846" s="2"/>
      <c r="R846" s="4"/>
      <c r="S846" s="4"/>
      <c r="T846" s="4"/>
      <c r="U846" s="4"/>
      <c r="V846" s="4"/>
      <c r="W846" s="4"/>
    </row>
    <row r="847" spans="1:23" ht="14.5" hidden="1" customHeight="1" x14ac:dyDescent="0.2">
      <c r="A847">
        <f t="shared" si="13"/>
        <v>841</v>
      </c>
      <c r="B847">
        <v>2014</v>
      </c>
      <c r="C847" t="s">
        <v>212</v>
      </c>
      <c r="D847" t="s">
        <v>444</v>
      </c>
      <c r="E847" s="22">
        <v>190</v>
      </c>
      <c r="G847" t="s">
        <v>2682</v>
      </c>
      <c r="H847" t="s">
        <v>144</v>
      </c>
      <c r="I847" t="s">
        <v>197</v>
      </c>
      <c r="J847" t="s">
        <v>138</v>
      </c>
      <c r="K847" t="s">
        <v>219</v>
      </c>
      <c r="L847">
        <v>1</v>
      </c>
      <c r="M847" s="4"/>
      <c r="N847" s="2"/>
      <c r="O847" s="21"/>
      <c r="P847" s="2"/>
      <c r="Q847" s="2"/>
      <c r="R847" s="4"/>
      <c r="S847" s="4"/>
      <c r="T847" s="4"/>
      <c r="U847" s="4"/>
      <c r="V847" s="4"/>
      <c r="W847" s="4"/>
    </row>
    <row r="848" spans="1:23" ht="14.5" hidden="1" customHeight="1" x14ac:dyDescent="0.2">
      <c r="A848">
        <f t="shared" si="13"/>
        <v>842</v>
      </c>
      <c r="B848">
        <v>2014</v>
      </c>
      <c r="C848" t="s">
        <v>212</v>
      </c>
      <c r="D848" t="s">
        <v>199</v>
      </c>
      <c r="E848" s="22">
        <v>900</v>
      </c>
      <c r="F848" s="16">
        <v>0.5</v>
      </c>
      <c r="G848" t="s">
        <v>738</v>
      </c>
      <c r="H848" t="s">
        <v>144</v>
      </c>
      <c r="I848" t="s">
        <v>299</v>
      </c>
      <c r="J848" t="s">
        <v>63</v>
      </c>
      <c r="K848" t="s">
        <v>201</v>
      </c>
      <c r="L848">
        <v>1</v>
      </c>
      <c r="M848" s="4"/>
      <c r="N848" s="2"/>
      <c r="O848" s="21"/>
      <c r="P848" s="2"/>
      <c r="Q848" s="2"/>
      <c r="R848" s="4"/>
      <c r="S848" s="4"/>
      <c r="T848" s="4"/>
      <c r="U848" s="4"/>
      <c r="V848" s="4"/>
      <c r="W848" s="4"/>
    </row>
    <row r="849" spans="1:23" ht="14.5" hidden="1" customHeight="1" x14ac:dyDescent="0.2">
      <c r="A849">
        <f t="shared" si="13"/>
        <v>843</v>
      </c>
      <c r="B849">
        <v>2015</v>
      </c>
      <c r="C849" t="s">
        <v>172</v>
      </c>
      <c r="D849" t="s">
        <v>449</v>
      </c>
      <c r="E849" s="22">
        <v>600</v>
      </c>
      <c r="H849" t="s">
        <v>154</v>
      </c>
      <c r="I849" t="s">
        <v>250</v>
      </c>
      <c r="J849" t="s">
        <v>36</v>
      </c>
      <c r="K849" t="s">
        <v>219</v>
      </c>
      <c r="L849">
        <v>1</v>
      </c>
      <c r="M849" s="4"/>
      <c r="N849" s="2"/>
      <c r="O849" s="21"/>
      <c r="P849" s="2"/>
      <c r="Q849" s="2"/>
      <c r="R849" s="4"/>
      <c r="S849" s="4"/>
      <c r="T849" s="4"/>
      <c r="U849" s="4"/>
      <c r="V849" s="4"/>
      <c r="W849" s="4"/>
    </row>
    <row r="850" spans="1:23" ht="14.5" hidden="1" customHeight="1" x14ac:dyDescent="0.2">
      <c r="A850">
        <f t="shared" si="13"/>
        <v>844</v>
      </c>
      <c r="B850">
        <v>2015</v>
      </c>
      <c r="C850" t="s">
        <v>172</v>
      </c>
      <c r="D850" t="s">
        <v>397</v>
      </c>
      <c r="E850" s="22">
        <v>430</v>
      </c>
      <c r="H850" t="s">
        <v>151</v>
      </c>
      <c r="I850" t="s">
        <v>279</v>
      </c>
      <c r="J850" t="s">
        <v>72</v>
      </c>
      <c r="K850" t="s">
        <v>183</v>
      </c>
      <c r="L850">
        <v>1</v>
      </c>
      <c r="M850" s="4"/>
      <c r="N850" s="2"/>
      <c r="O850" s="21"/>
      <c r="P850" s="2"/>
      <c r="Q850" s="2"/>
      <c r="R850" s="4"/>
      <c r="S850" s="4"/>
      <c r="T850" s="4"/>
      <c r="U850" s="4"/>
      <c r="V850" s="4"/>
      <c r="W850" s="4"/>
    </row>
    <row r="851" spans="1:23" ht="14.5" hidden="1" customHeight="1" x14ac:dyDescent="0.2">
      <c r="A851">
        <f t="shared" si="13"/>
        <v>845</v>
      </c>
      <c r="B851">
        <v>2015</v>
      </c>
      <c r="C851" t="s">
        <v>172</v>
      </c>
      <c r="D851" t="s">
        <v>397</v>
      </c>
      <c r="E851" s="22">
        <v>170</v>
      </c>
      <c r="H851" t="s">
        <v>154</v>
      </c>
      <c r="I851" t="s">
        <v>194</v>
      </c>
      <c r="J851" t="s">
        <v>131</v>
      </c>
      <c r="K851" t="s">
        <v>131</v>
      </c>
      <c r="L851">
        <v>0</v>
      </c>
      <c r="M851" s="4"/>
      <c r="N851" s="2"/>
      <c r="O851" s="21"/>
      <c r="P851" s="2"/>
      <c r="Q851" s="2"/>
      <c r="R851" s="4"/>
      <c r="S851" s="4"/>
      <c r="T851" s="4"/>
      <c r="U851" s="4"/>
      <c r="V851" s="4"/>
      <c r="W851" s="4"/>
    </row>
    <row r="852" spans="1:23" ht="14.5" hidden="1" customHeight="1" x14ac:dyDescent="0.2">
      <c r="A852">
        <f t="shared" si="13"/>
        <v>846</v>
      </c>
      <c r="B852">
        <v>2015</v>
      </c>
      <c r="C852" t="s">
        <v>172</v>
      </c>
      <c r="D852" t="s">
        <v>444</v>
      </c>
      <c r="E852" s="22">
        <v>790</v>
      </c>
      <c r="H852" t="s">
        <v>155</v>
      </c>
      <c r="J852" t="s">
        <v>24</v>
      </c>
      <c r="K852" t="s">
        <v>219</v>
      </c>
      <c r="L852">
        <v>1</v>
      </c>
      <c r="M852" s="4"/>
      <c r="N852" s="2"/>
      <c r="O852" s="21"/>
      <c r="P852" s="2"/>
      <c r="Q852" s="2"/>
      <c r="R852" s="4"/>
      <c r="S852" s="4"/>
      <c r="T852" s="4"/>
      <c r="U852" s="4"/>
      <c r="V852" s="4"/>
      <c r="W852" s="4"/>
    </row>
    <row r="853" spans="1:23" ht="14.5" hidden="1" customHeight="1" x14ac:dyDescent="0.2">
      <c r="A853">
        <f t="shared" si="13"/>
        <v>847</v>
      </c>
      <c r="B853">
        <v>2015</v>
      </c>
      <c r="C853" t="s">
        <v>258</v>
      </c>
      <c r="D853" t="s">
        <v>1035</v>
      </c>
      <c r="E853" s="22">
        <v>650</v>
      </c>
      <c r="H853" t="s">
        <v>144</v>
      </c>
      <c r="I853" t="s">
        <v>197</v>
      </c>
      <c r="J853" t="s">
        <v>24</v>
      </c>
      <c r="K853" t="s">
        <v>219</v>
      </c>
      <c r="L853">
        <v>1</v>
      </c>
      <c r="M853" s="4"/>
      <c r="N853" s="2"/>
      <c r="O853" s="21"/>
      <c r="P853" s="2"/>
      <c r="Q853" s="2"/>
      <c r="R853" s="4"/>
      <c r="S853" s="4"/>
      <c r="T853" s="4"/>
      <c r="U853" s="4"/>
      <c r="V853" s="4"/>
      <c r="W853" s="4"/>
    </row>
    <row r="854" spans="1:23" ht="14.5" hidden="1" customHeight="1" x14ac:dyDescent="0.2">
      <c r="A854">
        <f t="shared" si="13"/>
        <v>848</v>
      </c>
      <c r="B854">
        <v>2015</v>
      </c>
      <c r="C854" t="s">
        <v>258</v>
      </c>
      <c r="D854" t="s">
        <v>397</v>
      </c>
      <c r="E854" s="22">
        <v>170</v>
      </c>
      <c r="G854" t="s">
        <v>2683</v>
      </c>
      <c r="H854" t="s">
        <v>153</v>
      </c>
      <c r="J854" t="s">
        <v>130</v>
      </c>
      <c r="K854" t="s">
        <v>214</v>
      </c>
      <c r="L854">
        <v>1</v>
      </c>
      <c r="M854" s="4"/>
      <c r="N854" s="2"/>
      <c r="O854" s="21"/>
      <c r="P854" s="2"/>
      <c r="Q854" s="2"/>
      <c r="R854" s="4"/>
      <c r="S854" s="4"/>
      <c r="T854" s="4"/>
      <c r="U854" s="4"/>
      <c r="V854" s="4"/>
      <c r="W854" s="4"/>
    </row>
    <row r="855" spans="1:23" ht="14.5" hidden="1" customHeight="1" x14ac:dyDescent="0.2">
      <c r="A855">
        <f t="shared" si="13"/>
        <v>849</v>
      </c>
      <c r="B855">
        <v>2015</v>
      </c>
      <c r="C855" t="s">
        <v>258</v>
      </c>
      <c r="D855" t="s">
        <v>479</v>
      </c>
      <c r="E855" s="22">
        <v>230</v>
      </c>
      <c r="H855" t="s">
        <v>154</v>
      </c>
      <c r="I855" t="s">
        <v>250</v>
      </c>
      <c r="J855" t="s">
        <v>40</v>
      </c>
      <c r="K855" t="s">
        <v>219</v>
      </c>
      <c r="L855">
        <v>1</v>
      </c>
      <c r="M855" s="4"/>
      <c r="N855" s="2"/>
      <c r="O855" s="21"/>
      <c r="P855" s="2"/>
      <c r="Q855" s="2"/>
      <c r="R855" s="4"/>
      <c r="S855" s="4"/>
      <c r="T855" s="4"/>
      <c r="U855" s="4"/>
      <c r="V855" s="4"/>
      <c r="W855" s="4"/>
    </row>
    <row r="856" spans="1:23" ht="14.5" hidden="1" customHeight="1" x14ac:dyDescent="0.2">
      <c r="A856">
        <f t="shared" si="13"/>
        <v>850</v>
      </c>
      <c r="B856">
        <v>2015</v>
      </c>
      <c r="C856" t="s">
        <v>258</v>
      </c>
      <c r="D856" t="s">
        <v>444</v>
      </c>
      <c r="E856" s="22">
        <v>110</v>
      </c>
      <c r="H856" t="s">
        <v>144</v>
      </c>
      <c r="J856" t="s">
        <v>74</v>
      </c>
      <c r="K856" t="s">
        <v>219</v>
      </c>
      <c r="L856">
        <v>1</v>
      </c>
      <c r="M856" s="4"/>
      <c r="N856" s="2"/>
      <c r="O856" s="21"/>
      <c r="P856" s="2"/>
      <c r="Q856" s="2"/>
      <c r="R856" s="4"/>
      <c r="S856" s="4"/>
      <c r="T856" s="4"/>
      <c r="U856" s="4"/>
      <c r="V856" s="4"/>
      <c r="W856" s="4"/>
    </row>
    <row r="857" spans="1:23" ht="14.5" hidden="1" customHeight="1" x14ac:dyDescent="0.2">
      <c r="A857">
        <f t="shared" si="13"/>
        <v>851</v>
      </c>
      <c r="B857">
        <v>2015</v>
      </c>
      <c r="C857" t="s">
        <v>258</v>
      </c>
      <c r="D857" t="s">
        <v>341</v>
      </c>
      <c r="E857" s="22">
        <v>290</v>
      </c>
      <c r="H857" t="s">
        <v>154</v>
      </c>
      <c r="I857" t="s">
        <v>194</v>
      </c>
      <c r="J857" t="s">
        <v>2684</v>
      </c>
      <c r="K857" t="s">
        <v>183</v>
      </c>
      <c r="L857">
        <v>1</v>
      </c>
      <c r="M857" s="4"/>
      <c r="N857" s="2"/>
      <c r="O857" s="21"/>
      <c r="P857" s="2"/>
      <c r="Q857" s="2"/>
      <c r="R857" s="4"/>
      <c r="S857" s="4"/>
      <c r="T857" s="4"/>
      <c r="U857" s="4"/>
      <c r="V857" s="4"/>
      <c r="W857" s="4"/>
    </row>
    <row r="858" spans="1:23" ht="14.5" hidden="1" customHeight="1" x14ac:dyDescent="0.2">
      <c r="A858">
        <f t="shared" si="13"/>
        <v>852</v>
      </c>
      <c r="B858">
        <v>2015</v>
      </c>
      <c r="C858" t="s">
        <v>258</v>
      </c>
      <c r="D858" t="s">
        <v>341</v>
      </c>
      <c r="E858" s="22">
        <v>150</v>
      </c>
      <c r="H858" t="s">
        <v>149</v>
      </c>
      <c r="J858" t="s">
        <v>63</v>
      </c>
      <c r="K858" t="s">
        <v>201</v>
      </c>
      <c r="L858">
        <v>1</v>
      </c>
      <c r="M858" s="4"/>
      <c r="N858" s="2"/>
      <c r="O858" s="21"/>
      <c r="P858" s="2"/>
      <c r="Q858" s="2"/>
      <c r="R858" s="4"/>
      <c r="S858" s="4"/>
      <c r="T858" s="4"/>
      <c r="U858" s="4"/>
      <c r="V858" s="4"/>
      <c r="W858" s="4"/>
    </row>
    <row r="859" spans="1:23" ht="14.5" hidden="1" customHeight="1" x14ac:dyDescent="0.2">
      <c r="A859">
        <f t="shared" si="13"/>
        <v>853</v>
      </c>
      <c r="B859">
        <v>2015</v>
      </c>
      <c r="C859" t="s">
        <v>258</v>
      </c>
      <c r="D859" t="s">
        <v>444</v>
      </c>
      <c r="E859" s="22">
        <v>160</v>
      </c>
      <c r="H859" t="s">
        <v>147</v>
      </c>
      <c r="J859" t="s">
        <v>138</v>
      </c>
      <c r="K859" t="s">
        <v>219</v>
      </c>
      <c r="L859">
        <v>1</v>
      </c>
      <c r="M859" s="4"/>
      <c r="N859" s="2"/>
      <c r="O859" s="21"/>
      <c r="P859" s="2"/>
      <c r="Q859" s="2"/>
      <c r="R859" s="4"/>
      <c r="S859" s="4"/>
      <c r="T859" s="4"/>
      <c r="U859" s="4"/>
      <c r="V859" s="4"/>
      <c r="W859" s="4"/>
    </row>
    <row r="860" spans="1:23" ht="14.5" hidden="1" customHeight="1" x14ac:dyDescent="0.2">
      <c r="A860">
        <f t="shared" si="13"/>
        <v>854</v>
      </c>
      <c r="B860">
        <v>2015</v>
      </c>
      <c r="C860" t="s">
        <v>179</v>
      </c>
      <c r="D860" t="s">
        <v>2685</v>
      </c>
      <c r="E860" s="22">
        <v>160</v>
      </c>
      <c r="H860" t="s">
        <v>154</v>
      </c>
      <c r="I860" t="s">
        <v>194</v>
      </c>
      <c r="J860" t="s">
        <v>93</v>
      </c>
      <c r="K860" t="s">
        <v>201</v>
      </c>
      <c r="L860">
        <v>1</v>
      </c>
      <c r="M860" s="4"/>
      <c r="N860" s="2"/>
      <c r="O860" s="21"/>
      <c r="P860" s="2"/>
      <c r="Q860" s="2"/>
      <c r="R860" s="4"/>
      <c r="S860" s="4"/>
      <c r="T860" s="4"/>
      <c r="U860" s="4"/>
      <c r="V860" s="4"/>
      <c r="W860" s="4"/>
    </row>
    <row r="861" spans="1:23" s="17" customFormat="1" ht="15.75" hidden="1" customHeight="1" x14ac:dyDescent="0.2">
      <c r="A861">
        <f t="shared" si="13"/>
        <v>855</v>
      </c>
      <c r="B861">
        <v>2015</v>
      </c>
      <c r="C861" t="s">
        <v>179</v>
      </c>
      <c r="D861" t="s">
        <v>1035</v>
      </c>
      <c r="E861" s="22">
        <v>300</v>
      </c>
      <c r="F861" s="16"/>
      <c r="H861" t="s">
        <v>144</v>
      </c>
      <c r="I861" t="s">
        <v>232</v>
      </c>
      <c r="J861" t="s">
        <v>8</v>
      </c>
      <c r="K861" t="s">
        <v>205</v>
      </c>
      <c r="L861">
        <v>1</v>
      </c>
      <c r="M861" s="4"/>
      <c r="N861" s="2"/>
      <c r="O861" s="21"/>
      <c r="P861" s="2"/>
      <c r="Q861" s="2"/>
      <c r="R861" s="4"/>
      <c r="S861" s="4"/>
      <c r="T861" s="4"/>
      <c r="U861" s="4"/>
      <c r="V861" s="4"/>
      <c r="W861" s="4"/>
    </row>
    <row r="862" spans="1:23" ht="14.5" hidden="1" customHeight="1" x14ac:dyDescent="0.2">
      <c r="A862">
        <f t="shared" si="13"/>
        <v>856</v>
      </c>
      <c r="B862">
        <v>2015</v>
      </c>
      <c r="C862" t="s">
        <v>179</v>
      </c>
      <c r="D862" t="s">
        <v>221</v>
      </c>
      <c r="E862" s="22">
        <v>300</v>
      </c>
      <c r="H862" t="s">
        <v>154</v>
      </c>
      <c r="I862" t="s">
        <v>194</v>
      </c>
      <c r="J862" t="s">
        <v>14</v>
      </c>
      <c r="K862" t="s">
        <v>195</v>
      </c>
      <c r="L862">
        <v>1</v>
      </c>
      <c r="M862" s="4"/>
      <c r="N862" s="2"/>
      <c r="O862" s="21"/>
      <c r="P862" s="2"/>
      <c r="Q862" s="2"/>
      <c r="R862" s="4"/>
      <c r="S862" s="4"/>
      <c r="T862" s="4"/>
      <c r="U862" s="4"/>
      <c r="V862" s="4"/>
      <c r="W862" s="4"/>
    </row>
    <row r="863" spans="1:23" ht="14.5" hidden="1" customHeight="1" x14ac:dyDescent="0.2">
      <c r="A863">
        <f t="shared" si="13"/>
        <v>857</v>
      </c>
      <c r="B863">
        <v>2015</v>
      </c>
      <c r="C863" t="s">
        <v>184</v>
      </c>
      <c r="D863" t="s">
        <v>449</v>
      </c>
      <c r="E863" s="22">
        <v>600</v>
      </c>
      <c r="G863" t="s">
        <v>2686</v>
      </c>
      <c r="H863" t="s">
        <v>154</v>
      </c>
      <c r="I863" t="s">
        <v>529</v>
      </c>
      <c r="J863" t="s">
        <v>38</v>
      </c>
      <c r="K863" t="s">
        <v>214</v>
      </c>
      <c r="L863">
        <v>1</v>
      </c>
      <c r="M863" s="4"/>
      <c r="N863" s="2"/>
      <c r="O863" s="21"/>
      <c r="P863" s="2"/>
      <c r="Q863" s="2"/>
      <c r="R863" s="4"/>
      <c r="S863" s="4"/>
      <c r="T863" s="4"/>
      <c r="U863" s="4"/>
      <c r="V863" s="4"/>
      <c r="W863" s="4"/>
    </row>
    <row r="864" spans="1:23" ht="14.5" hidden="1" customHeight="1" x14ac:dyDescent="0.2">
      <c r="A864">
        <f t="shared" si="13"/>
        <v>858</v>
      </c>
      <c r="B864">
        <v>2015</v>
      </c>
      <c r="C864" t="s">
        <v>184</v>
      </c>
      <c r="D864" t="s">
        <v>479</v>
      </c>
      <c r="E864" s="22">
        <v>350</v>
      </c>
      <c r="H864" t="s">
        <v>154</v>
      </c>
      <c r="I864" t="s">
        <v>271</v>
      </c>
      <c r="J864" t="s">
        <v>46</v>
      </c>
      <c r="K864" t="s">
        <v>219</v>
      </c>
      <c r="L864">
        <v>1</v>
      </c>
      <c r="M864" s="4"/>
      <c r="N864" s="2"/>
      <c r="O864" s="21"/>
      <c r="P864" s="2"/>
      <c r="Q864" s="2"/>
      <c r="R864" s="4"/>
      <c r="S864" s="4"/>
      <c r="T864" s="4"/>
      <c r="U864" s="4"/>
      <c r="V864" s="4"/>
      <c r="W864" s="4"/>
    </row>
    <row r="865" spans="1:23" ht="14.5" hidden="1" customHeight="1" x14ac:dyDescent="0.2">
      <c r="A865">
        <f t="shared" si="13"/>
        <v>859</v>
      </c>
      <c r="B865">
        <v>2015</v>
      </c>
      <c r="C865" t="s">
        <v>184</v>
      </c>
      <c r="D865" t="s">
        <v>397</v>
      </c>
      <c r="E865" s="22">
        <v>270</v>
      </c>
      <c r="H865" t="s">
        <v>146</v>
      </c>
      <c r="J865" t="s">
        <v>40</v>
      </c>
      <c r="K865" t="s">
        <v>219</v>
      </c>
      <c r="L865">
        <v>1</v>
      </c>
      <c r="M865" s="4"/>
      <c r="N865" s="2"/>
      <c r="O865" s="21"/>
      <c r="P865" s="2"/>
      <c r="Q865" s="2"/>
      <c r="R865" s="4"/>
      <c r="S865" s="4"/>
      <c r="T865" s="4"/>
      <c r="U865" s="4"/>
      <c r="V865" s="4"/>
      <c r="W865" s="4"/>
    </row>
    <row r="866" spans="1:23" ht="14.5" hidden="1" customHeight="1" x14ac:dyDescent="0.2">
      <c r="A866">
        <f t="shared" si="13"/>
        <v>860</v>
      </c>
      <c r="B866">
        <v>2015</v>
      </c>
      <c r="C866" t="s">
        <v>184</v>
      </c>
      <c r="D866" t="s">
        <v>397</v>
      </c>
      <c r="E866" s="22">
        <v>160</v>
      </c>
      <c r="H866" t="s">
        <v>151</v>
      </c>
      <c r="I866" t="s">
        <v>279</v>
      </c>
      <c r="J866" t="s">
        <v>115</v>
      </c>
      <c r="K866" t="s">
        <v>201</v>
      </c>
      <c r="L866">
        <v>1</v>
      </c>
      <c r="M866" s="4"/>
      <c r="N866" s="2"/>
      <c r="O866" s="21"/>
      <c r="P866" s="2"/>
      <c r="Q866" s="2"/>
      <c r="R866" s="4"/>
      <c r="S866" s="4"/>
      <c r="T866" s="4"/>
      <c r="U866" s="4"/>
      <c r="V866" s="4"/>
      <c r="W866" s="4"/>
    </row>
    <row r="867" spans="1:23" ht="14.5" hidden="1" customHeight="1" x14ac:dyDescent="0.2">
      <c r="A867">
        <f t="shared" si="13"/>
        <v>861</v>
      </c>
      <c r="B867">
        <v>2015</v>
      </c>
      <c r="C867" t="s">
        <v>184</v>
      </c>
      <c r="D867" t="s">
        <v>449</v>
      </c>
      <c r="E867" s="22">
        <v>1930</v>
      </c>
      <c r="H867" t="s">
        <v>151</v>
      </c>
      <c r="I867" t="s">
        <v>279</v>
      </c>
      <c r="J867" t="s">
        <v>139</v>
      </c>
      <c r="K867" t="s">
        <v>219</v>
      </c>
      <c r="L867">
        <v>1</v>
      </c>
      <c r="M867" s="4"/>
      <c r="N867" s="2"/>
      <c r="O867" s="21"/>
      <c r="P867" s="2"/>
      <c r="Q867" s="2"/>
      <c r="R867" s="4"/>
      <c r="S867" s="4"/>
      <c r="T867" s="4"/>
      <c r="U867" s="4"/>
      <c r="V867" s="4"/>
      <c r="W867" s="4"/>
    </row>
    <row r="868" spans="1:23" ht="14.5" hidden="1" customHeight="1" x14ac:dyDescent="0.2">
      <c r="A868">
        <f t="shared" si="13"/>
        <v>862</v>
      </c>
      <c r="B868">
        <v>2015</v>
      </c>
      <c r="C868" t="s">
        <v>184</v>
      </c>
      <c r="D868" t="s">
        <v>397</v>
      </c>
      <c r="E868" s="22">
        <v>460</v>
      </c>
      <c r="H868" t="s">
        <v>150</v>
      </c>
      <c r="I868" t="s">
        <v>744</v>
      </c>
      <c r="J868" t="s">
        <v>65</v>
      </c>
      <c r="K868" t="s">
        <v>214</v>
      </c>
      <c r="L868">
        <v>1</v>
      </c>
      <c r="M868" s="4"/>
      <c r="N868" s="2"/>
      <c r="O868" s="21"/>
      <c r="P868" s="2"/>
      <c r="Q868" s="2"/>
      <c r="R868" s="4"/>
      <c r="S868" s="4"/>
      <c r="T868" s="4"/>
      <c r="U868" s="4"/>
      <c r="V868" s="4"/>
      <c r="W868" s="4"/>
    </row>
    <row r="869" spans="1:23" ht="14.5" hidden="1" customHeight="1" x14ac:dyDescent="0.2">
      <c r="A869">
        <f t="shared" si="13"/>
        <v>863</v>
      </c>
      <c r="B869">
        <v>2015</v>
      </c>
      <c r="C869" t="s">
        <v>184</v>
      </c>
      <c r="D869" t="s">
        <v>2687</v>
      </c>
      <c r="E869" s="22">
        <v>410</v>
      </c>
      <c r="H869" t="s">
        <v>154</v>
      </c>
      <c r="I869" t="s">
        <v>194</v>
      </c>
      <c r="J869" t="s">
        <v>81</v>
      </c>
      <c r="K869" t="s">
        <v>219</v>
      </c>
      <c r="L869">
        <v>1</v>
      </c>
      <c r="M869" s="4"/>
      <c r="N869" s="2"/>
      <c r="O869" s="21"/>
      <c r="P869" s="2"/>
      <c r="Q869" s="2"/>
      <c r="R869" s="4"/>
      <c r="S869" s="4"/>
      <c r="T869" s="4"/>
      <c r="U869" s="4"/>
      <c r="V869" s="4"/>
      <c r="W869" s="4"/>
    </row>
    <row r="870" spans="1:23" ht="14.5" hidden="1" customHeight="1" x14ac:dyDescent="0.2">
      <c r="A870">
        <f t="shared" si="13"/>
        <v>864</v>
      </c>
      <c r="B870">
        <v>2015</v>
      </c>
      <c r="C870" t="s">
        <v>184</v>
      </c>
      <c r="D870" t="s">
        <v>557</v>
      </c>
      <c r="E870" s="22">
        <v>100</v>
      </c>
      <c r="G870" t="s">
        <v>2688</v>
      </c>
      <c r="H870" t="s">
        <v>151</v>
      </c>
      <c r="I870" t="s">
        <v>279</v>
      </c>
      <c r="J870" t="s">
        <v>105</v>
      </c>
      <c r="K870" t="s">
        <v>214</v>
      </c>
      <c r="L870">
        <v>1</v>
      </c>
      <c r="M870" s="4"/>
      <c r="N870" s="2"/>
      <c r="O870" s="21"/>
      <c r="P870" s="2"/>
      <c r="Q870" s="2"/>
      <c r="R870" s="4"/>
      <c r="S870" s="4"/>
      <c r="T870" s="4"/>
      <c r="U870" s="4"/>
      <c r="V870" s="4"/>
      <c r="W870" s="4"/>
    </row>
    <row r="871" spans="1:23" ht="14.5" hidden="1" customHeight="1" x14ac:dyDescent="0.2">
      <c r="A871">
        <f t="shared" si="13"/>
        <v>865</v>
      </c>
      <c r="B871">
        <v>2015</v>
      </c>
      <c r="C871" t="s">
        <v>184</v>
      </c>
      <c r="D871" t="s">
        <v>1035</v>
      </c>
      <c r="E871" s="22">
        <v>1500</v>
      </c>
      <c r="G871" t="s">
        <v>453</v>
      </c>
      <c r="H871" t="s">
        <v>144</v>
      </c>
      <c r="I871" t="s">
        <v>273</v>
      </c>
      <c r="J871" t="s">
        <v>135</v>
      </c>
      <c r="K871" t="s">
        <v>205</v>
      </c>
      <c r="L871">
        <v>1</v>
      </c>
      <c r="M871" s="4"/>
      <c r="N871" s="2"/>
      <c r="O871" s="21"/>
      <c r="P871" s="2"/>
      <c r="Q871" s="2"/>
      <c r="R871" s="4"/>
      <c r="S871" s="4"/>
      <c r="T871" s="4"/>
      <c r="U871" s="4"/>
      <c r="V871" s="4"/>
      <c r="W871" s="4"/>
    </row>
    <row r="872" spans="1:23" ht="14.5" hidden="1" customHeight="1" x14ac:dyDescent="0.2">
      <c r="A872">
        <f t="shared" si="13"/>
        <v>866</v>
      </c>
      <c r="B872">
        <v>2015</v>
      </c>
      <c r="C872" t="s">
        <v>184</v>
      </c>
      <c r="D872" t="s">
        <v>189</v>
      </c>
      <c r="E872" s="22">
        <v>450</v>
      </c>
      <c r="H872" t="s">
        <v>143</v>
      </c>
      <c r="J872" t="s">
        <v>105</v>
      </c>
      <c r="K872" t="s">
        <v>214</v>
      </c>
      <c r="L872">
        <v>1</v>
      </c>
      <c r="M872" s="4"/>
      <c r="N872" s="2"/>
      <c r="O872" s="21"/>
      <c r="P872" s="2"/>
      <c r="Q872" s="2"/>
      <c r="R872" s="4"/>
      <c r="S872" s="4"/>
      <c r="T872" s="4"/>
      <c r="U872" s="4"/>
      <c r="V872" s="4"/>
      <c r="W872" s="4"/>
    </row>
    <row r="873" spans="1:23" ht="14.5" hidden="1" customHeight="1" x14ac:dyDescent="0.2">
      <c r="A873">
        <f t="shared" si="13"/>
        <v>867</v>
      </c>
      <c r="B873">
        <v>2015</v>
      </c>
      <c r="C873" t="s">
        <v>184</v>
      </c>
      <c r="D873" t="s">
        <v>2538</v>
      </c>
      <c r="E873" s="22">
        <v>390</v>
      </c>
      <c r="H873" t="s">
        <v>154</v>
      </c>
      <c r="I873" t="s">
        <v>250</v>
      </c>
      <c r="J873" t="s">
        <v>138</v>
      </c>
      <c r="K873" t="s">
        <v>219</v>
      </c>
      <c r="L873">
        <v>1</v>
      </c>
      <c r="M873" s="4"/>
      <c r="N873" s="2"/>
      <c r="O873" s="21"/>
      <c r="P873" s="2"/>
      <c r="Q873" s="2"/>
      <c r="R873" s="4"/>
      <c r="S873" s="4"/>
      <c r="T873" s="4"/>
      <c r="U873" s="4"/>
      <c r="V873" s="4"/>
      <c r="W873" s="4"/>
    </row>
    <row r="874" spans="1:23" ht="14.5" hidden="1" customHeight="1" x14ac:dyDescent="0.2">
      <c r="A874">
        <f t="shared" si="13"/>
        <v>868</v>
      </c>
      <c r="B874">
        <v>2015</v>
      </c>
      <c r="C874" t="s">
        <v>184</v>
      </c>
      <c r="D874" t="s">
        <v>668</v>
      </c>
      <c r="E874" s="22">
        <v>350</v>
      </c>
      <c r="H874" t="s">
        <v>144</v>
      </c>
      <c r="I874" t="s">
        <v>273</v>
      </c>
      <c r="J874" t="s">
        <v>122</v>
      </c>
      <c r="K874" t="s">
        <v>201</v>
      </c>
      <c r="L874">
        <v>1</v>
      </c>
      <c r="M874" s="4"/>
      <c r="N874" s="2"/>
      <c r="O874" s="21"/>
      <c r="P874" s="2"/>
      <c r="Q874" s="2"/>
      <c r="R874" s="4"/>
      <c r="S874" s="4"/>
      <c r="T874" s="4"/>
      <c r="U874" s="4"/>
      <c r="V874" s="4"/>
      <c r="W874" s="4"/>
    </row>
    <row r="875" spans="1:23" ht="15" hidden="1" customHeight="1" x14ac:dyDescent="0.2">
      <c r="A875">
        <f t="shared" si="13"/>
        <v>869</v>
      </c>
      <c r="B875">
        <v>2015</v>
      </c>
      <c r="C875" t="s">
        <v>225</v>
      </c>
      <c r="D875" t="s">
        <v>479</v>
      </c>
      <c r="E875" s="22">
        <v>200</v>
      </c>
      <c r="H875" t="s">
        <v>154</v>
      </c>
      <c r="I875" t="s">
        <v>194</v>
      </c>
      <c r="J875" t="s">
        <v>21</v>
      </c>
      <c r="K875" t="s">
        <v>183</v>
      </c>
      <c r="L875">
        <v>1</v>
      </c>
      <c r="M875" s="4"/>
      <c r="N875" s="2"/>
      <c r="O875" s="21"/>
      <c r="P875" s="2"/>
      <c r="Q875" s="2"/>
      <c r="R875" s="4"/>
      <c r="S875" s="4"/>
      <c r="T875" s="4"/>
      <c r="U875" s="4"/>
      <c r="V875" s="4"/>
      <c r="W875" s="4"/>
    </row>
    <row r="876" spans="1:23" ht="14.5" hidden="1" customHeight="1" x14ac:dyDescent="0.2">
      <c r="A876">
        <f t="shared" si="13"/>
        <v>870</v>
      </c>
      <c r="B876">
        <v>2015</v>
      </c>
      <c r="C876" t="s">
        <v>225</v>
      </c>
      <c r="D876" t="s">
        <v>199</v>
      </c>
      <c r="E876" s="22">
        <v>330</v>
      </c>
      <c r="G876" t="s">
        <v>2689</v>
      </c>
      <c r="H876" t="s">
        <v>144</v>
      </c>
      <c r="I876" t="s">
        <v>187</v>
      </c>
      <c r="J876" t="s">
        <v>130</v>
      </c>
      <c r="K876" t="s">
        <v>214</v>
      </c>
      <c r="L876">
        <v>1</v>
      </c>
      <c r="M876" s="4"/>
      <c r="N876" s="2"/>
      <c r="O876" s="21"/>
      <c r="P876" s="2"/>
      <c r="Q876" s="2"/>
      <c r="R876" s="4"/>
      <c r="S876" s="4"/>
      <c r="T876" s="4"/>
      <c r="U876" s="4"/>
      <c r="V876" s="4"/>
      <c r="W876" s="4"/>
    </row>
    <row r="877" spans="1:23" ht="14.5" hidden="1" customHeight="1" x14ac:dyDescent="0.2">
      <c r="A877">
        <f t="shared" si="13"/>
        <v>871</v>
      </c>
      <c r="B877">
        <v>2015</v>
      </c>
      <c r="C877" t="s">
        <v>225</v>
      </c>
      <c r="D877" t="s">
        <v>815</v>
      </c>
      <c r="E877" s="22">
        <v>160</v>
      </c>
      <c r="G877" t="s">
        <v>2690</v>
      </c>
      <c r="H877" t="s">
        <v>151</v>
      </c>
      <c r="I877" t="s">
        <v>279</v>
      </c>
      <c r="J877" t="s">
        <v>128</v>
      </c>
      <c r="K877" t="s">
        <v>201</v>
      </c>
      <c r="L877">
        <v>1</v>
      </c>
      <c r="M877" s="4"/>
      <c r="N877" s="2"/>
      <c r="O877" s="21"/>
      <c r="P877" s="2"/>
      <c r="Q877" s="2"/>
      <c r="R877" s="4"/>
      <c r="S877" s="4"/>
      <c r="T877" s="4"/>
      <c r="U877" s="4"/>
      <c r="V877" s="4"/>
      <c r="W877" s="4"/>
    </row>
    <row r="878" spans="1:23" ht="14.5" hidden="1" customHeight="1" x14ac:dyDescent="0.2">
      <c r="A878">
        <f t="shared" si="13"/>
        <v>872</v>
      </c>
      <c r="B878">
        <v>2015</v>
      </c>
      <c r="C878" t="s">
        <v>225</v>
      </c>
      <c r="D878" t="s">
        <v>2414</v>
      </c>
      <c r="E878" s="22">
        <v>100</v>
      </c>
      <c r="H878" t="s">
        <v>151</v>
      </c>
      <c r="I878" t="s">
        <v>279</v>
      </c>
      <c r="J878" t="s">
        <v>19</v>
      </c>
      <c r="K878" t="s">
        <v>205</v>
      </c>
      <c r="L878">
        <v>0</v>
      </c>
      <c r="M878" s="4"/>
      <c r="N878" s="2"/>
      <c r="O878" s="21"/>
      <c r="P878" s="2"/>
      <c r="Q878" s="2"/>
      <c r="R878" s="4"/>
      <c r="S878" s="4"/>
      <c r="T878" s="4"/>
      <c r="U878" s="4"/>
      <c r="V878" s="4"/>
      <c r="W878" s="4"/>
    </row>
    <row r="879" spans="1:23" ht="14.5" hidden="1" customHeight="1" x14ac:dyDescent="0.2">
      <c r="A879">
        <f t="shared" si="13"/>
        <v>873</v>
      </c>
      <c r="B879">
        <v>2015</v>
      </c>
      <c r="C879" t="s">
        <v>225</v>
      </c>
      <c r="D879" t="s">
        <v>208</v>
      </c>
      <c r="E879" s="22">
        <v>670</v>
      </c>
      <c r="G879" t="s">
        <v>2691</v>
      </c>
      <c r="H879" t="s">
        <v>149</v>
      </c>
      <c r="I879" t="s">
        <v>182</v>
      </c>
      <c r="J879" t="s">
        <v>101</v>
      </c>
      <c r="K879" t="s">
        <v>201</v>
      </c>
      <c r="L879">
        <v>1</v>
      </c>
      <c r="M879" s="4"/>
      <c r="N879" s="2"/>
      <c r="O879" s="21"/>
      <c r="P879" s="2"/>
      <c r="Q879" s="2"/>
      <c r="R879" s="4"/>
      <c r="S879" s="4"/>
      <c r="T879" s="4"/>
      <c r="U879" s="4"/>
      <c r="V879" s="4"/>
      <c r="W879" s="4"/>
    </row>
    <row r="880" spans="1:23" ht="14.5" hidden="1" customHeight="1" x14ac:dyDescent="0.2">
      <c r="A880">
        <f t="shared" si="13"/>
        <v>874</v>
      </c>
      <c r="B880">
        <v>2015</v>
      </c>
      <c r="C880" t="s">
        <v>225</v>
      </c>
      <c r="D880" t="s">
        <v>208</v>
      </c>
      <c r="E880" s="22">
        <v>210</v>
      </c>
      <c r="G880" t="s">
        <v>2692</v>
      </c>
      <c r="H880" t="s">
        <v>144</v>
      </c>
      <c r="I880" t="s">
        <v>197</v>
      </c>
      <c r="J880" t="s">
        <v>71</v>
      </c>
      <c r="K880" t="s">
        <v>219</v>
      </c>
      <c r="L880">
        <v>1</v>
      </c>
      <c r="M880" s="4"/>
      <c r="N880" s="2"/>
      <c r="O880" s="21"/>
      <c r="P880" s="2"/>
      <c r="Q880" s="2"/>
      <c r="R880" s="4"/>
      <c r="S880" s="4"/>
      <c r="T880" s="4"/>
      <c r="U880" s="4"/>
      <c r="V880" s="4"/>
      <c r="W880" s="4"/>
    </row>
    <row r="881" spans="1:23" ht="14.5" hidden="1" customHeight="1" x14ac:dyDescent="0.2">
      <c r="A881">
        <f t="shared" si="13"/>
        <v>875</v>
      </c>
      <c r="B881">
        <v>2015</v>
      </c>
      <c r="C881" t="s">
        <v>225</v>
      </c>
      <c r="D881" t="s">
        <v>208</v>
      </c>
      <c r="E881" s="22">
        <v>120</v>
      </c>
      <c r="G881" t="s">
        <v>2693</v>
      </c>
      <c r="H881" t="s">
        <v>149</v>
      </c>
      <c r="I881" t="s">
        <v>182</v>
      </c>
      <c r="J881" t="s">
        <v>53</v>
      </c>
      <c r="K881" t="s">
        <v>183</v>
      </c>
      <c r="L881">
        <v>1</v>
      </c>
      <c r="M881" s="4"/>
      <c r="N881" s="2"/>
      <c r="O881" s="21"/>
      <c r="P881" s="2"/>
      <c r="Q881" s="2"/>
      <c r="R881" s="4"/>
      <c r="S881" s="4"/>
      <c r="T881" s="4"/>
      <c r="U881" s="4"/>
      <c r="V881" s="4"/>
      <c r="W881" s="4"/>
    </row>
    <row r="882" spans="1:23" ht="14.5" hidden="1" customHeight="1" x14ac:dyDescent="0.2">
      <c r="A882">
        <f t="shared" si="13"/>
        <v>876</v>
      </c>
      <c r="B882">
        <v>2015</v>
      </c>
      <c r="C882" t="s">
        <v>225</v>
      </c>
      <c r="D882" t="s">
        <v>189</v>
      </c>
      <c r="E882" s="22">
        <v>220</v>
      </c>
      <c r="G882" t="s">
        <v>2694</v>
      </c>
      <c r="H882" t="s">
        <v>143</v>
      </c>
      <c r="J882" t="s">
        <v>124</v>
      </c>
      <c r="K882" t="s">
        <v>183</v>
      </c>
      <c r="L882">
        <v>1</v>
      </c>
      <c r="M882" s="4"/>
      <c r="N882" s="2"/>
      <c r="O882" s="21"/>
      <c r="P882" s="2"/>
      <c r="Q882" s="2"/>
      <c r="R882" s="4"/>
      <c r="S882" s="4"/>
      <c r="T882" s="4"/>
      <c r="U882" s="4"/>
      <c r="V882" s="4"/>
      <c r="W882" s="4"/>
    </row>
    <row r="883" spans="1:23" ht="14.5" hidden="1" customHeight="1" x14ac:dyDescent="0.2">
      <c r="A883">
        <f t="shared" si="13"/>
        <v>877</v>
      </c>
      <c r="B883">
        <v>2015</v>
      </c>
      <c r="C883" t="s">
        <v>225</v>
      </c>
      <c r="D883" t="s">
        <v>444</v>
      </c>
      <c r="E883" s="22">
        <v>480</v>
      </c>
      <c r="G883" t="s">
        <v>849</v>
      </c>
      <c r="H883" t="s">
        <v>144</v>
      </c>
      <c r="J883" t="s">
        <v>67</v>
      </c>
      <c r="K883" t="s">
        <v>183</v>
      </c>
      <c r="L883">
        <v>1</v>
      </c>
      <c r="M883" s="4"/>
      <c r="N883" s="2"/>
      <c r="O883" s="21"/>
      <c r="P883" s="2"/>
      <c r="Q883" s="2"/>
      <c r="R883" s="4"/>
      <c r="S883" s="4"/>
      <c r="T883" s="4"/>
      <c r="U883" s="4"/>
      <c r="V883" s="4"/>
      <c r="W883" s="4"/>
    </row>
    <row r="884" spans="1:23" ht="14.5" hidden="1" customHeight="1" x14ac:dyDescent="0.2">
      <c r="A884">
        <f t="shared" si="13"/>
        <v>878</v>
      </c>
      <c r="B884">
        <v>2015</v>
      </c>
      <c r="C884" t="s">
        <v>225</v>
      </c>
      <c r="D884" t="s">
        <v>479</v>
      </c>
      <c r="E884" s="22">
        <v>130</v>
      </c>
      <c r="H884" t="s">
        <v>154</v>
      </c>
      <c r="I884" t="s">
        <v>194</v>
      </c>
      <c r="J884" t="s">
        <v>23</v>
      </c>
      <c r="K884" t="s">
        <v>183</v>
      </c>
      <c r="L884">
        <v>1</v>
      </c>
      <c r="M884" s="4"/>
      <c r="N884" s="2"/>
      <c r="O884" s="21"/>
      <c r="P884" s="2"/>
      <c r="Q884" s="2"/>
      <c r="R884" s="4"/>
      <c r="S884" s="4"/>
      <c r="T884" s="4"/>
      <c r="U884" s="4"/>
      <c r="V884" s="4"/>
      <c r="W884" s="4"/>
    </row>
    <row r="885" spans="1:23" ht="14.5" hidden="1" customHeight="1" x14ac:dyDescent="0.2">
      <c r="A885">
        <f t="shared" si="13"/>
        <v>879</v>
      </c>
      <c r="B885">
        <v>2015</v>
      </c>
      <c r="C885" t="s">
        <v>225</v>
      </c>
      <c r="D885" t="s">
        <v>1035</v>
      </c>
      <c r="E885" s="22">
        <v>130</v>
      </c>
      <c r="G885" t="s">
        <v>2695</v>
      </c>
      <c r="H885" t="s">
        <v>144</v>
      </c>
      <c r="I885" t="s">
        <v>232</v>
      </c>
      <c r="J885" t="s">
        <v>64</v>
      </c>
      <c r="K885" t="s">
        <v>219</v>
      </c>
      <c r="L885">
        <v>1</v>
      </c>
      <c r="M885" s="4"/>
      <c r="N885" s="2"/>
      <c r="O885" s="21"/>
      <c r="P885" s="2"/>
      <c r="Q885" s="2"/>
      <c r="R885" s="4"/>
      <c r="S885" s="4"/>
      <c r="T885" s="4"/>
      <c r="U885" s="4"/>
      <c r="V885" s="4"/>
      <c r="W885" s="4"/>
    </row>
    <row r="886" spans="1:23" ht="14.5" hidden="1" customHeight="1" x14ac:dyDescent="0.2">
      <c r="A886">
        <f t="shared" si="13"/>
        <v>880</v>
      </c>
      <c r="B886">
        <v>2015</v>
      </c>
      <c r="C886" t="s">
        <v>225</v>
      </c>
      <c r="D886" t="s">
        <v>2329</v>
      </c>
      <c r="E886" s="22">
        <v>530</v>
      </c>
      <c r="H886" t="s">
        <v>144</v>
      </c>
      <c r="I886" t="s">
        <v>187</v>
      </c>
      <c r="J886" t="s">
        <v>55</v>
      </c>
      <c r="K886" t="s">
        <v>214</v>
      </c>
      <c r="L886">
        <v>1</v>
      </c>
      <c r="M886" s="4"/>
      <c r="N886" s="2"/>
      <c r="O886" s="21"/>
      <c r="P886" s="2"/>
      <c r="Q886" s="2"/>
      <c r="R886" s="4"/>
      <c r="S886" s="4"/>
      <c r="T886" s="4"/>
      <c r="U886" s="4"/>
      <c r="V886" s="4"/>
      <c r="W886" s="4"/>
    </row>
    <row r="887" spans="1:23" ht="14.5" hidden="1" customHeight="1" x14ac:dyDescent="0.2">
      <c r="A887">
        <f t="shared" si="13"/>
        <v>881</v>
      </c>
      <c r="B887">
        <v>2015</v>
      </c>
      <c r="C887" t="s">
        <v>225</v>
      </c>
      <c r="D887" t="s">
        <v>815</v>
      </c>
      <c r="E887" s="22">
        <v>100</v>
      </c>
      <c r="G887" t="s">
        <v>2696</v>
      </c>
      <c r="H887" t="s">
        <v>151</v>
      </c>
      <c r="I887" t="s">
        <v>279</v>
      </c>
      <c r="J887" t="s">
        <v>128</v>
      </c>
      <c r="K887" t="s">
        <v>201</v>
      </c>
      <c r="L887">
        <v>1</v>
      </c>
      <c r="M887" s="4"/>
      <c r="N887" s="2"/>
      <c r="O887" s="21"/>
      <c r="P887" s="2"/>
      <c r="Q887" s="2"/>
      <c r="R887" s="4"/>
      <c r="S887" s="4"/>
      <c r="T887" s="4"/>
      <c r="U887" s="4"/>
      <c r="V887" s="4"/>
      <c r="W887" s="4"/>
    </row>
    <row r="888" spans="1:23" ht="14.5" hidden="1" customHeight="1" x14ac:dyDescent="0.2">
      <c r="A888">
        <f t="shared" si="13"/>
        <v>882</v>
      </c>
      <c r="B888">
        <v>2015</v>
      </c>
      <c r="C888" t="s">
        <v>225</v>
      </c>
      <c r="D888" t="s">
        <v>875</v>
      </c>
      <c r="E888" s="22">
        <v>240</v>
      </c>
      <c r="H888" t="s">
        <v>144</v>
      </c>
      <c r="I888" t="s">
        <v>273</v>
      </c>
      <c r="J888" t="s">
        <v>53</v>
      </c>
      <c r="K888" t="s">
        <v>183</v>
      </c>
      <c r="L888">
        <v>1</v>
      </c>
      <c r="M888" s="4"/>
      <c r="N888" s="2"/>
      <c r="O888" s="21"/>
      <c r="P888" s="2"/>
      <c r="Q888" s="2"/>
      <c r="R888" s="4"/>
      <c r="S888" s="4"/>
      <c r="T888" s="4"/>
      <c r="U888" s="4"/>
      <c r="V888" s="4"/>
      <c r="W888" s="4"/>
    </row>
    <row r="889" spans="1:23" ht="14.5" hidden="1" customHeight="1" x14ac:dyDescent="0.2">
      <c r="A889">
        <f t="shared" si="13"/>
        <v>883</v>
      </c>
      <c r="B889">
        <v>2015</v>
      </c>
      <c r="C889" t="s">
        <v>225</v>
      </c>
      <c r="D889" t="s">
        <v>449</v>
      </c>
      <c r="E889" s="22">
        <v>230</v>
      </c>
      <c r="H889" t="s">
        <v>147</v>
      </c>
      <c r="J889" t="s">
        <v>126</v>
      </c>
      <c r="K889" t="s">
        <v>177</v>
      </c>
      <c r="L889">
        <v>1</v>
      </c>
      <c r="M889" s="4"/>
      <c r="N889" s="2"/>
      <c r="O889" s="21"/>
      <c r="P889" s="2"/>
      <c r="Q889" s="2"/>
      <c r="R889" s="4"/>
      <c r="S889" s="4"/>
      <c r="T889" s="4"/>
      <c r="U889" s="4"/>
      <c r="V889" s="4"/>
      <c r="W889" s="4"/>
    </row>
    <row r="890" spans="1:23" ht="14.5" hidden="1" customHeight="1" x14ac:dyDescent="0.2">
      <c r="A890">
        <f t="shared" si="13"/>
        <v>884</v>
      </c>
      <c r="B890">
        <v>2015</v>
      </c>
      <c r="C890" t="s">
        <v>188</v>
      </c>
      <c r="D890" t="s">
        <v>1149</v>
      </c>
      <c r="E890" s="22">
        <v>300</v>
      </c>
      <c r="G890" t="s">
        <v>2697</v>
      </c>
      <c r="H890" t="s">
        <v>142</v>
      </c>
      <c r="J890" t="s">
        <v>92</v>
      </c>
      <c r="K890" t="s">
        <v>214</v>
      </c>
      <c r="L890">
        <v>1</v>
      </c>
      <c r="M890" s="4"/>
      <c r="N890" s="2"/>
      <c r="O890" s="21"/>
      <c r="P890" s="2"/>
      <c r="Q890" s="2"/>
      <c r="R890" s="4"/>
      <c r="S890" s="4"/>
      <c r="T890" s="4"/>
      <c r="U890" s="4"/>
      <c r="V890" s="4"/>
      <c r="W890" s="4"/>
    </row>
    <row r="891" spans="1:23" ht="14.5" hidden="1" customHeight="1" x14ac:dyDescent="0.2">
      <c r="A891">
        <f t="shared" si="13"/>
        <v>885</v>
      </c>
      <c r="B891">
        <v>2015</v>
      </c>
      <c r="C891" t="s">
        <v>188</v>
      </c>
      <c r="D891" t="s">
        <v>341</v>
      </c>
      <c r="E891" s="22">
        <v>380</v>
      </c>
      <c r="G891" t="s">
        <v>2698</v>
      </c>
      <c r="H891" t="s">
        <v>154</v>
      </c>
      <c r="I891" t="s">
        <v>529</v>
      </c>
      <c r="J891" t="s">
        <v>101</v>
      </c>
      <c r="K891" t="s">
        <v>201</v>
      </c>
      <c r="L891">
        <v>1</v>
      </c>
      <c r="M891" s="4"/>
      <c r="N891" s="2"/>
      <c r="O891" s="21"/>
      <c r="P891" s="2"/>
      <c r="Q891" s="2"/>
      <c r="R891" s="4"/>
      <c r="S891" s="4"/>
      <c r="T891" s="4"/>
      <c r="U891" s="4"/>
      <c r="V891" s="4"/>
      <c r="W891" s="4"/>
    </row>
    <row r="892" spans="1:23" ht="14.5" hidden="1" customHeight="1" x14ac:dyDescent="0.2">
      <c r="A892">
        <f t="shared" si="13"/>
        <v>886</v>
      </c>
      <c r="B892">
        <v>2015</v>
      </c>
      <c r="C892" t="s">
        <v>188</v>
      </c>
      <c r="D892" t="s">
        <v>341</v>
      </c>
      <c r="E892" s="22">
        <v>1400</v>
      </c>
      <c r="H892" t="s">
        <v>154</v>
      </c>
      <c r="I892" t="s">
        <v>529</v>
      </c>
      <c r="J892" t="s">
        <v>123</v>
      </c>
      <c r="K892" t="s">
        <v>219</v>
      </c>
      <c r="L892">
        <v>1</v>
      </c>
      <c r="M892" s="4"/>
      <c r="N892" s="2"/>
      <c r="O892" s="21"/>
      <c r="P892" s="2"/>
      <c r="Q892" s="2"/>
      <c r="R892" s="4"/>
      <c r="S892" s="4"/>
      <c r="T892" s="4"/>
      <c r="U892" s="4"/>
      <c r="V892" s="4"/>
      <c r="W892" s="4"/>
    </row>
    <row r="893" spans="1:23" ht="14.5" hidden="1" customHeight="1" x14ac:dyDescent="0.2">
      <c r="A893">
        <f t="shared" si="13"/>
        <v>887</v>
      </c>
      <c r="B893">
        <v>2015</v>
      </c>
      <c r="C893" t="s">
        <v>188</v>
      </c>
      <c r="D893" t="s">
        <v>479</v>
      </c>
      <c r="E893" s="22">
        <v>670</v>
      </c>
      <c r="F893" s="16">
        <v>0.33</v>
      </c>
      <c r="G893" t="s">
        <v>2699</v>
      </c>
      <c r="H893" t="s">
        <v>154</v>
      </c>
      <c r="I893" t="s">
        <v>194</v>
      </c>
      <c r="J893" t="s">
        <v>9</v>
      </c>
      <c r="K893" t="s">
        <v>9</v>
      </c>
      <c r="L893">
        <v>0</v>
      </c>
      <c r="M893" s="4"/>
      <c r="N893" s="2"/>
      <c r="O893" s="21"/>
      <c r="P893" s="2"/>
      <c r="Q893" s="2"/>
      <c r="R893" s="4"/>
      <c r="S893" s="4"/>
      <c r="T893" s="4"/>
      <c r="U893" s="4"/>
      <c r="V893" s="4"/>
      <c r="W893" s="4"/>
    </row>
    <row r="894" spans="1:23" ht="14.5" hidden="1" customHeight="1" x14ac:dyDescent="0.2">
      <c r="A894">
        <f t="shared" si="13"/>
        <v>888</v>
      </c>
      <c r="B894">
        <v>2015</v>
      </c>
      <c r="C894" t="s">
        <v>188</v>
      </c>
      <c r="D894" t="s">
        <v>815</v>
      </c>
      <c r="E894" s="22">
        <v>270</v>
      </c>
      <c r="G894" t="s">
        <v>2700</v>
      </c>
      <c r="H894" t="s">
        <v>151</v>
      </c>
      <c r="I894" t="s">
        <v>279</v>
      </c>
      <c r="J894" t="s">
        <v>5</v>
      </c>
      <c r="K894" t="s">
        <v>214</v>
      </c>
      <c r="L894">
        <v>1</v>
      </c>
      <c r="M894" s="4"/>
      <c r="N894" s="2"/>
      <c r="O894" s="21"/>
      <c r="P894" s="2"/>
      <c r="Q894" s="2"/>
      <c r="R894" s="4"/>
      <c r="S894" s="4"/>
      <c r="T894" s="4"/>
      <c r="U894" s="4"/>
      <c r="V894" s="4"/>
      <c r="W894" s="4"/>
    </row>
    <row r="895" spans="1:23" ht="14.5" hidden="1" customHeight="1" x14ac:dyDescent="0.2">
      <c r="A895">
        <f t="shared" si="13"/>
        <v>889</v>
      </c>
      <c r="B895">
        <v>2015</v>
      </c>
      <c r="C895" t="s">
        <v>188</v>
      </c>
      <c r="D895" t="s">
        <v>2701</v>
      </c>
      <c r="E895" s="22">
        <v>1620</v>
      </c>
      <c r="H895" t="s">
        <v>154</v>
      </c>
      <c r="I895" t="s">
        <v>529</v>
      </c>
      <c r="J895" t="s">
        <v>93</v>
      </c>
      <c r="K895" t="s">
        <v>201</v>
      </c>
      <c r="L895">
        <v>1</v>
      </c>
      <c r="M895" s="4"/>
      <c r="N895" s="2"/>
      <c r="O895" s="21"/>
      <c r="P895" s="2"/>
      <c r="Q895" s="2"/>
      <c r="R895" s="4"/>
      <c r="S895" s="4"/>
      <c r="T895" s="4"/>
      <c r="U895" s="4"/>
      <c r="V895" s="4"/>
      <c r="W895" s="4"/>
    </row>
    <row r="896" spans="1:23" ht="14.5" hidden="1" customHeight="1" x14ac:dyDescent="0.2">
      <c r="A896">
        <f t="shared" si="13"/>
        <v>890</v>
      </c>
      <c r="B896">
        <v>2015</v>
      </c>
      <c r="C896" t="s">
        <v>188</v>
      </c>
      <c r="D896" t="s">
        <v>1234</v>
      </c>
      <c r="E896" s="22">
        <v>100</v>
      </c>
      <c r="H896" t="s">
        <v>155</v>
      </c>
      <c r="J896" t="s">
        <v>115</v>
      </c>
      <c r="K896" t="s">
        <v>201</v>
      </c>
      <c r="L896">
        <v>1</v>
      </c>
      <c r="M896" s="4"/>
      <c r="N896" s="2"/>
      <c r="O896" s="21"/>
      <c r="P896" s="2"/>
      <c r="Q896" s="2"/>
      <c r="R896" s="4"/>
      <c r="S896" s="4"/>
      <c r="T896" s="4"/>
      <c r="U896" s="4"/>
      <c r="V896" s="4"/>
      <c r="W896" s="4"/>
    </row>
    <row r="897" spans="1:23" ht="14.5" hidden="1" customHeight="1" x14ac:dyDescent="0.2">
      <c r="A897">
        <f t="shared" si="13"/>
        <v>891</v>
      </c>
      <c r="B897">
        <v>2015</v>
      </c>
      <c r="C897" t="s">
        <v>188</v>
      </c>
      <c r="D897" t="s">
        <v>189</v>
      </c>
      <c r="E897" s="22">
        <v>140</v>
      </c>
      <c r="H897" t="s">
        <v>144</v>
      </c>
      <c r="I897" t="s">
        <v>187</v>
      </c>
      <c r="J897" t="s">
        <v>105</v>
      </c>
      <c r="K897" t="s">
        <v>214</v>
      </c>
      <c r="L897">
        <v>1</v>
      </c>
      <c r="M897" s="4"/>
      <c r="N897" s="2"/>
      <c r="O897" s="21"/>
      <c r="P897" s="2"/>
      <c r="Q897" s="2"/>
      <c r="R897" s="4"/>
      <c r="S897" s="4"/>
      <c r="T897" s="4"/>
      <c r="U897" s="4"/>
      <c r="V897" s="4"/>
      <c r="W897" s="4"/>
    </row>
    <row r="898" spans="1:23" ht="14.5" hidden="1" customHeight="1" x14ac:dyDescent="0.2">
      <c r="A898">
        <f t="shared" si="13"/>
        <v>892</v>
      </c>
      <c r="B898">
        <v>2015</v>
      </c>
      <c r="C898" t="s">
        <v>188</v>
      </c>
      <c r="D898" t="s">
        <v>1093</v>
      </c>
      <c r="E898" s="22">
        <v>120</v>
      </c>
      <c r="H898" t="s">
        <v>154</v>
      </c>
      <c r="I898" t="s">
        <v>194</v>
      </c>
      <c r="J898" t="s">
        <v>23</v>
      </c>
      <c r="K898" t="s">
        <v>183</v>
      </c>
      <c r="L898">
        <v>1</v>
      </c>
      <c r="M898" s="4"/>
      <c r="N898" s="2"/>
      <c r="O898" s="21"/>
      <c r="P898" s="2"/>
      <c r="Q898" s="2"/>
      <c r="R898" s="4"/>
      <c r="S898" s="4"/>
      <c r="T898" s="4"/>
      <c r="U898" s="4"/>
      <c r="V898" s="4"/>
      <c r="W898" s="4"/>
    </row>
    <row r="899" spans="1:23" ht="14.5" hidden="1" customHeight="1" x14ac:dyDescent="0.2">
      <c r="A899">
        <f t="shared" si="13"/>
        <v>893</v>
      </c>
      <c r="B899">
        <v>2015</v>
      </c>
      <c r="C899" t="s">
        <v>188</v>
      </c>
      <c r="D899" t="s">
        <v>208</v>
      </c>
      <c r="E899" s="22">
        <v>510</v>
      </c>
      <c r="G899" t="s">
        <v>2702</v>
      </c>
      <c r="H899" t="s">
        <v>149</v>
      </c>
      <c r="I899" t="s">
        <v>182</v>
      </c>
      <c r="J899" t="s">
        <v>5</v>
      </c>
      <c r="K899" t="s">
        <v>214</v>
      </c>
      <c r="L899">
        <v>1</v>
      </c>
      <c r="M899" s="4"/>
      <c r="N899" s="2"/>
      <c r="O899" s="21"/>
      <c r="P899" s="2"/>
      <c r="Q899" s="2"/>
      <c r="R899" s="4"/>
      <c r="S899" s="4"/>
      <c r="T899" s="4"/>
      <c r="U899" s="4"/>
      <c r="V899" s="4"/>
      <c r="W899" s="4"/>
    </row>
    <row r="900" spans="1:23" ht="14.5" hidden="1" customHeight="1" x14ac:dyDescent="0.2">
      <c r="A900">
        <f t="shared" si="13"/>
        <v>894</v>
      </c>
      <c r="B900">
        <v>2015</v>
      </c>
      <c r="C900" t="s">
        <v>188</v>
      </c>
      <c r="D900" t="s">
        <v>2547</v>
      </c>
      <c r="E900" s="22">
        <v>180</v>
      </c>
      <c r="H900" t="s">
        <v>151</v>
      </c>
      <c r="I900" t="s">
        <v>279</v>
      </c>
      <c r="J900" t="s">
        <v>72</v>
      </c>
      <c r="K900" t="s">
        <v>183</v>
      </c>
      <c r="L900">
        <v>1</v>
      </c>
      <c r="M900" s="4"/>
      <c r="N900" s="2"/>
      <c r="O900" s="21"/>
      <c r="P900" s="2"/>
      <c r="Q900" s="2"/>
      <c r="R900" s="4"/>
      <c r="S900" s="4"/>
      <c r="T900" s="4"/>
      <c r="U900" s="4"/>
      <c r="V900" s="4"/>
      <c r="W900" s="4"/>
    </row>
    <row r="901" spans="1:23" ht="14.5" hidden="1" customHeight="1" x14ac:dyDescent="0.2">
      <c r="A901">
        <f t="shared" si="13"/>
        <v>895</v>
      </c>
      <c r="B901">
        <v>2015</v>
      </c>
      <c r="C901" t="s">
        <v>191</v>
      </c>
      <c r="D901" t="s">
        <v>397</v>
      </c>
      <c r="E901" s="22">
        <v>1100</v>
      </c>
      <c r="H901" t="s">
        <v>144</v>
      </c>
      <c r="I901" t="s">
        <v>273</v>
      </c>
      <c r="J901" t="s">
        <v>139</v>
      </c>
      <c r="K901" t="s">
        <v>219</v>
      </c>
      <c r="L901">
        <v>1</v>
      </c>
      <c r="M901" s="4"/>
      <c r="N901" s="2"/>
      <c r="O901" s="21"/>
      <c r="P901" s="2"/>
      <c r="Q901" s="2"/>
      <c r="R901" s="4"/>
      <c r="S901" s="4"/>
      <c r="T901" s="4"/>
      <c r="U901" s="4"/>
      <c r="V901" s="4"/>
      <c r="W901" s="4"/>
    </row>
    <row r="902" spans="1:23" ht="14.5" hidden="1" customHeight="1" x14ac:dyDescent="0.2">
      <c r="A902">
        <f t="shared" si="13"/>
        <v>896</v>
      </c>
      <c r="B902">
        <v>2015</v>
      </c>
      <c r="C902" t="s">
        <v>191</v>
      </c>
      <c r="D902" t="s">
        <v>397</v>
      </c>
      <c r="E902" s="22">
        <v>130</v>
      </c>
      <c r="G902" t="s">
        <v>2703</v>
      </c>
      <c r="H902" t="s">
        <v>153</v>
      </c>
      <c r="J902" t="s">
        <v>130</v>
      </c>
      <c r="K902" t="s">
        <v>214</v>
      </c>
      <c r="L902">
        <v>1</v>
      </c>
      <c r="M902" s="4"/>
      <c r="N902" s="2"/>
      <c r="O902" s="21"/>
      <c r="P902" s="2"/>
      <c r="Q902" s="2"/>
      <c r="R902" s="4"/>
      <c r="S902" s="4"/>
      <c r="T902" s="4"/>
      <c r="U902" s="4"/>
      <c r="V902" s="4"/>
      <c r="W902" s="4"/>
    </row>
    <row r="903" spans="1:23" ht="14.5" hidden="1" customHeight="1" x14ac:dyDescent="0.2">
      <c r="A903">
        <f t="shared" ref="A903:A966" si="14">ROW()-6</f>
        <v>897</v>
      </c>
      <c r="B903">
        <v>2015</v>
      </c>
      <c r="C903" t="s">
        <v>191</v>
      </c>
      <c r="D903" t="s">
        <v>397</v>
      </c>
      <c r="E903" s="22">
        <v>100</v>
      </c>
      <c r="H903" t="s">
        <v>151</v>
      </c>
      <c r="I903" t="s">
        <v>279</v>
      </c>
      <c r="J903" t="s">
        <v>72</v>
      </c>
      <c r="K903" t="s">
        <v>183</v>
      </c>
      <c r="L903">
        <v>1</v>
      </c>
      <c r="M903" s="4"/>
      <c r="N903" s="2"/>
      <c r="O903" s="21"/>
      <c r="P903" s="2"/>
      <c r="Q903" s="2"/>
      <c r="R903" s="4"/>
      <c r="S903" s="4"/>
      <c r="T903" s="4"/>
      <c r="U903" s="4"/>
      <c r="V903" s="4"/>
      <c r="W903" s="4"/>
    </row>
    <row r="904" spans="1:23" ht="14.5" hidden="1" customHeight="1" x14ac:dyDescent="0.2">
      <c r="A904">
        <f t="shared" si="14"/>
        <v>898</v>
      </c>
      <c r="B904">
        <v>2015</v>
      </c>
      <c r="C904" t="s">
        <v>191</v>
      </c>
      <c r="D904" t="s">
        <v>2704</v>
      </c>
      <c r="E904" s="22">
        <v>180</v>
      </c>
      <c r="G904" t="s">
        <v>2705</v>
      </c>
      <c r="H904" t="s">
        <v>144</v>
      </c>
      <c r="I904" t="s">
        <v>232</v>
      </c>
      <c r="J904" t="s">
        <v>124</v>
      </c>
      <c r="K904" t="s">
        <v>183</v>
      </c>
      <c r="L904">
        <v>1</v>
      </c>
      <c r="M904" s="4"/>
      <c r="N904" s="2"/>
      <c r="O904" s="21"/>
      <c r="P904" s="2"/>
      <c r="Q904" s="2"/>
      <c r="R904" s="4"/>
      <c r="S904" s="4"/>
      <c r="T904" s="4"/>
      <c r="U904" s="4"/>
      <c r="V904" s="4"/>
      <c r="W904" s="4"/>
    </row>
    <row r="905" spans="1:23" s="41" customFormat="1" ht="14.5" hidden="1" customHeight="1" x14ac:dyDescent="0.2">
      <c r="A905">
        <f t="shared" si="14"/>
        <v>899</v>
      </c>
      <c r="B905">
        <v>2015</v>
      </c>
      <c r="C905" t="s">
        <v>191</v>
      </c>
      <c r="D905" t="s">
        <v>530</v>
      </c>
      <c r="E905" s="22">
        <v>240</v>
      </c>
      <c r="F905" s="16"/>
      <c r="H905" t="s">
        <v>152</v>
      </c>
      <c r="I905" t="s">
        <v>257</v>
      </c>
      <c r="J905" t="s">
        <v>48</v>
      </c>
      <c r="K905" t="s">
        <v>219</v>
      </c>
      <c r="L905">
        <v>1</v>
      </c>
      <c r="M905" s="77"/>
      <c r="N905" s="78"/>
      <c r="O905" s="42"/>
      <c r="P905" s="78"/>
      <c r="Q905" s="78"/>
      <c r="R905" s="77"/>
      <c r="S905" s="77"/>
      <c r="T905" s="77"/>
      <c r="U905" s="77"/>
      <c r="V905" s="77"/>
      <c r="W905" s="77"/>
    </row>
    <row r="906" spans="1:23" ht="14.5" hidden="1" customHeight="1" x14ac:dyDescent="0.2">
      <c r="A906">
        <f t="shared" si="14"/>
        <v>900</v>
      </c>
      <c r="B906">
        <v>2015</v>
      </c>
      <c r="C906" t="s">
        <v>191</v>
      </c>
      <c r="D906" t="s">
        <v>1035</v>
      </c>
      <c r="E906" s="22">
        <v>1360</v>
      </c>
      <c r="G906" t="s">
        <v>1096</v>
      </c>
      <c r="H906" t="s">
        <v>144</v>
      </c>
      <c r="I906" t="s">
        <v>273</v>
      </c>
      <c r="J906" t="s">
        <v>13</v>
      </c>
      <c r="K906" t="s">
        <v>201</v>
      </c>
      <c r="L906">
        <v>1</v>
      </c>
      <c r="M906" s="4"/>
      <c r="N906" s="2"/>
      <c r="O906" s="21"/>
      <c r="P906" s="2"/>
      <c r="Q906" s="2"/>
      <c r="R906" s="4"/>
      <c r="S906" s="4"/>
      <c r="T906" s="4"/>
      <c r="U906" s="4"/>
      <c r="V906" s="4"/>
      <c r="W906" s="4"/>
    </row>
    <row r="907" spans="1:23" ht="14.5" hidden="1" customHeight="1" x14ac:dyDescent="0.2">
      <c r="A907">
        <f t="shared" si="14"/>
        <v>901</v>
      </c>
      <c r="B907">
        <v>2015</v>
      </c>
      <c r="C907" t="s">
        <v>191</v>
      </c>
      <c r="D907" t="s">
        <v>479</v>
      </c>
      <c r="E907" s="22">
        <v>190</v>
      </c>
      <c r="H907" t="s">
        <v>144</v>
      </c>
      <c r="J907" t="s">
        <v>81</v>
      </c>
      <c r="K907" t="s">
        <v>219</v>
      </c>
      <c r="L907">
        <v>1</v>
      </c>
      <c r="M907" s="4"/>
      <c r="N907" s="2"/>
      <c r="O907" s="21"/>
      <c r="P907" s="2"/>
      <c r="Q907" s="2"/>
      <c r="R907" s="4"/>
      <c r="S907" s="4"/>
      <c r="T907" s="4"/>
      <c r="U907" s="4"/>
      <c r="V907" s="4"/>
      <c r="W907" s="4"/>
    </row>
    <row r="908" spans="1:23" ht="14.5" hidden="1" customHeight="1" x14ac:dyDescent="0.2">
      <c r="A908">
        <f t="shared" si="14"/>
        <v>902</v>
      </c>
      <c r="B908">
        <v>2015</v>
      </c>
      <c r="C908" t="s">
        <v>191</v>
      </c>
      <c r="D908" t="s">
        <v>397</v>
      </c>
      <c r="E908" s="22">
        <v>100</v>
      </c>
      <c r="H908" t="s">
        <v>145</v>
      </c>
      <c r="J908" t="s">
        <v>43</v>
      </c>
      <c r="K908" t="s">
        <v>219</v>
      </c>
      <c r="L908">
        <v>1</v>
      </c>
      <c r="M908" s="4"/>
      <c r="N908" s="2"/>
      <c r="O908" s="21"/>
      <c r="P908" s="2"/>
      <c r="Q908" s="2"/>
      <c r="R908" s="4"/>
      <c r="S908" s="4"/>
      <c r="T908" s="4"/>
      <c r="U908" s="4"/>
      <c r="V908" s="4"/>
      <c r="W908" s="4"/>
    </row>
    <row r="909" spans="1:23" ht="14.5" hidden="1" customHeight="1" x14ac:dyDescent="0.2">
      <c r="A909">
        <f t="shared" si="14"/>
        <v>903</v>
      </c>
      <c r="B909">
        <v>2015</v>
      </c>
      <c r="C909" t="s">
        <v>191</v>
      </c>
      <c r="D909" t="s">
        <v>444</v>
      </c>
      <c r="E909" s="22">
        <v>180</v>
      </c>
      <c r="H909" t="s">
        <v>142</v>
      </c>
      <c r="J909" t="s">
        <v>16</v>
      </c>
      <c r="K909" t="s">
        <v>205</v>
      </c>
      <c r="L909">
        <v>1</v>
      </c>
      <c r="M909" s="4"/>
      <c r="N909" s="2"/>
      <c r="O909" s="21"/>
      <c r="P909" s="2"/>
      <c r="Q909" s="2"/>
      <c r="R909" s="4"/>
      <c r="S909" s="4"/>
      <c r="T909" s="4"/>
      <c r="U909" s="4"/>
      <c r="V909" s="4"/>
      <c r="W909" s="4"/>
    </row>
    <row r="910" spans="1:23" ht="14.5" hidden="1" customHeight="1" x14ac:dyDescent="0.2">
      <c r="A910">
        <f t="shared" si="14"/>
        <v>904</v>
      </c>
      <c r="B910">
        <v>2015</v>
      </c>
      <c r="C910" t="s">
        <v>191</v>
      </c>
      <c r="D910" t="s">
        <v>2706</v>
      </c>
      <c r="E910" s="22">
        <v>140</v>
      </c>
      <c r="H910" t="s">
        <v>144</v>
      </c>
      <c r="I910" t="s">
        <v>187</v>
      </c>
      <c r="J910" t="s">
        <v>55</v>
      </c>
      <c r="K910" t="s">
        <v>214</v>
      </c>
      <c r="L910">
        <v>1</v>
      </c>
      <c r="M910" s="4"/>
      <c r="N910" s="2"/>
      <c r="O910" s="21"/>
      <c r="P910" s="2"/>
      <c r="Q910" s="2"/>
      <c r="R910" s="4"/>
      <c r="S910" s="4"/>
      <c r="T910" s="4"/>
      <c r="U910" s="4"/>
      <c r="V910" s="4"/>
      <c r="W910" s="4"/>
    </row>
    <row r="911" spans="1:23" ht="14.5" hidden="1" customHeight="1" x14ac:dyDescent="0.2">
      <c r="A911">
        <f t="shared" si="14"/>
        <v>905</v>
      </c>
      <c r="B911">
        <v>2015</v>
      </c>
      <c r="C911" t="s">
        <v>198</v>
      </c>
      <c r="D911" t="s">
        <v>479</v>
      </c>
      <c r="E911" s="22">
        <v>230</v>
      </c>
      <c r="G911" t="s">
        <v>2707</v>
      </c>
      <c r="H911" t="s">
        <v>154</v>
      </c>
      <c r="I911" t="s">
        <v>271</v>
      </c>
      <c r="J911" t="s">
        <v>24</v>
      </c>
      <c r="K911" t="s">
        <v>219</v>
      </c>
      <c r="L911">
        <v>1</v>
      </c>
      <c r="M911" s="4"/>
      <c r="N911" s="2"/>
      <c r="O911" s="21"/>
      <c r="P911" s="2"/>
      <c r="Q911" s="2"/>
      <c r="R911" s="4"/>
      <c r="S911" s="4"/>
      <c r="T911" s="4"/>
      <c r="U911" s="4"/>
      <c r="V911" s="4"/>
      <c r="W911" s="4"/>
    </row>
    <row r="912" spans="1:23" ht="14.5" hidden="1" customHeight="1" x14ac:dyDescent="0.2">
      <c r="A912">
        <f t="shared" si="14"/>
        <v>906</v>
      </c>
      <c r="B912">
        <v>2015</v>
      </c>
      <c r="C912" t="s">
        <v>198</v>
      </c>
      <c r="D912" t="s">
        <v>397</v>
      </c>
      <c r="E912" s="22">
        <v>140</v>
      </c>
      <c r="H912" t="s">
        <v>151</v>
      </c>
      <c r="I912" t="s">
        <v>279</v>
      </c>
      <c r="J912" t="s">
        <v>94</v>
      </c>
      <c r="K912" t="s">
        <v>177</v>
      </c>
      <c r="L912">
        <v>0</v>
      </c>
      <c r="M912" s="4"/>
      <c r="N912" s="2"/>
      <c r="O912" s="21"/>
      <c r="P912" s="2"/>
      <c r="Q912" s="2"/>
      <c r="R912" s="4"/>
      <c r="S912" s="4"/>
      <c r="T912" s="4"/>
      <c r="U912" s="4"/>
      <c r="V912" s="4"/>
      <c r="W912" s="4"/>
    </row>
    <row r="913" spans="1:23" ht="14.5" hidden="1" customHeight="1" x14ac:dyDescent="0.2">
      <c r="A913">
        <f t="shared" si="14"/>
        <v>907</v>
      </c>
      <c r="B913">
        <v>2015</v>
      </c>
      <c r="C913" t="s">
        <v>198</v>
      </c>
      <c r="D913" t="s">
        <v>815</v>
      </c>
      <c r="E913" s="22">
        <v>290</v>
      </c>
      <c r="G913" t="s">
        <v>2405</v>
      </c>
      <c r="H913" t="s">
        <v>151</v>
      </c>
      <c r="I913" t="s">
        <v>279</v>
      </c>
      <c r="J913" t="s">
        <v>64</v>
      </c>
      <c r="K913" t="s">
        <v>219</v>
      </c>
      <c r="L913">
        <v>1</v>
      </c>
      <c r="M913" s="4"/>
      <c r="N913" s="2"/>
      <c r="O913" s="21"/>
      <c r="P913" s="2"/>
      <c r="Q913" s="2"/>
      <c r="R913" s="4"/>
      <c r="S913" s="4"/>
      <c r="T913" s="4"/>
      <c r="U913" s="4"/>
      <c r="V913" s="4"/>
      <c r="W913" s="4"/>
    </row>
    <row r="914" spans="1:23" ht="14.5" hidden="1" customHeight="1" x14ac:dyDescent="0.2">
      <c r="A914">
        <f t="shared" si="14"/>
        <v>908</v>
      </c>
      <c r="B914">
        <v>2015</v>
      </c>
      <c r="C914" t="s">
        <v>198</v>
      </c>
      <c r="D914" t="s">
        <v>815</v>
      </c>
      <c r="E914" s="22">
        <v>290</v>
      </c>
      <c r="G914" t="s">
        <v>2405</v>
      </c>
      <c r="H914" t="s">
        <v>151</v>
      </c>
      <c r="I914" t="s">
        <v>279</v>
      </c>
      <c r="J914" t="s">
        <v>84</v>
      </c>
      <c r="K914" t="s">
        <v>201</v>
      </c>
      <c r="L914">
        <v>1</v>
      </c>
      <c r="M914" s="4"/>
      <c r="N914" s="2"/>
      <c r="O914" s="21"/>
      <c r="P914" s="2"/>
      <c r="Q914" s="2"/>
      <c r="R914" s="4"/>
      <c r="S914" s="4"/>
      <c r="T914" s="4"/>
      <c r="U914" s="4"/>
      <c r="V914" s="4"/>
      <c r="W914" s="4"/>
    </row>
    <row r="915" spans="1:23" ht="14.5" hidden="1" customHeight="1" x14ac:dyDescent="0.2">
      <c r="A915">
        <f t="shared" si="14"/>
        <v>909</v>
      </c>
      <c r="B915">
        <v>2015</v>
      </c>
      <c r="C915" t="s">
        <v>198</v>
      </c>
      <c r="D915" t="s">
        <v>815</v>
      </c>
      <c r="E915" s="22">
        <v>240</v>
      </c>
      <c r="G915" t="s">
        <v>2405</v>
      </c>
      <c r="H915" t="s">
        <v>151</v>
      </c>
      <c r="I915" t="s">
        <v>279</v>
      </c>
      <c r="J915" t="s">
        <v>40</v>
      </c>
      <c r="K915" t="s">
        <v>219</v>
      </c>
      <c r="L915">
        <v>1</v>
      </c>
      <c r="M915" s="4"/>
      <c r="N915" s="2"/>
      <c r="O915" s="21"/>
      <c r="P915" s="2"/>
      <c r="Q915" s="2"/>
      <c r="R915" s="4"/>
      <c r="S915" s="4"/>
      <c r="T915" s="4"/>
      <c r="U915" s="4"/>
      <c r="V915" s="4"/>
      <c r="W915" s="4"/>
    </row>
    <row r="916" spans="1:23" ht="14.5" hidden="1" customHeight="1" x14ac:dyDescent="0.2">
      <c r="A916">
        <f t="shared" si="14"/>
        <v>910</v>
      </c>
      <c r="B916">
        <v>2015</v>
      </c>
      <c r="C916" t="s">
        <v>198</v>
      </c>
      <c r="D916" t="s">
        <v>815</v>
      </c>
      <c r="E916" s="22">
        <v>140</v>
      </c>
      <c r="G916" t="s">
        <v>2405</v>
      </c>
      <c r="H916" t="s">
        <v>151</v>
      </c>
      <c r="I916" t="s">
        <v>279</v>
      </c>
      <c r="J916" t="s">
        <v>88</v>
      </c>
      <c r="K916" t="s">
        <v>219</v>
      </c>
      <c r="L916">
        <v>1</v>
      </c>
      <c r="M916" s="4"/>
      <c r="N916" s="2"/>
      <c r="O916" s="21"/>
      <c r="P916" s="2"/>
      <c r="Q916" s="2"/>
      <c r="R916" s="4"/>
      <c r="S916" s="4"/>
      <c r="T916" s="4"/>
      <c r="U916" s="4"/>
      <c r="V916" s="4"/>
      <c r="W916" s="4"/>
    </row>
    <row r="917" spans="1:23" ht="14.5" hidden="1" customHeight="1" x14ac:dyDescent="0.2">
      <c r="A917">
        <f t="shared" si="14"/>
        <v>911</v>
      </c>
      <c r="B917">
        <v>2015</v>
      </c>
      <c r="C917" t="s">
        <v>198</v>
      </c>
      <c r="D917" t="s">
        <v>815</v>
      </c>
      <c r="E917" s="22">
        <v>140</v>
      </c>
      <c r="G917" t="s">
        <v>2405</v>
      </c>
      <c r="H917" t="s">
        <v>151</v>
      </c>
      <c r="I917" t="s">
        <v>279</v>
      </c>
      <c r="J917" t="s">
        <v>138</v>
      </c>
      <c r="K917" t="s">
        <v>219</v>
      </c>
      <c r="L917">
        <v>1</v>
      </c>
      <c r="M917" s="4"/>
      <c r="N917" s="2"/>
      <c r="O917" s="21"/>
      <c r="P917" s="2"/>
      <c r="Q917" s="2"/>
      <c r="R917" s="4"/>
      <c r="S917" s="4"/>
      <c r="T917" s="4"/>
      <c r="U917" s="4"/>
      <c r="V917" s="4"/>
      <c r="W917" s="4"/>
    </row>
    <row r="918" spans="1:23" ht="14.5" hidden="1" customHeight="1" x14ac:dyDescent="0.2">
      <c r="A918">
        <f t="shared" si="14"/>
        <v>912</v>
      </c>
      <c r="B918">
        <v>2015</v>
      </c>
      <c r="C918" t="s">
        <v>198</v>
      </c>
      <c r="D918" t="s">
        <v>815</v>
      </c>
      <c r="E918" s="22">
        <v>120</v>
      </c>
      <c r="G918" t="s">
        <v>2405</v>
      </c>
      <c r="H918" t="s">
        <v>151</v>
      </c>
      <c r="I918" t="s">
        <v>279</v>
      </c>
      <c r="J918" t="s">
        <v>24</v>
      </c>
      <c r="K918" t="s">
        <v>219</v>
      </c>
      <c r="L918">
        <v>1</v>
      </c>
      <c r="M918" s="4"/>
      <c r="N918" s="2"/>
      <c r="O918" s="21"/>
      <c r="P918" s="2"/>
      <c r="Q918" s="2"/>
      <c r="R918" s="4"/>
      <c r="S918" s="4"/>
      <c r="T918" s="4"/>
      <c r="U918" s="4"/>
      <c r="V918" s="4"/>
      <c r="W918" s="4"/>
    </row>
    <row r="919" spans="1:23" ht="14.5" hidden="1" customHeight="1" x14ac:dyDescent="0.2">
      <c r="A919">
        <f t="shared" si="14"/>
        <v>913</v>
      </c>
      <c r="B919">
        <v>2015</v>
      </c>
      <c r="C919" t="s">
        <v>198</v>
      </c>
      <c r="D919" t="s">
        <v>815</v>
      </c>
      <c r="E919" s="22">
        <v>120</v>
      </c>
      <c r="G919" t="s">
        <v>2405</v>
      </c>
      <c r="H919" t="s">
        <v>151</v>
      </c>
      <c r="I919" t="s">
        <v>279</v>
      </c>
      <c r="J919" t="s">
        <v>74</v>
      </c>
      <c r="K919" t="s">
        <v>219</v>
      </c>
      <c r="L919">
        <v>1</v>
      </c>
      <c r="M919" s="4"/>
      <c r="N919" s="2"/>
      <c r="O919" s="21"/>
      <c r="P919" s="2"/>
      <c r="Q919" s="2"/>
      <c r="R919" s="4"/>
      <c r="S919" s="4"/>
      <c r="T919" s="4"/>
      <c r="U919" s="4"/>
      <c r="V919" s="4"/>
      <c r="W919" s="4"/>
    </row>
    <row r="920" spans="1:23" ht="14.5" hidden="1" customHeight="1" x14ac:dyDescent="0.2">
      <c r="A920">
        <f t="shared" si="14"/>
        <v>914</v>
      </c>
      <c r="B920">
        <v>2015</v>
      </c>
      <c r="C920" t="s">
        <v>198</v>
      </c>
      <c r="D920" t="s">
        <v>479</v>
      </c>
      <c r="E920" s="22">
        <v>120</v>
      </c>
      <c r="G920" t="s">
        <v>2708</v>
      </c>
      <c r="H920" t="s">
        <v>154</v>
      </c>
      <c r="I920" t="s">
        <v>194</v>
      </c>
      <c r="J920" t="s">
        <v>53</v>
      </c>
      <c r="K920" t="s">
        <v>183</v>
      </c>
      <c r="L920">
        <v>1</v>
      </c>
      <c r="M920" s="4"/>
      <c r="N920" s="2"/>
      <c r="O920" s="21"/>
      <c r="P920" s="2"/>
      <c r="Q920" s="2"/>
      <c r="R920" s="4"/>
      <c r="S920" s="4"/>
      <c r="T920" s="4"/>
      <c r="U920" s="4"/>
      <c r="V920" s="4"/>
      <c r="W920" s="4"/>
    </row>
    <row r="921" spans="1:23" ht="14.5" hidden="1" customHeight="1" x14ac:dyDescent="0.2">
      <c r="A921">
        <f t="shared" si="14"/>
        <v>915</v>
      </c>
      <c r="B921">
        <v>2015</v>
      </c>
      <c r="C921" t="s">
        <v>198</v>
      </c>
      <c r="D921" t="s">
        <v>483</v>
      </c>
      <c r="E921" s="22">
        <v>230</v>
      </c>
      <c r="G921" t="s">
        <v>2609</v>
      </c>
      <c r="H921" t="s">
        <v>144</v>
      </c>
      <c r="J921" t="s">
        <v>40</v>
      </c>
      <c r="K921" t="s">
        <v>219</v>
      </c>
      <c r="L921">
        <v>1</v>
      </c>
      <c r="M921" s="4"/>
      <c r="N921" s="2"/>
      <c r="O921" s="21"/>
      <c r="P921" s="2"/>
      <c r="Q921" s="2"/>
      <c r="R921" s="4"/>
      <c r="S921" s="4"/>
      <c r="T921" s="4"/>
      <c r="U921" s="4"/>
      <c r="V921" s="4"/>
      <c r="W921" s="4"/>
    </row>
    <row r="922" spans="1:23" ht="14.5" hidden="1" customHeight="1" x14ac:dyDescent="0.2">
      <c r="A922">
        <f t="shared" si="14"/>
        <v>916</v>
      </c>
      <c r="B922">
        <v>2015</v>
      </c>
      <c r="C922" t="s">
        <v>198</v>
      </c>
      <c r="D922" t="s">
        <v>479</v>
      </c>
      <c r="E922" s="22">
        <v>100</v>
      </c>
      <c r="H922" t="s">
        <v>154</v>
      </c>
      <c r="I922" t="s">
        <v>194</v>
      </c>
      <c r="J922" t="s">
        <v>95</v>
      </c>
      <c r="K922" t="s">
        <v>183</v>
      </c>
      <c r="L922">
        <v>1</v>
      </c>
      <c r="M922" s="4"/>
      <c r="N922" s="2"/>
      <c r="O922" s="21"/>
      <c r="P922" s="2"/>
      <c r="Q922" s="2"/>
      <c r="R922" s="4"/>
      <c r="S922" s="4"/>
      <c r="T922" s="4"/>
      <c r="U922" s="4"/>
      <c r="V922" s="4"/>
      <c r="W922" s="4"/>
    </row>
    <row r="923" spans="1:23" ht="14.5" hidden="1" customHeight="1" x14ac:dyDescent="0.2">
      <c r="A923">
        <f t="shared" si="14"/>
        <v>917</v>
      </c>
      <c r="B923">
        <v>2015</v>
      </c>
      <c r="C923" t="s">
        <v>198</v>
      </c>
      <c r="D923" t="s">
        <v>2704</v>
      </c>
      <c r="E923" s="22">
        <v>570</v>
      </c>
      <c r="G923" t="s">
        <v>2709</v>
      </c>
      <c r="H923" t="s">
        <v>144</v>
      </c>
      <c r="J923" t="s">
        <v>2462</v>
      </c>
      <c r="K923" t="s">
        <v>219</v>
      </c>
      <c r="L923">
        <v>1</v>
      </c>
      <c r="M923" s="4"/>
      <c r="N923" s="2"/>
      <c r="O923" s="21"/>
      <c r="P923" s="2"/>
      <c r="Q923" s="2"/>
      <c r="R923" s="4"/>
      <c r="S923" s="4"/>
      <c r="T923" s="4"/>
      <c r="U923" s="4"/>
      <c r="V923" s="4"/>
      <c r="W923" s="4"/>
    </row>
    <row r="924" spans="1:23" ht="14.5" hidden="1" customHeight="1" x14ac:dyDescent="0.2">
      <c r="A924">
        <f t="shared" si="14"/>
        <v>918</v>
      </c>
      <c r="B924">
        <v>2015</v>
      </c>
      <c r="C924" t="s">
        <v>198</v>
      </c>
      <c r="D924" t="s">
        <v>1035</v>
      </c>
      <c r="E924" s="22">
        <v>110</v>
      </c>
      <c r="H924" t="s">
        <v>144</v>
      </c>
      <c r="I924" t="s">
        <v>197</v>
      </c>
      <c r="J924" t="s">
        <v>53</v>
      </c>
      <c r="K924" t="s">
        <v>183</v>
      </c>
      <c r="L924">
        <v>1</v>
      </c>
      <c r="M924" s="4"/>
      <c r="N924" s="2"/>
      <c r="O924" s="21"/>
      <c r="P924" s="2"/>
      <c r="Q924" s="2"/>
      <c r="R924" s="4"/>
      <c r="S924" s="4"/>
      <c r="T924" s="4"/>
      <c r="U924" s="4"/>
      <c r="V924" s="4"/>
      <c r="W924" s="4"/>
    </row>
    <row r="925" spans="1:23" ht="14.5" hidden="1" customHeight="1" x14ac:dyDescent="0.2">
      <c r="A925">
        <f t="shared" si="14"/>
        <v>919</v>
      </c>
      <c r="B925">
        <v>2015</v>
      </c>
      <c r="C925" t="s">
        <v>198</v>
      </c>
      <c r="D925" t="s">
        <v>530</v>
      </c>
      <c r="E925" s="22">
        <v>190</v>
      </c>
      <c r="G925" t="s">
        <v>2463</v>
      </c>
      <c r="H925" t="s">
        <v>152</v>
      </c>
      <c r="I925" t="s">
        <v>257</v>
      </c>
      <c r="J925" t="s">
        <v>52</v>
      </c>
      <c r="K925" t="s">
        <v>201</v>
      </c>
      <c r="L925">
        <v>0</v>
      </c>
      <c r="M925" s="4"/>
      <c r="N925" s="2"/>
      <c r="O925" s="21"/>
      <c r="P925" s="2"/>
      <c r="Q925" s="2"/>
      <c r="R925" s="4"/>
      <c r="S925" s="4"/>
      <c r="T925" s="4"/>
      <c r="U925" s="4"/>
      <c r="V925" s="4"/>
      <c r="W925" s="4"/>
    </row>
    <row r="926" spans="1:23" ht="14.5" hidden="1" customHeight="1" x14ac:dyDescent="0.2">
      <c r="A926">
        <f t="shared" si="14"/>
        <v>920</v>
      </c>
      <c r="B926">
        <v>2015</v>
      </c>
      <c r="C926" t="s">
        <v>202</v>
      </c>
      <c r="D926" t="s">
        <v>2596</v>
      </c>
      <c r="E926" s="22">
        <v>280</v>
      </c>
      <c r="H926" t="s">
        <v>154</v>
      </c>
      <c r="I926" t="s">
        <v>194</v>
      </c>
      <c r="J926" t="s">
        <v>138</v>
      </c>
      <c r="K926" t="s">
        <v>219</v>
      </c>
      <c r="L926">
        <v>1</v>
      </c>
      <c r="M926" s="4"/>
      <c r="N926" s="2"/>
      <c r="O926" s="21"/>
      <c r="P926" s="2"/>
      <c r="Q926" s="2"/>
      <c r="R926" s="4"/>
      <c r="S926" s="4"/>
      <c r="T926" s="4"/>
      <c r="U926" s="4"/>
      <c r="V926" s="4"/>
      <c r="W926" s="4"/>
    </row>
    <row r="927" spans="1:23" ht="14.5" hidden="1" customHeight="1" x14ac:dyDescent="0.2">
      <c r="A927">
        <f t="shared" si="14"/>
        <v>921</v>
      </c>
      <c r="B927">
        <v>2015</v>
      </c>
      <c r="C927" t="s">
        <v>202</v>
      </c>
      <c r="D927" t="s">
        <v>397</v>
      </c>
      <c r="E927" s="22">
        <v>330</v>
      </c>
      <c r="H927" t="s">
        <v>154</v>
      </c>
      <c r="I927" t="s">
        <v>194</v>
      </c>
      <c r="J927" t="s">
        <v>21</v>
      </c>
      <c r="K927" t="s">
        <v>183</v>
      </c>
      <c r="L927">
        <v>1</v>
      </c>
      <c r="M927" s="4"/>
      <c r="N927" s="2"/>
      <c r="O927" s="21"/>
      <c r="P927" s="2"/>
      <c r="Q927" s="2"/>
      <c r="R927" s="4"/>
      <c r="S927" s="4"/>
      <c r="T927" s="4"/>
      <c r="U927" s="4"/>
      <c r="V927" s="4"/>
      <c r="W927" s="4"/>
    </row>
    <row r="928" spans="1:23" ht="14.5" hidden="1" customHeight="1" x14ac:dyDescent="0.2">
      <c r="A928">
        <f t="shared" si="14"/>
        <v>922</v>
      </c>
      <c r="B928">
        <v>2015</v>
      </c>
      <c r="C928" t="s">
        <v>202</v>
      </c>
      <c r="D928" t="s">
        <v>479</v>
      </c>
      <c r="E928" s="22">
        <v>500</v>
      </c>
      <c r="H928" t="s">
        <v>154</v>
      </c>
      <c r="I928" t="s">
        <v>194</v>
      </c>
      <c r="J928" t="s">
        <v>54</v>
      </c>
      <c r="K928" t="s">
        <v>201</v>
      </c>
      <c r="L928">
        <v>1</v>
      </c>
      <c r="M928" s="4"/>
      <c r="N928" s="2"/>
      <c r="O928" s="21"/>
      <c r="P928" s="2"/>
      <c r="Q928" s="2"/>
      <c r="R928" s="4"/>
      <c r="S928" s="4"/>
      <c r="T928" s="4"/>
      <c r="U928" s="4"/>
      <c r="V928" s="4"/>
      <c r="W928" s="4"/>
    </row>
    <row r="929" spans="1:23" ht="14.5" hidden="1" customHeight="1" x14ac:dyDescent="0.2">
      <c r="A929">
        <f t="shared" si="14"/>
        <v>923</v>
      </c>
      <c r="B929">
        <v>2015</v>
      </c>
      <c r="C929" t="s">
        <v>202</v>
      </c>
      <c r="D929" t="s">
        <v>246</v>
      </c>
      <c r="E929" s="22">
        <v>1380</v>
      </c>
      <c r="H929" t="s">
        <v>144</v>
      </c>
      <c r="I929" t="s">
        <v>197</v>
      </c>
      <c r="J929" t="s">
        <v>48</v>
      </c>
      <c r="K929" t="s">
        <v>219</v>
      </c>
      <c r="L929">
        <v>1</v>
      </c>
      <c r="M929" s="4"/>
      <c r="N929" s="2"/>
      <c r="O929" s="21"/>
      <c r="P929" s="2"/>
      <c r="Q929" s="2"/>
      <c r="R929" s="4"/>
      <c r="S929" s="4"/>
      <c r="T929" s="4"/>
      <c r="U929" s="4"/>
      <c r="V929" s="4"/>
      <c r="W929" s="4"/>
    </row>
    <row r="930" spans="1:23" ht="14.5" hidden="1" customHeight="1" x14ac:dyDescent="0.2">
      <c r="A930">
        <f t="shared" si="14"/>
        <v>924</v>
      </c>
      <c r="B930">
        <v>2015</v>
      </c>
      <c r="C930" t="s">
        <v>202</v>
      </c>
      <c r="D930" t="s">
        <v>444</v>
      </c>
      <c r="E930" s="22">
        <v>220</v>
      </c>
      <c r="H930" t="s">
        <v>146</v>
      </c>
      <c r="J930" t="s">
        <v>37</v>
      </c>
      <c r="K930" t="s">
        <v>205</v>
      </c>
      <c r="L930">
        <v>1</v>
      </c>
      <c r="M930" s="4"/>
      <c r="N930" s="2"/>
      <c r="O930" s="21"/>
      <c r="P930" s="2"/>
      <c r="Q930" s="2"/>
      <c r="R930" s="4"/>
      <c r="S930" s="4"/>
      <c r="T930" s="4"/>
      <c r="U930" s="4"/>
      <c r="V930" s="4"/>
      <c r="W930" s="4"/>
    </row>
    <row r="931" spans="1:23" ht="14.5" hidden="1" customHeight="1" x14ac:dyDescent="0.2">
      <c r="A931">
        <f t="shared" si="14"/>
        <v>925</v>
      </c>
      <c r="B931">
        <v>2015</v>
      </c>
      <c r="C931" t="s">
        <v>202</v>
      </c>
      <c r="D931" t="s">
        <v>703</v>
      </c>
      <c r="E931" s="22">
        <v>1100</v>
      </c>
      <c r="H931" t="s">
        <v>144</v>
      </c>
      <c r="I931" t="s">
        <v>299</v>
      </c>
      <c r="J931" t="s">
        <v>93</v>
      </c>
      <c r="K931" t="s">
        <v>201</v>
      </c>
      <c r="L931">
        <v>1</v>
      </c>
      <c r="M931" s="4"/>
      <c r="N931" s="2"/>
      <c r="O931" s="21"/>
      <c r="P931" s="2"/>
      <c r="Q931" s="2"/>
      <c r="R931" s="4"/>
      <c r="S931" s="4"/>
      <c r="T931" s="4"/>
      <c r="U931" s="4"/>
      <c r="V931" s="4"/>
      <c r="W931" s="4"/>
    </row>
    <row r="932" spans="1:23" ht="14.5" hidden="1" customHeight="1" x14ac:dyDescent="0.2">
      <c r="A932">
        <f t="shared" si="14"/>
        <v>926</v>
      </c>
      <c r="B932">
        <v>2015</v>
      </c>
      <c r="C932" t="s">
        <v>202</v>
      </c>
      <c r="D932" t="s">
        <v>1035</v>
      </c>
      <c r="E932" s="22">
        <v>170</v>
      </c>
      <c r="H932" t="s">
        <v>144</v>
      </c>
      <c r="I932" t="s">
        <v>232</v>
      </c>
      <c r="J932" t="s">
        <v>124</v>
      </c>
      <c r="K932" t="s">
        <v>183</v>
      </c>
      <c r="L932">
        <v>1</v>
      </c>
      <c r="M932" s="4"/>
      <c r="N932" s="2"/>
      <c r="O932" s="21"/>
      <c r="P932" s="2"/>
      <c r="Q932" s="2"/>
      <c r="R932" s="4"/>
      <c r="S932" s="4"/>
      <c r="T932" s="4"/>
      <c r="U932" s="4"/>
      <c r="V932" s="4"/>
      <c r="W932" s="4"/>
    </row>
    <row r="933" spans="1:23" ht="14.5" hidden="1" customHeight="1" x14ac:dyDescent="0.2">
      <c r="A933">
        <f t="shared" si="14"/>
        <v>927</v>
      </c>
      <c r="B933">
        <v>2015</v>
      </c>
      <c r="C933" t="s">
        <v>202</v>
      </c>
      <c r="D933" t="s">
        <v>341</v>
      </c>
      <c r="E933" s="22">
        <v>250</v>
      </c>
      <c r="H933" t="s">
        <v>154</v>
      </c>
      <c r="I933" t="s">
        <v>194</v>
      </c>
      <c r="J933" t="s">
        <v>16</v>
      </c>
      <c r="K933" t="s">
        <v>205</v>
      </c>
      <c r="L933">
        <v>1</v>
      </c>
      <c r="M933" s="4"/>
      <c r="N933" s="2"/>
      <c r="O933" s="21"/>
      <c r="P933" s="2"/>
      <c r="Q933" s="2"/>
      <c r="R933" s="4"/>
      <c r="S933" s="4"/>
      <c r="T933" s="4"/>
      <c r="U933" s="4"/>
      <c r="V933" s="4"/>
      <c r="W933" s="4"/>
    </row>
    <row r="934" spans="1:23" ht="14.5" hidden="1" customHeight="1" x14ac:dyDescent="0.2">
      <c r="A934">
        <f t="shared" si="14"/>
        <v>928</v>
      </c>
      <c r="B934">
        <v>2015</v>
      </c>
      <c r="C934" t="s">
        <v>202</v>
      </c>
      <c r="D934" t="s">
        <v>336</v>
      </c>
      <c r="E934" s="22">
        <v>9580</v>
      </c>
      <c r="H934" t="s">
        <v>144</v>
      </c>
      <c r="J934" t="s">
        <v>93</v>
      </c>
      <c r="K934" t="s">
        <v>201</v>
      </c>
      <c r="L934">
        <v>1</v>
      </c>
      <c r="M934" s="4"/>
      <c r="N934" s="2"/>
      <c r="O934" s="21"/>
      <c r="P934" s="2"/>
      <c r="Q934" s="2"/>
      <c r="R934" s="4"/>
      <c r="S934" s="4"/>
      <c r="T934" s="4"/>
      <c r="U934" s="4"/>
      <c r="V934" s="4"/>
      <c r="W934" s="4"/>
    </row>
    <row r="935" spans="1:23" ht="14.5" hidden="1" customHeight="1" x14ac:dyDescent="0.2">
      <c r="A935">
        <f t="shared" si="14"/>
        <v>929</v>
      </c>
      <c r="B935">
        <v>2015</v>
      </c>
      <c r="C935" t="s">
        <v>202</v>
      </c>
      <c r="D935" t="s">
        <v>444</v>
      </c>
      <c r="E935" s="22">
        <v>220</v>
      </c>
      <c r="H935" t="s">
        <v>154</v>
      </c>
      <c r="I935" t="s">
        <v>250</v>
      </c>
      <c r="J935" t="s">
        <v>84</v>
      </c>
      <c r="K935" t="s">
        <v>201</v>
      </c>
      <c r="L935">
        <v>1</v>
      </c>
      <c r="M935" s="4"/>
      <c r="N935" s="2"/>
      <c r="O935" s="21"/>
      <c r="P935" s="2"/>
      <c r="Q935" s="2"/>
      <c r="R935" s="4"/>
      <c r="S935" s="4"/>
      <c r="T935" s="4"/>
      <c r="U935" s="4"/>
      <c r="V935" s="4"/>
      <c r="W935" s="4"/>
    </row>
    <row r="936" spans="1:23" ht="14.5" hidden="1" customHeight="1" x14ac:dyDescent="0.2">
      <c r="A936">
        <f t="shared" si="14"/>
        <v>930</v>
      </c>
      <c r="B936">
        <v>2015</v>
      </c>
      <c r="C936" t="s">
        <v>207</v>
      </c>
      <c r="D936" t="s">
        <v>2710</v>
      </c>
      <c r="E936" s="22">
        <v>100</v>
      </c>
      <c r="H936" t="s">
        <v>144</v>
      </c>
      <c r="I936" t="s">
        <v>232</v>
      </c>
      <c r="J936" t="s">
        <v>139</v>
      </c>
      <c r="K936" t="s">
        <v>219</v>
      </c>
      <c r="L936">
        <v>1</v>
      </c>
      <c r="M936" s="4"/>
      <c r="N936" s="2"/>
      <c r="O936" s="21"/>
      <c r="P936" s="2"/>
      <c r="Q936" s="2"/>
      <c r="R936" s="4"/>
      <c r="S936" s="4"/>
      <c r="T936" s="4"/>
      <c r="U936" s="4"/>
      <c r="V936" s="4"/>
      <c r="W936" s="4"/>
    </row>
    <row r="937" spans="1:23" ht="14.5" hidden="1" customHeight="1" x14ac:dyDescent="0.2">
      <c r="A937">
        <f t="shared" si="14"/>
        <v>931</v>
      </c>
      <c r="B937">
        <v>2015</v>
      </c>
      <c r="C937" t="s">
        <v>207</v>
      </c>
      <c r="D937" t="s">
        <v>444</v>
      </c>
      <c r="E937" s="22">
        <v>140</v>
      </c>
      <c r="G937" t="s">
        <v>2711</v>
      </c>
      <c r="H937" t="s">
        <v>149</v>
      </c>
      <c r="J937" t="s">
        <v>9</v>
      </c>
      <c r="K937" t="s">
        <v>9</v>
      </c>
      <c r="L937">
        <v>0</v>
      </c>
      <c r="M937" s="4"/>
      <c r="N937" s="2"/>
      <c r="O937" s="21"/>
      <c r="P937" s="2"/>
      <c r="Q937" s="2"/>
      <c r="R937" s="4"/>
      <c r="S937" s="4"/>
      <c r="T937" s="4"/>
      <c r="U937" s="4"/>
      <c r="V937" s="4"/>
      <c r="W937" s="4"/>
    </row>
    <row r="938" spans="1:23" ht="14.5" hidden="1" customHeight="1" x14ac:dyDescent="0.2">
      <c r="A938">
        <f t="shared" si="14"/>
        <v>932</v>
      </c>
      <c r="B938">
        <v>2015</v>
      </c>
      <c r="C938" t="s">
        <v>207</v>
      </c>
      <c r="D938" t="s">
        <v>392</v>
      </c>
      <c r="E938" s="22">
        <v>490</v>
      </c>
      <c r="G938" t="s">
        <v>2516</v>
      </c>
      <c r="H938" t="s">
        <v>152</v>
      </c>
      <c r="I938" t="s">
        <v>257</v>
      </c>
      <c r="J938" t="s">
        <v>24</v>
      </c>
      <c r="K938" t="s">
        <v>219</v>
      </c>
      <c r="L938">
        <v>1</v>
      </c>
      <c r="M938" s="4"/>
      <c r="N938" s="2"/>
      <c r="O938" s="21"/>
      <c r="P938" s="2"/>
      <c r="Q938" s="2"/>
      <c r="R938" s="4"/>
      <c r="S938" s="4"/>
      <c r="T938" s="4"/>
      <c r="U938" s="4"/>
      <c r="V938" s="4"/>
      <c r="W938" s="4"/>
    </row>
    <row r="939" spans="1:23" ht="14.5" hidden="1" customHeight="1" x14ac:dyDescent="0.2">
      <c r="A939">
        <f t="shared" si="14"/>
        <v>933</v>
      </c>
      <c r="B939">
        <v>2015</v>
      </c>
      <c r="C939" t="s">
        <v>207</v>
      </c>
      <c r="D939" t="s">
        <v>421</v>
      </c>
      <c r="E939" s="22">
        <v>320</v>
      </c>
      <c r="H939" t="s">
        <v>151</v>
      </c>
      <c r="I939" t="s">
        <v>279</v>
      </c>
      <c r="J939" t="s">
        <v>138</v>
      </c>
      <c r="K939" t="s">
        <v>219</v>
      </c>
      <c r="L939">
        <v>1</v>
      </c>
      <c r="M939" s="4"/>
      <c r="N939" s="2"/>
      <c r="O939" s="21"/>
      <c r="P939" s="2"/>
      <c r="Q939" s="2"/>
      <c r="R939" s="4"/>
      <c r="S939" s="4"/>
      <c r="T939" s="4"/>
      <c r="U939" s="4"/>
      <c r="V939" s="4"/>
      <c r="W939" s="4"/>
    </row>
    <row r="940" spans="1:23" ht="14.5" hidden="1" customHeight="1" x14ac:dyDescent="0.2">
      <c r="A940">
        <f t="shared" si="14"/>
        <v>934</v>
      </c>
      <c r="B940">
        <v>2015</v>
      </c>
      <c r="C940" t="s">
        <v>207</v>
      </c>
      <c r="D940" t="s">
        <v>2486</v>
      </c>
      <c r="E940" s="22">
        <v>110</v>
      </c>
      <c r="G940" t="s">
        <v>2712</v>
      </c>
      <c r="H940" t="s">
        <v>151</v>
      </c>
      <c r="I940" t="s">
        <v>279</v>
      </c>
      <c r="J940" t="s">
        <v>20</v>
      </c>
      <c r="K940" t="s">
        <v>195</v>
      </c>
      <c r="L940">
        <v>0</v>
      </c>
      <c r="M940" s="4"/>
      <c r="N940" s="2"/>
      <c r="O940" s="21"/>
      <c r="P940" s="2"/>
      <c r="Q940" s="2"/>
      <c r="R940" s="4"/>
      <c r="S940" s="4"/>
      <c r="T940" s="4"/>
      <c r="U940" s="4"/>
      <c r="V940" s="4"/>
      <c r="W940" s="4"/>
    </row>
    <row r="941" spans="1:23" ht="14.5" hidden="1" customHeight="1" x14ac:dyDescent="0.2">
      <c r="A941">
        <f t="shared" si="14"/>
        <v>935</v>
      </c>
      <c r="B941">
        <v>2015</v>
      </c>
      <c r="C941" t="s">
        <v>207</v>
      </c>
      <c r="D941" t="s">
        <v>2486</v>
      </c>
      <c r="E941" s="22">
        <v>200</v>
      </c>
      <c r="H941" t="s">
        <v>154</v>
      </c>
      <c r="I941" t="s">
        <v>250</v>
      </c>
      <c r="J941" t="s">
        <v>20</v>
      </c>
      <c r="K941" t="s">
        <v>195</v>
      </c>
      <c r="L941">
        <v>0</v>
      </c>
      <c r="M941" s="4"/>
      <c r="N941" s="2"/>
      <c r="O941" s="21"/>
      <c r="P941" s="2"/>
      <c r="Q941" s="2"/>
      <c r="R941" s="4"/>
      <c r="S941" s="4"/>
      <c r="T941" s="4"/>
      <c r="U941" s="4"/>
      <c r="V941" s="4"/>
      <c r="W941" s="4"/>
    </row>
    <row r="942" spans="1:23" ht="14.5" hidden="1" customHeight="1" x14ac:dyDescent="0.2">
      <c r="A942">
        <f t="shared" si="14"/>
        <v>936</v>
      </c>
      <c r="B942">
        <v>2015</v>
      </c>
      <c r="C942" t="s">
        <v>207</v>
      </c>
      <c r="D942" t="s">
        <v>1035</v>
      </c>
      <c r="E942" s="22">
        <v>720</v>
      </c>
      <c r="G942" t="s">
        <v>2713</v>
      </c>
      <c r="H942" t="s">
        <v>144</v>
      </c>
      <c r="I942" t="s">
        <v>197</v>
      </c>
      <c r="J942" t="s">
        <v>67</v>
      </c>
      <c r="K942" t="s">
        <v>183</v>
      </c>
      <c r="L942">
        <v>1</v>
      </c>
      <c r="M942" s="4"/>
      <c r="N942" s="2"/>
      <c r="O942" s="21"/>
      <c r="P942" s="2"/>
      <c r="Q942" s="2"/>
      <c r="R942" s="4"/>
      <c r="S942" s="4"/>
      <c r="T942" s="4"/>
      <c r="U942" s="4"/>
      <c r="V942" s="4"/>
      <c r="W942" s="4"/>
    </row>
    <row r="943" spans="1:23" ht="14.5" hidden="1" customHeight="1" x14ac:dyDescent="0.2">
      <c r="A943">
        <f t="shared" si="14"/>
        <v>937</v>
      </c>
      <c r="B943">
        <v>2015</v>
      </c>
      <c r="C943" t="s">
        <v>207</v>
      </c>
      <c r="D943" t="s">
        <v>479</v>
      </c>
      <c r="E943" s="22">
        <v>550</v>
      </c>
      <c r="G943" t="s">
        <v>2714</v>
      </c>
      <c r="H943" t="s">
        <v>151</v>
      </c>
      <c r="I943" t="s">
        <v>279</v>
      </c>
      <c r="J943" t="s">
        <v>72</v>
      </c>
      <c r="K943" t="s">
        <v>183</v>
      </c>
      <c r="L943">
        <v>1</v>
      </c>
      <c r="M943" s="4"/>
      <c r="N943" s="2"/>
      <c r="O943" s="21"/>
      <c r="P943" s="2"/>
      <c r="Q943" s="2"/>
      <c r="R943" s="4"/>
      <c r="S943" s="4"/>
      <c r="T943" s="4"/>
      <c r="U943" s="4"/>
      <c r="V943" s="4"/>
      <c r="W943" s="4"/>
    </row>
    <row r="944" spans="1:23" ht="14.5" hidden="1" customHeight="1" x14ac:dyDescent="0.2">
      <c r="A944">
        <f t="shared" si="14"/>
        <v>938</v>
      </c>
      <c r="B944">
        <v>2015</v>
      </c>
      <c r="C944" t="s">
        <v>207</v>
      </c>
      <c r="D944" t="s">
        <v>208</v>
      </c>
      <c r="E944" s="22">
        <v>380</v>
      </c>
      <c r="G944" t="s">
        <v>2715</v>
      </c>
      <c r="H944" t="s">
        <v>144</v>
      </c>
      <c r="I944" t="s">
        <v>187</v>
      </c>
      <c r="J944" t="s">
        <v>2554</v>
      </c>
      <c r="K944" t="s">
        <v>219</v>
      </c>
      <c r="L944">
        <v>1</v>
      </c>
      <c r="M944" s="4"/>
      <c r="N944" s="2"/>
      <c r="O944" s="21"/>
      <c r="P944" s="2"/>
      <c r="Q944" s="2"/>
      <c r="R944" s="4"/>
      <c r="S944" s="4"/>
      <c r="T944" s="4"/>
      <c r="U944" s="4"/>
      <c r="V944" s="4"/>
      <c r="W944" s="4"/>
    </row>
    <row r="945" spans="1:23" ht="14.5" hidden="1" customHeight="1" x14ac:dyDescent="0.2">
      <c r="A945">
        <f t="shared" si="14"/>
        <v>939</v>
      </c>
      <c r="B945">
        <v>2015</v>
      </c>
      <c r="C945" t="s">
        <v>207</v>
      </c>
      <c r="D945" t="s">
        <v>815</v>
      </c>
      <c r="E945" s="22">
        <v>390</v>
      </c>
      <c r="G945" t="s">
        <v>2716</v>
      </c>
      <c r="H945" t="s">
        <v>151</v>
      </c>
      <c r="I945" t="s">
        <v>279</v>
      </c>
      <c r="J945" t="s">
        <v>89</v>
      </c>
      <c r="K945" t="s">
        <v>219</v>
      </c>
      <c r="L945">
        <v>1</v>
      </c>
      <c r="M945" s="4"/>
      <c r="N945" s="2"/>
      <c r="O945" s="21"/>
      <c r="P945" s="2"/>
      <c r="Q945" s="2"/>
      <c r="R945" s="4"/>
      <c r="S945" s="4"/>
      <c r="T945" s="4"/>
      <c r="U945" s="4"/>
      <c r="V945" s="4"/>
      <c r="W945" s="4"/>
    </row>
    <row r="946" spans="1:23" ht="14.5" hidden="1" customHeight="1" x14ac:dyDescent="0.2">
      <c r="A946">
        <f t="shared" si="14"/>
        <v>940</v>
      </c>
      <c r="B946">
        <v>2015</v>
      </c>
      <c r="C946" t="s">
        <v>207</v>
      </c>
      <c r="D946" t="s">
        <v>1035</v>
      </c>
      <c r="E946" s="22">
        <v>700</v>
      </c>
      <c r="G946" t="s">
        <v>2002</v>
      </c>
      <c r="H946" t="s">
        <v>144</v>
      </c>
      <c r="I946" t="s">
        <v>299</v>
      </c>
      <c r="J946" t="s">
        <v>105</v>
      </c>
      <c r="K946" t="s">
        <v>214</v>
      </c>
      <c r="L946">
        <v>1</v>
      </c>
      <c r="M946" s="4"/>
      <c r="N946" s="2"/>
      <c r="O946" s="21"/>
      <c r="P946" s="2"/>
      <c r="Q946" s="2"/>
      <c r="R946" s="4"/>
      <c r="S946" s="4"/>
      <c r="T946" s="4"/>
      <c r="U946" s="4"/>
      <c r="V946" s="4"/>
      <c r="W946" s="4"/>
    </row>
    <row r="947" spans="1:23" ht="14.5" hidden="1" customHeight="1" x14ac:dyDescent="0.2">
      <c r="A947">
        <f t="shared" si="14"/>
        <v>941</v>
      </c>
      <c r="B947">
        <v>2015</v>
      </c>
      <c r="C947" t="s">
        <v>207</v>
      </c>
      <c r="D947" t="s">
        <v>444</v>
      </c>
      <c r="E947" s="22">
        <v>1780</v>
      </c>
      <c r="G947" t="s">
        <v>2717</v>
      </c>
      <c r="H947" t="s">
        <v>150</v>
      </c>
      <c r="I947" t="s">
        <v>226</v>
      </c>
      <c r="J947" t="s">
        <v>101</v>
      </c>
      <c r="K947" t="s">
        <v>201</v>
      </c>
      <c r="L947">
        <v>1</v>
      </c>
      <c r="M947" s="4"/>
      <c r="N947" s="2"/>
      <c r="O947" s="21"/>
      <c r="P947" s="2"/>
      <c r="Q947" s="2"/>
      <c r="R947" s="4"/>
      <c r="S947" s="4"/>
      <c r="T947" s="4"/>
      <c r="U947" s="4"/>
      <c r="V947" s="4"/>
      <c r="W947" s="4"/>
    </row>
    <row r="948" spans="1:23" ht="14.5" hidden="1" customHeight="1" x14ac:dyDescent="0.2">
      <c r="A948">
        <f t="shared" si="14"/>
        <v>942</v>
      </c>
      <c r="B948">
        <v>2015</v>
      </c>
      <c r="C948" t="s">
        <v>207</v>
      </c>
      <c r="D948" t="s">
        <v>397</v>
      </c>
      <c r="E948" s="22">
        <v>130</v>
      </c>
      <c r="H948" t="s">
        <v>154</v>
      </c>
      <c r="I948" t="s">
        <v>194</v>
      </c>
      <c r="J948" t="s">
        <v>130</v>
      </c>
      <c r="K948" t="s">
        <v>214</v>
      </c>
      <c r="L948">
        <v>1</v>
      </c>
      <c r="M948" s="4"/>
      <c r="N948" s="2"/>
      <c r="O948" s="21"/>
      <c r="P948" s="2"/>
      <c r="Q948" s="2"/>
      <c r="R948" s="4"/>
      <c r="S948" s="4"/>
      <c r="T948" s="4"/>
      <c r="U948" s="4"/>
      <c r="V948" s="4"/>
      <c r="W948" s="4"/>
    </row>
    <row r="949" spans="1:23" ht="14.5" hidden="1" customHeight="1" x14ac:dyDescent="0.2">
      <c r="A949">
        <f t="shared" si="14"/>
        <v>943</v>
      </c>
      <c r="B949">
        <v>2015</v>
      </c>
      <c r="C949" t="s">
        <v>207</v>
      </c>
      <c r="D949" t="s">
        <v>189</v>
      </c>
      <c r="E949" s="22">
        <v>1700</v>
      </c>
      <c r="F949" s="16">
        <v>0.4</v>
      </c>
      <c r="G949" t="s">
        <v>2642</v>
      </c>
      <c r="H949" t="s">
        <v>144</v>
      </c>
      <c r="I949" t="s">
        <v>187</v>
      </c>
      <c r="J949" t="s">
        <v>65</v>
      </c>
      <c r="K949" t="s">
        <v>214</v>
      </c>
      <c r="L949">
        <v>1</v>
      </c>
      <c r="M949" s="4"/>
      <c r="N949" s="2"/>
      <c r="O949" s="21"/>
      <c r="P949" s="2"/>
      <c r="Q949" s="2"/>
      <c r="R949" s="4"/>
      <c r="S949" s="4"/>
      <c r="T949" s="4"/>
      <c r="U949" s="4"/>
      <c r="V949" s="4"/>
      <c r="W949" s="4"/>
    </row>
    <row r="950" spans="1:23" ht="14.5" hidden="1" customHeight="1" x14ac:dyDescent="0.2">
      <c r="A950">
        <f t="shared" si="14"/>
        <v>944</v>
      </c>
      <c r="B950">
        <v>2015</v>
      </c>
      <c r="C950" t="s">
        <v>207</v>
      </c>
      <c r="D950" t="s">
        <v>1035</v>
      </c>
      <c r="E950" s="22">
        <v>550</v>
      </c>
      <c r="H950" t="s">
        <v>144</v>
      </c>
      <c r="I950" t="s">
        <v>273</v>
      </c>
      <c r="J950" t="s">
        <v>46</v>
      </c>
      <c r="K950" t="s">
        <v>219</v>
      </c>
      <c r="L950">
        <v>1</v>
      </c>
      <c r="M950" s="4"/>
      <c r="N950" s="2"/>
      <c r="O950" s="21"/>
      <c r="P950" s="2"/>
      <c r="Q950" s="2"/>
      <c r="R950" s="4"/>
      <c r="S950" s="4"/>
      <c r="T950" s="4"/>
      <c r="U950" s="4"/>
      <c r="V950" s="4"/>
      <c r="W950" s="4"/>
    </row>
    <row r="951" spans="1:23" ht="14.5" hidden="1" customHeight="1" x14ac:dyDescent="0.2">
      <c r="A951">
        <f t="shared" si="14"/>
        <v>945</v>
      </c>
      <c r="B951">
        <v>2015</v>
      </c>
      <c r="C951" t="s">
        <v>207</v>
      </c>
      <c r="D951" t="s">
        <v>1035</v>
      </c>
      <c r="E951" s="22">
        <v>580</v>
      </c>
      <c r="G951" s="16" t="s">
        <v>2718</v>
      </c>
      <c r="H951" t="s">
        <v>144</v>
      </c>
      <c r="J951" t="s">
        <v>89</v>
      </c>
      <c r="K951" t="s">
        <v>219</v>
      </c>
      <c r="L951">
        <v>1</v>
      </c>
      <c r="M951" s="4"/>
      <c r="N951" s="2"/>
      <c r="O951" s="21"/>
      <c r="P951" s="2"/>
      <c r="Q951" s="2"/>
      <c r="R951" s="4"/>
      <c r="S951" s="4"/>
      <c r="T951" s="4"/>
      <c r="U951" s="4"/>
      <c r="V951" s="4"/>
      <c r="W951" s="4"/>
    </row>
    <row r="952" spans="1:23" ht="14.5" hidden="1" customHeight="1" x14ac:dyDescent="0.2">
      <c r="A952">
        <f t="shared" si="14"/>
        <v>946</v>
      </c>
      <c r="B952">
        <v>2015</v>
      </c>
      <c r="C952" t="s">
        <v>207</v>
      </c>
      <c r="D952" t="s">
        <v>1035</v>
      </c>
      <c r="E952" s="22">
        <v>100</v>
      </c>
      <c r="H952" t="s">
        <v>154</v>
      </c>
      <c r="I952" t="s">
        <v>194</v>
      </c>
      <c r="J952" t="s">
        <v>44</v>
      </c>
      <c r="K952" t="s">
        <v>201</v>
      </c>
      <c r="L952">
        <v>1</v>
      </c>
      <c r="M952" s="4"/>
      <c r="N952" s="2"/>
      <c r="O952" s="21"/>
      <c r="P952" s="2"/>
      <c r="Q952" s="2"/>
      <c r="R952" s="4"/>
      <c r="S952" s="4"/>
      <c r="T952" s="4"/>
      <c r="U952" s="4"/>
      <c r="V952" s="4"/>
      <c r="W952" s="4"/>
    </row>
    <row r="953" spans="1:23" ht="14.5" hidden="1" customHeight="1" x14ac:dyDescent="0.2">
      <c r="A953">
        <f t="shared" si="14"/>
        <v>947</v>
      </c>
      <c r="B953">
        <v>2015</v>
      </c>
      <c r="C953" t="s">
        <v>207</v>
      </c>
      <c r="D953" t="s">
        <v>1035</v>
      </c>
      <c r="E953" s="22">
        <v>150</v>
      </c>
      <c r="H953" t="s">
        <v>154</v>
      </c>
      <c r="I953" t="s">
        <v>194</v>
      </c>
      <c r="J953" t="s">
        <v>52</v>
      </c>
      <c r="K953" t="s">
        <v>201</v>
      </c>
      <c r="L953">
        <v>0</v>
      </c>
      <c r="M953" s="4"/>
      <c r="N953" s="2"/>
      <c r="O953" s="21"/>
      <c r="P953" s="2"/>
      <c r="Q953" s="2"/>
      <c r="R953" s="4"/>
      <c r="S953" s="4"/>
      <c r="T953" s="4"/>
      <c r="U953" s="4"/>
      <c r="V953" s="4"/>
      <c r="W953" s="4"/>
    </row>
    <row r="954" spans="1:23" ht="14.5" hidden="1" customHeight="1" x14ac:dyDescent="0.2">
      <c r="A954">
        <f t="shared" si="14"/>
        <v>948</v>
      </c>
      <c r="B954">
        <v>2015</v>
      </c>
      <c r="C954" t="s">
        <v>207</v>
      </c>
      <c r="D954" t="s">
        <v>1035</v>
      </c>
      <c r="E954" s="22">
        <v>1290</v>
      </c>
      <c r="G954" t="s">
        <v>2002</v>
      </c>
      <c r="H954" t="s">
        <v>144</v>
      </c>
      <c r="I954" t="s">
        <v>299</v>
      </c>
      <c r="J954" t="s">
        <v>105</v>
      </c>
      <c r="K954" t="s">
        <v>214</v>
      </c>
      <c r="L954">
        <v>1</v>
      </c>
      <c r="M954" s="4"/>
      <c r="N954" s="2"/>
      <c r="O954" s="21"/>
      <c r="P954" s="2"/>
      <c r="Q954" s="2"/>
      <c r="R954" s="4"/>
      <c r="S954" s="4"/>
      <c r="T954" s="4"/>
      <c r="U954" s="4"/>
      <c r="V954" s="4"/>
      <c r="W954" s="4"/>
    </row>
    <row r="955" spans="1:23" ht="14.5" hidden="1" customHeight="1" x14ac:dyDescent="0.2">
      <c r="A955">
        <f t="shared" si="14"/>
        <v>949</v>
      </c>
      <c r="B955">
        <v>2015</v>
      </c>
      <c r="C955" t="s">
        <v>207</v>
      </c>
      <c r="D955" s="17" t="s">
        <v>307</v>
      </c>
      <c r="E955" s="24">
        <v>2200</v>
      </c>
      <c r="F955" s="18"/>
      <c r="G955" s="17"/>
      <c r="H955" s="17" t="s">
        <v>144</v>
      </c>
      <c r="I955" s="17"/>
      <c r="J955" s="17" t="s">
        <v>19</v>
      </c>
      <c r="K955" s="17" t="s">
        <v>205</v>
      </c>
      <c r="L955" s="17">
        <v>0</v>
      </c>
      <c r="M955" s="4"/>
      <c r="N955" s="2"/>
      <c r="O955" s="21"/>
      <c r="P955" s="2"/>
      <c r="Q955" s="2"/>
      <c r="R955" s="4"/>
      <c r="S955" s="4"/>
      <c r="T955" s="4"/>
      <c r="U955" s="4"/>
      <c r="V955" s="4"/>
      <c r="W955" s="4"/>
    </row>
    <row r="956" spans="1:23" ht="14.5" hidden="1" customHeight="1" x14ac:dyDescent="0.2">
      <c r="A956">
        <f t="shared" si="14"/>
        <v>950</v>
      </c>
      <c r="B956">
        <v>2015</v>
      </c>
      <c r="C956" t="s">
        <v>240</v>
      </c>
      <c r="D956" t="s">
        <v>1035</v>
      </c>
      <c r="E956" s="22">
        <v>1180</v>
      </c>
      <c r="H956" t="s">
        <v>155</v>
      </c>
      <c r="J956" t="s">
        <v>100</v>
      </c>
      <c r="K956" t="s">
        <v>214</v>
      </c>
      <c r="L956">
        <v>1</v>
      </c>
      <c r="M956" s="4"/>
      <c r="N956" s="2"/>
      <c r="O956" s="21"/>
      <c r="P956" s="2"/>
      <c r="Q956" s="2"/>
      <c r="R956" s="4"/>
      <c r="S956" s="4"/>
      <c r="T956" s="4"/>
      <c r="U956" s="4"/>
      <c r="V956" s="4"/>
      <c r="W956" s="4"/>
    </row>
    <row r="957" spans="1:23" ht="14.5" hidden="1" customHeight="1" x14ac:dyDescent="0.2">
      <c r="A957">
        <f t="shared" si="14"/>
        <v>951</v>
      </c>
      <c r="B957">
        <v>2015</v>
      </c>
      <c r="C957" t="s">
        <v>240</v>
      </c>
      <c r="D957" t="s">
        <v>1035</v>
      </c>
      <c r="E957" s="22">
        <v>270</v>
      </c>
      <c r="G957" t="s">
        <v>247</v>
      </c>
      <c r="H957" t="s">
        <v>144</v>
      </c>
      <c r="I957" t="s">
        <v>197</v>
      </c>
      <c r="J957" t="s">
        <v>67</v>
      </c>
      <c r="K957" t="s">
        <v>183</v>
      </c>
      <c r="L957">
        <v>1</v>
      </c>
      <c r="M957" s="4"/>
      <c r="N957" s="2"/>
      <c r="O957" s="21"/>
      <c r="P957" s="2"/>
      <c r="Q957" s="2"/>
      <c r="R957" s="4"/>
      <c r="S957" s="4"/>
      <c r="T957" s="4"/>
      <c r="U957" s="4"/>
      <c r="V957" s="4"/>
      <c r="W957" s="4"/>
    </row>
    <row r="958" spans="1:23" ht="14.5" hidden="1" customHeight="1" x14ac:dyDescent="0.2">
      <c r="A958">
        <f t="shared" si="14"/>
        <v>952</v>
      </c>
      <c r="B958">
        <v>2015</v>
      </c>
      <c r="C958" t="s">
        <v>240</v>
      </c>
      <c r="D958" t="s">
        <v>341</v>
      </c>
      <c r="E958" s="22">
        <v>260</v>
      </c>
      <c r="H958" t="s">
        <v>154</v>
      </c>
      <c r="I958" t="s">
        <v>529</v>
      </c>
      <c r="J958" t="s">
        <v>136</v>
      </c>
      <c r="K958" t="s">
        <v>183</v>
      </c>
      <c r="L958">
        <v>1</v>
      </c>
      <c r="M958" s="4"/>
      <c r="N958" s="2"/>
      <c r="O958" s="21"/>
      <c r="P958" s="2"/>
      <c r="Q958" s="2"/>
      <c r="R958" s="4"/>
      <c r="S958" s="4"/>
      <c r="T958" s="4"/>
      <c r="U958" s="4"/>
      <c r="V958" s="4"/>
      <c r="W958" s="4"/>
    </row>
    <row r="959" spans="1:23" ht="14.5" hidden="1" customHeight="1" x14ac:dyDescent="0.2">
      <c r="A959">
        <f t="shared" si="14"/>
        <v>953</v>
      </c>
      <c r="B959">
        <v>2015</v>
      </c>
      <c r="C959" t="s">
        <v>240</v>
      </c>
      <c r="D959" t="s">
        <v>341</v>
      </c>
      <c r="E959" s="22">
        <v>180</v>
      </c>
      <c r="H959" t="s">
        <v>154</v>
      </c>
      <c r="I959" t="s">
        <v>194</v>
      </c>
      <c r="J959" t="s">
        <v>40</v>
      </c>
      <c r="K959" t="s">
        <v>219</v>
      </c>
      <c r="L959">
        <v>1</v>
      </c>
      <c r="M959" s="4"/>
      <c r="N959" s="2"/>
      <c r="O959" s="21"/>
      <c r="P959" s="2"/>
      <c r="Q959" s="2"/>
      <c r="R959" s="4"/>
      <c r="S959" s="4"/>
      <c r="T959" s="4"/>
      <c r="U959" s="4"/>
      <c r="V959" s="4"/>
      <c r="W959" s="4"/>
    </row>
    <row r="960" spans="1:23" ht="14.5" hidden="1" customHeight="1" x14ac:dyDescent="0.2">
      <c r="A960">
        <f t="shared" si="14"/>
        <v>954</v>
      </c>
      <c r="B960">
        <v>2015</v>
      </c>
      <c r="C960" t="s">
        <v>240</v>
      </c>
      <c r="D960" t="s">
        <v>875</v>
      </c>
      <c r="E960" s="22">
        <v>200</v>
      </c>
      <c r="H960" t="s">
        <v>151</v>
      </c>
      <c r="I960" t="s">
        <v>279</v>
      </c>
      <c r="J960" t="s">
        <v>37</v>
      </c>
      <c r="K960" t="s">
        <v>205</v>
      </c>
      <c r="L960">
        <v>1</v>
      </c>
      <c r="M960" s="4"/>
      <c r="N960" s="2"/>
      <c r="O960" s="21"/>
      <c r="P960" s="2"/>
      <c r="Q960" s="2"/>
      <c r="R960" s="4"/>
      <c r="S960" s="4"/>
      <c r="T960" s="4"/>
      <c r="U960" s="4"/>
      <c r="V960" s="4"/>
      <c r="W960" s="4"/>
    </row>
    <row r="961" spans="1:23" ht="14.5" hidden="1" customHeight="1" x14ac:dyDescent="0.2">
      <c r="A961">
        <f t="shared" si="14"/>
        <v>955</v>
      </c>
      <c r="B961">
        <v>2015</v>
      </c>
      <c r="C961" t="s">
        <v>240</v>
      </c>
      <c r="D961" t="s">
        <v>444</v>
      </c>
      <c r="E961" s="22">
        <v>190</v>
      </c>
      <c r="H961" t="s">
        <v>151</v>
      </c>
      <c r="I961" t="s">
        <v>279</v>
      </c>
      <c r="J961" t="s">
        <v>73</v>
      </c>
      <c r="K961" t="s">
        <v>201</v>
      </c>
      <c r="L961">
        <v>1</v>
      </c>
      <c r="M961" s="4"/>
      <c r="N961" s="2"/>
      <c r="O961" s="21"/>
      <c r="P961" s="2"/>
      <c r="Q961" s="2"/>
      <c r="R961" s="4"/>
      <c r="S961" s="4"/>
      <c r="T961" s="4"/>
      <c r="U961" s="4"/>
      <c r="V961" s="4"/>
      <c r="W961" s="4"/>
    </row>
    <row r="962" spans="1:23" ht="14.5" hidden="1" customHeight="1" x14ac:dyDescent="0.2">
      <c r="A962">
        <f t="shared" si="14"/>
        <v>956</v>
      </c>
      <c r="B962">
        <v>2015</v>
      </c>
      <c r="C962" t="s">
        <v>240</v>
      </c>
      <c r="D962" t="s">
        <v>199</v>
      </c>
      <c r="E962" s="22">
        <v>180</v>
      </c>
      <c r="F962" s="16">
        <v>0.4</v>
      </c>
      <c r="H962" t="s">
        <v>143</v>
      </c>
      <c r="J962" t="s">
        <v>72</v>
      </c>
      <c r="K962" t="s">
        <v>183</v>
      </c>
      <c r="L962">
        <v>1</v>
      </c>
      <c r="M962" s="4"/>
      <c r="N962" s="2"/>
      <c r="O962" s="21"/>
      <c r="P962" s="2"/>
      <c r="Q962" s="2"/>
      <c r="R962" s="4"/>
      <c r="S962" s="4"/>
      <c r="T962" s="4"/>
      <c r="U962" s="4"/>
      <c r="V962" s="4"/>
      <c r="W962" s="4"/>
    </row>
    <row r="963" spans="1:23" ht="14.5" hidden="1" customHeight="1" x14ac:dyDescent="0.2">
      <c r="A963">
        <f t="shared" si="14"/>
        <v>957</v>
      </c>
      <c r="B963">
        <v>2015</v>
      </c>
      <c r="C963" t="s">
        <v>240</v>
      </c>
      <c r="D963" t="s">
        <v>479</v>
      </c>
      <c r="E963" s="22">
        <v>140</v>
      </c>
      <c r="H963" t="s">
        <v>154</v>
      </c>
      <c r="I963" t="s">
        <v>194</v>
      </c>
      <c r="J963" t="s">
        <v>73</v>
      </c>
      <c r="K963" t="s">
        <v>201</v>
      </c>
      <c r="L963">
        <v>1</v>
      </c>
      <c r="M963" s="4"/>
      <c r="N963" s="2"/>
      <c r="O963" s="21"/>
      <c r="P963" s="2"/>
      <c r="Q963" s="2"/>
      <c r="R963" s="4"/>
      <c r="S963" s="4"/>
      <c r="T963" s="4"/>
      <c r="U963" s="4"/>
      <c r="V963" s="4"/>
      <c r="W963" s="4"/>
    </row>
    <row r="964" spans="1:23" ht="14.5" hidden="1" customHeight="1" x14ac:dyDescent="0.2">
      <c r="A964">
        <f t="shared" si="14"/>
        <v>958</v>
      </c>
      <c r="B964">
        <v>2015</v>
      </c>
      <c r="C964" t="s">
        <v>240</v>
      </c>
      <c r="D964" t="s">
        <v>180</v>
      </c>
      <c r="E964" s="22">
        <v>260</v>
      </c>
      <c r="H964" t="s">
        <v>154</v>
      </c>
      <c r="I964" t="s">
        <v>194</v>
      </c>
      <c r="J964" t="s">
        <v>53</v>
      </c>
      <c r="K964" t="s">
        <v>183</v>
      </c>
      <c r="L964">
        <v>1</v>
      </c>
      <c r="M964" s="4"/>
      <c r="N964" s="2"/>
      <c r="O964" s="21"/>
      <c r="P964" s="2"/>
      <c r="Q964" s="2"/>
      <c r="R964" s="4"/>
      <c r="S964" s="4"/>
      <c r="T964" s="4"/>
      <c r="U964" s="4"/>
      <c r="V964" s="4"/>
      <c r="W964" s="4"/>
    </row>
    <row r="965" spans="1:23" ht="14.5" hidden="1" customHeight="1" x14ac:dyDescent="0.2">
      <c r="A965">
        <f t="shared" si="14"/>
        <v>959</v>
      </c>
      <c r="B965">
        <v>2015</v>
      </c>
      <c r="C965" t="s">
        <v>240</v>
      </c>
      <c r="D965" t="s">
        <v>180</v>
      </c>
      <c r="E965" s="22">
        <v>110</v>
      </c>
      <c r="H965" t="s">
        <v>149</v>
      </c>
      <c r="I965" t="s">
        <v>182</v>
      </c>
      <c r="J965" t="s">
        <v>53</v>
      </c>
      <c r="K965" t="s">
        <v>183</v>
      </c>
      <c r="L965">
        <v>1</v>
      </c>
      <c r="M965" s="4"/>
      <c r="N965" s="2"/>
      <c r="O965" s="21"/>
      <c r="P965" s="2"/>
      <c r="Q965" s="2"/>
      <c r="R965" s="4"/>
      <c r="S965" s="4"/>
      <c r="T965" s="4"/>
      <c r="U965" s="4"/>
      <c r="V965" s="4"/>
      <c r="W965" s="4"/>
    </row>
    <row r="966" spans="1:23" ht="14.5" hidden="1" customHeight="1" x14ac:dyDescent="0.2">
      <c r="A966">
        <f t="shared" si="14"/>
        <v>960</v>
      </c>
      <c r="B966">
        <v>2015</v>
      </c>
      <c r="C966" t="s">
        <v>240</v>
      </c>
      <c r="D966" t="s">
        <v>479</v>
      </c>
      <c r="E966" s="22">
        <v>140</v>
      </c>
      <c r="H966" t="s">
        <v>154</v>
      </c>
      <c r="I966" t="s">
        <v>194</v>
      </c>
      <c r="J966" t="s">
        <v>70</v>
      </c>
      <c r="K966" t="s">
        <v>219</v>
      </c>
      <c r="L966">
        <v>1</v>
      </c>
      <c r="M966" s="4"/>
      <c r="N966" s="2"/>
      <c r="O966" s="21"/>
      <c r="P966" s="2"/>
      <c r="Q966" s="2"/>
      <c r="R966" s="4"/>
      <c r="S966" s="4"/>
      <c r="T966" s="4"/>
      <c r="U966" s="4"/>
      <c r="V966" s="4"/>
      <c r="W966" s="4"/>
    </row>
    <row r="967" spans="1:23" ht="14.5" hidden="1" customHeight="1" x14ac:dyDescent="0.2">
      <c r="A967">
        <f t="shared" ref="A967:A1030" si="15">ROW()-6</f>
        <v>961</v>
      </c>
      <c r="B967">
        <v>2015</v>
      </c>
      <c r="C967" t="s">
        <v>240</v>
      </c>
      <c r="D967" t="s">
        <v>2719</v>
      </c>
      <c r="E967" s="22">
        <v>340</v>
      </c>
      <c r="H967" t="s">
        <v>144</v>
      </c>
      <c r="I967" t="s">
        <v>197</v>
      </c>
      <c r="J967" t="s">
        <v>102</v>
      </c>
      <c r="K967" t="s">
        <v>219</v>
      </c>
      <c r="L967">
        <v>1</v>
      </c>
      <c r="M967" s="4"/>
      <c r="N967" s="2"/>
      <c r="O967" s="21"/>
      <c r="P967" s="2"/>
      <c r="Q967" s="2"/>
      <c r="R967" s="4"/>
      <c r="S967" s="4"/>
      <c r="T967" s="4"/>
      <c r="U967" s="4"/>
      <c r="V967" s="4"/>
      <c r="W967" s="4"/>
    </row>
    <row r="968" spans="1:23" ht="14.5" hidden="1" customHeight="1" x14ac:dyDescent="0.2">
      <c r="A968">
        <f t="shared" si="15"/>
        <v>962</v>
      </c>
      <c r="B968">
        <v>2015</v>
      </c>
      <c r="C968" t="s">
        <v>240</v>
      </c>
      <c r="D968" t="s">
        <v>208</v>
      </c>
      <c r="E968" s="22">
        <v>180</v>
      </c>
      <c r="G968" t="s">
        <v>2720</v>
      </c>
      <c r="H968" t="s">
        <v>144</v>
      </c>
      <c r="I968" t="s">
        <v>232</v>
      </c>
      <c r="J968" t="s">
        <v>53</v>
      </c>
      <c r="K968" t="s">
        <v>183</v>
      </c>
      <c r="L968">
        <v>1</v>
      </c>
      <c r="M968" s="4"/>
      <c r="N968" s="2"/>
      <c r="O968" s="21"/>
      <c r="P968" s="2"/>
      <c r="Q968" s="2"/>
      <c r="R968" s="4"/>
      <c r="S968" s="4"/>
      <c r="T968" s="4"/>
      <c r="U968" s="4"/>
      <c r="V968" s="4"/>
      <c r="W968" s="4"/>
    </row>
    <row r="969" spans="1:23" ht="14.5" hidden="1" customHeight="1" x14ac:dyDescent="0.2">
      <c r="A969">
        <f t="shared" si="15"/>
        <v>963</v>
      </c>
      <c r="B969">
        <v>2015</v>
      </c>
      <c r="C969" t="s">
        <v>240</v>
      </c>
      <c r="D969" t="s">
        <v>1035</v>
      </c>
      <c r="E969" s="22">
        <v>110</v>
      </c>
      <c r="G969" t="s">
        <v>2721</v>
      </c>
      <c r="H969" t="s">
        <v>154</v>
      </c>
      <c r="I969" t="s">
        <v>194</v>
      </c>
      <c r="J969" t="s">
        <v>65</v>
      </c>
      <c r="K969" t="s">
        <v>214</v>
      </c>
      <c r="L969">
        <v>1</v>
      </c>
      <c r="M969" s="4"/>
      <c r="N969" s="2"/>
      <c r="O969" s="21"/>
      <c r="P969" s="2"/>
      <c r="Q969" s="2"/>
      <c r="R969" s="4"/>
      <c r="S969" s="4"/>
      <c r="T969" s="4"/>
      <c r="U969" s="4"/>
      <c r="V969" s="4"/>
      <c r="W969" s="4"/>
    </row>
    <row r="970" spans="1:23" ht="14.5" hidden="1" customHeight="1" x14ac:dyDescent="0.2">
      <c r="A970">
        <f t="shared" si="15"/>
        <v>964</v>
      </c>
      <c r="B970">
        <v>2015</v>
      </c>
      <c r="C970" t="s">
        <v>240</v>
      </c>
      <c r="D970" t="s">
        <v>341</v>
      </c>
      <c r="E970" s="22">
        <v>110</v>
      </c>
      <c r="H970" t="s">
        <v>142</v>
      </c>
      <c r="J970" t="s">
        <v>84</v>
      </c>
      <c r="K970" t="s">
        <v>201</v>
      </c>
      <c r="L970">
        <v>1</v>
      </c>
      <c r="M970" s="4"/>
      <c r="N970" s="2"/>
      <c r="O970" s="21"/>
      <c r="P970" s="2"/>
      <c r="Q970" s="2"/>
      <c r="R970" s="4"/>
      <c r="S970" s="4"/>
      <c r="T970" s="4"/>
      <c r="U970" s="4"/>
      <c r="V970" s="4"/>
      <c r="W970" s="4"/>
    </row>
    <row r="971" spans="1:23" ht="14.5" hidden="1" customHeight="1" x14ac:dyDescent="0.2">
      <c r="A971">
        <f t="shared" si="15"/>
        <v>965</v>
      </c>
      <c r="B971">
        <v>2015</v>
      </c>
      <c r="C971" t="s">
        <v>240</v>
      </c>
      <c r="D971" t="s">
        <v>543</v>
      </c>
      <c r="E971" s="22">
        <v>150</v>
      </c>
      <c r="H971" t="s">
        <v>152</v>
      </c>
      <c r="I971" t="s">
        <v>257</v>
      </c>
      <c r="J971" t="s">
        <v>13</v>
      </c>
      <c r="K971" t="s">
        <v>201</v>
      </c>
      <c r="L971">
        <v>1</v>
      </c>
      <c r="M971" s="4"/>
      <c r="N971" s="2"/>
      <c r="O971" s="21"/>
      <c r="P971" s="2"/>
      <c r="Q971" s="2"/>
      <c r="R971" s="4"/>
      <c r="S971" s="4"/>
      <c r="T971" s="4"/>
      <c r="U971" s="4"/>
      <c r="V971" s="4"/>
      <c r="W971" s="4"/>
    </row>
    <row r="972" spans="1:23" ht="14.5" hidden="1" customHeight="1" x14ac:dyDescent="0.2">
      <c r="A972">
        <f t="shared" si="15"/>
        <v>966</v>
      </c>
      <c r="B972">
        <v>2015</v>
      </c>
      <c r="C972" t="s">
        <v>240</v>
      </c>
      <c r="D972" t="s">
        <v>479</v>
      </c>
      <c r="E972" s="22">
        <v>400</v>
      </c>
      <c r="H972" t="s">
        <v>154</v>
      </c>
      <c r="I972" t="s">
        <v>194</v>
      </c>
      <c r="J972" t="s">
        <v>66</v>
      </c>
      <c r="K972" t="s">
        <v>201</v>
      </c>
      <c r="L972">
        <v>1</v>
      </c>
      <c r="M972" s="4"/>
      <c r="N972" s="2"/>
      <c r="O972" s="21"/>
      <c r="P972" s="2"/>
      <c r="Q972" s="2"/>
      <c r="R972" s="4"/>
      <c r="S972" s="4"/>
      <c r="T972" s="4"/>
      <c r="U972" s="4"/>
      <c r="V972" s="4"/>
      <c r="W972" s="4"/>
    </row>
    <row r="973" spans="1:23" ht="14.5" hidden="1" customHeight="1" x14ac:dyDescent="0.2">
      <c r="A973">
        <f t="shared" si="15"/>
        <v>967</v>
      </c>
      <c r="B973">
        <v>2015</v>
      </c>
      <c r="C973" t="s">
        <v>240</v>
      </c>
      <c r="D973" t="s">
        <v>444</v>
      </c>
      <c r="E973" s="22">
        <v>640</v>
      </c>
      <c r="H973" t="s">
        <v>144</v>
      </c>
      <c r="I973" t="s">
        <v>273</v>
      </c>
      <c r="J973" t="s">
        <v>106</v>
      </c>
      <c r="K973" t="s">
        <v>183</v>
      </c>
      <c r="L973">
        <v>1</v>
      </c>
      <c r="M973" s="4"/>
      <c r="N973" s="2"/>
      <c r="O973" s="21"/>
      <c r="P973" s="2"/>
      <c r="Q973" s="2"/>
      <c r="R973" s="4"/>
      <c r="S973" s="4"/>
      <c r="T973" s="4"/>
      <c r="U973" s="4"/>
      <c r="V973" s="4"/>
      <c r="W973" s="4"/>
    </row>
    <row r="974" spans="1:23" ht="14.5" hidden="1" customHeight="1" x14ac:dyDescent="0.2">
      <c r="A974">
        <f t="shared" si="15"/>
        <v>968</v>
      </c>
      <c r="B974">
        <v>2015</v>
      </c>
      <c r="C974" t="s">
        <v>212</v>
      </c>
      <c r="D974" t="s">
        <v>221</v>
      </c>
      <c r="E974" s="22">
        <v>260</v>
      </c>
      <c r="G974" t="s">
        <v>2722</v>
      </c>
      <c r="H974" t="s">
        <v>151</v>
      </c>
      <c r="I974" t="s">
        <v>279</v>
      </c>
      <c r="J974" t="s">
        <v>23</v>
      </c>
      <c r="K974" t="s">
        <v>183</v>
      </c>
      <c r="L974">
        <v>1</v>
      </c>
      <c r="M974" s="4"/>
      <c r="N974" s="2"/>
      <c r="O974" s="21"/>
      <c r="P974" s="2"/>
      <c r="Q974" s="2"/>
      <c r="R974" s="4"/>
      <c r="S974" s="4"/>
      <c r="T974" s="4"/>
      <c r="U974" s="4"/>
      <c r="V974" s="4"/>
      <c r="W974" s="4"/>
    </row>
    <row r="975" spans="1:23" ht="14.5" hidden="1" customHeight="1" x14ac:dyDescent="0.2">
      <c r="A975">
        <f t="shared" si="15"/>
        <v>969</v>
      </c>
      <c r="B975">
        <v>2015</v>
      </c>
      <c r="C975" t="s">
        <v>212</v>
      </c>
      <c r="D975" t="s">
        <v>449</v>
      </c>
      <c r="E975" s="22">
        <v>1460</v>
      </c>
      <c r="G975" t="s">
        <v>2723</v>
      </c>
      <c r="H975" t="s">
        <v>154</v>
      </c>
      <c r="I975" t="s">
        <v>194</v>
      </c>
      <c r="J975" t="s">
        <v>93</v>
      </c>
      <c r="K975" t="s">
        <v>201</v>
      </c>
      <c r="L975">
        <v>1</v>
      </c>
      <c r="M975" s="4"/>
      <c r="N975" s="2"/>
      <c r="O975" s="21"/>
      <c r="P975" s="2"/>
      <c r="Q975" s="2"/>
      <c r="R975" s="4"/>
      <c r="S975" s="4"/>
      <c r="T975" s="4"/>
      <c r="U975" s="4"/>
      <c r="V975" s="4"/>
      <c r="W975" s="4"/>
    </row>
    <row r="976" spans="1:23" ht="14.5" hidden="1" customHeight="1" x14ac:dyDescent="0.2">
      <c r="A976">
        <f t="shared" si="15"/>
        <v>970</v>
      </c>
      <c r="B976">
        <v>2015</v>
      </c>
      <c r="C976" t="s">
        <v>212</v>
      </c>
      <c r="D976" t="s">
        <v>397</v>
      </c>
      <c r="E976" s="22">
        <v>110</v>
      </c>
      <c r="H976" t="s">
        <v>151</v>
      </c>
      <c r="I976" t="s">
        <v>279</v>
      </c>
      <c r="J976" t="s">
        <v>108</v>
      </c>
      <c r="K976" t="s">
        <v>183</v>
      </c>
      <c r="L976">
        <v>1</v>
      </c>
      <c r="M976" s="4"/>
      <c r="N976" s="2"/>
      <c r="O976" s="21"/>
      <c r="P976" s="2"/>
      <c r="Q976" s="2"/>
      <c r="R976" s="4"/>
      <c r="S976" s="4"/>
      <c r="T976" s="4"/>
      <c r="U976" s="4"/>
      <c r="V976" s="4"/>
      <c r="W976" s="4"/>
    </row>
    <row r="977" spans="1:23" ht="14.5" hidden="1" customHeight="1" x14ac:dyDescent="0.2">
      <c r="A977">
        <f t="shared" si="15"/>
        <v>971</v>
      </c>
      <c r="B977">
        <v>2015</v>
      </c>
      <c r="C977" t="s">
        <v>212</v>
      </c>
      <c r="D977" t="s">
        <v>444</v>
      </c>
      <c r="E977" s="22">
        <v>1160</v>
      </c>
      <c r="G977" t="s">
        <v>2724</v>
      </c>
      <c r="H977" t="s">
        <v>144</v>
      </c>
      <c r="I977" t="s">
        <v>273</v>
      </c>
      <c r="J977" t="s">
        <v>53</v>
      </c>
      <c r="K977" t="s">
        <v>183</v>
      </c>
      <c r="L977">
        <v>1</v>
      </c>
      <c r="M977" s="4"/>
      <c r="N977" s="2"/>
      <c r="O977" s="21"/>
      <c r="P977" s="2"/>
      <c r="Q977" s="2"/>
      <c r="R977" s="4"/>
      <c r="S977" s="4"/>
      <c r="T977" s="4"/>
      <c r="U977" s="4"/>
      <c r="V977" s="4"/>
      <c r="W977" s="4"/>
    </row>
    <row r="978" spans="1:23" ht="14.5" hidden="1" customHeight="1" x14ac:dyDescent="0.2">
      <c r="A978">
        <f t="shared" si="15"/>
        <v>972</v>
      </c>
      <c r="B978">
        <v>2015</v>
      </c>
      <c r="C978" t="s">
        <v>212</v>
      </c>
      <c r="D978" t="s">
        <v>336</v>
      </c>
      <c r="E978" s="22">
        <v>990</v>
      </c>
      <c r="H978" t="s">
        <v>144</v>
      </c>
      <c r="I978" t="s">
        <v>273</v>
      </c>
      <c r="J978" t="s">
        <v>78</v>
      </c>
      <c r="K978" t="s">
        <v>183</v>
      </c>
      <c r="L978">
        <v>1</v>
      </c>
      <c r="M978" s="4"/>
      <c r="N978" s="2"/>
      <c r="O978" s="21"/>
      <c r="P978" s="2"/>
      <c r="Q978" s="2"/>
      <c r="R978" s="4"/>
      <c r="S978" s="4"/>
      <c r="T978" s="4"/>
      <c r="U978" s="4"/>
      <c r="V978" s="4"/>
      <c r="W978" s="4"/>
    </row>
    <row r="979" spans="1:23" ht="14.5" hidden="1" customHeight="1" x14ac:dyDescent="0.2">
      <c r="A979">
        <f t="shared" si="15"/>
        <v>973</v>
      </c>
      <c r="B979">
        <v>2015</v>
      </c>
      <c r="C979" t="s">
        <v>212</v>
      </c>
      <c r="D979" t="s">
        <v>449</v>
      </c>
      <c r="E979" s="22">
        <v>1460</v>
      </c>
      <c r="H979" t="s">
        <v>154</v>
      </c>
      <c r="I979" t="s">
        <v>529</v>
      </c>
      <c r="J979" t="s">
        <v>2462</v>
      </c>
      <c r="K979" t="s">
        <v>219</v>
      </c>
      <c r="L979">
        <v>1</v>
      </c>
      <c r="M979" s="4"/>
      <c r="N979" s="2"/>
      <c r="O979" s="21"/>
      <c r="P979" s="2"/>
      <c r="Q979" s="2"/>
      <c r="R979" s="4"/>
      <c r="S979" s="4"/>
      <c r="T979" s="4"/>
      <c r="U979" s="4"/>
      <c r="V979" s="4"/>
      <c r="W979" s="4"/>
    </row>
    <row r="980" spans="1:23" ht="14.5" hidden="1" customHeight="1" x14ac:dyDescent="0.2">
      <c r="A980">
        <f t="shared" si="15"/>
        <v>974</v>
      </c>
      <c r="B980">
        <v>2015</v>
      </c>
      <c r="C980" t="s">
        <v>212</v>
      </c>
      <c r="D980" t="s">
        <v>397</v>
      </c>
      <c r="E980" s="22">
        <v>2890</v>
      </c>
      <c r="H980" t="s">
        <v>154</v>
      </c>
      <c r="I980" t="s">
        <v>194</v>
      </c>
      <c r="J980" t="s">
        <v>93</v>
      </c>
      <c r="K980" t="s">
        <v>201</v>
      </c>
      <c r="L980">
        <v>1</v>
      </c>
      <c r="M980" s="4"/>
      <c r="N980" s="2"/>
      <c r="O980" s="21"/>
      <c r="P980" s="2"/>
      <c r="Q980" s="2"/>
      <c r="R980" s="4"/>
      <c r="S980" s="4"/>
      <c r="T980" s="4"/>
      <c r="U980" s="4"/>
      <c r="V980" s="4"/>
      <c r="W980" s="4"/>
    </row>
    <row r="981" spans="1:23" ht="14.5" hidden="1" customHeight="1" x14ac:dyDescent="0.2">
      <c r="A981">
        <f t="shared" si="15"/>
        <v>975</v>
      </c>
      <c r="B981">
        <v>2015</v>
      </c>
      <c r="C981" t="s">
        <v>212</v>
      </c>
      <c r="D981" t="s">
        <v>479</v>
      </c>
      <c r="E981" s="22">
        <v>140</v>
      </c>
      <c r="G981" t="s">
        <v>2725</v>
      </c>
      <c r="H981" t="s">
        <v>147</v>
      </c>
      <c r="J981" t="s">
        <v>9</v>
      </c>
      <c r="K981" t="s">
        <v>9</v>
      </c>
      <c r="L981">
        <v>0</v>
      </c>
      <c r="M981" s="4"/>
      <c r="N981" s="2"/>
      <c r="O981" s="21"/>
      <c r="P981" s="2"/>
      <c r="Q981" s="2"/>
      <c r="R981" s="4"/>
      <c r="S981" s="4"/>
      <c r="T981" s="4"/>
      <c r="U981" s="4"/>
      <c r="V981" s="4"/>
      <c r="W981" s="4"/>
    </row>
    <row r="982" spans="1:23" ht="15" hidden="1" customHeight="1" x14ac:dyDescent="0.2">
      <c r="A982">
        <f t="shared" si="15"/>
        <v>976</v>
      </c>
      <c r="B982">
        <v>2015</v>
      </c>
      <c r="C982" t="s">
        <v>212</v>
      </c>
      <c r="D982" t="s">
        <v>1035</v>
      </c>
      <c r="E982" s="22">
        <v>160</v>
      </c>
      <c r="H982" t="s">
        <v>144</v>
      </c>
      <c r="I982" t="s">
        <v>197</v>
      </c>
      <c r="J982" t="s">
        <v>2557</v>
      </c>
      <c r="K982" t="s">
        <v>219</v>
      </c>
      <c r="L982">
        <v>1</v>
      </c>
      <c r="M982" s="4"/>
      <c r="N982" s="2"/>
      <c r="O982" s="21"/>
      <c r="P982" s="2"/>
      <c r="Q982" s="2"/>
      <c r="R982" s="4"/>
      <c r="S982" s="4"/>
      <c r="T982" s="4"/>
      <c r="U982" s="4"/>
      <c r="V982" s="4"/>
      <c r="W982" s="4"/>
    </row>
    <row r="983" spans="1:23" ht="14.5" hidden="1" customHeight="1" x14ac:dyDescent="0.2">
      <c r="A983">
        <f t="shared" si="15"/>
        <v>977</v>
      </c>
      <c r="B983">
        <v>2015</v>
      </c>
      <c r="C983" t="s">
        <v>212</v>
      </c>
      <c r="D983" t="s">
        <v>1035</v>
      </c>
      <c r="E983" s="22">
        <v>1190</v>
      </c>
      <c r="H983" t="s">
        <v>144</v>
      </c>
      <c r="I983" t="s">
        <v>197</v>
      </c>
      <c r="J983" t="s">
        <v>67</v>
      </c>
      <c r="K983" t="s">
        <v>183</v>
      </c>
      <c r="L983">
        <v>1</v>
      </c>
      <c r="M983" s="4"/>
      <c r="N983" s="2"/>
      <c r="O983" s="21"/>
      <c r="P983" s="2"/>
      <c r="Q983" s="2"/>
      <c r="R983" s="4"/>
      <c r="S983" s="4"/>
      <c r="T983" s="4"/>
      <c r="U983" s="4"/>
      <c r="V983" s="4"/>
      <c r="W983" s="4"/>
    </row>
    <row r="984" spans="1:23" ht="14.5" hidden="1" customHeight="1" x14ac:dyDescent="0.2">
      <c r="A984">
        <f t="shared" si="15"/>
        <v>978</v>
      </c>
      <c r="B984">
        <v>2015</v>
      </c>
      <c r="C984" t="s">
        <v>212</v>
      </c>
      <c r="D984" t="s">
        <v>307</v>
      </c>
      <c r="E984" s="22">
        <v>240</v>
      </c>
      <c r="H984" t="s">
        <v>155</v>
      </c>
      <c r="J984" t="s">
        <v>67</v>
      </c>
      <c r="K984" t="s">
        <v>183</v>
      </c>
      <c r="L984">
        <v>1</v>
      </c>
      <c r="M984" s="4"/>
      <c r="N984" s="2"/>
      <c r="O984" s="21"/>
      <c r="P984" s="2"/>
      <c r="Q984" s="2"/>
      <c r="R984" s="4"/>
      <c r="S984" s="4"/>
      <c r="T984" s="4"/>
      <c r="U984" s="4"/>
      <c r="V984" s="4"/>
      <c r="W984" s="4"/>
    </row>
    <row r="985" spans="1:23" ht="14.5" hidden="1" customHeight="1" x14ac:dyDescent="0.2">
      <c r="A985">
        <f t="shared" si="15"/>
        <v>979</v>
      </c>
      <c r="B985">
        <v>2015</v>
      </c>
      <c r="C985" t="s">
        <v>212</v>
      </c>
      <c r="D985" t="s">
        <v>1035</v>
      </c>
      <c r="E985" s="22">
        <v>1550</v>
      </c>
      <c r="H985" t="s">
        <v>154</v>
      </c>
      <c r="I985" t="s">
        <v>271</v>
      </c>
      <c r="J985" t="s">
        <v>13</v>
      </c>
      <c r="K985" t="s">
        <v>201</v>
      </c>
      <c r="L985">
        <v>1</v>
      </c>
      <c r="M985" s="4"/>
      <c r="N985" s="2"/>
      <c r="O985" s="21"/>
      <c r="P985" s="2"/>
      <c r="Q985" s="2"/>
      <c r="R985" s="4"/>
      <c r="S985" s="4"/>
      <c r="T985" s="4"/>
      <c r="U985" s="4"/>
      <c r="V985" s="4"/>
      <c r="W985" s="4"/>
    </row>
    <row r="986" spans="1:23" ht="14.5" hidden="1" customHeight="1" x14ac:dyDescent="0.2">
      <c r="A986">
        <f t="shared" si="15"/>
        <v>980</v>
      </c>
      <c r="B986">
        <v>2015</v>
      </c>
      <c r="C986" t="s">
        <v>212</v>
      </c>
      <c r="D986" t="s">
        <v>1480</v>
      </c>
      <c r="E986" s="22">
        <v>120</v>
      </c>
      <c r="H986" t="s">
        <v>151</v>
      </c>
      <c r="I986" t="s">
        <v>279</v>
      </c>
      <c r="J986" t="s">
        <v>67</v>
      </c>
      <c r="K986" t="s">
        <v>183</v>
      </c>
      <c r="L986">
        <v>1</v>
      </c>
      <c r="M986" s="4"/>
      <c r="N986" s="2"/>
      <c r="O986" s="21"/>
      <c r="P986" s="2"/>
      <c r="Q986" s="2"/>
      <c r="R986" s="4"/>
      <c r="S986" s="4"/>
      <c r="T986" s="4"/>
      <c r="U986" s="4"/>
      <c r="V986" s="4"/>
      <c r="W986" s="4"/>
    </row>
    <row r="987" spans="1:23" ht="14.5" hidden="1" customHeight="1" x14ac:dyDescent="0.2">
      <c r="A987">
        <f t="shared" si="15"/>
        <v>981</v>
      </c>
      <c r="B987">
        <v>2015</v>
      </c>
      <c r="C987" t="s">
        <v>212</v>
      </c>
      <c r="D987" t="s">
        <v>1035</v>
      </c>
      <c r="E987" s="22">
        <v>170</v>
      </c>
      <c r="H987" t="s">
        <v>144</v>
      </c>
      <c r="J987" t="s">
        <v>138</v>
      </c>
      <c r="K987" t="s">
        <v>219</v>
      </c>
      <c r="L987">
        <v>1</v>
      </c>
      <c r="M987" s="4"/>
      <c r="N987" s="2"/>
      <c r="O987" s="21"/>
      <c r="P987" s="2"/>
      <c r="Q987" s="2"/>
      <c r="R987" s="4"/>
      <c r="S987" s="4"/>
      <c r="T987" s="4"/>
      <c r="U987" s="4"/>
      <c r="V987" s="4"/>
      <c r="W987" s="4"/>
    </row>
    <row r="988" spans="1:23" ht="14.5" hidden="1" customHeight="1" x14ac:dyDescent="0.2">
      <c r="A988">
        <f t="shared" si="15"/>
        <v>982</v>
      </c>
      <c r="B988">
        <v>2015</v>
      </c>
      <c r="C988" t="s">
        <v>212</v>
      </c>
      <c r="D988" t="s">
        <v>221</v>
      </c>
      <c r="E988" s="22">
        <v>610</v>
      </c>
      <c r="H988" t="s">
        <v>155</v>
      </c>
      <c r="J988" t="s">
        <v>6</v>
      </c>
      <c r="K988" t="s">
        <v>219</v>
      </c>
      <c r="L988">
        <v>1</v>
      </c>
      <c r="M988" s="4"/>
      <c r="N988" s="2"/>
      <c r="O988" s="21"/>
      <c r="P988" s="2"/>
      <c r="Q988" s="2"/>
      <c r="R988" s="4"/>
      <c r="S988" s="4"/>
      <c r="T988" s="4"/>
      <c r="U988" s="4"/>
      <c r="V988" s="4"/>
      <c r="W988" s="4"/>
    </row>
    <row r="989" spans="1:23" s="17" customFormat="1" ht="14.5" hidden="1" customHeight="1" x14ac:dyDescent="0.2">
      <c r="A989">
        <f t="shared" si="15"/>
        <v>983</v>
      </c>
      <c r="B989">
        <v>2015</v>
      </c>
      <c r="C989" t="s">
        <v>212</v>
      </c>
      <c r="D989" t="s">
        <v>2660</v>
      </c>
      <c r="E989" s="22">
        <v>250</v>
      </c>
      <c r="F989" s="16"/>
      <c r="G989" t="s">
        <v>2726</v>
      </c>
      <c r="H989" t="s">
        <v>151</v>
      </c>
      <c r="I989" t="s">
        <v>279</v>
      </c>
      <c r="J989" t="s">
        <v>115</v>
      </c>
      <c r="K989" t="s">
        <v>201</v>
      </c>
      <c r="L989">
        <v>1</v>
      </c>
      <c r="M989" s="4"/>
      <c r="N989" s="2"/>
      <c r="O989" s="21"/>
      <c r="P989" s="2"/>
      <c r="Q989" s="2"/>
      <c r="R989" s="4"/>
      <c r="S989" s="4"/>
      <c r="T989" s="4"/>
      <c r="U989" s="4"/>
      <c r="V989" s="4"/>
      <c r="W989" s="4"/>
    </row>
    <row r="990" spans="1:23" ht="14.5" hidden="1" customHeight="1" x14ac:dyDescent="0.2">
      <c r="A990">
        <f t="shared" si="15"/>
        <v>984</v>
      </c>
      <c r="B990">
        <v>2015</v>
      </c>
      <c r="C990" t="s">
        <v>212</v>
      </c>
      <c r="D990" t="s">
        <v>1035</v>
      </c>
      <c r="E990" s="22">
        <v>100</v>
      </c>
      <c r="H990" t="s">
        <v>144</v>
      </c>
      <c r="I990" t="s">
        <v>232</v>
      </c>
      <c r="J990" t="s">
        <v>93</v>
      </c>
      <c r="K990" t="s">
        <v>201</v>
      </c>
      <c r="L990">
        <v>1</v>
      </c>
      <c r="M990" s="4"/>
      <c r="N990" s="2"/>
      <c r="O990" s="21"/>
      <c r="P990" s="2"/>
      <c r="Q990" s="2"/>
      <c r="R990" s="4"/>
      <c r="S990" s="4"/>
      <c r="T990" s="4"/>
      <c r="U990" s="4"/>
      <c r="V990" s="4"/>
      <c r="W990" s="4"/>
    </row>
    <row r="991" spans="1:23" ht="14.5" hidden="1" customHeight="1" x14ac:dyDescent="0.2">
      <c r="A991">
        <f t="shared" si="15"/>
        <v>985</v>
      </c>
      <c r="B991">
        <v>2015</v>
      </c>
      <c r="C991" t="s">
        <v>212</v>
      </c>
      <c r="D991" t="s">
        <v>189</v>
      </c>
      <c r="E991" s="22">
        <v>430</v>
      </c>
      <c r="H991" t="s">
        <v>155</v>
      </c>
      <c r="J991" t="s">
        <v>105</v>
      </c>
      <c r="K991" t="s">
        <v>214</v>
      </c>
      <c r="L991">
        <v>1</v>
      </c>
      <c r="M991" s="4"/>
      <c r="N991" s="2"/>
      <c r="O991" s="21"/>
      <c r="P991" s="2"/>
      <c r="Q991" s="2"/>
      <c r="R991" s="4"/>
      <c r="S991" s="4"/>
      <c r="T991" s="4"/>
      <c r="U991" s="4"/>
      <c r="V991" s="4"/>
      <c r="W991" s="4"/>
    </row>
    <row r="992" spans="1:23" ht="14.5" hidden="1" customHeight="1" x14ac:dyDescent="0.2">
      <c r="A992">
        <f t="shared" si="15"/>
        <v>986</v>
      </c>
      <c r="B992">
        <v>2015</v>
      </c>
      <c r="C992" t="s">
        <v>212</v>
      </c>
      <c r="D992" t="s">
        <v>189</v>
      </c>
      <c r="E992" s="22">
        <v>200</v>
      </c>
      <c r="H992" t="s">
        <v>142</v>
      </c>
      <c r="J992" t="s">
        <v>105</v>
      </c>
      <c r="K992" t="s">
        <v>214</v>
      </c>
      <c r="L992">
        <v>1</v>
      </c>
      <c r="M992" s="4"/>
      <c r="N992" s="2"/>
      <c r="O992" s="21"/>
      <c r="P992" s="2"/>
      <c r="Q992" s="2"/>
      <c r="R992" s="4"/>
      <c r="S992" s="4"/>
      <c r="T992" s="4"/>
      <c r="U992" s="4"/>
      <c r="V992" s="4"/>
      <c r="W992" s="4"/>
    </row>
    <row r="993" spans="1:23" ht="14.5" hidden="1" customHeight="1" x14ac:dyDescent="0.2">
      <c r="A993">
        <f t="shared" si="15"/>
        <v>987</v>
      </c>
      <c r="B993">
        <v>2015</v>
      </c>
      <c r="C993" t="s">
        <v>212</v>
      </c>
      <c r="D993" t="s">
        <v>196</v>
      </c>
      <c r="E993" s="22">
        <v>2010</v>
      </c>
      <c r="G993" t="s">
        <v>2435</v>
      </c>
      <c r="H993" t="s">
        <v>144</v>
      </c>
      <c r="I993" t="s">
        <v>197</v>
      </c>
      <c r="J993" t="s">
        <v>138</v>
      </c>
      <c r="K993" t="s">
        <v>219</v>
      </c>
      <c r="L993">
        <v>1</v>
      </c>
      <c r="M993" s="4"/>
      <c r="N993" s="2"/>
      <c r="O993" s="21"/>
      <c r="P993" s="2"/>
      <c r="Q993" s="2"/>
      <c r="R993" s="4"/>
      <c r="S993" s="4"/>
      <c r="T993" s="4"/>
      <c r="U993" s="4"/>
      <c r="V993" s="4"/>
      <c r="W993" s="4"/>
    </row>
    <row r="994" spans="1:23" ht="14.5" hidden="1" customHeight="1" x14ac:dyDescent="0.2">
      <c r="A994">
        <f t="shared" si="15"/>
        <v>988</v>
      </c>
      <c r="B994">
        <v>2015</v>
      </c>
      <c r="C994" t="s">
        <v>212</v>
      </c>
      <c r="D994" t="s">
        <v>341</v>
      </c>
      <c r="E994" s="22">
        <v>350</v>
      </c>
      <c r="H994" t="s">
        <v>154</v>
      </c>
      <c r="I994" t="s">
        <v>529</v>
      </c>
      <c r="J994" t="s">
        <v>67</v>
      </c>
      <c r="K994" t="s">
        <v>183</v>
      </c>
      <c r="L994">
        <v>1</v>
      </c>
      <c r="M994" s="4"/>
      <c r="N994" s="2"/>
      <c r="O994" s="21"/>
      <c r="P994" s="2"/>
      <c r="Q994" s="2"/>
      <c r="R994" s="4"/>
      <c r="S994" s="4"/>
      <c r="T994" s="4"/>
      <c r="U994" s="4"/>
      <c r="V994" s="4"/>
      <c r="W994" s="4"/>
    </row>
    <row r="995" spans="1:23" ht="14.5" hidden="1" customHeight="1" x14ac:dyDescent="0.2">
      <c r="A995">
        <f t="shared" si="15"/>
        <v>989</v>
      </c>
      <c r="B995">
        <v>2016</v>
      </c>
      <c r="C995" t="s">
        <v>172</v>
      </c>
      <c r="D995" t="s">
        <v>208</v>
      </c>
      <c r="E995" s="22">
        <v>470</v>
      </c>
      <c r="G995" t="s">
        <v>2727</v>
      </c>
      <c r="H995" t="s">
        <v>149</v>
      </c>
      <c r="I995" t="s">
        <v>182</v>
      </c>
      <c r="J995" t="s">
        <v>54</v>
      </c>
      <c r="K995" t="s">
        <v>201</v>
      </c>
      <c r="L995">
        <v>1</v>
      </c>
      <c r="M995" s="4"/>
      <c r="N995" s="2"/>
      <c r="O995" s="21"/>
      <c r="P995" s="2"/>
      <c r="Q995" s="2"/>
      <c r="R995" s="4"/>
      <c r="S995" s="4"/>
      <c r="T995" s="4"/>
      <c r="U995" s="4"/>
      <c r="V995" s="4"/>
      <c r="W995" s="4"/>
    </row>
    <row r="996" spans="1:23" ht="14.5" hidden="1" customHeight="1" x14ac:dyDescent="0.2">
      <c r="A996">
        <f t="shared" si="15"/>
        <v>990</v>
      </c>
      <c r="B996">
        <v>2016</v>
      </c>
      <c r="C996" t="s">
        <v>172</v>
      </c>
      <c r="D996" t="s">
        <v>483</v>
      </c>
      <c r="E996" s="22">
        <v>330</v>
      </c>
      <c r="G996" t="s">
        <v>2728</v>
      </c>
      <c r="H996" t="s">
        <v>154</v>
      </c>
      <c r="I996" t="s">
        <v>529</v>
      </c>
      <c r="J996" t="s">
        <v>54</v>
      </c>
      <c r="K996" t="s">
        <v>201</v>
      </c>
      <c r="L996">
        <v>1</v>
      </c>
      <c r="M996" s="4"/>
      <c r="N996" s="2"/>
      <c r="O996" s="21"/>
      <c r="P996" s="2"/>
      <c r="Q996" s="2"/>
      <c r="R996" s="4"/>
      <c r="S996" s="4"/>
      <c r="T996" s="4"/>
      <c r="U996" s="4"/>
      <c r="V996" s="4"/>
      <c r="W996" s="4"/>
    </row>
    <row r="997" spans="1:23" ht="14.5" hidden="1" customHeight="1" x14ac:dyDescent="0.2">
      <c r="A997">
        <f t="shared" si="15"/>
        <v>991</v>
      </c>
      <c r="B997">
        <v>2016</v>
      </c>
      <c r="C997" t="s">
        <v>172</v>
      </c>
      <c r="D997" t="s">
        <v>2729</v>
      </c>
      <c r="E997" s="22">
        <v>120</v>
      </c>
      <c r="H997" t="s">
        <v>144</v>
      </c>
      <c r="J997" t="s">
        <v>64</v>
      </c>
      <c r="K997" t="s">
        <v>219</v>
      </c>
      <c r="L997">
        <v>1</v>
      </c>
      <c r="M997" s="4"/>
      <c r="N997" s="2"/>
      <c r="O997" s="21"/>
      <c r="P997" s="2"/>
      <c r="Q997" s="2"/>
      <c r="R997" s="4"/>
      <c r="S997" s="4"/>
      <c r="T997" s="4"/>
      <c r="U997" s="4"/>
      <c r="V997" s="4"/>
      <c r="W997" s="4"/>
    </row>
    <row r="998" spans="1:23" ht="14.5" hidden="1" customHeight="1" x14ac:dyDescent="0.2">
      <c r="A998">
        <f t="shared" si="15"/>
        <v>992</v>
      </c>
      <c r="B998">
        <v>2016</v>
      </c>
      <c r="C998" t="s">
        <v>172</v>
      </c>
      <c r="D998" s="52" t="s">
        <v>2392</v>
      </c>
      <c r="E998" s="22">
        <v>660</v>
      </c>
      <c r="G998" t="s">
        <v>704</v>
      </c>
      <c r="H998" t="s">
        <v>144</v>
      </c>
      <c r="I998" t="s">
        <v>273</v>
      </c>
      <c r="J998" t="s">
        <v>128</v>
      </c>
      <c r="K998" t="s">
        <v>201</v>
      </c>
      <c r="L998">
        <v>1</v>
      </c>
      <c r="M998" s="4"/>
      <c r="N998" s="2"/>
      <c r="O998" s="21"/>
      <c r="P998" s="2"/>
      <c r="Q998" s="2"/>
      <c r="R998" s="4"/>
      <c r="S998" s="4"/>
      <c r="T998" s="4"/>
      <c r="U998" s="4"/>
      <c r="V998" s="4"/>
      <c r="W998" s="4"/>
    </row>
    <row r="999" spans="1:23" ht="14.5" hidden="1" customHeight="1" x14ac:dyDescent="0.2">
      <c r="A999">
        <f t="shared" si="15"/>
        <v>993</v>
      </c>
      <c r="B999">
        <v>2016</v>
      </c>
      <c r="C999" t="s">
        <v>172</v>
      </c>
      <c r="D999" t="s">
        <v>1035</v>
      </c>
      <c r="E999" s="22">
        <v>300</v>
      </c>
      <c r="H999" t="s">
        <v>144</v>
      </c>
      <c r="I999" t="s">
        <v>197</v>
      </c>
      <c r="J999" t="s">
        <v>24</v>
      </c>
      <c r="K999" t="s">
        <v>219</v>
      </c>
      <c r="L999">
        <v>1</v>
      </c>
      <c r="M999" s="4"/>
      <c r="N999" s="2"/>
      <c r="O999" s="21"/>
      <c r="P999" s="2"/>
      <c r="Q999" s="2"/>
      <c r="R999" s="4"/>
      <c r="S999" s="4"/>
      <c r="T999" s="4"/>
      <c r="U999" s="4"/>
      <c r="V999" s="4"/>
      <c r="W999" s="4"/>
    </row>
    <row r="1000" spans="1:23" ht="14.5" hidden="1" customHeight="1" x14ac:dyDescent="0.2">
      <c r="A1000">
        <f t="shared" si="15"/>
        <v>994</v>
      </c>
      <c r="B1000">
        <v>2016</v>
      </c>
      <c r="C1000" t="s">
        <v>172</v>
      </c>
      <c r="D1000" t="s">
        <v>479</v>
      </c>
      <c r="E1000" s="22">
        <v>120</v>
      </c>
      <c r="H1000" t="s">
        <v>154</v>
      </c>
      <c r="I1000" t="s">
        <v>194</v>
      </c>
      <c r="J1000" t="s">
        <v>9</v>
      </c>
      <c r="K1000" t="s">
        <v>9</v>
      </c>
      <c r="L1000">
        <v>0</v>
      </c>
      <c r="M1000" s="4"/>
      <c r="N1000" s="2"/>
      <c r="O1000" s="21"/>
      <c r="P1000" s="2"/>
      <c r="Q1000" s="2"/>
      <c r="R1000" s="4"/>
      <c r="S1000" s="4"/>
      <c r="T1000" s="4"/>
      <c r="U1000" s="4"/>
      <c r="V1000" s="4"/>
      <c r="W1000" s="4"/>
    </row>
    <row r="1001" spans="1:23" ht="14.5" hidden="1" customHeight="1" x14ac:dyDescent="0.2">
      <c r="A1001">
        <f t="shared" si="15"/>
        <v>995</v>
      </c>
      <c r="B1001">
        <v>2016</v>
      </c>
      <c r="C1001" t="s">
        <v>172</v>
      </c>
      <c r="D1001" t="s">
        <v>397</v>
      </c>
      <c r="E1001" s="22">
        <v>170</v>
      </c>
      <c r="G1001" t="s">
        <v>2730</v>
      </c>
      <c r="H1001" t="s">
        <v>151</v>
      </c>
      <c r="I1001" t="s">
        <v>279</v>
      </c>
      <c r="J1001" t="s">
        <v>130</v>
      </c>
      <c r="K1001" t="s">
        <v>214</v>
      </c>
      <c r="L1001">
        <v>1</v>
      </c>
      <c r="M1001" s="4"/>
      <c r="N1001" s="2"/>
      <c r="O1001" s="21"/>
      <c r="P1001" s="2"/>
      <c r="Q1001" s="2"/>
      <c r="R1001" s="4"/>
      <c r="S1001" s="4"/>
      <c r="T1001" s="4"/>
      <c r="U1001" s="4"/>
      <c r="V1001" s="4"/>
      <c r="W1001" s="4"/>
    </row>
    <row r="1002" spans="1:23" ht="14.5" hidden="1" customHeight="1" x14ac:dyDescent="0.2">
      <c r="A1002">
        <f t="shared" si="15"/>
        <v>996</v>
      </c>
      <c r="B1002">
        <v>2016</v>
      </c>
      <c r="C1002" t="s">
        <v>172</v>
      </c>
      <c r="D1002" t="s">
        <v>2731</v>
      </c>
      <c r="E1002" s="22">
        <v>170</v>
      </c>
      <c r="F1002" s="16">
        <v>0.49</v>
      </c>
      <c r="G1002" t="s">
        <v>2732</v>
      </c>
      <c r="H1002" t="s">
        <v>154</v>
      </c>
      <c r="I1002" t="s">
        <v>271</v>
      </c>
      <c r="J1002" t="s">
        <v>5</v>
      </c>
      <c r="K1002" t="s">
        <v>214</v>
      </c>
      <c r="L1002">
        <v>1</v>
      </c>
      <c r="M1002" s="4"/>
      <c r="N1002" s="2"/>
      <c r="O1002" s="21"/>
      <c r="P1002" s="2"/>
      <c r="Q1002" s="2"/>
      <c r="R1002" s="4"/>
      <c r="S1002" s="4"/>
      <c r="T1002" s="4"/>
      <c r="U1002" s="4"/>
      <c r="V1002" s="4"/>
      <c r="W1002" s="4"/>
    </row>
    <row r="1003" spans="1:23" ht="14.5" hidden="1" customHeight="1" x14ac:dyDescent="0.2">
      <c r="A1003">
        <f t="shared" si="15"/>
        <v>997</v>
      </c>
      <c r="B1003">
        <v>2016</v>
      </c>
      <c r="C1003" t="s">
        <v>172</v>
      </c>
      <c r="D1003" t="s">
        <v>397</v>
      </c>
      <c r="E1003" s="22">
        <v>200</v>
      </c>
      <c r="H1003" t="s">
        <v>154</v>
      </c>
      <c r="I1003" t="s">
        <v>194</v>
      </c>
      <c r="J1003" t="s">
        <v>138</v>
      </c>
      <c r="K1003" t="s">
        <v>219</v>
      </c>
      <c r="L1003">
        <v>1</v>
      </c>
      <c r="M1003" s="4"/>
      <c r="N1003" s="2"/>
      <c r="O1003" s="21"/>
      <c r="P1003" s="2"/>
      <c r="Q1003" s="2"/>
      <c r="R1003" s="4"/>
      <c r="S1003" s="4"/>
      <c r="T1003" s="4"/>
      <c r="U1003" s="4"/>
      <c r="V1003" s="4"/>
      <c r="W1003" s="4"/>
    </row>
    <row r="1004" spans="1:23" ht="14.5" hidden="1" customHeight="1" x14ac:dyDescent="0.2">
      <c r="A1004">
        <f t="shared" si="15"/>
        <v>998</v>
      </c>
      <c r="B1004">
        <v>2016</v>
      </c>
      <c r="C1004" t="s">
        <v>172</v>
      </c>
      <c r="D1004" t="s">
        <v>397</v>
      </c>
      <c r="E1004" s="22">
        <v>190</v>
      </c>
      <c r="H1004" t="s">
        <v>151</v>
      </c>
      <c r="I1004" t="s">
        <v>279</v>
      </c>
      <c r="J1004" t="s">
        <v>94</v>
      </c>
      <c r="K1004" t="s">
        <v>177</v>
      </c>
      <c r="L1004">
        <v>0</v>
      </c>
      <c r="M1004" s="4"/>
      <c r="N1004" s="2"/>
      <c r="O1004" s="21"/>
      <c r="P1004" s="2"/>
      <c r="Q1004" s="2"/>
      <c r="R1004" s="4"/>
      <c r="S1004" s="4"/>
      <c r="T1004" s="4"/>
      <c r="U1004" s="4"/>
      <c r="V1004" s="4"/>
      <c r="W1004" s="4"/>
    </row>
    <row r="1005" spans="1:23" ht="14.5" hidden="1" customHeight="1" x14ac:dyDescent="0.2">
      <c r="A1005">
        <f t="shared" si="15"/>
        <v>999</v>
      </c>
      <c r="B1005">
        <v>2016</v>
      </c>
      <c r="C1005" t="s">
        <v>172</v>
      </c>
      <c r="D1005" t="s">
        <v>1035</v>
      </c>
      <c r="E1005" s="22">
        <v>390</v>
      </c>
      <c r="H1005" t="s">
        <v>151</v>
      </c>
      <c r="I1005" t="s">
        <v>279</v>
      </c>
      <c r="J1005" t="s">
        <v>105</v>
      </c>
      <c r="K1005" t="s">
        <v>214</v>
      </c>
      <c r="L1005">
        <v>1</v>
      </c>
      <c r="M1005" s="4"/>
      <c r="N1005" s="2"/>
      <c r="O1005" s="21"/>
      <c r="P1005" s="2"/>
      <c r="Q1005" s="2"/>
      <c r="R1005" s="4"/>
      <c r="S1005" s="4"/>
      <c r="T1005" s="4"/>
      <c r="U1005" s="4"/>
      <c r="V1005" s="4"/>
      <c r="W1005" s="4"/>
    </row>
    <row r="1006" spans="1:23" ht="14.5" hidden="1" customHeight="1" x14ac:dyDescent="0.2">
      <c r="A1006">
        <f t="shared" si="15"/>
        <v>1000</v>
      </c>
      <c r="B1006">
        <v>2016</v>
      </c>
      <c r="C1006" t="s">
        <v>172</v>
      </c>
      <c r="D1006" t="s">
        <v>1035</v>
      </c>
      <c r="E1006" s="22">
        <v>270</v>
      </c>
      <c r="H1006" t="s">
        <v>144</v>
      </c>
      <c r="I1006" t="s">
        <v>197</v>
      </c>
      <c r="J1006" t="s">
        <v>70</v>
      </c>
      <c r="K1006" t="s">
        <v>219</v>
      </c>
      <c r="L1006">
        <v>1</v>
      </c>
      <c r="M1006" s="4"/>
      <c r="N1006" s="2"/>
      <c r="O1006" s="21"/>
      <c r="P1006" s="2"/>
      <c r="Q1006" s="2"/>
      <c r="R1006" s="4"/>
      <c r="S1006" s="4"/>
      <c r="T1006" s="4"/>
      <c r="U1006" s="4"/>
      <c r="V1006" s="4"/>
      <c r="W1006" s="4"/>
    </row>
    <row r="1007" spans="1:23" ht="14.5" hidden="1" customHeight="1" x14ac:dyDescent="0.2">
      <c r="A1007">
        <f t="shared" si="15"/>
        <v>1001</v>
      </c>
      <c r="B1007">
        <v>2016</v>
      </c>
      <c r="C1007" t="s">
        <v>172</v>
      </c>
      <c r="D1007" t="s">
        <v>1035</v>
      </c>
      <c r="E1007" s="22">
        <v>170</v>
      </c>
      <c r="H1007" t="s">
        <v>144</v>
      </c>
      <c r="I1007" t="s">
        <v>232</v>
      </c>
      <c r="J1007" t="s">
        <v>63</v>
      </c>
      <c r="K1007" t="s">
        <v>201</v>
      </c>
      <c r="L1007">
        <v>1</v>
      </c>
      <c r="M1007" s="4"/>
      <c r="N1007" s="2"/>
      <c r="O1007" s="21"/>
      <c r="P1007" s="2"/>
      <c r="Q1007" s="2"/>
      <c r="R1007" s="4"/>
      <c r="S1007" s="4"/>
      <c r="T1007" s="4"/>
      <c r="U1007" s="4"/>
      <c r="V1007" s="4"/>
      <c r="W1007" s="4"/>
    </row>
    <row r="1008" spans="1:23" ht="14.5" hidden="1" customHeight="1" x14ac:dyDescent="0.2">
      <c r="A1008">
        <f t="shared" si="15"/>
        <v>1002</v>
      </c>
      <c r="B1008">
        <v>2016</v>
      </c>
      <c r="C1008" t="s">
        <v>172</v>
      </c>
      <c r="D1008" t="s">
        <v>397</v>
      </c>
      <c r="E1008" s="22">
        <v>150</v>
      </c>
      <c r="H1008" t="s">
        <v>151</v>
      </c>
      <c r="I1008" t="s">
        <v>279</v>
      </c>
      <c r="J1008" t="s">
        <v>86</v>
      </c>
      <c r="K1008" t="s">
        <v>183</v>
      </c>
      <c r="L1008">
        <v>1</v>
      </c>
      <c r="M1008" s="4"/>
      <c r="N1008" s="2"/>
      <c r="O1008" s="21"/>
      <c r="P1008" s="2"/>
      <c r="Q1008" s="2"/>
      <c r="R1008" s="4"/>
      <c r="S1008" s="4"/>
      <c r="T1008" s="4"/>
      <c r="U1008" s="4"/>
      <c r="V1008" s="4"/>
      <c r="W1008" s="4"/>
    </row>
    <row r="1009" spans="1:23" ht="14.5" hidden="1" customHeight="1" x14ac:dyDescent="0.2">
      <c r="A1009">
        <f t="shared" si="15"/>
        <v>1003</v>
      </c>
      <c r="B1009">
        <v>2016</v>
      </c>
      <c r="C1009" t="s">
        <v>172</v>
      </c>
      <c r="D1009" t="s">
        <v>175</v>
      </c>
      <c r="E1009" s="22">
        <v>210</v>
      </c>
      <c r="G1009" t="s">
        <v>705</v>
      </c>
      <c r="H1009" t="s">
        <v>153</v>
      </c>
      <c r="J1009" t="s">
        <v>72</v>
      </c>
      <c r="K1009" t="s">
        <v>183</v>
      </c>
      <c r="L1009">
        <v>1</v>
      </c>
      <c r="M1009" s="4"/>
      <c r="N1009" s="2"/>
      <c r="O1009" s="21"/>
      <c r="P1009" s="2"/>
      <c r="Q1009" s="2"/>
      <c r="R1009" s="4"/>
      <c r="S1009" s="4"/>
      <c r="T1009" s="4"/>
      <c r="U1009" s="4"/>
      <c r="V1009" s="4"/>
      <c r="W1009" s="4"/>
    </row>
    <row r="1010" spans="1:23" ht="14.5" hidden="1" customHeight="1" x14ac:dyDescent="0.2">
      <c r="A1010">
        <f t="shared" si="15"/>
        <v>1004</v>
      </c>
      <c r="B1010">
        <v>2016</v>
      </c>
      <c r="C1010" t="s">
        <v>172</v>
      </c>
      <c r="D1010" t="s">
        <v>479</v>
      </c>
      <c r="E1010" s="22">
        <v>700</v>
      </c>
      <c r="H1010" t="s">
        <v>154</v>
      </c>
      <c r="I1010" t="s">
        <v>194</v>
      </c>
      <c r="J1010" t="s">
        <v>2462</v>
      </c>
      <c r="K1010" t="s">
        <v>219</v>
      </c>
      <c r="L1010">
        <v>1</v>
      </c>
      <c r="M1010" s="4"/>
      <c r="N1010" s="2"/>
      <c r="O1010" s="21"/>
      <c r="P1010" s="2"/>
      <c r="Q1010" s="2"/>
      <c r="R1010" s="4"/>
      <c r="S1010" s="4"/>
      <c r="T1010" s="4"/>
      <c r="U1010" s="4"/>
      <c r="V1010" s="4"/>
      <c r="W1010" s="4"/>
    </row>
    <row r="1011" spans="1:23" ht="14.5" hidden="1" customHeight="1" x14ac:dyDescent="0.2">
      <c r="A1011">
        <f t="shared" si="15"/>
        <v>1005</v>
      </c>
      <c r="B1011">
        <v>2016</v>
      </c>
      <c r="C1011" t="s">
        <v>172</v>
      </c>
      <c r="D1011" t="s">
        <v>479</v>
      </c>
      <c r="E1011" s="22">
        <v>1320</v>
      </c>
      <c r="H1011" t="s">
        <v>154</v>
      </c>
      <c r="I1011" t="s">
        <v>194</v>
      </c>
      <c r="J1011" t="s">
        <v>93</v>
      </c>
      <c r="K1011" t="s">
        <v>201</v>
      </c>
      <c r="L1011">
        <v>1</v>
      </c>
      <c r="M1011" s="4"/>
      <c r="N1011" s="2"/>
      <c r="O1011" s="21"/>
      <c r="P1011" s="2"/>
      <c r="Q1011" s="2"/>
      <c r="R1011" s="4"/>
      <c r="S1011" s="4"/>
      <c r="T1011" s="4"/>
      <c r="U1011" s="4"/>
      <c r="V1011" s="4"/>
      <c r="W1011" s="4"/>
    </row>
    <row r="1012" spans="1:23" ht="14.5" hidden="1" customHeight="1" x14ac:dyDescent="0.2">
      <c r="A1012">
        <f t="shared" si="15"/>
        <v>1006</v>
      </c>
      <c r="B1012">
        <v>2016</v>
      </c>
      <c r="C1012" t="s">
        <v>172</v>
      </c>
      <c r="D1012" t="s">
        <v>2660</v>
      </c>
      <c r="E1012" s="22">
        <v>200</v>
      </c>
      <c r="G1012" t="s">
        <v>2733</v>
      </c>
      <c r="H1012" t="s">
        <v>151</v>
      </c>
      <c r="I1012" t="s">
        <v>279</v>
      </c>
      <c r="J1012" t="s">
        <v>82</v>
      </c>
      <c r="K1012" t="s">
        <v>183</v>
      </c>
      <c r="L1012">
        <v>1</v>
      </c>
      <c r="M1012" s="4"/>
      <c r="N1012" s="2"/>
      <c r="O1012" s="21"/>
      <c r="P1012" s="2"/>
      <c r="Q1012" s="2"/>
      <c r="R1012" s="4"/>
      <c r="S1012" s="4"/>
      <c r="T1012" s="4"/>
      <c r="U1012" s="4"/>
      <c r="V1012" s="4"/>
      <c r="W1012" s="4"/>
    </row>
    <row r="1013" spans="1:23" ht="14.5" hidden="1" customHeight="1" x14ac:dyDescent="0.2">
      <c r="A1013">
        <f t="shared" si="15"/>
        <v>1007</v>
      </c>
      <c r="B1013">
        <v>2016</v>
      </c>
      <c r="C1013" t="s">
        <v>172</v>
      </c>
      <c r="D1013" t="s">
        <v>1035</v>
      </c>
      <c r="E1013" s="22">
        <v>220</v>
      </c>
      <c r="H1013" t="s">
        <v>154</v>
      </c>
      <c r="I1013" t="s">
        <v>271</v>
      </c>
      <c r="J1013" t="s">
        <v>93</v>
      </c>
      <c r="K1013" t="s">
        <v>201</v>
      </c>
      <c r="L1013">
        <v>1</v>
      </c>
      <c r="M1013" s="4"/>
      <c r="N1013" s="2"/>
      <c r="O1013" s="21"/>
      <c r="P1013" s="2"/>
      <c r="Q1013" s="2"/>
      <c r="R1013" s="4"/>
      <c r="S1013" s="4"/>
      <c r="T1013" s="4"/>
      <c r="U1013" s="4"/>
      <c r="V1013" s="4"/>
      <c r="W1013" s="4"/>
    </row>
    <row r="1014" spans="1:23" ht="14.5" hidden="1" customHeight="1" x14ac:dyDescent="0.2">
      <c r="A1014">
        <f t="shared" si="15"/>
        <v>1008</v>
      </c>
      <c r="B1014">
        <v>2016</v>
      </c>
      <c r="C1014" t="s">
        <v>172</v>
      </c>
      <c r="D1014" t="s">
        <v>1035</v>
      </c>
      <c r="E1014" s="22">
        <v>430</v>
      </c>
      <c r="H1014" t="s">
        <v>154</v>
      </c>
      <c r="I1014" t="s">
        <v>194</v>
      </c>
      <c r="J1014" t="s">
        <v>16</v>
      </c>
      <c r="K1014" t="s">
        <v>205</v>
      </c>
      <c r="L1014">
        <v>1</v>
      </c>
      <c r="M1014" s="4"/>
      <c r="N1014" s="2"/>
      <c r="O1014" s="21"/>
      <c r="P1014" s="2"/>
      <c r="Q1014" s="2"/>
      <c r="R1014" s="4"/>
      <c r="S1014" s="4"/>
      <c r="T1014" s="4"/>
      <c r="U1014" s="4"/>
      <c r="V1014" s="4"/>
      <c r="W1014" s="4"/>
    </row>
    <row r="1015" spans="1:23" ht="14.5" hidden="1" customHeight="1" x14ac:dyDescent="0.2">
      <c r="A1015">
        <f t="shared" si="15"/>
        <v>1009</v>
      </c>
      <c r="B1015">
        <v>2016</v>
      </c>
      <c r="C1015" t="s">
        <v>258</v>
      </c>
      <c r="D1015" t="s">
        <v>397</v>
      </c>
      <c r="E1015" s="22">
        <v>160</v>
      </c>
      <c r="H1015" t="s">
        <v>145</v>
      </c>
      <c r="J1015" t="s">
        <v>40</v>
      </c>
      <c r="K1015" t="s">
        <v>219</v>
      </c>
      <c r="L1015">
        <v>1</v>
      </c>
      <c r="M1015" s="4"/>
      <c r="N1015" s="2"/>
      <c r="O1015" s="21"/>
      <c r="P1015" s="2"/>
      <c r="Q1015" s="2"/>
      <c r="R1015" s="4"/>
      <c r="S1015" s="4"/>
      <c r="T1015" s="4"/>
      <c r="U1015" s="4"/>
      <c r="V1015" s="4"/>
      <c r="W1015" s="4"/>
    </row>
    <row r="1016" spans="1:23" ht="14.5" hidden="1" customHeight="1" x14ac:dyDescent="0.2">
      <c r="A1016">
        <f t="shared" si="15"/>
        <v>1010</v>
      </c>
      <c r="B1016">
        <v>2016</v>
      </c>
      <c r="C1016" t="s">
        <v>258</v>
      </c>
      <c r="D1016" t="s">
        <v>2734</v>
      </c>
      <c r="E1016" s="22">
        <v>390</v>
      </c>
      <c r="H1016" t="s">
        <v>144</v>
      </c>
      <c r="I1016" t="s">
        <v>299</v>
      </c>
      <c r="J1016" t="s">
        <v>8</v>
      </c>
      <c r="K1016" t="s">
        <v>205</v>
      </c>
      <c r="L1016">
        <v>1</v>
      </c>
      <c r="M1016" s="4"/>
      <c r="N1016" s="2"/>
      <c r="O1016" s="21"/>
      <c r="P1016" s="2"/>
      <c r="Q1016" s="2"/>
      <c r="R1016" s="4"/>
      <c r="S1016" s="4"/>
      <c r="T1016" s="4"/>
      <c r="U1016" s="4"/>
      <c r="V1016" s="4"/>
      <c r="W1016" s="4"/>
    </row>
    <row r="1017" spans="1:23" ht="14.5" hidden="1" customHeight="1" x14ac:dyDescent="0.2">
      <c r="A1017">
        <f t="shared" si="15"/>
        <v>1011</v>
      </c>
      <c r="B1017">
        <v>2016</v>
      </c>
      <c r="C1017" t="s">
        <v>258</v>
      </c>
      <c r="D1017" t="s">
        <v>175</v>
      </c>
      <c r="E1017" s="22">
        <v>350</v>
      </c>
      <c r="G1017" t="s">
        <v>2735</v>
      </c>
      <c r="H1017" t="s">
        <v>142</v>
      </c>
      <c r="J1017" t="s">
        <v>62</v>
      </c>
      <c r="K1017" t="s">
        <v>214</v>
      </c>
      <c r="L1017">
        <v>1</v>
      </c>
      <c r="M1017" s="4"/>
      <c r="N1017" s="2"/>
      <c r="O1017" s="21"/>
      <c r="P1017" s="2"/>
      <c r="Q1017" s="2"/>
      <c r="R1017" s="4"/>
      <c r="S1017" s="4"/>
      <c r="T1017" s="4"/>
      <c r="U1017" s="4"/>
      <c r="V1017" s="4"/>
      <c r="W1017" s="4"/>
    </row>
    <row r="1018" spans="1:23" ht="14.5" hidden="1" customHeight="1" x14ac:dyDescent="0.2">
      <c r="A1018">
        <f t="shared" si="15"/>
        <v>1012</v>
      </c>
      <c r="B1018">
        <v>2016</v>
      </c>
      <c r="C1018" t="s">
        <v>258</v>
      </c>
      <c r="D1018" t="s">
        <v>479</v>
      </c>
      <c r="E1018" s="22">
        <v>110</v>
      </c>
      <c r="G1018" t="s">
        <v>2736</v>
      </c>
      <c r="H1018" t="s">
        <v>154</v>
      </c>
      <c r="I1018" t="s">
        <v>271</v>
      </c>
      <c r="J1018" t="s">
        <v>2737</v>
      </c>
      <c r="K1018" t="s">
        <v>195</v>
      </c>
      <c r="L1018">
        <v>1</v>
      </c>
      <c r="M1018" s="4"/>
      <c r="N1018" s="2"/>
      <c r="O1018" s="21"/>
      <c r="P1018" s="2"/>
      <c r="Q1018" s="2"/>
      <c r="R1018" s="4"/>
      <c r="S1018" s="4"/>
      <c r="T1018" s="4"/>
      <c r="U1018" s="4"/>
      <c r="V1018" s="4"/>
      <c r="W1018" s="4"/>
    </row>
    <row r="1019" spans="1:23" ht="14.5" hidden="1" customHeight="1" x14ac:dyDescent="0.2">
      <c r="A1019">
        <f t="shared" si="15"/>
        <v>1013</v>
      </c>
      <c r="B1019">
        <v>2016</v>
      </c>
      <c r="C1019" t="s">
        <v>258</v>
      </c>
      <c r="D1019" t="s">
        <v>199</v>
      </c>
      <c r="E1019" s="22">
        <v>270</v>
      </c>
      <c r="H1019" t="s">
        <v>155</v>
      </c>
      <c r="J1019" t="s">
        <v>55</v>
      </c>
      <c r="K1019" t="s">
        <v>214</v>
      </c>
      <c r="L1019">
        <v>1</v>
      </c>
      <c r="M1019" s="4"/>
      <c r="N1019" s="2"/>
      <c r="O1019" s="21"/>
      <c r="P1019" s="2"/>
      <c r="Q1019" s="2"/>
      <c r="R1019" s="4"/>
      <c r="S1019" s="4"/>
      <c r="T1019" s="4"/>
      <c r="U1019" s="4"/>
      <c r="V1019" s="4"/>
      <c r="W1019" s="4"/>
    </row>
    <row r="1020" spans="1:23" ht="14.5" hidden="1" customHeight="1" x14ac:dyDescent="0.2">
      <c r="A1020">
        <f t="shared" si="15"/>
        <v>1014</v>
      </c>
      <c r="B1020">
        <v>2016</v>
      </c>
      <c r="C1020" t="s">
        <v>258</v>
      </c>
      <c r="D1020" t="s">
        <v>444</v>
      </c>
      <c r="E1020" s="22">
        <v>220</v>
      </c>
      <c r="G1020" t="s">
        <v>2738</v>
      </c>
      <c r="H1020" t="s">
        <v>144</v>
      </c>
      <c r="I1020" t="s">
        <v>232</v>
      </c>
      <c r="J1020" t="s">
        <v>64</v>
      </c>
      <c r="K1020" t="s">
        <v>219</v>
      </c>
      <c r="L1020">
        <v>1</v>
      </c>
      <c r="M1020" s="4"/>
      <c r="N1020" s="2"/>
      <c r="O1020" s="21"/>
      <c r="P1020" s="2"/>
      <c r="Q1020" s="2"/>
      <c r="R1020" s="4"/>
      <c r="S1020" s="4"/>
      <c r="T1020" s="4"/>
      <c r="U1020" s="4"/>
      <c r="V1020" s="4"/>
      <c r="W1020" s="4"/>
    </row>
    <row r="1021" spans="1:23" ht="14.5" hidden="1" customHeight="1" x14ac:dyDescent="0.2">
      <c r="A1021">
        <f t="shared" si="15"/>
        <v>1015</v>
      </c>
      <c r="B1021">
        <v>2016</v>
      </c>
      <c r="C1021" t="s">
        <v>258</v>
      </c>
      <c r="D1021" t="s">
        <v>479</v>
      </c>
      <c r="E1021" s="22">
        <v>2300</v>
      </c>
      <c r="H1021" t="s">
        <v>154</v>
      </c>
      <c r="I1021" t="s">
        <v>271</v>
      </c>
      <c r="J1021" t="s">
        <v>29</v>
      </c>
      <c r="K1021" t="s">
        <v>219</v>
      </c>
      <c r="L1021">
        <v>1</v>
      </c>
      <c r="M1021" s="4"/>
      <c r="N1021" s="2"/>
      <c r="O1021" s="21"/>
      <c r="P1021" s="2"/>
      <c r="Q1021" s="2"/>
      <c r="R1021" s="4"/>
      <c r="S1021" s="4"/>
      <c r="T1021" s="4"/>
      <c r="U1021" s="4"/>
      <c r="V1021" s="4"/>
      <c r="W1021" s="4"/>
    </row>
    <row r="1022" spans="1:23" ht="14.5" hidden="1" customHeight="1" x14ac:dyDescent="0.2">
      <c r="A1022">
        <f t="shared" si="15"/>
        <v>1016</v>
      </c>
      <c r="B1022">
        <v>2016</v>
      </c>
      <c r="C1022" t="s">
        <v>258</v>
      </c>
      <c r="D1022" t="s">
        <v>479</v>
      </c>
      <c r="E1022" s="22">
        <v>830</v>
      </c>
      <c r="G1022" t="s">
        <v>2739</v>
      </c>
      <c r="H1022" t="s">
        <v>154</v>
      </c>
      <c r="I1022" t="s">
        <v>271</v>
      </c>
      <c r="J1022" t="s">
        <v>6</v>
      </c>
      <c r="K1022" t="s">
        <v>219</v>
      </c>
      <c r="L1022">
        <v>1</v>
      </c>
      <c r="M1022" s="4"/>
      <c r="N1022" s="2"/>
      <c r="O1022" s="21"/>
      <c r="P1022" s="2"/>
      <c r="Q1022" s="2"/>
      <c r="R1022" s="4"/>
      <c r="S1022" s="4"/>
      <c r="T1022" s="4"/>
      <c r="U1022" s="4"/>
      <c r="V1022" s="4"/>
      <c r="W1022" s="4"/>
    </row>
    <row r="1023" spans="1:23" s="17" customFormat="1" ht="14.5" hidden="1" customHeight="1" x14ac:dyDescent="0.2">
      <c r="A1023">
        <f t="shared" si="15"/>
        <v>1017</v>
      </c>
      <c r="B1023">
        <v>2016</v>
      </c>
      <c r="C1023" t="s">
        <v>258</v>
      </c>
      <c r="D1023" t="s">
        <v>175</v>
      </c>
      <c r="E1023" s="22">
        <v>230</v>
      </c>
      <c r="F1023" s="16"/>
      <c r="H1023" t="s">
        <v>151</v>
      </c>
      <c r="I1023" t="s">
        <v>279</v>
      </c>
      <c r="J1023" t="s">
        <v>105</v>
      </c>
      <c r="K1023" t="s">
        <v>214</v>
      </c>
      <c r="L1023">
        <v>1</v>
      </c>
      <c r="M1023" s="4"/>
      <c r="N1023" s="2"/>
      <c r="O1023" s="21"/>
      <c r="P1023" s="2"/>
      <c r="Q1023" s="2"/>
      <c r="R1023" s="4"/>
      <c r="S1023" s="4"/>
      <c r="T1023" s="4"/>
      <c r="U1023" s="4"/>
      <c r="V1023" s="4"/>
      <c r="W1023" s="4"/>
    </row>
    <row r="1024" spans="1:23" ht="14.5" hidden="1" customHeight="1" x14ac:dyDescent="0.2">
      <c r="A1024">
        <f t="shared" si="15"/>
        <v>1018</v>
      </c>
      <c r="B1024">
        <v>2016</v>
      </c>
      <c r="C1024" t="s">
        <v>258</v>
      </c>
      <c r="D1024" t="s">
        <v>875</v>
      </c>
      <c r="E1024" s="22">
        <v>100</v>
      </c>
      <c r="H1024" t="s">
        <v>144</v>
      </c>
      <c r="I1024" t="s">
        <v>299</v>
      </c>
      <c r="J1024" t="s">
        <v>82</v>
      </c>
      <c r="K1024" t="s">
        <v>183</v>
      </c>
      <c r="L1024">
        <v>1</v>
      </c>
      <c r="M1024" s="4"/>
      <c r="N1024" s="2"/>
      <c r="O1024" s="21"/>
      <c r="P1024" s="2"/>
      <c r="Q1024" s="2"/>
      <c r="R1024" s="4"/>
      <c r="S1024" s="4"/>
      <c r="T1024" s="4"/>
      <c r="U1024" s="4"/>
      <c r="V1024" s="4"/>
      <c r="W1024" s="4"/>
    </row>
    <row r="1025" spans="1:23" ht="14.5" hidden="1" customHeight="1" x14ac:dyDescent="0.2">
      <c r="A1025">
        <f t="shared" si="15"/>
        <v>1019</v>
      </c>
      <c r="B1025">
        <v>2016</v>
      </c>
      <c r="C1025" t="s">
        <v>258</v>
      </c>
      <c r="D1025" t="s">
        <v>1035</v>
      </c>
      <c r="E1025" s="22">
        <v>100</v>
      </c>
      <c r="H1025" t="s">
        <v>147</v>
      </c>
      <c r="J1025" t="s">
        <v>37</v>
      </c>
      <c r="K1025" t="s">
        <v>205</v>
      </c>
      <c r="L1025">
        <v>1</v>
      </c>
      <c r="M1025" s="4"/>
      <c r="N1025" s="2"/>
      <c r="O1025" s="21"/>
      <c r="P1025" s="2"/>
      <c r="Q1025" s="2"/>
      <c r="R1025" s="4"/>
      <c r="S1025" s="4"/>
      <c r="T1025" s="4"/>
      <c r="U1025" s="4"/>
      <c r="V1025" s="4"/>
      <c r="W1025" s="4"/>
    </row>
    <row r="1026" spans="1:23" ht="14.5" hidden="1" customHeight="1" x14ac:dyDescent="0.2">
      <c r="A1026">
        <f t="shared" si="15"/>
        <v>1020</v>
      </c>
      <c r="B1026">
        <v>2016</v>
      </c>
      <c r="C1026" t="s">
        <v>179</v>
      </c>
      <c r="D1026" t="s">
        <v>479</v>
      </c>
      <c r="E1026" s="22">
        <v>130</v>
      </c>
      <c r="H1026" t="s">
        <v>154</v>
      </c>
      <c r="I1026" t="s">
        <v>529</v>
      </c>
      <c r="J1026" t="s">
        <v>108</v>
      </c>
      <c r="K1026" t="s">
        <v>183</v>
      </c>
      <c r="L1026">
        <v>1</v>
      </c>
      <c r="M1026" s="4"/>
      <c r="N1026" s="2"/>
      <c r="O1026" s="21"/>
      <c r="P1026" s="2"/>
      <c r="Q1026" s="2"/>
      <c r="R1026" s="4"/>
      <c r="S1026" s="4"/>
      <c r="T1026" s="4"/>
      <c r="U1026" s="4"/>
      <c r="V1026" s="4"/>
      <c r="W1026" s="4"/>
    </row>
    <row r="1027" spans="1:23" ht="14.5" hidden="1" customHeight="1" x14ac:dyDescent="0.2">
      <c r="A1027">
        <f t="shared" si="15"/>
        <v>1021</v>
      </c>
      <c r="B1027">
        <v>2016</v>
      </c>
      <c r="C1027" t="s">
        <v>179</v>
      </c>
      <c r="D1027" t="s">
        <v>875</v>
      </c>
      <c r="E1027" s="22">
        <v>990</v>
      </c>
      <c r="F1027" s="16">
        <v>0.5</v>
      </c>
      <c r="G1027" t="s">
        <v>2740</v>
      </c>
      <c r="H1027" t="s">
        <v>144</v>
      </c>
      <c r="I1027" t="s">
        <v>273</v>
      </c>
      <c r="J1027" t="s">
        <v>13</v>
      </c>
      <c r="K1027" t="s">
        <v>201</v>
      </c>
      <c r="L1027">
        <v>1</v>
      </c>
      <c r="M1027" s="4"/>
      <c r="N1027" s="2"/>
      <c r="O1027" s="21"/>
      <c r="P1027" s="2"/>
      <c r="Q1027" s="2"/>
      <c r="R1027" s="4"/>
      <c r="S1027" s="4"/>
      <c r="T1027" s="4"/>
      <c r="U1027" s="4"/>
      <c r="V1027" s="4"/>
      <c r="W1027" s="4"/>
    </row>
    <row r="1028" spans="1:23" ht="14.5" hidden="1" customHeight="1" x14ac:dyDescent="0.2">
      <c r="A1028">
        <f t="shared" si="15"/>
        <v>1022</v>
      </c>
      <c r="B1028">
        <v>2016</v>
      </c>
      <c r="C1028" t="s">
        <v>179</v>
      </c>
      <c r="D1028" t="s">
        <v>444</v>
      </c>
      <c r="E1028" s="22">
        <v>100</v>
      </c>
      <c r="H1028" t="s">
        <v>144</v>
      </c>
      <c r="J1028" t="s">
        <v>23</v>
      </c>
      <c r="K1028" t="s">
        <v>183</v>
      </c>
      <c r="L1028">
        <v>1</v>
      </c>
      <c r="M1028" s="4"/>
      <c r="N1028" s="2"/>
      <c r="O1028" s="21"/>
      <c r="P1028" s="2"/>
      <c r="Q1028" s="2"/>
      <c r="R1028" s="4"/>
      <c r="S1028" s="4"/>
      <c r="T1028" s="4"/>
      <c r="U1028" s="4"/>
      <c r="V1028" s="4"/>
      <c r="W1028" s="4"/>
    </row>
    <row r="1029" spans="1:23" ht="14.25" hidden="1" customHeight="1" x14ac:dyDescent="0.2">
      <c r="A1029">
        <f t="shared" si="15"/>
        <v>1023</v>
      </c>
      <c r="B1029">
        <v>2016</v>
      </c>
      <c r="C1029" t="s">
        <v>179</v>
      </c>
      <c r="D1029" t="s">
        <v>444</v>
      </c>
      <c r="E1029" s="22">
        <v>2100</v>
      </c>
      <c r="G1029" t="s">
        <v>849</v>
      </c>
      <c r="H1029" t="s">
        <v>144</v>
      </c>
      <c r="J1029" t="s">
        <v>67</v>
      </c>
      <c r="K1029" t="s">
        <v>183</v>
      </c>
      <c r="L1029">
        <v>1</v>
      </c>
      <c r="M1029" s="4"/>
      <c r="N1029" s="2"/>
      <c r="O1029" s="21"/>
      <c r="P1029" s="2"/>
      <c r="Q1029" s="2"/>
      <c r="R1029" s="4"/>
      <c r="S1029" s="4"/>
      <c r="T1029" s="4"/>
      <c r="U1029" s="4"/>
      <c r="V1029" s="4"/>
      <c r="W1029" s="4"/>
    </row>
    <row r="1030" spans="1:23" ht="14.5" hidden="1" customHeight="1" x14ac:dyDescent="0.2">
      <c r="A1030">
        <f t="shared" si="15"/>
        <v>1024</v>
      </c>
      <c r="B1030">
        <v>2016</v>
      </c>
      <c r="C1030" t="s">
        <v>179</v>
      </c>
      <c r="D1030" t="s">
        <v>2741</v>
      </c>
      <c r="E1030" s="22">
        <v>780</v>
      </c>
      <c r="H1030" t="s">
        <v>144</v>
      </c>
      <c r="J1030" t="s">
        <v>38</v>
      </c>
      <c r="K1030" t="s">
        <v>214</v>
      </c>
      <c r="L1030">
        <v>1</v>
      </c>
      <c r="M1030" s="4"/>
      <c r="N1030" s="2"/>
      <c r="O1030" s="21"/>
      <c r="P1030" s="2"/>
      <c r="Q1030" s="2"/>
      <c r="R1030" s="4"/>
      <c r="S1030" s="4"/>
      <c r="T1030" s="4"/>
      <c r="U1030" s="4"/>
      <c r="V1030" s="4"/>
      <c r="W1030" s="4"/>
    </row>
    <row r="1031" spans="1:23" ht="14.5" hidden="1" customHeight="1" x14ac:dyDescent="0.2">
      <c r="A1031">
        <f t="shared" ref="A1031:A1094" si="16">ROW()-6</f>
        <v>1025</v>
      </c>
      <c r="B1031">
        <v>2016</v>
      </c>
      <c r="C1031" t="s">
        <v>179</v>
      </c>
      <c r="D1031" t="s">
        <v>397</v>
      </c>
      <c r="E1031" s="22">
        <v>300</v>
      </c>
      <c r="H1031" t="s">
        <v>151</v>
      </c>
      <c r="I1031" t="s">
        <v>279</v>
      </c>
      <c r="J1031" t="s">
        <v>53</v>
      </c>
      <c r="K1031" t="s">
        <v>183</v>
      </c>
      <c r="L1031">
        <v>1</v>
      </c>
      <c r="M1031" s="4"/>
      <c r="N1031" s="2"/>
      <c r="O1031" s="21"/>
      <c r="P1031" s="2"/>
      <c r="Q1031" s="2"/>
      <c r="R1031" s="4"/>
      <c r="S1031" s="4"/>
      <c r="T1031" s="4"/>
      <c r="U1031" s="4"/>
      <c r="V1031" s="4"/>
      <c r="W1031" s="4"/>
    </row>
    <row r="1032" spans="1:23" ht="14.5" hidden="1" customHeight="1" x14ac:dyDescent="0.2">
      <c r="A1032">
        <f t="shared" si="16"/>
        <v>1026</v>
      </c>
      <c r="B1032">
        <v>2016</v>
      </c>
      <c r="C1032" t="s">
        <v>179</v>
      </c>
      <c r="D1032" t="s">
        <v>313</v>
      </c>
      <c r="E1032" s="22">
        <v>250</v>
      </c>
      <c r="G1032" t="s">
        <v>2742</v>
      </c>
      <c r="H1032" t="s">
        <v>143</v>
      </c>
      <c r="J1032" t="s">
        <v>40</v>
      </c>
      <c r="K1032" t="s">
        <v>219</v>
      </c>
      <c r="L1032">
        <v>1</v>
      </c>
      <c r="M1032" s="4"/>
      <c r="N1032" s="2"/>
      <c r="O1032" s="21"/>
      <c r="P1032" s="2"/>
      <c r="Q1032" s="2"/>
      <c r="R1032" s="4"/>
      <c r="S1032" s="4"/>
      <c r="T1032" s="4"/>
      <c r="U1032" s="4"/>
      <c r="V1032" s="4"/>
      <c r="W1032" s="4"/>
    </row>
    <row r="1033" spans="1:23" ht="14.5" hidden="1" customHeight="1" x14ac:dyDescent="0.2">
      <c r="A1033">
        <f t="shared" si="16"/>
        <v>1027</v>
      </c>
      <c r="B1033">
        <v>2016</v>
      </c>
      <c r="C1033" t="s">
        <v>179</v>
      </c>
      <c r="D1033" t="s">
        <v>2743</v>
      </c>
      <c r="E1033" s="22">
        <v>120</v>
      </c>
      <c r="G1033" t="s">
        <v>2744</v>
      </c>
      <c r="H1033" t="s">
        <v>144</v>
      </c>
      <c r="J1033" t="s">
        <v>67</v>
      </c>
      <c r="K1033" t="s">
        <v>183</v>
      </c>
      <c r="L1033">
        <v>1</v>
      </c>
      <c r="M1033" s="4"/>
      <c r="N1033" s="2"/>
      <c r="O1033" s="21"/>
      <c r="P1033" s="2"/>
      <c r="Q1033" s="2"/>
      <c r="R1033" s="4"/>
      <c r="S1033" s="4"/>
      <c r="T1033" s="4"/>
      <c r="U1033" s="4"/>
      <c r="V1033" s="4"/>
      <c r="W1033" s="4"/>
    </row>
    <row r="1034" spans="1:23" ht="14.5" hidden="1" customHeight="1" x14ac:dyDescent="0.2">
      <c r="A1034">
        <f t="shared" si="16"/>
        <v>1028</v>
      </c>
      <c r="B1034" s="17">
        <v>2016</v>
      </c>
      <c r="C1034" s="17" t="s">
        <v>179</v>
      </c>
      <c r="D1034" s="17" t="s">
        <v>444</v>
      </c>
      <c r="E1034" s="24">
        <v>180</v>
      </c>
      <c r="F1034" s="18"/>
      <c r="G1034" s="17" t="s">
        <v>2745</v>
      </c>
      <c r="H1034" s="17" t="s">
        <v>154</v>
      </c>
      <c r="I1034" s="17" t="s">
        <v>194</v>
      </c>
      <c r="J1034" s="17" t="s">
        <v>105</v>
      </c>
      <c r="K1034" s="17" t="s">
        <v>214</v>
      </c>
      <c r="L1034" s="17">
        <v>1</v>
      </c>
      <c r="M1034" s="4"/>
      <c r="N1034" s="2"/>
      <c r="O1034" s="21"/>
      <c r="P1034" s="2"/>
      <c r="Q1034" s="2"/>
      <c r="R1034" s="4"/>
      <c r="S1034" s="4"/>
      <c r="T1034" s="4"/>
      <c r="U1034" s="4"/>
      <c r="V1034" s="4"/>
      <c r="W1034" s="4"/>
    </row>
    <row r="1035" spans="1:23" ht="14.5" hidden="1" customHeight="1" x14ac:dyDescent="0.2">
      <c r="A1035">
        <f t="shared" si="16"/>
        <v>1029</v>
      </c>
      <c r="B1035">
        <v>2016</v>
      </c>
      <c r="C1035" t="s">
        <v>179</v>
      </c>
      <c r="D1035" t="s">
        <v>875</v>
      </c>
      <c r="E1035" s="22">
        <v>660</v>
      </c>
      <c r="H1035" t="s">
        <v>155</v>
      </c>
      <c r="J1035" t="s">
        <v>100</v>
      </c>
      <c r="K1035" t="s">
        <v>214</v>
      </c>
      <c r="L1035">
        <v>1</v>
      </c>
      <c r="M1035" s="4"/>
      <c r="N1035" s="2"/>
      <c r="O1035" s="21"/>
      <c r="P1035" s="2"/>
      <c r="Q1035" s="2"/>
      <c r="R1035" s="4"/>
      <c r="S1035" s="4"/>
      <c r="T1035" s="4"/>
      <c r="U1035" s="4"/>
      <c r="V1035" s="4"/>
      <c r="W1035" s="4"/>
    </row>
    <row r="1036" spans="1:23" ht="14.5" hidden="1" customHeight="1" x14ac:dyDescent="0.2">
      <c r="A1036">
        <f t="shared" si="16"/>
        <v>1030</v>
      </c>
      <c r="B1036">
        <v>2016</v>
      </c>
      <c r="C1036" t="s">
        <v>179</v>
      </c>
      <c r="D1036" t="s">
        <v>2746</v>
      </c>
      <c r="E1036" s="22">
        <v>100</v>
      </c>
      <c r="G1036" t="s">
        <v>2600</v>
      </c>
      <c r="H1036" t="s">
        <v>142</v>
      </c>
      <c r="J1036" t="s">
        <v>40</v>
      </c>
      <c r="K1036" t="s">
        <v>219</v>
      </c>
      <c r="L1036">
        <v>1</v>
      </c>
      <c r="M1036" s="4"/>
      <c r="N1036" s="2"/>
      <c r="O1036" s="21"/>
      <c r="P1036" s="2"/>
      <c r="Q1036" s="2"/>
      <c r="R1036" s="4"/>
      <c r="S1036" s="4"/>
      <c r="T1036" s="4"/>
      <c r="U1036" s="4"/>
      <c r="V1036" s="4"/>
      <c r="W1036" s="4"/>
    </row>
    <row r="1037" spans="1:23" ht="14.5" hidden="1" customHeight="1" x14ac:dyDescent="0.2">
      <c r="A1037">
        <f t="shared" si="16"/>
        <v>1031</v>
      </c>
      <c r="B1037">
        <v>2016</v>
      </c>
      <c r="C1037" t="s">
        <v>179</v>
      </c>
      <c r="D1037" t="s">
        <v>479</v>
      </c>
      <c r="E1037" s="22">
        <v>280</v>
      </c>
      <c r="H1037" t="s">
        <v>154</v>
      </c>
      <c r="I1037" t="s">
        <v>529</v>
      </c>
      <c r="J1037" t="s">
        <v>124</v>
      </c>
      <c r="K1037" t="s">
        <v>183</v>
      </c>
      <c r="L1037">
        <v>1</v>
      </c>
      <c r="M1037" s="4"/>
      <c r="N1037" s="2"/>
      <c r="O1037" s="21"/>
      <c r="P1037" s="2"/>
      <c r="Q1037" s="2"/>
      <c r="R1037" s="4"/>
      <c r="S1037" s="4"/>
      <c r="T1037" s="4"/>
      <c r="U1037" s="4"/>
      <c r="V1037" s="4"/>
      <c r="W1037" s="4"/>
    </row>
    <row r="1038" spans="1:23" ht="14.5" hidden="1" customHeight="1" x14ac:dyDescent="0.2">
      <c r="A1038">
        <f t="shared" si="16"/>
        <v>1032</v>
      </c>
      <c r="B1038">
        <v>2016</v>
      </c>
      <c r="C1038" t="s">
        <v>184</v>
      </c>
      <c r="D1038" t="s">
        <v>2547</v>
      </c>
      <c r="E1038" s="22">
        <v>300</v>
      </c>
      <c r="H1038" t="s">
        <v>154</v>
      </c>
      <c r="I1038" t="s">
        <v>250</v>
      </c>
      <c r="J1038" t="s">
        <v>16</v>
      </c>
      <c r="K1038" t="s">
        <v>205</v>
      </c>
      <c r="L1038">
        <v>1</v>
      </c>
      <c r="M1038" s="4"/>
      <c r="N1038" s="2"/>
      <c r="O1038" s="21"/>
      <c r="P1038" s="2"/>
      <c r="Q1038" s="2"/>
      <c r="R1038" s="4"/>
      <c r="S1038" s="4"/>
      <c r="T1038" s="4"/>
      <c r="U1038" s="4"/>
      <c r="V1038" s="4"/>
      <c r="W1038" s="4"/>
    </row>
    <row r="1039" spans="1:23" ht="14.5" hidden="1" customHeight="1" x14ac:dyDescent="0.2">
      <c r="A1039">
        <f t="shared" si="16"/>
        <v>1033</v>
      </c>
      <c r="B1039">
        <v>2016</v>
      </c>
      <c r="C1039" t="s">
        <v>184</v>
      </c>
      <c r="D1039" t="s">
        <v>175</v>
      </c>
      <c r="E1039" s="22">
        <v>140</v>
      </c>
      <c r="H1039" t="s">
        <v>154</v>
      </c>
      <c r="I1039" t="s">
        <v>529</v>
      </c>
      <c r="J1039" t="s">
        <v>108</v>
      </c>
      <c r="K1039" t="s">
        <v>183</v>
      </c>
      <c r="L1039">
        <v>1</v>
      </c>
      <c r="M1039" s="4"/>
      <c r="N1039" s="2"/>
      <c r="O1039" s="21"/>
      <c r="P1039" s="2"/>
      <c r="Q1039" s="2"/>
      <c r="R1039" s="4"/>
      <c r="S1039" s="4"/>
      <c r="T1039" s="4"/>
      <c r="U1039" s="4"/>
      <c r="V1039" s="4"/>
      <c r="W1039" s="4"/>
    </row>
    <row r="1040" spans="1:23" ht="14.5" hidden="1" customHeight="1" x14ac:dyDescent="0.2">
      <c r="A1040">
        <f t="shared" si="16"/>
        <v>1034</v>
      </c>
      <c r="B1040">
        <v>2016</v>
      </c>
      <c r="C1040" t="s">
        <v>184</v>
      </c>
      <c r="D1040" t="s">
        <v>397</v>
      </c>
      <c r="E1040" s="22">
        <v>490</v>
      </c>
      <c r="H1040" t="s">
        <v>151</v>
      </c>
      <c r="I1040" t="s">
        <v>279</v>
      </c>
      <c r="J1040" t="s">
        <v>108</v>
      </c>
      <c r="K1040" t="s">
        <v>183</v>
      </c>
      <c r="L1040">
        <v>1</v>
      </c>
      <c r="M1040" s="4"/>
      <c r="N1040" s="2"/>
      <c r="O1040" s="21"/>
      <c r="P1040" s="2"/>
      <c r="Q1040" s="2"/>
      <c r="R1040" s="4"/>
      <c r="S1040" s="4"/>
      <c r="T1040" s="4"/>
      <c r="U1040" s="4"/>
      <c r="V1040" s="4"/>
      <c r="W1040" s="4"/>
    </row>
    <row r="1041" spans="1:23" ht="14.5" hidden="1" customHeight="1" x14ac:dyDescent="0.2">
      <c r="A1041">
        <f t="shared" si="16"/>
        <v>1035</v>
      </c>
      <c r="B1041">
        <v>2016</v>
      </c>
      <c r="C1041" t="s">
        <v>184</v>
      </c>
      <c r="D1041" t="s">
        <v>875</v>
      </c>
      <c r="E1041" s="22">
        <v>220</v>
      </c>
      <c r="H1041" t="s">
        <v>144</v>
      </c>
      <c r="J1041" t="s">
        <v>13</v>
      </c>
      <c r="K1041" t="s">
        <v>201</v>
      </c>
      <c r="L1041">
        <v>1</v>
      </c>
      <c r="M1041" s="4"/>
      <c r="N1041" s="2"/>
      <c r="O1041" s="21"/>
      <c r="P1041" s="2"/>
      <c r="Q1041" s="2"/>
      <c r="R1041" s="4"/>
      <c r="S1041" s="4"/>
      <c r="T1041" s="4"/>
      <c r="U1041" s="4"/>
      <c r="V1041" s="4"/>
      <c r="W1041" s="4"/>
    </row>
    <row r="1042" spans="1:23" ht="14.5" hidden="1" customHeight="1" x14ac:dyDescent="0.2">
      <c r="A1042">
        <f t="shared" si="16"/>
        <v>1036</v>
      </c>
      <c r="B1042">
        <v>2016</v>
      </c>
      <c r="C1042" t="s">
        <v>184</v>
      </c>
      <c r="D1042" t="s">
        <v>175</v>
      </c>
      <c r="E1042" s="22">
        <v>110</v>
      </c>
      <c r="H1042" t="s">
        <v>151</v>
      </c>
      <c r="I1042" t="s">
        <v>279</v>
      </c>
      <c r="J1042" t="s">
        <v>5</v>
      </c>
      <c r="K1042" t="s">
        <v>214</v>
      </c>
      <c r="L1042">
        <v>1</v>
      </c>
      <c r="M1042" s="4"/>
      <c r="N1042" s="2"/>
      <c r="O1042" s="21"/>
      <c r="P1042" s="2"/>
      <c r="Q1042" s="2"/>
      <c r="R1042" s="4"/>
      <c r="S1042" s="4"/>
      <c r="T1042" s="4"/>
      <c r="U1042" s="4"/>
      <c r="V1042" s="4"/>
      <c r="W1042" s="4"/>
    </row>
    <row r="1043" spans="1:23" ht="14.5" hidden="1" customHeight="1" x14ac:dyDescent="0.2">
      <c r="A1043">
        <f t="shared" si="16"/>
        <v>1037</v>
      </c>
      <c r="B1043">
        <v>2016</v>
      </c>
      <c r="C1043" t="s">
        <v>184</v>
      </c>
      <c r="D1043" t="s">
        <v>175</v>
      </c>
      <c r="E1043" s="22">
        <v>100</v>
      </c>
      <c r="H1043" t="s">
        <v>153</v>
      </c>
      <c r="J1043" t="s">
        <v>131</v>
      </c>
      <c r="K1043" t="s">
        <v>131</v>
      </c>
      <c r="L1043">
        <v>0</v>
      </c>
      <c r="M1043" s="4"/>
      <c r="N1043" s="2"/>
      <c r="O1043" s="21"/>
      <c r="P1043" s="2"/>
      <c r="Q1043" s="2"/>
      <c r="R1043" s="4"/>
      <c r="S1043" s="4"/>
      <c r="T1043" s="4"/>
      <c r="U1043" s="4"/>
      <c r="V1043" s="4"/>
      <c r="W1043" s="4"/>
    </row>
    <row r="1044" spans="1:23" ht="14.5" hidden="1" customHeight="1" x14ac:dyDescent="0.2">
      <c r="A1044">
        <f t="shared" si="16"/>
        <v>1038</v>
      </c>
      <c r="B1044">
        <v>2016</v>
      </c>
      <c r="C1044" t="s">
        <v>184</v>
      </c>
      <c r="D1044" t="s">
        <v>341</v>
      </c>
      <c r="E1044" s="22">
        <v>220</v>
      </c>
      <c r="H1044" t="s">
        <v>144</v>
      </c>
      <c r="J1044" t="s">
        <v>138</v>
      </c>
      <c r="K1044" t="s">
        <v>219</v>
      </c>
      <c r="L1044">
        <v>1</v>
      </c>
      <c r="M1044" s="4"/>
      <c r="N1044" s="2"/>
      <c r="O1044" s="21"/>
      <c r="P1044" s="2"/>
      <c r="Q1044" s="2"/>
      <c r="R1044" s="4"/>
      <c r="S1044" s="4"/>
      <c r="T1044" s="4"/>
      <c r="U1044" s="4"/>
      <c r="V1044" s="4"/>
      <c r="W1044" s="4"/>
    </row>
    <row r="1045" spans="1:23" ht="14.5" hidden="1" customHeight="1" x14ac:dyDescent="0.2">
      <c r="A1045">
        <f t="shared" si="16"/>
        <v>1039</v>
      </c>
      <c r="B1045">
        <v>2016</v>
      </c>
      <c r="C1045" t="s">
        <v>184</v>
      </c>
      <c r="D1045" t="s">
        <v>1035</v>
      </c>
      <c r="E1045" s="22">
        <v>910</v>
      </c>
      <c r="H1045" t="s">
        <v>144</v>
      </c>
      <c r="I1045" t="s">
        <v>299</v>
      </c>
      <c r="J1045" t="s">
        <v>93</v>
      </c>
      <c r="K1045" t="s">
        <v>201</v>
      </c>
      <c r="L1045">
        <v>1</v>
      </c>
      <c r="M1045" s="4"/>
      <c r="N1045" s="2"/>
      <c r="O1045" s="21"/>
      <c r="P1045" s="2"/>
      <c r="Q1045" s="2"/>
      <c r="R1045" s="4"/>
      <c r="S1045" s="4"/>
      <c r="T1045" s="4"/>
      <c r="U1045" s="4"/>
      <c r="V1045" s="4"/>
      <c r="W1045" s="4"/>
    </row>
    <row r="1046" spans="1:23" ht="14.5" hidden="1" customHeight="1" x14ac:dyDescent="0.2">
      <c r="A1046">
        <f t="shared" si="16"/>
        <v>1040</v>
      </c>
      <c r="B1046">
        <v>2016</v>
      </c>
      <c r="C1046" t="s">
        <v>184</v>
      </c>
      <c r="D1046" t="s">
        <v>307</v>
      </c>
      <c r="E1046" s="22">
        <v>450</v>
      </c>
      <c r="H1046" t="s">
        <v>144</v>
      </c>
      <c r="J1046" t="s">
        <v>19</v>
      </c>
      <c r="K1046" t="s">
        <v>205</v>
      </c>
      <c r="L1046">
        <v>0</v>
      </c>
      <c r="M1046" s="4"/>
      <c r="N1046" s="2"/>
      <c r="O1046" s="21"/>
      <c r="P1046" s="2"/>
      <c r="Q1046" s="2"/>
      <c r="R1046" s="4"/>
      <c r="S1046" s="4"/>
      <c r="T1046" s="4"/>
      <c r="U1046" s="4"/>
      <c r="V1046" s="4"/>
      <c r="W1046" s="4"/>
    </row>
    <row r="1047" spans="1:23" ht="14.5" hidden="1" customHeight="1" x14ac:dyDescent="0.2">
      <c r="A1047">
        <f t="shared" si="16"/>
        <v>1041</v>
      </c>
      <c r="B1047">
        <v>2016</v>
      </c>
      <c r="C1047" t="s">
        <v>184</v>
      </c>
      <c r="D1047" t="s">
        <v>221</v>
      </c>
      <c r="E1047" s="22">
        <v>160</v>
      </c>
      <c r="H1047" t="s">
        <v>151</v>
      </c>
      <c r="I1047" t="s">
        <v>279</v>
      </c>
      <c r="J1047" t="s">
        <v>14</v>
      </c>
      <c r="K1047" t="s">
        <v>195</v>
      </c>
      <c r="L1047">
        <v>1</v>
      </c>
      <c r="M1047" s="4"/>
      <c r="N1047" s="2"/>
      <c r="O1047" s="21"/>
      <c r="P1047" s="2"/>
      <c r="Q1047" s="2"/>
      <c r="R1047" s="4"/>
      <c r="S1047" s="4"/>
      <c r="T1047" s="4"/>
      <c r="U1047" s="4"/>
      <c r="V1047" s="4"/>
      <c r="W1047" s="4"/>
    </row>
    <row r="1048" spans="1:23" ht="14.5" hidden="1" customHeight="1" x14ac:dyDescent="0.2">
      <c r="A1048">
        <f t="shared" si="16"/>
        <v>1042</v>
      </c>
      <c r="B1048">
        <v>2016</v>
      </c>
      <c r="C1048" t="s">
        <v>184</v>
      </c>
      <c r="D1048" t="s">
        <v>557</v>
      </c>
      <c r="E1048" s="22">
        <v>280</v>
      </c>
      <c r="H1048" t="s">
        <v>151</v>
      </c>
      <c r="I1048" t="s">
        <v>279</v>
      </c>
      <c r="J1048" t="s">
        <v>89</v>
      </c>
      <c r="K1048" t="s">
        <v>219</v>
      </c>
      <c r="L1048">
        <v>1</v>
      </c>
      <c r="M1048" s="4"/>
      <c r="N1048" s="2"/>
      <c r="O1048" s="21"/>
      <c r="P1048" s="2"/>
      <c r="Q1048" s="2"/>
      <c r="R1048" s="4"/>
      <c r="S1048" s="4"/>
      <c r="T1048" s="4"/>
      <c r="U1048" s="4"/>
      <c r="V1048" s="4"/>
      <c r="W1048" s="4"/>
    </row>
    <row r="1049" spans="1:23" ht="14.5" hidden="1" customHeight="1" x14ac:dyDescent="0.2">
      <c r="A1049">
        <f t="shared" si="16"/>
        <v>1043</v>
      </c>
      <c r="B1049">
        <v>2016</v>
      </c>
      <c r="C1049" t="s">
        <v>225</v>
      </c>
      <c r="D1049" t="s">
        <v>397</v>
      </c>
      <c r="E1049" s="22">
        <v>120</v>
      </c>
      <c r="G1049" t="s">
        <v>2747</v>
      </c>
      <c r="H1049" t="s">
        <v>151</v>
      </c>
      <c r="I1049" t="s">
        <v>279</v>
      </c>
      <c r="J1049" t="s">
        <v>130</v>
      </c>
      <c r="K1049" t="s">
        <v>214</v>
      </c>
      <c r="L1049">
        <v>1</v>
      </c>
      <c r="M1049" s="4"/>
      <c r="N1049" s="2"/>
      <c r="O1049" s="21"/>
      <c r="P1049" s="2"/>
      <c r="Q1049" s="2"/>
      <c r="R1049" s="4"/>
      <c r="S1049" s="4"/>
      <c r="T1049" s="4"/>
      <c r="U1049" s="4"/>
      <c r="V1049" s="4"/>
      <c r="W1049" s="4"/>
    </row>
    <row r="1050" spans="1:23" ht="14.5" hidden="1" customHeight="1" x14ac:dyDescent="0.2">
      <c r="A1050">
        <f t="shared" si="16"/>
        <v>1044</v>
      </c>
      <c r="B1050">
        <v>2016</v>
      </c>
      <c r="C1050" t="s">
        <v>225</v>
      </c>
      <c r="D1050" t="s">
        <v>444</v>
      </c>
      <c r="E1050" s="22">
        <v>100</v>
      </c>
      <c r="H1050" t="s">
        <v>144</v>
      </c>
      <c r="I1050" t="s">
        <v>187</v>
      </c>
      <c r="J1050" t="s">
        <v>13</v>
      </c>
      <c r="K1050" t="s">
        <v>201</v>
      </c>
      <c r="L1050">
        <v>1</v>
      </c>
      <c r="M1050" s="4"/>
      <c r="N1050" s="2"/>
      <c r="O1050" s="21"/>
      <c r="P1050" s="2"/>
      <c r="Q1050" s="2"/>
      <c r="R1050" s="4"/>
      <c r="S1050" s="4"/>
      <c r="T1050" s="4"/>
      <c r="U1050" s="4"/>
      <c r="V1050" s="4"/>
      <c r="W1050" s="4"/>
    </row>
    <row r="1051" spans="1:23" ht="14.5" hidden="1" customHeight="1" x14ac:dyDescent="0.2">
      <c r="A1051">
        <f t="shared" si="16"/>
        <v>1045</v>
      </c>
      <c r="B1051">
        <v>2016</v>
      </c>
      <c r="C1051" t="s">
        <v>225</v>
      </c>
      <c r="D1051" t="s">
        <v>479</v>
      </c>
      <c r="E1051" s="22">
        <v>350</v>
      </c>
      <c r="H1051" t="s">
        <v>154</v>
      </c>
      <c r="I1051" t="s">
        <v>194</v>
      </c>
      <c r="J1051" t="s">
        <v>6</v>
      </c>
      <c r="K1051" t="s">
        <v>219</v>
      </c>
      <c r="L1051">
        <v>1</v>
      </c>
      <c r="M1051" s="4"/>
      <c r="N1051" s="2"/>
      <c r="O1051" s="21"/>
      <c r="P1051" s="2"/>
      <c r="Q1051" s="2"/>
      <c r="R1051" s="4"/>
      <c r="S1051" s="4"/>
      <c r="T1051" s="4"/>
      <c r="U1051" s="4"/>
      <c r="V1051" s="4"/>
      <c r="W1051" s="4"/>
    </row>
    <row r="1052" spans="1:23" ht="14.5" hidden="1" customHeight="1" x14ac:dyDescent="0.2">
      <c r="A1052">
        <f t="shared" si="16"/>
        <v>1046</v>
      </c>
      <c r="B1052">
        <v>2016</v>
      </c>
      <c r="C1052" t="s">
        <v>225</v>
      </c>
      <c r="D1052" t="s">
        <v>397</v>
      </c>
      <c r="E1052" s="22">
        <v>580</v>
      </c>
      <c r="H1052" t="s">
        <v>150</v>
      </c>
      <c r="I1052" t="s">
        <v>744</v>
      </c>
      <c r="J1052" t="s">
        <v>65</v>
      </c>
      <c r="K1052" t="s">
        <v>214</v>
      </c>
      <c r="L1052">
        <v>1</v>
      </c>
      <c r="M1052" s="4"/>
      <c r="N1052" s="2"/>
      <c r="O1052" s="21"/>
      <c r="P1052" s="2"/>
      <c r="Q1052" s="2"/>
      <c r="R1052" s="4"/>
      <c r="S1052" s="4"/>
      <c r="T1052" s="4"/>
      <c r="U1052" s="4"/>
      <c r="V1052" s="4"/>
      <c r="W1052" s="4"/>
    </row>
    <row r="1053" spans="1:23" ht="14.5" hidden="1" customHeight="1" x14ac:dyDescent="0.2">
      <c r="A1053">
        <f t="shared" si="16"/>
        <v>1047</v>
      </c>
      <c r="B1053">
        <v>2016</v>
      </c>
      <c r="C1053" t="s">
        <v>225</v>
      </c>
      <c r="D1053" t="s">
        <v>444</v>
      </c>
      <c r="E1053" s="22">
        <v>190</v>
      </c>
      <c r="H1053" t="s">
        <v>144</v>
      </c>
      <c r="J1053" t="s">
        <v>64</v>
      </c>
      <c r="K1053" t="s">
        <v>219</v>
      </c>
      <c r="L1053">
        <v>1</v>
      </c>
      <c r="M1053" s="4"/>
      <c r="N1053" s="2"/>
      <c r="O1053" s="21"/>
      <c r="P1053" s="2"/>
      <c r="Q1053" s="2"/>
      <c r="R1053" s="4"/>
      <c r="S1053" s="4"/>
      <c r="T1053" s="4"/>
      <c r="U1053" s="4"/>
      <c r="V1053" s="4"/>
      <c r="W1053" s="4"/>
    </row>
    <row r="1054" spans="1:23" ht="14.5" hidden="1" customHeight="1" x14ac:dyDescent="0.2">
      <c r="A1054">
        <f t="shared" si="16"/>
        <v>1048</v>
      </c>
      <c r="B1054">
        <v>2016</v>
      </c>
      <c r="C1054" t="s">
        <v>225</v>
      </c>
      <c r="D1054" t="s">
        <v>557</v>
      </c>
      <c r="E1054" s="22">
        <v>230</v>
      </c>
      <c r="G1054" t="s">
        <v>2748</v>
      </c>
      <c r="H1054" t="s">
        <v>151</v>
      </c>
      <c r="I1054" t="s">
        <v>279</v>
      </c>
      <c r="J1054" t="s">
        <v>5</v>
      </c>
      <c r="K1054" t="s">
        <v>214</v>
      </c>
      <c r="L1054">
        <v>1</v>
      </c>
      <c r="M1054" s="4"/>
      <c r="N1054" s="2"/>
      <c r="O1054" s="21"/>
      <c r="P1054" s="2"/>
      <c r="Q1054" s="2"/>
      <c r="R1054" s="4"/>
      <c r="S1054" s="4"/>
      <c r="T1054" s="4"/>
      <c r="U1054" s="4"/>
      <c r="V1054" s="4"/>
      <c r="W1054" s="4"/>
    </row>
    <row r="1055" spans="1:23" ht="14.5" hidden="1" customHeight="1" x14ac:dyDescent="0.2">
      <c r="A1055">
        <f t="shared" si="16"/>
        <v>1049</v>
      </c>
      <c r="B1055">
        <v>2016</v>
      </c>
      <c r="C1055" t="s">
        <v>225</v>
      </c>
      <c r="D1055" t="s">
        <v>2574</v>
      </c>
      <c r="E1055" s="22">
        <v>120</v>
      </c>
      <c r="H1055" t="s">
        <v>143</v>
      </c>
      <c r="J1055" t="s">
        <v>105</v>
      </c>
      <c r="K1055" t="s">
        <v>214</v>
      </c>
      <c r="L1055">
        <v>1</v>
      </c>
      <c r="M1055" s="4"/>
      <c r="N1055" s="2"/>
      <c r="O1055" s="21"/>
      <c r="P1055" s="2"/>
      <c r="Q1055" s="2"/>
      <c r="R1055" s="4"/>
      <c r="S1055" s="4"/>
      <c r="T1055" s="4"/>
      <c r="U1055" s="4"/>
      <c r="V1055" s="4"/>
      <c r="W1055" s="4"/>
    </row>
    <row r="1056" spans="1:23" ht="14.5" hidden="1" customHeight="1" x14ac:dyDescent="0.2">
      <c r="A1056">
        <f t="shared" si="16"/>
        <v>1050</v>
      </c>
      <c r="B1056">
        <v>2016</v>
      </c>
      <c r="C1056" t="s">
        <v>225</v>
      </c>
      <c r="D1056" t="s">
        <v>875</v>
      </c>
      <c r="E1056" s="22">
        <v>1960</v>
      </c>
      <c r="H1056" t="s">
        <v>155</v>
      </c>
      <c r="J1056" t="s">
        <v>54</v>
      </c>
      <c r="K1056" t="s">
        <v>201</v>
      </c>
      <c r="L1056">
        <v>1</v>
      </c>
      <c r="M1056" s="4"/>
      <c r="N1056" s="2"/>
      <c r="O1056" s="21"/>
      <c r="P1056" s="2"/>
      <c r="Q1056" s="2"/>
      <c r="R1056" s="4"/>
      <c r="S1056" s="4"/>
      <c r="T1056" s="4"/>
      <c r="U1056" s="4"/>
      <c r="V1056" s="4"/>
      <c r="W1056" s="4"/>
    </row>
    <row r="1057" spans="1:23" ht="14.5" hidden="1" customHeight="1" x14ac:dyDescent="0.2">
      <c r="A1057">
        <f t="shared" si="16"/>
        <v>1051</v>
      </c>
      <c r="B1057">
        <v>2016</v>
      </c>
      <c r="C1057" t="s">
        <v>225</v>
      </c>
      <c r="D1057" t="s">
        <v>449</v>
      </c>
      <c r="E1057" s="22">
        <v>100</v>
      </c>
      <c r="H1057" t="s">
        <v>150</v>
      </c>
      <c r="I1057" t="s">
        <v>217</v>
      </c>
      <c r="J1057" t="s">
        <v>40</v>
      </c>
      <c r="K1057" t="s">
        <v>219</v>
      </c>
      <c r="L1057">
        <v>1</v>
      </c>
      <c r="M1057" s="4"/>
      <c r="N1057" s="2"/>
      <c r="O1057" s="21"/>
      <c r="P1057" s="2"/>
      <c r="Q1057" s="2"/>
      <c r="R1057" s="4"/>
      <c r="S1057" s="4"/>
      <c r="T1057" s="4"/>
      <c r="U1057" s="4"/>
      <c r="V1057" s="4"/>
      <c r="W1057" s="4"/>
    </row>
    <row r="1058" spans="1:23" ht="14.5" hidden="1" customHeight="1" x14ac:dyDescent="0.2">
      <c r="A1058">
        <f t="shared" si="16"/>
        <v>1052</v>
      </c>
      <c r="B1058">
        <v>2016</v>
      </c>
      <c r="C1058" t="s">
        <v>225</v>
      </c>
      <c r="D1058" t="s">
        <v>1035</v>
      </c>
      <c r="E1058" s="22">
        <v>2300</v>
      </c>
      <c r="G1058" t="s">
        <v>2749</v>
      </c>
      <c r="H1058" t="s">
        <v>144</v>
      </c>
      <c r="I1058" t="s">
        <v>299</v>
      </c>
      <c r="J1058" t="s">
        <v>92</v>
      </c>
      <c r="K1058" t="s">
        <v>214</v>
      </c>
      <c r="L1058">
        <v>1</v>
      </c>
      <c r="M1058" s="4"/>
      <c r="N1058" s="2"/>
      <c r="O1058" s="21"/>
      <c r="P1058" s="2"/>
      <c r="Q1058" s="2"/>
      <c r="R1058" s="4"/>
      <c r="S1058" s="4"/>
      <c r="T1058" s="4"/>
      <c r="U1058" s="4"/>
      <c r="V1058" s="4"/>
      <c r="W1058" s="4"/>
    </row>
    <row r="1059" spans="1:23" ht="14.5" hidden="1" customHeight="1" x14ac:dyDescent="0.2">
      <c r="A1059">
        <f t="shared" si="16"/>
        <v>1053</v>
      </c>
      <c r="B1059">
        <v>2016</v>
      </c>
      <c r="C1059" t="s">
        <v>225</v>
      </c>
      <c r="D1059" t="s">
        <v>479</v>
      </c>
      <c r="E1059" s="22">
        <v>320</v>
      </c>
      <c r="G1059" t="s">
        <v>2750</v>
      </c>
      <c r="H1059" t="s">
        <v>154</v>
      </c>
      <c r="I1059" t="s">
        <v>529</v>
      </c>
      <c r="J1059" t="s">
        <v>9</v>
      </c>
      <c r="K1059" t="s">
        <v>9</v>
      </c>
      <c r="L1059">
        <v>0</v>
      </c>
      <c r="M1059" s="4"/>
      <c r="N1059" s="2"/>
      <c r="O1059" s="21"/>
      <c r="P1059" s="2"/>
      <c r="Q1059" s="2"/>
      <c r="R1059" s="4"/>
      <c r="S1059" s="4"/>
      <c r="T1059" s="4"/>
      <c r="U1059" s="4"/>
      <c r="V1059" s="4"/>
      <c r="W1059" s="4"/>
    </row>
    <row r="1060" spans="1:23" ht="14.5" hidden="1" customHeight="1" x14ac:dyDescent="0.2">
      <c r="A1060">
        <f t="shared" si="16"/>
        <v>1054</v>
      </c>
      <c r="B1060">
        <v>2016</v>
      </c>
      <c r="C1060" t="s">
        <v>225</v>
      </c>
      <c r="D1060" t="s">
        <v>1035</v>
      </c>
      <c r="E1060" s="22">
        <v>130</v>
      </c>
      <c r="H1060" t="s">
        <v>144</v>
      </c>
      <c r="I1060" t="s">
        <v>299</v>
      </c>
      <c r="J1060" t="s">
        <v>82</v>
      </c>
      <c r="K1060" t="s">
        <v>183</v>
      </c>
      <c r="L1060">
        <v>1</v>
      </c>
      <c r="M1060" s="4"/>
      <c r="N1060" s="2"/>
      <c r="O1060" s="21"/>
      <c r="P1060" s="2"/>
      <c r="Q1060" s="2"/>
      <c r="R1060" s="4"/>
      <c r="S1060" s="4"/>
      <c r="T1060" s="4"/>
      <c r="U1060" s="4"/>
      <c r="V1060" s="4"/>
      <c r="W1060" s="4"/>
    </row>
    <row r="1061" spans="1:23" ht="14.25" hidden="1" customHeight="1" x14ac:dyDescent="0.2">
      <c r="A1061">
        <f t="shared" si="16"/>
        <v>1055</v>
      </c>
      <c r="B1061" s="17">
        <v>2016</v>
      </c>
      <c r="C1061" s="17" t="s">
        <v>225</v>
      </c>
      <c r="D1061" t="s">
        <v>479</v>
      </c>
      <c r="E1061" s="24">
        <v>200</v>
      </c>
      <c r="F1061" s="18"/>
      <c r="G1061" s="17"/>
      <c r="H1061" s="17" t="s">
        <v>154</v>
      </c>
      <c r="I1061" s="17" t="s">
        <v>250</v>
      </c>
      <c r="J1061" s="17" t="s">
        <v>132</v>
      </c>
      <c r="K1061" s="17" t="s">
        <v>219</v>
      </c>
      <c r="L1061" s="17">
        <v>1</v>
      </c>
      <c r="M1061" s="4"/>
      <c r="N1061" s="2"/>
      <c r="O1061" s="21"/>
      <c r="P1061" s="2"/>
      <c r="Q1061" s="2"/>
      <c r="R1061" s="4"/>
      <c r="S1061" s="4"/>
      <c r="T1061" s="4"/>
      <c r="U1061" s="4"/>
      <c r="V1061" s="4"/>
      <c r="W1061" s="4"/>
    </row>
    <row r="1062" spans="1:23" ht="14.5" hidden="1" customHeight="1" x14ac:dyDescent="0.2">
      <c r="A1062">
        <f t="shared" si="16"/>
        <v>1056</v>
      </c>
      <c r="B1062">
        <v>2016</v>
      </c>
      <c r="C1062" t="s">
        <v>188</v>
      </c>
      <c r="D1062" t="s">
        <v>815</v>
      </c>
      <c r="E1062" s="22">
        <v>1190</v>
      </c>
      <c r="H1062" t="s">
        <v>151</v>
      </c>
      <c r="I1062" t="s">
        <v>279</v>
      </c>
      <c r="J1062" t="s">
        <v>38</v>
      </c>
      <c r="K1062" t="s">
        <v>214</v>
      </c>
      <c r="L1062">
        <v>1</v>
      </c>
      <c r="M1062" s="4"/>
      <c r="N1062" s="2"/>
      <c r="O1062" s="21"/>
      <c r="P1062" s="2"/>
      <c r="Q1062" s="2"/>
      <c r="R1062" s="4"/>
      <c r="S1062" s="4"/>
      <c r="T1062" s="4"/>
      <c r="U1062" s="4"/>
      <c r="V1062" s="4"/>
      <c r="W1062" s="4"/>
    </row>
    <row r="1063" spans="1:23" ht="14.5" hidden="1" customHeight="1" x14ac:dyDescent="0.2">
      <c r="A1063">
        <f t="shared" si="16"/>
        <v>1057</v>
      </c>
      <c r="B1063">
        <v>2016</v>
      </c>
      <c r="C1063" t="s">
        <v>188</v>
      </c>
      <c r="D1063" t="s">
        <v>444</v>
      </c>
      <c r="E1063" s="22">
        <v>400</v>
      </c>
      <c r="H1063" t="s">
        <v>144</v>
      </c>
      <c r="J1063" t="s">
        <v>6</v>
      </c>
      <c r="K1063" t="s">
        <v>219</v>
      </c>
      <c r="L1063">
        <v>1</v>
      </c>
      <c r="M1063" s="4"/>
      <c r="N1063" s="2"/>
      <c r="O1063" s="21"/>
      <c r="P1063" s="2"/>
      <c r="Q1063" s="2"/>
      <c r="R1063" s="4"/>
      <c r="S1063" s="4"/>
      <c r="T1063" s="4"/>
      <c r="U1063" s="4"/>
      <c r="V1063" s="4"/>
      <c r="W1063" s="4"/>
    </row>
    <row r="1064" spans="1:23" ht="14.5" hidden="1" customHeight="1" x14ac:dyDescent="0.2">
      <c r="A1064">
        <f t="shared" si="16"/>
        <v>1058</v>
      </c>
      <c r="B1064">
        <v>2016</v>
      </c>
      <c r="C1064" t="s">
        <v>188</v>
      </c>
      <c r="D1064" t="s">
        <v>745</v>
      </c>
      <c r="E1064" s="22">
        <v>440</v>
      </c>
      <c r="G1064" t="s">
        <v>1176</v>
      </c>
      <c r="H1064" t="s">
        <v>143</v>
      </c>
      <c r="J1064" t="s">
        <v>101</v>
      </c>
      <c r="K1064" t="s">
        <v>201</v>
      </c>
      <c r="L1064">
        <v>1</v>
      </c>
      <c r="M1064" s="4"/>
      <c r="N1064" s="2"/>
      <c r="O1064" s="21"/>
      <c r="P1064" s="2"/>
      <c r="Q1064" s="2"/>
      <c r="R1064" s="4"/>
      <c r="S1064" s="4"/>
      <c r="T1064" s="4"/>
      <c r="U1064" s="4"/>
      <c r="V1064" s="4"/>
      <c r="W1064" s="4"/>
    </row>
    <row r="1065" spans="1:23" ht="14.5" hidden="1" customHeight="1" x14ac:dyDescent="0.2">
      <c r="A1065">
        <f t="shared" si="16"/>
        <v>1059</v>
      </c>
      <c r="B1065">
        <v>2016</v>
      </c>
      <c r="C1065" t="s">
        <v>188</v>
      </c>
      <c r="D1065" t="s">
        <v>745</v>
      </c>
      <c r="E1065" s="22">
        <v>240</v>
      </c>
      <c r="G1065" t="s">
        <v>2751</v>
      </c>
      <c r="H1065" t="s">
        <v>151</v>
      </c>
      <c r="I1065" t="s">
        <v>279</v>
      </c>
      <c r="J1065" t="s">
        <v>72</v>
      </c>
      <c r="K1065" t="s">
        <v>183</v>
      </c>
      <c r="L1065">
        <v>1</v>
      </c>
      <c r="M1065" s="4"/>
      <c r="N1065" s="2"/>
      <c r="O1065" s="21"/>
      <c r="P1065" s="2"/>
      <c r="Q1065" s="2"/>
      <c r="R1065" s="4"/>
      <c r="S1065" s="4"/>
      <c r="T1065" s="4"/>
      <c r="U1065" s="4"/>
      <c r="V1065" s="4"/>
      <c r="W1065" s="4"/>
    </row>
    <row r="1066" spans="1:23" ht="14.5" hidden="1" customHeight="1" x14ac:dyDescent="0.2">
      <c r="A1066">
        <f t="shared" si="16"/>
        <v>1060</v>
      </c>
      <c r="B1066">
        <v>2016</v>
      </c>
      <c r="C1066" t="s">
        <v>188</v>
      </c>
      <c r="D1066" t="s">
        <v>208</v>
      </c>
      <c r="E1066" s="22">
        <v>140</v>
      </c>
      <c r="G1066" t="s">
        <v>2752</v>
      </c>
      <c r="H1066" t="s">
        <v>144</v>
      </c>
      <c r="I1066" t="s">
        <v>273</v>
      </c>
      <c r="J1066" t="s">
        <v>53</v>
      </c>
      <c r="K1066" t="s">
        <v>183</v>
      </c>
      <c r="L1066">
        <v>1</v>
      </c>
      <c r="M1066" s="4"/>
      <c r="N1066" s="2"/>
      <c r="O1066" s="21"/>
      <c r="P1066" s="2"/>
      <c r="Q1066" s="2"/>
      <c r="R1066" s="4"/>
      <c r="S1066" s="4"/>
      <c r="T1066" s="4"/>
      <c r="U1066" s="4"/>
      <c r="V1066" s="4"/>
      <c r="W1066" s="4"/>
    </row>
    <row r="1067" spans="1:23" ht="14.5" hidden="1" customHeight="1" x14ac:dyDescent="0.2">
      <c r="A1067">
        <f t="shared" si="16"/>
        <v>1061</v>
      </c>
      <c r="B1067">
        <v>2016</v>
      </c>
      <c r="C1067" t="s">
        <v>188</v>
      </c>
      <c r="D1067" t="s">
        <v>703</v>
      </c>
      <c r="E1067" s="22">
        <v>2350</v>
      </c>
      <c r="G1067" t="s">
        <v>2753</v>
      </c>
      <c r="H1067" t="s">
        <v>144</v>
      </c>
      <c r="J1067" t="s">
        <v>130</v>
      </c>
      <c r="K1067" t="s">
        <v>214</v>
      </c>
      <c r="L1067">
        <v>1</v>
      </c>
      <c r="M1067" s="4"/>
      <c r="N1067" s="2"/>
      <c r="O1067" s="21"/>
      <c r="P1067" s="2"/>
      <c r="Q1067" s="2"/>
      <c r="R1067" s="4"/>
      <c r="S1067" s="4"/>
      <c r="T1067" s="4"/>
      <c r="U1067" s="4"/>
      <c r="V1067" s="4"/>
      <c r="W1067" s="4"/>
    </row>
    <row r="1068" spans="1:23" ht="14.5" hidden="1" customHeight="1" x14ac:dyDescent="0.2">
      <c r="A1068">
        <f t="shared" si="16"/>
        <v>1062</v>
      </c>
      <c r="B1068">
        <v>2016</v>
      </c>
      <c r="C1068" t="s">
        <v>188</v>
      </c>
      <c r="D1068" t="s">
        <v>449</v>
      </c>
      <c r="E1068" s="22">
        <v>120</v>
      </c>
      <c r="H1068" t="s">
        <v>155</v>
      </c>
      <c r="J1068" t="s">
        <v>6</v>
      </c>
      <c r="K1068" t="s">
        <v>219</v>
      </c>
      <c r="L1068">
        <v>1</v>
      </c>
      <c r="M1068" s="4"/>
      <c r="N1068" s="2"/>
      <c r="O1068" s="21"/>
      <c r="P1068" s="2"/>
      <c r="Q1068" s="2"/>
      <c r="R1068" s="4"/>
      <c r="S1068" s="4"/>
      <c r="T1068" s="4"/>
      <c r="U1068" s="4"/>
      <c r="V1068" s="4"/>
      <c r="W1068" s="4"/>
    </row>
    <row r="1069" spans="1:23" ht="15" hidden="1" customHeight="1" x14ac:dyDescent="0.2">
      <c r="A1069">
        <f t="shared" si="16"/>
        <v>1063</v>
      </c>
      <c r="B1069">
        <v>2016</v>
      </c>
      <c r="C1069" t="s">
        <v>188</v>
      </c>
      <c r="D1069" t="s">
        <v>185</v>
      </c>
      <c r="E1069" s="22">
        <v>110</v>
      </c>
      <c r="G1069" t="s">
        <v>387</v>
      </c>
      <c r="H1069" t="s">
        <v>144</v>
      </c>
      <c r="I1069" t="s">
        <v>299</v>
      </c>
      <c r="J1069" t="s">
        <v>100</v>
      </c>
      <c r="K1069" t="s">
        <v>214</v>
      </c>
      <c r="L1069">
        <v>1</v>
      </c>
      <c r="M1069" s="4"/>
      <c r="N1069" s="2"/>
      <c r="O1069" s="21"/>
      <c r="P1069" s="2"/>
      <c r="Q1069" s="2"/>
      <c r="R1069" s="4"/>
      <c r="S1069" s="4"/>
      <c r="T1069" s="4"/>
      <c r="U1069" s="4"/>
      <c r="V1069" s="4"/>
      <c r="W1069" s="4"/>
    </row>
    <row r="1070" spans="1:23" ht="14.5" hidden="1" customHeight="1" x14ac:dyDescent="0.2">
      <c r="A1070">
        <f t="shared" si="16"/>
        <v>1064</v>
      </c>
      <c r="B1070">
        <v>2016</v>
      </c>
      <c r="C1070" t="s">
        <v>188</v>
      </c>
      <c r="D1070" t="s">
        <v>1035</v>
      </c>
      <c r="E1070" s="22">
        <v>330</v>
      </c>
      <c r="H1070" t="s">
        <v>144</v>
      </c>
      <c r="I1070" t="s">
        <v>299</v>
      </c>
      <c r="J1070" t="s">
        <v>92</v>
      </c>
      <c r="K1070" t="s">
        <v>214</v>
      </c>
      <c r="L1070">
        <v>1</v>
      </c>
      <c r="M1070" s="4"/>
      <c r="N1070" s="2"/>
      <c r="O1070" s="21"/>
      <c r="P1070" s="2"/>
      <c r="Q1070" s="2"/>
      <c r="R1070" s="4"/>
      <c r="S1070" s="4"/>
      <c r="T1070" s="4"/>
      <c r="U1070" s="4"/>
      <c r="V1070" s="4"/>
      <c r="W1070" s="4"/>
    </row>
    <row r="1071" spans="1:23" ht="14.5" hidden="1" customHeight="1" x14ac:dyDescent="0.2">
      <c r="A1071">
        <f t="shared" si="16"/>
        <v>1065</v>
      </c>
      <c r="B1071">
        <v>2016</v>
      </c>
      <c r="C1071" t="s">
        <v>188</v>
      </c>
      <c r="D1071" t="s">
        <v>221</v>
      </c>
      <c r="E1071" s="22">
        <v>150</v>
      </c>
      <c r="G1071" t="s">
        <v>2754</v>
      </c>
      <c r="H1071" t="s">
        <v>151</v>
      </c>
      <c r="I1071" t="s">
        <v>279</v>
      </c>
      <c r="J1071" t="s">
        <v>97</v>
      </c>
      <c r="K1071" t="s">
        <v>183</v>
      </c>
      <c r="L1071">
        <v>1</v>
      </c>
      <c r="M1071" s="4"/>
      <c r="N1071" s="2"/>
      <c r="O1071" s="21"/>
      <c r="P1071" s="2"/>
      <c r="Q1071" s="2"/>
      <c r="R1071" s="4"/>
      <c r="S1071" s="4"/>
      <c r="T1071" s="4"/>
      <c r="U1071" s="4"/>
      <c r="V1071" s="4"/>
      <c r="W1071" s="4"/>
    </row>
    <row r="1072" spans="1:23" ht="14.5" hidden="1" customHeight="1" x14ac:dyDescent="0.2">
      <c r="A1072">
        <f t="shared" si="16"/>
        <v>1066</v>
      </c>
      <c r="B1072">
        <v>2016</v>
      </c>
      <c r="C1072" t="s">
        <v>188</v>
      </c>
      <c r="D1072" t="s">
        <v>208</v>
      </c>
      <c r="E1072" s="22">
        <v>260</v>
      </c>
      <c r="G1072" t="s">
        <v>2702</v>
      </c>
      <c r="H1072" t="s">
        <v>149</v>
      </c>
      <c r="I1072" t="s">
        <v>182</v>
      </c>
      <c r="J1072" t="s">
        <v>5</v>
      </c>
      <c r="K1072" t="s">
        <v>214</v>
      </c>
      <c r="L1072">
        <v>1</v>
      </c>
      <c r="M1072" s="4"/>
      <c r="N1072" s="2"/>
      <c r="O1072" s="21"/>
      <c r="P1072" s="2"/>
      <c r="Q1072" s="2"/>
      <c r="R1072" s="4"/>
      <c r="S1072" s="4"/>
      <c r="T1072" s="4"/>
      <c r="U1072" s="4"/>
      <c r="V1072" s="4"/>
      <c r="W1072" s="4"/>
    </row>
    <row r="1073" spans="1:23" ht="14.5" hidden="1" customHeight="1" x14ac:dyDescent="0.2">
      <c r="A1073">
        <f t="shared" si="16"/>
        <v>1067</v>
      </c>
      <c r="B1073">
        <v>2016</v>
      </c>
      <c r="C1073" t="s">
        <v>188</v>
      </c>
      <c r="D1073" t="s">
        <v>1035</v>
      </c>
      <c r="E1073" s="22">
        <v>680</v>
      </c>
      <c r="H1073" t="s">
        <v>155</v>
      </c>
      <c r="J1073" t="s">
        <v>6</v>
      </c>
      <c r="K1073" t="s">
        <v>219</v>
      </c>
      <c r="L1073">
        <v>1</v>
      </c>
      <c r="M1073" s="4"/>
      <c r="N1073" s="2"/>
      <c r="O1073" s="21"/>
      <c r="P1073" s="2"/>
      <c r="Q1073" s="2"/>
      <c r="R1073" s="4"/>
      <c r="S1073" s="4"/>
      <c r="T1073" s="4"/>
      <c r="U1073" s="4"/>
      <c r="V1073" s="4"/>
      <c r="W1073" s="4"/>
    </row>
    <row r="1074" spans="1:23" ht="14.5" hidden="1" customHeight="1" x14ac:dyDescent="0.2">
      <c r="A1074">
        <f t="shared" si="16"/>
        <v>1068</v>
      </c>
      <c r="B1074">
        <v>2016</v>
      </c>
      <c r="C1074" t="s">
        <v>188</v>
      </c>
      <c r="D1074" t="s">
        <v>246</v>
      </c>
      <c r="E1074" s="22">
        <v>110</v>
      </c>
      <c r="H1074" t="s">
        <v>155</v>
      </c>
      <c r="J1074" t="s">
        <v>37</v>
      </c>
      <c r="K1074" t="s">
        <v>205</v>
      </c>
      <c r="L1074">
        <v>1</v>
      </c>
      <c r="M1074" s="4"/>
      <c r="N1074" s="2"/>
      <c r="O1074" s="21"/>
      <c r="P1074" s="2"/>
      <c r="Q1074" s="2"/>
      <c r="R1074" s="4"/>
      <c r="S1074" s="4"/>
      <c r="T1074" s="4"/>
      <c r="U1074" s="4"/>
      <c r="V1074" s="4"/>
      <c r="W1074" s="4"/>
    </row>
    <row r="1075" spans="1:23" ht="14.5" hidden="1" customHeight="1" x14ac:dyDescent="0.2">
      <c r="A1075">
        <f t="shared" si="16"/>
        <v>1069</v>
      </c>
      <c r="B1075">
        <v>2016</v>
      </c>
      <c r="C1075" t="s">
        <v>188</v>
      </c>
      <c r="D1075" t="s">
        <v>474</v>
      </c>
      <c r="E1075" s="22">
        <v>170</v>
      </c>
      <c r="H1075" t="s">
        <v>153</v>
      </c>
      <c r="J1075" t="s">
        <v>2755</v>
      </c>
      <c r="K1075" t="s">
        <v>177</v>
      </c>
      <c r="L1075">
        <v>1</v>
      </c>
      <c r="M1075" s="4"/>
      <c r="N1075" s="2"/>
      <c r="O1075" s="21"/>
      <c r="P1075" s="2"/>
      <c r="Q1075" s="2"/>
      <c r="R1075" s="4"/>
      <c r="S1075" s="4"/>
      <c r="T1075" s="4"/>
      <c r="U1075" s="4"/>
      <c r="V1075" s="4"/>
      <c r="W1075" s="4"/>
    </row>
    <row r="1076" spans="1:23" ht="14.5" hidden="1" customHeight="1" x14ac:dyDescent="0.2">
      <c r="A1076">
        <f t="shared" si="16"/>
        <v>1070</v>
      </c>
      <c r="B1076">
        <v>2016</v>
      </c>
      <c r="C1076" t="s">
        <v>191</v>
      </c>
      <c r="D1076" t="s">
        <v>397</v>
      </c>
      <c r="E1076" s="22">
        <v>180</v>
      </c>
      <c r="G1076" t="s">
        <v>2756</v>
      </c>
      <c r="H1076" t="s">
        <v>155</v>
      </c>
      <c r="J1076" t="s">
        <v>95</v>
      </c>
      <c r="K1076" t="s">
        <v>183</v>
      </c>
      <c r="L1076">
        <v>1</v>
      </c>
      <c r="M1076" s="4"/>
      <c r="N1076" s="2"/>
      <c r="O1076" s="21"/>
      <c r="P1076" s="2"/>
      <c r="Q1076" s="2"/>
      <c r="R1076" s="4"/>
      <c r="S1076" s="4"/>
      <c r="T1076" s="4"/>
      <c r="U1076" s="4"/>
      <c r="V1076" s="4"/>
      <c r="W1076" s="4"/>
    </row>
    <row r="1077" spans="1:23" s="41" customFormat="1" ht="14.5" hidden="1" customHeight="1" x14ac:dyDescent="0.2">
      <c r="A1077">
        <f t="shared" si="16"/>
        <v>1071</v>
      </c>
      <c r="B1077">
        <v>2016</v>
      </c>
      <c r="C1077" t="s">
        <v>191</v>
      </c>
      <c r="D1077" t="s">
        <v>199</v>
      </c>
      <c r="E1077" s="22">
        <v>330</v>
      </c>
      <c r="F1077" s="16"/>
      <c r="G1077" t="s">
        <v>2002</v>
      </c>
      <c r="H1077" t="s">
        <v>144</v>
      </c>
      <c r="I1077" t="s">
        <v>187</v>
      </c>
      <c r="J1077" t="s">
        <v>105</v>
      </c>
      <c r="K1077" t="s">
        <v>214</v>
      </c>
      <c r="L1077">
        <v>1</v>
      </c>
      <c r="M1077" s="77"/>
      <c r="N1077" s="78"/>
      <c r="O1077" s="42"/>
      <c r="P1077" s="78"/>
      <c r="Q1077" s="78"/>
      <c r="R1077" s="77"/>
      <c r="S1077" s="77"/>
      <c r="T1077" s="77"/>
      <c r="U1077" s="77"/>
      <c r="V1077" s="77"/>
      <c r="W1077" s="77"/>
    </row>
    <row r="1078" spans="1:23" ht="14.5" hidden="1" customHeight="1" x14ac:dyDescent="0.2">
      <c r="A1078">
        <f t="shared" si="16"/>
        <v>1072</v>
      </c>
      <c r="B1078">
        <v>2016</v>
      </c>
      <c r="C1078" t="s">
        <v>191</v>
      </c>
      <c r="D1078" t="s">
        <v>449</v>
      </c>
      <c r="E1078" s="22">
        <v>250</v>
      </c>
      <c r="H1078" t="s">
        <v>150</v>
      </c>
      <c r="I1078" t="s">
        <v>292</v>
      </c>
      <c r="J1078" t="s">
        <v>40</v>
      </c>
      <c r="K1078" t="s">
        <v>219</v>
      </c>
      <c r="L1078">
        <v>1</v>
      </c>
      <c r="M1078" s="4"/>
      <c r="N1078" s="2"/>
      <c r="O1078" s="21"/>
      <c r="P1078" s="2"/>
      <c r="Q1078" s="2"/>
      <c r="R1078" s="4"/>
      <c r="S1078" s="4"/>
      <c r="T1078" s="4"/>
      <c r="U1078" s="4"/>
      <c r="V1078" s="4"/>
      <c r="W1078" s="4"/>
    </row>
    <row r="1079" spans="1:23" ht="14.5" hidden="1" customHeight="1" x14ac:dyDescent="0.2">
      <c r="A1079">
        <f t="shared" si="16"/>
        <v>1073</v>
      </c>
      <c r="B1079">
        <v>2016</v>
      </c>
      <c r="C1079" t="s">
        <v>191</v>
      </c>
      <c r="D1079" t="s">
        <v>875</v>
      </c>
      <c r="E1079" s="22">
        <v>530</v>
      </c>
      <c r="G1079" t="s">
        <v>2757</v>
      </c>
      <c r="H1079" t="s">
        <v>144</v>
      </c>
      <c r="I1079" t="s">
        <v>273</v>
      </c>
      <c r="J1079" t="s">
        <v>93</v>
      </c>
      <c r="K1079" t="s">
        <v>201</v>
      </c>
      <c r="L1079">
        <v>1</v>
      </c>
      <c r="M1079" s="4"/>
      <c r="N1079" s="2"/>
      <c r="O1079" s="21"/>
      <c r="P1079" s="2"/>
      <c r="Q1079" s="2"/>
      <c r="R1079" s="4"/>
      <c r="S1079" s="4"/>
      <c r="T1079" s="4"/>
      <c r="U1079" s="4"/>
      <c r="V1079" s="4"/>
      <c r="W1079" s="4"/>
    </row>
    <row r="1080" spans="1:23" ht="14.5" hidden="1" customHeight="1" x14ac:dyDescent="0.2">
      <c r="A1080">
        <f t="shared" si="16"/>
        <v>1074</v>
      </c>
      <c r="B1080">
        <v>2016</v>
      </c>
      <c r="C1080" t="s">
        <v>191</v>
      </c>
      <c r="D1080" t="s">
        <v>2660</v>
      </c>
      <c r="E1080" s="22">
        <v>300</v>
      </c>
      <c r="G1080" t="s">
        <v>2758</v>
      </c>
      <c r="H1080" t="s">
        <v>151</v>
      </c>
      <c r="I1080" t="s">
        <v>279</v>
      </c>
      <c r="J1080" t="s">
        <v>29</v>
      </c>
      <c r="K1080" t="s">
        <v>219</v>
      </c>
      <c r="L1080">
        <v>1</v>
      </c>
      <c r="M1080" s="4"/>
      <c r="N1080" s="2"/>
      <c r="O1080" s="21"/>
      <c r="P1080" s="2"/>
      <c r="Q1080" s="2"/>
      <c r="R1080" s="4"/>
      <c r="S1080" s="4"/>
      <c r="T1080" s="4"/>
      <c r="U1080" s="4"/>
      <c r="V1080" s="4"/>
      <c r="W1080" s="4"/>
    </row>
    <row r="1081" spans="1:23" ht="14.5" hidden="1" customHeight="1" x14ac:dyDescent="0.2">
      <c r="A1081">
        <f t="shared" si="16"/>
        <v>1075</v>
      </c>
      <c r="B1081">
        <v>2016</v>
      </c>
      <c r="C1081" t="s">
        <v>191</v>
      </c>
      <c r="D1081" t="s">
        <v>756</v>
      </c>
      <c r="E1081" s="22">
        <v>160</v>
      </c>
      <c r="H1081" t="s">
        <v>155</v>
      </c>
      <c r="J1081" t="s">
        <v>72</v>
      </c>
      <c r="K1081" t="s">
        <v>183</v>
      </c>
      <c r="L1081">
        <v>1</v>
      </c>
      <c r="M1081" s="4"/>
      <c r="N1081" s="2"/>
      <c r="O1081" s="21"/>
      <c r="P1081" s="2"/>
      <c r="Q1081" s="2"/>
      <c r="R1081" s="4"/>
      <c r="S1081" s="4"/>
      <c r="T1081" s="4"/>
      <c r="U1081" s="4"/>
      <c r="V1081" s="4"/>
      <c r="W1081" s="4"/>
    </row>
    <row r="1082" spans="1:23" ht="14.5" hidden="1" customHeight="1" x14ac:dyDescent="0.2">
      <c r="A1082">
        <f t="shared" si="16"/>
        <v>1076</v>
      </c>
      <c r="B1082">
        <v>2016</v>
      </c>
      <c r="C1082" t="s">
        <v>191</v>
      </c>
      <c r="D1082" t="s">
        <v>1035</v>
      </c>
      <c r="E1082" s="22">
        <v>110</v>
      </c>
      <c r="G1082" t="s">
        <v>2759</v>
      </c>
      <c r="H1082" t="s">
        <v>144</v>
      </c>
      <c r="I1082" t="s">
        <v>232</v>
      </c>
      <c r="J1082" t="s">
        <v>124</v>
      </c>
      <c r="K1082" t="s">
        <v>183</v>
      </c>
      <c r="L1082">
        <v>1</v>
      </c>
      <c r="M1082" s="4"/>
      <c r="N1082" s="2"/>
      <c r="O1082" s="21"/>
      <c r="P1082" s="2"/>
      <c r="Q1082" s="2"/>
      <c r="R1082" s="4"/>
      <c r="S1082" s="4"/>
      <c r="T1082" s="4"/>
      <c r="U1082" s="4"/>
      <c r="V1082" s="4"/>
      <c r="W1082" s="4"/>
    </row>
    <row r="1083" spans="1:23" ht="14.5" hidden="1" customHeight="1" x14ac:dyDescent="0.2">
      <c r="A1083">
        <f t="shared" si="16"/>
        <v>1077</v>
      </c>
      <c r="B1083">
        <v>2016</v>
      </c>
      <c r="C1083" t="s">
        <v>191</v>
      </c>
      <c r="D1083" t="s">
        <v>221</v>
      </c>
      <c r="E1083" s="22">
        <v>130</v>
      </c>
      <c r="H1083" t="s">
        <v>155</v>
      </c>
      <c r="J1083" t="s">
        <v>135</v>
      </c>
      <c r="K1083" t="s">
        <v>205</v>
      </c>
      <c r="L1083">
        <v>1</v>
      </c>
      <c r="M1083" s="4"/>
      <c r="N1083" s="2"/>
      <c r="O1083" s="21"/>
      <c r="P1083" s="2"/>
      <c r="Q1083" s="2"/>
      <c r="R1083" s="4"/>
      <c r="S1083" s="4"/>
      <c r="T1083" s="4"/>
      <c r="U1083" s="4"/>
      <c r="V1083" s="4"/>
      <c r="W1083" s="4"/>
    </row>
    <row r="1084" spans="1:23" ht="14.5" hidden="1" customHeight="1" x14ac:dyDescent="0.2">
      <c r="A1084">
        <f t="shared" si="16"/>
        <v>1078</v>
      </c>
      <c r="B1084">
        <v>2016</v>
      </c>
      <c r="C1084" t="s">
        <v>191</v>
      </c>
      <c r="D1084" t="s">
        <v>244</v>
      </c>
      <c r="E1084" s="22">
        <v>650</v>
      </c>
      <c r="G1084" t="s">
        <v>2760</v>
      </c>
      <c r="H1084" t="s">
        <v>149</v>
      </c>
      <c r="I1084" t="s">
        <v>236</v>
      </c>
      <c r="J1084" t="s">
        <v>34</v>
      </c>
      <c r="K1084" t="s">
        <v>219</v>
      </c>
      <c r="L1084">
        <v>1</v>
      </c>
      <c r="M1084" s="4"/>
      <c r="N1084" s="2"/>
      <c r="O1084" s="21"/>
      <c r="P1084" s="2"/>
      <c r="Q1084" s="2"/>
      <c r="R1084" s="4"/>
      <c r="S1084" s="4"/>
      <c r="T1084" s="4"/>
      <c r="U1084" s="4"/>
      <c r="V1084" s="4"/>
      <c r="W1084" s="4"/>
    </row>
    <row r="1085" spans="1:23" ht="14.5" hidden="1" customHeight="1" x14ac:dyDescent="0.2">
      <c r="A1085">
        <f t="shared" si="16"/>
        <v>1079</v>
      </c>
      <c r="B1085">
        <v>2016</v>
      </c>
      <c r="C1085" t="s">
        <v>191</v>
      </c>
      <c r="D1085" t="s">
        <v>208</v>
      </c>
      <c r="E1085" s="22">
        <v>160</v>
      </c>
      <c r="G1085" t="s">
        <v>2761</v>
      </c>
      <c r="H1085" t="s">
        <v>149</v>
      </c>
      <c r="I1085" t="s">
        <v>182</v>
      </c>
      <c r="J1085" t="s">
        <v>5</v>
      </c>
      <c r="K1085" t="s">
        <v>214</v>
      </c>
      <c r="L1085">
        <v>1</v>
      </c>
      <c r="M1085" s="4"/>
      <c r="N1085" s="2"/>
      <c r="O1085" s="21"/>
      <c r="P1085" s="2"/>
      <c r="Q1085" s="2"/>
      <c r="R1085" s="4"/>
      <c r="S1085" s="4"/>
      <c r="T1085" s="4"/>
      <c r="U1085" s="4"/>
      <c r="V1085" s="4"/>
      <c r="W1085" s="4"/>
    </row>
    <row r="1086" spans="1:23" ht="14.5" hidden="1" customHeight="1" x14ac:dyDescent="0.2">
      <c r="A1086">
        <f t="shared" si="16"/>
        <v>1080</v>
      </c>
      <c r="B1086">
        <v>2016</v>
      </c>
      <c r="C1086" t="s">
        <v>191</v>
      </c>
      <c r="D1086" t="s">
        <v>1035</v>
      </c>
      <c r="E1086" s="22">
        <v>120</v>
      </c>
      <c r="H1086" t="s">
        <v>144</v>
      </c>
      <c r="I1086" t="s">
        <v>197</v>
      </c>
      <c r="J1086" t="s">
        <v>115</v>
      </c>
      <c r="K1086" t="s">
        <v>201</v>
      </c>
      <c r="L1086">
        <v>1</v>
      </c>
      <c r="M1086" s="4"/>
      <c r="N1086" s="2"/>
      <c r="O1086" s="21"/>
      <c r="P1086" s="2"/>
      <c r="Q1086" s="2"/>
      <c r="R1086" s="4"/>
      <c r="S1086" s="4"/>
      <c r="T1086" s="4"/>
      <c r="U1086" s="4"/>
      <c r="V1086" s="4"/>
      <c r="W1086" s="4"/>
    </row>
    <row r="1087" spans="1:23" ht="14.5" hidden="1" customHeight="1" x14ac:dyDescent="0.2">
      <c r="A1087">
        <f t="shared" si="16"/>
        <v>1081</v>
      </c>
      <c r="B1087">
        <v>2016</v>
      </c>
      <c r="C1087" t="s">
        <v>191</v>
      </c>
      <c r="D1087" t="s">
        <v>479</v>
      </c>
      <c r="E1087" s="22">
        <v>120</v>
      </c>
      <c r="H1087" t="s">
        <v>142</v>
      </c>
      <c r="J1087" t="s">
        <v>81</v>
      </c>
      <c r="K1087" t="s">
        <v>219</v>
      </c>
      <c r="L1087">
        <v>1</v>
      </c>
      <c r="M1087" s="4"/>
      <c r="N1087" s="2"/>
      <c r="O1087" s="21"/>
      <c r="P1087" s="2"/>
      <c r="Q1087" s="2"/>
      <c r="R1087" s="4"/>
      <c r="S1087" s="4"/>
      <c r="T1087" s="4"/>
      <c r="U1087" s="4"/>
      <c r="V1087" s="4"/>
      <c r="W1087" s="4"/>
    </row>
    <row r="1088" spans="1:23" ht="14.5" hidden="1" customHeight="1" x14ac:dyDescent="0.2">
      <c r="A1088">
        <f t="shared" si="16"/>
        <v>1082</v>
      </c>
      <c r="B1088">
        <v>2016</v>
      </c>
      <c r="C1088" t="s">
        <v>191</v>
      </c>
      <c r="D1088" t="s">
        <v>444</v>
      </c>
      <c r="E1088" s="22">
        <v>120</v>
      </c>
      <c r="H1088" t="s">
        <v>155</v>
      </c>
      <c r="J1088" t="s">
        <v>6</v>
      </c>
      <c r="K1088" t="s">
        <v>219</v>
      </c>
      <c r="L1088">
        <v>1</v>
      </c>
      <c r="M1088" s="4"/>
      <c r="N1088" s="2"/>
      <c r="O1088" s="21"/>
      <c r="P1088" s="2"/>
      <c r="Q1088" s="2"/>
      <c r="R1088" s="4"/>
      <c r="S1088" s="4"/>
      <c r="T1088" s="4"/>
      <c r="U1088" s="4"/>
      <c r="V1088" s="4"/>
      <c r="W1088" s="4"/>
    </row>
    <row r="1089" spans="1:23" ht="14.5" hidden="1" customHeight="1" x14ac:dyDescent="0.2">
      <c r="A1089">
        <f t="shared" si="16"/>
        <v>1083</v>
      </c>
      <c r="B1089">
        <v>2016</v>
      </c>
      <c r="C1089" t="s">
        <v>191</v>
      </c>
      <c r="D1089" t="s">
        <v>1035</v>
      </c>
      <c r="E1089" s="22">
        <v>230</v>
      </c>
      <c r="H1089" t="s">
        <v>144</v>
      </c>
      <c r="I1089" t="s">
        <v>299</v>
      </c>
      <c r="J1089" t="s">
        <v>105</v>
      </c>
      <c r="K1089" t="s">
        <v>214</v>
      </c>
      <c r="L1089">
        <v>1</v>
      </c>
      <c r="M1089" s="4"/>
      <c r="N1089" s="2"/>
      <c r="O1089" s="21"/>
      <c r="P1089" s="2"/>
      <c r="Q1089" s="2"/>
      <c r="R1089" s="4"/>
      <c r="S1089" s="4"/>
      <c r="T1089" s="4"/>
      <c r="U1089" s="4"/>
      <c r="V1089" s="4"/>
      <c r="W1089" s="4"/>
    </row>
    <row r="1090" spans="1:23" ht="14.5" hidden="1" customHeight="1" x14ac:dyDescent="0.2">
      <c r="A1090">
        <f t="shared" si="16"/>
        <v>1084</v>
      </c>
      <c r="B1090">
        <v>2016</v>
      </c>
      <c r="C1090" t="s">
        <v>191</v>
      </c>
      <c r="D1090" t="s">
        <v>449</v>
      </c>
      <c r="E1090" s="22">
        <v>400</v>
      </c>
      <c r="H1090" t="s">
        <v>154</v>
      </c>
      <c r="I1090" t="s">
        <v>529</v>
      </c>
      <c r="J1090" t="s">
        <v>40</v>
      </c>
      <c r="K1090" t="s">
        <v>219</v>
      </c>
      <c r="L1090">
        <v>1</v>
      </c>
      <c r="M1090" s="4"/>
      <c r="N1090" s="2"/>
      <c r="O1090" s="21"/>
      <c r="P1090" s="2"/>
      <c r="Q1090" s="2"/>
      <c r="R1090" s="4"/>
      <c r="S1090" s="4"/>
      <c r="T1090" s="4"/>
      <c r="U1090" s="4"/>
      <c r="V1090" s="4"/>
      <c r="W1090" s="4"/>
    </row>
    <row r="1091" spans="1:23" ht="14.5" hidden="1" customHeight="1" x14ac:dyDescent="0.2">
      <c r="A1091">
        <f t="shared" si="16"/>
        <v>1085</v>
      </c>
      <c r="B1091">
        <v>2016</v>
      </c>
      <c r="C1091" t="s">
        <v>198</v>
      </c>
      <c r="D1091" t="s">
        <v>307</v>
      </c>
      <c r="E1091" s="22">
        <v>720</v>
      </c>
      <c r="H1091" t="s">
        <v>144</v>
      </c>
      <c r="J1091" t="s">
        <v>64</v>
      </c>
      <c r="K1091" t="s">
        <v>219</v>
      </c>
      <c r="L1091">
        <v>1</v>
      </c>
      <c r="M1091" s="4"/>
      <c r="N1091" s="2"/>
      <c r="O1091" s="21"/>
      <c r="P1091" s="2"/>
      <c r="Q1091" s="2"/>
      <c r="R1091" s="4"/>
      <c r="S1091" s="4"/>
      <c r="T1091" s="4"/>
      <c r="U1091" s="4"/>
      <c r="V1091" s="4"/>
      <c r="W1091" s="4"/>
    </row>
    <row r="1092" spans="1:23" ht="14.5" hidden="1" customHeight="1" x14ac:dyDescent="0.2">
      <c r="A1092">
        <f t="shared" si="16"/>
        <v>1086</v>
      </c>
      <c r="B1092">
        <v>2016</v>
      </c>
      <c r="C1092" t="s">
        <v>198</v>
      </c>
      <c r="D1092" t="s">
        <v>307</v>
      </c>
      <c r="E1092" s="22">
        <v>540</v>
      </c>
      <c r="H1092" t="s">
        <v>144</v>
      </c>
      <c r="J1092" t="s">
        <v>40</v>
      </c>
      <c r="K1092" t="s">
        <v>219</v>
      </c>
      <c r="L1092">
        <v>1</v>
      </c>
      <c r="M1092" s="4"/>
      <c r="N1092" s="2"/>
      <c r="O1092" s="21"/>
      <c r="P1092" s="2"/>
      <c r="Q1092" s="2"/>
      <c r="R1092" s="4"/>
      <c r="S1092" s="4"/>
      <c r="T1092" s="4"/>
      <c r="U1092" s="4"/>
      <c r="V1092" s="4"/>
      <c r="W1092" s="4"/>
    </row>
    <row r="1093" spans="1:23" ht="14.5" hidden="1" customHeight="1" x14ac:dyDescent="0.2">
      <c r="A1093">
        <f t="shared" si="16"/>
        <v>1087</v>
      </c>
      <c r="B1093">
        <v>2016</v>
      </c>
      <c r="C1093" t="s">
        <v>198</v>
      </c>
      <c r="D1093" t="s">
        <v>341</v>
      </c>
      <c r="E1093" s="22">
        <v>370</v>
      </c>
      <c r="H1093" t="s">
        <v>154</v>
      </c>
      <c r="I1093" t="s">
        <v>529</v>
      </c>
      <c r="J1093" t="s">
        <v>72</v>
      </c>
      <c r="K1093" t="s">
        <v>183</v>
      </c>
      <c r="L1093">
        <v>1</v>
      </c>
      <c r="M1093" s="4"/>
      <c r="N1093" s="2"/>
      <c r="O1093" s="21"/>
      <c r="P1093" s="2"/>
      <c r="Q1093" s="2"/>
      <c r="R1093" s="4"/>
      <c r="S1093" s="4"/>
      <c r="T1093" s="4"/>
      <c r="U1093" s="4"/>
      <c r="V1093" s="4"/>
      <c r="W1093" s="4"/>
    </row>
    <row r="1094" spans="1:23" ht="14.5" hidden="1" customHeight="1" x14ac:dyDescent="0.2">
      <c r="A1094">
        <f t="shared" si="16"/>
        <v>1088</v>
      </c>
      <c r="B1094">
        <v>2016</v>
      </c>
      <c r="C1094" t="s">
        <v>198</v>
      </c>
      <c r="D1094" t="s">
        <v>341</v>
      </c>
      <c r="E1094" s="22">
        <v>200</v>
      </c>
      <c r="H1094" t="s">
        <v>154</v>
      </c>
      <c r="I1094" t="s">
        <v>194</v>
      </c>
      <c r="J1094" t="s">
        <v>65</v>
      </c>
      <c r="K1094" t="s">
        <v>214</v>
      </c>
      <c r="L1094">
        <v>1</v>
      </c>
      <c r="M1094" s="4"/>
      <c r="N1094" s="2"/>
      <c r="O1094" s="21"/>
      <c r="P1094" s="2"/>
      <c r="Q1094" s="2"/>
      <c r="R1094" s="4"/>
      <c r="S1094" s="4"/>
      <c r="T1094" s="4"/>
      <c r="U1094" s="4"/>
      <c r="V1094" s="4"/>
      <c r="W1094" s="4"/>
    </row>
    <row r="1095" spans="1:23" ht="14.5" hidden="1" customHeight="1" x14ac:dyDescent="0.2">
      <c r="A1095">
        <f t="shared" ref="A1095:A1158" si="17">ROW()-6</f>
        <v>1089</v>
      </c>
      <c r="B1095">
        <v>2016</v>
      </c>
      <c r="C1095" t="s">
        <v>198</v>
      </c>
      <c r="D1095" t="s">
        <v>341</v>
      </c>
      <c r="E1095" s="22">
        <v>180</v>
      </c>
      <c r="H1095" t="s">
        <v>154</v>
      </c>
      <c r="I1095" t="s">
        <v>529</v>
      </c>
      <c r="J1095" t="s">
        <v>108</v>
      </c>
      <c r="K1095" t="s">
        <v>183</v>
      </c>
      <c r="L1095">
        <v>1</v>
      </c>
      <c r="M1095" s="4"/>
      <c r="N1095" s="2"/>
      <c r="O1095" s="21"/>
      <c r="P1095" s="2"/>
      <c r="Q1095" s="2"/>
      <c r="R1095" s="4"/>
      <c r="S1095" s="4"/>
      <c r="T1095" s="4"/>
      <c r="U1095" s="4"/>
      <c r="V1095" s="4"/>
      <c r="W1095" s="4"/>
    </row>
    <row r="1096" spans="1:23" ht="14.5" hidden="1" customHeight="1" x14ac:dyDescent="0.2">
      <c r="A1096">
        <f t="shared" si="17"/>
        <v>1090</v>
      </c>
      <c r="B1096">
        <v>2016</v>
      </c>
      <c r="C1096" t="s">
        <v>198</v>
      </c>
      <c r="D1096" t="s">
        <v>341</v>
      </c>
      <c r="E1096" s="22">
        <v>160</v>
      </c>
      <c r="H1096" t="s">
        <v>154</v>
      </c>
      <c r="I1096" t="s">
        <v>194</v>
      </c>
      <c r="J1096" t="s">
        <v>107</v>
      </c>
      <c r="K1096" t="s">
        <v>219</v>
      </c>
      <c r="L1096">
        <v>1</v>
      </c>
      <c r="M1096" s="4"/>
      <c r="N1096" s="2"/>
      <c r="O1096" s="21"/>
      <c r="P1096" s="2"/>
      <c r="Q1096" s="2"/>
      <c r="R1096" s="4"/>
      <c r="S1096" s="4"/>
      <c r="T1096" s="4"/>
      <c r="U1096" s="4"/>
      <c r="V1096" s="4"/>
      <c r="W1096" s="4"/>
    </row>
    <row r="1097" spans="1:23" ht="14.5" hidden="1" customHeight="1" x14ac:dyDescent="0.2">
      <c r="A1097">
        <f t="shared" si="17"/>
        <v>1091</v>
      </c>
      <c r="B1097">
        <v>2016</v>
      </c>
      <c r="C1097" t="s">
        <v>198</v>
      </c>
      <c r="D1097" t="s">
        <v>341</v>
      </c>
      <c r="E1097" s="22">
        <v>130</v>
      </c>
      <c r="H1097" t="s">
        <v>151</v>
      </c>
      <c r="I1097" t="s">
        <v>279</v>
      </c>
      <c r="J1097" t="s">
        <v>95</v>
      </c>
      <c r="K1097" t="s">
        <v>183</v>
      </c>
      <c r="L1097">
        <v>1</v>
      </c>
      <c r="M1097" s="4"/>
      <c r="N1097" s="2"/>
      <c r="O1097" s="21"/>
      <c r="P1097" s="2"/>
      <c r="Q1097" s="2"/>
      <c r="R1097" s="4"/>
      <c r="S1097" s="4"/>
      <c r="T1097" s="4"/>
      <c r="U1097" s="4"/>
      <c r="V1097" s="4"/>
      <c r="W1097" s="4"/>
    </row>
    <row r="1098" spans="1:23" ht="14.5" hidden="1" customHeight="1" x14ac:dyDescent="0.2">
      <c r="A1098">
        <f t="shared" si="17"/>
        <v>1092</v>
      </c>
      <c r="B1098">
        <v>2016</v>
      </c>
      <c r="C1098" t="s">
        <v>198</v>
      </c>
      <c r="D1098" t="s">
        <v>875</v>
      </c>
      <c r="E1098" s="22">
        <v>410</v>
      </c>
      <c r="G1098" t="s">
        <v>2762</v>
      </c>
      <c r="H1098" t="s">
        <v>144</v>
      </c>
      <c r="I1098" t="s">
        <v>299</v>
      </c>
      <c r="J1098" t="s">
        <v>59</v>
      </c>
      <c r="K1098" t="s">
        <v>219</v>
      </c>
      <c r="L1098">
        <v>1</v>
      </c>
      <c r="M1098" s="4"/>
      <c r="N1098" s="2"/>
      <c r="O1098" s="21"/>
      <c r="P1098" s="2"/>
      <c r="Q1098" s="2"/>
      <c r="R1098" s="4"/>
      <c r="S1098" s="4"/>
      <c r="T1098" s="4"/>
      <c r="U1098" s="4"/>
      <c r="V1098" s="4"/>
      <c r="W1098" s="4"/>
    </row>
    <row r="1099" spans="1:23" ht="14.5" hidden="1" customHeight="1" x14ac:dyDescent="0.2">
      <c r="A1099">
        <f t="shared" si="17"/>
        <v>1093</v>
      </c>
      <c r="B1099">
        <v>2016</v>
      </c>
      <c r="C1099" t="s">
        <v>198</v>
      </c>
      <c r="D1099" t="s">
        <v>189</v>
      </c>
      <c r="E1099" s="22">
        <v>220</v>
      </c>
      <c r="H1099" t="s">
        <v>152</v>
      </c>
      <c r="I1099" t="s">
        <v>257</v>
      </c>
      <c r="J1099" t="s">
        <v>40</v>
      </c>
      <c r="K1099" t="s">
        <v>219</v>
      </c>
      <c r="L1099">
        <v>1</v>
      </c>
      <c r="M1099" s="4"/>
      <c r="N1099" s="2"/>
      <c r="O1099" s="21"/>
      <c r="P1099" s="2"/>
      <c r="Q1099" s="2"/>
      <c r="R1099" s="4"/>
      <c r="S1099" s="4"/>
      <c r="T1099" s="4"/>
      <c r="U1099" s="4"/>
      <c r="V1099" s="4"/>
      <c r="W1099" s="4"/>
    </row>
    <row r="1100" spans="1:23" ht="14.5" hidden="1" customHeight="1" x14ac:dyDescent="0.2">
      <c r="A1100">
        <f t="shared" si="17"/>
        <v>1094</v>
      </c>
      <c r="B1100">
        <v>2016</v>
      </c>
      <c r="C1100" t="s">
        <v>198</v>
      </c>
      <c r="D1100" t="s">
        <v>2660</v>
      </c>
      <c r="E1100" s="22">
        <v>230</v>
      </c>
      <c r="G1100" t="s">
        <v>2763</v>
      </c>
      <c r="H1100" t="s">
        <v>149</v>
      </c>
      <c r="J1100" t="s">
        <v>53</v>
      </c>
      <c r="K1100" t="s">
        <v>183</v>
      </c>
      <c r="L1100">
        <v>1</v>
      </c>
      <c r="M1100" s="4"/>
      <c r="N1100" s="2"/>
      <c r="O1100" s="21"/>
      <c r="P1100" s="2"/>
      <c r="Q1100" s="2"/>
      <c r="R1100" s="4"/>
      <c r="S1100" s="4"/>
      <c r="T1100" s="4"/>
      <c r="U1100" s="4"/>
      <c r="V1100" s="4"/>
      <c r="W1100" s="4"/>
    </row>
    <row r="1101" spans="1:23" ht="14.5" hidden="1" customHeight="1" x14ac:dyDescent="0.2">
      <c r="A1101">
        <f t="shared" si="17"/>
        <v>1095</v>
      </c>
      <c r="B1101">
        <v>2016</v>
      </c>
      <c r="C1101" t="s">
        <v>198</v>
      </c>
      <c r="D1101" t="s">
        <v>479</v>
      </c>
      <c r="E1101" s="22">
        <v>480</v>
      </c>
      <c r="H1101" t="s">
        <v>148</v>
      </c>
      <c r="J1101" t="s">
        <v>46</v>
      </c>
      <c r="K1101" t="s">
        <v>219</v>
      </c>
      <c r="L1101">
        <v>1</v>
      </c>
      <c r="M1101" s="4"/>
      <c r="N1101" s="2"/>
      <c r="O1101" s="21"/>
      <c r="P1101" s="2"/>
      <c r="Q1101" s="2"/>
      <c r="R1101" s="4"/>
      <c r="S1101" s="4"/>
      <c r="T1101" s="4"/>
      <c r="U1101" s="4"/>
      <c r="V1101" s="4"/>
      <c r="W1101" s="4"/>
    </row>
    <row r="1102" spans="1:23" ht="14.5" hidden="1" customHeight="1" x14ac:dyDescent="0.2">
      <c r="A1102">
        <f t="shared" si="17"/>
        <v>1096</v>
      </c>
      <c r="B1102">
        <v>2016</v>
      </c>
      <c r="C1102" t="s">
        <v>198</v>
      </c>
      <c r="D1102" t="s">
        <v>479</v>
      </c>
      <c r="E1102" s="22">
        <v>440</v>
      </c>
      <c r="H1102" t="s">
        <v>154</v>
      </c>
      <c r="I1102" t="s">
        <v>271</v>
      </c>
      <c r="J1102" t="s">
        <v>6</v>
      </c>
      <c r="K1102" t="s">
        <v>219</v>
      </c>
      <c r="L1102">
        <v>1</v>
      </c>
      <c r="M1102" s="4"/>
      <c r="N1102" s="2"/>
      <c r="O1102" s="21"/>
      <c r="P1102" s="2"/>
      <c r="Q1102" s="2"/>
      <c r="R1102" s="4"/>
      <c r="S1102" s="4"/>
      <c r="T1102" s="4"/>
      <c r="U1102" s="4"/>
      <c r="V1102" s="4"/>
      <c r="W1102" s="4"/>
    </row>
    <row r="1103" spans="1:23" ht="14.5" hidden="1" customHeight="1" x14ac:dyDescent="0.2">
      <c r="A1103">
        <f t="shared" si="17"/>
        <v>1097</v>
      </c>
      <c r="B1103">
        <v>2016</v>
      </c>
      <c r="C1103" t="s">
        <v>198</v>
      </c>
      <c r="D1103" t="s">
        <v>341</v>
      </c>
      <c r="E1103" s="22">
        <v>130</v>
      </c>
      <c r="H1103" t="s">
        <v>151</v>
      </c>
      <c r="I1103" t="s">
        <v>279</v>
      </c>
      <c r="J1103" t="s">
        <v>6</v>
      </c>
      <c r="K1103" t="s">
        <v>219</v>
      </c>
      <c r="L1103">
        <v>1</v>
      </c>
      <c r="M1103" s="4"/>
      <c r="N1103" s="2"/>
      <c r="O1103" s="21"/>
      <c r="P1103" s="2"/>
      <c r="Q1103" s="2"/>
      <c r="R1103" s="4"/>
      <c r="S1103" s="4"/>
      <c r="T1103" s="4"/>
      <c r="U1103" s="4"/>
      <c r="V1103" s="4"/>
      <c r="W1103" s="4"/>
    </row>
    <row r="1104" spans="1:23" ht="14.5" hidden="1" customHeight="1" x14ac:dyDescent="0.2">
      <c r="A1104">
        <f t="shared" si="17"/>
        <v>1098</v>
      </c>
      <c r="B1104">
        <v>2016</v>
      </c>
      <c r="C1104" t="s">
        <v>198</v>
      </c>
      <c r="D1104" t="s">
        <v>221</v>
      </c>
      <c r="E1104" s="22">
        <v>190</v>
      </c>
      <c r="G1104" t="s">
        <v>2764</v>
      </c>
      <c r="H1104" t="s">
        <v>151</v>
      </c>
      <c r="I1104" t="s">
        <v>279</v>
      </c>
      <c r="J1104" t="s">
        <v>93</v>
      </c>
      <c r="K1104" t="s">
        <v>201</v>
      </c>
      <c r="L1104">
        <v>1</v>
      </c>
      <c r="M1104" s="4"/>
      <c r="N1104" s="2"/>
      <c r="O1104" s="21"/>
      <c r="P1104" s="2"/>
      <c r="Q1104" s="2"/>
      <c r="R1104" s="4"/>
      <c r="S1104" s="4"/>
      <c r="T1104" s="4"/>
      <c r="U1104" s="4"/>
      <c r="V1104" s="4"/>
      <c r="W1104" s="4"/>
    </row>
    <row r="1105" spans="1:23" ht="14.5" hidden="1" customHeight="1" x14ac:dyDescent="0.2">
      <c r="A1105">
        <f t="shared" si="17"/>
        <v>1099</v>
      </c>
      <c r="B1105">
        <v>2016</v>
      </c>
      <c r="C1105" t="s">
        <v>202</v>
      </c>
      <c r="D1105" t="s">
        <v>479</v>
      </c>
      <c r="E1105" s="22">
        <v>230</v>
      </c>
      <c r="H1105" t="s">
        <v>147</v>
      </c>
      <c r="J1105" t="s">
        <v>9</v>
      </c>
      <c r="K1105" t="s">
        <v>9</v>
      </c>
      <c r="L1105">
        <v>0</v>
      </c>
      <c r="M1105" s="4"/>
      <c r="N1105" s="2"/>
      <c r="O1105" s="21"/>
      <c r="P1105" s="2"/>
      <c r="Q1105" s="2"/>
      <c r="R1105" s="4"/>
      <c r="S1105" s="4"/>
      <c r="T1105" s="4"/>
      <c r="U1105" s="4"/>
      <c r="V1105" s="4"/>
      <c r="W1105" s="4"/>
    </row>
    <row r="1106" spans="1:23" ht="14.5" hidden="1" customHeight="1" x14ac:dyDescent="0.2">
      <c r="A1106">
        <f t="shared" si="17"/>
        <v>1100</v>
      </c>
      <c r="B1106">
        <v>2016</v>
      </c>
      <c r="C1106" t="s">
        <v>202</v>
      </c>
      <c r="D1106" t="s">
        <v>745</v>
      </c>
      <c r="E1106" s="22">
        <v>160</v>
      </c>
      <c r="G1106" t="s">
        <v>2765</v>
      </c>
      <c r="H1106" t="s">
        <v>144</v>
      </c>
      <c r="I1106" t="s">
        <v>299</v>
      </c>
      <c r="J1106" t="s">
        <v>44</v>
      </c>
      <c r="K1106" t="s">
        <v>201</v>
      </c>
      <c r="L1106">
        <v>1</v>
      </c>
      <c r="M1106" s="4"/>
      <c r="N1106" s="2"/>
      <c r="O1106" s="21"/>
      <c r="P1106" s="2"/>
      <c r="Q1106" s="2"/>
      <c r="R1106" s="4"/>
      <c r="S1106" s="4"/>
      <c r="T1106" s="4"/>
      <c r="U1106" s="4"/>
      <c r="V1106" s="4"/>
      <c r="W1106" s="4"/>
    </row>
    <row r="1107" spans="1:23" ht="14.5" hidden="1" customHeight="1" x14ac:dyDescent="0.2">
      <c r="A1107">
        <f t="shared" si="17"/>
        <v>1101</v>
      </c>
      <c r="B1107">
        <v>2016</v>
      </c>
      <c r="C1107" t="s">
        <v>202</v>
      </c>
      <c r="D1107" t="s">
        <v>341</v>
      </c>
      <c r="E1107" s="22">
        <v>1580</v>
      </c>
      <c r="H1107" t="s">
        <v>154</v>
      </c>
      <c r="I1107" t="s">
        <v>529</v>
      </c>
      <c r="J1107" t="s">
        <v>67</v>
      </c>
      <c r="K1107" t="s">
        <v>183</v>
      </c>
      <c r="L1107">
        <v>1</v>
      </c>
      <c r="M1107" s="4"/>
      <c r="N1107" s="2"/>
      <c r="O1107" s="21"/>
      <c r="P1107" s="2"/>
      <c r="Q1107" s="2"/>
      <c r="R1107" s="4"/>
      <c r="S1107" s="4"/>
      <c r="T1107" s="4"/>
      <c r="U1107" s="4"/>
      <c r="V1107" s="4"/>
      <c r="W1107" s="4"/>
    </row>
    <row r="1108" spans="1:23" ht="14.5" hidden="1" customHeight="1" x14ac:dyDescent="0.2">
      <c r="A1108">
        <f t="shared" si="17"/>
        <v>1102</v>
      </c>
      <c r="B1108">
        <v>2016</v>
      </c>
      <c r="C1108" t="s">
        <v>202</v>
      </c>
      <c r="D1108" t="s">
        <v>479</v>
      </c>
      <c r="E1108" s="22">
        <v>120</v>
      </c>
      <c r="H1108" t="s">
        <v>151</v>
      </c>
      <c r="I1108" t="s">
        <v>279</v>
      </c>
      <c r="J1108" t="s">
        <v>24</v>
      </c>
      <c r="K1108" t="s">
        <v>219</v>
      </c>
      <c r="L1108">
        <v>1</v>
      </c>
      <c r="M1108" s="4"/>
      <c r="N1108" s="2"/>
      <c r="O1108" s="21"/>
      <c r="P1108" s="2"/>
      <c r="Q1108" s="2"/>
      <c r="R1108" s="4"/>
      <c r="S1108" s="4"/>
      <c r="T1108" s="4"/>
      <c r="U1108" s="4"/>
      <c r="V1108" s="4"/>
      <c r="W1108" s="4"/>
    </row>
    <row r="1109" spans="1:23" ht="14.5" hidden="1" customHeight="1" x14ac:dyDescent="0.2">
      <c r="A1109">
        <f t="shared" si="17"/>
        <v>1103</v>
      </c>
      <c r="B1109">
        <v>2016</v>
      </c>
      <c r="C1109" t="s">
        <v>202</v>
      </c>
      <c r="D1109" t="s">
        <v>1035</v>
      </c>
      <c r="E1109" s="22">
        <v>210</v>
      </c>
      <c r="H1109" t="s">
        <v>144</v>
      </c>
      <c r="I1109" t="s">
        <v>299</v>
      </c>
      <c r="J1109" t="s">
        <v>65</v>
      </c>
      <c r="K1109" t="s">
        <v>214</v>
      </c>
      <c r="L1109">
        <v>1</v>
      </c>
      <c r="M1109" s="4"/>
      <c r="N1109" s="2"/>
      <c r="O1109" s="21"/>
      <c r="P1109" s="2"/>
      <c r="Q1109" s="2"/>
      <c r="R1109" s="4"/>
      <c r="S1109" s="4"/>
      <c r="T1109" s="4"/>
      <c r="U1109" s="4"/>
      <c r="V1109" s="4"/>
      <c r="W1109" s="4"/>
    </row>
    <row r="1110" spans="1:23" ht="14.5" hidden="1" customHeight="1" x14ac:dyDescent="0.2">
      <c r="A1110">
        <f t="shared" si="17"/>
        <v>1104</v>
      </c>
      <c r="B1110">
        <v>2016</v>
      </c>
      <c r="C1110" t="s">
        <v>202</v>
      </c>
      <c r="D1110" t="s">
        <v>479</v>
      </c>
      <c r="E1110" s="22">
        <v>130</v>
      </c>
      <c r="F1110" s="16">
        <v>0.51</v>
      </c>
      <c r="H1110" t="s">
        <v>154</v>
      </c>
      <c r="I1110" t="s">
        <v>529</v>
      </c>
      <c r="J1110" t="s">
        <v>72</v>
      </c>
      <c r="K1110" t="s">
        <v>183</v>
      </c>
      <c r="L1110">
        <v>1</v>
      </c>
      <c r="M1110" s="4"/>
      <c r="N1110" s="2"/>
      <c r="O1110" s="21"/>
      <c r="P1110" s="2"/>
      <c r="Q1110" s="2"/>
      <c r="R1110" s="4"/>
      <c r="S1110" s="4"/>
      <c r="T1110" s="4"/>
      <c r="U1110" s="4"/>
      <c r="V1110" s="4"/>
      <c r="W1110" s="4"/>
    </row>
    <row r="1111" spans="1:23" ht="14.5" hidden="1" customHeight="1" x14ac:dyDescent="0.2">
      <c r="A1111">
        <f t="shared" si="17"/>
        <v>1105</v>
      </c>
      <c r="B1111">
        <v>2016</v>
      </c>
      <c r="C1111" t="s">
        <v>207</v>
      </c>
      <c r="D1111" t="s">
        <v>1581</v>
      </c>
      <c r="E1111" s="22">
        <v>210</v>
      </c>
      <c r="G1111" t="s">
        <v>2766</v>
      </c>
      <c r="H1111" t="s">
        <v>152</v>
      </c>
      <c r="I1111" t="s">
        <v>257</v>
      </c>
      <c r="J1111" t="s">
        <v>124</v>
      </c>
      <c r="K1111" t="s">
        <v>183</v>
      </c>
      <c r="L1111">
        <v>1</v>
      </c>
      <c r="M1111" s="4"/>
      <c r="N1111" s="2"/>
      <c r="O1111" s="21"/>
      <c r="P1111" s="2"/>
      <c r="Q1111" s="2"/>
      <c r="R1111" s="4"/>
      <c r="S1111" s="4"/>
      <c r="T1111" s="4"/>
      <c r="U1111" s="4"/>
      <c r="V1111" s="4"/>
      <c r="W1111" s="4"/>
    </row>
    <row r="1112" spans="1:23" ht="14.5" hidden="1" customHeight="1" x14ac:dyDescent="0.2">
      <c r="A1112">
        <f t="shared" si="17"/>
        <v>1106</v>
      </c>
      <c r="B1112">
        <v>2016</v>
      </c>
      <c r="C1112" t="s">
        <v>207</v>
      </c>
      <c r="D1112" t="s">
        <v>530</v>
      </c>
      <c r="E1112" s="22">
        <v>170</v>
      </c>
      <c r="G1112" t="s">
        <v>2767</v>
      </c>
      <c r="H1112" t="s">
        <v>152</v>
      </c>
      <c r="I1112" t="s">
        <v>257</v>
      </c>
      <c r="J1112" t="s">
        <v>106</v>
      </c>
      <c r="K1112" t="s">
        <v>195</v>
      </c>
      <c r="L1112">
        <v>1</v>
      </c>
      <c r="M1112" s="4"/>
      <c r="N1112" s="2"/>
      <c r="O1112" s="21"/>
      <c r="P1112" s="2"/>
      <c r="Q1112" s="2"/>
      <c r="R1112" s="4"/>
      <c r="S1112" s="4"/>
      <c r="T1112" s="4"/>
      <c r="U1112" s="4"/>
      <c r="V1112" s="4"/>
      <c r="W1112" s="4"/>
    </row>
    <row r="1113" spans="1:23" ht="14.5" hidden="1" customHeight="1" x14ac:dyDescent="0.2">
      <c r="A1113">
        <f t="shared" si="17"/>
        <v>1107</v>
      </c>
      <c r="B1113">
        <v>2016</v>
      </c>
      <c r="C1113" t="s">
        <v>207</v>
      </c>
      <c r="D1113" t="s">
        <v>479</v>
      </c>
      <c r="E1113" s="22">
        <v>770</v>
      </c>
      <c r="H1113" t="s">
        <v>154</v>
      </c>
      <c r="I1113" t="s">
        <v>271</v>
      </c>
      <c r="J1113" t="s">
        <v>48</v>
      </c>
      <c r="K1113" t="s">
        <v>219</v>
      </c>
      <c r="L1113">
        <v>1</v>
      </c>
      <c r="M1113" s="4"/>
      <c r="N1113" s="2"/>
      <c r="O1113" s="21"/>
      <c r="P1113" s="2"/>
      <c r="Q1113" s="2"/>
      <c r="R1113" s="4"/>
      <c r="S1113" s="4"/>
      <c r="T1113" s="4"/>
      <c r="U1113" s="4"/>
      <c r="V1113" s="4"/>
      <c r="W1113" s="4"/>
    </row>
    <row r="1114" spans="1:23" ht="14.5" hidden="1" customHeight="1" x14ac:dyDescent="0.2">
      <c r="A1114">
        <f t="shared" si="17"/>
        <v>1108</v>
      </c>
      <c r="B1114">
        <v>2016</v>
      </c>
      <c r="C1114" t="s">
        <v>207</v>
      </c>
      <c r="D1114" t="s">
        <v>2768</v>
      </c>
      <c r="E1114" s="22">
        <v>830</v>
      </c>
      <c r="G1114" t="s">
        <v>2769</v>
      </c>
      <c r="H1114" t="s">
        <v>144</v>
      </c>
      <c r="J1114" t="s">
        <v>13</v>
      </c>
      <c r="K1114" t="s">
        <v>201</v>
      </c>
      <c r="L1114">
        <v>1</v>
      </c>
      <c r="M1114" s="4"/>
      <c r="N1114" s="2"/>
      <c r="O1114" s="21"/>
      <c r="P1114" s="2"/>
      <c r="Q1114" s="2"/>
      <c r="R1114" s="4"/>
      <c r="S1114" s="4"/>
      <c r="T1114" s="4"/>
      <c r="U1114" s="4"/>
      <c r="V1114" s="4"/>
      <c r="W1114" s="4"/>
    </row>
    <row r="1115" spans="1:23" ht="14.5" hidden="1" customHeight="1" x14ac:dyDescent="0.2">
      <c r="A1115">
        <f t="shared" si="17"/>
        <v>1109</v>
      </c>
      <c r="B1115">
        <v>2016</v>
      </c>
      <c r="C1115" t="s">
        <v>207</v>
      </c>
      <c r="D1115" t="s">
        <v>444</v>
      </c>
      <c r="E1115" s="22">
        <v>1010</v>
      </c>
      <c r="G1115" t="s">
        <v>2770</v>
      </c>
      <c r="H1115" t="s">
        <v>144</v>
      </c>
      <c r="I1115" t="s">
        <v>299</v>
      </c>
      <c r="J1115" t="s">
        <v>55</v>
      </c>
      <c r="K1115" t="s">
        <v>214</v>
      </c>
      <c r="L1115">
        <v>1</v>
      </c>
      <c r="M1115" s="4"/>
      <c r="N1115" s="2"/>
      <c r="O1115" s="21"/>
      <c r="P1115" s="2"/>
      <c r="Q1115" s="2"/>
      <c r="R1115" s="4"/>
      <c r="S1115" s="4"/>
      <c r="T1115" s="4"/>
      <c r="U1115" s="4"/>
      <c r="V1115" s="4"/>
      <c r="W1115" s="4"/>
    </row>
    <row r="1116" spans="1:23" ht="14.5" hidden="1" customHeight="1" x14ac:dyDescent="0.2">
      <c r="A1116">
        <f t="shared" si="17"/>
        <v>1110</v>
      </c>
      <c r="B1116">
        <v>2016</v>
      </c>
      <c r="C1116" t="s">
        <v>207</v>
      </c>
      <c r="D1116" t="s">
        <v>444</v>
      </c>
      <c r="E1116" s="22">
        <v>120</v>
      </c>
      <c r="H1116" t="s">
        <v>144</v>
      </c>
      <c r="J1116" t="s">
        <v>23</v>
      </c>
      <c r="K1116" t="s">
        <v>183</v>
      </c>
      <c r="L1116">
        <v>1</v>
      </c>
      <c r="M1116" s="4"/>
      <c r="N1116" s="2"/>
      <c r="O1116" s="21"/>
      <c r="P1116" s="2"/>
      <c r="Q1116" s="2"/>
      <c r="R1116" s="4"/>
      <c r="S1116" s="4"/>
      <c r="T1116" s="4"/>
      <c r="U1116" s="4"/>
      <c r="V1116" s="4"/>
      <c r="W1116" s="4"/>
    </row>
    <row r="1117" spans="1:23" ht="14.5" hidden="1" customHeight="1" x14ac:dyDescent="0.2">
      <c r="A1117">
        <f t="shared" si="17"/>
        <v>1111</v>
      </c>
      <c r="B1117">
        <v>2016</v>
      </c>
      <c r="C1117" t="s">
        <v>207</v>
      </c>
      <c r="D1117" t="s">
        <v>189</v>
      </c>
      <c r="E1117" s="22">
        <v>190</v>
      </c>
      <c r="G1117" t="s">
        <v>2771</v>
      </c>
      <c r="H1117" t="s">
        <v>143</v>
      </c>
      <c r="J1117" t="s">
        <v>72</v>
      </c>
      <c r="K1117" t="s">
        <v>183</v>
      </c>
      <c r="L1117">
        <v>1</v>
      </c>
      <c r="M1117" s="4"/>
      <c r="N1117" s="2"/>
      <c r="O1117" s="21"/>
      <c r="P1117" s="2"/>
      <c r="Q1117" s="2"/>
      <c r="R1117" s="4"/>
      <c r="S1117" s="4"/>
      <c r="T1117" s="4"/>
      <c r="U1117" s="4"/>
      <c r="V1117" s="4"/>
      <c r="W1117" s="4"/>
    </row>
    <row r="1118" spans="1:23" ht="14.5" hidden="1" customHeight="1" x14ac:dyDescent="0.2">
      <c r="A1118">
        <f t="shared" si="17"/>
        <v>1112</v>
      </c>
      <c r="B1118">
        <v>2016</v>
      </c>
      <c r="C1118" t="s">
        <v>207</v>
      </c>
      <c r="D1118" t="s">
        <v>2772</v>
      </c>
      <c r="E1118" s="22">
        <v>1070</v>
      </c>
      <c r="H1118" t="s">
        <v>144</v>
      </c>
      <c r="J1118" t="s">
        <v>13</v>
      </c>
      <c r="K1118" t="s">
        <v>201</v>
      </c>
      <c r="L1118">
        <v>1</v>
      </c>
      <c r="M1118" s="4"/>
      <c r="N1118" s="2"/>
      <c r="O1118" s="21"/>
      <c r="P1118" s="2"/>
      <c r="Q1118" s="2"/>
      <c r="R1118" s="4"/>
      <c r="S1118" s="4"/>
      <c r="T1118" s="4"/>
      <c r="U1118" s="4"/>
      <c r="V1118" s="4"/>
      <c r="W1118" s="4"/>
    </row>
    <row r="1119" spans="1:23" ht="14.5" hidden="1" customHeight="1" x14ac:dyDescent="0.2">
      <c r="A1119">
        <f t="shared" si="17"/>
        <v>1113</v>
      </c>
      <c r="B1119">
        <v>2016</v>
      </c>
      <c r="C1119" t="s">
        <v>207</v>
      </c>
      <c r="D1119" t="s">
        <v>444</v>
      </c>
      <c r="E1119" s="22">
        <v>480</v>
      </c>
      <c r="H1119" t="s">
        <v>142</v>
      </c>
      <c r="J1119" t="s">
        <v>115</v>
      </c>
      <c r="K1119" t="s">
        <v>201</v>
      </c>
      <c r="L1119">
        <v>1</v>
      </c>
      <c r="M1119" s="4"/>
      <c r="N1119" s="2"/>
      <c r="O1119" s="21"/>
      <c r="P1119" s="2"/>
      <c r="Q1119" s="2"/>
      <c r="R1119" s="4"/>
      <c r="S1119" s="4"/>
      <c r="T1119" s="4"/>
      <c r="U1119" s="4"/>
      <c r="V1119" s="4"/>
      <c r="W1119" s="4"/>
    </row>
    <row r="1120" spans="1:23" ht="14.5" hidden="1" customHeight="1" x14ac:dyDescent="0.2">
      <c r="A1120">
        <f t="shared" si="17"/>
        <v>1114</v>
      </c>
      <c r="B1120">
        <v>2016</v>
      </c>
      <c r="C1120" t="s">
        <v>207</v>
      </c>
      <c r="D1120" t="s">
        <v>483</v>
      </c>
      <c r="E1120" s="22">
        <v>100</v>
      </c>
      <c r="H1120" t="s">
        <v>155</v>
      </c>
      <c r="J1120" t="s">
        <v>67</v>
      </c>
      <c r="K1120" t="s">
        <v>183</v>
      </c>
      <c r="L1120">
        <v>1</v>
      </c>
      <c r="M1120" s="4"/>
      <c r="N1120" s="2"/>
      <c r="O1120" s="21"/>
      <c r="P1120" s="2"/>
      <c r="Q1120" s="2"/>
      <c r="R1120" s="4"/>
      <c r="S1120" s="4"/>
      <c r="T1120" s="4"/>
      <c r="U1120" s="4"/>
      <c r="V1120" s="4"/>
      <c r="W1120" s="4"/>
    </row>
    <row r="1121" spans="1:23" ht="14.5" hidden="1" customHeight="1" x14ac:dyDescent="0.2">
      <c r="A1121">
        <f t="shared" si="17"/>
        <v>1115</v>
      </c>
      <c r="B1121">
        <v>2016</v>
      </c>
      <c r="C1121" t="s">
        <v>207</v>
      </c>
      <c r="D1121" t="s">
        <v>2538</v>
      </c>
      <c r="E1121" s="22">
        <v>130</v>
      </c>
      <c r="H1121" t="s">
        <v>144</v>
      </c>
      <c r="I1121" t="s">
        <v>232</v>
      </c>
      <c r="J1121" t="s">
        <v>64</v>
      </c>
      <c r="K1121" t="s">
        <v>219</v>
      </c>
      <c r="L1121">
        <v>1</v>
      </c>
      <c r="M1121" s="4"/>
      <c r="N1121" s="2"/>
      <c r="O1121" s="21"/>
      <c r="P1121" s="2"/>
      <c r="Q1121" s="2"/>
      <c r="R1121" s="4"/>
      <c r="S1121" s="4"/>
      <c r="T1121" s="4"/>
      <c r="U1121" s="4"/>
      <c r="V1121" s="4"/>
      <c r="W1121" s="4"/>
    </row>
    <row r="1122" spans="1:23" ht="14.5" hidden="1" customHeight="1" x14ac:dyDescent="0.2">
      <c r="A1122">
        <f t="shared" si="17"/>
        <v>1116</v>
      </c>
      <c r="B1122">
        <v>2016</v>
      </c>
      <c r="C1122" t="s">
        <v>207</v>
      </c>
      <c r="D1122" t="s">
        <v>474</v>
      </c>
      <c r="E1122" s="22">
        <v>130</v>
      </c>
      <c r="H1122" t="s">
        <v>153</v>
      </c>
      <c r="J1122" t="s">
        <v>2773</v>
      </c>
      <c r="K1122" t="s">
        <v>219</v>
      </c>
      <c r="L1122">
        <v>1</v>
      </c>
      <c r="M1122" s="4"/>
      <c r="N1122" s="2"/>
      <c r="O1122" s="21"/>
      <c r="P1122" s="2"/>
      <c r="Q1122" s="2"/>
      <c r="R1122" s="4"/>
      <c r="S1122" s="4"/>
      <c r="T1122" s="4"/>
      <c r="U1122" s="4"/>
      <c r="V1122" s="4"/>
      <c r="W1122" s="4"/>
    </row>
    <row r="1123" spans="1:23" ht="14.5" hidden="1" customHeight="1" x14ac:dyDescent="0.2">
      <c r="A1123">
        <f t="shared" si="17"/>
        <v>1117</v>
      </c>
      <c r="B1123">
        <v>2016</v>
      </c>
      <c r="C1123" t="s">
        <v>207</v>
      </c>
      <c r="D1123" t="s">
        <v>444</v>
      </c>
      <c r="E1123" s="22">
        <v>240</v>
      </c>
      <c r="G1123" t="s">
        <v>2774</v>
      </c>
      <c r="H1123" t="s">
        <v>151</v>
      </c>
      <c r="I1123" t="s">
        <v>279</v>
      </c>
      <c r="J1123" t="s">
        <v>55</v>
      </c>
      <c r="K1123" t="s">
        <v>214</v>
      </c>
      <c r="L1123">
        <v>1</v>
      </c>
      <c r="M1123" s="4"/>
      <c r="N1123" s="2"/>
      <c r="O1123" s="21"/>
      <c r="P1123" s="2"/>
      <c r="Q1123" s="2"/>
      <c r="R1123" s="4"/>
      <c r="S1123" s="4"/>
      <c r="T1123" s="4"/>
      <c r="U1123" s="4"/>
      <c r="V1123" s="4"/>
      <c r="W1123" s="4"/>
    </row>
    <row r="1124" spans="1:23" ht="14.5" hidden="1" customHeight="1" x14ac:dyDescent="0.2">
      <c r="A1124">
        <f t="shared" si="17"/>
        <v>1118</v>
      </c>
      <c r="B1124">
        <v>2016</v>
      </c>
      <c r="C1124" t="s">
        <v>207</v>
      </c>
      <c r="D1124" t="s">
        <v>444</v>
      </c>
      <c r="E1124" s="22">
        <v>410</v>
      </c>
      <c r="H1124" t="s">
        <v>144</v>
      </c>
      <c r="I1124" t="s">
        <v>299</v>
      </c>
      <c r="J1124" t="s">
        <v>89</v>
      </c>
      <c r="K1124" t="s">
        <v>219</v>
      </c>
      <c r="L1124">
        <v>1</v>
      </c>
      <c r="M1124" s="4"/>
      <c r="N1124" s="2"/>
      <c r="O1124" s="21"/>
      <c r="P1124" s="2"/>
      <c r="Q1124" s="2"/>
      <c r="R1124" s="4"/>
      <c r="S1124" s="4"/>
      <c r="T1124" s="4"/>
      <c r="U1124" s="4"/>
      <c r="V1124" s="4"/>
      <c r="W1124" s="4"/>
    </row>
    <row r="1125" spans="1:23" ht="14.5" hidden="1" customHeight="1" x14ac:dyDescent="0.2">
      <c r="A1125">
        <f t="shared" si="17"/>
        <v>1119</v>
      </c>
      <c r="B1125">
        <v>2016</v>
      </c>
      <c r="C1125" t="s">
        <v>207</v>
      </c>
      <c r="D1125" t="s">
        <v>479</v>
      </c>
      <c r="E1125" s="22">
        <v>120</v>
      </c>
      <c r="H1125" t="s">
        <v>154</v>
      </c>
      <c r="I1125" t="s">
        <v>194</v>
      </c>
      <c r="J1125" t="s">
        <v>82</v>
      </c>
      <c r="K1125" t="s">
        <v>183</v>
      </c>
      <c r="L1125">
        <v>1</v>
      </c>
      <c r="M1125" s="4"/>
      <c r="N1125" s="2"/>
      <c r="O1125" s="21"/>
      <c r="P1125" s="2"/>
      <c r="Q1125" s="2"/>
      <c r="R1125" s="4"/>
      <c r="S1125" s="4"/>
      <c r="T1125" s="4"/>
      <c r="U1125" s="4"/>
      <c r="V1125" s="4"/>
      <c r="W1125" s="4"/>
    </row>
    <row r="1126" spans="1:23" ht="14.5" hidden="1" customHeight="1" x14ac:dyDescent="0.2">
      <c r="A1126">
        <f t="shared" si="17"/>
        <v>1120</v>
      </c>
      <c r="B1126">
        <v>2016</v>
      </c>
      <c r="C1126" t="s">
        <v>207</v>
      </c>
      <c r="D1126" t="s">
        <v>397</v>
      </c>
      <c r="E1126" s="22">
        <v>230</v>
      </c>
      <c r="H1126" t="s">
        <v>151</v>
      </c>
      <c r="I1126" t="s">
        <v>279</v>
      </c>
      <c r="J1126" t="s">
        <v>72</v>
      </c>
      <c r="K1126" t="s">
        <v>183</v>
      </c>
      <c r="L1126">
        <v>1</v>
      </c>
      <c r="M1126" s="4"/>
      <c r="N1126" s="2"/>
      <c r="O1126" s="21"/>
      <c r="P1126" s="2"/>
      <c r="Q1126" s="2"/>
      <c r="R1126" s="4"/>
      <c r="S1126" s="4"/>
      <c r="T1126" s="4"/>
      <c r="U1126" s="4"/>
      <c r="V1126" s="4"/>
      <c r="W1126" s="4"/>
    </row>
    <row r="1127" spans="1:23" ht="14.5" hidden="1" customHeight="1" x14ac:dyDescent="0.2">
      <c r="A1127">
        <f t="shared" si="17"/>
        <v>1121</v>
      </c>
      <c r="B1127">
        <v>2016</v>
      </c>
      <c r="C1127" t="s">
        <v>207</v>
      </c>
      <c r="D1127" t="s">
        <v>1035</v>
      </c>
      <c r="E1127" s="22">
        <v>170</v>
      </c>
      <c r="H1127" t="s">
        <v>144</v>
      </c>
      <c r="I1127" t="s">
        <v>197</v>
      </c>
      <c r="J1127" t="s">
        <v>122</v>
      </c>
      <c r="K1127" t="s">
        <v>201</v>
      </c>
      <c r="L1127">
        <v>1</v>
      </c>
      <c r="M1127" s="4"/>
      <c r="N1127" s="2"/>
      <c r="O1127" s="21"/>
      <c r="P1127" s="2"/>
      <c r="Q1127" s="2"/>
      <c r="R1127" s="4"/>
      <c r="S1127" s="4"/>
      <c r="T1127" s="4"/>
      <c r="U1127" s="4"/>
      <c r="V1127" s="4"/>
      <c r="W1127" s="4"/>
    </row>
    <row r="1128" spans="1:23" ht="14.5" hidden="1" customHeight="1" x14ac:dyDescent="0.2">
      <c r="A1128">
        <f t="shared" si="17"/>
        <v>1122</v>
      </c>
      <c r="B1128">
        <v>2016</v>
      </c>
      <c r="C1128" t="s">
        <v>207</v>
      </c>
      <c r="D1128" t="s">
        <v>1035</v>
      </c>
      <c r="E1128" s="22">
        <v>420</v>
      </c>
      <c r="G1128" t="s">
        <v>2775</v>
      </c>
      <c r="H1128" t="s">
        <v>144</v>
      </c>
      <c r="I1128" t="s">
        <v>197</v>
      </c>
      <c r="J1128" t="s">
        <v>57</v>
      </c>
      <c r="K1128" t="s">
        <v>195</v>
      </c>
      <c r="L1128">
        <v>1</v>
      </c>
      <c r="M1128" s="4"/>
      <c r="N1128" s="2"/>
      <c r="O1128" s="21"/>
      <c r="P1128" s="2"/>
      <c r="Q1128" s="2"/>
      <c r="R1128" s="4"/>
      <c r="S1128" s="4"/>
      <c r="T1128" s="4"/>
      <c r="U1128" s="4"/>
      <c r="V1128" s="4"/>
      <c r="W1128" s="4"/>
    </row>
    <row r="1129" spans="1:23" ht="14.5" hidden="1" customHeight="1" x14ac:dyDescent="0.2">
      <c r="A1129">
        <f t="shared" si="17"/>
        <v>1123</v>
      </c>
      <c r="B1129">
        <v>2016</v>
      </c>
      <c r="C1129" t="s">
        <v>240</v>
      </c>
      <c r="D1129" t="s">
        <v>397</v>
      </c>
      <c r="E1129" s="22">
        <v>150</v>
      </c>
      <c r="G1129" t="s">
        <v>2776</v>
      </c>
      <c r="H1129" t="s">
        <v>153</v>
      </c>
      <c r="J1129" t="s">
        <v>130</v>
      </c>
      <c r="K1129" t="s">
        <v>214</v>
      </c>
      <c r="L1129">
        <v>1</v>
      </c>
      <c r="M1129" s="4"/>
      <c r="N1129" s="2"/>
      <c r="O1129" s="21"/>
      <c r="P1129" s="2"/>
      <c r="Q1129" s="2"/>
      <c r="R1129" s="4"/>
      <c r="S1129" s="4"/>
      <c r="T1129" s="4"/>
      <c r="U1129" s="4"/>
      <c r="V1129" s="4"/>
      <c r="W1129" s="4"/>
    </row>
    <row r="1130" spans="1:23" ht="14.5" hidden="1" customHeight="1" x14ac:dyDescent="0.2">
      <c r="A1130">
        <f t="shared" si="17"/>
        <v>1124</v>
      </c>
      <c r="B1130">
        <v>2016</v>
      </c>
      <c r="C1130" t="s">
        <v>240</v>
      </c>
      <c r="D1130" t="s">
        <v>199</v>
      </c>
      <c r="E1130" s="22">
        <v>410</v>
      </c>
      <c r="G1130" t="s">
        <v>2300</v>
      </c>
      <c r="H1130" t="s">
        <v>144</v>
      </c>
      <c r="I1130" t="s">
        <v>187</v>
      </c>
      <c r="J1130" t="s">
        <v>5</v>
      </c>
      <c r="K1130" t="s">
        <v>214</v>
      </c>
      <c r="L1130">
        <v>1</v>
      </c>
      <c r="M1130" s="4"/>
      <c r="N1130" s="2"/>
      <c r="O1130" s="21"/>
      <c r="P1130" s="2"/>
      <c r="Q1130" s="2"/>
      <c r="R1130" s="4"/>
      <c r="S1130" s="4"/>
      <c r="T1130" s="4"/>
      <c r="U1130" s="4"/>
      <c r="V1130" s="4"/>
      <c r="W1130" s="4"/>
    </row>
    <row r="1131" spans="1:23" ht="14.5" hidden="1" customHeight="1" x14ac:dyDescent="0.2">
      <c r="A1131">
        <f t="shared" si="17"/>
        <v>1125</v>
      </c>
      <c r="B1131">
        <v>2016</v>
      </c>
      <c r="C1131" t="s">
        <v>240</v>
      </c>
      <c r="D1131" t="s">
        <v>449</v>
      </c>
      <c r="E1131" s="22">
        <v>340</v>
      </c>
      <c r="F1131" s="16">
        <v>0.45</v>
      </c>
      <c r="G1131" t="s">
        <v>2777</v>
      </c>
      <c r="H1131" t="s">
        <v>145</v>
      </c>
      <c r="J1131" t="s">
        <v>100</v>
      </c>
      <c r="K1131" t="s">
        <v>214</v>
      </c>
      <c r="L1131">
        <v>1</v>
      </c>
      <c r="M1131" s="4"/>
      <c r="N1131" s="2"/>
      <c r="O1131" s="21"/>
      <c r="P1131" s="2"/>
      <c r="Q1131" s="2"/>
      <c r="R1131" s="4"/>
      <c r="S1131" s="4"/>
      <c r="T1131" s="4"/>
      <c r="U1131" s="4"/>
      <c r="V1131" s="4"/>
      <c r="W1131" s="4"/>
    </row>
    <row r="1132" spans="1:23" ht="14.5" hidden="1" customHeight="1" x14ac:dyDescent="0.2">
      <c r="A1132">
        <f t="shared" si="17"/>
        <v>1126</v>
      </c>
      <c r="B1132">
        <v>2016</v>
      </c>
      <c r="C1132" t="s">
        <v>240</v>
      </c>
      <c r="D1132" t="s">
        <v>444</v>
      </c>
      <c r="E1132" s="22">
        <v>200</v>
      </c>
      <c r="H1132" t="s">
        <v>144</v>
      </c>
      <c r="I1132" t="s">
        <v>299</v>
      </c>
      <c r="J1132" t="s">
        <v>89</v>
      </c>
      <c r="K1132" t="s">
        <v>219</v>
      </c>
      <c r="L1132">
        <v>1</v>
      </c>
      <c r="M1132" s="4"/>
      <c r="N1132" s="2"/>
      <c r="O1132" s="21"/>
      <c r="P1132" s="2"/>
      <c r="Q1132" s="2"/>
      <c r="R1132" s="4"/>
      <c r="S1132" s="4"/>
      <c r="T1132" s="4"/>
      <c r="U1132" s="4"/>
      <c r="V1132" s="4"/>
      <c r="W1132" s="4"/>
    </row>
    <row r="1133" spans="1:23" ht="14.5" hidden="1" customHeight="1" x14ac:dyDescent="0.2">
      <c r="A1133">
        <f t="shared" si="17"/>
        <v>1127</v>
      </c>
      <c r="B1133">
        <v>2016</v>
      </c>
      <c r="C1133" t="s">
        <v>240</v>
      </c>
      <c r="D1133" t="s">
        <v>175</v>
      </c>
      <c r="E1133" s="22">
        <v>310</v>
      </c>
      <c r="H1133" t="s">
        <v>154</v>
      </c>
      <c r="I1133" t="s">
        <v>194</v>
      </c>
      <c r="J1133" t="s">
        <v>65</v>
      </c>
      <c r="K1133" t="s">
        <v>214</v>
      </c>
      <c r="L1133">
        <v>1</v>
      </c>
      <c r="M1133" s="4"/>
      <c r="N1133" s="2"/>
      <c r="O1133" s="21"/>
      <c r="P1133" s="2"/>
      <c r="Q1133" s="2"/>
      <c r="R1133" s="4"/>
      <c r="S1133" s="4"/>
      <c r="T1133" s="4"/>
      <c r="U1133" s="4"/>
      <c r="V1133" s="4"/>
      <c r="W1133" s="4"/>
    </row>
    <row r="1134" spans="1:23" ht="14.5" hidden="1" customHeight="1" x14ac:dyDescent="0.2">
      <c r="A1134">
        <f t="shared" si="17"/>
        <v>1128</v>
      </c>
      <c r="B1134">
        <v>2016</v>
      </c>
      <c r="C1134" t="s">
        <v>240</v>
      </c>
      <c r="D1134" t="s">
        <v>341</v>
      </c>
      <c r="E1134" s="22">
        <v>100</v>
      </c>
      <c r="H1134" t="s">
        <v>147</v>
      </c>
      <c r="J1134" t="s">
        <v>37</v>
      </c>
      <c r="K1134" t="s">
        <v>205</v>
      </c>
      <c r="L1134">
        <v>1</v>
      </c>
      <c r="M1134" s="4"/>
      <c r="N1134" s="2"/>
      <c r="O1134" s="21"/>
      <c r="P1134" s="2"/>
      <c r="Q1134" s="2"/>
      <c r="R1134" s="4"/>
      <c r="S1134" s="4"/>
      <c r="T1134" s="4"/>
      <c r="U1134" s="4"/>
      <c r="V1134" s="4"/>
      <c r="W1134" s="4"/>
    </row>
    <row r="1135" spans="1:23" ht="14.5" hidden="1" customHeight="1" x14ac:dyDescent="0.2">
      <c r="A1135">
        <f t="shared" si="17"/>
        <v>1129</v>
      </c>
      <c r="B1135">
        <v>2016</v>
      </c>
      <c r="C1135" t="s">
        <v>240</v>
      </c>
      <c r="D1135" t="s">
        <v>875</v>
      </c>
      <c r="E1135" s="22">
        <v>280</v>
      </c>
      <c r="G1135" t="s">
        <v>2778</v>
      </c>
      <c r="H1135" t="s">
        <v>144</v>
      </c>
      <c r="I1135" t="s">
        <v>273</v>
      </c>
      <c r="J1135" t="s">
        <v>97</v>
      </c>
      <c r="K1135" t="s">
        <v>183</v>
      </c>
      <c r="L1135">
        <v>1</v>
      </c>
      <c r="M1135" s="4"/>
      <c r="N1135" s="2"/>
      <c r="O1135" s="21"/>
      <c r="P1135" s="2"/>
      <c r="Q1135" s="2"/>
      <c r="R1135" s="4"/>
      <c r="S1135" s="4"/>
      <c r="T1135" s="4"/>
      <c r="U1135" s="4"/>
      <c r="V1135" s="4"/>
      <c r="W1135" s="4"/>
    </row>
    <row r="1136" spans="1:23" ht="14.5" hidden="1" customHeight="1" x14ac:dyDescent="0.2">
      <c r="A1136">
        <f t="shared" si="17"/>
        <v>1130</v>
      </c>
      <c r="B1136">
        <v>2016</v>
      </c>
      <c r="C1136" t="s">
        <v>240</v>
      </c>
      <c r="D1136" t="s">
        <v>199</v>
      </c>
      <c r="E1136" s="22">
        <v>280</v>
      </c>
      <c r="G1136" t="s">
        <v>462</v>
      </c>
      <c r="H1136" t="s">
        <v>144</v>
      </c>
      <c r="I1136" t="s">
        <v>299</v>
      </c>
      <c r="J1136" t="s">
        <v>55</v>
      </c>
      <c r="K1136" t="s">
        <v>214</v>
      </c>
      <c r="L1136">
        <v>1</v>
      </c>
      <c r="M1136" s="4"/>
      <c r="N1136" s="2"/>
      <c r="O1136" s="21"/>
      <c r="P1136" s="2"/>
      <c r="Q1136" s="2"/>
      <c r="R1136" s="4"/>
      <c r="S1136" s="4"/>
      <c r="T1136" s="4"/>
      <c r="U1136" s="4"/>
      <c r="V1136" s="4"/>
      <c r="W1136" s="4"/>
    </row>
    <row r="1137" spans="1:23" ht="14.5" hidden="1" customHeight="1" x14ac:dyDescent="0.2">
      <c r="A1137">
        <f t="shared" si="17"/>
        <v>1131</v>
      </c>
      <c r="B1137">
        <v>2016</v>
      </c>
      <c r="C1137" t="s">
        <v>240</v>
      </c>
      <c r="D1137" t="s">
        <v>479</v>
      </c>
      <c r="E1137" s="22">
        <v>130</v>
      </c>
      <c r="H1137" t="s">
        <v>154</v>
      </c>
      <c r="I1137" t="s">
        <v>250</v>
      </c>
      <c r="J1137" t="s">
        <v>9</v>
      </c>
      <c r="K1137" t="s">
        <v>9</v>
      </c>
      <c r="L1137">
        <v>0</v>
      </c>
      <c r="M1137" s="4"/>
      <c r="N1137" s="2"/>
      <c r="O1137" s="21"/>
      <c r="P1137" s="2"/>
      <c r="Q1137" s="2"/>
      <c r="R1137" s="4"/>
      <c r="S1137" s="4"/>
      <c r="T1137" s="4"/>
      <c r="U1137" s="4"/>
      <c r="V1137" s="4"/>
      <c r="W1137" s="4"/>
    </row>
    <row r="1138" spans="1:23" ht="14.5" hidden="1" customHeight="1" x14ac:dyDescent="0.2">
      <c r="A1138">
        <f t="shared" si="17"/>
        <v>1132</v>
      </c>
      <c r="B1138">
        <v>2016</v>
      </c>
      <c r="C1138" t="s">
        <v>240</v>
      </c>
      <c r="D1138" t="s">
        <v>479</v>
      </c>
      <c r="E1138" s="22">
        <v>440</v>
      </c>
      <c r="H1138" t="s">
        <v>154</v>
      </c>
      <c r="I1138" t="s">
        <v>529</v>
      </c>
      <c r="J1138" t="s">
        <v>9</v>
      </c>
      <c r="K1138" t="s">
        <v>9</v>
      </c>
      <c r="L1138">
        <v>0</v>
      </c>
      <c r="M1138" s="4"/>
      <c r="N1138" s="2"/>
      <c r="O1138" s="21"/>
      <c r="P1138" s="2"/>
      <c r="Q1138" s="2"/>
      <c r="R1138" s="4"/>
      <c r="S1138" s="4"/>
      <c r="T1138" s="4"/>
      <c r="U1138" s="4"/>
      <c r="V1138" s="4"/>
      <c r="W1138" s="4"/>
    </row>
    <row r="1139" spans="1:23" ht="14.5" hidden="1" customHeight="1" x14ac:dyDescent="0.2">
      <c r="A1139">
        <f t="shared" si="17"/>
        <v>1133</v>
      </c>
      <c r="B1139">
        <v>2016</v>
      </c>
      <c r="C1139" t="s">
        <v>240</v>
      </c>
      <c r="D1139" t="s">
        <v>1177</v>
      </c>
      <c r="E1139" s="22">
        <v>440</v>
      </c>
      <c r="G1139" t="s">
        <v>2779</v>
      </c>
      <c r="H1139" t="s">
        <v>144</v>
      </c>
      <c r="I1139" t="s">
        <v>232</v>
      </c>
      <c r="J1139" t="s">
        <v>97</v>
      </c>
      <c r="K1139" t="s">
        <v>183</v>
      </c>
      <c r="L1139">
        <v>1</v>
      </c>
      <c r="M1139" s="4"/>
      <c r="N1139" s="2"/>
      <c r="O1139" s="21"/>
      <c r="P1139" s="2"/>
      <c r="Q1139" s="2"/>
      <c r="R1139" s="4"/>
      <c r="S1139" s="4"/>
      <c r="T1139" s="4"/>
      <c r="U1139" s="4"/>
      <c r="V1139" s="4"/>
      <c r="W1139" s="4"/>
    </row>
    <row r="1140" spans="1:23" ht="14.5" hidden="1" customHeight="1" x14ac:dyDescent="0.2">
      <c r="A1140">
        <f t="shared" si="17"/>
        <v>1134</v>
      </c>
      <c r="B1140">
        <v>2016</v>
      </c>
      <c r="C1140" t="s">
        <v>240</v>
      </c>
      <c r="D1140" t="s">
        <v>745</v>
      </c>
      <c r="E1140" s="22">
        <v>890</v>
      </c>
      <c r="G1140" t="s">
        <v>2780</v>
      </c>
      <c r="H1140" t="s">
        <v>144</v>
      </c>
      <c r="J1140" t="s">
        <v>53</v>
      </c>
      <c r="K1140" t="s">
        <v>183</v>
      </c>
      <c r="L1140">
        <v>1</v>
      </c>
      <c r="M1140" s="4"/>
      <c r="N1140" s="2"/>
      <c r="O1140" s="21"/>
      <c r="P1140" s="2"/>
      <c r="Q1140" s="2"/>
      <c r="R1140" s="4"/>
      <c r="S1140" s="4"/>
      <c r="T1140" s="4"/>
      <c r="U1140" s="4"/>
      <c r="V1140" s="4"/>
      <c r="W1140" s="4"/>
    </row>
    <row r="1141" spans="1:23" ht="14.5" hidden="1" customHeight="1" x14ac:dyDescent="0.2">
      <c r="A1141">
        <f t="shared" si="17"/>
        <v>1135</v>
      </c>
      <c r="B1141">
        <v>2016</v>
      </c>
      <c r="C1141" t="s">
        <v>240</v>
      </c>
      <c r="D1141" t="s">
        <v>199</v>
      </c>
      <c r="E1141" s="22">
        <v>110</v>
      </c>
      <c r="F1141" s="16">
        <v>0.35</v>
      </c>
      <c r="G1141" t="s">
        <v>904</v>
      </c>
      <c r="H1141" t="s">
        <v>143</v>
      </c>
      <c r="J1141" t="s">
        <v>72</v>
      </c>
      <c r="K1141" t="s">
        <v>183</v>
      </c>
      <c r="L1141">
        <v>1</v>
      </c>
      <c r="M1141" s="4"/>
      <c r="N1141" s="2"/>
      <c r="O1141" s="21"/>
      <c r="P1141" s="2"/>
      <c r="Q1141" s="2"/>
      <c r="R1141" s="4"/>
      <c r="S1141" s="4"/>
      <c r="T1141" s="4"/>
      <c r="U1141" s="4"/>
      <c r="V1141" s="4"/>
      <c r="W1141" s="4"/>
    </row>
    <row r="1142" spans="1:23" ht="14.5" hidden="1" customHeight="1" x14ac:dyDescent="0.2">
      <c r="A1142">
        <f t="shared" si="17"/>
        <v>1136</v>
      </c>
      <c r="B1142">
        <v>2016</v>
      </c>
      <c r="C1142" t="s">
        <v>240</v>
      </c>
      <c r="D1142" t="s">
        <v>221</v>
      </c>
      <c r="E1142" s="22">
        <v>300</v>
      </c>
      <c r="G1142" t="s">
        <v>2781</v>
      </c>
      <c r="H1142" t="s">
        <v>142</v>
      </c>
      <c r="J1142" t="s">
        <v>14</v>
      </c>
      <c r="K1142" t="s">
        <v>195</v>
      </c>
      <c r="L1142">
        <v>1</v>
      </c>
      <c r="M1142" s="4"/>
      <c r="N1142" s="2"/>
      <c r="O1142" s="21"/>
      <c r="P1142" s="2"/>
      <c r="Q1142" s="2"/>
      <c r="R1142" s="4"/>
      <c r="S1142" s="4"/>
      <c r="T1142" s="4"/>
      <c r="U1142" s="4"/>
      <c r="V1142" s="4"/>
      <c r="W1142" s="4"/>
    </row>
    <row r="1143" spans="1:23" ht="14.5" hidden="1" customHeight="1" x14ac:dyDescent="0.2">
      <c r="A1143">
        <f t="shared" si="17"/>
        <v>1137</v>
      </c>
      <c r="B1143">
        <v>2016</v>
      </c>
      <c r="C1143" t="s">
        <v>240</v>
      </c>
      <c r="D1143" t="s">
        <v>175</v>
      </c>
      <c r="E1143" s="22">
        <v>460</v>
      </c>
      <c r="G1143" t="s">
        <v>700</v>
      </c>
      <c r="H1143" t="s">
        <v>151</v>
      </c>
      <c r="I1143" t="s">
        <v>279</v>
      </c>
      <c r="J1143" t="s">
        <v>5</v>
      </c>
      <c r="K1143" t="s">
        <v>214</v>
      </c>
      <c r="L1143">
        <v>1</v>
      </c>
      <c r="M1143" s="4"/>
      <c r="N1143" s="2"/>
      <c r="O1143" s="21"/>
      <c r="P1143" s="2"/>
      <c r="Q1143" s="2"/>
      <c r="R1143" s="4"/>
      <c r="S1143" s="4"/>
      <c r="T1143" s="4"/>
      <c r="U1143" s="4"/>
      <c r="V1143" s="4"/>
      <c r="W1143" s="4"/>
    </row>
    <row r="1144" spans="1:23" ht="14.5" hidden="1" customHeight="1" x14ac:dyDescent="0.2">
      <c r="A1144">
        <f t="shared" si="17"/>
        <v>1138</v>
      </c>
      <c r="B1144">
        <v>2016</v>
      </c>
      <c r="C1144" t="s">
        <v>240</v>
      </c>
      <c r="D1144" t="s">
        <v>208</v>
      </c>
      <c r="E1144" s="22">
        <v>180</v>
      </c>
      <c r="G1144" t="s">
        <v>2782</v>
      </c>
      <c r="H1144" t="s">
        <v>149</v>
      </c>
      <c r="J1144" t="s">
        <v>101</v>
      </c>
      <c r="K1144" t="s">
        <v>201</v>
      </c>
      <c r="L1144">
        <v>1</v>
      </c>
      <c r="M1144" s="4"/>
      <c r="N1144" s="2"/>
      <c r="O1144" s="21"/>
      <c r="P1144" s="2"/>
      <c r="Q1144" s="2"/>
      <c r="R1144" s="4"/>
      <c r="S1144" s="4"/>
      <c r="T1144" s="4"/>
      <c r="U1144" s="4"/>
      <c r="V1144" s="4"/>
      <c r="W1144" s="4"/>
    </row>
    <row r="1145" spans="1:23" ht="14.5" hidden="1" customHeight="1" x14ac:dyDescent="0.2">
      <c r="A1145">
        <f t="shared" si="17"/>
        <v>1139</v>
      </c>
      <c r="B1145">
        <v>2016</v>
      </c>
      <c r="C1145" t="s">
        <v>240</v>
      </c>
      <c r="D1145" t="s">
        <v>208</v>
      </c>
      <c r="E1145" s="22">
        <v>110</v>
      </c>
      <c r="G1145" t="s">
        <v>2783</v>
      </c>
      <c r="H1145" t="s">
        <v>149</v>
      </c>
      <c r="J1145" t="s">
        <v>9</v>
      </c>
      <c r="K1145" t="s">
        <v>9</v>
      </c>
      <c r="L1145">
        <v>0</v>
      </c>
      <c r="M1145" s="4"/>
      <c r="N1145" s="2"/>
      <c r="O1145" s="21"/>
      <c r="P1145" s="2"/>
      <c r="Q1145" s="2"/>
      <c r="R1145" s="4"/>
      <c r="S1145" s="4"/>
      <c r="T1145" s="4"/>
      <c r="U1145" s="4"/>
      <c r="V1145" s="4"/>
      <c r="W1145" s="4"/>
    </row>
    <row r="1146" spans="1:23" ht="14.5" hidden="1" customHeight="1" x14ac:dyDescent="0.2">
      <c r="A1146">
        <f t="shared" si="17"/>
        <v>1140</v>
      </c>
      <c r="B1146">
        <v>2016</v>
      </c>
      <c r="C1146" t="s">
        <v>240</v>
      </c>
      <c r="D1146" t="s">
        <v>557</v>
      </c>
      <c r="E1146" s="22">
        <v>210</v>
      </c>
      <c r="G1146" t="s">
        <v>2784</v>
      </c>
      <c r="H1146" t="s">
        <v>144</v>
      </c>
      <c r="I1146" t="s">
        <v>232</v>
      </c>
      <c r="J1146" t="s">
        <v>20</v>
      </c>
      <c r="K1146" t="s">
        <v>195</v>
      </c>
      <c r="L1146">
        <v>0</v>
      </c>
      <c r="M1146" s="4"/>
      <c r="N1146" s="2"/>
      <c r="O1146" s="21"/>
      <c r="P1146" s="2"/>
      <c r="Q1146" s="2"/>
      <c r="R1146" s="4"/>
      <c r="S1146" s="4"/>
      <c r="T1146" s="4"/>
      <c r="U1146" s="4"/>
      <c r="V1146" s="4"/>
      <c r="W1146" s="4"/>
    </row>
    <row r="1147" spans="1:23" ht="14.5" hidden="1" customHeight="1" x14ac:dyDescent="0.2">
      <c r="A1147">
        <f t="shared" si="17"/>
        <v>1141</v>
      </c>
      <c r="B1147">
        <v>2016</v>
      </c>
      <c r="C1147" t="s">
        <v>240</v>
      </c>
      <c r="D1147" t="s">
        <v>479</v>
      </c>
      <c r="E1147" s="22">
        <v>170</v>
      </c>
      <c r="G1147" t="s">
        <v>2785</v>
      </c>
      <c r="H1147" t="s">
        <v>150</v>
      </c>
      <c r="I1147" t="s">
        <v>744</v>
      </c>
      <c r="J1147" t="s">
        <v>9</v>
      </c>
      <c r="K1147" t="s">
        <v>9</v>
      </c>
      <c r="L1147">
        <v>0</v>
      </c>
      <c r="M1147" s="4"/>
      <c r="N1147" s="2"/>
      <c r="O1147" s="21"/>
      <c r="P1147" s="2"/>
      <c r="Q1147" s="2"/>
      <c r="R1147" s="4"/>
      <c r="S1147" s="4"/>
      <c r="T1147" s="4"/>
      <c r="U1147" s="4"/>
      <c r="V1147" s="4"/>
      <c r="W1147" s="4"/>
    </row>
    <row r="1148" spans="1:23" ht="14.5" hidden="1" customHeight="1" x14ac:dyDescent="0.2">
      <c r="A1148">
        <f t="shared" si="17"/>
        <v>1142</v>
      </c>
      <c r="B1148">
        <v>2016</v>
      </c>
      <c r="C1148" t="s">
        <v>240</v>
      </c>
      <c r="D1148" t="s">
        <v>875</v>
      </c>
      <c r="E1148" s="22">
        <v>260</v>
      </c>
      <c r="G1148" t="s">
        <v>2786</v>
      </c>
      <c r="H1148" t="s">
        <v>144</v>
      </c>
      <c r="I1148" t="s">
        <v>299</v>
      </c>
      <c r="J1148" t="s">
        <v>101</v>
      </c>
      <c r="K1148" t="s">
        <v>201</v>
      </c>
      <c r="L1148">
        <v>1</v>
      </c>
      <c r="M1148" s="4"/>
      <c r="N1148" s="2"/>
      <c r="O1148" s="21"/>
      <c r="P1148" s="2"/>
      <c r="Q1148" s="2"/>
      <c r="R1148" s="4"/>
      <c r="S1148" s="4"/>
      <c r="T1148" s="4"/>
      <c r="U1148" s="4"/>
      <c r="V1148" s="4"/>
      <c r="W1148" s="4"/>
    </row>
    <row r="1149" spans="1:23" ht="14.5" hidden="1" customHeight="1" x14ac:dyDescent="0.2">
      <c r="A1149">
        <f t="shared" si="17"/>
        <v>1143</v>
      </c>
      <c r="B1149">
        <v>2016</v>
      </c>
      <c r="C1149" t="s">
        <v>240</v>
      </c>
      <c r="D1149" t="s">
        <v>196</v>
      </c>
      <c r="E1149" s="22">
        <v>430</v>
      </c>
      <c r="H1149" t="s">
        <v>144</v>
      </c>
      <c r="I1149" t="s">
        <v>197</v>
      </c>
      <c r="J1149" t="s">
        <v>74</v>
      </c>
      <c r="K1149" t="s">
        <v>219</v>
      </c>
      <c r="L1149">
        <v>1</v>
      </c>
      <c r="M1149" s="4"/>
      <c r="N1149" s="2"/>
      <c r="O1149" s="21"/>
      <c r="P1149" s="2"/>
      <c r="Q1149" s="2"/>
      <c r="R1149" s="4"/>
      <c r="S1149" s="4"/>
      <c r="T1149" s="4"/>
      <c r="U1149" s="4"/>
      <c r="V1149" s="4"/>
      <c r="W1149" s="4"/>
    </row>
    <row r="1150" spans="1:23" ht="14.5" hidden="1" customHeight="1" x14ac:dyDescent="0.2">
      <c r="A1150">
        <f t="shared" si="17"/>
        <v>1144</v>
      </c>
      <c r="B1150">
        <v>2016</v>
      </c>
      <c r="C1150" t="s">
        <v>240</v>
      </c>
      <c r="D1150" t="s">
        <v>1035</v>
      </c>
      <c r="E1150" s="22">
        <v>360</v>
      </c>
      <c r="H1150" t="s">
        <v>154</v>
      </c>
      <c r="I1150" t="s">
        <v>194</v>
      </c>
      <c r="J1150" t="s">
        <v>106</v>
      </c>
      <c r="K1150" t="s">
        <v>195</v>
      </c>
      <c r="L1150">
        <v>1</v>
      </c>
      <c r="M1150" s="4"/>
      <c r="N1150" s="2"/>
      <c r="O1150" s="21"/>
      <c r="P1150" s="2"/>
      <c r="Q1150" s="2"/>
      <c r="R1150" s="4"/>
      <c r="S1150" s="4"/>
      <c r="T1150" s="4"/>
      <c r="U1150" s="4"/>
      <c r="V1150" s="4"/>
      <c r="W1150" s="4"/>
    </row>
    <row r="1151" spans="1:23" ht="14.5" hidden="1" customHeight="1" x14ac:dyDescent="0.2">
      <c r="A1151">
        <f t="shared" si="17"/>
        <v>1145</v>
      </c>
      <c r="B1151">
        <v>2016</v>
      </c>
      <c r="C1151" t="s">
        <v>212</v>
      </c>
      <c r="D1151" t="s">
        <v>397</v>
      </c>
      <c r="E1151" s="22">
        <v>200</v>
      </c>
      <c r="G1151" t="s">
        <v>2787</v>
      </c>
      <c r="H1151" t="s">
        <v>144</v>
      </c>
      <c r="I1151" t="s">
        <v>273</v>
      </c>
      <c r="J1151" t="s">
        <v>130</v>
      </c>
      <c r="K1151" t="s">
        <v>214</v>
      </c>
      <c r="L1151">
        <v>1</v>
      </c>
      <c r="M1151" s="4"/>
      <c r="N1151" s="2"/>
      <c r="O1151" s="21"/>
      <c r="P1151" s="2"/>
      <c r="Q1151" s="2"/>
      <c r="R1151" s="4"/>
      <c r="S1151" s="4"/>
      <c r="T1151" s="4"/>
      <c r="U1151" s="4"/>
      <c r="V1151" s="4"/>
      <c r="W1151" s="4"/>
    </row>
    <row r="1152" spans="1:23" ht="14.5" hidden="1" customHeight="1" x14ac:dyDescent="0.2">
      <c r="A1152">
        <f t="shared" si="17"/>
        <v>1146</v>
      </c>
      <c r="B1152">
        <v>2016</v>
      </c>
      <c r="C1152" t="s">
        <v>212</v>
      </c>
      <c r="D1152" t="s">
        <v>449</v>
      </c>
      <c r="E1152" s="22">
        <v>540</v>
      </c>
      <c r="G1152" t="s">
        <v>2788</v>
      </c>
      <c r="H1152" t="s">
        <v>142</v>
      </c>
      <c r="J1152" t="s">
        <v>124</v>
      </c>
      <c r="K1152" t="s">
        <v>183</v>
      </c>
      <c r="L1152">
        <v>1</v>
      </c>
      <c r="M1152" s="4"/>
      <c r="N1152" s="2"/>
      <c r="O1152" s="21"/>
      <c r="P1152" s="2"/>
      <c r="Q1152" s="2"/>
      <c r="R1152" s="4"/>
      <c r="S1152" s="4"/>
      <c r="T1152" s="4"/>
      <c r="U1152" s="4"/>
      <c r="V1152" s="4"/>
      <c r="W1152" s="4"/>
    </row>
    <row r="1153" spans="1:23" ht="14.5" hidden="1" customHeight="1" x14ac:dyDescent="0.2">
      <c r="A1153">
        <f t="shared" si="17"/>
        <v>1147</v>
      </c>
      <c r="B1153">
        <v>2016</v>
      </c>
      <c r="C1153" t="s">
        <v>212</v>
      </c>
      <c r="D1153" t="s">
        <v>479</v>
      </c>
      <c r="E1153" s="22">
        <v>350</v>
      </c>
      <c r="H1153" t="s">
        <v>154</v>
      </c>
      <c r="I1153" t="s">
        <v>194</v>
      </c>
      <c r="J1153" t="s">
        <v>60</v>
      </c>
      <c r="K1153" t="s">
        <v>177</v>
      </c>
      <c r="L1153">
        <v>1</v>
      </c>
      <c r="M1153" s="4"/>
      <c r="N1153" s="2"/>
      <c r="O1153" s="21"/>
      <c r="P1153" s="2"/>
      <c r="Q1153" s="2"/>
      <c r="R1153" s="4"/>
      <c r="S1153" s="4"/>
      <c r="T1153" s="4"/>
      <c r="U1153" s="4"/>
      <c r="V1153" s="4"/>
      <c r="W1153" s="4"/>
    </row>
    <row r="1154" spans="1:23" ht="14.5" hidden="1" customHeight="1" x14ac:dyDescent="0.2">
      <c r="A1154">
        <f t="shared" si="17"/>
        <v>1148</v>
      </c>
      <c r="B1154">
        <v>2016</v>
      </c>
      <c r="C1154" t="s">
        <v>212</v>
      </c>
      <c r="D1154" t="s">
        <v>703</v>
      </c>
      <c r="E1154" s="22">
        <v>1470</v>
      </c>
      <c r="G1154" t="s">
        <v>2789</v>
      </c>
      <c r="H1154" t="s">
        <v>144</v>
      </c>
      <c r="I1154" t="s">
        <v>273</v>
      </c>
      <c r="J1154" t="s">
        <v>53</v>
      </c>
      <c r="K1154" t="s">
        <v>183</v>
      </c>
      <c r="L1154">
        <v>1</v>
      </c>
      <c r="M1154" s="4"/>
      <c r="N1154" s="2"/>
      <c r="O1154" s="21"/>
      <c r="P1154" s="2"/>
      <c r="Q1154" s="2"/>
      <c r="R1154" s="4"/>
      <c r="S1154" s="4"/>
      <c r="T1154" s="4"/>
      <c r="U1154" s="4"/>
      <c r="V1154" s="4"/>
      <c r="W1154" s="4"/>
    </row>
    <row r="1155" spans="1:23" ht="14.5" hidden="1" customHeight="1" x14ac:dyDescent="0.2">
      <c r="A1155">
        <f t="shared" si="17"/>
        <v>1149</v>
      </c>
      <c r="B1155">
        <v>2016</v>
      </c>
      <c r="C1155" t="s">
        <v>212</v>
      </c>
      <c r="D1155" t="s">
        <v>474</v>
      </c>
      <c r="E1155" s="22">
        <v>450</v>
      </c>
      <c r="H1155" t="s">
        <v>143</v>
      </c>
      <c r="J1155" t="s">
        <v>40</v>
      </c>
      <c r="K1155" t="s">
        <v>219</v>
      </c>
      <c r="L1155">
        <v>1</v>
      </c>
      <c r="M1155" s="4"/>
      <c r="N1155" s="2"/>
      <c r="O1155" s="21"/>
      <c r="P1155" s="2"/>
      <c r="Q1155" s="2"/>
      <c r="R1155" s="4"/>
      <c r="S1155" s="4"/>
      <c r="T1155" s="4"/>
      <c r="U1155" s="4"/>
      <c r="V1155" s="4"/>
      <c r="W1155" s="4"/>
    </row>
    <row r="1156" spans="1:23" ht="14.5" hidden="1" customHeight="1" x14ac:dyDescent="0.2">
      <c r="A1156">
        <f t="shared" si="17"/>
        <v>1150</v>
      </c>
      <c r="B1156">
        <v>2016</v>
      </c>
      <c r="C1156" t="s">
        <v>212</v>
      </c>
      <c r="D1156" t="s">
        <v>2790</v>
      </c>
      <c r="E1156" s="22">
        <v>390</v>
      </c>
      <c r="H1156" t="s">
        <v>154</v>
      </c>
      <c r="I1156" t="s">
        <v>271</v>
      </c>
      <c r="J1156" t="s">
        <v>13</v>
      </c>
      <c r="K1156" t="s">
        <v>201</v>
      </c>
      <c r="L1156">
        <v>1</v>
      </c>
      <c r="M1156" s="4"/>
      <c r="N1156" s="2"/>
      <c r="O1156" s="21"/>
      <c r="P1156" s="2"/>
      <c r="Q1156" s="2"/>
      <c r="R1156" s="4"/>
      <c r="S1156" s="4"/>
      <c r="T1156" s="4"/>
      <c r="U1156" s="4"/>
      <c r="V1156" s="4"/>
      <c r="W1156" s="4"/>
    </row>
    <row r="1157" spans="1:23" ht="14.5" hidden="1" customHeight="1" x14ac:dyDescent="0.2">
      <c r="A1157">
        <f t="shared" si="17"/>
        <v>1151</v>
      </c>
      <c r="B1157">
        <v>2016</v>
      </c>
      <c r="C1157" t="s">
        <v>212</v>
      </c>
      <c r="D1157" t="s">
        <v>444</v>
      </c>
      <c r="E1157" s="22">
        <v>150</v>
      </c>
      <c r="H1157" t="s">
        <v>144</v>
      </c>
      <c r="I1157" t="s">
        <v>232</v>
      </c>
      <c r="J1157" t="s">
        <v>19</v>
      </c>
      <c r="K1157" t="s">
        <v>205</v>
      </c>
      <c r="L1157">
        <v>0</v>
      </c>
      <c r="M1157" s="4"/>
      <c r="N1157" s="2"/>
      <c r="O1157" s="21"/>
      <c r="P1157" s="2"/>
      <c r="Q1157" s="2"/>
      <c r="R1157" s="4"/>
      <c r="S1157" s="4"/>
      <c r="T1157" s="4"/>
      <c r="U1157" s="4"/>
      <c r="V1157" s="4"/>
      <c r="W1157" s="4"/>
    </row>
    <row r="1158" spans="1:23" ht="14.5" hidden="1" customHeight="1" x14ac:dyDescent="0.2">
      <c r="A1158">
        <f t="shared" si="17"/>
        <v>1152</v>
      </c>
      <c r="B1158">
        <v>2016</v>
      </c>
      <c r="C1158" t="s">
        <v>212</v>
      </c>
      <c r="D1158" t="s">
        <v>341</v>
      </c>
      <c r="E1158" s="22">
        <v>110</v>
      </c>
      <c r="H1158" t="s">
        <v>154</v>
      </c>
      <c r="I1158" t="s">
        <v>194</v>
      </c>
      <c r="J1158" t="s">
        <v>138</v>
      </c>
      <c r="K1158" t="s">
        <v>219</v>
      </c>
      <c r="L1158">
        <v>1</v>
      </c>
      <c r="M1158" s="4"/>
      <c r="N1158" s="2"/>
      <c r="O1158" s="21"/>
      <c r="P1158" s="2"/>
      <c r="Q1158" s="2"/>
      <c r="R1158" s="4"/>
      <c r="S1158" s="4"/>
      <c r="T1158" s="4"/>
      <c r="U1158" s="4"/>
      <c r="V1158" s="4"/>
      <c r="W1158" s="4"/>
    </row>
    <row r="1159" spans="1:23" ht="14.5" hidden="1" customHeight="1" x14ac:dyDescent="0.2">
      <c r="A1159">
        <f t="shared" ref="A1159:A1222" si="18">ROW()-6</f>
        <v>1153</v>
      </c>
      <c r="B1159">
        <v>2016</v>
      </c>
      <c r="C1159" t="s">
        <v>212</v>
      </c>
      <c r="D1159" t="s">
        <v>341</v>
      </c>
      <c r="E1159" s="22">
        <v>150</v>
      </c>
      <c r="H1159" t="s">
        <v>154</v>
      </c>
      <c r="I1159" t="s">
        <v>250</v>
      </c>
      <c r="J1159" t="s">
        <v>73</v>
      </c>
      <c r="K1159" t="s">
        <v>201</v>
      </c>
      <c r="L1159">
        <v>1</v>
      </c>
      <c r="M1159" s="4"/>
      <c r="N1159" s="2"/>
      <c r="O1159" s="21"/>
      <c r="P1159" s="2"/>
      <c r="Q1159" s="2"/>
      <c r="R1159" s="4"/>
      <c r="S1159" s="4"/>
      <c r="T1159" s="4"/>
      <c r="U1159" s="4"/>
      <c r="V1159" s="4"/>
      <c r="W1159" s="4"/>
    </row>
    <row r="1160" spans="1:23" ht="14.5" hidden="1" customHeight="1" x14ac:dyDescent="0.2">
      <c r="A1160">
        <f t="shared" si="18"/>
        <v>1154</v>
      </c>
      <c r="B1160">
        <v>2016</v>
      </c>
      <c r="C1160" t="s">
        <v>212</v>
      </c>
      <c r="D1160" t="s">
        <v>557</v>
      </c>
      <c r="E1160" s="22">
        <v>170</v>
      </c>
      <c r="G1160" t="s">
        <v>2791</v>
      </c>
      <c r="H1160" t="s">
        <v>151</v>
      </c>
      <c r="I1160" t="s">
        <v>279</v>
      </c>
      <c r="J1160" t="s">
        <v>53</v>
      </c>
      <c r="K1160" t="s">
        <v>183</v>
      </c>
      <c r="L1160">
        <v>1</v>
      </c>
      <c r="M1160" s="4"/>
      <c r="N1160" s="2"/>
      <c r="O1160" s="21"/>
      <c r="P1160" s="2"/>
      <c r="Q1160" s="2"/>
      <c r="R1160" s="4"/>
      <c r="S1160" s="4"/>
      <c r="T1160" s="4"/>
      <c r="U1160" s="4"/>
      <c r="V1160" s="4"/>
      <c r="W1160" s="4"/>
    </row>
    <row r="1161" spans="1:23" ht="14.5" hidden="1" customHeight="1" x14ac:dyDescent="0.2">
      <c r="A1161">
        <f t="shared" si="18"/>
        <v>1155</v>
      </c>
      <c r="B1161">
        <v>2016</v>
      </c>
      <c r="C1161" t="s">
        <v>212</v>
      </c>
      <c r="D1161" t="s">
        <v>479</v>
      </c>
      <c r="E1161" s="22">
        <v>110</v>
      </c>
      <c r="H1161" t="s">
        <v>154</v>
      </c>
      <c r="I1161" t="s">
        <v>250</v>
      </c>
      <c r="J1161" t="s">
        <v>20</v>
      </c>
      <c r="K1161" t="s">
        <v>195</v>
      </c>
      <c r="L1161">
        <v>0</v>
      </c>
      <c r="M1161" s="4"/>
      <c r="N1161" s="2"/>
      <c r="O1161" s="21"/>
      <c r="P1161" s="2"/>
      <c r="Q1161" s="2"/>
      <c r="R1161" s="4"/>
      <c r="S1161" s="4"/>
      <c r="T1161" s="4"/>
      <c r="U1161" s="4"/>
      <c r="V1161" s="4"/>
      <c r="W1161" s="4"/>
    </row>
    <row r="1162" spans="1:23" ht="14.5" hidden="1" customHeight="1" x14ac:dyDescent="0.2">
      <c r="A1162">
        <f t="shared" si="18"/>
        <v>1156</v>
      </c>
      <c r="B1162">
        <v>2016</v>
      </c>
      <c r="C1162" t="s">
        <v>212</v>
      </c>
      <c r="D1162" t="s">
        <v>543</v>
      </c>
      <c r="E1162" s="22">
        <v>1010</v>
      </c>
      <c r="H1162" t="s">
        <v>152</v>
      </c>
      <c r="I1162" t="s">
        <v>257</v>
      </c>
      <c r="J1162" t="s">
        <v>58</v>
      </c>
      <c r="K1162" t="s">
        <v>195</v>
      </c>
      <c r="L1162">
        <v>0</v>
      </c>
      <c r="M1162" s="4"/>
      <c r="N1162" s="2"/>
      <c r="O1162" s="21"/>
      <c r="P1162" s="2"/>
      <c r="Q1162" s="2"/>
      <c r="R1162" s="4"/>
      <c r="S1162" s="4"/>
      <c r="T1162" s="4"/>
      <c r="U1162" s="4"/>
      <c r="V1162" s="4"/>
      <c r="W1162" s="4"/>
    </row>
    <row r="1163" spans="1:23" ht="14.5" hidden="1" customHeight="1" x14ac:dyDescent="0.2">
      <c r="A1163">
        <f t="shared" si="18"/>
        <v>1157</v>
      </c>
      <c r="B1163">
        <v>2016</v>
      </c>
      <c r="C1163" t="s">
        <v>212</v>
      </c>
      <c r="D1163" t="s">
        <v>1035</v>
      </c>
      <c r="E1163" s="22">
        <v>280</v>
      </c>
      <c r="G1163" t="s">
        <v>2792</v>
      </c>
      <c r="H1163" t="s">
        <v>144</v>
      </c>
      <c r="J1163" t="s">
        <v>13</v>
      </c>
      <c r="K1163" t="s">
        <v>201</v>
      </c>
      <c r="L1163">
        <v>1</v>
      </c>
      <c r="M1163" s="4"/>
      <c r="N1163" s="2"/>
      <c r="O1163" s="21"/>
      <c r="P1163" s="2"/>
      <c r="Q1163" s="2"/>
      <c r="R1163" s="4"/>
      <c r="S1163" s="4"/>
      <c r="T1163" s="4"/>
      <c r="U1163" s="4"/>
      <c r="V1163" s="4"/>
      <c r="W1163" s="4"/>
    </row>
    <row r="1164" spans="1:23" ht="14.5" hidden="1" customHeight="1" x14ac:dyDescent="0.2">
      <c r="A1164">
        <f t="shared" si="18"/>
        <v>1158</v>
      </c>
      <c r="B1164">
        <v>2016</v>
      </c>
      <c r="C1164" t="s">
        <v>212</v>
      </c>
      <c r="D1164" t="s">
        <v>2434</v>
      </c>
      <c r="E1164" s="22">
        <v>220</v>
      </c>
      <c r="H1164" t="s">
        <v>154</v>
      </c>
      <c r="I1164" t="s">
        <v>529</v>
      </c>
      <c r="J1164" t="s">
        <v>108</v>
      </c>
      <c r="K1164" t="s">
        <v>183</v>
      </c>
      <c r="L1164">
        <v>1</v>
      </c>
      <c r="M1164" s="4"/>
      <c r="N1164" s="2"/>
      <c r="O1164" s="21"/>
      <c r="P1164" s="2"/>
      <c r="Q1164" s="2"/>
      <c r="R1164" s="4"/>
      <c r="S1164" s="4"/>
      <c r="T1164" s="4"/>
      <c r="U1164" s="4"/>
      <c r="V1164" s="4"/>
      <c r="W1164" s="4"/>
    </row>
    <row r="1165" spans="1:23" ht="14.5" hidden="1" customHeight="1" x14ac:dyDescent="0.2">
      <c r="A1165">
        <f t="shared" si="18"/>
        <v>1159</v>
      </c>
      <c r="B1165">
        <v>2016</v>
      </c>
      <c r="C1165" t="s">
        <v>212</v>
      </c>
      <c r="D1165" t="s">
        <v>2434</v>
      </c>
      <c r="E1165" s="22">
        <v>110</v>
      </c>
      <c r="G1165" t="s">
        <v>2793</v>
      </c>
      <c r="H1165" t="s">
        <v>154</v>
      </c>
      <c r="I1165" t="s">
        <v>529</v>
      </c>
      <c r="J1165" t="s">
        <v>108</v>
      </c>
      <c r="K1165" t="s">
        <v>183</v>
      </c>
      <c r="L1165">
        <v>1</v>
      </c>
      <c r="M1165" s="4"/>
      <c r="N1165" s="2"/>
      <c r="O1165" s="21"/>
      <c r="P1165" s="2"/>
      <c r="Q1165" s="2"/>
      <c r="R1165" s="4"/>
      <c r="S1165" s="4"/>
      <c r="T1165" s="4"/>
      <c r="U1165" s="4"/>
      <c r="V1165" s="4"/>
      <c r="W1165" s="4"/>
    </row>
    <row r="1166" spans="1:23" ht="14.5" hidden="1" customHeight="1" x14ac:dyDescent="0.2">
      <c r="A1166">
        <f t="shared" si="18"/>
        <v>1160</v>
      </c>
      <c r="B1166">
        <v>2016</v>
      </c>
      <c r="C1166" t="s">
        <v>212</v>
      </c>
      <c r="D1166" t="s">
        <v>1035</v>
      </c>
      <c r="E1166" s="22">
        <v>1080</v>
      </c>
      <c r="G1166" t="s">
        <v>2794</v>
      </c>
      <c r="H1166" t="s">
        <v>144</v>
      </c>
      <c r="I1166" t="s">
        <v>273</v>
      </c>
      <c r="J1166" t="s">
        <v>93</v>
      </c>
      <c r="K1166" t="s">
        <v>201</v>
      </c>
      <c r="L1166">
        <v>1</v>
      </c>
      <c r="M1166" s="4"/>
      <c r="N1166" s="2"/>
      <c r="O1166" s="21"/>
      <c r="P1166" s="2"/>
      <c r="Q1166" s="2"/>
      <c r="R1166" s="4"/>
      <c r="S1166" s="4"/>
      <c r="T1166" s="4"/>
      <c r="U1166" s="4"/>
      <c r="V1166" s="4"/>
      <c r="W1166" s="4"/>
    </row>
    <row r="1167" spans="1:23" ht="14.5" hidden="1" customHeight="1" x14ac:dyDescent="0.2">
      <c r="A1167">
        <f t="shared" si="18"/>
        <v>1161</v>
      </c>
      <c r="B1167">
        <v>2016</v>
      </c>
      <c r="C1167" t="s">
        <v>212</v>
      </c>
      <c r="D1167" t="s">
        <v>2795</v>
      </c>
      <c r="E1167" s="22">
        <v>170</v>
      </c>
      <c r="H1167" t="s">
        <v>142</v>
      </c>
      <c r="J1167" t="s">
        <v>138</v>
      </c>
      <c r="K1167" t="s">
        <v>219</v>
      </c>
      <c r="L1167">
        <v>1</v>
      </c>
      <c r="M1167" s="4"/>
      <c r="N1167" s="2"/>
      <c r="O1167" s="21"/>
      <c r="P1167" s="2"/>
      <c r="Q1167" s="2"/>
      <c r="R1167" s="4"/>
      <c r="S1167" s="4"/>
      <c r="T1167" s="4"/>
      <c r="U1167" s="4"/>
      <c r="V1167" s="4"/>
      <c r="W1167" s="4"/>
    </row>
    <row r="1168" spans="1:23" ht="14.5" hidden="1" customHeight="1" x14ac:dyDescent="0.2">
      <c r="A1168">
        <f t="shared" si="18"/>
        <v>1162</v>
      </c>
      <c r="B1168">
        <v>2016</v>
      </c>
      <c r="C1168" t="s">
        <v>212</v>
      </c>
      <c r="D1168" t="s">
        <v>449</v>
      </c>
      <c r="E1168" s="22">
        <v>190</v>
      </c>
      <c r="H1168" t="s">
        <v>154</v>
      </c>
      <c r="I1168" t="s">
        <v>250</v>
      </c>
      <c r="J1168" t="s">
        <v>6</v>
      </c>
      <c r="K1168" t="s">
        <v>219</v>
      </c>
      <c r="L1168">
        <v>1</v>
      </c>
      <c r="M1168" s="4"/>
      <c r="N1168" s="2"/>
      <c r="O1168" s="21"/>
      <c r="P1168" s="2"/>
      <c r="Q1168" s="2"/>
      <c r="R1168" s="4"/>
      <c r="S1168" s="4"/>
      <c r="T1168" s="4"/>
      <c r="U1168" s="4"/>
      <c r="V1168" s="4"/>
      <c r="W1168" s="4"/>
    </row>
    <row r="1169" spans="1:23" ht="14.5" hidden="1" customHeight="1" x14ac:dyDescent="0.2">
      <c r="A1169">
        <f t="shared" si="18"/>
        <v>1163</v>
      </c>
      <c r="B1169">
        <v>2016</v>
      </c>
      <c r="C1169" t="s">
        <v>212</v>
      </c>
      <c r="D1169" t="s">
        <v>479</v>
      </c>
      <c r="E1169" s="22">
        <v>230</v>
      </c>
      <c r="H1169" t="s">
        <v>154</v>
      </c>
      <c r="I1169" t="s">
        <v>194</v>
      </c>
      <c r="J1169" t="s">
        <v>106</v>
      </c>
      <c r="K1169" t="s">
        <v>195</v>
      </c>
      <c r="L1169">
        <v>1</v>
      </c>
      <c r="M1169" s="4"/>
      <c r="N1169" s="2"/>
      <c r="O1169" s="21"/>
      <c r="P1169" s="2"/>
      <c r="Q1169" s="2"/>
      <c r="R1169" s="4"/>
      <c r="S1169" s="4"/>
      <c r="T1169" s="4"/>
      <c r="U1169" s="4"/>
      <c r="V1169" s="4"/>
      <c r="W1169" s="4"/>
    </row>
    <row r="1170" spans="1:23" ht="14.5" hidden="1" customHeight="1" x14ac:dyDescent="0.2">
      <c r="A1170">
        <f t="shared" si="18"/>
        <v>1164</v>
      </c>
      <c r="B1170">
        <v>2016</v>
      </c>
      <c r="C1170" t="s">
        <v>212</v>
      </c>
      <c r="D1170" t="s">
        <v>2796</v>
      </c>
      <c r="E1170" s="22">
        <v>220</v>
      </c>
      <c r="H1170" t="s">
        <v>154</v>
      </c>
      <c r="I1170" t="s">
        <v>194</v>
      </c>
      <c r="J1170" t="s">
        <v>13</v>
      </c>
      <c r="K1170" t="s">
        <v>201</v>
      </c>
      <c r="L1170">
        <v>1</v>
      </c>
      <c r="M1170" s="4"/>
      <c r="N1170" s="2"/>
      <c r="O1170" s="21"/>
      <c r="P1170" s="2"/>
      <c r="Q1170" s="2"/>
      <c r="R1170" s="4"/>
      <c r="S1170" s="4"/>
      <c r="T1170" s="4"/>
      <c r="U1170" s="4"/>
      <c r="V1170" s="4"/>
      <c r="W1170" s="4"/>
    </row>
    <row r="1171" spans="1:23" ht="14.5" hidden="1" customHeight="1" x14ac:dyDescent="0.2">
      <c r="A1171">
        <f t="shared" si="18"/>
        <v>1165</v>
      </c>
      <c r="B1171">
        <v>2017</v>
      </c>
      <c r="C1171" t="s">
        <v>172</v>
      </c>
      <c r="D1171" t="s">
        <v>341</v>
      </c>
      <c r="E1171" s="22">
        <v>160</v>
      </c>
      <c r="H1171" t="s">
        <v>154</v>
      </c>
      <c r="I1171" t="s">
        <v>194</v>
      </c>
      <c r="J1171" t="s">
        <v>6</v>
      </c>
      <c r="K1171" t="s">
        <v>219</v>
      </c>
      <c r="L1171">
        <v>1</v>
      </c>
      <c r="M1171" s="4"/>
      <c r="N1171" s="2"/>
      <c r="O1171" s="21"/>
      <c r="P1171" s="2"/>
      <c r="Q1171" s="2"/>
      <c r="R1171" s="4"/>
      <c r="S1171" s="4"/>
      <c r="T1171" s="4"/>
      <c r="U1171" s="4"/>
      <c r="V1171" s="4"/>
      <c r="W1171" s="4"/>
    </row>
    <row r="1172" spans="1:23" ht="14.5" hidden="1" customHeight="1" x14ac:dyDescent="0.2">
      <c r="A1172">
        <f t="shared" si="18"/>
        <v>1166</v>
      </c>
      <c r="B1172">
        <v>2017</v>
      </c>
      <c r="C1172" t="s">
        <v>172</v>
      </c>
      <c r="D1172" t="s">
        <v>341</v>
      </c>
      <c r="E1172" s="22">
        <v>130</v>
      </c>
      <c r="H1172" t="s">
        <v>155</v>
      </c>
      <c r="J1172" t="s">
        <v>6</v>
      </c>
      <c r="K1172" t="s">
        <v>219</v>
      </c>
      <c r="L1172">
        <v>1</v>
      </c>
      <c r="M1172" s="4"/>
      <c r="N1172" s="2"/>
      <c r="O1172" s="21"/>
      <c r="P1172" s="2"/>
      <c r="Q1172" s="2"/>
      <c r="R1172" s="4"/>
      <c r="S1172" s="4"/>
      <c r="T1172" s="4"/>
      <c r="U1172" s="4"/>
      <c r="V1172" s="4"/>
      <c r="W1172" s="4"/>
    </row>
    <row r="1173" spans="1:23" ht="14.5" hidden="1" customHeight="1" x14ac:dyDescent="0.2">
      <c r="A1173">
        <f t="shared" si="18"/>
        <v>1167</v>
      </c>
      <c r="B1173">
        <v>2017</v>
      </c>
      <c r="C1173" t="s">
        <v>172</v>
      </c>
      <c r="D1173" t="s">
        <v>2547</v>
      </c>
      <c r="E1173" s="22">
        <v>200</v>
      </c>
      <c r="H1173" t="s">
        <v>153</v>
      </c>
      <c r="J1173" t="s">
        <v>2755</v>
      </c>
      <c r="K1173" t="s">
        <v>177</v>
      </c>
      <c r="L1173">
        <v>1</v>
      </c>
      <c r="M1173" s="4"/>
      <c r="N1173" s="2"/>
      <c r="O1173" s="21"/>
      <c r="P1173" s="2"/>
      <c r="Q1173" s="2"/>
      <c r="R1173" s="4"/>
      <c r="S1173" s="4"/>
      <c r="T1173" s="4"/>
      <c r="U1173" s="4"/>
      <c r="V1173" s="4"/>
      <c r="W1173" s="4"/>
    </row>
    <row r="1174" spans="1:23" ht="14.5" hidden="1" customHeight="1" x14ac:dyDescent="0.2">
      <c r="A1174">
        <f t="shared" si="18"/>
        <v>1168</v>
      </c>
      <c r="B1174">
        <v>2017</v>
      </c>
      <c r="C1174" t="s">
        <v>172</v>
      </c>
      <c r="D1174" t="s">
        <v>189</v>
      </c>
      <c r="E1174" s="22">
        <v>110</v>
      </c>
      <c r="H1174" t="s">
        <v>150</v>
      </c>
      <c r="I1174" t="s">
        <v>217</v>
      </c>
      <c r="J1174" t="s">
        <v>40</v>
      </c>
      <c r="K1174" t="s">
        <v>219</v>
      </c>
      <c r="L1174">
        <v>1</v>
      </c>
      <c r="M1174" s="4"/>
      <c r="N1174" s="2"/>
      <c r="O1174" s="21"/>
      <c r="P1174" s="2"/>
      <c r="Q1174" s="2"/>
      <c r="R1174" s="4"/>
      <c r="S1174" s="4"/>
      <c r="T1174" s="4"/>
      <c r="U1174" s="4"/>
      <c r="V1174" s="4"/>
      <c r="W1174" s="4"/>
    </row>
    <row r="1175" spans="1:23" ht="14.5" hidden="1" customHeight="1" x14ac:dyDescent="0.2">
      <c r="A1175">
        <f t="shared" si="18"/>
        <v>1169</v>
      </c>
      <c r="B1175">
        <v>2017</v>
      </c>
      <c r="C1175" t="s">
        <v>172</v>
      </c>
      <c r="D1175" t="s">
        <v>175</v>
      </c>
      <c r="E1175" s="22">
        <v>350</v>
      </c>
      <c r="H1175" t="s">
        <v>153</v>
      </c>
      <c r="J1175" t="s">
        <v>131</v>
      </c>
      <c r="K1175" t="s">
        <v>131</v>
      </c>
      <c r="L1175">
        <v>0</v>
      </c>
      <c r="M1175" s="4"/>
      <c r="N1175" s="2"/>
      <c r="O1175" s="21"/>
      <c r="P1175" s="2"/>
      <c r="Q1175" s="2"/>
      <c r="R1175" s="4"/>
      <c r="S1175" s="4"/>
      <c r="T1175" s="4"/>
      <c r="U1175" s="4"/>
      <c r="V1175" s="4"/>
      <c r="W1175" s="4"/>
    </row>
    <row r="1176" spans="1:23" ht="14.5" hidden="1" customHeight="1" x14ac:dyDescent="0.2">
      <c r="A1176">
        <f t="shared" si="18"/>
        <v>1170</v>
      </c>
      <c r="B1176">
        <v>2017</v>
      </c>
      <c r="C1176" t="s">
        <v>172</v>
      </c>
      <c r="D1176" t="s">
        <v>175</v>
      </c>
      <c r="E1176" s="22">
        <v>230</v>
      </c>
      <c r="G1176" t="s">
        <v>2797</v>
      </c>
      <c r="H1176" t="s">
        <v>151</v>
      </c>
      <c r="I1176" t="s">
        <v>279</v>
      </c>
      <c r="J1176" t="s">
        <v>136</v>
      </c>
      <c r="K1176" t="s">
        <v>183</v>
      </c>
      <c r="L1176">
        <v>1</v>
      </c>
      <c r="M1176" s="4"/>
      <c r="N1176" s="2"/>
      <c r="O1176" s="21"/>
      <c r="P1176" s="2"/>
      <c r="Q1176" s="2"/>
      <c r="R1176" s="4"/>
      <c r="S1176" s="4"/>
      <c r="T1176" s="4"/>
      <c r="U1176" s="4"/>
      <c r="V1176" s="4"/>
      <c r="W1176" s="4"/>
    </row>
    <row r="1177" spans="1:23" ht="14.5" hidden="1" customHeight="1" x14ac:dyDescent="0.2">
      <c r="A1177">
        <f t="shared" si="18"/>
        <v>1171</v>
      </c>
      <c r="B1177">
        <v>2017</v>
      </c>
      <c r="C1177" t="s">
        <v>172</v>
      </c>
      <c r="D1177" t="s">
        <v>397</v>
      </c>
      <c r="E1177" s="22">
        <v>300</v>
      </c>
      <c r="H1177" t="s">
        <v>151</v>
      </c>
      <c r="I1177" t="s">
        <v>279</v>
      </c>
      <c r="J1177" t="s">
        <v>130</v>
      </c>
      <c r="K1177" t="s">
        <v>214</v>
      </c>
      <c r="L1177">
        <v>1</v>
      </c>
      <c r="M1177" s="4"/>
      <c r="N1177" s="2"/>
      <c r="O1177" s="21"/>
      <c r="P1177" s="2"/>
      <c r="Q1177" s="2"/>
      <c r="R1177" s="4"/>
      <c r="S1177" s="4"/>
      <c r="T1177" s="4"/>
      <c r="U1177" s="4"/>
      <c r="V1177" s="4"/>
      <c r="W1177" s="4"/>
    </row>
    <row r="1178" spans="1:23" ht="14.5" hidden="1" customHeight="1" x14ac:dyDescent="0.2">
      <c r="A1178">
        <f t="shared" si="18"/>
        <v>1172</v>
      </c>
      <c r="B1178">
        <v>2017</v>
      </c>
      <c r="C1178" t="s">
        <v>172</v>
      </c>
      <c r="D1178" t="s">
        <v>2798</v>
      </c>
      <c r="E1178" s="22">
        <v>880</v>
      </c>
      <c r="H1178" t="s">
        <v>144</v>
      </c>
      <c r="I1178" t="s">
        <v>197</v>
      </c>
      <c r="J1178" t="s">
        <v>95</v>
      </c>
      <c r="K1178" t="s">
        <v>183</v>
      </c>
      <c r="L1178">
        <v>1</v>
      </c>
      <c r="M1178" s="4"/>
      <c r="N1178" s="2"/>
      <c r="O1178" s="21"/>
      <c r="P1178" s="2"/>
      <c r="Q1178" s="2"/>
      <c r="R1178" s="4"/>
      <c r="S1178" s="4"/>
      <c r="T1178" s="4"/>
      <c r="U1178" s="4"/>
      <c r="V1178" s="4"/>
      <c r="W1178" s="4"/>
    </row>
    <row r="1179" spans="1:23" ht="14.5" hidden="1" customHeight="1" x14ac:dyDescent="0.2">
      <c r="A1179">
        <f t="shared" si="18"/>
        <v>1173</v>
      </c>
      <c r="B1179">
        <v>2017</v>
      </c>
      <c r="C1179" t="s">
        <v>172</v>
      </c>
      <c r="D1179" t="s">
        <v>341</v>
      </c>
      <c r="E1179" s="22">
        <v>240</v>
      </c>
      <c r="H1179" t="s">
        <v>150</v>
      </c>
      <c r="I1179" t="s">
        <v>217</v>
      </c>
      <c r="J1179" t="s">
        <v>40</v>
      </c>
      <c r="K1179" t="s">
        <v>219</v>
      </c>
      <c r="L1179">
        <v>1</v>
      </c>
      <c r="M1179" s="4"/>
      <c r="N1179" s="2"/>
      <c r="O1179" s="21"/>
      <c r="P1179" s="2"/>
      <c r="Q1179" s="2"/>
      <c r="R1179" s="4"/>
      <c r="S1179" s="4"/>
      <c r="T1179" s="4"/>
      <c r="U1179" s="4"/>
      <c r="V1179" s="4"/>
      <c r="W1179" s="4"/>
    </row>
    <row r="1180" spans="1:23" ht="14.5" hidden="1" customHeight="1" x14ac:dyDescent="0.2">
      <c r="A1180">
        <f t="shared" si="18"/>
        <v>1174</v>
      </c>
      <c r="B1180">
        <v>2017</v>
      </c>
      <c r="C1180" t="s">
        <v>172</v>
      </c>
      <c r="D1180" t="s">
        <v>557</v>
      </c>
      <c r="E1180" s="22">
        <v>230</v>
      </c>
      <c r="G1180" t="s">
        <v>2799</v>
      </c>
      <c r="H1180" t="s">
        <v>151</v>
      </c>
      <c r="I1180" t="s">
        <v>279</v>
      </c>
      <c r="J1180" t="s">
        <v>53</v>
      </c>
      <c r="K1180" t="s">
        <v>183</v>
      </c>
      <c r="L1180">
        <v>1</v>
      </c>
      <c r="M1180" s="4"/>
      <c r="N1180" s="2"/>
      <c r="O1180" s="21"/>
      <c r="P1180" s="2"/>
      <c r="Q1180" s="2"/>
      <c r="R1180" s="4"/>
      <c r="S1180" s="4"/>
      <c r="T1180" s="4"/>
      <c r="U1180" s="4"/>
      <c r="V1180" s="4"/>
      <c r="W1180" s="4"/>
    </row>
    <row r="1181" spans="1:23" ht="14.5" hidden="1" customHeight="1" x14ac:dyDescent="0.2">
      <c r="A1181">
        <f t="shared" si="18"/>
        <v>1175</v>
      </c>
      <c r="B1181">
        <v>2017</v>
      </c>
      <c r="C1181" t="s">
        <v>172</v>
      </c>
      <c r="D1181" t="s">
        <v>175</v>
      </c>
      <c r="E1181" s="22">
        <v>1660</v>
      </c>
      <c r="H1181" t="s">
        <v>149</v>
      </c>
      <c r="I1181" t="s">
        <v>182</v>
      </c>
      <c r="J1181" t="s">
        <v>72</v>
      </c>
      <c r="K1181" t="s">
        <v>183</v>
      </c>
      <c r="L1181">
        <v>1</v>
      </c>
      <c r="M1181" s="4"/>
      <c r="N1181" s="2"/>
      <c r="O1181" s="21"/>
      <c r="P1181" s="2"/>
      <c r="Q1181" s="2"/>
      <c r="R1181" s="4"/>
      <c r="S1181" s="4"/>
      <c r="T1181" s="4"/>
      <c r="U1181" s="4"/>
      <c r="V1181" s="4"/>
      <c r="W1181" s="4"/>
    </row>
    <row r="1182" spans="1:23" ht="14.5" hidden="1" customHeight="1" x14ac:dyDescent="0.2">
      <c r="A1182">
        <f t="shared" si="18"/>
        <v>1176</v>
      </c>
      <c r="B1182">
        <v>2017</v>
      </c>
      <c r="C1182" t="s">
        <v>172</v>
      </c>
      <c r="D1182" t="s">
        <v>269</v>
      </c>
      <c r="E1182" s="22">
        <v>100</v>
      </c>
      <c r="G1182" t="s">
        <v>2800</v>
      </c>
      <c r="H1182" t="s">
        <v>150</v>
      </c>
      <c r="I1182" t="s">
        <v>744</v>
      </c>
      <c r="J1182" t="s">
        <v>20</v>
      </c>
      <c r="K1182" t="s">
        <v>195</v>
      </c>
      <c r="L1182">
        <v>0</v>
      </c>
      <c r="M1182" s="4"/>
      <c r="N1182" s="2"/>
      <c r="O1182" s="21"/>
      <c r="P1182" s="2"/>
      <c r="Q1182" s="2"/>
      <c r="R1182" s="4"/>
      <c r="S1182" s="4"/>
      <c r="T1182" s="4"/>
      <c r="U1182" s="4"/>
      <c r="V1182" s="4"/>
      <c r="W1182" s="4"/>
    </row>
    <row r="1183" spans="1:23" ht="14.5" hidden="1" customHeight="1" x14ac:dyDescent="0.2">
      <c r="A1183">
        <f t="shared" si="18"/>
        <v>1177</v>
      </c>
      <c r="B1183">
        <v>2017</v>
      </c>
      <c r="C1183" t="s">
        <v>258</v>
      </c>
      <c r="D1183" t="s">
        <v>444</v>
      </c>
      <c r="E1183" s="22">
        <v>220</v>
      </c>
      <c r="H1183" t="s">
        <v>149</v>
      </c>
      <c r="J1183" t="s">
        <v>54</v>
      </c>
      <c r="K1183" t="s">
        <v>201</v>
      </c>
      <c r="L1183">
        <v>1</v>
      </c>
      <c r="M1183" s="4"/>
      <c r="N1183" s="2"/>
      <c r="O1183" s="21"/>
      <c r="P1183" s="2"/>
      <c r="Q1183" s="2"/>
      <c r="R1183" s="4"/>
      <c r="S1183" s="4"/>
      <c r="T1183" s="4"/>
      <c r="U1183" s="4"/>
      <c r="V1183" s="4"/>
      <c r="W1183" s="4"/>
    </row>
    <row r="1184" spans="1:23" ht="14.5" hidden="1" customHeight="1" x14ac:dyDescent="0.2">
      <c r="A1184">
        <f t="shared" si="18"/>
        <v>1178</v>
      </c>
      <c r="B1184">
        <v>2017</v>
      </c>
      <c r="C1184" t="s">
        <v>258</v>
      </c>
      <c r="D1184" t="s">
        <v>341</v>
      </c>
      <c r="E1184" s="22">
        <v>110</v>
      </c>
      <c r="F1184" s="16">
        <v>0.7</v>
      </c>
      <c r="H1184" t="s">
        <v>146</v>
      </c>
      <c r="J1184" t="s">
        <v>97</v>
      </c>
      <c r="K1184" t="s">
        <v>183</v>
      </c>
      <c r="L1184">
        <v>1</v>
      </c>
      <c r="M1184" s="4"/>
      <c r="N1184" s="2"/>
      <c r="O1184" s="21"/>
      <c r="P1184" s="2"/>
      <c r="Q1184" s="2"/>
      <c r="R1184" s="4"/>
      <c r="S1184" s="4"/>
      <c r="T1184" s="4"/>
      <c r="U1184" s="4"/>
      <c r="V1184" s="4"/>
      <c r="W1184" s="4"/>
    </row>
    <row r="1185" spans="1:23" ht="14.5" hidden="1" customHeight="1" x14ac:dyDescent="0.2">
      <c r="A1185">
        <f t="shared" si="18"/>
        <v>1179</v>
      </c>
      <c r="B1185">
        <v>2017</v>
      </c>
      <c r="C1185" t="s">
        <v>258</v>
      </c>
      <c r="D1185" t="s">
        <v>557</v>
      </c>
      <c r="E1185" s="22">
        <v>130</v>
      </c>
      <c r="G1185" t="s">
        <v>2801</v>
      </c>
      <c r="H1185" t="s">
        <v>151</v>
      </c>
      <c r="I1185" t="s">
        <v>279</v>
      </c>
      <c r="J1185" t="s">
        <v>93</v>
      </c>
      <c r="K1185" t="s">
        <v>201</v>
      </c>
      <c r="L1185">
        <v>1</v>
      </c>
      <c r="M1185" s="4"/>
      <c r="N1185" s="2"/>
      <c r="O1185" s="21"/>
      <c r="P1185" s="2"/>
      <c r="Q1185" s="2"/>
      <c r="R1185" s="4"/>
      <c r="S1185" s="4"/>
      <c r="T1185" s="4"/>
      <c r="U1185" s="4"/>
      <c r="V1185" s="4"/>
      <c r="W1185" s="4"/>
    </row>
    <row r="1186" spans="1:23" ht="15" hidden="1" customHeight="1" x14ac:dyDescent="0.2">
      <c r="A1186">
        <f t="shared" si="18"/>
        <v>1180</v>
      </c>
      <c r="B1186">
        <v>2017</v>
      </c>
      <c r="C1186" t="s">
        <v>258</v>
      </c>
      <c r="D1186" t="s">
        <v>189</v>
      </c>
      <c r="E1186" s="22">
        <v>250</v>
      </c>
      <c r="G1186" t="s">
        <v>2002</v>
      </c>
      <c r="H1186" t="s">
        <v>144</v>
      </c>
      <c r="I1186" t="s">
        <v>299</v>
      </c>
      <c r="J1186" t="s">
        <v>105</v>
      </c>
      <c r="K1186" t="s">
        <v>214</v>
      </c>
      <c r="L1186">
        <v>1</v>
      </c>
      <c r="M1186" s="4"/>
      <c r="N1186" s="2"/>
      <c r="O1186" s="21"/>
      <c r="P1186" s="2"/>
      <c r="Q1186" s="2"/>
      <c r="R1186" s="4"/>
      <c r="S1186" s="4"/>
      <c r="T1186" s="4"/>
      <c r="U1186" s="4"/>
      <c r="V1186" s="4"/>
      <c r="W1186" s="4"/>
    </row>
    <row r="1187" spans="1:23" ht="14.5" hidden="1" customHeight="1" x14ac:dyDescent="0.2">
      <c r="A1187">
        <f t="shared" si="18"/>
        <v>1181</v>
      </c>
      <c r="B1187">
        <v>2017</v>
      </c>
      <c r="C1187" t="s">
        <v>258</v>
      </c>
      <c r="D1187" t="s">
        <v>189</v>
      </c>
      <c r="E1187" s="22">
        <v>590</v>
      </c>
      <c r="H1187" t="s">
        <v>144</v>
      </c>
      <c r="I1187" t="s">
        <v>187</v>
      </c>
      <c r="J1187" t="s">
        <v>54</v>
      </c>
      <c r="K1187" t="s">
        <v>201</v>
      </c>
      <c r="L1187">
        <v>1</v>
      </c>
      <c r="M1187" s="4"/>
      <c r="N1187" s="2"/>
      <c r="O1187" s="21"/>
      <c r="P1187" s="2"/>
      <c r="Q1187" s="2"/>
      <c r="R1187" s="4"/>
      <c r="S1187" s="4"/>
      <c r="T1187" s="4"/>
      <c r="U1187" s="4"/>
      <c r="V1187" s="4"/>
      <c r="W1187" s="4"/>
    </row>
    <row r="1188" spans="1:23" ht="14.5" hidden="1" customHeight="1" x14ac:dyDescent="0.2">
      <c r="A1188">
        <f t="shared" si="18"/>
        <v>1182</v>
      </c>
      <c r="B1188">
        <v>2017</v>
      </c>
      <c r="C1188" t="s">
        <v>258</v>
      </c>
      <c r="D1188" t="s">
        <v>397</v>
      </c>
      <c r="E1188" s="22">
        <v>220</v>
      </c>
      <c r="H1188" t="s">
        <v>154</v>
      </c>
      <c r="I1188" t="s">
        <v>194</v>
      </c>
      <c r="J1188" t="s">
        <v>130</v>
      </c>
      <c r="K1188" t="s">
        <v>214</v>
      </c>
      <c r="L1188">
        <v>1</v>
      </c>
      <c r="M1188" s="4"/>
      <c r="N1188" s="2"/>
      <c r="O1188" s="21"/>
      <c r="P1188" s="2"/>
      <c r="Q1188" s="2"/>
      <c r="R1188" s="4"/>
      <c r="S1188" s="4"/>
      <c r="T1188" s="4"/>
      <c r="U1188" s="4"/>
      <c r="V1188" s="4"/>
      <c r="W1188" s="4"/>
    </row>
    <row r="1189" spans="1:23" ht="14.5" hidden="1" customHeight="1" x14ac:dyDescent="0.2">
      <c r="A1189">
        <f t="shared" si="18"/>
        <v>1183</v>
      </c>
      <c r="B1189">
        <v>2017</v>
      </c>
      <c r="C1189" t="s">
        <v>258</v>
      </c>
      <c r="D1189" t="s">
        <v>479</v>
      </c>
      <c r="E1189" s="22">
        <v>1080</v>
      </c>
      <c r="H1189" t="s">
        <v>154</v>
      </c>
      <c r="I1189" t="s">
        <v>194</v>
      </c>
      <c r="J1189" t="s">
        <v>2462</v>
      </c>
      <c r="K1189" t="s">
        <v>219</v>
      </c>
      <c r="L1189">
        <v>1</v>
      </c>
      <c r="M1189" s="4"/>
      <c r="N1189" s="2"/>
      <c r="O1189" s="21"/>
      <c r="P1189" s="2"/>
      <c r="Q1189" s="2"/>
      <c r="R1189" s="4"/>
      <c r="S1189" s="4"/>
      <c r="T1189" s="4"/>
      <c r="U1189" s="4"/>
      <c r="V1189" s="4"/>
      <c r="W1189" s="4"/>
    </row>
    <row r="1190" spans="1:23" ht="14.5" hidden="1" customHeight="1" x14ac:dyDescent="0.2">
      <c r="A1190">
        <f t="shared" si="18"/>
        <v>1184</v>
      </c>
      <c r="B1190">
        <v>2017</v>
      </c>
      <c r="C1190" t="s">
        <v>258</v>
      </c>
      <c r="D1190" t="s">
        <v>1035</v>
      </c>
      <c r="E1190" s="22">
        <v>130</v>
      </c>
      <c r="G1190" t="s">
        <v>2802</v>
      </c>
      <c r="H1190" t="s">
        <v>144</v>
      </c>
      <c r="I1190" t="s">
        <v>232</v>
      </c>
      <c r="J1190" t="s">
        <v>93</v>
      </c>
      <c r="K1190" t="s">
        <v>201</v>
      </c>
      <c r="L1190">
        <v>1</v>
      </c>
      <c r="M1190" s="4"/>
      <c r="N1190" s="2"/>
      <c r="O1190" s="21"/>
      <c r="P1190" s="2"/>
      <c r="Q1190" s="2"/>
      <c r="R1190" s="4"/>
      <c r="S1190" s="4"/>
      <c r="T1190" s="4"/>
      <c r="U1190" s="4"/>
      <c r="V1190" s="4"/>
      <c r="W1190" s="4"/>
    </row>
    <row r="1191" spans="1:23" ht="14.5" hidden="1" customHeight="1" x14ac:dyDescent="0.2">
      <c r="A1191">
        <f t="shared" si="18"/>
        <v>1185</v>
      </c>
      <c r="B1191">
        <v>2017</v>
      </c>
      <c r="C1191" t="s">
        <v>258</v>
      </c>
      <c r="D1191" t="s">
        <v>1035</v>
      </c>
      <c r="E1191" s="22">
        <v>760</v>
      </c>
      <c r="H1191" t="s">
        <v>144</v>
      </c>
      <c r="I1191" t="s">
        <v>187</v>
      </c>
      <c r="J1191" t="s">
        <v>60</v>
      </c>
      <c r="K1191" t="s">
        <v>177</v>
      </c>
      <c r="L1191">
        <v>1</v>
      </c>
      <c r="M1191" s="4"/>
      <c r="N1191" s="2"/>
      <c r="O1191" s="21"/>
      <c r="P1191" s="2"/>
      <c r="Q1191" s="2"/>
      <c r="R1191" s="4"/>
      <c r="S1191" s="4"/>
      <c r="T1191" s="4"/>
      <c r="U1191" s="4"/>
      <c r="V1191" s="4"/>
      <c r="W1191" s="4"/>
    </row>
    <row r="1192" spans="1:23" ht="14.5" hidden="1" customHeight="1" x14ac:dyDescent="0.2">
      <c r="A1192">
        <f t="shared" si="18"/>
        <v>1186</v>
      </c>
      <c r="B1192">
        <v>2017</v>
      </c>
      <c r="C1192" t="s">
        <v>258</v>
      </c>
      <c r="D1192" t="s">
        <v>479</v>
      </c>
      <c r="E1192" s="22">
        <v>760</v>
      </c>
      <c r="H1192" t="s">
        <v>142</v>
      </c>
      <c r="J1192" t="s">
        <v>9</v>
      </c>
      <c r="K1192" t="s">
        <v>9</v>
      </c>
      <c r="L1192">
        <v>0</v>
      </c>
      <c r="M1192" s="4"/>
      <c r="N1192" s="2"/>
      <c r="O1192" s="21"/>
      <c r="P1192" s="2"/>
      <c r="Q1192" s="2"/>
      <c r="R1192" s="4"/>
      <c r="S1192" s="4"/>
      <c r="T1192" s="4"/>
      <c r="U1192" s="4"/>
      <c r="V1192" s="4"/>
      <c r="W1192" s="4"/>
    </row>
    <row r="1193" spans="1:23" ht="14.5" hidden="1" customHeight="1" x14ac:dyDescent="0.2">
      <c r="A1193">
        <f t="shared" si="18"/>
        <v>1187</v>
      </c>
      <c r="B1193">
        <v>2017</v>
      </c>
      <c r="C1193" t="s">
        <v>258</v>
      </c>
      <c r="D1193" t="s">
        <v>479</v>
      </c>
      <c r="E1193" s="22">
        <v>640</v>
      </c>
      <c r="H1193" t="s">
        <v>154</v>
      </c>
      <c r="I1193" t="s">
        <v>529</v>
      </c>
      <c r="J1193" t="s">
        <v>53</v>
      </c>
      <c r="K1193" t="s">
        <v>183</v>
      </c>
      <c r="L1193">
        <v>1</v>
      </c>
      <c r="M1193" s="4"/>
      <c r="N1193" s="2"/>
      <c r="O1193" s="21"/>
      <c r="P1193" s="2"/>
      <c r="Q1193" s="2"/>
      <c r="R1193" s="4"/>
      <c r="S1193" s="4"/>
      <c r="T1193" s="4"/>
      <c r="U1193" s="4"/>
      <c r="V1193" s="4"/>
      <c r="W1193" s="4"/>
    </row>
    <row r="1194" spans="1:23" ht="14.5" hidden="1" customHeight="1" x14ac:dyDescent="0.2">
      <c r="A1194">
        <f t="shared" si="18"/>
        <v>1188</v>
      </c>
      <c r="B1194">
        <v>2017</v>
      </c>
      <c r="C1194" t="s">
        <v>258</v>
      </c>
      <c r="D1194" t="s">
        <v>557</v>
      </c>
      <c r="E1194" s="22">
        <v>190</v>
      </c>
      <c r="G1194" t="s">
        <v>2803</v>
      </c>
      <c r="H1194" t="s">
        <v>151</v>
      </c>
      <c r="I1194" t="s">
        <v>279</v>
      </c>
      <c r="J1194" t="s">
        <v>93</v>
      </c>
      <c r="K1194" t="s">
        <v>201</v>
      </c>
      <c r="L1194">
        <v>1</v>
      </c>
      <c r="M1194" s="4"/>
      <c r="N1194" s="2"/>
      <c r="O1194" s="21"/>
      <c r="P1194" s="2"/>
      <c r="Q1194" s="2"/>
      <c r="R1194" s="4"/>
      <c r="S1194" s="4"/>
      <c r="T1194" s="4"/>
      <c r="U1194" s="4"/>
      <c r="V1194" s="4"/>
      <c r="W1194" s="4"/>
    </row>
    <row r="1195" spans="1:23" ht="14.5" hidden="1" customHeight="1" x14ac:dyDescent="0.2">
      <c r="A1195">
        <f t="shared" si="18"/>
        <v>1189</v>
      </c>
      <c r="B1195">
        <v>2017</v>
      </c>
      <c r="C1195" t="s">
        <v>179</v>
      </c>
      <c r="D1195" t="s">
        <v>449</v>
      </c>
      <c r="E1195" s="22">
        <v>1470</v>
      </c>
      <c r="H1195" t="s">
        <v>154</v>
      </c>
      <c r="I1195" t="s">
        <v>529</v>
      </c>
      <c r="J1195" t="s">
        <v>89</v>
      </c>
      <c r="K1195" t="s">
        <v>219</v>
      </c>
      <c r="L1195">
        <v>1</v>
      </c>
      <c r="M1195" s="4"/>
      <c r="N1195" s="2"/>
      <c r="O1195" s="21"/>
      <c r="P1195" s="2"/>
      <c r="Q1195" s="2"/>
      <c r="R1195" s="4"/>
      <c r="S1195" s="4"/>
      <c r="T1195" s="4"/>
      <c r="U1195" s="4"/>
      <c r="V1195" s="4"/>
      <c r="W1195" s="4"/>
    </row>
    <row r="1196" spans="1:23" ht="14.5" hidden="1" customHeight="1" x14ac:dyDescent="0.2">
      <c r="A1196">
        <f t="shared" si="18"/>
        <v>1190</v>
      </c>
      <c r="B1196">
        <v>2017</v>
      </c>
      <c r="C1196" t="s">
        <v>179</v>
      </c>
      <c r="D1196" t="s">
        <v>2660</v>
      </c>
      <c r="E1196" s="22">
        <v>100</v>
      </c>
      <c r="G1196" t="s">
        <v>2804</v>
      </c>
      <c r="H1196" t="s">
        <v>151</v>
      </c>
      <c r="I1196" t="s">
        <v>279</v>
      </c>
      <c r="J1196" t="s">
        <v>115</v>
      </c>
      <c r="K1196" t="s">
        <v>201</v>
      </c>
      <c r="L1196">
        <v>1</v>
      </c>
      <c r="M1196" s="4"/>
      <c r="N1196" s="2"/>
      <c r="O1196" s="21"/>
      <c r="P1196" s="2"/>
      <c r="Q1196" s="2"/>
      <c r="R1196" s="4"/>
      <c r="S1196" s="4"/>
      <c r="T1196" s="4"/>
      <c r="U1196" s="4"/>
      <c r="V1196" s="4"/>
      <c r="W1196" s="4"/>
    </row>
    <row r="1197" spans="1:23" ht="14.5" hidden="1" customHeight="1" x14ac:dyDescent="0.2">
      <c r="A1197">
        <f t="shared" si="18"/>
        <v>1191</v>
      </c>
      <c r="B1197">
        <v>2017</v>
      </c>
      <c r="C1197" t="s">
        <v>179</v>
      </c>
      <c r="D1197" t="s">
        <v>745</v>
      </c>
      <c r="E1197" s="22">
        <v>1170</v>
      </c>
      <c r="G1197" t="s">
        <v>2593</v>
      </c>
      <c r="H1197" t="s">
        <v>144</v>
      </c>
      <c r="I1197" t="s">
        <v>187</v>
      </c>
      <c r="J1197" t="s">
        <v>101</v>
      </c>
      <c r="K1197" t="s">
        <v>201</v>
      </c>
      <c r="L1197">
        <v>1</v>
      </c>
      <c r="M1197" s="4"/>
      <c r="N1197" s="2"/>
      <c r="O1197" s="21"/>
      <c r="P1197" s="2"/>
      <c r="Q1197" s="2"/>
      <c r="R1197" s="4"/>
      <c r="S1197" s="4"/>
      <c r="T1197" s="4"/>
      <c r="U1197" s="4"/>
      <c r="V1197" s="4"/>
      <c r="W1197" s="4"/>
    </row>
    <row r="1198" spans="1:23" ht="14.5" hidden="1" customHeight="1" x14ac:dyDescent="0.2">
      <c r="A1198">
        <f t="shared" si="18"/>
        <v>1192</v>
      </c>
      <c r="B1198">
        <v>2017</v>
      </c>
      <c r="C1198" t="s">
        <v>179</v>
      </c>
      <c r="D1198" t="s">
        <v>474</v>
      </c>
      <c r="E1198" s="22">
        <v>310</v>
      </c>
      <c r="G1198" t="s">
        <v>2805</v>
      </c>
      <c r="H1198" t="s">
        <v>144</v>
      </c>
      <c r="I1198" t="s">
        <v>197</v>
      </c>
      <c r="J1198" t="s">
        <v>67</v>
      </c>
      <c r="K1198" t="s">
        <v>183</v>
      </c>
      <c r="L1198">
        <v>1</v>
      </c>
      <c r="M1198" s="4"/>
      <c r="N1198" s="2"/>
      <c r="O1198" s="21"/>
      <c r="P1198" s="2"/>
      <c r="Q1198" s="2"/>
      <c r="R1198" s="4"/>
      <c r="S1198" s="4"/>
      <c r="T1198" s="4"/>
      <c r="U1198" s="4"/>
      <c r="V1198" s="4"/>
      <c r="W1198" s="4"/>
    </row>
    <row r="1199" spans="1:23" ht="14.5" hidden="1" customHeight="1" x14ac:dyDescent="0.2">
      <c r="A1199">
        <f t="shared" si="18"/>
        <v>1193</v>
      </c>
      <c r="B1199">
        <v>2017</v>
      </c>
      <c r="C1199" t="s">
        <v>179</v>
      </c>
      <c r="D1199" t="s">
        <v>875</v>
      </c>
      <c r="E1199" s="22">
        <v>310</v>
      </c>
      <c r="H1199" t="s">
        <v>144</v>
      </c>
      <c r="I1199" t="s">
        <v>187</v>
      </c>
      <c r="J1199" t="s">
        <v>26</v>
      </c>
      <c r="K1199" t="s">
        <v>219</v>
      </c>
      <c r="L1199">
        <v>1</v>
      </c>
      <c r="M1199" s="4"/>
      <c r="N1199" s="2"/>
      <c r="O1199" s="21"/>
      <c r="P1199" s="2"/>
      <c r="Q1199" s="2"/>
      <c r="R1199" s="4"/>
      <c r="S1199" s="4"/>
      <c r="T1199" s="4"/>
      <c r="U1199" s="4"/>
      <c r="V1199" s="4"/>
      <c r="W1199" s="4"/>
    </row>
    <row r="1200" spans="1:23" ht="14.5" hidden="1" customHeight="1" x14ac:dyDescent="0.2">
      <c r="A1200">
        <f t="shared" si="18"/>
        <v>1194</v>
      </c>
      <c r="B1200">
        <v>2017</v>
      </c>
      <c r="C1200" t="s">
        <v>179</v>
      </c>
      <c r="D1200" t="s">
        <v>479</v>
      </c>
      <c r="E1200" s="22">
        <v>510</v>
      </c>
      <c r="H1200" t="s">
        <v>150</v>
      </c>
      <c r="J1200" t="s">
        <v>9</v>
      </c>
      <c r="K1200" t="s">
        <v>9</v>
      </c>
      <c r="L1200">
        <v>0</v>
      </c>
      <c r="M1200" s="4"/>
      <c r="N1200" s="2"/>
      <c r="O1200" s="21"/>
      <c r="P1200" s="2"/>
      <c r="Q1200" s="2"/>
      <c r="R1200" s="4"/>
      <c r="S1200" s="4"/>
      <c r="T1200" s="4"/>
      <c r="U1200" s="4"/>
      <c r="V1200" s="4"/>
      <c r="W1200" s="4"/>
    </row>
    <row r="1201" spans="1:23" ht="14.5" hidden="1" customHeight="1" x14ac:dyDescent="0.2">
      <c r="A1201">
        <f t="shared" si="18"/>
        <v>1195</v>
      </c>
      <c r="B1201">
        <v>2017</v>
      </c>
      <c r="C1201" t="s">
        <v>179</v>
      </c>
      <c r="D1201" t="s">
        <v>2806</v>
      </c>
      <c r="E1201" s="22">
        <v>170</v>
      </c>
      <c r="H1201" t="s">
        <v>154</v>
      </c>
      <c r="I1201" t="s">
        <v>194</v>
      </c>
      <c r="J1201" t="s">
        <v>64</v>
      </c>
      <c r="K1201" t="s">
        <v>219</v>
      </c>
      <c r="L1201">
        <v>1</v>
      </c>
      <c r="M1201" s="4"/>
      <c r="N1201" s="2"/>
      <c r="O1201" s="21"/>
      <c r="P1201" s="2"/>
      <c r="Q1201" s="2"/>
      <c r="R1201" s="4"/>
      <c r="S1201" s="4"/>
      <c r="T1201" s="4"/>
      <c r="U1201" s="4"/>
      <c r="V1201" s="4"/>
      <c r="W1201" s="4"/>
    </row>
    <row r="1202" spans="1:23" ht="14.5" hidden="1" customHeight="1" x14ac:dyDescent="0.2">
      <c r="A1202">
        <f t="shared" si="18"/>
        <v>1196</v>
      </c>
      <c r="B1202">
        <v>2017</v>
      </c>
      <c r="C1202" t="s">
        <v>179</v>
      </c>
      <c r="D1202" t="s">
        <v>875</v>
      </c>
      <c r="E1202" s="22">
        <v>710</v>
      </c>
      <c r="H1202" t="s">
        <v>151</v>
      </c>
      <c r="I1202" t="s">
        <v>279</v>
      </c>
      <c r="J1202" t="s">
        <v>65</v>
      </c>
      <c r="K1202" t="s">
        <v>214</v>
      </c>
      <c r="L1202">
        <v>1</v>
      </c>
      <c r="M1202" s="4"/>
      <c r="N1202" s="2"/>
      <c r="O1202" s="21"/>
      <c r="P1202" s="2"/>
      <c r="Q1202" s="2"/>
      <c r="R1202" s="4"/>
      <c r="S1202" s="4"/>
      <c r="T1202" s="4"/>
      <c r="U1202" s="4"/>
      <c r="V1202" s="4"/>
      <c r="W1202" s="4"/>
    </row>
    <row r="1203" spans="1:23" ht="14.5" hidden="1" customHeight="1" x14ac:dyDescent="0.2">
      <c r="A1203">
        <f t="shared" si="18"/>
        <v>1197</v>
      </c>
      <c r="B1203">
        <v>2017</v>
      </c>
      <c r="C1203" t="s">
        <v>179</v>
      </c>
      <c r="D1203" t="s">
        <v>2807</v>
      </c>
      <c r="E1203" s="22">
        <v>130</v>
      </c>
      <c r="H1203" t="s">
        <v>154</v>
      </c>
      <c r="I1203" t="s">
        <v>194</v>
      </c>
      <c r="J1203" t="s">
        <v>81</v>
      </c>
      <c r="K1203" t="s">
        <v>219</v>
      </c>
      <c r="L1203">
        <v>1</v>
      </c>
      <c r="M1203" s="4"/>
      <c r="N1203" s="2"/>
      <c r="O1203" s="21"/>
      <c r="P1203" s="2"/>
      <c r="Q1203" s="2"/>
      <c r="R1203" s="4"/>
      <c r="S1203" s="4"/>
      <c r="T1203" s="4"/>
      <c r="U1203" s="4"/>
      <c r="V1203" s="4"/>
      <c r="W1203" s="4"/>
    </row>
    <row r="1204" spans="1:23" ht="14.5" hidden="1" customHeight="1" x14ac:dyDescent="0.2">
      <c r="A1204">
        <f t="shared" si="18"/>
        <v>1198</v>
      </c>
      <c r="B1204">
        <v>2017</v>
      </c>
      <c r="C1204" t="s">
        <v>179</v>
      </c>
      <c r="D1204" t="s">
        <v>668</v>
      </c>
      <c r="E1204" s="22">
        <v>100</v>
      </c>
      <c r="H1204" t="s">
        <v>144</v>
      </c>
      <c r="J1204" t="s">
        <v>40</v>
      </c>
      <c r="K1204" t="s">
        <v>219</v>
      </c>
      <c r="L1204">
        <v>1</v>
      </c>
      <c r="M1204" s="4"/>
      <c r="N1204" s="2"/>
      <c r="O1204" s="21"/>
      <c r="P1204" s="2"/>
      <c r="Q1204" s="2"/>
      <c r="R1204" s="4"/>
      <c r="S1204" s="4"/>
      <c r="T1204" s="4"/>
      <c r="U1204" s="4"/>
      <c r="V1204" s="4"/>
      <c r="W1204" s="4"/>
    </row>
    <row r="1205" spans="1:23" ht="14.5" hidden="1" customHeight="1" x14ac:dyDescent="0.2">
      <c r="A1205">
        <f t="shared" si="18"/>
        <v>1199</v>
      </c>
      <c r="B1205">
        <v>2017</v>
      </c>
      <c r="C1205" t="s">
        <v>179</v>
      </c>
      <c r="D1205" t="s">
        <v>668</v>
      </c>
      <c r="E1205" s="22">
        <v>120</v>
      </c>
      <c r="H1205" t="s">
        <v>144</v>
      </c>
      <c r="J1205" t="s">
        <v>78</v>
      </c>
      <c r="K1205" t="s">
        <v>183</v>
      </c>
      <c r="L1205">
        <v>1</v>
      </c>
      <c r="M1205" s="4"/>
      <c r="N1205" s="2"/>
      <c r="O1205" s="21"/>
      <c r="P1205" s="2"/>
      <c r="Q1205" s="2"/>
      <c r="R1205" s="4"/>
      <c r="S1205" s="4"/>
      <c r="T1205" s="4"/>
      <c r="U1205" s="4"/>
      <c r="V1205" s="4"/>
      <c r="W1205" s="4"/>
    </row>
    <row r="1206" spans="1:23" ht="14.5" hidden="1" customHeight="1" x14ac:dyDescent="0.2">
      <c r="A1206">
        <f t="shared" si="18"/>
        <v>1200</v>
      </c>
      <c r="B1206">
        <v>2017</v>
      </c>
      <c r="C1206" t="s">
        <v>179</v>
      </c>
      <c r="D1206" t="s">
        <v>185</v>
      </c>
      <c r="E1206" s="22">
        <v>170</v>
      </c>
      <c r="H1206" t="s">
        <v>144</v>
      </c>
      <c r="I1206" t="s">
        <v>187</v>
      </c>
      <c r="J1206" t="s">
        <v>89</v>
      </c>
      <c r="K1206" t="s">
        <v>219</v>
      </c>
      <c r="L1206">
        <v>1</v>
      </c>
      <c r="M1206" s="4"/>
      <c r="N1206" s="2"/>
      <c r="O1206" s="21"/>
      <c r="P1206" s="2"/>
      <c r="Q1206" s="2"/>
      <c r="R1206" s="4"/>
      <c r="S1206" s="4"/>
      <c r="T1206" s="4"/>
      <c r="U1206" s="4"/>
      <c r="V1206" s="4"/>
      <c r="W1206" s="4"/>
    </row>
    <row r="1207" spans="1:23" ht="14.5" hidden="1" customHeight="1" x14ac:dyDescent="0.2">
      <c r="A1207">
        <f t="shared" si="18"/>
        <v>1201</v>
      </c>
      <c r="B1207">
        <v>2017</v>
      </c>
      <c r="C1207" t="s">
        <v>179</v>
      </c>
      <c r="D1207" t="s">
        <v>474</v>
      </c>
      <c r="E1207" s="22">
        <v>120</v>
      </c>
      <c r="H1207" t="s">
        <v>154</v>
      </c>
      <c r="I1207" t="s">
        <v>250</v>
      </c>
      <c r="J1207" t="s">
        <v>2755</v>
      </c>
      <c r="K1207" t="s">
        <v>177</v>
      </c>
      <c r="L1207">
        <v>1</v>
      </c>
      <c r="M1207" s="4"/>
      <c r="N1207" s="2"/>
      <c r="O1207" s="21"/>
      <c r="P1207" s="2"/>
      <c r="Q1207" s="2"/>
      <c r="R1207" s="4"/>
      <c r="S1207" s="4"/>
      <c r="T1207" s="4"/>
      <c r="U1207" s="4"/>
      <c r="V1207" s="4"/>
      <c r="W1207" s="4"/>
    </row>
    <row r="1208" spans="1:23" ht="14.5" hidden="1" customHeight="1" x14ac:dyDescent="0.2">
      <c r="A1208">
        <f t="shared" si="18"/>
        <v>1202</v>
      </c>
      <c r="B1208">
        <v>2017</v>
      </c>
      <c r="C1208" t="s">
        <v>179</v>
      </c>
      <c r="D1208" t="s">
        <v>399</v>
      </c>
      <c r="E1208" s="22">
        <v>100</v>
      </c>
      <c r="G1208" t="s">
        <v>2609</v>
      </c>
      <c r="H1208" t="s">
        <v>155</v>
      </c>
      <c r="J1208" t="s">
        <v>40</v>
      </c>
      <c r="K1208" t="s">
        <v>219</v>
      </c>
      <c r="L1208">
        <v>1</v>
      </c>
      <c r="M1208" s="4"/>
      <c r="N1208" s="2"/>
      <c r="O1208" s="21"/>
      <c r="P1208" s="2"/>
      <c r="Q1208" s="2"/>
      <c r="R1208" s="4"/>
      <c r="S1208" s="4"/>
      <c r="T1208" s="4"/>
      <c r="U1208" s="4"/>
      <c r="V1208" s="4"/>
      <c r="W1208" s="4"/>
    </row>
    <row r="1209" spans="1:23" ht="14.5" hidden="1" customHeight="1" x14ac:dyDescent="0.2">
      <c r="A1209">
        <f t="shared" si="18"/>
        <v>1203</v>
      </c>
      <c r="B1209">
        <v>2017</v>
      </c>
      <c r="C1209" t="s">
        <v>179</v>
      </c>
      <c r="D1209" t="s">
        <v>479</v>
      </c>
      <c r="E1209" s="22">
        <v>100</v>
      </c>
      <c r="H1209" t="s">
        <v>154</v>
      </c>
      <c r="I1209" t="s">
        <v>271</v>
      </c>
      <c r="J1209" t="s">
        <v>19</v>
      </c>
      <c r="K1209" t="s">
        <v>205</v>
      </c>
      <c r="L1209">
        <v>0</v>
      </c>
      <c r="M1209" s="4"/>
      <c r="N1209" s="2"/>
      <c r="O1209" s="21"/>
      <c r="P1209" s="2"/>
      <c r="Q1209" s="2"/>
      <c r="R1209" s="4"/>
      <c r="S1209" s="4"/>
      <c r="T1209" s="4"/>
      <c r="U1209" s="4"/>
      <c r="V1209" s="4"/>
      <c r="W1209" s="4"/>
    </row>
    <row r="1210" spans="1:23" ht="14.5" hidden="1" customHeight="1" x14ac:dyDescent="0.2">
      <c r="A1210">
        <f t="shared" si="18"/>
        <v>1204</v>
      </c>
      <c r="B1210">
        <v>2017</v>
      </c>
      <c r="C1210" t="s">
        <v>179</v>
      </c>
      <c r="D1210" t="s">
        <v>1035</v>
      </c>
      <c r="E1210" s="22">
        <v>150</v>
      </c>
      <c r="G1210" t="s">
        <v>2808</v>
      </c>
      <c r="H1210" t="s">
        <v>144</v>
      </c>
      <c r="J1210" t="s">
        <v>98</v>
      </c>
      <c r="K1210" t="s">
        <v>195</v>
      </c>
      <c r="L1210">
        <v>1</v>
      </c>
      <c r="M1210" s="4"/>
      <c r="N1210" s="2"/>
      <c r="O1210" s="21"/>
      <c r="P1210" s="2"/>
      <c r="Q1210" s="2"/>
      <c r="R1210" s="4"/>
      <c r="S1210" s="4"/>
      <c r="T1210" s="4"/>
      <c r="U1210" s="4"/>
      <c r="V1210" s="4"/>
      <c r="W1210" s="4"/>
    </row>
    <row r="1211" spans="1:23" s="17" customFormat="1" ht="14.5" hidden="1" customHeight="1" x14ac:dyDescent="0.2">
      <c r="A1211">
        <f t="shared" si="18"/>
        <v>1205</v>
      </c>
      <c r="B1211">
        <v>2017</v>
      </c>
      <c r="C1211" t="s">
        <v>179</v>
      </c>
      <c r="D1211" t="s">
        <v>221</v>
      </c>
      <c r="E1211" s="22">
        <v>620</v>
      </c>
      <c r="F1211" s="16"/>
      <c r="G1211" t="s">
        <v>1139</v>
      </c>
      <c r="H1211" t="s">
        <v>153</v>
      </c>
      <c r="J1211" t="s">
        <v>20</v>
      </c>
      <c r="K1211" t="s">
        <v>195</v>
      </c>
      <c r="L1211">
        <v>0</v>
      </c>
      <c r="M1211" s="4"/>
      <c r="N1211" s="2"/>
      <c r="O1211" s="21"/>
      <c r="P1211" s="2"/>
      <c r="Q1211" s="2"/>
      <c r="R1211" s="4"/>
      <c r="S1211" s="4"/>
      <c r="T1211" s="4"/>
      <c r="U1211" s="4"/>
      <c r="V1211" s="4"/>
      <c r="W1211" s="4"/>
    </row>
    <row r="1212" spans="1:23" ht="14.5" hidden="1" customHeight="1" x14ac:dyDescent="0.2">
      <c r="A1212">
        <f t="shared" si="18"/>
        <v>1206</v>
      </c>
      <c r="B1212">
        <v>2017</v>
      </c>
      <c r="C1212" t="s">
        <v>179</v>
      </c>
      <c r="D1212" t="s">
        <v>557</v>
      </c>
      <c r="E1212" s="22">
        <v>180</v>
      </c>
      <c r="G1212" t="s">
        <v>2809</v>
      </c>
      <c r="H1212" t="s">
        <v>151</v>
      </c>
      <c r="I1212" t="s">
        <v>279</v>
      </c>
      <c r="J1212" t="s">
        <v>93</v>
      </c>
      <c r="K1212" t="s">
        <v>201</v>
      </c>
      <c r="L1212">
        <v>1</v>
      </c>
      <c r="M1212" s="4"/>
      <c r="N1212" s="2"/>
      <c r="O1212" s="21"/>
      <c r="P1212" s="2"/>
      <c r="Q1212" s="2"/>
      <c r="R1212" s="4"/>
      <c r="S1212" s="4"/>
      <c r="T1212" s="4"/>
      <c r="U1212" s="4"/>
      <c r="V1212" s="4"/>
      <c r="W1212" s="4"/>
    </row>
    <row r="1213" spans="1:23" ht="14.5" hidden="1" customHeight="1" x14ac:dyDescent="0.2">
      <c r="A1213">
        <f t="shared" si="18"/>
        <v>1207</v>
      </c>
      <c r="B1213">
        <v>2017</v>
      </c>
      <c r="C1213" t="s">
        <v>179</v>
      </c>
      <c r="D1213" t="s">
        <v>449</v>
      </c>
      <c r="E1213" s="22">
        <v>1530</v>
      </c>
      <c r="H1213" t="s">
        <v>154</v>
      </c>
      <c r="I1213" t="s">
        <v>529</v>
      </c>
      <c r="J1213" t="s">
        <v>89</v>
      </c>
      <c r="K1213" t="s">
        <v>219</v>
      </c>
      <c r="L1213">
        <v>1</v>
      </c>
      <c r="M1213" s="4"/>
      <c r="N1213" s="2"/>
      <c r="O1213" s="21"/>
      <c r="P1213" s="2"/>
      <c r="Q1213" s="2"/>
      <c r="R1213" s="4"/>
      <c r="S1213" s="4"/>
      <c r="T1213" s="4"/>
      <c r="U1213" s="4"/>
      <c r="V1213" s="4"/>
      <c r="W1213" s="4"/>
    </row>
    <row r="1214" spans="1:23" ht="14.5" hidden="1" customHeight="1" x14ac:dyDescent="0.2">
      <c r="A1214">
        <f t="shared" si="18"/>
        <v>1208</v>
      </c>
      <c r="B1214">
        <v>2017</v>
      </c>
      <c r="C1214" t="s">
        <v>179</v>
      </c>
      <c r="D1214" t="s">
        <v>875</v>
      </c>
      <c r="E1214" s="22">
        <v>910</v>
      </c>
      <c r="H1214" t="s">
        <v>144</v>
      </c>
      <c r="I1214" t="s">
        <v>197</v>
      </c>
      <c r="J1214" t="s">
        <v>93</v>
      </c>
      <c r="K1214" t="s">
        <v>201</v>
      </c>
      <c r="L1214">
        <v>1</v>
      </c>
      <c r="M1214" s="4"/>
      <c r="N1214" s="2"/>
      <c r="O1214" s="21"/>
      <c r="P1214" s="2"/>
      <c r="Q1214" s="2"/>
      <c r="R1214" s="4"/>
      <c r="S1214" s="4"/>
      <c r="T1214" s="4"/>
      <c r="U1214" s="4"/>
      <c r="V1214" s="4"/>
      <c r="W1214" s="4"/>
    </row>
    <row r="1215" spans="1:23" ht="14.5" hidden="1" customHeight="1" x14ac:dyDescent="0.2">
      <c r="A1215">
        <f t="shared" si="18"/>
        <v>1209</v>
      </c>
      <c r="B1215">
        <v>2017</v>
      </c>
      <c r="C1215" t="s">
        <v>184</v>
      </c>
      <c r="D1215" t="s">
        <v>199</v>
      </c>
      <c r="E1215" s="22">
        <v>2520</v>
      </c>
      <c r="H1215" t="s">
        <v>144</v>
      </c>
      <c r="I1215" t="s">
        <v>299</v>
      </c>
      <c r="J1215" t="s">
        <v>101</v>
      </c>
      <c r="K1215" t="s">
        <v>201</v>
      </c>
      <c r="L1215">
        <v>1</v>
      </c>
      <c r="M1215" s="4"/>
      <c r="N1215" s="2"/>
      <c r="O1215" s="21"/>
      <c r="P1215" s="2"/>
      <c r="Q1215" s="2"/>
      <c r="R1215" s="4"/>
      <c r="S1215" s="4"/>
      <c r="T1215" s="4"/>
      <c r="U1215" s="4"/>
      <c r="V1215" s="4"/>
      <c r="W1215" s="4"/>
    </row>
    <row r="1216" spans="1:23" ht="14.25" hidden="1" customHeight="1" x14ac:dyDescent="0.2">
      <c r="A1216">
        <f t="shared" si="18"/>
        <v>1210</v>
      </c>
      <c r="B1216">
        <v>2017</v>
      </c>
      <c r="C1216" t="s">
        <v>184</v>
      </c>
      <c r="D1216" t="s">
        <v>449</v>
      </c>
      <c r="E1216" s="22">
        <v>150</v>
      </c>
      <c r="H1216" t="s">
        <v>151</v>
      </c>
      <c r="I1216" t="s">
        <v>279</v>
      </c>
      <c r="J1216" t="s">
        <v>102</v>
      </c>
      <c r="K1216" t="s">
        <v>219</v>
      </c>
      <c r="L1216">
        <v>1</v>
      </c>
      <c r="M1216" s="4"/>
      <c r="N1216" s="2"/>
      <c r="O1216" s="21"/>
      <c r="P1216" s="2"/>
      <c r="Q1216" s="2"/>
      <c r="R1216" s="4"/>
      <c r="S1216" s="4"/>
      <c r="T1216" s="4"/>
      <c r="U1216" s="4"/>
      <c r="V1216" s="4"/>
      <c r="W1216" s="4"/>
    </row>
    <row r="1217" spans="1:23" ht="14.25" hidden="1" customHeight="1" x14ac:dyDescent="0.2">
      <c r="A1217">
        <f t="shared" si="18"/>
        <v>1211</v>
      </c>
      <c r="B1217">
        <v>2017</v>
      </c>
      <c r="C1217" t="s">
        <v>184</v>
      </c>
      <c r="D1217" t="s">
        <v>397</v>
      </c>
      <c r="E1217" s="22">
        <v>160</v>
      </c>
      <c r="H1217" t="s">
        <v>145</v>
      </c>
      <c r="J1217" t="s">
        <v>23</v>
      </c>
      <c r="K1217" t="s">
        <v>183</v>
      </c>
      <c r="L1217">
        <v>1</v>
      </c>
      <c r="M1217" s="4"/>
      <c r="N1217" s="2"/>
      <c r="O1217" s="21"/>
      <c r="P1217" s="2"/>
      <c r="Q1217" s="2"/>
      <c r="R1217" s="4"/>
      <c r="S1217" s="4"/>
      <c r="T1217" s="4"/>
      <c r="U1217" s="4"/>
      <c r="V1217" s="4"/>
      <c r="W1217" s="4"/>
    </row>
    <row r="1218" spans="1:23" ht="14.5" hidden="1" customHeight="1" x14ac:dyDescent="0.2">
      <c r="A1218">
        <f t="shared" si="18"/>
        <v>1212</v>
      </c>
      <c r="B1218">
        <v>2017</v>
      </c>
      <c r="C1218" t="s">
        <v>184</v>
      </c>
      <c r="D1218" t="s">
        <v>444</v>
      </c>
      <c r="E1218" s="22">
        <v>850</v>
      </c>
      <c r="G1218" t="s">
        <v>2810</v>
      </c>
      <c r="H1218" t="s">
        <v>144</v>
      </c>
      <c r="I1218" t="s">
        <v>232</v>
      </c>
      <c r="J1218" t="s">
        <v>41</v>
      </c>
      <c r="K1218" t="s">
        <v>195</v>
      </c>
      <c r="L1218">
        <v>0</v>
      </c>
      <c r="M1218" s="4"/>
      <c r="N1218" s="2"/>
      <c r="O1218" s="21"/>
      <c r="P1218" s="2"/>
      <c r="Q1218" s="2"/>
      <c r="R1218" s="4"/>
      <c r="S1218" s="4"/>
      <c r="T1218" s="4"/>
      <c r="U1218" s="4"/>
      <c r="V1218" s="4"/>
      <c r="W1218" s="4"/>
    </row>
    <row r="1219" spans="1:23" ht="14.5" hidden="1" customHeight="1" x14ac:dyDescent="0.2">
      <c r="A1219">
        <f t="shared" si="18"/>
        <v>1213</v>
      </c>
      <c r="B1219">
        <v>2017</v>
      </c>
      <c r="C1219" t="s">
        <v>184</v>
      </c>
      <c r="D1219" t="s">
        <v>2660</v>
      </c>
      <c r="E1219" s="22">
        <v>560</v>
      </c>
      <c r="G1219" t="s">
        <v>2811</v>
      </c>
      <c r="H1219" t="s">
        <v>144</v>
      </c>
      <c r="I1219" t="s">
        <v>187</v>
      </c>
      <c r="J1219" t="s">
        <v>23</v>
      </c>
      <c r="K1219" t="s">
        <v>183</v>
      </c>
      <c r="L1219">
        <v>1</v>
      </c>
      <c r="M1219" s="4"/>
      <c r="N1219" s="2"/>
      <c r="O1219" s="21"/>
      <c r="P1219" s="2"/>
      <c r="Q1219" s="2"/>
      <c r="R1219" s="4"/>
      <c r="S1219" s="4"/>
      <c r="T1219" s="4"/>
      <c r="U1219" s="4"/>
      <c r="V1219" s="4"/>
      <c r="W1219" s="4"/>
    </row>
    <row r="1220" spans="1:23" ht="14.5" hidden="1" customHeight="1" x14ac:dyDescent="0.2">
      <c r="A1220">
        <f t="shared" si="18"/>
        <v>1214</v>
      </c>
      <c r="B1220">
        <v>2017</v>
      </c>
      <c r="C1220" t="s">
        <v>184</v>
      </c>
      <c r="D1220" t="s">
        <v>479</v>
      </c>
      <c r="E1220" s="22">
        <v>100</v>
      </c>
      <c r="H1220" t="s">
        <v>154</v>
      </c>
      <c r="I1220" t="s">
        <v>194</v>
      </c>
      <c r="J1220" t="s">
        <v>9</v>
      </c>
      <c r="K1220" t="s">
        <v>9</v>
      </c>
      <c r="L1220">
        <v>0</v>
      </c>
      <c r="M1220" s="4"/>
      <c r="N1220" s="2"/>
      <c r="O1220" s="21"/>
      <c r="P1220" s="2"/>
      <c r="Q1220" s="2"/>
      <c r="R1220" s="4"/>
      <c r="S1220" s="4"/>
      <c r="T1220" s="4"/>
      <c r="U1220" s="4"/>
      <c r="V1220" s="4"/>
      <c r="W1220" s="4"/>
    </row>
    <row r="1221" spans="1:23" ht="14.5" hidden="1" customHeight="1" x14ac:dyDescent="0.2">
      <c r="A1221">
        <f t="shared" si="18"/>
        <v>1215</v>
      </c>
      <c r="B1221">
        <v>2017</v>
      </c>
      <c r="C1221" t="s">
        <v>184</v>
      </c>
      <c r="D1221" t="s">
        <v>397</v>
      </c>
      <c r="E1221" s="22">
        <v>120</v>
      </c>
      <c r="H1221" t="s">
        <v>150</v>
      </c>
      <c r="I1221" t="s">
        <v>744</v>
      </c>
      <c r="J1221" t="s">
        <v>65</v>
      </c>
      <c r="K1221" t="s">
        <v>214</v>
      </c>
      <c r="L1221">
        <v>1</v>
      </c>
      <c r="M1221" s="4"/>
      <c r="N1221" s="2"/>
      <c r="O1221" s="21"/>
      <c r="P1221" s="2"/>
      <c r="Q1221" s="2"/>
      <c r="R1221" s="4"/>
      <c r="S1221" s="4"/>
      <c r="T1221" s="4"/>
      <c r="U1221" s="4"/>
      <c r="V1221" s="4"/>
      <c r="W1221" s="4"/>
    </row>
    <row r="1222" spans="1:23" ht="14.5" hidden="1" customHeight="1" x14ac:dyDescent="0.2">
      <c r="A1222">
        <f t="shared" si="18"/>
        <v>1216</v>
      </c>
      <c r="B1222">
        <v>2017</v>
      </c>
      <c r="C1222" t="s">
        <v>184</v>
      </c>
      <c r="D1222" t="s">
        <v>175</v>
      </c>
      <c r="E1222" s="22">
        <v>350</v>
      </c>
      <c r="H1222" t="s">
        <v>151</v>
      </c>
      <c r="I1222" t="s">
        <v>279</v>
      </c>
      <c r="J1222" t="s">
        <v>95</v>
      </c>
      <c r="K1222" t="s">
        <v>183</v>
      </c>
      <c r="L1222">
        <v>1</v>
      </c>
      <c r="M1222" s="4"/>
      <c r="N1222" s="2"/>
      <c r="O1222" s="21"/>
      <c r="P1222" s="2"/>
      <c r="Q1222" s="2"/>
      <c r="R1222" s="4"/>
      <c r="S1222" s="4"/>
      <c r="T1222" s="4"/>
      <c r="U1222" s="4"/>
      <c r="V1222" s="4"/>
      <c r="W1222" s="4"/>
    </row>
    <row r="1223" spans="1:23" ht="14.5" hidden="1" customHeight="1" x14ac:dyDescent="0.2">
      <c r="A1223">
        <f t="shared" ref="A1223:A1286" si="19">ROW()-6</f>
        <v>1217</v>
      </c>
      <c r="B1223">
        <v>2017</v>
      </c>
      <c r="C1223" t="s">
        <v>184</v>
      </c>
      <c r="D1223" t="s">
        <v>479</v>
      </c>
      <c r="E1223" s="22">
        <v>150</v>
      </c>
      <c r="H1223" t="s">
        <v>154</v>
      </c>
      <c r="I1223" t="s">
        <v>271</v>
      </c>
      <c r="J1223" t="s">
        <v>123</v>
      </c>
      <c r="K1223" t="s">
        <v>219</v>
      </c>
      <c r="L1223">
        <v>1</v>
      </c>
      <c r="M1223" s="4"/>
      <c r="N1223" s="2"/>
      <c r="O1223" s="21"/>
      <c r="P1223" s="2"/>
      <c r="Q1223" s="2"/>
      <c r="R1223" s="4"/>
      <c r="S1223" s="4"/>
      <c r="T1223" s="4"/>
      <c r="U1223" s="4"/>
      <c r="V1223" s="4"/>
      <c r="W1223" s="4"/>
    </row>
    <row r="1224" spans="1:23" ht="14.5" hidden="1" customHeight="1" x14ac:dyDescent="0.2">
      <c r="A1224">
        <f t="shared" si="19"/>
        <v>1218</v>
      </c>
      <c r="B1224">
        <v>2017</v>
      </c>
      <c r="C1224" t="s">
        <v>184</v>
      </c>
      <c r="D1224" t="s">
        <v>449</v>
      </c>
      <c r="E1224" s="22">
        <v>390</v>
      </c>
      <c r="G1224" t="s">
        <v>2812</v>
      </c>
      <c r="H1224" t="s">
        <v>154</v>
      </c>
      <c r="I1224" t="s">
        <v>529</v>
      </c>
      <c r="J1224" t="s">
        <v>101</v>
      </c>
      <c r="K1224" t="s">
        <v>201</v>
      </c>
      <c r="L1224">
        <v>1</v>
      </c>
      <c r="M1224" s="4"/>
      <c r="N1224" s="2"/>
      <c r="O1224" s="21"/>
      <c r="P1224" s="2"/>
      <c r="Q1224" s="2"/>
      <c r="R1224" s="4"/>
      <c r="S1224" s="4"/>
      <c r="T1224" s="4"/>
      <c r="U1224" s="4"/>
      <c r="V1224" s="4"/>
      <c r="W1224" s="4"/>
    </row>
    <row r="1225" spans="1:23" ht="14.5" hidden="1" customHeight="1" x14ac:dyDescent="0.2">
      <c r="A1225">
        <f t="shared" si="19"/>
        <v>1219</v>
      </c>
      <c r="B1225">
        <v>2017</v>
      </c>
      <c r="C1225" t="s">
        <v>225</v>
      </c>
      <c r="D1225" t="s">
        <v>199</v>
      </c>
      <c r="E1225" s="22">
        <v>100</v>
      </c>
      <c r="H1225" t="s">
        <v>143</v>
      </c>
      <c r="J1225" t="s">
        <v>72</v>
      </c>
      <c r="K1225" t="s">
        <v>183</v>
      </c>
      <c r="L1225">
        <v>1</v>
      </c>
      <c r="M1225" s="4"/>
      <c r="N1225" s="2"/>
      <c r="O1225" s="21"/>
      <c r="P1225" s="2"/>
      <c r="Q1225" s="2"/>
      <c r="R1225" s="4"/>
      <c r="S1225" s="4"/>
      <c r="T1225" s="4"/>
      <c r="U1225" s="4"/>
      <c r="V1225" s="4"/>
      <c r="W1225" s="4"/>
    </row>
    <row r="1226" spans="1:23" ht="14.5" hidden="1" customHeight="1" x14ac:dyDescent="0.2">
      <c r="A1226">
        <f t="shared" si="19"/>
        <v>1220</v>
      </c>
      <c r="B1226">
        <v>2017</v>
      </c>
      <c r="C1226" t="s">
        <v>225</v>
      </c>
      <c r="D1226" t="s">
        <v>1035</v>
      </c>
      <c r="E1226" s="22">
        <v>1370</v>
      </c>
      <c r="G1226" t="s">
        <v>2591</v>
      </c>
      <c r="H1226" t="s">
        <v>155</v>
      </c>
      <c r="J1226" t="s">
        <v>105</v>
      </c>
      <c r="K1226" t="s">
        <v>214</v>
      </c>
      <c r="L1226">
        <v>1</v>
      </c>
      <c r="M1226" s="4"/>
      <c r="N1226" s="2"/>
      <c r="O1226" s="21"/>
      <c r="P1226" s="2"/>
      <c r="Q1226" s="2"/>
      <c r="R1226" s="4"/>
      <c r="S1226" s="4"/>
      <c r="T1226" s="4"/>
      <c r="U1226" s="4"/>
      <c r="V1226" s="4"/>
      <c r="W1226" s="4"/>
    </row>
    <row r="1227" spans="1:23" ht="14.5" hidden="1" customHeight="1" x14ac:dyDescent="0.2">
      <c r="A1227">
        <f t="shared" si="19"/>
        <v>1221</v>
      </c>
      <c r="B1227">
        <v>2017</v>
      </c>
      <c r="C1227" t="s">
        <v>225</v>
      </c>
      <c r="D1227" t="s">
        <v>2813</v>
      </c>
      <c r="E1227" s="22">
        <v>120</v>
      </c>
      <c r="H1227" t="s">
        <v>151</v>
      </c>
      <c r="I1227" t="s">
        <v>279</v>
      </c>
      <c r="J1227" t="s">
        <v>23</v>
      </c>
      <c r="K1227" t="s">
        <v>183</v>
      </c>
      <c r="L1227">
        <v>1</v>
      </c>
      <c r="M1227" s="4"/>
      <c r="N1227" s="2"/>
      <c r="O1227" s="21"/>
      <c r="P1227" s="2"/>
      <c r="Q1227" s="2"/>
      <c r="R1227" s="4"/>
      <c r="S1227" s="4"/>
      <c r="T1227" s="4"/>
      <c r="U1227" s="4"/>
      <c r="V1227" s="4"/>
      <c r="W1227" s="4"/>
    </row>
    <row r="1228" spans="1:23" ht="14.5" hidden="1" customHeight="1" x14ac:dyDescent="0.2">
      <c r="A1228">
        <f t="shared" si="19"/>
        <v>1222</v>
      </c>
      <c r="B1228">
        <v>2017</v>
      </c>
      <c r="C1228" t="s">
        <v>225</v>
      </c>
      <c r="D1228" s="52" t="s">
        <v>2392</v>
      </c>
      <c r="E1228" s="22">
        <v>260</v>
      </c>
      <c r="H1228" t="s">
        <v>144</v>
      </c>
      <c r="I1228" t="s">
        <v>232</v>
      </c>
      <c r="J1228" t="s">
        <v>40</v>
      </c>
      <c r="K1228" t="s">
        <v>219</v>
      </c>
      <c r="L1228">
        <v>1</v>
      </c>
      <c r="M1228" s="4"/>
      <c r="N1228" s="2"/>
      <c r="O1228" s="21"/>
      <c r="P1228" s="2"/>
      <c r="Q1228" s="2"/>
      <c r="R1228" s="4"/>
      <c r="S1228" s="4"/>
      <c r="T1228" s="4"/>
      <c r="U1228" s="4"/>
      <c r="V1228" s="4"/>
      <c r="W1228" s="4"/>
    </row>
    <row r="1229" spans="1:23" ht="14.5" hidden="1" customHeight="1" x14ac:dyDescent="0.2">
      <c r="A1229">
        <f t="shared" si="19"/>
        <v>1223</v>
      </c>
      <c r="B1229">
        <v>2017</v>
      </c>
      <c r="C1229" t="s">
        <v>225</v>
      </c>
      <c r="D1229" t="s">
        <v>444</v>
      </c>
      <c r="E1229" s="22">
        <v>250</v>
      </c>
      <c r="H1229" t="s">
        <v>154</v>
      </c>
      <c r="I1229" t="s">
        <v>194</v>
      </c>
      <c r="J1229" t="s">
        <v>80</v>
      </c>
      <c r="K1229" t="s">
        <v>214</v>
      </c>
      <c r="L1229">
        <v>1</v>
      </c>
      <c r="M1229" s="4"/>
      <c r="N1229" s="2"/>
      <c r="O1229" s="21"/>
      <c r="P1229" s="2"/>
      <c r="Q1229" s="2"/>
      <c r="R1229" s="4"/>
      <c r="S1229" s="4"/>
      <c r="T1229" s="4"/>
      <c r="U1229" s="4"/>
      <c r="V1229" s="4"/>
      <c r="W1229" s="4"/>
    </row>
    <row r="1230" spans="1:23" ht="14.5" hidden="1" customHeight="1" x14ac:dyDescent="0.2">
      <c r="A1230">
        <f t="shared" si="19"/>
        <v>1224</v>
      </c>
      <c r="B1230">
        <v>2017</v>
      </c>
      <c r="C1230" t="s">
        <v>225</v>
      </c>
      <c r="D1230" t="s">
        <v>1035</v>
      </c>
      <c r="E1230" s="22">
        <v>190</v>
      </c>
      <c r="H1230" t="s">
        <v>154</v>
      </c>
      <c r="I1230" t="s">
        <v>529</v>
      </c>
      <c r="J1230" t="s">
        <v>13</v>
      </c>
      <c r="K1230" t="s">
        <v>201</v>
      </c>
      <c r="L1230">
        <v>1</v>
      </c>
      <c r="M1230" s="4"/>
      <c r="N1230" s="2"/>
      <c r="O1230" s="21"/>
      <c r="P1230" s="2"/>
      <c r="Q1230" s="2"/>
      <c r="R1230" s="4"/>
      <c r="S1230" s="4"/>
      <c r="T1230" s="4"/>
      <c r="U1230" s="4"/>
      <c r="V1230" s="4"/>
      <c r="W1230" s="4"/>
    </row>
    <row r="1231" spans="1:23" ht="14.5" hidden="1" customHeight="1" x14ac:dyDescent="0.2">
      <c r="A1231">
        <f t="shared" si="19"/>
        <v>1225</v>
      </c>
      <c r="B1231">
        <v>2017</v>
      </c>
      <c r="C1231" t="s">
        <v>225</v>
      </c>
      <c r="D1231" t="s">
        <v>1035</v>
      </c>
      <c r="E1231" s="22">
        <v>280</v>
      </c>
      <c r="H1231" t="s">
        <v>154</v>
      </c>
      <c r="I1231" t="s">
        <v>194</v>
      </c>
      <c r="J1231" t="s">
        <v>16</v>
      </c>
      <c r="K1231" t="s">
        <v>205</v>
      </c>
      <c r="L1231">
        <v>1</v>
      </c>
      <c r="M1231" s="4"/>
      <c r="N1231" s="2"/>
      <c r="O1231" s="21"/>
      <c r="P1231" s="2"/>
      <c r="Q1231" s="2"/>
      <c r="R1231" s="4"/>
      <c r="S1231" s="4"/>
      <c r="T1231" s="4"/>
      <c r="U1231" s="4"/>
      <c r="V1231" s="4"/>
      <c r="W1231" s="4"/>
    </row>
    <row r="1232" spans="1:23" ht="14.5" hidden="1" customHeight="1" x14ac:dyDescent="0.2">
      <c r="A1232">
        <f t="shared" si="19"/>
        <v>1226</v>
      </c>
      <c r="B1232">
        <v>2017</v>
      </c>
      <c r="C1232" t="s">
        <v>225</v>
      </c>
      <c r="D1232" t="s">
        <v>221</v>
      </c>
      <c r="E1232" s="22">
        <v>940</v>
      </c>
      <c r="H1232" t="s">
        <v>154</v>
      </c>
      <c r="I1232" t="s">
        <v>194</v>
      </c>
      <c r="J1232" t="s">
        <v>63</v>
      </c>
      <c r="K1232" t="s">
        <v>201</v>
      </c>
      <c r="L1232">
        <v>1</v>
      </c>
      <c r="M1232" s="4"/>
      <c r="N1232" s="2"/>
      <c r="O1232" s="21"/>
      <c r="P1232" s="2"/>
      <c r="Q1232" s="2"/>
      <c r="R1232" s="4"/>
      <c r="S1232" s="4"/>
      <c r="T1232" s="4"/>
      <c r="U1232" s="4"/>
      <c r="V1232" s="4"/>
      <c r="W1232" s="4"/>
    </row>
    <row r="1233" spans="1:23" ht="14.5" hidden="1" customHeight="1" x14ac:dyDescent="0.2">
      <c r="A1233">
        <f t="shared" si="19"/>
        <v>1227</v>
      </c>
      <c r="B1233">
        <v>2017</v>
      </c>
      <c r="C1233" t="s">
        <v>225</v>
      </c>
      <c r="D1233" t="s">
        <v>1035</v>
      </c>
      <c r="E1233" s="22">
        <v>350</v>
      </c>
      <c r="H1233" t="s">
        <v>154</v>
      </c>
      <c r="I1233" t="s">
        <v>194</v>
      </c>
      <c r="J1233" t="s">
        <v>84</v>
      </c>
      <c r="K1233" t="s">
        <v>201</v>
      </c>
      <c r="L1233">
        <v>1</v>
      </c>
      <c r="M1233" s="4"/>
      <c r="N1233" s="2"/>
      <c r="O1233" s="21"/>
      <c r="P1233" s="2"/>
      <c r="Q1233" s="2"/>
      <c r="R1233" s="4"/>
      <c r="S1233" s="4"/>
      <c r="T1233" s="4"/>
      <c r="U1233" s="4"/>
      <c r="V1233" s="4"/>
      <c r="W1233" s="4"/>
    </row>
    <row r="1234" spans="1:23" ht="14.5" hidden="1" customHeight="1" x14ac:dyDescent="0.2">
      <c r="A1234">
        <f t="shared" si="19"/>
        <v>1228</v>
      </c>
      <c r="B1234">
        <v>2017</v>
      </c>
      <c r="C1234" t="s">
        <v>225</v>
      </c>
      <c r="D1234" t="s">
        <v>444</v>
      </c>
      <c r="E1234" s="22">
        <v>400</v>
      </c>
      <c r="H1234" t="s">
        <v>142</v>
      </c>
      <c r="J1234" t="s">
        <v>38</v>
      </c>
      <c r="K1234" t="s">
        <v>214</v>
      </c>
      <c r="L1234">
        <v>1</v>
      </c>
      <c r="M1234" s="4"/>
      <c r="N1234" s="2"/>
      <c r="O1234" s="21"/>
      <c r="P1234" s="2"/>
      <c r="Q1234" s="2"/>
      <c r="R1234" s="4"/>
      <c r="S1234" s="4"/>
      <c r="T1234" s="4"/>
      <c r="U1234" s="4"/>
      <c r="V1234" s="4"/>
      <c r="W1234" s="4"/>
    </row>
    <row r="1235" spans="1:23" ht="14.5" hidden="1" customHeight="1" x14ac:dyDescent="0.2">
      <c r="A1235">
        <f t="shared" si="19"/>
        <v>1229</v>
      </c>
      <c r="B1235">
        <v>2017</v>
      </c>
      <c r="C1235" t="s">
        <v>225</v>
      </c>
      <c r="D1235" t="s">
        <v>2814</v>
      </c>
      <c r="E1235" s="22">
        <v>390</v>
      </c>
      <c r="H1235" t="s">
        <v>144</v>
      </c>
      <c r="I1235" t="s">
        <v>232</v>
      </c>
      <c r="J1235" t="s">
        <v>8</v>
      </c>
      <c r="K1235" t="s">
        <v>205</v>
      </c>
      <c r="L1235">
        <v>1</v>
      </c>
      <c r="M1235" s="4"/>
      <c r="N1235" s="2"/>
      <c r="O1235" s="21"/>
      <c r="P1235" s="2"/>
      <c r="Q1235" s="2"/>
      <c r="R1235" s="4"/>
      <c r="S1235" s="4"/>
      <c r="T1235" s="4"/>
      <c r="U1235" s="4"/>
      <c r="V1235" s="4"/>
      <c r="W1235" s="4"/>
    </row>
    <row r="1236" spans="1:23" ht="14.5" hidden="1" customHeight="1" x14ac:dyDescent="0.2">
      <c r="A1236">
        <f t="shared" si="19"/>
        <v>1230</v>
      </c>
      <c r="B1236">
        <v>2017</v>
      </c>
      <c r="C1236" t="s">
        <v>188</v>
      </c>
      <c r="D1236" t="s">
        <v>1035</v>
      </c>
      <c r="E1236" s="22">
        <v>380</v>
      </c>
      <c r="H1236" t="s">
        <v>144</v>
      </c>
      <c r="I1236" t="s">
        <v>299</v>
      </c>
      <c r="J1236" t="s">
        <v>62</v>
      </c>
      <c r="K1236" t="s">
        <v>214</v>
      </c>
      <c r="L1236">
        <v>1</v>
      </c>
      <c r="M1236" s="4"/>
      <c r="N1236" s="2"/>
      <c r="O1236" s="21"/>
      <c r="P1236" s="2"/>
      <c r="Q1236" s="2"/>
      <c r="R1236" s="4"/>
      <c r="S1236" s="4"/>
      <c r="T1236" s="4"/>
      <c r="U1236" s="4"/>
      <c r="V1236" s="4"/>
      <c r="W1236" s="4"/>
    </row>
    <row r="1237" spans="1:23" ht="14.5" hidden="1" customHeight="1" x14ac:dyDescent="0.2">
      <c r="A1237">
        <f t="shared" si="19"/>
        <v>1231</v>
      </c>
      <c r="B1237">
        <v>2017</v>
      </c>
      <c r="C1237" t="s">
        <v>188</v>
      </c>
      <c r="D1237" t="s">
        <v>479</v>
      </c>
      <c r="E1237" s="22">
        <v>960</v>
      </c>
      <c r="F1237" s="16">
        <v>0.45</v>
      </c>
      <c r="G1237" t="s">
        <v>2815</v>
      </c>
      <c r="H1237" t="s">
        <v>154</v>
      </c>
      <c r="I1237" t="s">
        <v>529</v>
      </c>
      <c r="J1237" t="s">
        <v>9</v>
      </c>
      <c r="K1237" t="s">
        <v>9</v>
      </c>
      <c r="L1237">
        <v>0</v>
      </c>
      <c r="M1237" s="4"/>
      <c r="N1237" s="2"/>
      <c r="O1237" s="21"/>
      <c r="P1237" s="2"/>
      <c r="Q1237" s="2"/>
      <c r="R1237" s="4"/>
      <c r="S1237" s="4"/>
      <c r="T1237" s="4"/>
      <c r="U1237" s="4"/>
      <c r="V1237" s="4"/>
      <c r="W1237" s="4"/>
    </row>
    <row r="1238" spans="1:23" ht="14.5" hidden="1" customHeight="1" x14ac:dyDescent="0.2">
      <c r="A1238">
        <f t="shared" si="19"/>
        <v>1232</v>
      </c>
      <c r="B1238">
        <v>2017</v>
      </c>
      <c r="C1238" t="s">
        <v>188</v>
      </c>
      <c r="D1238" t="s">
        <v>444</v>
      </c>
      <c r="E1238" s="22">
        <v>1190</v>
      </c>
      <c r="F1238" s="16">
        <v>0.5</v>
      </c>
      <c r="G1238" t="s">
        <v>1960</v>
      </c>
      <c r="H1238" t="s">
        <v>154</v>
      </c>
      <c r="J1238" t="s">
        <v>81</v>
      </c>
      <c r="K1238" t="s">
        <v>219</v>
      </c>
      <c r="L1238">
        <v>1</v>
      </c>
      <c r="M1238" s="4"/>
      <c r="N1238" s="2"/>
      <c r="O1238" s="21"/>
      <c r="P1238" s="2"/>
      <c r="Q1238" s="2"/>
      <c r="R1238" s="4"/>
      <c r="S1238" s="4"/>
      <c r="T1238" s="4"/>
      <c r="U1238" s="4"/>
      <c r="V1238" s="4"/>
      <c r="W1238" s="4"/>
    </row>
    <row r="1239" spans="1:23" ht="14.5" hidden="1" customHeight="1" x14ac:dyDescent="0.2">
      <c r="A1239">
        <f t="shared" si="19"/>
        <v>1233</v>
      </c>
      <c r="B1239">
        <v>2017</v>
      </c>
      <c r="C1239" t="s">
        <v>188</v>
      </c>
      <c r="D1239" t="s">
        <v>189</v>
      </c>
      <c r="E1239" s="22">
        <v>130</v>
      </c>
      <c r="H1239" t="s">
        <v>151</v>
      </c>
      <c r="I1239" t="s">
        <v>279</v>
      </c>
      <c r="J1239" t="s">
        <v>40</v>
      </c>
      <c r="K1239" t="s">
        <v>219</v>
      </c>
      <c r="L1239">
        <v>1</v>
      </c>
      <c r="M1239" s="4"/>
      <c r="N1239" s="2"/>
      <c r="O1239" s="21"/>
      <c r="P1239" s="2"/>
      <c r="Q1239" s="2"/>
      <c r="R1239" s="4"/>
      <c r="S1239" s="4"/>
      <c r="T1239" s="4"/>
      <c r="U1239" s="4"/>
      <c r="V1239" s="4"/>
      <c r="W1239" s="4"/>
    </row>
    <row r="1240" spans="1:23" ht="14.5" hidden="1" customHeight="1" x14ac:dyDescent="0.2">
      <c r="A1240">
        <f t="shared" si="19"/>
        <v>1234</v>
      </c>
      <c r="B1240">
        <v>2017</v>
      </c>
      <c r="C1240" t="s">
        <v>188</v>
      </c>
      <c r="D1240" t="s">
        <v>483</v>
      </c>
      <c r="E1240" s="22">
        <v>450</v>
      </c>
      <c r="G1240" t="s">
        <v>2816</v>
      </c>
      <c r="H1240" t="s">
        <v>151</v>
      </c>
      <c r="I1240" t="s">
        <v>279</v>
      </c>
      <c r="J1240" t="s">
        <v>55</v>
      </c>
      <c r="K1240" t="s">
        <v>214</v>
      </c>
      <c r="L1240">
        <v>1</v>
      </c>
      <c r="M1240" s="4"/>
      <c r="N1240" s="2"/>
      <c r="O1240" s="21"/>
      <c r="P1240" s="2"/>
      <c r="Q1240" s="2"/>
      <c r="R1240" s="4"/>
      <c r="S1240" s="4"/>
      <c r="T1240" s="4"/>
      <c r="U1240" s="4"/>
      <c r="V1240" s="4"/>
      <c r="W1240" s="4"/>
    </row>
    <row r="1241" spans="1:23" ht="14.5" hidden="1" customHeight="1" x14ac:dyDescent="0.2">
      <c r="A1241">
        <f t="shared" si="19"/>
        <v>1235</v>
      </c>
      <c r="B1241">
        <v>2017</v>
      </c>
      <c r="C1241" t="s">
        <v>188</v>
      </c>
      <c r="D1241" t="s">
        <v>483</v>
      </c>
      <c r="E1241" s="22">
        <v>710</v>
      </c>
      <c r="H1241" t="s">
        <v>149</v>
      </c>
      <c r="I1241" t="s">
        <v>182</v>
      </c>
      <c r="J1241" t="s">
        <v>63</v>
      </c>
      <c r="K1241" t="s">
        <v>201</v>
      </c>
      <c r="L1241">
        <v>1</v>
      </c>
      <c r="M1241" s="4"/>
      <c r="N1241" s="2"/>
      <c r="O1241" s="21"/>
      <c r="P1241" s="2"/>
      <c r="Q1241" s="2"/>
      <c r="R1241" s="4"/>
      <c r="S1241" s="4"/>
      <c r="T1241" s="4"/>
      <c r="U1241" s="4"/>
      <c r="V1241" s="4"/>
      <c r="W1241" s="4"/>
    </row>
    <row r="1242" spans="1:23" ht="14.5" hidden="1" customHeight="1" x14ac:dyDescent="0.2">
      <c r="A1242">
        <f t="shared" si="19"/>
        <v>1236</v>
      </c>
      <c r="B1242">
        <v>2017</v>
      </c>
      <c r="C1242" t="s">
        <v>188</v>
      </c>
      <c r="D1242" t="s">
        <v>175</v>
      </c>
      <c r="E1242" s="22">
        <v>590</v>
      </c>
      <c r="H1242" t="s">
        <v>151</v>
      </c>
      <c r="I1242" t="s">
        <v>279</v>
      </c>
      <c r="J1242" t="s">
        <v>101</v>
      </c>
      <c r="K1242" t="s">
        <v>201</v>
      </c>
      <c r="L1242">
        <v>1</v>
      </c>
      <c r="M1242" s="4"/>
      <c r="N1242" s="2"/>
      <c r="O1242" s="21"/>
      <c r="P1242" s="2"/>
      <c r="Q1242" s="2"/>
      <c r="R1242" s="4"/>
      <c r="S1242" s="4"/>
      <c r="T1242" s="4"/>
      <c r="U1242" s="4"/>
      <c r="V1242" s="4"/>
      <c r="W1242" s="4"/>
    </row>
    <row r="1243" spans="1:23" ht="14.5" hidden="1" customHeight="1" x14ac:dyDescent="0.2">
      <c r="A1243">
        <f t="shared" si="19"/>
        <v>1237</v>
      </c>
      <c r="B1243">
        <v>2017</v>
      </c>
      <c r="C1243" t="s">
        <v>188</v>
      </c>
      <c r="D1243" t="s">
        <v>397</v>
      </c>
      <c r="E1243" s="22">
        <v>170</v>
      </c>
      <c r="H1243" t="s">
        <v>151</v>
      </c>
      <c r="I1243" t="s">
        <v>279</v>
      </c>
      <c r="J1243" t="s">
        <v>130</v>
      </c>
      <c r="K1243" t="s">
        <v>214</v>
      </c>
      <c r="L1243">
        <v>1</v>
      </c>
      <c r="M1243" s="4"/>
      <c r="N1243" s="2"/>
      <c r="O1243" s="21"/>
      <c r="P1243" s="2"/>
      <c r="Q1243" s="2"/>
      <c r="R1243" s="4"/>
      <c r="S1243" s="4"/>
      <c r="T1243" s="4"/>
      <c r="U1243" s="4"/>
      <c r="V1243" s="4"/>
      <c r="W1243" s="4"/>
    </row>
    <row r="1244" spans="1:23" ht="14.5" hidden="1" customHeight="1" x14ac:dyDescent="0.2">
      <c r="A1244">
        <f t="shared" si="19"/>
        <v>1238</v>
      </c>
      <c r="B1244">
        <v>2017</v>
      </c>
      <c r="C1244" t="s">
        <v>188</v>
      </c>
      <c r="D1244" t="s">
        <v>479</v>
      </c>
      <c r="E1244" s="22">
        <v>100</v>
      </c>
      <c r="H1244" t="s">
        <v>154</v>
      </c>
      <c r="I1244" t="s">
        <v>194</v>
      </c>
      <c r="J1244" t="s">
        <v>102</v>
      </c>
      <c r="K1244" t="s">
        <v>219</v>
      </c>
      <c r="L1244">
        <v>1</v>
      </c>
      <c r="M1244" s="4"/>
      <c r="N1244" s="2"/>
      <c r="O1244" s="21"/>
      <c r="P1244" s="2"/>
      <c r="Q1244" s="2"/>
      <c r="R1244" s="4"/>
      <c r="S1244" s="4"/>
      <c r="T1244" s="4"/>
      <c r="U1244" s="4"/>
      <c r="V1244" s="4"/>
      <c r="W1244" s="4"/>
    </row>
    <row r="1245" spans="1:23" ht="14.5" hidden="1" customHeight="1" x14ac:dyDescent="0.2">
      <c r="A1245">
        <f t="shared" si="19"/>
        <v>1239</v>
      </c>
      <c r="B1245" s="17">
        <v>2017</v>
      </c>
      <c r="C1245" s="17" t="s">
        <v>188</v>
      </c>
      <c r="D1245" s="17" t="s">
        <v>875</v>
      </c>
      <c r="E1245" s="24">
        <v>2770</v>
      </c>
      <c r="F1245" s="18">
        <v>0.61</v>
      </c>
      <c r="G1245" s="17" t="s">
        <v>2817</v>
      </c>
      <c r="H1245" s="17" t="s">
        <v>144</v>
      </c>
      <c r="I1245" s="17" t="s">
        <v>197</v>
      </c>
      <c r="J1245" s="17" t="s">
        <v>6</v>
      </c>
      <c r="K1245" s="17" t="s">
        <v>219</v>
      </c>
      <c r="L1245" s="17">
        <v>1</v>
      </c>
      <c r="M1245" s="4"/>
      <c r="N1245" s="2"/>
      <c r="O1245" s="21"/>
      <c r="P1245" s="2"/>
      <c r="Q1245" s="2"/>
      <c r="R1245" s="4"/>
      <c r="S1245" s="4"/>
      <c r="T1245" s="4"/>
      <c r="U1245" s="4"/>
      <c r="V1245" s="4"/>
      <c r="W1245" s="4"/>
    </row>
    <row r="1246" spans="1:23" ht="14.5" hidden="1" customHeight="1" x14ac:dyDescent="0.2">
      <c r="A1246">
        <f t="shared" si="19"/>
        <v>1240</v>
      </c>
      <c r="B1246">
        <v>2017</v>
      </c>
      <c r="C1246" t="s">
        <v>188</v>
      </c>
      <c r="D1246" t="s">
        <v>397</v>
      </c>
      <c r="E1246" s="22">
        <v>130</v>
      </c>
      <c r="H1246" t="s">
        <v>151</v>
      </c>
      <c r="I1246" t="s">
        <v>279</v>
      </c>
      <c r="J1246" t="s">
        <v>23</v>
      </c>
      <c r="K1246" t="s">
        <v>183</v>
      </c>
      <c r="L1246">
        <v>1</v>
      </c>
      <c r="M1246" s="4"/>
      <c r="N1246" s="2"/>
      <c r="O1246" s="21"/>
      <c r="P1246" s="2"/>
      <c r="Q1246" s="2"/>
      <c r="R1246" s="4"/>
      <c r="S1246" s="4"/>
      <c r="T1246" s="4"/>
      <c r="U1246" s="4"/>
      <c r="V1246" s="4"/>
      <c r="W1246" s="4"/>
    </row>
    <row r="1247" spans="1:23" ht="14.5" hidden="1" customHeight="1" x14ac:dyDescent="0.2">
      <c r="A1247">
        <f t="shared" si="19"/>
        <v>1241</v>
      </c>
      <c r="B1247">
        <v>2017</v>
      </c>
      <c r="C1247" t="s">
        <v>188</v>
      </c>
      <c r="D1247" t="s">
        <v>341</v>
      </c>
      <c r="E1247" s="22">
        <v>100</v>
      </c>
      <c r="H1247" t="s">
        <v>154</v>
      </c>
      <c r="I1247" t="s">
        <v>194</v>
      </c>
      <c r="J1247" t="s">
        <v>18</v>
      </c>
      <c r="K1247" t="s">
        <v>219</v>
      </c>
      <c r="L1247">
        <v>1</v>
      </c>
      <c r="M1247" s="4"/>
      <c r="N1247" s="2"/>
      <c r="O1247" s="21"/>
      <c r="P1247" s="2"/>
      <c r="Q1247" s="2"/>
      <c r="R1247" s="4"/>
      <c r="S1247" s="4"/>
      <c r="T1247" s="4"/>
      <c r="U1247" s="4"/>
      <c r="V1247" s="4"/>
      <c r="W1247" s="4"/>
    </row>
    <row r="1248" spans="1:23" ht="14.5" hidden="1" customHeight="1" x14ac:dyDescent="0.2">
      <c r="A1248">
        <f t="shared" si="19"/>
        <v>1242</v>
      </c>
      <c r="B1248">
        <v>2017</v>
      </c>
      <c r="C1248" t="s">
        <v>188</v>
      </c>
      <c r="D1248" t="s">
        <v>444</v>
      </c>
      <c r="E1248" s="22">
        <v>130</v>
      </c>
      <c r="G1248" t="s">
        <v>2818</v>
      </c>
      <c r="H1248" t="s">
        <v>155</v>
      </c>
      <c r="J1248" t="s">
        <v>34</v>
      </c>
      <c r="K1248" t="s">
        <v>219</v>
      </c>
      <c r="L1248">
        <v>1</v>
      </c>
      <c r="M1248" s="4"/>
      <c r="N1248" s="2"/>
      <c r="O1248" s="21"/>
      <c r="P1248" s="2"/>
      <c r="Q1248" s="2"/>
      <c r="R1248" s="4"/>
      <c r="S1248" s="4"/>
      <c r="T1248" s="4"/>
      <c r="U1248" s="4"/>
      <c r="V1248" s="4"/>
      <c r="W1248" s="4"/>
    </row>
    <row r="1249" spans="1:23" ht="14.5" hidden="1" customHeight="1" x14ac:dyDescent="0.2">
      <c r="A1249">
        <f t="shared" si="19"/>
        <v>1243</v>
      </c>
      <c r="B1249">
        <v>2017</v>
      </c>
      <c r="C1249" t="s">
        <v>188</v>
      </c>
      <c r="D1249" t="s">
        <v>875</v>
      </c>
      <c r="E1249" s="22">
        <v>480</v>
      </c>
      <c r="H1249" t="s">
        <v>144</v>
      </c>
      <c r="I1249" t="s">
        <v>299</v>
      </c>
      <c r="J1249" t="s">
        <v>95</v>
      </c>
      <c r="K1249" t="s">
        <v>183</v>
      </c>
      <c r="L1249">
        <v>1</v>
      </c>
      <c r="M1249" s="4"/>
      <c r="N1249" s="2"/>
      <c r="O1249" s="21"/>
      <c r="P1249" s="2"/>
      <c r="Q1249" s="2"/>
      <c r="R1249" s="4"/>
      <c r="S1249" s="4"/>
      <c r="T1249" s="4"/>
      <c r="U1249" s="4"/>
      <c r="V1249" s="4"/>
      <c r="W1249" s="4"/>
    </row>
    <row r="1250" spans="1:23" ht="14.5" hidden="1" customHeight="1" x14ac:dyDescent="0.2">
      <c r="A1250">
        <f t="shared" si="19"/>
        <v>1244</v>
      </c>
      <c r="B1250">
        <v>2017</v>
      </c>
      <c r="C1250" t="s">
        <v>188</v>
      </c>
      <c r="D1250" t="s">
        <v>397</v>
      </c>
      <c r="E1250" s="22">
        <v>350</v>
      </c>
      <c r="G1250" t="s">
        <v>2683</v>
      </c>
      <c r="H1250" t="s">
        <v>153</v>
      </c>
      <c r="J1250" t="s">
        <v>130</v>
      </c>
      <c r="K1250" t="s">
        <v>214</v>
      </c>
      <c r="L1250">
        <v>1</v>
      </c>
      <c r="M1250" s="4"/>
      <c r="N1250" s="2"/>
      <c r="O1250" s="21"/>
      <c r="P1250" s="2"/>
      <c r="Q1250" s="2"/>
      <c r="R1250" s="4"/>
      <c r="S1250" s="4"/>
      <c r="T1250" s="4"/>
      <c r="U1250" s="4"/>
      <c r="V1250" s="4"/>
      <c r="W1250" s="4"/>
    </row>
    <row r="1251" spans="1:23" ht="14.5" hidden="1" customHeight="1" x14ac:dyDescent="0.2">
      <c r="A1251">
        <f t="shared" si="19"/>
        <v>1245</v>
      </c>
      <c r="B1251">
        <v>2017</v>
      </c>
      <c r="C1251" t="s">
        <v>191</v>
      </c>
      <c r="D1251" t="s">
        <v>397</v>
      </c>
      <c r="E1251" s="22">
        <v>380</v>
      </c>
      <c r="H1251" t="s">
        <v>154</v>
      </c>
      <c r="I1251" t="s">
        <v>250</v>
      </c>
      <c r="J1251" t="s">
        <v>93</v>
      </c>
      <c r="K1251" t="s">
        <v>201</v>
      </c>
      <c r="L1251">
        <v>1</v>
      </c>
      <c r="M1251" s="4"/>
      <c r="N1251" s="2"/>
      <c r="O1251" s="21"/>
      <c r="P1251" s="2"/>
      <c r="Q1251" s="2"/>
      <c r="R1251" s="4"/>
      <c r="S1251" s="4"/>
      <c r="T1251" s="4"/>
      <c r="U1251" s="4"/>
      <c r="V1251" s="4"/>
      <c r="W1251" s="4"/>
    </row>
    <row r="1252" spans="1:23" ht="14.5" hidden="1" customHeight="1" x14ac:dyDescent="0.2">
      <c r="A1252">
        <f t="shared" si="19"/>
        <v>1246</v>
      </c>
      <c r="B1252">
        <v>2017</v>
      </c>
      <c r="C1252" t="s">
        <v>191</v>
      </c>
      <c r="D1252" t="s">
        <v>875</v>
      </c>
      <c r="E1252" s="22">
        <v>490</v>
      </c>
      <c r="F1252" s="16">
        <v>0.7</v>
      </c>
      <c r="G1252" t="s">
        <v>2427</v>
      </c>
      <c r="H1252" t="s">
        <v>144</v>
      </c>
      <c r="I1252" t="s">
        <v>197</v>
      </c>
      <c r="J1252" t="s">
        <v>72</v>
      </c>
      <c r="K1252" t="s">
        <v>183</v>
      </c>
      <c r="L1252">
        <v>1</v>
      </c>
      <c r="M1252" s="4"/>
      <c r="N1252" s="2"/>
      <c r="O1252" s="21"/>
      <c r="P1252" s="2"/>
      <c r="Q1252" s="2"/>
      <c r="R1252" s="4"/>
      <c r="S1252" s="4"/>
      <c r="T1252" s="4"/>
      <c r="U1252" s="4"/>
      <c r="V1252" s="4"/>
      <c r="W1252" s="4"/>
    </row>
    <row r="1253" spans="1:23" ht="14.5" hidden="1" customHeight="1" x14ac:dyDescent="0.2">
      <c r="A1253">
        <f t="shared" si="19"/>
        <v>1247</v>
      </c>
      <c r="B1253">
        <v>2017</v>
      </c>
      <c r="C1253" t="s">
        <v>191</v>
      </c>
      <c r="D1253" t="s">
        <v>479</v>
      </c>
      <c r="E1253" s="22">
        <v>200</v>
      </c>
      <c r="H1253" t="s">
        <v>144</v>
      </c>
      <c r="I1253" t="s">
        <v>232</v>
      </c>
      <c r="J1253" t="s">
        <v>6</v>
      </c>
      <c r="K1253" t="s">
        <v>219</v>
      </c>
      <c r="L1253">
        <v>1</v>
      </c>
      <c r="M1253" s="4"/>
      <c r="N1253" s="2"/>
      <c r="O1253" s="21"/>
      <c r="P1253" s="2"/>
      <c r="Q1253" s="2"/>
      <c r="R1253" s="4"/>
      <c r="S1253" s="4"/>
      <c r="T1253" s="4"/>
      <c r="U1253" s="4"/>
      <c r="V1253" s="4"/>
      <c r="W1253" s="4"/>
    </row>
    <row r="1254" spans="1:23" ht="14.5" hidden="1" customHeight="1" x14ac:dyDescent="0.2">
      <c r="A1254">
        <f t="shared" si="19"/>
        <v>1248</v>
      </c>
      <c r="B1254">
        <v>2017</v>
      </c>
      <c r="C1254" t="s">
        <v>191</v>
      </c>
      <c r="D1254" t="s">
        <v>397</v>
      </c>
      <c r="E1254" s="22">
        <v>170</v>
      </c>
      <c r="H1254" t="s">
        <v>154</v>
      </c>
      <c r="I1254" t="s">
        <v>194</v>
      </c>
      <c r="J1254" t="s">
        <v>130</v>
      </c>
      <c r="K1254" t="s">
        <v>214</v>
      </c>
      <c r="L1254">
        <v>1</v>
      </c>
      <c r="M1254" s="4"/>
      <c r="N1254" s="2"/>
      <c r="O1254" s="21"/>
      <c r="P1254" s="2"/>
      <c r="Q1254" s="2"/>
      <c r="R1254" s="4"/>
      <c r="S1254" s="4"/>
      <c r="T1254" s="4"/>
      <c r="U1254" s="4"/>
      <c r="V1254" s="4"/>
      <c r="W1254" s="4"/>
    </row>
    <row r="1255" spans="1:23" ht="14.5" hidden="1" customHeight="1" x14ac:dyDescent="0.2">
      <c r="A1255">
        <f t="shared" si="19"/>
        <v>1249</v>
      </c>
      <c r="B1255">
        <v>2017</v>
      </c>
      <c r="C1255" t="s">
        <v>191</v>
      </c>
      <c r="D1255" t="s">
        <v>444</v>
      </c>
      <c r="E1255" s="22">
        <v>130</v>
      </c>
      <c r="H1255" t="s">
        <v>144</v>
      </c>
      <c r="J1255" t="s">
        <v>64</v>
      </c>
      <c r="K1255" t="s">
        <v>219</v>
      </c>
      <c r="L1255">
        <v>1</v>
      </c>
      <c r="M1255" s="4"/>
      <c r="N1255" s="2"/>
      <c r="O1255" s="21"/>
      <c r="P1255" s="2"/>
      <c r="Q1255" s="2"/>
      <c r="R1255" s="4"/>
      <c r="S1255" s="4"/>
      <c r="T1255" s="4"/>
      <c r="U1255" s="4"/>
      <c r="V1255" s="4"/>
      <c r="W1255" s="4"/>
    </row>
    <row r="1256" spans="1:23" ht="14.5" hidden="1" customHeight="1" x14ac:dyDescent="0.2">
      <c r="A1256">
        <f t="shared" si="19"/>
        <v>1250</v>
      </c>
      <c r="B1256">
        <v>2017</v>
      </c>
      <c r="C1256" t="s">
        <v>191</v>
      </c>
      <c r="D1256" t="s">
        <v>875</v>
      </c>
      <c r="E1256" s="22">
        <v>180</v>
      </c>
      <c r="F1256" s="16">
        <v>0.75</v>
      </c>
      <c r="G1256" t="s">
        <v>2819</v>
      </c>
      <c r="H1256" t="s">
        <v>144</v>
      </c>
      <c r="I1256" t="s">
        <v>232</v>
      </c>
      <c r="J1256" t="s">
        <v>20</v>
      </c>
      <c r="K1256" t="s">
        <v>195</v>
      </c>
      <c r="L1256">
        <v>0</v>
      </c>
      <c r="M1256" s="4"/>
      <c r="N1256" s="2"/>
      <c r="O1256" s="21"/>
      <c r="P1256" s="2"/>
      <c r="Q1256" s="2"/>
      <c r="R1256" s="4"/>
      <c r="S1256" s="4"/>
      <c r="T1256" s="4"/>
      <c r="U1256" s="4"/>
      <c r="V1256" s="4"/>
      <c r="W1256" s="4"/>
    </row>
    <row r="1257" spans="1:23" ht="14.5" hidden="1" customHeight="1" x14ac:dyDescent="0.2">
      <c r="A1257">
        <f t="shared" si="19"/>
        <v>1251</v>
      </c>
      <c r="B1257">
        <v>2017</v>
      </c>
      <c r="C1257" t="s">
        <v>191</v>
      </c>
      <c r="D1257" t="s">
        <v>530</v>
      </c>
      <c r="E1257" s="22">
        <v>120</v>
      </c>
      <c r="H1257" t="s">
        <v>144</v>
      </c>
      <c r="I1257" t="s">
        <v>232</v>
      </c>
      <c r="J1257" t="s">
        <v>24</v>
      </c>
      <c r="K1257" t="s">
        <v>219</v>
      </c>
      <c r="L1257">
        <v>1</v>
      </c>
      <c r="M1257" s="4"/>
      <c r="N1257" s="2"/>
      <c r="O1257" s="21"/>
      <c r="P1257" s="2"/>
      <c r="Q1257" s="2"/>
      <c r="R1257" s="4"/>
      <c r="S1257" s="4"/>
      <c r="T1257" s="4"/>
      <c r="U1257" s="4"/>
      <c r="V1257" s="4"/>
      <c r="W1257" s="4"/>
    </row>
    <row r="1258" spans="1:23" ht="14.5" hidden="1" customHeight="1" x14ac:dyDescent="0.2">
      <c r="A1258">
        <f t="shared" si="19"/>
        <v>1252</v>
      </c>
      <c r="B1258">
        <v>2017</v>
      </c>
      <c r="C1258" t="s">
        <v>191</v>
      </c>
      <c r="D1258" t="s">
        <v>479</v>
      </c>
      <c r="E1258" s="22">
        <v>100</v>
      </c>
      <c r="G1258" t="s">
        <v>2820</v>
      </c>
      <c r="H1258" t="s">
        <v>154</v>
      </c>
      <c r="I1258" t="s">
        <v>271</v>
      </c>
      <c r="J1258" t="s">
        <v>94</v>
      </c>
      <c r="K1258" t="s">
        <v>177</v>
      </c>
      <c r="L1258">
        <v>0</v>
      </c>
      <c r="M1258" s="4"/>
      <c r="N1258" s="2"/>
      <c r="O1258" s="21"/>
      <c r="P1258" s="2"/>
      <c r="Q1258" s="2"/>
      <c r="R1258" s="4"/>
      <c r="S1258" s="4"/>
      <c r="T1258" s="4"/>
      <c r="U1258" s="4"/>
      <c r="V1258" s="4"/>
      <c r="W1258" s="4"/>
    </row>
    <row r="1259" spans="1:23" ht="14.5" hidden="1" customHeight="1" x14ac:dyDescent="0.2">
      <c r="A1259">
        <f t="shared" si="19"/>
        <v>1253</v>
      </c>
      <c r="B1259">
        <v>2017</v>
      </c>
      <c r="C1259" t="s">
        <v>191</v>
      </c>
      <c r="D1259" t="s">
        <v>2821</v>
      </c>
      <c r="E1259" s="22">
        <v>1900</v>
      </c>
      <c r="H1259" t="s">
        <v>150</v>
      </c>
      <c r="I1259" t="s">
        <v>217</v>
      </c>
      <c r="J1259" t="s">
        <v>64</v>
      </c>
      <c r="K1259" t="s">
        <v>219</v>
      </c>
      <c r="L1259">
        <v>1</v>
      </c>
      <c r="M1259" s="4"/>
      <c r="N1259" s="2"/>
      <c r="O1259" s="21"/>
      <c r="P1259" s="2"/>
      <c r="Q1259" s="2"/>
      <c r="R1259" s="4"/>
      <c r="S1259" s="4"/>
      <c r="T1259" s="4"/>
      <c r="U1259" s="4"/>
      <c r="V1259" s="4"/>
      <c r="W1259" s="4"/>
    </row>
    <row r="1260" spans="1:23" ht="14.5" hidden="1" customHeight="1" x14ac:dyDescent="0.2">
      <c r="A1260">
        <f t="shared" si="19"/>
        <v>1254</v>
      </c>
      <c r="B1260">
        <v>2017</v>
      </c>
      <c r="C1260" t="s">
        <v>191</v>
      </c>
      <c r="D1260" t="s">
        <v>557</v>
      </c>
      <c r="E1260" s="22">
        <v>500</v>
      </c>
      <c r="G1260" t="s">
        <v>2822</v>
      </c>
      <c r="H1260" t="s">
        <v>151</v>
      </c>
      <c r="I1260" t="s">
        <v>279</v>
      </c>
      <c r="J1260" t="s">
        <v>132</v>
      </c>
      <c r="K1260" t="s">
        <v>219</v>
      </c>
      <c r="L1260">
        <v>1</v>
      </c>
      <c r="M1260" s="4"/>
      <c r="N1260" s="2"/>
      <c r="O1260" s="21"/>
      <c r="P1260" s="2"/>
      <c r="Q1260" s="2"/>
      <c r="R1260" s="4"/>
      <c r="S1260" s="4"/>
      <c r="T1260" s="4"/>
      <c r="U1260" s="4"/>
      <c r="V1260" s="4"/>
      <c r="W1260" s="4"/>
    </row>
    <row r="1261" spans="1:23" ht="14.5" hidden="1" customHeight="1" x14ac:dyDescent="0.2">
      <c r="A1261">
        <f t="shared" si="19"/>
        <v>1255</v>
      </c>
      <c r="B1261">
        <v>2017</v>
      </c>
      <c r="C1261" t="s">
        <v>191</v>
      </c>
      <c r="D1261" t="s">
        <v>875</v>
      </c>
      <c r="E1261" s="22">
        <v>1470</v>
      </c>
      <c r="G1261" t="s">
        <v>2593</v>
      </c>
      <c r="H1261" t="s">
        <v>144</v>
      </c>
      <c r="I1261" t="s">
        <v>299</v>
      </c>
      <c r="J1261" t="s">
        <v>101</v>
      </c>
      <c r="K1261" t="s">
        <v>201</v>
      </c>
      <c r="L1261">
        <v>1</v>
      </c>
      <c r="M1261" s="4"/>
      <c r="N1261" s="2"/>
      <c r="O1261" s="21"/>
      <c r="P1261" s="2"/>
      <c r="Q1261" s="2"/>
      <c r="R1261" s="4"/>
      <c r="S1261" s="4"/>
      <c r="T1261" s="4"/>
      <c r="U1261" s="4"/>
      <c r="V1261" s="4"/>
      <c r="W1261" s="4"/>
    </row>
    <row r="1262" spans="1:23" ht="14.5" hidden="1" customHeight="1" x14ac:dyDescent="0.2">
      <c r="A1262">
        <f t="shared" si="19"/>
        <v>1256</v>
      </c>
      <c r="B1262">
        <v>2017</v>
      </c>
      <c r="C1262" t="s">
        <v>191</v>
      </c>
      <c r="D1262" t="s">
        <v>397</v>
      </c>
      <c r="E1262" s="22">
        <v>110</v>
      </c>
      <c r="H1262" t="s">
        <v>151</v>
      </c>
      <c r="I1262" t="s">
        <v>279</v>
      </c>
      <c r="J1262" t="s">
        <v>136</v>
      </c>
      <c r="K1262" t="s">
        <v>183</v>
      </c>
      <c r="L1262">
        <v>1</v>
      </c>
      <c r="M1262" s="4"/>
      <c r="N1262" s="2"/>
      <c r="O1262" s="21"/>
      <c r="P1262" s="2"/>
      <c r="Q1262" s="2"/>
      <c r="R1262" s="4"/>
      <c r="S1262" s="4"/>
      <c r="T1262" s="4"/>
      <c r="U1262" s="4"/>
      <c r="V1262" s="4"/>
      <c r="W1262" s="4"/>
    </row>
    <row r="1263" spans="1:23" ht="14.5" hidden="1" customHeight="1" x14ac:dyDescent="0.2">
      <c r="A1263">
        <f t="shared" si="19"/>
        <v>1257</v>
      </c>
      <c r="B1263">
        <v>2017</v>
      </c>
      <c r="C1263" t="s">
        <v>191</v>
      </c>
      <c r="D1263" t="s">
        <v>2823</v>
      </c>
      <c r="E1263" s="22">
        <v>390</v>
      </c>
      <c r="H1263" t="s">
        <v>146</v>
      </c>
      <c r="J1263" t="s">
        <v>80</v>
      </c>
      <c r="K1263" t="s">
        <v>214</v>
      </c>
      <c r="L1263">
        <v>1</v>
      </c>
      <c r="M1263" s="4"/>
      <c r="N1263" s="2"/>
      <c r="O1263" s="21"/>
      <c r="P1263" s="2"/>
      <c r="Q1263" s="2"/>
      <c r="R1263" s="4"/>
      <c r="S1263" s="4"/>
      <c r="T1263" s="4"/>
      <c r="U1263" s="4"/>
      <c r="V1263" s="4"/>
      <c r="W1263" s="4"/>
    </row>
    <row r="1264" spans="1:23" ht="14.5" hidden="1" customHeight="1" x14ac:dyDescent="0.2">
      <c r="A1264">
        <f t="shared" si="19"/>
        <v>1258</v>
      </c>
      <c r="B1264">
        <v>2017</v>
      </c>
      <c r="C1264" t="s">
        <v>191</v>
      </c>
      <c r="D1264" t="s">
        <v>479</v>
      </c>
      <c r="E1264" s="22">
        <v>440</v>
      </c>
      <c r="H1264" t="s">
        <v>148</v>
      </c>
      <c r="J1264" t="s">
        <v>45</v>
      </c>
      <c r="K1264" t="s">
        <v>195</v>
      </c>
      <c r="L1264">
        <v>0</v>
      </c>
      <c r="M1264" s="4"/>
      <c r="N1264" s="2"/>
      <c r="O1264" s="21"/>
      <c r="P1264" s="2"/>
      <c r="Q1264" s="2"/>
      <c r="R1264" s="4"/>
      <c r="S1264" s="4"/>
      <c r="T1264" s="4"/>
      <c r="U1264" s="4"/>
      <c r="V1264" s="4"/>
      <c r="W1264" s="4"/>
    </row>
    <row r="1265" spans="1:23" ht="14.5" hidden="1" customHeight="1" x14ac:dyDescent="0.2">
      <c r="A1265">
        <f t="shared" si="19"/>
        <v>1259</v>
      </c>
      <c r="B1265">
        <v>2017</v>
      </c>
      <c r="C1265" t="s">
        <v>191</v>
      </c>
      <c r="D1265" t="s">
        <v>337</v>
      </c>
      <c r="E1265" s="22">
        <v>890</v>
      </c>
      <c r="G1265" t="s">
        <v>2526</v>
      </c>
      <c r="H1265" t="s">
        <v>144</v>
      </c>
      <c r="I1265" t="s">
        <v>273</v>
      </c>
      <c r="J1265" t="s">
        <v>136</v>
      </c>
      <c r="K1265" t="s">
        <v>183</v>
      </c>
      <c r="L1265">
        <v>1</v>
      </c>
      <c r="M1265" s="4"/>
      <c r="N1265" s="2"/>
      <c r="O1265" s="21"/>
      <c r="P1265" s="2"/>
      <c r="Q1265" s="2"/>
      <c r="R1265" s="4"/>
      <c r="S1265" s="4"/>
      <c r="T1265" s="4"/>
      <c r="U1265" s="4"/>
      <c r="V1265" s="4"/>
      <c r="W1265" s="4"/>
    </row>
    <row r="1266" spans="1:23" ht="14.5" hidden="1" customHeight="1" x14ac:dyDescent="0.2">
      <c r="A1266">
        <f t="shared" si="19"/>
        <v>1260</v>
      </c>
      <c r="B1266">
        <v>2017</v>
      </c>
      <c r="C1266" t="s">
        <v>191</v>
      </c>
      <c r="D1266" t="s">
        <v>421</v>
      </c>
      <c r="E1266" s="22">
        <v>1440</v>
      </c>
      <c r="H1266" t="s">
        <v>154</v>
      </c>
      <c r="I1266" t="s">
        <v>250</v>
      </c>
      <c r="J1266" t="s">
        <v>6</v>
      </c>
      <c r="K1266" t="s">
        <v>219</v>
      </c>
      <c r="L1266">
        <v>1</v>
      </c>
      <c r="M1266" s="4"/>
      <c r="N1266" s="2"/>
      <c r="O1266" s="21"/>
      <c r="P1266" s="2"/>
      <c r="Q1266" s="2"/>
      <c r="R1266" s="4"/>
      <c r="S1266" s="4"/>
      <c r="T1266" s="4"/>
      <c r="U1266" s="4"/>
      <c r="V1266" s="4"/>
      <c r="W1266" s="4"/>
    </row>
    <row r="1267" spans="1:23" ht="14.5" hidden="1" customHeight="1" x14ac:dyDescent="0.2">
      <c r="A1267">
        <f t="shared" si="19"/>
        <v>1261</v>
      </c>
      <c r="B1267">
        <v>2017</v>
      </c>
      <c r="C1267" t="s">
        <v>191</v>
      </c>
      <c r="D1267" t="s">
        <v>557</v>
      </c>
      <c r="E1267" s="22">
        <v>120</v>
      </c>
      <c r="H1267" t="s">
        <v>151</v>
      </c>
      <c r="I1267" t="s">
        <v>279</v>
      </c>
      <c r="J1267" t="s">
        <v>136</v>
      </c>
      <c r="K1267" t="s">
        <v>183</v>
      </c>
      <c r="L1267">
        <v>1</v>
      </c>
      <c r="M1267" s="4"/>
      <c r="N1267" s="2"/>
      <c r="O1267" s="21"/>
      <c r="P1267" s="2"/>
      <c r="Q1267" s="2"/>
      <c r="R1267" s="4"/>
      <c r="S1267" s="4"/>
      <c r="T1267" s="4"/>
      <c r="U1267" s="4"/>
      <c r="V1267" s="4"/>
      <c r="W1267" s="4"/>
    </row>
    <row r="1268" spans="1:23" ht="14.5" hidden="1" customHeight="1" x14ac:dyDescent="0.2">
      <c r="A1268">
        <f t="shared" si="19"/>
        <v>1262</v>
      </c>
      <c r="B1268">
        <v>2017</v>
      </c>
      <c r="C1268" t="s">
        <v>198</v>
      </c>
      <c r="D1268" t="s">
        <v>2824</v>
      </c>
      <c r="E1268" s="22">
        <v>1240</v>
      </c>
      <c r="H1268" t="s">
        <v>154</v>
      </c>
      <c r="I1268" t="s">
        <v>529</v>
      </c>
      <c r="J1268" t="s">
        <v>38</v>
      </c>
      <c r="K1268" t="s">
        <v>214</v>
      </c>
      <c r="L1268">
        <v>1</v>
      </c>
      <c r="M1268" s="4"/>
      <c r="N1268" s="2"/>
      <c r="O1268" s="21"/>
      <c r="P1268" s="2"/>
      <c r="Q1268" s="2"/>
      <c r="R1268" s="4"/>
      <c r="S1268" s="4"/>
      <c r="T1268" s="4"/>
      <c r="U1268" s="4"/>
      <c r="V1268" s="4"/>
      <c r="W1268" s="4"/>
    </row>
    <row r="1269" spans="1:23" ht="14.5" hidden="1" customHeight="1" x14ac:dyDescent="0.2">
      <c r="A1269">
        <f t="shared" si="19"/>
        <v>1263</v>
      </c>
      <c r="B1269">
        <v>2017</v>
      </c>
      <c r="C1269" t="s">
        <v>198</v>
      </c>
      <c r="D1269" t="s">
        <v>421</v>
      </c>
      <c r="E1269" s="22">
        <v>400</v>
      </c>
      <c r="H1269" t="s">
        <v>154</v>
      </c>
      <c r="I1269" t="s">
        <v>250</v>
      </c>
      <c r="J1269" t="s">
        <v>138</v>
      </c>
      <c r="K1269" t="s">
        <v>219</v>
      </c>
      <c r="L1269">
        <v>1</v>
      </c>
      <c r="M1269" s="4"/>
      <c r="N1269" s="2"/>
      <c r="O1269" s="21"/>
      <c r="P1269" s="2"/>
      <c r="Q1269" s="2"/>
      <c r="R1269" s="4"/>
      <c r="S1269" s="4"/>
      <c r="T1269" s="4"/>
      <c r="U1269" s="4"/>
      <c r="V1269" s="4"/>
      <c r="W1269" s="4"/>
    </row>
    <row r="1270" spans="1:23" ht="14.5" hidden="1" customHeight="1" x14ac:dyDescent="0.2">
      <c r="A1270">
        <f t="shared" si="19"/>
        <v>1264</v>
      </c>
      <c r="B1270">
        <v>2017</v>
      </c>
      <c r="C1270" t="s">
        <v>198</v>
      </c>
      <c r="D1270" t="s">
        <v>1035</v>
      </c>
      <c r="E1270" s="22">
        <v>190</v>
      </c>
      <c r="H1270" t="s">
        <v>144</v>
      </c>
      <c r="I1270" t="s">
        <v>197</v>
      </c>
      <c r="J1270" t="s">
        <v>16</v>
      </c>
      <c r="K1270" t="s">
        <v>205</v>
      </c>
      <c r="L1270">
        <v>1</v>
      </c>
      <c r="M1270" s="4"/>
      <c r="N1270" s="2"/>
      <c r="O1270" s="21"/>
      <c r="P1270" s="2"/>
      <c r="Q1270" s="2"/>
      <c r="R1270" s="4"/>
      <c r="S1270" s="4"/>
      <c r="T1270" s="4"/>
      <c r="U1270" s="4"/>
      <c r="V1270" s="4"/>
      <c r="W1270" s="4"/>
    </row>
    <row r="1271" spans="1:23" ht="14.5" hidden="1" customHeight="1" x14ac:dyDescent="0.2">
      <c r="A1271">
        <f t="shared" si="19"/>
        <v>1265</v>
      </c>
      <c r="B1271">
        <v>2017</v>
      </c>
      <c r="C1271" t="s">
        <v>198</v>
      </c>
      <c r="D1271" t="s">
        <v>397</v>
      </c>
      <c r="E1271" s="22">
        <v>170</v>
      </c>
      <c r="H1271" t="s">
        <v>154</v>
      </c>
      <c r="I1271" t="s">
        <v>250</v>
      </c>
      <c r="J1271" t="s">
        <v>124</v>
      </c>
      <c r="K1271" t="s">
        <v>183</v>
      </c>
      <c r="L1271">
        <v>1</v>
      </c>
      <c r="M1271" s="4"/>
      <c r="N1271" s="2"/>
      <c r="O1271" s="21"/>
      <c r="P1271" s="2"/>
      <c r="Q1271" s="2"/>
      <c r="R1271" s="4"/>
      <c r="S1271" s="4"/>
      <c r="T1271" s="4"/>
      <c r="U1271" s="4"/>
      <c r="V1271" s="4"/>
      <c r="W1271" s="4"/>
    </row>
    <row r="1272" spans="1:23" ht="14.5" hidden="1" customHeight="1" x14ac:dyDescent="0.2">
      <c r="A1272">
        <f t="shared" si="19"/>
        <v>1266</v>
      </c>
      <c r="B1272">
        <v>2017</v>
      </c>
      <c r="C1272" t="s">
        <v>198</v>
      </c>
      <c r="D1272" t="s">
        <v>175</v>
      </c>
      <c r="E1272" s="22">
        <v>200</v>
      </c>
      <c r="H1272" t="s">
        <v>144</v>
      </c>
      <c r="I1272" t="s">
        <v>232</v>
      </c>
      <c r="J1272" t="s">
        <v>93</v>
      </c>
      <c r="K1272" t="s">
        <v>201</v>
      </c>
      <c r="L1272">
        <v>1</v>
      </c>
      <c r="M1272" s="4"/>
      <c r="N1272" s="2"/>
      <c r="O1272" s="21"/>
      <c r="P1272" s="2"/>
      <c r="Q1272" s="2"/>
      <c r="R1272" s="4"/>
      <c r="S1272" s="4"/>
      <c r="T1272" s="4"/>
      <c r="U1272" s="4"/>
      <c r="V1272" s="4"/>
      <c r="W1272" s="4"/>
    </row>
    <row r="1273" spans="1:23" ht="14.5" hidden="1" customHeight="1" x14ac:dyDescent="0.2">
      <c r="A1273">
        <f t="shared" si="19"/>
        <v>1267</v>
      </c>
      <c r="B1273">
        <v>2017</v>
      </c>
      <c r="C1273" t="s">
        <v>198</v>
      </c>
      <c r="D1273" t="s">
        <v>557</v>
      </c>
      <c r="E1273" s="22">
        <v>280</v>
      </c>
      <c r="G1273" t="s">
        <v>2825</v>
      </c>
      <c r="H1273" t="s">
        <v>151</v>
      </c>
      <c r="I1273" t="s">
        <v>279</v>
      </c>
      <c r="J1273" t="s">
        <v>8</v>
      </c>
      <c r="K1273" t="s">
        <v>205</v>
      </c>
      <c r="L1273">
        <v>1</v>
      </c>
      <c r="M1273" s="4"/>
      <c r="N1273" s="2"/>
      <c r="O1273" s="21"/>
      <c r="P1273" s="2"/>
      <c r="Q1273" s="2"/>
      <c r="R1273" s="4"/>
      <c r="S1273" s="4"/>
      <c r="T1273" s="4"/>
      <c r="U1273" s="4"/>
      <c r="V1273" s="4"/>
      <c r="W1273" s="4"/>
    </row>
    <row r="1274" spans="1:23" ht="14.5" hidden="1" customHeight="1" x14ac:dyDescent="0.2">
      <c r="A1274">
        <f t="shared" si="19"/>
        <v>1268</v>
      </c>
      <c r="B1274">
        <v>2017</v>
      </c>
      <c r="C1274" t="s">
        <v>198</v>
      </c>
      <c r="D1274" t="s">
        <v>1292</v>
      </c>
      <c r="E1274" s="22">
        <v>120</v>
      </c>
      <c r="H1274" t="s">
        <v>155</v>
      </c>
      <c r="J1274" t="s">
        <v>13</v>
      </c>
      <c r="K1274" t="s">
        <v>201</v>
      </c>
      <c r="L1274">
        <v>1</v>
      </c>
      <c r="M1274" s="4"/>
      <c r="N1274" s="2"/>
      <c r="O1274" s="21"/>
      <c r="P1274" s="2"/>
      <c r="Q1274" s="2"/>
      <c r="R1274" s="4"/>
      <c r="S1274" s="4"/>
      <c r="T1274" s="4"/>
      <c r="U1274" s="4"/>
      <c r="V1274" s="4"/>
      <c r="W1274" s="4"/>
    </row>
    <row r="1275" spans="1:23" ht="14.5" hidden="1" customHeight="1" x14ac:dyDescent="0.2">
      <c r="A1275">
        <f t="shared" si="19"/>
        <v>1269</v>
      </c>
      <c r="B1275">
        <v>2017</v>
      </c>
      <c r="C1275" t="s">
        <v>198</v>
      </c>
      <c r="D1275" t="s">
        <v>444</v>
      </c>
      <c r="E1275" s="22">
        <v>100</v>
      </c>
      <c r="H1275" t="s">
        <v>144</v>
      </c>
      <c r="I1275" t="s">
        <v>232</v>
      </c>
      <c r="J1275" t="s">
        <v>78</v>
      </c>
      <c r="K1275" t="s">
        <v>183</v>
      </c>
      <c r="L1275">
        <v>1</v>
      </c>
      <c r="M1275" s="4"/>
      <c r="N1275" s="2"/>
      <c r="O1275" s="21"/>
      <c r="P1275" s="2"/>
      <c r="Q1275" s="2"/>
      <c r="R1275" s="4"/>
      <c r="S1275" s="4"/>
      <c r="T1275" s="4"/>
      <c r="U1275" s="4"/>
      <c r="V1275" s="4"/>
      <c r="W1275" s="4"/>
    </row>
    <row r="1276" spans="1:23" ht="14.5" hidden="1" customHeight="1" x14ac:dyDescent="0.2">
      <c r="A1276">
        <f t="shared" si="19"/>
        <v>1270</v>
      </c>
      <c r="B1276">
        <v>2017</v>
      </c>
      <c r="C1276" t="s">
        <v>198</v>
      </c>
      <c r="D1276" t="s">
        <v>2281</v>
      </c>
      <c r="E1276" s="22">
        <v>230</v>
      </c>
      <c r="G1276" t="s">
        <v>2670</v>
      </c>
      <c r="H1276" t="s">
        <v>144</v>
      </c>
      <c r="I1276" t="s">
        <v>232</v>
      </c>
      <c r="J1276" t="s">
        <v>80</v>
      </c>
      <c r="K1276" t="s">
        <v>214</v>
      </c>
      <c r="L1276">
        <v>1</v>
      </c>
      <c r="M1276" s="4"/>
      <c r="N1276" s="2"/>
      <c r="O1276" s="21"/>
      <c r="P1276" s="2"/>
      <c r="Q1276" s="2"/>
      <c r="R1276" s="4"/>
      <c r="S1276" s="4"/>
      <c r="T1276" s="4"/>
      <c r="U1276" s="4"/>
      <c r="V1276" s="4"/>
      <c r="W1276" s="4"/>
    </row>
    <row r="1277" spans="1:23" ht="14.5" hidden="1" customHeight="1" x14ac:dyDescent="0.2">
      <c r="A1277">
        <f t="shared" si="19"/>
        <v>1271</v>
      </c>
      <c r="B1277">
        <v>2017</v>
      </c>
      <c r="C1277" t="s">
        <v>198</v>
      </c>
      <c r="D1277" t="s">
        <v>530</v>
      </c>
      <c r="E1277" s="22">
        <v>280</v>
      </c>
      <c r="H1277" t="s">
        <v>152</v>
      </c>
      <c r="I1277" t="s">
        <v>257</v>
      </c>
      <c r="J1277" t="s">
        <v>138</v>
      </c>
      <c r="K1277" t="s">
        <v>219</v>
      </c>
      <c r="L1277">
        <v>1</v>
      </c>
      <c r="M1277" s="4"/>
      <c r="N1277" s="2"/>
      <c r="O1277" s="21"/>
      <c r="P1277" s="2"/>
      <c r="Q1277" s="2"/>
      <c r="R1277" s="4"/>
      <c r="S1277" s="4"/>
      <c r="T1277" s="4"/>
      <c r="U1277" s="4"/>
      <c r="V1277" s="4"/>
      <c r="W1277" s="4"/>
    </row>
    <row r="1278" spans="1:23" ht="14.5" hidden="1" customHeight="1" x14ac:dyDescent="0.2">
      <c r="A1278">
        <f t="shared" si="19"/>
        <v>1272</v>
      </c>
      <c r="B1278">
        <v>2017</v>
      </c>
      <c r="C1278" t="s">
        <v>198</v>
      </c>
      <c r="D1278" t="s">
        <v>1035</v>
      </c>
      <c r="E1278" s="22">
        <v>230</v>
      </c>
      <c r="H1278" t="s">
        <v>154</v>
      </c>
      <c r="I1278" t="s">
        <v>194</v>
      </c>
      <c r="J1278" t="s">
        <v>64</v>
      </c>
      <c r="K1278" t="s">
        <v>219</v>
      </c>
      <c r="L1278">
        <v>1</v>
      </c>
      <c r="M1278" s="4"/>
      <c r="N1278" s="2"/>
      <c r="O1278" s="21"/>
      <c r="P1278" s="2"/>
      <c r="Q1278" s="2"/>
      <c r="R1278" s="4"/>
      <c r="S1278" s="4"/>
      <c r="T1278" s="4"/>
      <c r="U1278" s="4"/>
      <c r="V1278" s="4"/>
      <c r="W1278" s="4"/>
    </row>
    <row r="1279" spans="1:23" ht="14.5" hidden="1" customHeight="1" x14ac:dyDescent="0.2">
      <c r="A1279">
        <f t="shared" si="19"/>
        <v>1273</v>
      </c>
      <c r="B1279">
        <v>2017</v>
      </c>
      <c r="C1279" t="s">
        <v>202</v>
      </c>
      <c r="D1279" t="s">
        <v>397</v>
      </c>
      <c r="E1279" s="22">
        <v>120</v>
      </c>
      <c r="H1279" t="s">
        <v>154</v>
      </c>
      <c r="I1279" t="s">
        <v>529</v>
      </c>
      <c r="J1279" t="s">
        <v>108</v>
      </c>
      <c r="K1279" t="s">
        <v>183</v>
      </c>
      <c r="L1279">
        <v>1</v>
      </c>
      <c r="M1279" s="4"/>
      <c r="N1279" s="2"/>
      <c r="O1279" s="21"/>
      <c r="P1279" s="2"/>
      <c r="Q1279" s="2"/>
      <c r="R1279" s="4"/>
      <c r="S1279" s="4"/>
      <c r="T1279" s="4"/>
      <c r="U1279" s="4"/>
      <c r="V1279" s="4"/>
      <c r="W1279" s="4"/>
    </row>
    <row r="1280" spans="1:23" ht="14.5" hidden="1" customHeight="1" x14ac:dyDescent="0.2">
      <c r="A1280">
        <f t="shared" si="19"/>
        <v>1274</v>
      </c>
      <c r="B1280">
        <v>2017</v>
      </c>
      <c r="C1280" t="s">
        <v>202</v>
      </c>
      <c r="D1280" t="s">
        <v>341</v>
      </c>
      <c r="E1280" s="22">
        <v>100</v>
      </c>
      <c r="H1280" t="s">
        <v>154</v>
      </c>
      <c r="I1280" t="s">
        <v>529</v>
      </c>
      <c r="J1280" t="s">
        <v>93</v>
      </c>
      <c r="K1280" t="s">
        <v>201</v>
      </c>
      <c r="L1280">
        <v>1</v>
      </c>
      <c r="M1280" s="4"/>
      <c r="N1280" s="2"/>
      <c r="O1280" s="21"/>
      <c r="P1280" s="2"/>
      <c r="Q1280" s="2"/>
      <c r="R1280" s="4"/>
      <c r="S1280" s="4"/>
      <c r="T1280" s="4"/>
      <c r="U1280" s="4"/>
      <c r="V1280" s="4"/>
      <c r="W1280" s="4"/>
    </row>
    <row r="1281" spans="1:23" ht="14.5" hidden="1" customHeight="1" x14ac:dyDescent="0.2">
      <c r="A1281">
        <f t="shared" si="19"/>
        <v>1275</v>
      </c>
      <c r="B1281">
        <v>2017</v>
      </c>
      <c r="C1281" t="s">
        <v>202</v>
      </c>
      <c r="D1281" t="s">
        <v>341</v>
      </c>
      <c r="E1281" s="22">
        <v>110</v>
      </c>
      <c r="G1281" t="s">
        <v>2826</v>
      </c>
      <c r="H1281" t="s">
        <v>154</v>
      </c>
      <c r="I1281" t="s">
        <v>529</v>
      </c>
      <c r="J1281" t="s">
        <v>13</v>
      </c>
      <c r="K1281" t="s">
        <v>201</v>
      </c>
      <c r="L1281">
        <v>1</v>
      </c>
      <c r="M1281" s="4"/>
      <c r="N1281" s="2"/>
      <c r="O1281" s="21"/>
      <c r="P1281" s="2"/>
      <c r="Q1281" s="2"/>
      <c r="R1281" s="4"/>
      <c r="S1281" s="4"/>
      <c r="T1281" s="4"/>
      <c r="U1281" s="4"/>
      <c r="V1281" s="4"/>
      <c r="W1281" s="4"/>
    </row>
    <row r="1282" spans="1:23" ht="14.5" hidden="1" customHeight="1" x14ac:dyDescent="0.2">
      <c r="A1282">
        <f t="shared" si="19"/>
        <v>1276</v>
      </c>
      <c r="B1282">
        <v>2017</v>
      </c>
      <c r="C1282" t="s">
        <v>202</v>
      </c>
      <c r="D1282" t="s">
        <v>444</v>
      </c>
      <c r="E1282" s="22">
        <v>520</v>
      </c>
      <c r="H1282" t="s">
        <v>144</v>
      </c>
      <c r="I1282" t="s">
        <v>299</v>
      </c>
      <c r="J1282" t="s">
        <v>93</v>
      </c>
      <c r="K1282" t="s">
        <v>201</v>
      </c>
      <c r="L1282">
        <v>1</v>
      </c>
      <c r="M1282" s="4"/>
      <c r="N1282" s="2"/>
      <c r="O1282" s="21"/>
      <c r="P1282" s="2"/>
      <c r="Q1282" s="2"/>
      <c r="R1282" s="4"/>
      <c r="S1282" s="4"/>
      <c r="T1282" s="4"/>
      <c r="U1282" s="4"/>
      <c r="V1282" s="4"/>
      <c r="W1282" s="4"/>
    </row>
    <row r="1283" spans="1:23" ht="14.5" hidden="1" customHeight="1" x14ac:dyDescent="0.2">
      <c r="A1283">
        <f t="shared" si="19"/>
        <v>1277</v>
      </c>
      <c r="B1283">
        <v>2017</v>
      </c>
      <c r="C1283" t="s">
        <v>202</v>
      </c>
      <c r="D1283" t="s">
        <v>479</v>
      </c>
      <c r="E1283" s="22">
        <v>140</v>
      </c>
      <c r="H1283" t="s">
        <v>154</v>
      </c>
      <c r="I1283" t="s">
        <v>194</v>
      </c>
      <c r="J1283" t="s">
        <v>93</v>
      </c>
      <c r="K1283" t="s">
        <v>201</v>
      </c>
      <c r="L1283">
        <v>1</v>
      </c>
      <c r="M1283" s="4"/>
      <c r="N1283" s="2"/>
      <c r="O1283" s="21"/>
      <c r="P1283" s="2"/>
      <c r="Q1283" s="2"/>
      <c r="R1283" s="4"/>
      <c r="S1283" s="4"/>
      <c r="T1283" s="4"/>
      <c r="U1283" s="4"/>
      <c r="V1283" s="4"/>
      <c r="W1283" s="4"/>
    </row>
    <row r="1284" spans="1:23" ht="14.5" hidden="1" customHeight="1" x14ac:dyDescent="0.2">
      <c r="A1284">
        <f t="shared" si="19"/>
        <v>1278</v>
      </c>
      <c r="B1284">
        <v>2017</v>
      </c>
      <c r="C1284" t="s">
        <v>202</v>
      </c>
      <c r="D1284" t="s">
        <v>875</v>
      </c>
      <c r="E1284" s="22">
        <v>190</v>
      </c>
      <c r="G1284" t="s">
        <v>2827</v>
      </c>
      <c r="H1284" t="s">
        <v>155</v>
      </c>
      <c r="J1284" t="s">
        <v>8</v>
      </c>
      <c r="K1284" t="s">
        <v>205</v>
      </c>
      <c r="L1284">
        <v>1</v>
      </c>
      <c r="M1284" s="4"/>
      <c r="N1284" s="2"/>
      <c r="O1284" s="21"/>
      <c r="P1284" s="2"/>
      <c r="Q1284" s="2"/>
      <c r="R1284" s="4"/>
      <c r="S1284" s="4"/>
      <c r="T1284" s="4"/>
      <c r="U1284" s="4"/>
      <c r="V1284" s="4"/>
      <c r="W1284" s="4"/>
    </row>
    <row r="1285" spans="1:23" ht="14.5" hidden="1" customHeight="1" x14ac:dyDescent="0.2">
      <c r="A1285">
        <f t="shared" si="19"/>
        <v>1279</v>
      </c>
      <c r="B1285">
        <v>2017</v>
      </c>
      <c r="C1285" t="s">
        <v>202</v>
      </c>
      <c r="D1285" t="s">
        <v>397</v>
      </c>
      <c r="E1285" s="22">
        <v>2170</v>
      </c>
      <c r="H1285" t="s">
        <v>151</v>
      </c>
      <c r="I1285" t="s">
        <v>224</v>
      </c>
      <c r="J1285" t="s">
        <v>130</v>
      </c>
      <c r="K1285" t="s">
        <v>214</v>
      </c>
      <c r="L1285">
        <v>1</v>
      </c>
      <c r="M1285" s="4"/>
      <c r="N1285" s="2"/>
      <c r="O1285" s="21"/>
      <c r="P1285" s="2"/>
      <c r="Q1285" s="2"/>
      <c r="R1285" s="4"/>
      <c r="S1285" s="4"/>
      <c r="T1285" s="4"/>
      <c r="U1285" s="4"/>
      <c r="V1285" s="4"/>
      <c r="W1285" s="4"/>
    </row>
    <row r="1286" spans="1:23" ht="14.5" hidden="1" customHeight="1" x14ac:dyDescent="0.2">
      <c r="A1286">
        <f t="shared" si="19"/>
        <v>1280</v>
      </c>
      <c r="B1286">
        <v>2017</v>
      </c>
      <c r="C1286" t="s">
        <v>202</v>
      </c>
      <c r="D1286" t="s">
        <v>875</v>
      </c>
      <c r="E1286" s="22">
        <v>3660</v>
      </c>
      <c r="F1286" s="16">
        <v>0.65</v>
      </c>
      <c r="G1286" t="s">
        <v>2828</v>
      </c>
      <c r="H1286" t="s">
        <v>144</v>
      </c>
      <c r="I1286" t="s">
        <v>197</v>
      </c>
      <c r="J1286" t="s">
        <v>8</v>
      </c>
      <c r="K1286" t="s">
        <v>205</v>
      </c>
      <c r="L1286">
        <v>1</v>
      </c>
      <c r="M1286" s="4"/>
      <c r="N1286" s="2"/>
      <c r="O1286" s="21"/>
      <c r="P1286" s="2"/>
      <c r="Q1286" s="2"/>
      <c r="R1286" s="4"/>
      <c r="S1286" s="4"/>
      <c r="T1286" s="4"/>
      <c r="U1286" s="4"/>
      <c r="V1286" s="4"/>
      <c r="W1286" s="4"/>
    </row>
    <row r="1287" spans="1:23" ht="14.5" hidden="1" customHeight="1" x14ac:dyDescent="0.2">
      <c r="A1287">
        <f t="shared" ref="A1287:A1350" si="20">ROW()-6</f>
        <v>1281</v>
      </c>
      <c r="B1287">
        <v>2017</v>
      </c>
      <c r="C1287" t="s">
        <v>202</v>
      </c>
      <c r="D1287" t="s">
        <v>479</v>
      </c>
      <c r="E1287" s="22">
        <v>120</v>
      </c>
      <c r="G1287" t="s">
        <v>2829</v>
      </c>
      <c r="H1287" t="s">
        <v>154</v>
      </c>
      <c r="I1287" t="s">
        <v>194</v>
      </c>
      <c r="J1287" t="s">
        <v>72</v>
      </c>
      <c r="K1287" t="s">
        <v>183</v>
      </c>
      <c r="L1287">
        <v>1</v>
      </c>
      <c r="M1287" s="4"/>
      <c r="N1287" s="2"/>
      <c r="O1287" s="21"/>
      <c r="P1287" s="2"/>
      <c r="Q1287" s="2"/>
      <c r="R1287" s="4"/>
      <c r="S1287" s="4"/>
      <c r="T1287" s="4"/>
      <c r="U1287" s="4"/>
      <c r="V1287" s="4"/>
      <c r="W1287" s="4"/>
    </row>
    <row r="1288" spans="1:23" ht="14.5" hidden="1" customHeight="1" x14ac:dyDescent="0.2">
      <c r="A1288">
        <f t="shared" si="20"/>
        <v>1282</v>
      </c>
      <c r="B1288">
        <v>2017</v>
      </c>
      <c r="C1288" t="s">
        <v>207</v>
      </c>
      <c r="D1288" t="s">
        <v>341</v>
      </c>
      <c r="E1288" s="22">
        <v>230</v>
      </c>
      <c r="H1288" t="s">
        <v>154</v>
      </c>
      <c r="I1288" t="s">
        <v>529</v>
      </c>
      <c r="J1288" t="s">
        <v>108</v>
      </c>
      <c r="K1288" t="s">
        <v>183</v>
      </c>
      <c r="L1288">
        <v>1</v>
      </c>
      <c r="M1288" s="4"/>
      <c r="N1288" s="2"/>
      <c r="O1288" s="21"/>
      <c r="P1288" s="2"/>
      <c r="Q1288" s="2"/>
      <c r="R1288" s="4"/>
      <c r="S1288" s="4"/>
      <c r="T1288" s="4"/>
      <c r="U1288" s="4"/>
      <c r="V1288" s="4"/>
      <c r="W1288" s="4"/>
    </row>
    <row r="1289" spans="1:23" ht="14.5" hidden="1" customHeight="1" x14ac:dyDescent="0.2">
      <c r="A1289">
        <f t="shared" si="20"/>
        <v>1283</v>
      </c>
      <c r="B1289">
        <v>2017</v>
      </c>
      <c r="C1289" t="s">
        <v>207</v>
      </c>
      <c r="D1289" t="s">
        <v>2704</v>
      </c>
      <c r="E1289" s="22">
        <v>460</v>
      </c>
      <c r="G1289" t="s">
        <v>2830</v>
      </c>
      <c r="H1289" t="s">
        <v>144</v>
      </c>
      <c r="I1289" t="s">
        <v>232</v>
      </c>
      <c r="J1289" t="s">
        <v>20</v>
      </c>
      <c r="K1289" t="s">
        <v>195</v>
      </c>
      <c r="L1289">
        <v>0</v>
      </c>
      <c r="M1289" s="4"/>
      <c r="N1289" s="2"/>
      <c r="O1289" s="21"/>
      <c r="P1289" s="2"/>
      <c r="Q1289" s="2"/>
      <c r="R1289" s="4"/>
      <c r="S1289" s="4"/>
      <c r="T1289" s="4"/>
      <c r="U1289" s="4"/>
      <c r="V1289" s="4"/>
      <c r="W1289" s="4"/>
    </row>
    <row r="1290" spans="1:23" ht="14.5" hidden="1" customHeight="1" x14ac:dyDescent="0.2">
      <c r="A1290">
        <f t="shared" si="20"/>
        <v>1284</v>
      </c>
      <c r="B1290">
        <v>2017</v>
      </c>
      <c r="C1290" t="s">
        <v>207</v>
      </c>
      <c r="D1290" t="s">
        <v>479</v>
      </c>
      <c r="E1290" s="22">
        <v>180</v>
      </c>
      <c r="F1290" s="16">
        <v>0.5</v>
      </c>
      <c r="H1290" t="s">
        <v>155</v>
      </c>
      <c r="J1290" t="s">
        <v>9</v>
      </c>
      <c r="K1290" t="s">
        <v>9</v>
      </c>
      <c r="L1290">
        <v>0</v>
      </c>
      <c r="M1290" s="4"/>
      <c r="N1290" s="2"/>
      <c r="O1290" s="21"/>
      <c r="P1290" s="2"/>
      <c r="Q1290" s="2"/>
      <c r="R1290" s="4"/>
      <c r="S1290" s="4"/>
      <c r="T1290" s="4"/>
      <c r="U1290" s="4"/>
      <c r="V1290" s="4"/>
      <c r="W1290" s="4"/>
    </row>
    <row r="1291" spans="1:23" ht="14.5" hidden="1" customHeight="1" x14ac:dyDescent="0.2">
      <c r="A1291">
        <f t="shared" si="20"/>
        <v>1285</v>
      </c>
      <c r="B1291">
        <v>2017</v>
      </c>
      <c r="C1291" t="s">
        <v>207</v>
      </c>
      <c r="D1291" t="s">
        <v>1035</v>
      </c>
      <c r="E1291" s="22">
        <v>1990</v>
      </c>
      <c r="G1291" t="s">
        <v>2831</v>
      </c>
      <c r="H1291" t="s">
        <v>144</v>
      </c>
      <c r="I1291" t="s">
        <v>187</v>
      </c>
      <c r="J1291" t="s">
        <v>38</v>
      </c>
      <c r="K1291" t="s">
        <v>214</v>
      </c>
      <c r="L1291">
        <v>1</v>
      </c>
      <c r="M1291" s="4"/>
      <c r="N1291" s="2"/>
      <c r="O1291" s="21"/>
      <c r="P1291" s="2"/>
      <c r="Q1291" s="2"/>
      <c r="R1291" s="4"/>
      <c r="S1291" s="4"/>
      <c r="T1291" s="4"/>
      <c r="U1291" s="4"/>
      <c r="V1291" s="4"/>
      <c r="W1291" s="4"/>
    </row>
    <row r="1292" spans="1:23" ht="14.5" hidden="1" customHeight="1" x14ac:dyDescent="0.2">
      <c r="A1292">
        <f t="shared" si="20"/>
        <v>1286</v>
      </c>
      <c r="B1292">
        <v>2017</v>
      </c>
      <c r="C1292" t="s">
        <v>207</v>
      </c>
      <c r="D1292" t="s">
        <v>1071</v>
      </c>
      <c r="E1292" s="22">
        <v>1230</v>
      </c>
      <c r="G1292" t="s">
        <v>2832</v>
      </c>
      <c r="H1292" t="s">
        <v>151</v>
      </c>
      <c r="I1292" t="s">
        <v>279</v>
      </c>
      <c r="J1292" t="s">
        <v>112</v>
      </c>
      <c r="K1292" t="s">
        <v>219</v>
      </c>
      <c r="L1292">
        <v>1</v>
      </c>
      <c r="M1292" s="4"/>
      <c r="N1292" s="2"/>
      <c r="O1292" s="21"/>
      <c r="P1292" s="2"/>
      <c r="Q1292" s="2"/>
      <c r="R1292" s="4"/>
      <c r="S1292" s="4"/>
      <c r="T1292" s="4"/>
      <c r="U1292" s="4"/>
      <c r="V1292" s="4"/>
      <c r="W1292" s="4"/>
    </row>
    <row r="1293" spans="1:23" ht="14.5" hidden="1" customHeight="1" x14ac:dyDescent="0.2">
      <c r="A1293">
        <f t="shared" si="20"/>
        <v>1287</v>
      </c>
      <c r="B1293">
        <v>2017</v>
      </c>
      <c r="C1293" t="s">
        <v>207</v>
      </c>
      <c r="D1293" t="s">
        <v>2833</v>
      </c>
      <c r="E1293" s="22">
        <v>100</v>
      </c>
      <c r="H1293" t="s">
        <v>154</v>
      </c>
      <c r="I1293" t="s">
        <v>194</v>
      </c>
      <c r="J1293" t="s">
        <v>133</v>
      </c>
      <c r="K1293" t="s">
        <v>195</v>
      </c>
      <c r="L1293">
        <v>1</v>
      </c>
      <c r="M1293" s="4"/>
      <c r="N1293" s="2"/>
      <c r="O1293" s="21"/>
      <c r="P1293" s="2"/>
      <c r="Q1293" s="2"/>
      <c r="R1293" s="4"/>
      <c r="S1293" s="4"/>
      <c r="T1293" s="4"/>
      <c r="U1293" s="4"/>
      <c r="V1293" s="4"/>
      <c r="W1293" s="4"/>
    </row>
    <row r="1294" spans="1:23" ht="14.5" hidden="1" customHeight="1" x14ac:dyDescent="0.2">
      <c r="A1294">
        <f t="shared" si="20"/>
        <v>1288</v>
      </c>
      <c r="B1294">
        <v>2017</v>
      </c>
      <c r="C1294" t="s">
        <v>207</v>
      </c>
      <c r="D1294" t="s">
        <v>399</v>
      </c>
      <c r="E1294" s="22">
        <v>210</v>
      </c>
      <c r="H1294" t="s">
        <v>144</v>
      </c>
      <c r="I1294" t="s">
        <v>299</v>
      </c>
      <c r="J1294" t="s">
        <v>106</v>
      </c>
      <c r="K1294" t="s">
        <v>195</v>
      </c>
      <c r="L1294">
        <v>1</v>
      </c>
      <c r="M1294" s="4"/>
      <c r="N1294" s="2"/>
      <c r="O1294" s="21"/>
      <c r="P1294" s="2"/>
      <c r="Q1294" s="2"/>
      <c r="R1294" s="4"/>
      <c r="S1294" s="4"/>
      <c r="T1294" s="4"/>
      <c r="U1294" s="4"/>
      <c r="V1294" s="4"/>
      <c r="W1294" s="4"/>
    </row>
    <row r="1295" spans="1:23" ht="14.5" hidden="1" customHeight="1" x14ac:dyDescent="0.2">
      <c r="A1295">
        <f t="shared" si="20"/>
        <v>1289</v>
      </c>
      <c r="B1295">
        <v>2017</v>
      </c>
      <c r="C1295" t="s">
        <v>207</v>
      </c>
      <c r="D1295" t="s">
        <v>175</v>
      </c>
      <c r="E1295" s="22">
        <v>340</v>
      </c>
      <c r="H1295" t="s">
        <v>153</v>
      </c>
      <c r="J1295" t="s">
        <v>72</v>
      </c>
      <c r="K1295" t="s">
        <v>183</v>
      </c>
      <c r="L1295">
        <v>1</v>
      </c>
      <c r="M1295" s="4"/>
      <c r="N1295" s="2"/>
      <c r="O1295" s="21"/>
      <c r="P1295" s="2"/>
      <c r="Q1295" s="2"/>
      <c r="R1295" s="4"/>
      <c r="S1295" s="4"/>
      <c r="T1295" s="4"/>
      <c r="U1295" s="4"/>
      <c r="V1295" s="4"/>
      <c r="W1295" s="4"/>
    </row>
    <row r="1296" spans="1:23" ht="14.5" hidden="1" customHeight="1" x14ac:dyDescent="0.2">
      <c r="A1296">
        <f t="shared" si="20"/>
        <v>1290</v>
      </c>
      <c r="B1296">
        <v>2017</v>
      </c>
      <c r="C1296" t="s">
        <v>207</v>
      </c>
      <c r="D1296" t="s">
        <v>479</v>
      </c>
      <c r="E1296" s="22">
        <v>220</v>
      </c>
      <c r="G1296" t="s">
        <v>2834</v>
      </c>
      <c r="H1296" t="s">
        <v>155</v>
      </c>
      <c r="J1296" t="s">
        <v>9</v>
      </c>
      <c r="K1296" t="s">
        <v>9</v>
      </c>
      <c r="L1296">
        <v>0</v>
      </c>
      <c r="M1296" s="4"/>
      <c r="N1296" s="2"/>
      <c r="O1296" s="21"/>
      <c r="P1296" s="2"/>
      <c r="Q1296" s="2"/>
      <c r="R1296" s="4"/>
      <c r="S1296" s="4"/>
      <c r="T1296" s="4"/>
      <c r="U1296" s="4"/>
      <c r="V1296" s="4"/>
      <c r="W1296" s="4"/>
    </row>
    <row r="1297" spans="1:23" ht="14.5" hidden="1" customHeight="1" x14ac:dyDescent="0.2">
      <c r="A1297">
        <f t="shared" si="20"/>
        <v>1291</v>
      </c>
      <c r="B1297">
        <v>2017</v>
      </c>
      <c r="C1297" t="s">
        <v>240</v>
      </c>
      <c r="D1297" t="s">
        <v>397</v>
      </c>
      <c r="E1297" s="22">
        <v>150</v>
      </c>
      <c r="H1297" t="s">
        <v>154</v>
      </c>
      <c r="I1297" t="s">
        <v>529</v>
      </c>
      <c r="J1297" t="s">
        <v>108</v>
      </c>
      <c r="K1297" t="s">
        <v>183</v>
      </c>
      <c r="L1297">
        <v>1</v>
      </c>
      <c r="M1297" s="4"/>
      <c r="N1297" s="2"/>
      <c r="O1297" s="21"/>
      <c r="P1297" s="2"/>
      <c r="Q1297" s="2"/>
      <c r="R1297" s="4"/>
      <c r="S1297" s="4"/>
      <c r="T1297" s="4"/>
      <c r="U1297" s="4"/>
      <c r="V1297" s="4"/>
      <c r="W1297" s="4"/>
    </row>
    <row r="1298" spans="1:23" ht="14.5" hidden="1" customHeight="1" x14ac:dyDescent="0.2">
      <c r="A1298">
        <f t="shared" si="20"/>
        <v>1292</v>
      </c>
      <c r="B1298">
        <v>2017</v>
      </c>
      <c r="C1298" t="s">
        <v>240</v>
      </c>
      <c r="D1298" t="s">
        <v>2835</v>
      </c>
      <c r="E1298" s="22">
        <v>170</v>
      </c>
      <c r="G1298" t="s">
        <v>2836</v>
      </c>
      <c r="H1298" t="s">
        <v>154</v>
      </c>
      <c r="I1298" t="s">
        <v>529</v>
      </c>
      <c r="J1298" t="s">
        <v>57</v>
      </c>
      <c r="K1298" t="s">
        <v>195</v>
      </c>
      <c r="L1298">
        <v>0</v>
      </c>
      <c r="M1298" s="4"/>
      <c r="N1298" s="2"/>
      <c r="O1298" s="21"/>
      <c r="P1298" s="2"/>
      <c r="Q1298" s="2"/>
      <c r="R1298" s="4"/>
      <c r="S1298" s="4"/>
      <c r="T1298" s="4"/>
      <c r="U1298" s="4"/>
      <c r="V1298" s="4"/>
      <c r="W1298" s="4"/>
    </row>
    <row r="1299" spans="1:23" ht="14.5" hidden="1" customHeight="1" x14ac:dyDescent="0.2">
      <c r="A1299">
        <f t="shared" si="20"/>
        <v>1293</v>
      </c>
      <c r="B1299">
        <v>2017</v>
      </c>
      <c r="C1299" t="s">
        <v>240</v>
      </c>
      <c r="D1299" t="s">
        <v>875</v>
      </c>
      <c r="E1299" s="22">
        <v>360</v>
      </c>
      <c r="H1299" t="s">
        <v>144</v>
      </c>
      <c r="I1299" t="s">
        <v>197</v>
      </c>
      <c r="J1299" t="s">
        <v>64</v>
      </c>
      <c r="K1299" t="s">
        <v>219</v>
      </c>
      <c r="L1299">
        <v>1</v>
      </c>
      <c r="M1299" s="4"/>
      <c r="N1299" s="2"/>
      <c r="O1299" s="21"/>
      <c r="P1299" s="2"/>
      <c r="Q1299" s="2"/>
      <c r="R1299" s="4"/>
      <c r="S1299" s="4"/>
      <c r="T1299" s="4"/>
      <c r="U1299" s="4"/>
      <c r="V1299" s="4"/>
      <c r="W1299" s="4"/>
    </row>
    <row r="1300" spans="1:23" ht="14.5" hidden="1" customHeight="1" x14ac:dyDescent="0.2">
      <c r="A1300">
        <f t="shared" si="20"/>
        <v>1294</v>
      </c>
      <c r="B1300">
        <v>2017</v>
      </c>
      <c r="C1300" t="s">
        <v>240</v>
      </c>
      <c r="D1300" t="s">
        <v>397</v>
      </c>
      <c r="E1300" s="22">
        <v>240</v>
      </c>
      <c r="H1300" t="s">
        <v>151</v>
      </c>
      <c r="I1300" t="s">
        <v>279</v>
      </c>
      <c r="J1300" t="s">
        <v>73</v>
      </c>
      <c r="K1300" t="s">
        <v>201</v>
      </c>
      <c r="L1300">
        <v>1</v>
      </c>
      <c r="M1300" s="4"/>
      <c r="N1300" s="2"/>
      <c r="O1300" s="21"/>
      <c r="P1300" s="2"/>
      <c r="Q1300" s="2"/>
      <c r="R1300" s="4"/>
      <c r="S1300" s="4"/>
      <c r="T1300" s="4"/>
      <c r="U1300" s="4"/>
      <c r="V1300" s="4"/>
      <c r="W1300" s="4"/>
    </row>
    <row r="1301" spans="1:23" ht="14.5" hidden="1" customHeight="1" x14ac:dyDescent="0.2">
      <c r="A1301">
        <f t="shared" si="20"/>
        <v>1295</v>
      </c>
      <c r="B1301">
        <v>2017</v>
      </c>
      <c r="C1301" t="s">
        <v>240</v>
      </c>
      <c r="D1301" t="s">
        <v>175</v>
      </c>
      <c r="E1301" s="22">
        <v>490</v>
      </c>
      <c r="H1301" t="s">
        <v>154</v>
      </c>
      <c r="I1301" t="s">
        <v>194</v>
      </c>
      <c r="J1301" t="s">
        <v>65</v>
      </c>
      <c r="K1301" t="s">
        <v>214</v>
      </c>
      <c r="L1301">
        <v>1</v>
      </c>
      <c r="M1301" s="4"/>
      <c r="N1301" s="2"/>
      <c r="O1301" s="21"/>
      <c r="P1301" s="2"/>
      <c r="Q1301" s="2"/>
      <c r="R1301" s="4"/>
      <c r="S1301" s="4"/>
      <c r="T1301" s="4"/>
      <c r="U1301" s="4"/>
      <c r="V1301" s="4"/>
      <c r="W1301" s="4"/>
    </row>
    <row r="1302" spans="1:23" ht="14.5" hidden="1" customHeight="1" x14ac:dyDescent="0.2">
      <c r="A1302">
        <f t="shared" si="20"/>
        <v>1296</v>
      </c>
      <c r="B1302">
        <v>2017</v>
      </c>
      <c r="C1302" t="s">
        <v>240</v>
      </c>
      <c r="D1302" t="s">
        <v>479</v>
      </c>
      <c r="E1302" s="22">
        <v>520</v>
      </c>
      <c r="H1302" t="s">
        <v>154</v>
      </c>
      <c r="I1302" t="s">
        <v>194</v>
      </c>
      <c r="J1302" t="s">
        <v>106</v>
      </c>
      <c r="K1302" t="s">
        <v>195</v>
      </c>
      <c r="L1302">
        <v>1</v>
      </c>
      <c r="M1302" s="4"/>
      <c r="N1302" s="2"/>
      <c r="O1302" s="21"/>
      <c r="P1302" s="2"/>
      <c r="Q1302" s="2"/>
      <c r="R1302" s="4"/>
      <c r="S1302" s="4"/>
      <c r="T1302" s="4"/>
      <c r="U1302" s="4"/>
      <c r="V1302" s="4"/>
      <c r="W1302" s="4"/>
    </row>
    <row r="1303" spans="1:23" ht="14.5" hidden="1" customHeight="1" x14ac:dyDescent="0.2">
      <c r="A1303">
        <f t="shared" si="20"/>
        <v>1297</v>
      </c>
      <c r="B1303">
        <v>2017</v>
      </c>
      <c r="C1303" t="s">
        <v>240</v>
      </c>
      <c r="D1303" t="s">
        <v>2434</v>
      </c>
      <c r="E1303" s="22">
        <v>350</v>
      </c>
      <c r="H1303" t="s">
        <v>155</v>
      </c>
      <c r="J1303" t="s">
        <v>108</v>
      </c>
      <c r="K1303" t="s">
        <v>183</v>
      </c>
      <c r="L1303">
        <v>1</v>
      </c>
      <c r="M1303" s="4"/>
      <c r="N1303" s="2"/>
      <c r="O1303" s="21"/>
      <c r="P1303" s="2"/>
      <c r="Q1303" s="2"/>
      <c r="R1303" s="4"/>
      <c r="S1303" s="4"/>
      <c r="T1303" s="4"/>
      <c r="U1303" s="4"/>
      <c r="V1303" s="4"/>
      <c r="W1303" s="4"/>
    </row>
    <row r="1304" spans="1:23" ht="14.5" hidden="1" customHeight="1" x14ac:dyDescent="0.2">
      <c r="A1304">
        <f t="shared" si="20"/>
        <v>1298</v>
      </c>
      <c r="B1304">
        <v>2017</v>
      </c>
      <c r="C1304" t="s">
        <v>240</v>
      </c>
      <c r="D1304" t="s">
        <v>483</v>
      </c>
      <c r="E1304" s="22">
        <v>1530</v>
      </c>
      <c r="H1304" t="s">
        <v>143</v>
      </c>
      <c r="J1304" t="s">
        <v>54</v>
      </c>
      <c r="K1304" t="s">
        <v>201</v>
      </c>
      <c r="L1304">
        <v>1</v>
      </c>
      <c r="M1304" s="4"/>
      <c r="N1304" s="2"/>
      <c r="O1304" s="21"/>
      <c r="P1304" s="2"/>
      <c r="Q1304" s="2"/>
      <c r="R1304" s="4"/>
      <c r="S1304" s="4"/>
      <c r="T1304" s="4"/>
      <c r="U1304" s="4"/>
      <c r="V1304" s="4"/>
      <c r="W1304" s="4"/>
    </row>
    <row r="1305" spans="1:23" ht="14.5" hidden="1" customHeight="1" x14ac:dyDescent="0.2">
      <c r="A1305">
        <f t="shared" si="20"/>
        <v>1299</v>
      </c>
      <c r="B1305">
        <v>2017</v>
      </c>
      <c r="C1305" t="s">
        <v>240</v>
      </c>
      <c r="D1305" s="52" t="s">
        <v>2392</v>
      </c>
      <c r="E1305" s="22">
        <v>250</v>
      </c>
      <c r="H1305" t="s">
        <v>144</v>
      </c>
      <c r="I1305" t="s">
        <v>273</v>
      </c>
      <c r="J1305" t="s">
        <v>44</v>
      </c>
      <c r="K1305" t="s">
        <v>201</v>
      </c>
      <c r="L1305">
        <v>1</v>
      </c>
      <c r="M1305" s="4"/>
      <c r="N1305" s="2"/>
      <c r="O1305" s="21"/>
      <c r="P1305" s="2"/>
      <c r="Q1305" s="2"/>
      <c r="R1305" s="4"/>
      <c r="S1305" s="4"/>
      <c r="T1305" s="4"/>
      <c r="U1305" s="4"/>
      <c r="V1305" s="4"/>
      <c r="W1305" s="4"/>
    </row>
    <row r="1306" spans="1:23" ht="14.5" hidden="1" customHeight="1" x14ac:dyDescent="0.2">
      <c r="A1306">
        <f t="shared" si="20"/>
        <v>1300</v>
      </c>
      <c r="B1306">
        <v>2017</v>
      </c>
      <c r="C1306" t="s">
        <v>240</v>
      </c>
      <c r="D1306" t="s">
        <v>479</v>
      </c>
      <c r="E1306" s="22">
        <v>170</v>
      </c>
      <c r="H1306" t="s">
        <v>154</v>
      </c>
      <c r="I1306" t="s">
        <v>194</v>
      </c>
      <c r="J1306" t="s">
        <v>53</v>
      </c>
      <c r="K1306" t="s">
        <v>183</v>
      </c>
      <c r="L1306">
        <v>1</v>
      </c>
      <c r="M1306" s="4"/>
      <c r="N1306" s="2"/>
      <c r="O1306" s="21"/>
      <c r="P1306" s="2"/>
      <c r="Q1306" s="2"/>
      <c r="R1306" s="4"/>
      <c r="S1306" s="4"/>
      <c r="T1306" s="4"/>
      <c r="U1306" s="4"/>
      <c r="V1306" s="4"/>
      <c r="W1306" s="4"/>
    </row>
    <row r="1307" spans="1:23" ht="14.5" hidden="1" customHeight="1" x14ac:dyDescent="0.2">
      <c r="A1307">
        <f t="shared" si="20"/>
        <v>1301</v>
      </c>
      <c r="B1307">
        <v>2017</v>
      </c>
      <c r="C1307" t="s">
        <v>240</v>
      </c>
      <c r="D1307" t="s">
        <v>557</v>
      </c>
      <c r="E1307" s="22">
        <v>160</v>
      </c>
      <c r="H1307" t="s">
        <v>151</v>
      </c>
      <c r="I1307" t="s">
        <v>279</v>
      </c>
      <c r="J1307" t="s">
        <v>134</v>
      </c>
      <c r="K1307" t="s">
        <v>201</v>
      </c>
      <c r="L1307">
        <v>1</v>
      </c>
      <c r="M1307" s="4"/>
      <c r="N1307" s="2"/>
      <c r="O1307" s="21"/>
      <c r="P1307" s="2"/>
      <c r="Q1307" s="2"/>
      <c r="R1307" s="4"/>
      <c r="S1307" s="4"/>
      <c r="T1307" s="4"/>
      <c r="U1307" s="4"/>
      <c r="V1307" s="4"/>
      <c r="W1307" s="4"/>
    </row>
    <row r="1308" spans="1:23" ht="14.5" hidden="1" customHeight="1" x14ac:dyDescent="0.2">
      <c r="A1308">
        <f t="shared" si="20"/>
        <v>1302</v>
      </c>
      <c r="B1308">
        <v>2017</v>
      </c>
      <c r="C1308" t="s">
        <v>240</v>
      </c>
      <c r="D1308" t="s">
        <v>341</v>
      </c>
      <c r="E1308" s="22">
        <v>390</v>
      </c>
      <c r="H1308" t="s">
        <v>142</v>
      </c>
      <c r="J1308" t="s">
        <v>138</v>
      </c>
      <c r="K1308" t="s">
        <v>219</v>
      </c>
      <c r="L1308">
        <v>1</v>
      </c>
      <c r="M1308" s="4"/>
      <c r="N1308" s="2"/>
      <c r="O1308" s="21"/>
      <c r="P1308" s="2"/>
      <c r="Q1308" s="2"/>
      <c r="R1308" s="4"/>
      <c r="S1308" s="4"/>
      <c r="T1308" s="4"/>
      <c r="U1308" s="4"/>
      <c r="V1308" s="4"/>
      <c r="W1308" s="4"/>
    </row>
    <row r="1309" spans="1:23" ht="14.5" hidden="1" customHeight="1" x14ac:dyDescent="0.2">
      <c r="A1309">
        <f t="shared" si="20"/>
        <v>1303</v>
      </c>
      <c r="B1309">
        <v>2017</v>
      </c>
      <c r="C1309" t="s">
        <v>240</v>
      </c>
      <c r="D1309" t="s">
        <v>444</v>
      </c>
      <c r="E1309" s="22">
        <v>310</v>
      </c>
      <c r="H1309" t="s">
        <v>155</v>
      </c>
      <c r="J1309" t="s">
        <v>106</v>
      </c>
      <c r="K1309" t="s">
        <v>195</v>
      </c>
      <c r="L1309">
        <v>1</v>
      </c>
      <c r="M1309" s="4"/>
      <c r="N1309" s="2"/>
      <c r="O1309" s="21"/>
      <c r="P1309" s="2"/>
      <c r="Q1309" s="2"/>
      <c r="R1309" s="4"/>
      <c r="S1309" s="4"/>
      <c r="T1309" s="4"/>
      <c r="U1309" s="4"/>
      <c r="V1309" s="4"/>
      <c r="W1309" s="4"/>
    </row>
    <row r="1310" spans="1:23" ht="14.5" hidden="1" customHeight="1" x14ac:dyDescent="0.2">
      <c r="A1310">
        <f t="shared" si="20"/>
        <v>1304</v>
      </c>
      <c r="B1310">
        <v>2017</v>
      </c>
      <c r="C1310" t="s">
        <v>240</v>
      </c>
      <c r="D1310" t="s">
        <v>2837</v>
      </c>
      <c r="E1310" s="22">
        <v>1090</v>
      </c>
      <c r="G1310" t="s">
        <v>2838</v>
      </c>
      <c r="H1310" t="s">
        <v>144</v>
      </c>
      <c r="I1310" t="s">
        <v>273</v>
      </c>
      <c r="J1310" t="s">
        <v>128</v>
      </c>
      <c r="K1310" t="s">
        <v>201</v>
      </c>
      <c r="L1310">
        <v>1</v>
      </c>
      <c r="M1310" s="4"/>
      <c r="N1310" s="2"/>
      <c r="O1310" s="21"/>
      <c r="P1310" s="2"/>
      <c r="Q1310" s="2"/>
      <c r="R1310" s="4"/>
      <c r="S1310" s="4"/>
      <c r="T1310" s="4"/>
      <c r="U1310" s="4"/>
      <c r="V1310" s="4"/>
      <c r="W1310" s="4"/>
    </row>
    <row r="1311" spans="1:23" ht="14.5" hidden="1" customHeight="1" x14ac:dyDescent="0.2">
      <c r="A1311">
        <f t="shared" si="20"/>
        <v>1305</v>
      </c>
      <c r="B1311">
        <v>2017</v>
      </c>
      <c r="C1311" t="s">
        <v>240</v>
      </c>
      <c r="D1311" t="s">
        <v>307</v>
      </c>
      <c r="E1311" s="22">
        <v>130</v>
      </c>
      <c r="H1311" t="s">
        <v>144</v>
      </c>
      <c r="J1311" t="s">
        <v>82</v>
      </c>
      <c r="K1311" t="s">
        <v>183</v>
      </c>
      <c r="L1311">
        <v>1</v>
      </c>
      <c r="M1311" s="4"/>
      <c r="N1311" s="2"/>
      <c r="O1311" s="21"/>
      <c r="P1311" s="2"/>
      <c r="Q1311" s="2"/>
      <c r="R1311" s="4"/>
      <c r="S1311" s="4"/>
      <c r="T1311" s="4"/>
      <c r="U1311" s="4"/>
      <c r="V1311" s="4"/>
      <c r="W1311" s="4"/>
    </row>
    <row r="1312" spans="1:23" ht="14.5" hidden="1" customHeight="1" x14ac:dyDescent="0.2">
      <c r="A1312">
        <f t="shared" si="20"/>
        <v>1306</v>
      </c>
      <c r="B1312">
        <v>2017</v>
      </c>
      <c r="C1312" t="s">
        <v>240</v>
      </c>
      <c r="D1312" t="s">
        <v>1035</v>
      </c>
      <c r="E1312" s="22">
        <v>110</v>
      </c>
      <c r="H1312" t="s">
        <v>144</v>
      </c>
      <c r="I1312" t="s">
        <v>197</v>
      </c>
      <c r="J1312" t="s">
        <v>134</v>
      </c>
      <c r="K1312" t="s">
        <v>201</v>
      </c>
      <c r="L1312">
        <v>1</v>
      </c>
      <c r="M1312" s="4"/>
      <c r="N1312" s="2"/>
      <c r="O1312" s="21"/>
      <c r="P1312" s="2"/>
      <c r="Q1312" s="2"/>
      <c r="R1312" s="4"/>
      <c r="S1312" s="4"/>
      <c r="T1312" s="4"/>
      <c r="U1312" s="4"/>
      <c r="V1312" s="4"/>
      <c r="W1312" s="4"/>
    </row>
    <row r="1313" spans="1:23" ht="14.5" hidden="1" customHeight="1" x14ac:dyDescent="0.2">
      <c r="A1313">
        <f t="shared" si="20"/>
        <v>1307</v>
      </c>
      <c r="B1313">
        <v>2017</v>
      </c>
      <c r="C1313" t="s">
        <v>240</v>
      </c>
      <c r="D1313" t="s">
        <v>745</v>
      </c>
      <c r="E1313" s="22">
        <v>1870</v>
      </c>
      <c r="G1313" t="s">
        <v>2475</v>
      </c>
      <c r="H1313" t="s">
        <v>143</v>
      </c>
      <c r="J1313" t="s">
        <v>63</v>
      </c>
      <c r="K1313" t="s">
        <v>201</v>
      </c>
      <c r="L1313">
        <v>1</v>
      </c>
      <c r="M1313" s="4"/>
      <c r="N1313" s="2"/>
      <c r="O1313" s="21"/>
      <c r="P1313" s="2"/>
      <c r="Q1313" s="2"/>
      <c r="R1313" s="4"/>
      <c r="S1313" s="4"/>
      <c r="T1313" s="4"/>
      <c r="U1313" s="4"/>
      <c r="V1313" s="4"/>
      <c r="W1313" s="4"/>
    </row>
    <row r="1314" spans="1:23" ht="14.5" hidden="1" customHeight="1" x14ac:dyDescent="0.2">
      <c r="A1314">
        <f t="shared" si="20"/>
        <v>1308</v>
      </c>
      <c r="B1314">
        <v>2017</v>
      </c>
      <c r="C1314" t="s">
        <v>240</v>
      </c>
      <c r="D1314" t="s">
        <v>175</v>
      </c>
      <c r="E1314" s="22">
        <v>530</v>
      </c>
      <c r="G1314" t="s">
        <v>2839</v>
      </c>
      <c r="H1314" t="s">
        <v>147</v>
      </c>
      <c r="J1314" t="s">
        <v>65</v>
      </c>
      <c r="K1314" t="s">
        <v>214</v>
      </c>
      <c r="L1314">
        <v>1</v>
      </c>
      <c r="M1314" s="4"/>
      <c r="N1314" s="2"/>
      <c r="O1314" s="21"/>
      <c r="P1314" s="2"/>
      <c r="Q1314" s="2"/>
      <c r="R1314" s="4"/>
      <c r="S1314" s="4"/>
      <c r="T1314" s="4"/>
      <c r="U1314" s="4"/>
      <c r="V1314" s="4"/>
      <c r="W1314" s="4"/>
    </row>
    <row r="1315" spans="1:23" ht="14.5" hidden="1" customHeight="1" x14ac:dyDescent="0.2">
      <c r="A1315">
        <f t="shared" si="20"/>
        <v>1309</v>
      </c>
      <c r="B1315">
        <v>2017</v>
      </c>
      <c r="C1315" t="s">
        <v>212</v>
      </c>
      <c r="D1315" t="s">
        <v>479</v>
      </c>
      <c r="E1315" s="22">
        <v>1380</v>
      </c>
      <c r="G1315" t="s">
        <v>2750</v>
      </c>
      <c r="H1315" t="s">
        <v>154</v>
      </c>
      <c r="I1315" t="s">
        <v>194</v>
      </c>
      <c r="J1315" t="s">
        <v>9</v>
      </c>
      <c r="K1315" t="s">
        <v>9</v>
      </c>
      <c r="L1315">
        <v>0</v>
      </c>
      <c r="M1315" s="4"/>
      <c r="N1315" s="2"/>
      <c r="O1315" s="21"/>
      <c r="P1315" s="2"/>
      <c r="Q1315" s="2"/>
      <c r="R1315" s="4"/>
      <c r="S1315" s="4"/>
      <c r="T1315" s="4"/>
      <c r="U1315" s="4"/>
      <c r="V1315" s="4"/>
      <c r="W1315" s="4"/>
    </row>
    <row r="1316" spans="1:23" ht="14.5" hidden="1" customHeight="1" x14ac:dyDescent="0.2">
      <c r="A1316">
        <f t="shared" si="20"/>
        <v>1310</v>
      </c>
      <c r="B1316">
        <v>2017</v>
      </c>
      <c r="C1316" t="s">
        <v>212</v>
      </c>
      <c r="D1316" t="s">
        <v>444</v>
      </c>
      <c r="E1316" s="22">
        <v>400</v>
      </c>
      <c r="H1316" t="s">
        <v>144</v>
      </c>
      <c r="I1316" t="s">
        <v>197</v>
      </c>
      <c r="J1316" t="s">
        <v>24</v>
      </c>
      <c r="K1316" t="s">
        <v>219</v>
      </c>
      <c r="L1316">
        <v>1</v>
      </c>
      <c r="M1316" s="4"/>
      <c r="N1316" s="2"/>
      <c r="O1316" s="21"/>
      <c r="P1316" s="2"/>
      <c r="Q1316" s="2"/>
      <c r="R1316" s="4"/>
      <c r="S1316" s="4"/>
      <c r="T1316" s="4"/>
      <c r="U1316" s="4"/>
      <c r="V1316" s="4"/>
      <c r="W1316" s="4"/>
    </row>
    <row r="1317" spans="1:23" ht="14.5" hidden="1" customHeight="1" x14ac:dyDescent="0.2">
      <c r="A1317">
        <f t="shared" si="20"/>
        <v>1311</v>
      </c>
      <c r="B1317">
        <v>2017</v>
      </c>
      <c r="C1317" t="s">
        <v>212</v>
      </c>
      <c r="D1317" t="s">
        <v>444</v>
      </c>
      <c r="E1317" s="22">
        <v>150</v>
      </c>
      <c r="H1317" t="s">
        <v>144</v>
      </c>
      <c r="J1317" t="s">
        <v>139</v>
      </c>
      <c r="K1317" t="s">
        <v>219</v>
      </c>
      <c r="L1317">
        <v>1</v>
      </c>
      <c r="M1317" s="4"/>
      <c r="N1317" s="2"/>
      <c r="O1317" s="21"/>
      <c r="P1317" s="2"/>
      <c r="Q1317" s="2"/>
      <c r="R1317" s="4"/>
      <c r="S1317" s="4"/>
      <c r="T1317" s="4"/>
      <c r="U1317" s="4"/>
      <c r="V1317" s="4"/>
      <c r="W1317" s="4"/>
    </row>
    <row r="1318" spans="1:23" ht="14.5" hidden="1" customHeight="1" x14ac:dyDescent="0.2">
      <c r="A1318">
        <f t="shared" si="20"/>
        <v>1312</v>
      </c>
      <c r="B1318">
        <v>2017</v>
      </c>
      <c r="C1318" t="s">
        <v>212</v>
      </c>
      <c r="D1318" t="s">
        <v>2840</v>
      </c>
      <c r="E1318" s="22">
        <v>200</v>
      </c>
      <c r="G1318" t="s">
        <v>2841</v>
      </c>
      <c r="H1318" t="s">
        <v>144</v>
      </c>
      <c r="I1318" t="s">
        <v>232</v>
      </c>
      <c r="J1318" t="s">
        <v>23</v>
      </c>
      <c r="K1318" t="s">
        <v>183</v>
      </c>
      <c r="L1318">
        <v>1</v>
      </c>
      <c r="M1318" s="4"/>
      <c r="N1318" s="2"/>
      <c r="O1318" s="21"/>
      <c r="P1318" s="2"/>
      <c r="Q1318" s="2"/>
      <c r="R1318" s="4"/>
      <c r="S1318" s="4"/>
      <c r="T1318" s="4"/>
      <c r="U1318" s="4"/>
      <c r="V1318" s="4"/>
      <c r="W1318" s="4"/>
    </row>
    <row r="1319" spans="1:23" ht="14.5" hidden="1" customHeight="1" x14ac:dyDescent="0.2">
      <c r="A1319">
        <f t="shared" si="20"/>
        <v>1313</v>
      </c>
      <c r="B1319">
        <v>2017</v>
      </c>
      <c r="C1319" t="s">
        <v>212</v>
      </c>
      <c r="D1319" t="s">
        <v>1035</v>
      </c>
      <c r="E1319" s="22">
        <v>230</v>
      </c>
      <c r="H1319" t="s">
        <v>144</v>
      </c>
      <c r="J1319" t="s">
        <v>106</v>
      </c>
      <c r="K1319" t="s">
        <v>195</v>
      </c>
      <c r="L1319">
        <v>1</v>
      </c>
      <c r="M1319" s="4"/>
      <c r="N1319" s="2"/>
      <c r="O1319" s="21"/>
      <c r="P1319" s="2"/>
      <c r="Q1319" s="2"/>
      <c r="R1319" s="4"/>
      <c r="S1319" s="4"/>
      <c r="T1319" s="4"/>
      <c r="U1319" s="4"/>
      <c r="V1319" s="4"/>
      <c r="W1319" s="4"/>
    </row>
    <row r="1320" spans="1:23" ht="14.5" hidden="1" customHeight="1" x14ac:dyDescent="0.2">
      <c r="A1320">
        <f t="shared" si="20"/>
        <v>1314</v>
      </c>
      <c r="B1320">
        <v>2017</v>
      </c>
      <c r="C1320" t="s">
        <v>212</v>
      </c>
      <c r="D1320" t="s">
        <v>189</v>
      </c>
      <c r="E1320" s="22">
        <v>1050</v>
      </c>
      <c r="H1320" t="s">
        <v>144</v>
      </c>
      <c r="I1320" t="s">
        <v>187</v>
      </c>
      <c r="J1320" t="s">
        <v>54</v>
      </c>
      <c r="K1320" t="s">
        <v>201</v>
      </c>
      <c r="L1320">
        <v>1</v>
      </c>
      <c r="M1320" s="4"/>
      <c r="N1320" s="2"/>
      <c r="O1320" s="21"/>
      <c r="P1320" s="2"/>
      <c r="Q1320" s="2"/>
      <c r="R1320" s="4"/>
      <c r="S1320" s="4"/>
      <c r="T1320" s="4"/>
      <c r="U1320" s="4"/>
      <c r="V1320" s="4"/>
      <c r="W1320" s="4"/>
    </row>
    <row r="1321" spans="1:23" ht="14.5" hidden="1" customHeight="1" x14ac:dyDescent="0.2">
      <c r="A1321">
        <f t="shared" si="20"/>
        <v>1315</v>
      </c>
      <c r="B1321">
        <v>2017</v>
      </c>
      <c r="C1321" t="s">
        <v>212</v>
      </c>
      <c r="D1321" t="s">
        <v>199</v>
      </c>
      <c r="E1321" s="22">
        <v>100</v>
      </c>
      <c r="G1321" t="s">
        <v>2002</v>
      </c>
      <c r="H1321" t="s">
        <v>144</v>
      </c>
      <c r="I1321" t="s">
        <v>187</v>
      </c>
      <c r="J1321" t="s">
        <v>105</v>
      </c>
      <c r="K1321" t="s">
        <v>214</v>
      </c>
      <c r="L1321">
        <v>1</v>
      </c>
      <c r="M1321" s="4"/>
      <c r="N1321" s="2"/>
      <c r="O1321" s="21"/>
      <c r="P1321" s="2"/>
      <c r="Q1321" s="2"/>
      <c r="R1321" s="4"/>
      <c r="S1321" s="4"/>
      <c r="T1321" s="4"/>
      <c r="U1321" s="4"/>
      <c r="V1321" s="4"/>
      <c r="W1321" s="4"/>
    </row>
    <row r="1322" spans="1:23" ht="14.5" hidden="1" customHeight="1" x14ac:dyDescent="0.2">
      <c r="A1322">
        <f t="shared" si="20"/>
        <v>1316</v>
      </c>
      <c r="B1322">
        <v>2017</v>
      </c>
      <c r="C1322" t="s">
        <v>212</v>
      </c>
      <c r="D1322" t="s">
        <v>449</v>
      </c>
      <c r="E1322" s="22">
        <v>210</v>
      </c>
      <c r="G1322" t="s">
        <v>2842</v>
      </c>
      <c r="H1322" t="s">
        <v>153</v>
      </c>
      <c r="J1322" t="s">
        <v>72</v>
      </c>
      <c r="K1322" t="s">
        <v>183</v>
      </c>
      <c r="L1322">
        <v>1</v>
      </c>
      <c r="M1322" s="4"/>
      <c r="N1322" s="2"/>
      <c r="O1322" s="21"/>
      <c r="P1322" s="2"/>
      <c r="Q1322" s="2"/>
      <c r="R1322" s="4"/>
      <c r="S1322" s="4"/>
      <c r="T1322" s="4"/>
      <c r="U1322" s="4"/>
      <c r="V1322" s="4"/>
      <c r="W1322" s="4"/>
    </row>
    <row r="1323" spans="1:23" ht="14.5" hidden="1" customHeight="1" x14ac:dyDescent="0.2">
      <c r="A1323">
        <f t="shared" si="20"/>
        <v>1317</v>
      </c>
      <c r="B1323">
        <v>2017</v>
      </c>
      <c r="C1323" t="s">
        <v>212</v>
      </c>
      <c r="D1323" t="s">
        <v>479</v>
      </c>
      <c r="E1323" s="22">
        <v>110</v>
      </c>
      <c r="H1323" t="s">
        <v>154</v>
      </c>
      <c r="I1323" t="s">
        <v>529</v>
      </c>
      <c r="J1323" t="s">
        <v>72</v>
      </c>
      <c r="K1323" t="s">
        <v>183</v>
      </c>
      <c r="L1323">
        <v>1</v>
      </c>
      <c r="M1323" s="4"/>
      <c r="N1323" s="2"/>
      <c r="O1323" s="21"/>
      <c r="P1323" s="2"/>
      <c r="Q1323" s="2"/>
      <c r="R1323" s="4"/>
      <c r="S1323" s="4"/>
      <c r="T1323" s="4"/>
      <c r="U1323" s="4"/>
      <c r="V1323" s="4"/>
      <c r="W1323" s="4"/>
    </row>
    <row r="1324" spans="1:23" ht="14.5" hidden="1" customHeight="1" x14ac:dyDescent="0.2">
      <c r="A1324">
        <f t="shared" si="20"/>
        <v>1318</v>
      </c>
      <c r="B1324">
        <v>2017</v>
      </c>
      <c r="C1324" t="s">
        <v>212</v>
      </c>
      <c r="D1324" t="s">
        <v>479</v>
      </c>
      <c r="E1324" s="22">
        <v>1070</v>
      </c>
      <c r="G1324" t="s">
        <v>2843</v>
      </c>
      <c r="H1324" t="s">
        <v>154</v>
      </c>
      <c r="I1324" t="s">
        <v>529</v>
      </c>
      <c r="J1324" t="s">
        <v>9</v>
      </c>
      <c r="K1324" t="s">
        <v>9</v>
      </c>
      <c r="L1324">
        <v>0</v>
      </c>
      <c r="M1324" s="4"/>
      <c r="N1324" s="2"/>
      <c r="O1324" s="21"/>
      <c r="P1324" s="2"/>
      <c r="Q1324" s="2"/>
      <c r="R1324" s="4"/>
      <c r="S1324" s="4"/>
      <c r="T1324" s="4"/>
      <c r="U1324" s="4"/>
      <c r="V1324" s="4"/>
      <c r="W1324" s="4"/>
    </row>
    <row r="1325" spans="1:23" ht="14.5" hidden="1" customHeight="1" x14ac:dyDescent="0.2">
      <c r="A1325">
        <f t="shared" si="20"/>
        <v>1319</v>
      </c>
      <c r="B1325">
        <v>2017</v>
      </c>
      <c r="C1325" t="s">
        <v>212</v>
      </c>
      <c r="D1325" t="s">
        <v>1289</v>
      </c>
      <c r="E1325" s="22">
        <v>100</v>
      </c>
      <c r="H1325" t="s">
        <v>151</v>
      </c>
      <c r="I1325" t="s">
        <v>279</v>
      </c>
      <c r="J1325" t="s">
        <v>108</v>
      </c>
      <c r="K1325" t="s">
        <v>183</v>
      </c>
      <c r="L1325">
        <v>1</v>
      </c>
      <c r="M1325" s="4"/>
      <c r="N1325" s="2"/>
      <c r="O1325" s="21"/>
      <c r="P1325" s="2"/>
      <c r="Q1325" s="2"/>
      <c r="R1325" s="4"/>
      <c r="S1325" s="4"/>
      <c r="T1325" s="4"/>
      <c r="U1325" s="4"/>
      <c r="V1325" s="4"/>
      <c r="W1325" s="4"/>
    </row>
    <row r="1326" spans="1:23" ht="14.5" hidden="1" customHeight="1" x14ac:dyDescent="0.2">
      <c r="A1326">
        <f t="shared" si="20"/>
        <v>1320</v>
      </c>
      <c r="B1326">
        <v>2017</v>
      </c>
      <c r="C1326" t="s">
        <v>212</v>
      </c>
      <c r="D1326" t="s">
        <v>2807</v>
      </c>
      <c r="E1326" s="22">
        <v>1670</v>
      </c>
      <c r="G1326" t="s">
        <v>2844</v>
      </c>
      <c r="H1326" t="s">
        <v>144</v>
      </c>
      <c r="I1326" t="s">
        <v>273</v>
      </c>
      <c r="J1326" t="s">
        <v>97</v>
      </c>
      <c r="K1326" t="s">
        <v>183</v>
      </c>
      <c r="L1326">
        <v>1</v>
      </c>
      <c r="M1326" s="4"/>
      <c r="N1326" s="2"/>
      <c r="O1326" s="21"/>
      <c r="P1326" s="2"/>
      <c r="Q1326" s="2"/>
      <c r="R1326" s="4"/>
      <c r="S1326" s="4"/>
      <c r="T1326" s="4"/>
      <c r="U1326" s="4"/>
      <c r="V1326" s="4"/>
      <c r="W1326" s="4"/>
    </row>
    <row r="1327" spans="1:23" ht="14.5" hidden="1" customHeight="1" x14ac:dyDescent="0.2">
      <c r="A1327">
        <f t="shared" si="20"/>
        <v>1321</v>
      </c>
      <c r="B1327">
        <v>2017</v>
      </c>
      <c r="C1327" t="s">
        <v>212</v>
      </c>
      <c r="D1327" t="s">
        <v>479</v>
      </c>
      <c r="E1327" s="22">
        <v>200</v>
      </c>
      <c r="H1327" t="s">
        <v>154</v>
      </c>
      <c r="I1327" t="s">
        <v>529</v>
      </c>
      <c r="J1327" t="s">
        <v>9</v>
      </c>
      <c r="K1327" t="s">
        <v>9</v>
      </c>
      <c r="L1327">
        <v>0</v>
      </c>
      <c r="M1327" s="4"/>
      <c r="N1327" s="2"/>
      <c r="O1327" s="21"/>
      <c r="P1327" s="2"/>
      <c r="Q1327" s="2"/>
      <c r="R1327" s="4"/>
      <c r="S1327" s="4"/>
      <c r="T1327" s="4"/>
      <c r="U1327" s="4"/>
      <c r="V1327" s="4"/>
      <c r="W1327" s="4"/>
    </row>
    <row r="1328" spans="1:23" ht="14.5" hidden="1" customHeight="1" x14ac:dyDescent="0.2">
      <c r="A1328">
        <f t="shared" si="20"/>
        <v>1322</v>
      </c>
      <c r="B1328">
        <v>2017</v>
      </c>
      <c r="C1328" t="s">
        <v>212</v>
      </c>
      <c r="D1328" t="s">
        <v>397</v>
      </c>
      <c r="E1328" s="22">
        <v>790</v>
      </c>
      <c r="H1328" t="s">
        <v>154</v>
      </c>
      <c r="I1328" t="s">
        <v>250</v>
      </c>
      <c r="J1328" t="s">
        <v>110</v>
      </c>
      <c r="K1328" t="s">
        <v>195</v>
      </c>
      <c r="L1328">
        <v>1</v>
      </c>
      <c r="M1328" s="4"/>
      <c r="N1328" s="2"/>
      <c r="O1328" s="21"/>
      <c r="P1328" s="2"/>
      <c r="Q1328" s="2"/>
      <c r="R1328" s="4"/>
      <c r="S1328" s="4"/>
      <c r="T1328" s="4"/>
      <c r="U1328" s="4"/>
      <c r="V1328" s="4"/>
      <c r="W1328" s="4"/>
    </row>
    <row r="1329" spans="1:23" ht="14.5" hidden="1" customHeight="1" x14ac:dyDescent="0.2">
      <c r="A1329">
        <f t="shared" si="20"/>
        <v>1323</v>
      </c>
      <c r="B1329">
        <v>2017</v>
      </c>
      <c r="C1329" t="s">
        <v>212</v>
      </c>
      <c r="D1329" t="s">
        <v>2647</v>
      </c>
      <c r="E1329" s="22">
        <v>200</v>
      </c>
      <c r="H1329" t="s">
        <v>142</v>
      </c>
      <c r="J1329" t="s">
        <v>89</v>
      </c>
      <c r="K1329" t="s">
        <v>219</v>
      </c>
      <c r="L1329">
        <v>1</v>
      </c>
      <c r="M1329" s="4"/>
      <c r="N1329" s="2"/>
      <c r="O1329" s="21"/>
      <c r="P1329" s="2"/>
      <c r="Q1329" s="2"/>
      <c r="R1329" s="4"/>
      <c r="S1329" s="4"/>
      <c r="T1329" s="4"/>
      <c r="U1329" s="4"/>
      <c r="V1329" s="4"/>
      <c r="W1329" s="4"/>
    </row>
    <row r="1330" spans="1:23" ht="14.5" hidden="1" customHeight="1" x14ac:dyDescent="0.2">
      <c r="A1330">
        <f t="shared" si="20"/>
        <v>1324</v>
      </c>
      <c r="B1330">
        <v>2017</v>
      </c>
      <c r="C1330" t="s">
        <v>212</v>
      </c>
      <c r="D1330" t="s">
        <v>1234</v>
      </c>
      <c r="E1330" s="22">
        <v>170</v>
      </c>
      <c r="H1330" t="s">
        <v>154</v>
      </c>
      <c r="I1330" t="s">
        <v>194</v>
      </c>
      <c r="J1330" t="s">
        <v>63</v>
      </c>
      <c r="K1330" t="s">
        <v>201</v>
      </c>
      <c r="L1330">
        <v>1</v>
      </c>
      <c r="M1330" s="4"/>
      <c r="N1330" s="2"/>
      <c r="O1330" s="21"/>
      <c r="P1330" s="2"/>
      <c r="Q1330" s="2"/>
      <c r="R1330" s="4"/>
      <c r="S1330" s="4"/>
      <c r="T1330" s="4"/>
      <c r="U1330" s="4"/>
      <c r="V1330" s="4"/>
      <c r="W1330" s="4"/>
    </row>
    <row r="1331" spans="1:23" ht="14.5" hidden="1" customHeight="1" x14ac:dyDescent="0.2">
      <c r="A1331">
        <f t="shared" si="20"/>
        <v>1325</v>
      </c>
      <c r="B1331">
        <v>2017</v>
      </c>
      <c r="C1331" t="s">
        <v>212</v>
      </c>
      <c r="D1331" t="s">
        <v>875</v>
      </c>
      <c r="E1331" s="22">
        <v>1720</v>
      </c>
      <c r="H1331" t="s">
        <v>144</v>
      </c>
      <c r="I1331" t="s">
        <v>197</v>
      </c>
      <c r="J1331" t="s">
        <v>93</v>
      </c>
      <c r="K1331" t="s">
        <v>201</v>
      </c>
      <c r="L1331">
        <v>1</v>
      </c>
      <c r="M1331" s="4"/>
      <c r="N1331" s="2"/>
      <c r="O1331" s="21"/>
      <c r="P1331" s="2"/>
      <c r="Q1331" s="2"/>
      <c r="R1331" s="4"/>
      <c r="S1331" s="4"/>
      <c r="T1331" s="4"/>
      <c r="U1331" s="4"/>
      <c r="V1331" s="4"/>
      <c r="W1331" s="4"/>
    </row>
    <row r="1332" spans="1:23" ht="14.5" hidden="1" customHeight="1" x14ac:dyDescent="0.2">
      <c r="A1332">
        <f t="shared" si="20"/>
        <v>1326</v>
      </c>
      <c r="B1332">
        <v>2017</v>
      </c>
      <c r="C1332" t="s">
        <v>212</v>
      </c>
      <c r="D1332" t="s">
        <v>2845</v>
      </c>
      <c r="E1332" s="22">
        <v>470</v>
      </c>
      <c r="H1332" t="s">
        <v>155</v>
      </c>
      <c r="J1332" t="s">
        <v>89</v>
      </c>
      <c r="K1332" t="s">
        <v>219</v>
      </c>
      <c r="L1332">
        <v>1</v>
      </c>
      <c r="M1332" s="4"/>
      <c r="N1332" s="2"/>
      <c r="O1332" s="21"/>
      <c r="P1332" s="2"/>
      <c r="Q1332" s="2"/>
      <c r="R1332" s="4"/>
      <c r="S1332" s="4"/>
      <c r="T1332" s="4"/>
      <c r="U1332" s="4"/>
      <c r="V1332" s="4"/>
      <c r="W1332" s="4"/>
    </row>
    <row r="1333" spans="1:23" ht="14.5" hidden="1" customHeight="1" x14ac:dyDescent="0.2">
      <c r="A1333">
        <f t="shared" si="20"/>
        <v>1327</v>
      </c>
      <c r="B1333">
        <v>2018</v>
      </c>
      <c r="C1333" t="s">
        <v>172</v>
      </c>
      <c r="D1333" t="s">
        <v>449</v>
      </c>
      <c r="E1333" s="22">
        <v>540</v>
      </c>
      <c r="H1333" t="s">
        <v>154</v>
      </c>
      <c r="I1333" t="s">
        <v>529</v>
      </c>
      <c r="J1333" t="s">
        <v>54</v>
      </c>
      <c r="K1333" t="s">
        <v>201</v>
      </c>
      <c r="L1333">
        <v>1</v>
      </c>
      <c r="M1333" s="4"/>
      <c r="N1333" s="2"/>
      <c r="O1333" s="21"/>
      <c r="P1333" s="2"/>
      <c r="Q1333" s="2"/>
      <c r="R1333" s="4"/>
      <c r="S1333" s="4"/>
      <c r="T1333" s="4"/>
      <c r="U1333" s="4"/>
      <c r="V1333" s="4"/>
      <c r="W1333" s="4"/>
    </row>
    <row r="1334" spans="1:23" ht="14.5" hidden="1" customHeight="1" x14ac:dyDescent="0.2">
      <c r="A1334">
        <f t="shared" si="20"/>
        <v>1328</v>
      </c>
      <c r="B1334">
        <v>2018</v>
      </c>
      <c r="C1334" t="s">
        <v>172</v>
      </c>
      <c r="D1334" t="s">
        <v>449</v>
      </c>
      <c r="E1334" s="22">
        <v>230</v>
      </c>
      <c r="H1334" t="s">
        <v>155</v>
      </c>
      <c r="J1334" t="s">
        <v>123</v>
      </c>
      <c r="K1334" t="s">
        <v>219</v>
      </c>
      <c r="L1334">
        <v>1</v>
      </c>
      <c r="M1334" s="4"/>
      <c r="N1334" s="2"/>
      <c r="O1334" s="21"/>
      <c r="P1334" s="2"/>
      <c r="Q1334" s="2"/>
      <c r="R1334" s="4"/>
      <c r="S1334" s="4"/>
      <c r="T1334" s="4"/>
      <c r="U1334" s="4"/>
      <c r="V1334" s="4"/>
      <c r="W1334" s="4"/>
    </row>
    <row r="1335" spans="1:23" ht="14.5" hidden="1" customHeight="1" x14ac:dyDescent="0.2">
      <c r="A1335">
        <f t="shared" si="20"/>
        <v>1329</v>
      </c>
      <c r="B1335">
        <v>2018</v>
      </c>
      <c r="C1335" t="s">
        <v>172</v>
      </c>
      <c r="D1335" t="s">
        <v>1035</v>
      </c>
      <c r="E1335" s="22">
        <v>150</v>
      </c>
      <c r="G1335" t="s">
        <v>2846</v>
      </c>
      <c r="H1335" t="s">
        <v>154</v>
      </c>
      <c r="I1335" t="s">
        <v>529</v>
      </c>
      <c r="J1335" t="s">
        <v>82</v>
      </c>
      <c r="K1335" t="s">
        <v>183</v>
      </c>
      <c r="L1335">
        <v>1</v>
      </c>
      <c r="M1335" s="4"/>
      <c r="N1335" s="2"/>
      <c r="O1335" s="21"/>
      <c r="P1335" s="2"/>
      <c r="Q1335" s="2"/>
      <c r="R1335" s="4"/>
      <c r="S1335" s="4"/>
      <c r="T1335" s="4"/>
      <c r="U1335" s="4"/>
      <c r="V1335" s="4"/>
      <c r="W1335" s="4"/>
    </row>
    <row r="1336" spans="1:23" ht="14.5" hidden="1" customHeight="1" x14ac:dyDescent="0.2">
      <c r="A1336">
        <f t="shared" si="20"/>
        <v>1330</v>
      </c>
      <c r="B1336">
        <v>2018</v>
      </c>
      <c r="C1336" t="s">
        <v>172</v>
      </c>
      <c r="D1336" t="s">
        <v>1035</v>
      </c>
      <c r="E1336" s="22">
        <v>110</v>
      </c>
      <c r="H1336" t="s">
        <v>144</v>
      </c>
      <c r="I1336" t="s">
        <v>197</v>
      </c>
      <c r="J1336" t="s">
        <v>67</v>
      </c>
      <c r="K1336" t="s">
        <v>183</v>
      </c>
      <c r="L1336">
        <v>1</v>
      </c>
      <c r="M1336" s="4"/>
      <c r="N1336" s="2"/>
      <c r="O1336" s="21"/>
      <c r="P1336" s="2"/>
      <c r="Q1336" s="2"/>
      <c r="R1336" s="4"/>
      <c r="S1336" s="4"/>
      <c r="T1336" s="4"/>
      <c r="U1336" s="4"/>
      <c r="V1336" s="4"/>
      <c r="W1336" s="4"/>
    </row>
    <row r="1337" spans="1:23" ht="14.5" hidden="1" customHeight="1" x14ac:dyDescent="0.2">
      <c r="A1337">
        <f t="shared" si="20"/>
        <v>1331</v>
      </c>
      <c r="B1337">
        <v>2018</v>
      </c>
      <c r="C1337" t="s">
        <v>172</v>
      </c>
      <c r="D1337" t="s">
        <v>2847</v>
      </c>
      <c r="E1337" s="22">
        <v>380</v>
      </c>
      <c r="G1337" t="s">
        <v>2848</v>
      </c>
      <c r="H1337" t="s">
        <v>152</v>
      </c>
      <c r="I1337" t="s">
        <v>257</v>
      </c>
      <c r="J1337" t="s">
        <v>82</v>
      </c>
      <c r="K1337" t="s">
        <v>183</v>
      </c>
      <c r="L1337">
        <v>1</v>
      </c>
      <c r="M1337" s="4"/>
      <c r="N1337" s="2"/>
      <c r="O1337" s="21"/>
      <c r="P1337" s="2"/>
      <c r="Q1337" s="2"/>
      <c r="R1337" s="4"/>
      <c r="S1337" s="4"/>
      <c r="T1337" s="4"/>
      <c r="U1337" s="4"/>
      <c r="V1337" s="4"/>
      <c r="W1337" s="4"/>
    </row>
    <row r="1338" spans="1:23" ht="14.5" hidden="1" customHeight="1" x14ac:dyDescent="0.2">
      <c r="A1338">
        <f t="shared" si="20"/>
        <v>1332</v>
      </c>
      <c r="B1338">
        <v>2018</v>
      </c>
      <c r="C1338" t="s">
        <v>172</v>
      </c>
      <c r="D1338" t="s">
        <v>189</v>
      </c>
      <c r="E1338" s="22">
        <v>150</v>
      </c>
      <c r="G1338" t="s">
        <v>1010</v>
      </c>
      <c r="H1338" t="s">
        <v>144</v>
      </c>
      <c r="I1338" t="s">
        <v>187</v>
      </c>
      <c r="J1338" t="s">
        <v>37</v>
      </c>
      <c r="K1338" t="s">
        <v>205</v>
      </c>
      <c r="L1338">
        <v>1</v>
      </c>
      <c r="M1338" s="4"/>
      <c r="N1338" s="2"/>
      <c r="O1338" s="21"/>
      <c r="P1338" s="2"/>
      <c r="Q1338" s="2"/>
      <c r="R1338" s="4"/>
      <c r="S1338" s="4"/>
      <c r="T1338" s="4"/>
      <c r="U1338" s="4"/>
      <c r="V1338" s="4"/>
      <c r="W1338" s="4"/>
    </row>
    <row r="1339" spans="1:23" ht="14.5" hidden="1" customHeight="1" x14ac:dyDescent="0.2">
      <c r="A1339">
        <f t="shared" si="20"/>
        <v>1333</v>
      </c>
      <c r="B1339">
        <v>2018</v>
      </c>
      <c r="C1339" t="s">
        <v>172</v>
      </c>
      <c r="D1339" t="s">
        <v>397</v>
      </c>
      <c r="E1339" s="22">
        <v>600</v>
      </c>
      <c r="H1339" t="s">
        <v>154</v>
      </c>
      <c r="I1339" t="s">
        <v>529</v>
      </c>
      <c r="J1339" t="s">
        <v>131</v>
      </c>
      <c r="K1339" t="s">
        <v>131</v>
      </c>
      <c r="L1339">
        <v>0</v>
      </c>
      <c r="M1339" s="4"/>
      <c r="N1339" s="2"/>
      <c r="O1339" s="21"/>
      <c r="P1339" s="2"/>
      <c r="Q1339" s="2"/>
      <c r="R1339" s="4"/>
      <c r="S1339" s="4"/>
      <c r="T1339" s="4"/>
      <c r="U1339" s="4"/>
      <c r="V1339" s="4"/>
      <c r="W1339" s="4"/>
    </row>
    <row r="1340" spans="1:23" ht="14.5" hidden="1" customHeight="1" x14ac:dyDescent="0.2">
      <c r="A1340">
        <f t="shared" si="20"/>
        <v>1334</v>
      </c>
      <c r="B1340">
        <v>2018</v>
      </c>
      <c r="C1340" t="s">
        <v>172</v>
      </c>
      <c r="D1340" t="s">
        <v>175</v>
      </c>
      <c r="E1340" s="22">
        <v>320</v>
      </c>
      <c r="H1340" t="s">
        <v>149</v>
      </c>
      <c r="I1340" t="s">
        <v>182</v>
      </c>
      <c r="J1340" t="s">
        <v>53</v>
      </c>
      <c r="K1340" t="s">
        <v>183</v>
      </c>
      <c r="L1340">
        <v>1</v>
      </c>
      <c r="M1340" s="4"/>
      <c r="N1340" s="2"/>
      <c r="O1340" s="21"/>
      <c r="P1340" s="2"/>
      <c r="Q1340" s="2"/>
      <c r="R1340" s="4"/>
      <c r="S1340" s="4"/>
      <c r="T1340" s="4"/>
      <c r="U1340" s="4"/>
      <c r="V1340" s="4"/>
      <c r="W1340" s="4"/>
    </row>
    <row r="1341" spans="1:23" ht="14.5" hidden="1" customHeight="1" x14ac:dyDescent="0.2">
      <c r="A1341">
        <f t="shared" si="20"/>
        <v>1335</v>
      </c>
      <c r="B1341">
        <v>2018</v>
      </c>
      <c r="C1341" t="s">
        <v>172</v>
      </c>
      <c r="D1341" t="s">
        <v>175</v>
      </c>
      <c r="E1341" s="22">
        <v>100</v>
      </c>
      <c r="G1341" t="s">
        <v>2849</v>
      </c>
      <c r="H1341" t="s">
        <v>149</v>
      </c>
      <c r="I1341" t="s">
        <v>182</v>
      </c>
      <c r="J1341" t="s">
        <v>136</v>
      </c>
      <c r="K1341" t="s">
        <v>183</v>
      </c>
      <c r="L1341">
        <v>1</v>
      </c>
      <c r="M1341" s="4"/>
      <c r="N1341" s="2"/>
      <c r="O1341" s="21"/>
      <c r="P1341" s="2"/>
      <c r="Q1341" s="2"/>
      <c r="R1341" s="4"/>
      <c r="S1341" s="4"/>
      <c r="T1341" s="4"/>
      <c r="U1341" s="4"/>
      <c r="V1341" s="4"/>
      <c r="W1341" s="4"/>
    </row>
    <row r="1342" spans="1:23" ht="14.5" hidden="1" customHeight="1" x14ac:dyDescent="0.2">
      <c r="A1342">
        <f t="shared" si="20"/>
        <v>1336</v>
      </c>
      <c r="B1342">
        <v>2018</v>
      </c>
      <c r="C1342" t="s">
        <v>172</v>
      </c>
      <c r="D1342" t="s">
        <v>175</v>
      </c>
      <c r="E1342" s="22">
        <v>130</v>
      </c>
      <c r="H1342" t="s">
        <v>151</v>
      </c>
      <c r="I1342" t="s">
        <v>279</v>
      </c>
      <c r="J1342" t="s">
        <v>53</v>
      </c>
      <c r="K1342" t="s">
        <v>183</v>
      </c>
      <c r="L1342">
        <v>1</v>
      </c>
      <c r="M1342" s="4"/>
      <c r="N1342" s="2"/>
      <c r="O1342" s="21"/>
      <c r="P1342" s="2"/>
      <c r="Q1342" s="2"/>
      <c r="R1342" s="4"/>
      <c r="S1342" s="4"/>
      <c r="T1342" s="4"/>
      <c r="U1342" s="4"/>
      <c r="V1342" s="4"/>
      <c r="W1342" s="4"/>
    </row>
    <row r="1343" spans="1:23" ht="14.5" hidden="1" customHeight="1" x14ac:dyDescent="0.2">
      <c r="A1343">
        <f t="shared" si="20"/>
        <v>1337</v>
      </c>
      <c r="B1343">
        <v>2018</v>
      </c>
      <c r="C1343" t="s">
        <v>172</v>
      </c>
      <c r="D1343" t="s">
        <v>175</v>
      </c>
      <c r="E1343" s="22">
        <v>170</v>
      </c>
      <c r="H1343" t="s">
        <v>151</v>
      </c>
      <c r="I1343" t="s">
        <v>279</v>
      </c>
      <c r="J1343" t="s">
        <v>72</v>
      </c>
      <c r="K1343" t="s">
        <v>183</v>
      </c>
      <c r="L1343">
        <v>1</v>
      </c>
      <c r="M1343" s="4"/>
      <c r="N1343" s="2"/>
      <c r="O1343" s="21"/>
      <c r="P1343" s="2"/>
      <c r="Q1343" s="2"/>
      <c r="R1343" s="4"/>
      <c r="S1343" s="4"/>
      <c r="T1343" s="4"/>
      <c r="U1343" s="4"/>
      <c r="V1343" s="4"/>
      <c r="W1343" s="4"/>
    </row>
    <row r="1344" spans="1:23" ht="14.5" hidden="1" customHeight="1" x14ac:dyDescent="0.2">
      <c r="A1344">
        <f t="shared" si="20"/>
        <v>1338</v>
      </c>
      <c r="B1344">
        <v>2018</v>
      </c>
      <c r="C1344" t="s">
        <v>172</v>
      </c>
      <c r="D1344" t="s">
        <v>397</v>
      </c>
      <c r="E1344" s="22">
        <v>140</v>
      </c>
      <c r="H1344" t="s">
        <v>150</v>
      </c>
      <c r="I1344" t="s">
        <v>556</v>
      </c>
      <c r="J1344" t="s">
        <v>130</v>
      </c>
      <c r="K1344" t="s">
        <v>214</v>
      </c>
      <c r="L1344">
        <v>1</v>
      </c>
      <c r="M1344" s="4"/>
      <c r="N1344" s="2"/>
      <c r="O1344" s="21"/>
      <c r="P1344" s="2"/>
      <c r="Q1344" s="2"/>
      <c r="R1344" s="4"/>
      <c r="S1344" s="4"/>
      <c r="T1344" s="4"/>
      <c r="U1344" s="4"/>
      <c r="V1344" s="4"/>
      <c r="W1344" s="4"/>
    </row>
    <row r="1345" spans="1:23" ht="14.5" hidden="1" customHeight="1" x14ac:dyDescent="0.2">
      <c r="A1345">
        <f t="shared" si="20"/>
        <v>1339</v>
      </c>
      <c r="B1345">
        <v>2018</v>
      </c>
      <c r="C1345" t="s">
        <v>172</v>
      </c>
      <c r="D1345" t="s">
        <v>479</v>
      </c>
      <c r="E1345" s="22">
        <v>210</v>
      </c>
      <c r="H1345" t="s">
        <v>154</v>
      </c>
      <c r="I1345" t="s">
        <v>250</v>
      </c>
      <c r="J1345" t="s">
        <v>2554</v>
      </c>
      <c r="K1345" t="s">
        <v>219</v>
      </c>
      <c r="L1345">
        <v>1</v>
      </c>
      <c r="M1345" s="4"/>
      <c r="N1345" s="2"/>
      <c r="O1345" s="21"/>
      <c r="P1345" s="2"/>
      <c r="Q1345" s="2"/>
      <c r="R1345" s="4"/>
      <c r="S1345" s="4"/>
      <c r="T1345" s="4"/>
      <c r="U1345" s="4"/>
      <c r="V1345" s="4"/>
      <c r="W1345" s="4"/>
    </row>
    <row r="1346" spans="1:23" ht="14.5" hidden="1" customHeight="1" x14ac:dyDescent="0.2">
      <c r="A1346">
        <f t="shared" si="20"/>
        <v>1340</v>
      </c>
      <c r="B1346">
        <v>2018</v>
      </c>
      <c r="C1346" t="s">
        <v>172</v>
      </c>
      <c r="D1346" t="s">
        <v>449</v>
      </c>
      <c r="E1346" s="22">
        <v>220</v>
      </c>
      <c r="H1346" t="s">
        <v>154</v>
      </c>
      <c r="I1346" t="s">
        <v>194</v>
      </c>
      <c r="J1346" t="s">
        <v>126</v>
      </c>
      <c r="K1346" t="s">
        <v>177</v>
      </c>
      <c r="L1346">
        <v>1</v>
      </c>
      <c r="M1346" s="4"/>
      <c r="N1346" s="2"/>
      <c r="O1346" s="21"/>
      <c r="P1346" s="2"/>
      <c r="Q1346" s="2"/>
      <c r="R1346" s="4"/>
      <c r="S1346" s="4"/>
      <c r="T1346" s="4"/>
      <c r="U1346" s="4"/>
      <c r="V1346" s="4"/>
      <c r="W1346" s="4"/>
    </row>
    <row r="1347" spans="1:23" ht="14.5" hidden="1" customHeight="1" x14ac:dyDescent="0.2">
      <c r="A1347">
        <f t="shared" si="20"/>
        <v>1341</v>
      </c>
      <c r="B1347">
        <v>2018</v>
      </c>
      <c r="C1347" t="s">
        <v>172</v>
      </c>
      <c r="D1347" t="s">
        <v>2710</v>
      </c>
      <c r="E1347" s="22">
        <v>160</v>
      </c>
      <c r="G1347" t="s">
        <v>1247</v>
      </c>
      <c r="H1347" t="s">
        <v>144</v>
      </c>
      <c r="I1347" t="s">
        <v>232</v>
      </c>
      <c r="J1347" t="s">
        <v>38</v>
      </c>
      <c r="K1347" t="s">
        <v>214</v>
      </c>
      <c r="L1347">
        <v>1</v>
      </c>
      <c r="M1347" s="4"/>
      <c r="N1347" s="2"/>
      <c r="O1347" s="21"/>
      <c r="P1347" s="2"/>
      <c r="Q1347" s="2"/>
      <c r="R1347" s="4"/>
      <c r="S1347" s="4"/>
      <c r="T1347" s="4"/>
      <c r="U1347" s="4"/>
      <c r="V1347" s="4"/>
      <c r="W1347" s="4"/>
    </row>
    <row r="1348" spans="1:23" ht="14.5" hidden="1" customHeight="1" x14ac:dyDescent="0.2">
      <c r="A1348">
        <f t="shared" si="20"/>
        <v>1342</v>
      </c>
      <c r="B1348">
        <v>2018</v>
      </c>
      <c r="C1348" t="s">
        <v>172</v>
      </c>
      <c r="D1348" t="s">
        <v>745</v>
      </c>
      <c r="E1348" s="22">
        <v>420</v>
      </c>
      <c r="H1348" t="s">
        <v>144</v>
      </c>
      <c r="I1348" t="s">
        <v>187</v>
      </c>
      <c r="J1348" t="s">
        <v>101</v>
      </c>
      <c r="K1348" t="s">
        <v>201</v>
      </c>
      <c r="L1348">
        <v>1</v>
      </c>
      <c r="M1348" s="4"/>
      <c r="N1348" s="2"/>
      <c r="O1348" s="21"/>
      <c r="P1348" s="2"/>
      <c r="Q1348" s="2"/>
      <c r="R1348" s="4"/>
      <c r="S1348" s="4"/>
      <c r="T1348" s="4"/>
      <c r="U1348" s="4"/>
      <c r="V1348" s="4"/>
      <c r="W1348" s="4"/>
    </row>
    <row r="1349" spans="1:23" s="17" customFormat="1" ht="14.5" hidden="1" customHeight="1" x14ac:dyDescent="0.2">
      <c r="A1349">
        <f t="shared" si="20"/>
        <v>1343</v>
      </c>
      <c r="B1349">
        <v>2018</v>
      </c>
      <c r="C1349" t="s">
        <v>172</v>
      </c>
      <c r="D1349" t="s">
        <v>336</v>
      </c>
      <c r="E1349" s="22">
        <v>360</v>
      </c>
      <c r="F1349" s="16"/>
      <c r="G1349" t="s">
        <v>2850</v>
      </c>
      <c r="H1349" t="s">
        <v>143</v>
      </c>
      <c r="J1349" t="s">
        <v>13</v>
      </c>
      <c r="K1349" t="s">
        <v>201</v>
      </c>
      <c r="L1349">
        <v>1</v>
      </c>
      <c r="M1349" s="4"/>
      <c r="N1349" s="2"/>
      <c r="O1349" s="21"/>
      <c r="P1349" s="2"/>
      <c r="Q1349" s="2"/>
      <c r="R1349" s="4"/>
      <c r="S1349" s="4"/>
      <c r="T1349" s="4"/>
      <c r="U1349" s="4"/>
      <c r="V1349" s="4"/>
      <c r="W1349" s="4"/>
    </row>
    <row r="1350" spans="1:23" ht="14.5" hidden="1" customHeight="1" x14ac:dyDescent="0.2">
      <c r="A1350">
        <f t="shared" si="20"/>
        <v>1344</v>
      </c>
      <c r="B1350">
        <v>2018</v>
      </c>
      <c r="C1350" t="s">
        <v>258</v>
      </c>
      <c r="D1350" t="s">
        <v>2837</v>
      </c>
      <c r="E1350" s="22">
        <v>100</v>
      </c>
      <c r="H1350" t="s">
        <v>144</v>
      </c>
      <c r="I1350" t="s">
        <v>232</v>
      </c>
      <c r="J1350" t="s">
        <v>64</v>
      </c>
      <c r="K1350" t="s">
        <v>219</v>
      </c>
      <c r="L1350">
        <v>1</v>
      </c>
      <c r="M1350" s="4"/>
      <c r="N1350" s="2"/>
      <c r="O1350" s="21"/>
      <c r="P1350" s="2"/>
      <c r="Q1350" s="2"/>
      <c r="R1350" s="4"/>
      <c r="S1350" s="4"/>
      <c r="T1350" s="4"/>
      <c r="U1350" s="4"/>
      <c r="V1350" s="4"/>
      <c r="W1350" s="4"/>
    </row>
    <row r="1351" spans="1:23" ht="14.5" hidden="1" customHeight="1" x14ac:dyDescent="0.2">
      <c r="A1351">
        <f t="shared" ref="A1351:A1414" si="21">ROW()-6</f>
        <v>1345</v>
      </c>
      <c r="B1351">
        <v>2018</v>
      </c>
      <c r="C1351" t="s">
        <v>258</v>
      </c>
      <c r="D1351" t="s">
        <v>341</v>
      </c>
      <c r="E1351" s="22">
        <v>710</v>
      </c>
      <c r="H1351" t="s">
        <v>154</v>
      </c>
      <c r="I1351" t="s">
        <v>529</v>
      </c>
      <c r="J1351" t="s">
        <v>57</v>
      </c>
      <c r="K1351" t="s">
        <v>195</v>
      </c>
      <c r="L1351">
        <v>0</v>
      </c>
      <c r="M1351" s="4"/>
      <c r="N1351" s="2"/>
      <c r="O1351" s="21"/>
      <c r="P1351" s="2"/>
      <c r="Q1351" s="2"/>
      <c r="R1351" s="4"/>
      <c r="S1351" s="4"/>
      <c r="T1351" s="4"/>
      <c r="U1351" s="4"/>
      <c r="V1351" s="4"/>
      <c r="W1351" s="4"/>
    </row>
    <row r="1352" spans="1:23" ht="14.5" hidden="1" customHeight="1" x14ac:dyDescent="0.2">
      <c r="A1352">
        <f t="shared" si="21"/>
        <v>1346</v>
      </c>
      <c r="B1352">
        <v>2018</v>
      </c>
      <c r="C1352" t="s">
        <v>258</v>
      </c>
      <c r="D1352" t="s">
        <v>444</v>
      </c>
      <c r="E1352" s="22">
        <v>1140</v>
      </c>
      <c r="G1352" t="s">
        <v>2730</v>
      </c>
      <c r="H1352" t="s">
        <v>151</v>
      </c>
      <c r="I1352" t="s">
        <v>279</v>
      </c>
      <c r="J1352" t="s">
        <v>130</v>
      </c>
      <c r="K1352" t="s">
        <v>214</v>
      </c>
      <c r="L1352">
        <v>1</v>
      </c>
      <c r="M1352" s="4"/>
      <c r="N1352" s="2"/>
      <c r="O1352" s="21"/>
      <c r="P1352" s="2"/>
      <c r="Q1352" s="2"/>
      <c r="R1352" s="4"/>
      <c r="S1352" s="4"/>
      <c r="T1352" s="4"/>
      <c r="U1352" s="4"/>
      <c r="V1352" s="4"/>
      <c r="W1352" s="4"/>
    </row>
    <row r="1353" spans="1:23" ht="14.5" hidden="1" customHeight="1" x14ac:dyDescent="0.2">
      <c r="A1353">
        <f t="shared" si="21"/>
        <v>1347</v>
      </c>
      <c r="B1353">
        <v>2018</v>
      </c>
      <c r="C1353" t="s">
        <v>258</v>
      </c>
      <c r="D1353" t="s">
        <v>875</v>
      </c>
      <c r="E1353" s="22">
        <v>430</v>
      </c>
      <c r="G1353" t="s">
        <v>2851</v>
      </c>
      <c r="H1353" t="s">
        <v>144</v>
      </c>
      <c r="I1353" t="s">
        <v>299</v>
      </c>
      <c r="J1353" t="s">
        <v>89</v>
      </c>
      <c r="K1353" t="s">
        <v>219</v>
      </c>
      <c r="L1353">
        <v>1</v>
      </c>
      <c r="M1353" s="4"/>
      <c r="N1353" s="2"/>
      <c r="O1353" s="21"/>
      <c r="P1353" s="2"/>
      <c r="Q1353" s="2"/>
      <c r="R1353" s="4"/>
      <c r="S1353" s="4"/>
      <c r="T1353" s="4"/>
      <c r="U1353" s="4"/>
      <c r="V1353" s="4"/>
      <c r="W1353" s="4"/>
    </row>
    <row r="1354" spans="1:23" ht="14.5" hidden="1" customHeight="1" x14ac:dyDescent="0.2">
      <c r="A1354">
        <f t="shared" si="21"/>
        <v>1348</v>
      </c>
      <c r="B1354">
        <v>2018</v>
      </c>
      <c r="C1354" t="s">
        <v>258</v>
      </c>
      <c r="D1354" t="s">
        <v>745</v>
      </c>
      <c r="E1354" s="22">
        <v>720</v>
      </c>
      <c r="G1354" t="s">
        <v>2405</v>
      </c>
      <c r="H1354" t="s">
        <v>144</v>
      </c>
      <c r="I1354" t="s">
        <v>187</v>
      </c>
      <c r="J1354" t="s">
        <v>89</v>
      </c>
      <c r="K1354" t="s">
        <v>219</v>
      </c>
      <c r="L1354">
        <v>1</v>
      </c>
      <c r="M1354" s="4"/>
      <c r="N1354" s="2"/>
      <c r="O1354" s="21"/>
      <c r="P1354" s="2"/>
      <c r="Q1354" s="2"/>
      <c r="R1354" s="4"/>
      <c r="S1354" s="4"/>
      <c r="T1354" s="4"/>
      <c r="U1354" s="4"/>
      <c r="V1354" s="4"/>
      <c r="W1354" s="4"/>
    </row>
    <row r="1355" spans="1:23" ht="14.5" hidden="1" customHeight="1" x14ac:dyDescent="0.2">
      <c r="A1355">
        <f t="shared" si="21"/>
        <v>1349</v>
      </c>
      <c r="B1355">
        <v>2018</v>
      </c>
      <c r="C1355" t="s">
        <v>258</v>
      </c>
      <c r="D1355" t="s">
        <v>444</v>
      </c>
      <c r="E1355" s="22">
        <v>350</v>
      </c>
      <c r="H1355" t="s">
        <v>144</v>
      </c>
      <c r="I1355" t="s">
        <v>299</v>
      </c>
      <c r="J1355" t="s">
        <v>2852</v>
      </c>
      <c r="K1355" t="s">
        <v>195</v>
      </c>
      <c r="L1355">
        <v>1</v>
      </c>
      <c r="M1355" s="4"/>
      <c r="N1355" s="2"/>
      <c r="O1355" s="21"/>
      <c r="P1355" s="2"/>
      <c r="Q1355" s="2"/>
      <c r="R1355" s="4"/>
      <c r="S1355" s="4"/>
      <c r="T1355" s="4"/>
      <c r="U1355" s="4"/>
      <c r="V1355" s="4"/>
      <c r="W1355" s="4"/>
    </row>
    <row r="1356" spans="1:23" ht="14.5" hidden="1" customHeight="1" x14ac:dyDescent="0.2">
      <c r="A1356">
        <f t="shared" si="21"/>
        <v>1350</v>
      </c>
      <c r="B1356">
        <v>2018</v>
      </c>
      <c r="C1356" t="s">
        <v>258</v>
      </c>
      <c r="D1356" t="s">
        <v>479</v>
      </c>
      <c r="E1356" s="22">
        <v>460</v>
      </c>
      <c r="H1356" t="s">
        <v>154</v>
      </c>
      <c r="I1356" t="s">
        <v>271</v>
      </c>
      <c r="J1356" t="s">
        <v>89</v>
      </c>
      <c r="K1356" t="s">
        <v>219</v>
      </c>
      <c r="L1356">
        <v>1</v>
      </c>
      <c r="M1356" s="4"/>
      <c r="N1356" s="2"/>
      <c r="O1356" s="21"/>
      <c r="P1356" s="2"/>
      <c r="Q1356" s="2"/>
      <c r="R1356" s="4"/>
      <c r="S1356" s="4"/>
      <c r="T1356" s="4"/>
      <c r="U1356" s="4"/>
      <c r="V1356" s="4"/>
      <c r="W1356" s="4"/>
    </row>
    <row r="1357" spans="1:23" ht="14.5" hidden="1" customHeight="1" x14ac:dyDescent="0.2">
      <c r="A1357">
        <f t="shared" si="21"/>
        <v>1351</v>
      </c>
      <c r="B1357">
        <v>2018</v>
      </c>
      <c r="C1357" t="s">
        <v>258</v>
      </c>
      <c r="D1357" t="s">
        <v>2837</v>
      </c>
      <c r="E1357" s="22">
        <v>270</v>
      </c>
      <c r="H1357" t="s">
        <v>144</v>
      </c>
      <c r="J1357" t="s">
        <v>64</v>
      </c>
      <c r="K1357" t="s">
        <v>219</v>
      </c>
      <c r="L1357">
        <v>1</v>
      </c>
      <c r="M1357" s="4"/>
      <c r="N1357" s="2"/>
      <c r="O1357" s="21"/>
      <c r="P1357" s="2"/>
      <c r="Q1357" s="2"/>
      <c r="R1357" s="4"/>
      <c r="S1357" s="4"/>
      <c r="T1357" s="4"/>
      <c r="U1357" s="4"/>
      <c r="V1357" s="4"/>
      <c r="W1357" s="4"/>
    </row>
    <row r="1358" spans="1:23" ht="14.5" hidden="1" customHeight="1" x14ac:dyDescent="0.2">
      <c r="A1358">
        <f t="shared" si="21"/>
        <v>1352</v>
      </c>
      <c r="B1358">
        <v>2018</v>
      </c>
      <c r="C1358" t="s">
        <v>258</v>
      </c>
      <c r="D1358" t="s">
        <v>479</v>
      </c>
      <c r="E1358" s="22">
        <v>190</v>
      </c>
      <c r="H1358" t="s">
        <v>154</v>
      </c>
      <c r="I1358" t="s">
        <v>194</v>
      </c>
      <c r="J1358" t="s">
        <v>16</v>
      </c>
      <c r="K1358" t="s">
        <v>205</v>
      </c>
      <c r="L1358">
        <v>1</v>
      </c>
      <c r="M1358" s="4"/>
      <c r="N1358" s="2"/>
      <c r="O1358" s="21"/>
      <c r="P1358" s="2"/>
      <c r="Q1358" s="2"/>
      <c r="R1358" s="4"/>
      <c r="S1358" s="4"/>
      <c r="T1358" s="4"/>
      <c r="U1358" s="4"/>
      <c r="V1358" s="4"/>
      <c r="W1358" s="4"/>
    </row>
    <row r="1359" spans="1:23" ht="14.5" hidden="1" customHeight="1" x14ac:dyDescent="0.2">
      <c r="A1359">
        <f t="shared" si="21"/>
        <v>1353</v>
      </c>
      <c r="B1359">
        <v>2018</v>
      </c>
      <c r="C1359" t="s">
        <v>258</v>
      </c>
      <c r="D1359" t="s">
        <v>175</v>
      </c>
      <c r="E1359" s="22">
        <v>940</v>
      </c>
      <c r="G1359" t="s">
        <v>2853</v>
      </c>
      <c r="H1359" t="s">
        <v>149</v>
      </c>
      <c r="I1359" t="s">
        <v>182</v>
      </c>
      <c r="J1359" t="s">
        <v>136</v>
      </c>
      <c r="K1359" t="s">
        <v>183</v>
      </c>
      <c r="L1359">
        <v>1</v>
      </c>
      <c r="M1359" s="4"/>
      <c r="N1359" s="2"/>
      <c r="O1359" s="21"/>
      <c r="P1359" s="2"/>
      <c r="Q1359" s="2"/>
      <c r="R1359" s="4"/>
      <c r="S1359" s="4"/>
      <c r="T1359" s="4"/>
      <c r="U1359" s="4"/>
      <c r="V1359" s="4"/>
      <c r="W1359" s="4"/>
    </row>
    <row r="1360" spans="1:23" ht="14.5" hidden="1" customHeight="1" x14ac:dyDescent="0.2">
      <c r="A1360">
        <f t="shared" si="21"/>
        <v>1354</v>
      </c>
      <c r="B1360">
        <v>2018</v>
      </c>
      <c r="C1360" t="s">
        <v>258</v>
      </c>
      <c r="D1360" t="s">
        <v>2854</v>
      </c>
      <c r="E1360" s="22">
        <v>230</v>
      </c>
      <c r="H1360" t="s">
        <v>154</v>
      </c>
      <c r="I1360" t="s">
        <v>250</v>
      </c>
      <c r="J1360" t="s">
        <v>93</v>
      </c>
      <c r="K1360" t="s">
        <v>201</v>
      </c>
      <c r="L1360">
        <v>1</v>
      </c>
      <c r="M1360" s="4"/>
      <c r="N1360" s="2"/>
      <c r="O1360" s="21"/>
      <c r="P1360" s="2"/>
      <c r="Q1360" s="2"/>
      <c r="R1360" s="4"/>
      <c r="S1360" s="4"/>
      <c r="T1360" s="4"/>
      <c r="U1360" s="4"/>
      <c r="V1360" s="4"/>
      <c r="W1360" s="4"/>
    </row>
    <row r="1361" spans="1:23" ht="14.5" hidden="1" customHeight="1" x14ac:dyDescent="0.2">
      <c r="A1361">
        <f t="shared" si="21"/>
        <v>1355</v>
      </c>
      <c r="B1361">
        <v>2018</v>
      </c>
      <c r="C1361" t="s">
        <v>179</v>
      </c>
      <c r="D1361" t="s">
        <v>397</v>
      </c>
      <c r="E1361" s="22">
        <v>160</v>
      </c>
      <c r="G1361" t="s">
        <v>2776</v>
      </c>
      <c r="H1361" t="s">
        <v>151</v>
      </c>
      <c r="I1361" t="s">
        <v>279</v>
      </c>
      <c r="J1361" t="s">
        <v>130</v>
      </c>
      <c r="K1361" t="s">
        <v>214</v>
      </c>
      <c r="L1361">
        <v>1</v>
      </c>
      <c r="M1361" s="4"/>
      <c r="N1361" s="2"/>
      <c r="O1361" s="21"/>
      <c r="P1361" s="2"/>
      <c r="Q1361" s="2"/>
      <c r="R1361" s="4"/>
      <c r="S1361" s="4"/>
      <c r="T1361" s="4"/>
      <c r="U1361" s="4"/>
      <c r="V1361" s="4"/>
      <c r="W1361" s="4"/>
    </row>
    <row r="1362" spans="1:23" ht="14.5" hidden="1" customHeight="1" x14ac:dyDescent="0.2">
      <c r="A1362">
        <f t="shared" si="21"/>
        <v>1356</v>
      </c>
      <c r="B1362">
        <v>2018</v>
      </c>
      <c r="C1362" t="s">
        <v>179</v>
      </c>
      <c r="D1362" t="s">
        <v>444</v>
      </c>
      <c r="E1362" s="22">
        <v>840</v>
      </c>
      <c r="H1362" t="s">
        <v>154</v>
      </c>
      <c r="I1362" t="s">
        <v>529</v>
      </c>
      <c r="J1362" t="s">
        <v>54</v>
      </c>
      <c r="K1362" t="s">
        <v>201</v>
      </c>
      <c r="L1362">
        <v>1</v>
      </c>
      <c r="M1362" s="4"/>
      <c r="N1362" s="2"/>
      <c r="O1362" s="21"/>
      <c r="P1362" s="2"/>
      <c r="Q1362" s="2"/>
      <c r="R1362" s="4"/>
      <c r="S1362" s="4"/>
      <c r="T1362" s="4"/>
      <c r="U1362" s="4"/>
      <c r="V1362" s="4"/>
      <c r="W1362" s="4"/>
    </row>
    <row r="1363" spans="1:23" ht="14.5" hidden="1" customHeight="1" x14ac:dyDescent="0.2">
      <c r="A1363">
        <f t="shared" si="21"/>
        <v>1357</v>
      </c>
      <c r="B1363">
        <v>2018</v>
      </c>
      <c r="C1363" t="s">
        <v>179</v>
      </c>
      <c r="D1363" t="s">
        <v>444</v>
      </c>
      <c r="E1363" s="22">
        <v>700</v>
      </c>
      <c r="H1363" t="s">
        <v>154</v>
      </c>
      <c r="I1363" t="s">
        <v>529</v>
      </c>
      <c r="J1363" t="s">
        <v>54</v>
      </c>
      <c r="K1363" t="s">
        <v>201</v>
      </c>
      <c r="L1363">
        <v>1</v>
      </c>
      <c r="M1363" s="4"/>
      <c r="N1363" s="2"/>
      <c r="O1363" s="21"/>
      <c r="P1363" s="2"/>
      <c r="Q1363" s="2"/>
      <c r="R1363" s="4"/>
      <c r="S1363" s="4"/>
      <c r="T1363" s="4"/>
      <c r="U1363" s="4"/>
      <c r="V1363" s="4"/>
      <c r="W1363" s="4"/>
    </row>
    <row r="1364" spans="1:23" ht="14.5" hidden="1" customHeight="1" x14ac:dyDescent="0.2">
      <c r="A1364">
        <f t="shared" si="21"/>
        <v>1358</v>
      </c>
      <c r="B1364">
        <v>2018</v>
      </c>
      <c r="C1364" t="s">
        <v>179</v>
      </c>
      <c r="D1364" t="s">
        <v>479</v>
      </c>
      <c r="E1364" s="22">
        <v>170</v>
      </c>
      <c r="H1364" t="s">
        <v>154</v>
      </c>
      <c r="I1364" t="s">
        <v>250</v>
      </c>
      <c r="J1364" t="s">
        <v>9</v>
      </c>
      <c r="K1364" t="s">
        <v>9</v>
      </c>
      <c r="L1364">
        <v>0</v>
      </c>
      <c r="M1364" s="4"/>
      <c r="N1364" s="2"/>
      <c r="O1364" s="21"/>
      <c r="P1364" s="2"/>
      <c r="Q1364" s="2"/>
      <c r="R1364" s="4"/>
      <c r="S1364" s="4"/>
      <c r="T1364" s="4"/>
      <c r="U1364" s="4"/>
      <c r="V1364" s="4"/>
      <c r="W1364" s="4"/>
    </row>
    <row r="1365" spans="1:23" ht="14.5" hidden="1" customHeight="1" x14ac:dyDescent="0.2">
      <c r="A1365">
        <f t="shared" si="21"/>
        <v>1359</v>
      </c>
      <c r="B1365">
        <v>2018</v>
      </c>
      <c r="C1365" t="s">
        <v>179</v>
      </c>
      <c r="D1365" t="s">
        <v>479</v>
      </c>
      <c r="E1365" s="22">
        <v>230</v>
      </c>
      <c r="G1365" t="s">
        <v>2855</v>
      </c>
      <c r="H1365" t="s">
        <v>151</v>
      </c>
      <c r="I1365" t="s">
        <v>279</v>
      </c>
      <c r="J1365" t="s">
        <v>9</v>
      </c>
      <c r="K1365" t="s">
        <v>9</v>
      </c>
      <c r="L1365">
        <v>0</v>
      </c>
      <c r="M1365" s="4"/>
      <c r="N1365" s="2"/>
      <c r="O1365" s="21"/>
      <c r="P1365" s="2"/>
      <c r="Q1365" s="2"/>
      <c r="R1365" s="4"/>
      <c r="S1365" s="4"/>
      <c r="T1365" s="4"/>
      <c r="U1365" s="4"/>
      <c r="V1365" s="4"/>
      <c r="W1365" s="4"/>
    </row>
    <row r="1366" spans="1:23" ht="14.5" hidden="1" customHeight="1" x14ac:dyDescent="0.2">
      <c r="A1366">
        <f t="shared" si="21"/>
        <v>1360</v>
      </c>
      <c r="B1366">
        <v>2018</v>
      </c>
      <c r="C1366" t="s">
        <v>179</v>
      </c>
      <c r="D1366" t="s">
        <v>2574</v>
      </c>
      <c r="E1366" s="22">
        <v>360</v>
      </c>
      <c r="H1366" t="s">
        <v>143</v>
      </c>
      <c r="J1366" t="s">
        <v>131</v>
      </c>
      <c r="K1366" t="s">
        <v>131</v>
      </c>
      <c r="L1366">
        <v>0</v>
      </c>
      <c r="M1366" s="4"/>
      <c r="R1366" s="4"/>
      <c r="S1366" s="4"/>
      <c r="T1366" s="4"/>
      <c r="U1366" s="4"/>
      <c r="V1366" s="4"/>
      <c r="W1366" s="4"/>
    </row>
    <row r="1367" spans="1:23" ht="14.5" hidden="1" customHeight="1" x14ac:dyDescent="0.2">
      <c r="A1367">
        <f t="shared" si="21"/>
        <v>1361</v>
      </c>
      <c r="B1367">
        <v>2018</v>
      </c>
      <c r="C1367" t="s">
        <v>179</v>
      </c>
      <c r="D1367" t="s">
        <v>2856</v>
      </c>
      <c r="E1367" s="22">
        <v>100</v>
      </c>
      <c r="H1367" t="s">
        <v>155</v>
      </c>
      <c r="J1367" t="s">
        <v>63</v>
      </c>
      <c r="K1367" t="s">
        <v>201</v>
      </c>
      <c r="L1367">
        <v>1</v>
      </c>
      <c r="M1367" s="4"/>
      <c r="R1367" s="4"/>
      <c r="S1367" s="4"/>
      <c r="T1367" s="4"/>
      <c r="U1367" s="4"/>
      <c r="V1367" s="4"/>
      <c r="W1367" s="4"/>
    </row>
    <row r="1368" spans="1:23" ht="14.5" hidden="1" customHeight="1" x14ac:dyDescent="0.2">
      <c r="A1368">
        <f t="shared" si="21"/>
        <v>1362</v>
      </c>
      <c r="B1368">
        <v>2018</v>
      </c>
      <c r="C1368" t="s">
        <v>179</v>
      </c>
      <c r="D1368" t="s">
        <v>2588</v>
      </c>
      <c r="E1368" s="22">
        <v>100</v>
      </c>
      <c r="G1368" t="s">
        <v>1629</v>
      </c>
      <c r="H1368" t="s">
        <v>145</v>
      </c>
      <c r="J1368" t="s">
        <v>131</v>
      </c>
      <c r="K1368" t="s">
        <v>131</v>
      </c>
      <c r="L1368">
        <v>0</v>
      </c>
      <c r="M1368" s="4"/>
      <c r="R1368" s="4"/>
      <c r="S1368" s="4"/>
      <c r="T1368" s="4"/>
      <c r="U1368" s="4"/>
      <c r="V1368" s="4"/>
      <c r="W1368" s="4"/>
    </row>
    <row r="1369" spans="1:23" ht="14.25" hidden="1" customHeight="1" x14ac:dyDescent="0.2">
      <c r="A1369">
        <f t="shared" si="21"/>
        <v>1363</v>
      </c>
      <c r="B1369">
        <v>2018</v>
      </c>
      <c r="C1369" t="s">
        <v>179</v>
      </c>
      <c r="D1369" t="s">
        <v>2857</v>
      </c>
      <c r="E1369" s="22">
        <v>530</v>
      </c>
      <c r="G1369" t="s">
        <v>2858</v>
      </c>
      <c r="H1369" t="s">
        <v>144</v>
      </c>
      <c r="I1369" t="s">
        <v>299</v>
      </c>
      <c r="J1369" t="s">
        <v>19</v>
      </c>
      <c r="K1369" t="s">
        <v>205</v>
      </c>
      <c r="L1369">
        <v>0</v>
      </c>
      <c r="M1369" s="4"/>
      <c r="R1369" s="4"/>
      <c r="S1369" s="4"/>
      <c r="T1369" s="4"/>
      <c r="U1369" s="4"/>
      <c r="V1369" s="4"/>
      <c r="W1369" s="4"/>
    </row>
    <row r="1370" spans="1:23" ht="14.5" hidden="1" customHeight="1" x14ac:dyDescent="0.2">
      <c r="A1370">
        <f t="shared" si="21"/>
        <v>1364</v>
      </c>
      <c r="B1370">
        <v>2018</v>
      </c>
      <c r="C1370" t="s">
        <v>179</v>
      </c>
      <c r="D1370" t="s">
        <v>1035</v>
      </c>
      <c r="E1370" s="22">
        <v>470</v>
      </c>
      <c r="F1370" s="16">
        <v>0.49</v>
      </c>
      <c r="H1370" t="s">
        <v>142</v>
      </c>
      <c r="J1370" t="s">
        <v>124</v>
      </c>
      <c r="K1370" t="s">
        <v>183</v>
      </c>
      <c r="L1370">
        <v>1</v>
      </c>
      <c r="M1370" s="4"/>
      <c r="R1370" s="4"/>
      <c r="S1370" s="4"/>
      <c r="T1370" s="4"/>
      <c r="U1370" s="4"/>
      <c r="V1370" s="4"/>
      <c r="W1370" s="4"/>
    </row>
    <row r="1371" spans="1:23" ht="14.5" hidden="1" customHeight="1" x14ac:dyDescent="0.2">
      <c r="A1371">
        <f t="shared" si="21"/>
        <v>1365</v>
      </c>
      <c r="B1371">
        <v>2018</v>
      </c>
      <c r="C1371" t="s">
        <v>179</v>
      </c>
      <c r="D1371" t="s">
        <v>189</v>
      </c>
      <c r="E1371" s="22">
        <v>270</v>
      </c>
      <c r="G1371" t="s">
        <v>625</v>
      </c>
      <c r="H1371" t="s">
        <v>144</v>
      </c>
      <c r="I1371" t="s">
        <v>299</v>
      </c>
      <c r="J1371" t="s">
        <v>105</v>
      </c>
      <c r="K1371" t="s">
        <v>214</v>
      </c>
      <c r="L1371">
        <v>1</v>
      </c>
      <c r="M1371" s="4"/>
      <c r="R1371" s="4"/>
      <c r="S1371" s="4"/>
      <c r="T1371" s="4"/>
      <c r="U1371" s="4"/>
      <c r="V1371" s="4"/>
      <c r="W1371" s="4"/>
    </row>
    <row r="1372" spans="1:23" ht="14.5" hidden="1" customHeight="1" x14ac:dyDescent="0.2">
      <c r="A1372">
        <f t="shared" si="21"/>
        <v>1366</v>
      </c>
      <c r="B1372">
        <v>2018</v>
      </c>
      <c r="C1372" t="s">
        <v>179</v>
      </c>
      <c r="D1372" s="52" t="s">
        <v>2392</v>
      </c>
      <c r="E1372" s="22">
        <v>150</v>
      </c>
      <c r="G1372" t="s">
        <v>2859</v>
      </c>
      <c r="H1372" t="s">
        <v>144</v>
      </c>
      <c r="I1372" t="s">
        <v>197</v>
      </c>
      <c r="J1372" t="s">
        <v>84</v>
      </c>
      <c r="K1372" t="s">
        <v>201</v>
      </c>
      <c r="L1372">
        <v>1</v>
      </c>
      <c r="M1372" s="4"/>
      <c r="R1372" s="4"/>
      <c r="S1372" s="4"/>
      <c r="T1372" s="4"/>
      <c r="U1372" s="4"/>
      <c r="V1372" s="4"/>
      <c r="W1372" s="4"/>
    </row>
    <row r="1373" spans="1:23" ht="14.5" hidden="1" customHeight="1" x14ac:dyDescent="0.2">
      <c r="A1373">
        <f t="shared" si="21"/>
        <v>1367</v>
      </c>
      <c r="B1373">
        <v>2018</v>
      </c>
      <c r="C1373" t="s">
        <v>179</v>
      </c>
      <c r="D1373" t="s">
        <v>1035</v>
      </c>
      <c r="E1373" s="22">
        <v>890</v>
      </c>
      <c r="G1373" t="s">
        <v>2298</v>
      </c>
      <c r="H1373" t="s">
        <v>144</v>
      </c>
      <c r="I1373" t="s">
        <v>197</v>
      </c>
      <c r="J1373" t="s">
        <v>24</v>
      </c>
      <c r="K1373" t="s">
        <v>219</v>
      </c>
      <c r="L1373">
        <v>1</v>
      </c>
      <c r="M1373" s="4"/>
      <c r="R1373" s="4"/>
      <c r="S1373" s="4"/>
      <c r="T1373" s="4"/>
      <c r="U1373" s="4"/>
      <c r="V1373" s="4"/>
      <c r="W1373" s="4"/>
    </row>
    <row r="1374" spans="1:23" ht="14.5" hidden="1" customHeight="1" x14ac:dyDescent="0.2">
      <c r="A1374">
        <f t="shared" si="21"/>
        <v>1368</v>
      </c>
      <c r="B1374">
        <v>2018</v>
      </c>
      <c r="C1374" t="s">
        <v>179</v>
      </c>
      <c r="D1374" t="s">
        <v>875</v>
      </c>
      <c r="E1374" s="22">
        <v>120</v>
      </c>
      <c r="H1374" t="s">
        <v>144</v>
      </c>
      <c r="I1374" t="s">
        <v>299</v>
      </c>
      <c r="J1374" t="s">
        <v>53</v>
      </c>
      <c r="K1374" t="s">
        <v>183</v>
      </c>
      <c r="L1374">
        <v>1</v>
      </c>
      <c r="M1374" s="4"/>
      <c r="R1374" s="4"/>
      <c r="S1374" s="4"/>
      <c r="T1374" s="4"/>
      <c r="U1374" s="4"/>
      <c r="V1374" s="4"/>
      <c r="W1374" s="4"/>
    </row>
    <row r="1375" spans="1:23" ht="14.5" hidden="1" customHeight="1" x14ac:dyDescent="0.2">
      <c r="A1375">
        <f t="shared" si="21"/>
        <v>1369</v>
      </c>
      <c r="B1375">
        <v>2018</v>
      </c>
      <c r="C1375" t="s">
        <v>179</v>
      </c>
      <c r="D1375" t="s">
        <v>479</v>
      </c>
      <c r="E1375" s="22">
        <v>120</v>
      </c>
      <c r="H1375" t="s">
        <v>148</v>
      </c>
      <c r="J1375" t="s">
        <v>38</v>
      </c>
      <c r="K1375" t="s">
        <v>214</v>
      </c>
      <c r="L1375">
        <v>1</v>
      </c>
      <c r="M1375" s="4"/>
      <c r="R1375" s="4"/>
      <c r="S1375" s="4"/>
      <c r="T1375" s="4"/>
      <c r="U1375" s="4"/>
      <c r="V1375" s="4"/>
      <c r="W1375" s="4"/>
    </row>
    <row r="1376" spans="1:23" ht="14.5" hidden="1" customHeight="1" x14ac:dyDescent="0.2">
      <c r="A1376">
        <f t="shared" si="21"/>
        <v>1370</v>
      </c>
      <c r="B1376">
        <v>2018</v>
      </c>
      <c r="C1376" t="s">
        <v>179</v>
      </c>
      <c r="D1376" t="s">
        <v>479</v>
      </c>
      <c r="E1376" s="22">
        <v>410</v>
      </c>
      <c r="H1376" t="s">
        <v>154</v>
      </c>
      <c r="I1376" t="s">
        <v>194</v>
      </c>
      <c r="J1376" t="s">
        <v>48</v>
      </c>
      <c r="K1376" t="s">
        <v>219</v>
      </c>
      <c r="L1376">
        <v>1</v>
      </c>
      <c r="M1376" s="4"/>
      <c r="R1376" s="4"/>
      <c r="S1376" s="4"/>
      <c r="T1376" s="4"/>
      <c r="U1376" s="4"/>
      <c r="V1376" s="4"/>
      <c r="W1376" s="4"/>
    </row>
    <row r="1377" spans="1:23" ht="14.5" hidden="1" customHeight="1" x14ac:dyDescent="0.2">
      <c r="A1377">
        <f t="shared" si="21"/>
        <v>1371</v>
      </c>
      <c r="B1377">
        <v>2018</v>
      </c>
      <c r="C1377" t="s">
        <v>179</v>
      </c>
      <c r="D1377" t="s">
        <v>1035</v>
      </c>
      <c r="E1377" s="22">
        <v>470</v>
      </c>
      <c r="H1377" t="s">
        <v>154</v>
      </c>
      <c r="I1377" t="s">
        <v>194</v>
      </c>
      <c r="J1377" t="s">
        <v>2462</v>
      </c>
      <c r="K1377" t="s">
        <v>219</v>
      </c>
      <c r="L1377">
        <v>1</v>
      </c>
      <c r="M1377" s="4"/>
      <c r="R1377" s="4"/>
      <c r="S1377" s="4"/>
      <c r="T1377" s="4"/>
      <c r="U1377" s="4"/>
      <c r="V1377" s="4"/>
      <c r="W1377" s="4"/>
    </row>
    <row r="1378" spans="1:23" ht="14.5" hidden="1" customHeight="1" x14ac:dyDescent="0.2">
      <c r="A1378">
        <f t="shared" si="21"/>
        <v>1372</v>
      </c>
      <c r="B1378">
        <v>2018</v>
      </c>
      <c r="C1378" t="s">
        <v>179</v>
      </c>
      <c r="D1378" t="s">
        <v>557</v>
      </c>
      <c r="E1378" s="22">
        <v>130</v>
      </c>
      <c r="H1378" t="s">
        <v>151</v>
      </c>
      <c r="I1378" t="s">
        <v>279</v>
      </c>
      <c r="J1378" t="s">
        <v>5</v>
      </c>
      <c r="K1378" t="s">
        <v>214</v>
      </c>
      <c r="L1378">
        <v>1</v>
      </c>
      <c r="M1378" s="4"/>
      <c r="R1378" s="4"/>
      <c r="S1378" s="4"/>
      <c r="T1378" s="4"/>
      <c r="U1378" s="4"/>
      <c r="V1378" s="4"/>
      <c r="W1378" s="4"/>
    </row>
    <row r="1379" spans="1:23" ht="14.5" hidden="1" customHeight="1" x14ac:dyDescent="0.2">
      <c r="A1379">
        <f t="shared" si="21"/>
        <v>1373</v>
      </c>
      <c r="B1379">
        <v>2018</v>
      </c>
      <c r="C1379" t="s">
        <v>179</v>
      </c>
      <c r="D1379" t="s">
        <v>449</v>
      </c>
      <c r="E1379" s="22">
        <v>210</v>
      </c>
      <c r="G1379" t="s">
        <v>2860</v>
      </c>
      <c r="H1379" t="s">
        <v>154</v>
      </c>
      <c r="I1379" t="s">
        <v>529</v>
      </c>
      <c r="J1379" t="s">
        <v>13</v>
      </c>
      <c r="K1379" t="s">
        <v>201</v>
      </c>
      <c r="L1379">
        <v>1</v>
      </c>
      <c r="M1379" s="4"/>
      <c r="R1379" s="4"/>
      <c r="S1379" s="4"/>
      <c r="T1379" s="4"/>
      <c r="U1379" s="4"/>
      <c r="V1379" s="4"/>
      <c r="W1379" s="4"/>
    </row>
    <row r="1380" spans="1:23" ht="14.5" hidden="1" customHeight="1" x14ac:dyDescent="0.2">
      <c r="A1380">
        <f t="shared" si="21"/>
        <v>1374</v>
      </c>
      <c r="B1380" s="17">
        <v>2018</v>
      </c>
      <c r="C1380" s="17" t="s">
        <v>179</v>
      </c>
      <c r="D1380" s="17" t="s">
        <v>2861</v>
      </c>
      <c r="E1380" s="24">
        <v>310</v>
      </c>
      <c r="F1380" s="18"/>
      <c r="G1380" s="17"/>
      <c r="H1380" s="17" t="s">
        <v>154</v>
      </c>
      <c r="I1380" s="17" t="s">
        <v>194</v>
      </c>
      <c r="J1380" s="17" t="s">
        <v>123</v>
      </c>
      <c r="K1380" s="17" t="s">
        <v>219</v>
      </c>
      <c r="L1380" s="17">
        <v>1</v>
      </c>
      <c r="M1380" s="4"/>
      <c r="R1380" s="4"/>
      <c r="S1380" s="4"/>
      <c r="T1380" s="4"/>
      <c r="U1380" s="4"/>
      <c r="V1380" s="4"/>
      <c r="W1380" s="4"/>
    </row>
    <row r="1381" spans="1:23" ht="14.5" hidden="1" customHeight="1" x14ac:dyDescent="0.2">
      <c r="A1381">
        <f t="shared" si="21"/>
        <v>1375</v>
      </c>
      <c r="B1381">
        <v>2018</v>
      </c>
      <c r="C1381" t="s">
        <v>179</v>
      </c>
      <c r="D1381" t="s">
        <v>479</v>
      </c>
      <c r="E1381" s="22">
        <v>100</v>
      </c>
      <c r="H1381" t="s">
        <v>153</v>
      </c>
      <c r="J1381" t="s">
        <v>50</v>
      </c>
      <c r="K1381" t="s">
        <v>205</v>
      </c>
      <c r="L1381">
        <v>1</v>
      </c>
      <c r="M1381" s="4"/>
      <c r="R1381" s="4"/>
      <c r="S1381" s="4"/>
      <c r="T1381" s="4"/>
      <c r="U1381" s="4"/>
      <c r="V1381" s="4"/>
      <c r="W1381" s="4"/>
    </row>
    <row r="1382" spans="1:23" ht="14.5" hidden="1" customHeight="1" x14ac:dyDescent="0.2">
      <c r="A1382">
        <f t="shared" si="21"/>
        <v>1376</v>
      </c>
      <c r="B1382">
        <v>2018</v>
      </c>
      <c r="C1382" t="s">
        <v>179</v>
      </c>
      <c r="D1382" t="s">
        <v>479</v>
      </c>
      <c r="E1382" s="22">
        <v>230</v>
      </c>
      <c r="H1382" t="s">
        <v>154</v>
      </c>
      <c r="I1382" t="s">
        <v>194</v>
      </c>
      <c r="J1382" t="s">
        <v>40</v>
      </c>
      <c r="K1382" t="s">
        <v>219</v>
      </c>
      <c r="L1382">
        <v>1</v>
      </c>
      <c r="M1382" s="4"/>
      <c r="R1382" s="4"/>
      <c r="S1382" s="4"/>
      <c r="T1382" s="4"/>
      <c r="U1382" s="4"/>
      <c r="V1382" s="4"/>
      <c r="W1382" s="4"/>
    </row>
    <row r="1383" spans="1:23" ht="14.5" hidden="1" customHeight="1" x14ac:dyDescent="0.2">
      <c r="A1383">
        <f t="shared" si="21"/>
        <v>1377</v>
      </c>
      <c r="B1383">
        <v>2018</v>
      </c>
      <c r="C1383" t="s">
        <v>184</v>
      </c>
      <c r="D1383" t="s">
        <v>2660</v>
      </c>
      <c r="E1383" s="22">
        <v>300</v>
      </c>
      <c r="H1383" t="s">
        <v>154</v>
      </c>
      <c r="I1383" t="s">
        <v>194</v>
      </c>
      <c r="J1383" t="s">
        <v>23</v>
      </c>
      <c r="K1383" t="s">
        <v>183</v>
      </c>
      <c r="L1383">
        <v>1</v>
      </c>
      <c r="M1383" s="4"/>
      <c r="R1383" s="4"/>
      <c r="S1383" s="4"/>
      <c r="T1383" s="4"/>
      <c r="U1383" s="4"/>
      <c r="V1383" s="4"/>
      <c r="W1383" s="4"/>
    </row>
    <row r="1384" spans="1:23" ht="14.5" hidden="1" customHeight="1" x14ac:dyDescent="0.2">
      <c r="A1384">
        <f t="shared" si="21"/>
        <v>1378</v>
      </c>
      <c r="B1384">
        <v>2018</v>
      </c>
      <c r="C1384" t="s">
        <v>184</v>
      </c>
      <c r="D1384" t="s">
        <v>2660</v>
      </c>
      <c r="E1384" s="22">
        <v>220</v>
      </c>
      <c r="H1384" t="s">
        <v>151</v>
      </c>
      <c r="I1384" t="s">
        <v>279</v>
      </c>
      <c r="J1384" t="s">
        <v>65</v>
      </c>
      <c r="K1384" t="s">
        <v>214</v>
      </c>
      <c r="L1384">
        <v>1</v>
      </c>
      <c r="M1384" s="4"/>
      <c r="R1384" s="4"/>
      <c r="S1384" s="4"/>
      <c r="T1384" s="4"/>
      <c r="U1384" s="4"/>
      <c r="V1384" s="4"/>
      <c r="W1384" s="4"/>
    </row>
    <row r="1385" spans="1:23" ht="14.5" hidden="1" customHeight="1" x14ac:dyDescent="0.2">
      <c r="A1385">
        <f t="shared" si="21"/>
        <v>1379</v>
      </c>
      <c r="B1385">
        <v>2018</v>
      </c>
      <c r="C1385" t="s">
        <v>184</v>
      </c>
      <c r="D1385" t="s">
        <v>2660</v>
      </c>
      <c r="E1385" s="22">
        <v>230</v>
      </c>
      <c r="H1385" t="s">
        <v>151</v>
      </c>
      <c r="I1385" t="s">
        <v>279</v>
      </c>
      <c r="J1385" t="s">
        <v>100</v>
      </c>
      <c r="K1385" t="s">
        <v>214</v>
      </c>
      <c r="L1385">
        <v>1</v>
      </c>
      <c r="M1385" s="4"/>
      <c r="R1385" s="4"/>
      <c r="S1385" s="4"/>
      <c r="T1385" s="4"/>
      <c r="U1385" s="4"/>
      <c r="V1385" s="4"/>
      <c r="W1385" s="4"/>
    </row>
    <row r="1386" spans="1:23" ht="14.5" hidden="1" customHeight="1" x14ac:dyDescent="0.2">
      <c r="A1386">
        <f t="shared" si="21"/>
        <v>1380</v>
      </c>
      <c r="B1386">
        <v>2018</v>
      </c>
      <c r="C1386" t="s">
        <v>184</v>
      </c>
      <c r="D1386" t="s">
        <v>479</v>
      </c>
      <c r="E1386" s="22">
        <v>340</v>
      </c>
      <c r="H1386" t="s">
        <v>154</v>
      </c>
      <c r="I1386" t="s">
        <v>194</v>
      </c>
      <c r="J1386" t="s">
        <v>30</v>
      </c>
      <c r="K1386" t="s">
        <v>195</v>
      </c>
      <c r="L1386">
        <v>1</v>
      </c>
      <c r="M1386" s="4"/>
      <c r="R1386" s="4"/>
      <c r="S1386" s="4"/>
      <c r="T1386" s="4"/>
      <c r="U1386" s="4"/>
      <c r="V1386" s="4"/>
      <c r="W1386" s="4"/>
    </row>
    <row r="1387" spans="1:23" ht="14.5" hidden="1" customHeight="1" x14ac:dyDescent="0.2">
      <c r="A1387">
        <f t="shared" si="21"/>
        <v>1381</v>
      </c>
      <c r="B1387">
        <v>2018</v>
      </c>
      <c r="C1387" t="s">
        <v>184</v>
      </c>
      <c r="D1387" t="s">
        <v>444</v>
      </c>
      <c r="E1387" s="22">
        <v>210</v>
      </c>
      <c r="G1387" t="s">
        <v>2862</v>
      </c>
      <c r="H1387" t="s">
        <v>144</v>
      </c>
      <c r="I1387" t="s">
        <v>232</v>
      </c>
      <c r="J1387" t="s">
        <v>133</v>
      </c>
      <c r="K1387" t="s">
        <v>195</v>
      </c>
      <c r="L1387">
        <v>1</v>
      </c>
      <c r="M1387" s="4"/>
      <c r="R1387" s="4"/>
      <c r="S1387" s="4"/>
      <c r="T1387" s="4"/>
      <c r="U1387" s="4"/>
      <c r="V1387" s="4"/>
      <c r="W1387" s="4"/>
    </row>
    <row r="1388" spans="1:23" ht="14.5" hidden="1" customHeight="1" x14ac:dyDescent="0.2">
      <c r="A1388">
        <f t="shared" si="21"/>
        <v>1382</v>
      </c>
      <c r="B1388">
        <v>2018</v>
      </c>
      <c r="C1388" t="s">
        <v>184</v>
      </c>
      <c r="D1388" t="s">
        <v>444</v>
      </c>
      <c r="E1388" s="22">
        <v>110</v>
      </c>
      <c r="H1388" t="s">
        <v>147</v>
      </c>
      <c r="J1388" t="s">
        <v>67</v>
      </c>
      <c r="K1388" t="s">
        <v>183</v>
      </c>
      <c r="L1388">
        <v>1</v>
      </c>
      <c r="M1388" s="4"/>
      <c r="R1388" s="4"/>
      <c r="S1388" s="4"/>
      <c r="T1388" s="4"/>
      <c r="U1388" s="4"/>
      <c r="V1388" s="4"/>
      <c r="W1388" s="4"/>
    </row>
    <row r="1389" spans="1:23" ht="14.5" hidden="1" customHeight="1" x14ac:dyDescent="0.2">
      <c r="A1389">
        <f t="shared" si="21"/>
        <v>1383</v>
      </c>
      <c r="B1389">
        <v>2018</v>
      </c>
      <c r="C1389" t="s">
        <v>184</v>
      </c>
      <c r="D1389" t="s">
        <v>399</v>
      </c>
      <c r="E1389" s="22">
        <v>1930</v>
      </c>
      <c r="G1389" t="s">
        <v>1247</v>
      </c>
      <c r="H1389" t="s">
        <v>144</v>
      </c>
      <c r="I1389" t="s">
        <v>232</v>
      </c>
      <c r="J1389" t="s">
        <v>130</v>
      </c>
      <c r="K1389" t="s">
        <v>214</v>
      </c>
      <c r="L1389">
        <v>1</v>
      </c>
      <c r="M1389" s="4"/>
      <c r="R1389" s="4"/>
      <c r="S1389" s="4"/>
      <c r="T1389" s="4"/>
      <c r="U1389" s="4"/>
      <c r="V1389" s="4"/>
      <c r="W1389" s="4"/>
    </row>
    <row r="1390" spans="1:23" ht="14.5" hidden="1" customHeight="1" x14ac:dyDescent="0.2">
      <c r="A1390">
        <f t="shared" si="21"/>
        <v>1384</v>
      </c>
      <c r="B1390">
        <v>2018</v>
      </c>
      <c r="C1390" t="s">
        <v>184</v>
      </c>
      <c r="D1390" t="s">
        <v>2863</v>
      </c>
      <c r="E1390" s="22">
        <v>120</v>
      </c>
      <c r="G1390" t="s">
        <v>2864</v>
      </c>
      <c r="H1390" t="s">
        <v>144</v>
      </c>
      <c r="I1390" t="s">
        <v>299</v>
      </c>
      <c r="J1390" t="s">
        <v>133</v>
      </c>
      <c r="K1390" t="s">
        <v>195</v>
      </c>
      <c r="L1390">
        <v>1</v>
      </c>
      <c r="M1390" s="4"/>
      <c r="R1390" s="4"/>
      <c r="S1390" s="4"/>
      <c r="T1390" s="4"/>
      <c r="U1390" s="4"/>
      <c r="V1390" s="4"/>
      <c r="W1390" s="4"/>
    </row>
    <row r="1391" spans="1:23" ht="14.5" hidden="1" customHeight="1" x14ac:dyDescent="0.2">
      <c r="A1391">
        <f t="shared" si="21"/>
        <v>1385</v>
      </c>
      <c r="B1391">
        <v>2018</v>
      </c>
      <c r="C1391" t="s">
        <v>184</v>
      </c>
      <c r="D1391" t="s">
        <v>189</v>
      </c>
      <c r="E1391" s="22">
        <v>140</v>
      </c>
      <c r="G1391" t="s">
        <v>2865</v>
      </c>
      <c r="H1391" t="s">
        <v>144</v>
      </c>
      <c r="I1391" t="s">
        <v>187</v>
      </c>
      <c r="J1391" t="s">
        <v>65</v>
      </c>
      <c r="K1391" t="s">
        <v>214</v>
      </c>
      <c r="L1391">
        <v>1</v>
      </c>
      <c r="M1391" s="4"/>
      <c r="R1391" s="4"/>
      <c r="S1391" s="4"/>
      <c r="T1391" s="4"/>
      <c r="U1391" s="4"/>
      <c r="V1391" s="4"/>
      <c r="W1391" s="4"/>
    </row>
    <row r="1392" spans="1:23" ht="14.5" hidden="1" customHeight="1" x14ac:dyDescent="0.2">
      <c r="A1392">
        <f t="shared" si="21"/>
        <v>1386</v>
      </c>
      <c r="B1392">
        <v>2018</v>
      </c>
      <c r="C1392" t="s">
        <v>184</v>
      </c>
      <c r="D1392" t="s">
        <v>2866</v>
      </c>
      <c r="E1392" s="22">
        <v>180</v>
      </c>
      <c r="H1392" t="s">
        <v>144</v>
      </c>
      <c r="I1392" t="s">
        <v>273</v>
      </c>
      <c r="J1392" t="s">
        <v>78</v>
      </c>
      <c r="K1392" t="s">
        <v>183</v>
      </c>
      <c r="L1392">
        <v>1</v>
      </c>
      <c r="M1392" s="4"/>
      <c r="R1392" s="4"/>
      <c r="S1392" s="4"/>
      <c r="T1392" s="4"/>
      <c r="U1392" s="4"/>
      <c r="V1392" s="4"/>
      <c r="W1392" s="4"/>
    </row>
    <row r="1393" spans="1:23" ht="14.5" hidden="1" customHeight="1" x14ac:dyDescent="0.2">
      <c r="A1393">
        <f t="shared" si="21"/>
        <v>1387</v>
      </c>
      <c r="B1393">
        <v>2018</v>
      </c>
      <c r="C1393" t="s">
        <v>184</v>
      </c>
      <c r="D1393" t="s">
        <v>2391</v>
      </c>
      <c r="E1393" s="22">
        <v>150</v>
      </c>
      <c r="H1393" t="s">
        <v>154</v>
      </c>
      <c r="I1393" t="s">
        <v>250</v>
      </c>
      <c r="J1393" t="s">
        <v>139</v>
      </c>
      <c r="K1393" t="s">
        <v>219</v>
      </c>
      <c r="L1393">
        <v>1</v>
      </c>
      <c r="M1393" s="4"/>
      <c r="R1393" s="4"/>
      <c r="S1393" s="4"/>
      <c r="T1393" s="4"/>
      <c r="U1393" s="4"/>
      <c r="V1393" s="4"/>
      <c r="W1393" s="4"/>
    </row>
    <row r="1394" spans="1:23" ht="14.5" hidden="1" customHeight="1" x14ac:dyDescent="0.2">
      <c r="A1394">
        <f t="shared" si="21"/>
        <v>1388</v>
      </c>
      <c r="B1394">
        <v>2018</v>
      </c>
      <c r="C1394" t="s">
        <v>184</v>
      </c>
      <c r="D1394" t="s">
        <v>703</v>
      </c>
      <c r="E1394" s="22">
        <v>280</v>
      </c>
      <c r="G1394" t="s">
        <v>2545</v>
      </c>
      <c r="H1394" t="s">
        <v>144</v>
      </c>
      <c r="I1394" t="s">
        <v>273</v>
      </c>
      <c r="J1394" t="s">
        <v>93</v>
      </c>
      <c r="K1394" t="s">
        <v>201</v>
      </c>
      <c r="L1394">
        <v>1</v>
      </c>
      <c r="M1394" s="4"/>
      <c r="R1394" s="4"/>
      <c r="S1394" s="4"/>
      <c r="T1394" s="4"/>
      <c r="U1394" s="4"/>
      <c r="V1394" s="4"/>
      <c r="W1394" s="4"/>
    </row>
    <row r="1395" spans="1:23" ht="14.5" hidden="1" customHeight="1" x14ac:dyDescent="0.2">
      <c r="A1395">
        <f t="shared" si="21"/>
        <v>1389</v>
      </c>
      <c r="B1395">
        <v>2018</v>
      </c>
      <c r="C1395" t="s">
        <v>184</v>
      </c>
      <c r="D1395" t="s">
        <v>557</v>
      </c>
      <c r="E1395" s="22">
        <v>190</v>
      </c>
      <c r="G1395" t="s">
        <v>2867</v>
      </c>
      <c r="H1395" t="s">
        <v>151</v>
      </c>
      <c r="I1395" t="s">
        <v>279</v>
      </c>
      <c r="J1395" t="s">
        <v>101</v>
      </c>
      <c r="K1395" t="s">
        <v>201</v>
      </c>
      <c r="L1395">
        <v>1</v>
      </c>
      <c r="M1395" s="4"/>
      <c r="R1395" s="4"/>
      <c r="S1395" s="4"/>
      <c r="T1395" s="4"/>
      <c r="U1395" s="4"/>
      <c r="V1395" s="4"/>
      <c r="W1395" s="4"/>
    </row>
    <row r="1396" spans="1:23" ht="14.5" hidden="1" customHeight="1" x14ac:dyDescent="0.2">
      <c r="A1396">
        <f t="shared" si="21"/>
        <v>1390</v>
      </c>
      <c r="B1396">
        <v>2018</v>
      </c>
      <c r="C1396" t="s">
        <v>184</v>
      </c>
      <c r="D1396" t="s">
        <v>449</v>
      </c>
      <c r="E1396" s="22">
        <v>150</v>
      </c>
      <c r="H1396" t="s">
        <v>154</v>
      </c>
      <c r="I1396" t="s">
        <v>529</v>
      </c>
      <c r="J1396" t="s">
        <v>123</v>
      </c>
      <c r="K1396" t="s">
        <v>219</v>
      </c>
      <c r="L1396">
        <v>1</v>
      </c>
      <c r="M1396" s="4"/>
      <c r="R1396" s="4"/>
      <c r="S1396" s="4"/>
      <c r="T1396" s="4"/>
      <c r="U1396" s="4"/>
      <c r="V1396" s="4"/>
      <c r="W1396" s="4"/>
    </row>
    <row r="1397" spans="1:23" ht="14.5" hidden="1" customHeight="1" x14ac:dyDescent="0.2">
      <c r="A1397">
        <f t="shared" si="21"/>
        <v>1391</v>
      </c>
      <c r="B1397">
        <v>2018</v>
      </c>
      <c r="C1397" t="s">
        <v>184</v>
      </c>
      <c r="D1397" t="s">
        <v>444</v>
      </c>
      <c r="E1397" s="22">
        <v>600</v>
      </c>
      <c r="H1397" t="s">
        <v>144</v>
      </c>
      <c r="I1397" t="s">
        <v>197</v>
      </c>
      <c r="J1397" t="s">
        <v>67</v>
      </c>
      <c r="K1397" t="s">
        <v>183</v>
      </c>
      <c r="L1397">
        <v>1</v>
      </c>
      <c r="M1397" s="4"/>
      <c r="R1397" s="4"/>
      <c r="S1397" s="4"/>
      <c r="T1397" s="4"/>
      <c r="U1397" s="4"/>
      <c r="V1397" s="4"/>
      <c r="W1397" s="4"/>
    </row>
    <row r="1398" spans="1:23" ht="14.5" hidden="1" customHeight="1" x14ac:dyDescent="0.2">
      <c r="A1398">
        <f t="shared" si="21"/>
        <v>1392</v>
      </c>
      <c r="B1398">
        <v>2018</v>
      </c>
      <c r="C1398" t="s">
        <v>184</v>
      </c>
      <c r="D1398" t="s">
        <v>668</v>
      </c>
      <c r="E1398" s="22">
        <v>180</v>
      </c>
      <c r="G1398" t="s">
        <v>2151</v>
      </c>
      <c r="H1398" t="s">
        <v>144</v>
      </c>
      <c r="I1398" t="s">
        <v>232</v>
      </c>
      <c r="J1398" t="s">
        <v>38</v>
      </c>
      <c r="K1398" t="s">
        <v>214</v>
      </c>
      <c r="L1398">
        <v>1</v>
      </c>
      <c r="M1398" s="4"/>
      <c r="R1398" s="4"/>
      <c r="S1398" s="4"/>
      <c r="T1398" s="4"/>
      <c r="U1398" s="4"/>
      <c r="V1398" s="4"/>
      <c r="W1398" s="4"/>
    </row>
    <row r="1399" spans="1:23" ht="14.5" hidden="1" customHeight="1" x14ac:dyDescent="0.2">
      <c r="A1399">
        <f t="shared" si="21"/>
        <v>1393</v>
      </c>
      <c r="B1399">
        <v>2018</v>
      </c>
      <c r="C1399" t="s">
        <v>184</v>
      </c>
      <c r="D1399" s="17" t="s">
        <v>2868</v>
      </c>
      <c r="E1399" s="22">
        <v>2120</v>
      </c>
      <c r="H1399" t="s">
        <v>154</v>
      </c>
      <c r="I1399" t="s">
        <v>529</v>
      </c>
      <c r="J1399" t="s">
        <v>72</v>
      </c>
      <c r="K1399" t="s">
        <v>183</v>
      </c>
      <c r="L1399">
        <v>1</v>
      </c>
      <c r="M1399" s="4"/>
      <c r="R1399" s="4"/>
      <c r="S1399" s="4"/>
      <c r="T1399" s="4"/>
      <c r="U1399" s="4"/>
      <c r="V1399" s="4"/>
      <c r="W1399" s="4"/>
    </row>
    <row r="1400" spans="1:23" ht="14.5" hidden="1" customHeight="1" x14ac:dyDescent="0.2">
      <c r="A1400">
        <f t="shared" si="21"/>
        <v>1394</v>
      </c>
      <c r="B1400">
        <v>2018</v>
      </c>
      <c r="C1400" t="s">
        <v>184</v>
      </c>
      <c r="D1400" t="s">
        <v>1356</v>
      </c>
      <c r="E1400" s="22">
        <v>160</v>
      </c>
      <c r="H1400" t="s">
        <v>154</v>
      </c>
      <c r="I1400" t="s">
        <v>194</v>
      </c>
      <c r="J1400" t="s">
        <v>64</v>
      </c>
      <c r="K1400" t="s">
        <v>219</v>
      </c>
      <c r="L1400">
        <v>1</v>
      </c>
      <c r="M1400" s="4"/>
      <c r="R1400" s="4"/>
      <c r="S1400" s="4"/>
      <c r="T1400" s="4"/>
      <c r="U1400" s="4"/>
      <c r="V1400" s="4"/>
      <c r="W1400" s="4"/>
    </row>
    <row r="1401" spans="1:23" ht="14.5" hidden="1" customHeight="1" x14ac:dyDescent="0.2">
      <c r="A1401">
        <f t="shared" si="21"/>
        <v>1395</v>
      </c>
      <c r="B1401">
        <v>2018</v>
      </c>
      <c r="C1401" t="s">
        <v>184</v>
      </c>
      <c r="D1401" t="s">
        <v>479</v>
      </c>
      <c r="E1401" s="22">
        <v>220</v>
      </c>
      <c r="H1401" t="s">
        <v>154</v>
      </c>
      <c r="I1401" t="s">
        <v>194</v>
      </c>
      <c r="J1401" t="s">
        <v>132</v>
      </c>
      <c r="K1401" t="s">
        <v>219</v>
      </c>
      <c r="L1401">
        <v>1</v>
      </c>
      <c r="M1401" s="4"/>
      <c r="R1401" s="4"/>
      <c r="S1401" s="4"/>
      <c r="T1401" s="4"/>
      <c r="U1401" s="4"/>
      <c r="V1401" s="4"/>
      <c r="W1401" s="4"/>
    </row>
    <row r="1402" spans="1:23" ht="14.5" hidden="1" customHeight="1" x14ac:dyDescent="0.2">
      <c r="A1402">
        <f t="shared" si="21"/>
        <v>1396</v>
      </c>
      <c r="B1402">
        <v>2018</v>
      </c>
      <c r="C1402" t="s">
        <v>184</v>
      </c>
      <c r="D1402" t="s">
        <v>1356</v>
      </c>
      <c r="E1402" s="22">
        <v>140</v>
      </c>
      <c r="H1402" t="s">
        <v>154</v>
      </c>
      <c r="I1402" t="s">
        <v>194</v>
      </c>
      <c r="J1402" t="s">
        <v>132</v>
      </c>
      <c r="K1402" t="s">
        <v>219</v>
      </c>
      <c r="L1402">
        <v>1</v>
      </c>
      <c r="M1402" s="4"/>
      <c r="R1402" s="4"/>
      <c r="S1402" s="4"/>
      <c r="T1402" s="4"/>
      <c r="U1402" s="4"/>
      <c r="V1402" s="4"/>
      <c r="W1402" s="4"/>
    </row>
    <row r="1403" spans="1:23" ht="14.5" hidden="1" customHeight="1" x14ac:dyDescent="0.2">
      <c r="A1403">
        <f t="shared" si="21"/>
        <v>1397</v>
      </c>
      <c r="B1403">
        <v>2018</v>
      </c>
      <c r="C1403" t="s">
        <v>184</v>
      </c>
      <c r="D1403" t="s">
        <v>875</v>
      </c>
      <c r="E1403" s="22">
        <v>100</v>
      </c>
      <c r="H1403" t="s">
        <v>144</v>
      </c>
      <c r="I1403" t="s">
        <v>197</v>
      </c>
      <c r="J1403" t="s">
        <v>115</v>
      </c>
      <c r="K1403" t="s">
        <v>201</v>
      </c>
      <c r="L1403">
        <v>1</v>
      </c>
      <c r="M1403" s="4"/>
      <c r="R1403" s="4"/>
      <c r="S1403" s="4"/>
      <c r="T1403" s="4"/>
      <c r="U1403" s="4"/>
      <c r="V1403" s="4"/>
      <c r="W1403" s="4"/>
    </row>
    <row r="1404" spans="1:23" ht="14.5" hidden="1" customHeight="1" x14ac:dyDescent="0.2">
      <c r="A1404">
        <f t="shared" si="21"/>
        <v>1398</v>
      </c>
      <c r="B1404">
        <v>2018</v>
      </c>
      <c r="C1404" t="s">
        <v>225</v>
      </c>
      <c r="D1404" t="s">
        <v>175</v>
      </c>
      <c r="E1404" s="22">
        <v>100</v>
      </c>
      <c r="H1404" t="s">
        <v>149</v>
      </c>
      <c r="I1404" t="s">
        <v>238</v>
      </c>
      <c r="J1404" t="s">
        <v>53</v>
      </c>
      <c r="K1404" t="s">
        <v>183</v>
      </c>
      <c r="L1404">
        <v>1</v>
      </c>
      <c r="M1404" s="4"/>
      <c r="R1404" s="4"/>
      <c r="S1404" s="4"/>
      <c r="T1404" s="4"/>
      <c r="U1404" s="4"/>
      <c r="V1404" s="4"/>
      <c r="W1404" s="4"/>
    </row>
    <row r="1405" spans="1:23" ht="14.5" hidden="1" customHeight="1" x14ac:dyDescent="0.2">
      <c r="A1405">
        <f t="shared" si="21"/>
        <v>1399</v>
      </c>
      <c r="B1405">
        <v>2018</v>
      </c>
      <c r="C1405" t="s">
        <v>225</v>
      </c>
      <c r="D1405" t="s">
        <v>479</v>
      </c>
      <c r="E1405" s="22">
        <v>330</v>
      </c>
      <c r="H1405" t="s">
        <v>147</v>
      </c>
      <c r="J1405" t="s">
        <v>9</v>
      </c>
      <c r="K1405" t="s">
        <v>9</v>
      </c>
      <c r="L1405">
        <v>0</v>
      </c>
      <c r="M1405" s="4"/>
      <c r="R1405" s="4"/>
      <c r="S1405" s="4"/>
      <c r="T1405" s="4"/>
      <c r="U1405" s="4"/>
      <c r="V1405" s="4"/>
      <c r="W1405" s="4"/>
    </row>
    <row r="1406" spans="1:23" ht="14.5" hidden="1" customHeight="1" x14ac:dyDescent="0.2">
      <c r="A1406">
        <f t="shared" si="21"/>
        <v>1400</v>
      </c>
      <c r="B1406">
        <v>2018</v>
      </c>
      <c r="C1406" t="s">
        <v>225</v>
      </c>
      <c r="D1406" t="s">
        <v>479</v>
      </c>
      <c r="E1406" s="22">
        <v>220</v>
      </c>
      <c r="H1406" t="s">
        <v>154</v>
      </c>
      <c r="I1406" t="s">
        <v>194</v>
      </c>
      <c r="J1406" t="s">
        <v>23</v>
      </c>
      <c r="K1406" t="s">
        <v>183</v>
      </c>
      <c r="L1406">
        <v>1</v>
      </c>
      <c r="M1406" s="4"/>
      <c r="R1406" s="4"/>
      <c r="S1406" s="4"/>
      <c r="T1406" s="4"/>
      <c r="U1406" s="4"/>
      <c r="V1406" s="4"/>
      <c r="W1406" s="4"/>
    </row>
    <row r="1407" spans="1:23" ht="14.5" hidden="1" customHeight="1" x14ac:dyDescent="0.2">
      <c r="A1407">
        <f t="shared" si="21"/>
        <v>1401</v>
      </c>
      <c r="B1407">
        <v>2018</v>
      </c>
      <c r="C1407" t="s">
        <v>225</v>
      </c>
      <c r="D1407" t="s">
        <v>444</v>
      </c>
      <c r="E1407" s="22">
        <v>260</v>
      </c>
      <c r="G1407" t="s">
        <v>2669</v>
      </c>
      <c r="H1407" t="s">
        <v>144</v>
      </c>
      <c r="I1407" t="s">
        <v>273</v>
      </c>
      <c r="J1407" t="s">
        <v>93</v>
      </c>
      <c r="K1407" t="s">
        <v>201</v>
      </c>
      <c r="L1407">
        <v>1</v>
      </c>
      <c r="M1407" s="4"/>
      <c r="R1407" s="4"/>
      <c r="S1407" s="4"/>
      <c r="T1407" s="4"/>
      <c r="U1407" s="4"/>
      <c r="V1407" s="4"/>
      <c r="W1407" s="4"/>
    </row>
    <row r="1408" spans="1:23" ht="14.5" hidden="1" customHeight="1" x14ac:dyDescent="0.2">
      <c r="A1408">
        <f t="shared" si="21"/>
        <v>1402</v>
      </c>
      <c r="B1408">
        <v>2018</v>
      </c>
      <c r="C1408" t="s">
        <v>225</v>
      </c>
      <c r="D1408" t="s">
        <v>668</v>
      </c>
      <c r="E1408" s="22">
        <v>130</v>
      </c>
      <c r="H1408" t="s">
        <v>144</v>
      </c>
      <c r="I1408" t="s">
        <v>299</v>
      </c>
      <c r="J1408" t="s">
        <v>64</v>
      </c>
      <c r="K1408" t="s">
        <v>219</v>
      </c>
      <c r="L1408">
        <v>1</v>
      </c>
      <c r="M1408" s="4"/>
      <c r="R1408" s="4"/>
      <c r="S1408" s="4"/>
      <c r="T1408" s="4"/>
      <c r="U1408" s="4"/>
      <c r="V1408" s="4"/>
      <c r="W1408" s="4"/>
    </row>
    <row r="1409" spans="1:23" ht="14.5" hidden="1" customHeight="1" x14ac:dyDescent="0.2">
      <c r="A1409">
        <f t="shared" si="21"/>
        <v>1403</v>
      </c>
      <c r="B1409">
        <v>2018</v>
      </c>
      <c r="C1409" t="s">
        <v>225</v>
      </c>
      <c r="D1409" t="s">
        <v>483</v>
      </c>
      <c r="E1409" s="22">
        <v>1210</v>
      </c>
      <c r="F1409" s="16">
        <v>0.9</v>
      </c>
      <c r="H1409" t="s">
        <v>144</v>
      </c>
      <c r="I1409" t="s">
        <v>187</v>
      </c>
      <c r="J1409" t="s">
        <v>55</v>
      </c>
      <c r="K1409" t="s">
        <v>214</v>
      </c>
      <c r="L1409">
        <v>1</v>
      </c>
      <c r="M1409" s="4"/>
      <c r="R1409" s="4"/>
      <c r="S1409" s="4"/>
      <c r="T1409" s="4"/>
      <c r="U1409" s="4"/>
      <c r="V1409" s="4"/>
      <c r="W1409" s="4"/>
    </row>
    <row r="1410" spans="1:23" ht="14.5" hidden="1" customHeight="1" x14ac:dyDescent="0.2">
      <c r="A1410">
        <f t="shared" si="21"/>
        <v>1404</v>
      </c>
      <c r="B1410">
        <v>2018</v>
      </c>
      <c r="C1410" t="s">
        <v>225</v>
      </c>
      <c r="D1410" t="s">
        <v>1035</v>
      </c>
      <c r="E1410" s="22">
        <v>100</v>
      </c>
      <c r="G1410" t="s">
        <v>2869</v>
      </c>
      <c r="H1410" t="s">
        <v>144</v>
      </c>
      <c r="I1410" t="s">
        <v>273</v>
      </c>
      <c r="J1410" t="s">
        <v>53</v>
      </c>
      <c r="K1410" t="s">
        <v>183</v>
      </c>
      <c r="L1410">
        <v>1</v>
      </c>
      <c r="M1410" s="4"/>
      <c r="R1410" s="4"/>
      <c r="S1410" s="4"/>
      <c r="T1410" s="4"/>
      <c r="U1410" s="4"/>
      <c r="V1410" s="4"/>
      <c r="W1410" s="4"/>
    </row>
    <row r="1411" spans="1:23" ht="14.5" hidden="1" customHeight="1" x14ac:dyDescent="0.2">
      <c r="A1411">
        <f t="shared" si="21"/>
        <v>1405</v>
      </c>
      <c r="B1411">
        <v>2018</v>
      </c>
      <c r="C1411" t="s">
        <v>225</v>
      </c>
      <c r="D1411" t="s">
        <v>397</v>
      </c>
      <c r="E1411" s="22">
        <v>240</v>
      </c>
      <c r="H1411" t="s">
        <v>154</v>
      </c>
      <c r="I1411" t="s">
        <v>194</v>
      </c>
      <c r="J1411" t="s">
        <v>59</v>
      </c>
      <c r="K1411" t="s">
        <v>219</v>
      </c>
      <c r="L1411">
        <v>1</v>
      </c>
      <c r="M1411" s="4"/>
      <c r="R1411" s="4"/>
      <c r="S1411" s="4"/>
      <c r="T1411" s="4"/>
      <c r="U1411" s="4"/>
      <c r="V1411" s="4"/>
      <c r="W1411" s="4"/>
    </row>
    <row r="1412" spans="1:23" ht="14.5" hidden="1" customHeight="1" x14ac:dyDescent="0.2">
      <c r="A1412">
        <f t="shared" si="21"/>
        <v>1406</v>
      </c>
      <c r="B1412">
        <v>2018</v>
      </c>
      <c r="C1412" t="s">
        <v>225</v>
      </c>
      <c r="D1412" t="s">
        <v>1035</v>
      </c>
      <c r="E1412" s="22">
        <v>130</v>
      </c>
      <c r="G1412" t="s">
        <v>2870</v>
      </c>
      <c r="H1412" t="s">
        <v>155</v>
      </c>
      <c r="J1412" t="s">
        <v>94</v>
      </c>
      <c r="K1412" t="s">
        <v>177</v>
      </c>
      <c r="L1412">
        <v>0</v>
      </c>
      <c r="M1412" s="4"/>
      <c r="R1412" s="4"/>
      <c r="S1412" s="4"/>
      <c r="T1412" s="4"/>
      <c r="U1412" s="4"/>
      <c r="V1412" s="4"/>
      <c r="W1412" s="4"/>
    </row>
    <row r="1413" spans="1:23" ht="14.5" hidden="1" customHeight="1" x14ac:dyDescent="0.2">
      <c r="A1413">
        <f t="shared" si="21"/>
        <v>1407</v>
      </c>
      <c r="B1413">
        <v>2018</v>
      </c>
      <c r="C1413" t="s">
        <v>225</v>
      </c>
      <c r="D1413" t="s">
        <v>1289</v>
      </c>
      <c r="E1413" s="22">
        <v>130</v>
      </c>
      <c r="G1413" t="s">
        <v>2871</v>
      </c>
      <c r="H1413" t="s">
        <v>151</v>
      </c>
      <c r="I1413" t="s">
        <v>279</v>
      </c>
      <c r="J1413" t="s">
        <v>108</v>
      </c>
      <c r="K1413" t="s">
        <v>183</v>
      </c>
      <c r="L1413">
        <v>1</v>
      </c>
      <c r="M1413" s="4"/>
      <c r="R1413" s="4"/>
      <c r="S1413" s="4"/>
      <c r="T1413" s="4"/>
      <c r="U1413" s="4"/>
      <c r="V1413" s="4"/>
      <c r="W1413" s="4"/>
    </row>
    <row r="1414" spans="1:23" ht="14.5" hidden="1" customHeight="1" x14ac:dyDescent="0.2">
      <c r="A1414">
        <f t="shared" si="21"/>
        <v>1408</v>
      </c>
      <c r="B1414">
        <v>2018</v>
      </c>
      <c r="C1414" t="s">
        <v>225</v>
      </c>
      <c r="D1414" t="s">
        <v>444</v>
      </c>
      <c r="E1414" s="22">
        <v>200</v>
      </c>
      <c r="H1414" t="s">
        <v>154</v>
      </c>
      <c r="I1414" t="s">
        <v>194</v>
      </c>
      <c r="J1414" t="s">
        <v>138</v>
      </c>
      <c r="K1414" t="s">
        <v>219</v>
      </c>
      <c r="L1414">
        <v>1</v>
      </c>
      <c r="M1414" s="4"/>
      <c r="R1414" s="4"/>
      <c r="S1414" s="4"/>
      <c r="T1414" s="4"/>
      <c r="U1414" s="4"/>
      <c r="V1414" s="4"/>
      <c r="W1414" s="4"/>
    </row>
    <row r="1415" spans="1:23" ht="14.5" hidden="1" customHeight="1" x14ac:dyDescent="0.2">
      <c r="A1415">
        <f t="shared" ref="A1415:A1478" si="22">ROW()-6</f>
        <v>1409</v>
      </c>
      <c r="B1415">
        <v>2018</v>
      </c>
      <c r="C1415" t="s">
        <v>225</v>
      </c>
      <c r="D1415" t="s">
        <v>2872</v>
      </c>
      <c r="E1415" s="22">
        <v>100</v>
      </c>
      <c r="H1415" t="s">
        <v>144</v>
      </c>
      <c r="I1415" t="s">
        <v>273</v>
      </c>
      <c r="J1415" t="s">
        <v>134</v>
      </c>
      <c r="K1415" t="s">
        <v>201</v>
      </c>
      <c r="L1415">
        <v>1</v>
      </c>
      <c r="M1415" s="4"/>
      <c r="R1415" s="4"/>
      <c r="S1415" s="4"/>
      <c r="T1415" s="4"/>
      <c r="U1415" s="4"/>
      <c r="V1415" s="4"/>
      <c r="W1415" s="4"/>
    </row>
    <row r="1416" spans="1:23" ht="14.5" hidden="1" customHeight="1" x14ac:dyDescent="0.2">
      <c r="A1416">
        <f t="shared" si="22"/>
        <v>1410</v>
      </c>
      <c r="B1416">
        <v>2018</v>
      </c>
      <c r="C1416" t="s">
        <v>225</v>
      </c>
      <c r="D1416" t="s">
        <v>1356</v>
      </c>
      <c r="E1416" s="22">
        <v>130</v>
      </c>
      <c r="H1416" t="s">
        <v>146</v>
      </c>
      <c r="J1416" t="s">
        <v>40</v>
      </c>
      <c r="K1416" t="s">
        <v>219</v>
      </c>
      <c r="L1416">
        <v>1</v>
      </c>
      <c r="M1416" s="4"/>
      <c r="R1416" s="4"/>
      <c r="S1416" s="4"/>
      <c r="T1416" s="4"/>
      <c r="U1416" s="4"/>
      <c r="V1416" s="4"/>
      <c r="W1416" s="4"/>
    </row>
    <row r="1417" spans="1:23" ht="14.5" hidden="1" customHeight="1" x14ac:dyDescent="0.2">
      <c r="A1417">
        <f t="shared" si="22"/>
        <v>1411</v>
      </c>
      <c r="B1417">
        <v>2018</v>
      </c>
      <c r="C1417" t="s">
        <v>188</v>
      </c>
      <c r="D1417" t="s">
        <v>1035</v>
      </c>
      <c r="E1417" s="22">
        <v>1490</v>
      </c>
      <c r="G1417" t="s">
        <v>2482</v>
      </c>
      <c r="H1417" t="s">
        <v>144</v>
      </c>
      <c r="I1417" t="s">
        <v>273</v>
      </c>
      <c r="J1417" t="s">
        <v>139</v>
      </c>
      <c r="K1417" t="s">
        <v>219</v>
      </c>
      <c r="L1417">
        <v>1</v>
      </c>
      <c r="M1417" s="4"/>
      <c r="R1417" s="4"/>
      <c r="S1417" s="4"/>
      <c r="T1417" s="4"/>
      <c r="U1417" s="4"/>
      <c r="V1417" s="4"/>
      <c r="W1417" s="4"/>
    </row>
    <row r="1418" spans="1:23" ht="14.5" hidden="1" customHeight="1" x14ac:dyDescent="0.2">
      <c r="A1418">
        <f t="shared" si="22"/>
        <v>1412</v>
      </c>
      <c r="B1418">
        <v>2018</v>
      </c>
      <c r="C1418" t="s">
        <v>188</v>
      </c>
      <c r="D1418" t="s">
        <v>1035</v>
      </c>
      <c r="E1418" s="22">
        <v>110</v>
      </c>
      <c r="H1418" t="s">
        <v>155</v>
      </c>
      <c r="J1418" t="s">
        <v>16</v>
      </c>
      <c r="K1418" t="s">
        <v>205</v>
      </c>
      <c r="L1418">
        <v>1</v>
      </c>
      <c r="M1418" s="4"/>
      <c r="R1418" s="4"/>
      <c r="S1418" s="4"/>
      <c r="T1418" s="4"/>
      <c r="U1418" s="4"/>
      <c r="V1418" s="4"/>
      <c r="W1418" s="4"/>
    </row>
    <row r="1419" spans="1:23" ht="15" hidden="1" customHeight="1" x14ac:dyDescent="0.2">
      <c r="A1419">
        <f t="shared" si="22"/>
        <v>1413</v>
      </c>
      <c r="B1419">
        <v>2018</v>
      </c>
      <c r="C1419" t="s">
        <v>188</v>
      </c>
      <c r="D1419" t="s">
        <v>1035</v>
      </c>
      <c r="E1419" s="22">
        <v>390</v>
      </c>
      <c r="G1419" t="s">
        <v>2873</v>
      </c>
      <c r="H1419" t="s">
        <v>144</v>
      </c>
      <c r="I1419" t="s">
        <v>232</v>
      </c>
      <c r="J1419" t="s">
        <v>136</v>
      </c>
      <c r="K1419" t="s">
        <v>183</v>
      </c>
      <c r="L1419">
        <v>1</v>
      </c>
      <c r="M1419" s="4"/>
      <c r="R1419" s="4"/>
      <c r="S1419" s="4"/>
      <c r="T1419" s="4"/>
      <c r="U1419" s="4"/>
      <c r="V1419" s="4"/>
      <c r="W1419" s="4"/>
    </row>
    <row r="1420" spans="1:23" ht="15" hidden="1" customHeight="1" x14ac:dyDescent="0.2">
      <c r="A1420">
        <f t="shared" si="22"/>
        <v>1414</v>
      </c>
      <c r="B1420">
        <v>2018</v>
      </c>
      <c r="C1420" t="s">
        <v>188</v>
      </c>
      <c r="D1420" t="s">
        <v>244</v>
      </c>
      <c r="E1420" s="22">
        <v>160</v>
      </c>
      <c r="G1420" t="s">
        <v>2760</v>
      </c>
      <c r="H1420" t="s">
        <v>149</v>
      </c>
      <c r="I1420" t="s">
        <v>236</v>
      </c>
      <c r="J1420" t="s">
        <v>34</v>
      </c>
      <c r="K1420" t="s">
        <v>219</v>
      </c>
      <c r="L1420">
        <v>1</v>
      </c>
      <c r="M1420" s="4"/>
      <c r="R1420" s="4"/>
      <c r="S1420" s="4"/>
      <c r="T1420" s="4"/>
      <c r="U1420" s="4"/>
      <c r="V1420" s="4"/>
      <c r="W1420" s="4"/>
    </row>
    <row r="1421" spans="1:23" s="17" customFormat="1" ht="14.5" hidden="1" customHeight="1" x14ac:dyDescent="0.2">
      <c r="A1421">
        <f t="shared" si="22"/>
        <v>1415</v>
      </c>
      <c r="B1421">
        <v>2018</v>
      </c>
      <c r="C1421" t="s">
        <v>188</v>
      </c>
      <c r="D1421" t="s">
        <v>1035</v>
      </c>
      <c r="E1421" s="22">
        <v>160</v>
      </c>
      <c r="F1421" s="16"/>
      <c r="H1421" t="s">
        <v>144</v>
      </c>
      <c r="I1421" t="s">
        <v>232</v>
      </c>
      <c r="J1421" t="s">
        <v>63</v>
      </c>
      <c r="K1421" t="s">
        <v>201</v>
      </c>
      <c r="L1421">
        <v>1</v>
      </c>
      <c r="M1421" s="4"/>
      <c r="O1421" s="26"/>
      <c r="R1421" s="4"/>
      <c r="S1421" s="4"/>
      <c r="T1421" s="4"/>
      <c r="U1421" s="4"/>
      <c r="V1421" s="4"/>
      <c r="W1421" s="4"/>
    </row>
    <row r="1422" spans="1:23" ht="14.5" hidden="1" customHeight="1" x14ac:dyDescent="0.2">
      <c r="A1422">
        <f t="shared" si="22"/>
        <v>1416</v>
      </c>
      <c r="B1422">
        <v>2018</v>
      </c>
      <c r="C1422" t="s">
        <v>188</v>
      </c>
      <c r="D1422" t="s">
        <v>199</v>
      </c>
      <c r="E1422" s="22">
        <v>1520</v>
      </c>
      <c r="G1422" t="s">
        <v>2689</v>
      </c>
      <c r="H1422" t="s">
        <v>144</v>
      </c>
      <c r="I1422" t="s">
        <v>187</v>
      </c>
      <c r="J1422" t="s">
        <v>130</v>
      </c>
      <c r="K1422" t="s">
        <v>214</v>
      </c>
      <c r="L1422">
        <v>1</v>
      </c>
      <c r="M1422" s="4"/>
      <c r="R1422" s="4"/>
      <c r="S1422" s="4"/>
      <c r="T1422" s="4"/>
      <c r="U1422" s="4"/>
      <c r="V1422" s="4"/>
      <c r="W1422" s="4"/>
    </row>
    <row r="1423" spans="1:23" ht="14.5" hidden="1" customHeight="1" x14ac:dyDescent="0.2">
      <c r="A1423">
        <f t="shared" si="22"/>
        <v>1417</v>
      </c>
      <c r="B1423">
        <v>2018</v>
      </c>
      <c r="C1423" t="s">
        <v>191</v>
      </c>
      <c r="D1423" t="s">
        <v>479</v>
      </c>
      <c r="E1423" s="22">
        <v>100</v>
      </c>
      <c r="H1423" t="s">
        <v>154</v>
      </c>
      <c r="I1423" t="s">
        <v>194</v>
      </c>
      <c r="J1423" t="s">
        <v>97</v>
      </c>
      <c r="K1423" t="s">
        <v>183</v>
      </c>
      <c r="L1423">
        <v>1</v>
      </c>
      <c r="M1423" s="4"/>
      <c r="R1423" s="4"/>
      <c r="S1423" s="4"/>
      <c r="T1423" s="4"/>
      <c r="U1423" s="4"/>
      <c r="V1423" s="4"/>
      <c r="W1423" s="4"/>
    </row>
    <row r="1424" spans="1:23" ht="14.5" hidden="1" customHeight="1" x14ac:dyDescent="0.2">
      <c r="A1424">
        <f t="shared" si="22"/>
        <v>1418</v>
      </c>
      <c r="B1424">
        <v>2018</v>
      </c>
      <c r="C1424" t="s">
        <v>191</v>
      </c>
      <c r="D1424" t="s">
        <v>341</v>
      </c>
      <c r="E1424" s="22">
        <v>2760</v>
      </c>
      <c r="H1424" t="s">
        <v>154</v>
      </c>
      <c r="I1424" t="s">
        <v>529</v>
      </c>
      <c r="J1424" t="s">
        <v>13</v>
      </c>
      <c r="K1424" t="s">
        <v>201</v>
      </c>
      <c r="L1424">
        <v>1</v>
      </c>
      <c r="M1424" s="4"/>
      <c r="R1424" s="4"/>
      <c r="S1424" s="4"/>
      <c r="T1424" s="4"/>
      <c r="U1424" s="4"/>
      <c r="V1424" s="4"/>
      <c r="W1424" s="4"/>
    </row>
    <row r="1425" spans="1:23" ht="14.5" hidden="1" customHeight="1" x14ac:dyDescent="0.2">
      <c r="A1425">
        <f t="shared" si="22"/>
        <v>1419</v>
      </c>
      <c r="B1425">
        <v>2018</v>
      </c>
      <c r="C1425" t="s">
        <v>191</v>
      </c>
      <c r="D1425" t="s">
        <v>199</v>
      </c>
      <c r="E1425" s="22">
        <v>1600</v>
      </c>
      <c r="G1425" t="s">
        <v>2689</v>
      </c>
      <c r="H1425" t="s">
        <v>144</v>
      </c>
      <c r="I1425" t="s">
        <v>187</v>
      </c>
      <c r="J1425" t="s">
        <v>130</v>
      </c>
      <c r="K1425" t="s">
        <v>214</v>
      </c>
      <c r="L1425">
        <v>1</v>
      </c>
      <c r="M1425" s="4"/>
      <c r="R1425" s="4"/>
      <c r="S1425" s="4"/>
      <c r="T1425" s="4"/>
      <c r="U1425" s="4"/>
      <c r="V1425" s="4"/>
      <c r="W1425" s="4"/>
    </row>
    <row r="1426" spans="1:23" ht="14.5" hidden="1" customHeight="1" x14ac:dyDescent="0.2">
      <c r="A1426">
        <f t="shared" si="22"/>
        <v>1420</v>
      </c>
      <c r="B1426">
        <v>2018</v>
      </c>
      <c r="C1426" t="s">
        <v>191</v>
      </c>
      <c r="D1426" t="s">
        <v>199</v>
      </c>
      <c r="E1426" s="22">
        <v>560</v>
      </c>
      <c r="G1426" t="s">
        <v>2002</v>
      </c>
      <c r="H1426" t="s">
        <v>144</v>
      </c>
      <c r="I1426" t="s">
        <v>187</v>
      </c>
      <c r="J1426" t="s">
        <v>105</v>
      </c>
      <c r="K1426" t="s">
        <v>214</v>
      </c>
      <c r="L1426">
        <v>1</v>
      </c>
      <c r="M1426" s="4"/>
      <c r="R1426" s="4"/>
      <c r="S1426" s="4"/>
      <c r="T1426" s="4"/>
      <c r="U1426" s="4"/>
      <c r="V1426" s="4"/>
      <c r="W1426" s="4"/>
    </row>
    <row r="1427" spans="1:23" ht="14.5" hidden="1" customHeight="1" x14ac:dyDescent="0.2">
      <c r="A1427">
        <f t="shared" si="22"/>
        <v>1421</v>
      </c>
      <c r="B1427">
        <v>2018</v>
      </c>
      <c r="C1427" t="s">
        <v>191</v>
      </c>
      <c r="D1427" t="s">
        <v>189</v>
      </c>
      <c r="E1427" s="22">
        <v>1060</v>
      </c>
      <c r="G1427" t="s">
        <v>2448</v>
      </c>
      <c r="H1427" t="s">
        <v>144</v>
      </c>
      <c r="I1427" t="s">
        <v>187</v>
      </c>
      <c r="J1427" t="s">
        <v>65</v>
      </c>
      <c r="K1427" t="s">
        <v>214</v>
      </c>
      <c r="L1427">
        <v>1</v>
      </c>
      <c r="M1427" s="4"/>
      <c r="R1427" s="4"/>
      <c r="S1427" s="4"/>
      <c r="T1427" s="4"/>
      <c r="U1427" s="4"/>
      <c r="V1427" s="4"/>
      <c r="W1427" s="4"/>
    </row>
    <row r="1428" spans="1:23" ht="14.5" hidden="1" customHeight="1" x14ac:dyDescent="0.2">
      <c r="A1428">
        <f t="shared" si="22"/>
        <v>1422</v>
      </c>
      <c r="B1428">
        <v>2018</v>
      </c>
      <c r="C1428" t="s">
        <v>191</v>
      </c>
      <c r="D1428" t="s">
        <v>1035</v>
      </c>
      <c r="E1428" s="22">
        <v>130</v>
      </c>
      <c r="H1428" t="s">
        <v>154</v>
      </c>
      <c r="I1428" t="s">
        <v>194</v>
      </c>
      <c r="J1428" t="s">
        <v>102</v>
      </c>
      <c r="K1428" t="s">
        <v>219</v>
      </c>
      <c r="L1428">
        <v>1</v>
      </c>
      <c r="M1428" s="4"/>
      <c r="R1428" s="4"/>
      <c r="S1428" s="4"/>
      <c r="T1428" s="4"/>
      <c r="U1428" s="4"/>
      <c r="V1428" s="4"/>
      <c r="W1428" s="4"/>
    </row>
    <row r="1429" spans="1:23" ht="14.5" hidden="1" customHeight="1" x14ac:dyDescent="0.2">
      <c r="A1429">
        <f t="shared" si="22"/>
        <v>1423</v>
      </c>
      <c r="B1429">
        <v>2018</v>
      </c>
      <c r="C1429" t="s">
        <v>191</v>
      </c>
      <c r="D1429" t="s">
        <v>1035</v>
      </c>
      <c r="E1429" s="22">
        <v>300</v>
      </c>
      <c r="G1429" t="s">
        <v>2874</v>
      </c>
      <c r="H1429" t="s">
        <v>149</v>
      </c>
      <c r="I1429" t="s">
        <v>182</v>
      </c>
      <c r="J1429" t="s">
        <v>107</v>
      </c>
      <c r="K1429" t="s">
        <v>219</v>
      </c>
      <c r="L1429">
        <v>1</v>
      </c>
      <c r="M1429" s="4"/>
      <c r="R1429" s="4"/>
      <c r="S1429" s="4"/>
      <c r="T1429" s="4"/>
      <c r="U1429" s="4"/>
      <c r="V1429" s="4"/>
      <c r="W1429" s="4"/>
    </row>
    <row r="1430" spans="1:23" ht="14.5" hidden="1" customHeight="1" x14ac:dyDescent="0.2">
      <c r="A1430">
        <f t="shared" si="22"/>
        <v>1424</v>
      </c>
      <c r="B1430">
        <v>2018</v>
      </c>
      <c r="C1430" t="s">
        <v>191</v>
      </c>
      <c r="D1430" t="s">
        <v>875</v>
      </c>
      <c r="E1430" s="22">
        <v>100</v>
      </c>
      <c r="H1430" t="s">
        <v>151</v>
      </c>
      <c r="I1430" t="s">
        <v>279</v>
      </c>
      <c r="J1430" t="s">
        <v>14</v>
      </c>
      <c r="K1430" t="s">
        <v>195</v>
      </c>
      <c r="L1430">
        <v>1</v>
      </c>
      <c r="M1430" s="4"/>
      <c r="R1430" s="4"/>
      <c r="S1430" s="4"/>
      <c r="T1430" s="4"/>
      <c r="U1430" s="4"/>
      <c r="V1430" s="4"/>
      <c r="W1430" s="4"/>
    </row>
    <row r="1431" spans="1:23" ht="14.5" hidden="1" customHeight="1" x14ac:dyDescent="0.2">
      <c r="A1431">
        <f t="shared" si="22"/>
        <v>1425</v>
      </c>
      <c r="B1431">
        <v>2018</v>
      </c>
      <c r="C1431" t="s">
        <v>191</v>
      </c>
      <c r="D1431" t="s">
        <v>479</v>
      </c>
      <c r="E1431" s="22">
        <v>1840</v>
      </c>
      <c r="G1431" t="s">
        <v>2875</v>
      </c>
      <c r="H1431" t="s">
        <v>154</v>
      </c>
      <c r="I1431" t="s">
        <v>529</v>
      </c>
      <c r="J1431" t="s">
        <v>9</v>
      </c>
      <c r="K1431" t="s">
        <v>9</v>
      </c>
      <c r="L1431">
        <v>0</v>
      </c>
      <c r="M1431" s="4"/>
      <c r="R1431" s="4"/>
      <c r="S1431" s="4"/>
      <c r="T1431" s="4"/>
      <c r="U1431" s="4"/>
      <c r="V1431" s="4"/>
      <c r="W1431" s="4"/>
    </row>
    <row r="1432" spans="1:23" ht="14.5" hidden="1" customHeight="1" x14ac:dyDescent="0.2">
      <c r="A1432">
        <f t="shared" si="22"/>
        <v>1426</v>
      </c>
      <c r="B1432">
        <v>2018</v>
      </c>
      <c r="C1432" t="s">
        <v>191</v>
      </c>
      <c r="D1432" t="s">
        <v>397</v>
      </c>
      <c r="E1432" s="22">
        <v>210</v>
      </c>
      <c r="H1432" t="s">
        <v>151</v>
      </c>
      <c r="I1432" t="s">
        <v>279</v>
      </c>
      <c r="J1432" t="s">
        <v>131</v>
      </c>
      <c r="K1432" t="s">
        <v>131</v>
      </c>
      <c r="L1432">
        <v>0</v>
      </c>
      <c r="M1432" s="4"/>
      <c r="R1432" s="4"/>
      <c r="S1432" s="4"/>
      <c r="T1432" s="4"/>
      <c r="U1432" s="4"/>
      <c r="V1432" s="4"/>
      <c r="W1432" s="4"/>
    </row>
    <row r="1433" spans="1:23" ht="14.5" hidden="1" customHeight="1" x14ac:dyDescent="0.2">
      <c r="A1433">
        <f t="shared" si="22"/>
        <v>1427</v>
      </c>
      <c r="B1433">
        <v>2018</v>
      </c>
      <c r="C1433" t="s">
        <v>191</v>
      </c>
      <c r="D1433" t="s">
        <v>444</v>
      </c>
      <c r="E1433" s="22">
        <v>820</v>
      </c>
      <c r="H1433" t="s">
        <v>144</v>
      </c>
      <c r="J1433" t="s">
        <v>59</v>
      </c>
      <c r="K1433" t="s">
        <v>219</v>
      </c>
      <c r="L1433">
        <v>1</v>
      </c>
      <c r="M1433" s="4"/>
      <c r="R1433" s="4"/>
      <c r="S1433" s="4"/>
      <c r="T1433" s="4"/>
      <c r="U1433" s="4"/>
      <c r="V1433" s="4"/>
      <c r="W1433" s="4"/>
    </row>
    <row r="1434" spans="1:23" ht="14.5" hidden="1" customHeight="1" x14ac:dyDescent="0.2">
      <c r="A1434">
        <f t="shared" si="22"/>
        <v>1428</v>
      </c>
      <c r="B1434">
        <v>2018</v>
      </c>
      <c r="C1434" t="s">
        <v>191</v>
      </c>
      <c r="D1434" t="s">
        <v>477</v>
      </c>
      <c r="E1434" s="22">
        <v>370</v>
      </c>
      <c r="H1434" t="s">
        <v>148</v>
      </c>
      <c r="J1434" t="s">
        <v>36</v>
      </c>
      <c r="K1434" t="s">
        <v>219</v>
      </c>
      <c r="L1434">
        <v>1</v>
      </c>
      <c r="M1434" s="4"/>
      <c r="R1434" s="4"/>
      <c r="S1434" s="4"/>
      <c r="T1434" s="4"/>
      <c r="U1434" s="4"/>
      <c r="V1434" s="4"/>
      <c r="W1434" s="4"/>
    </row>
    <row r="1435" spans="1:23" ht="14.5" hidden="1" customHeight="1" x14ac:dyDescent="0.2">
      <c r="A1435">
        <f t="shared" si="22"/>
        <v>1429</v>
      </c>
      <c r="B1435">
        <v>2018</v>
      </c>
      <c r="C1435" t="s">
        <v>198</v>
      </c>
      <c r="D1435" t="s">
        <v>530</v>
      </c>
      <c r="E1435" s="22">
        <v>200</v>
      </c>
      <c r="H1435" t="s">
        <v>152</v>
      </c>
      <c r="I1435" t="s">
        <v>257</v>
      </c>
      <c r="J1435" t="s">
        <v>95</v>
      </c>
      <c r="K1435" t="s">
        <v>183</v>
      </c>
      <c r="L1435">
        <v>1</v>
      </c>
      <c r="M1435" s="4"/>
      <c r="R1435" s="4"/>
      <c r="S1435" s="4"/>
      <c r="T1435" s="4"/>
      <c r="U1435" s="4"/>
      <c r="V1435" s="4"/>
      <c r="W1435" s="4"/>
    </row>
    <row r="1436" spans="1:23" ht="14.5" hidden="1" customHeight="1" x14ac:dyDescent="0.2">
      <c r="A1436">
        <f t="shared" si="22"/>
        <v>1430</v>
      </c>
      <c r="B1436">
        <v>2018</v>
      </c>
      <c r="C1436" t="s">
        <v>198</v>
      </c>
      <c r="D1436" t="s">
        <v>397</v>
      </c>
      <c r="E1436" s="22">
        <v>2130</v>
      </c>
      <c r="H1436" t="s">
        <v>154</v>
      </c>
      <c r="I1436" t="s">
        <v>194</v>
      </c>
      <c r="J1436" t="s">
        <v>8</v>
      </c>
      <c r="K1436" t="s">
        <v>205</v>
      </c>
      <c r="L1436">
        <v>1</v>
      </c>
      <c r="M1436" s="4"/>
      <c r="R1436" s="4"/>
      <c r="S1436" s="4"/>
      <c r="T1436" s="4"/>
      <c r="U1436" s="4"/>
      <c r="V1436" s="4"/>
      <c r="W1436" s="4"/>
    </row>
    <row r="1437" spans="1:23" ht="14.5" hidden="1" customHeight="1" x14ac:dyDescent="0.2">
      <c r="A1437">
        <f t="shared" si="22"/>
        <v>1431</v>
      </c>
      <c r="B1437">
        <v>2018</v>
      </c>
      <c r="C1437" t="s">
        <v>198</v>
      </c>
      <c r="D1437" t="s">
        <v>397</v>
      </c>
      <c r="E1437" s="22">
        <v>350</v>
      </c>
      <c r="G1437" t="s">
        <v>2876</v>
      </c>
      <c r="H1437" t="s">
        <v>151</v>
      </c>
      <c r="I1437" t="s">
        <v>279</v>
      </c>
      <c r="J1437" t="s">
        <v>130</v>
      </c>
      <c r="K1437" t="s">
        <v>214</v>
      </c>
      <c r="L1437">
        <v>1</v>
      </c>
      <c r="M1437" s="4"/>
      <c r="R1437" s="4"/>
      <c r="S1437" s="4"/>
      <c r="T1437" s="4"/>
      <c r="U1437" s="4"/>
      <c r="V1437" s="4"/>
      <c r="W1437" s="4"/>
    </row>
    <row r="1438" spans="1:23" ht="14.5" hidden="1" customHeight="1" x14ac:dyDescent="0.2">
      <c r="A1438">
        <f t="shared" si="22"/>
        <v>1432</v>
      </c>
      <c r="B1438">
        <v>2018</v>
      </c>
      <c r="C1438" t="s">
        <v>198</v>
      </c>
      <c r="D1438" t="s">
        <v>341</v>
      </c>
      <c r="E1438" s="22">
        <v>110</v>
      </c>
      <c r="H1438" t="s">
        <v>151</v>
      </c>
      <c r="I1438" t="s">
        <v>279</v>
      </c>
      <c r="J1438" t="s">
        <v>132</v>
      </c>
      <c r="K1438" t="s">
        <v>219</v>
      </c>
      <c r="L1438">
        <v>1</v>
      </c>
      <c r="M1438" s="4"/>
      <c r="R1438" s="4"/>
      <c r="S1438" s="4"/>
      <c r="T1438" s="4"/>
      <c r="U1438" s="4"/>
      <c r="V1438" s="4"/>
      <c r="W1438" s="4"/>
    </row>
    <row r="1439" spans="1:23" ht="14.5" hidden="1" customHeight="1" x14ac:dyDescent="0.2">
      <c r="A1439">
        <f t="shared" si="22"/>
        <v>1433</v>
      </c>
      <c r="B1439">
        <v>2018</v>
      </c>
      <c r="C1439" t="s">
        <v>198</v>
      </c>
      <c r="D1439" t="s">
        <v>199</v>
      </c>
      <c r="E1439" s="22">
        <v>320</v>
      </c>
      <c r="G1439" t="s">
        <v>2877</v>
      </c>
      <c r="H1439" t="s">
        <v>144</v>
      </c>
      <c r="I1439" t="s">
        <v>187</v>
      </c>
      <c r="J1439" t="s">
        <v>92</v>
      </c>
      <c r="K1439" t="s">
        <v>214</v>
      </c>
      <c r="L1439">
        <v>1</v>
      </c>
      <c r="M1439" s="4"/>
      <c r="R1439" s="4"/>
      <c r="S1439" s="4"/>
      <c r="T1439" s="4"/>
      <c r="U1439" s="4"/>
      <c r="V1439" s="4"/>
      <c r="W1439" s="4"/>
    </row>
    <row r="1440" spans="1:23" ht="14.5" hidden="1" customHeight="1" x14ac:dyDescent="0.2">
      <c r="A1440">
        <f t="shared" si="22"/>
        <v>1434</v>
      </c>
      <c r="B1440">
        <v>2018</v>
      </c>
      <c r="C1440" t="s">
        <v>198</v>
      </c>
      <c r="D1440" t="s">
        <v>199</v>
      </c>
      <c r="E1440" s="22">
        <v>290</v>
      </c>
      <c r="G1440" t="s">
        <v>2878</v>
      </c>
      <c r="H1440" t="s">
        <v>144</v>
      </c>
      <c r="I1440" t="s">
        <v>187</v>
      </c>
      <c r="J1440" t="s">
        <v>89</v>
      </c>
      <c r="K1440" t="s">
        <v>219</v>
      </c>
      <c r="L1440">
        <v>1</v>
      </c>
      <c r="M1440" s="4"/>
      <c r="R1440" s="4"/>
      <c r="S1440" s="4"/>
      <c r="T1440" s="4"/>
      <c r="U1440" s="4"/>
      <c r="V1440" s="4"/>
      <c r="W1440" s="4"/>
    </row>
    <row r="1441" spans="1:23" ht="14.5" hidden="1" customHeight="1" x14ac:dyDescent="0.2">
      <c r="A1441">
        <f t="shared" si="22"/>
        <v>1435</v>
      </c>
      <c r="B1441">
        <v>2018</v>
      </c>
      <c r="C1441" t="s">
        <v>198</v>
      </c>
      <c r="D1441" t="s">
        <v>1356</v>
      </c>
      <c r="E1441" s="22">
        <v>180</v>
      </c>
      <c r="G1441" t="s">
        <v>2879</v>
      </c>
      <c r="H1441" t="s">
        <v>151</v>
      </c>
      <c r="I1441" t="s">
        <v>279</v>
      </c>
      <c r="J1441" t="s">
        <v>72</v>
      </c>
      <c r="K1441" t="s">
        <v>183</v>
      </c>
      <c r="L1441">
        <v>1</v>
      </c>
      <c r="M1441" s="4"/>
      <c r="R1441" s="4"/>
      <c r="S1441" s="4"/>
      <c r="T1441" s="4"/>
      <c r="U1441" s="4"/>
      <c r="V1441" s="4"/>
      <c r="W1441" s="4"/>
    </row>
    <row r="1442" spans="1:23" ht="14.5" hidden="1" customHeight="1" x14ac:dyDescent="0.2">
      <c r="A1442">
        <f t="shared" si="22"/>
        <v>1436</v>
      </c>
      <c r="B1442">
        <v>2018</v>
      </c>
      <c r="C1442" t="s">
        <v>198</v>
      </c>
      <c r="D1442" t="s">
        <v>1035</v>
      </c>
      <c r="E1442" s="22">
        <v>280</v>
      </c>
      <c r="H1442" t="s">
        <v>155</v>
      </c>
      <c r="J1442" t="s">
        <v>13</v>
      </c>
      <c r="K1442" t="s">
        <v>201</v>
      </c>
      <c r="L1442">
        <v>1</v>
      </c>
      <c r="M1442" s="4"/>
      <c r="R1442" s="4"/>
      <c r="S1442" s="4"/>
      <c r="T1442" s="4"/>
      <c r="U1442" s="4"/>
      <c r="V1442" s="4"/>
      <c r="W1442" s="4"/>
    </row>
    <row r="1443" spans="1:23" ht="14.5" hidden="1" customHeight="1" x14ac:dyDescent="0.2">
      <c r="A1443">
        <f t="shared" si="22"/>
        <v>1437</v>
      </c>
      <c r="B1443">
        <v>2018</v>
      </c>
      <c r="C1443" t="s">
        <v>198</v>
      </c>
      <c r="D1443" t="s">
        <v>449</v>
      </c>
      <c r="E1443" s="22">
        <v>300</v>
      </c>
      <c r="H1443" t="s">
        <v>154</v>
      </c>
      <c r="I1443" t="s">
        <v>194</v>
      </c>
      <c r="J1443" t="s">
        <v>64</v>
      </c>
      <c r="K1443" t="s">
        <v>219</v>
      </c>
      <c r="L1443">
        <v>1</v>
      </c>
      <c r="M1443" s="4"/>
      <c r="R1443" s="4"/>
      <c r="S1443" s="4"/>
      <c r="T1443" s="4"/>
      <c r="U1443" s="4"/>
      <c r="V1443" s="4"/>
      <c r="W1443" s="4"/>
    </row>
    <row r="1444" spans="1:23" ht="14.5" hidden="1" customHeight="1" x14ac:dyDescent="0.2">
      <c r="A1444">
        <f t="shared" si="22"/>
        <v>1438</v>
      </c>
      <c r="B1444">
        <v>2018</v>
      </c>
      <c r="C1444" t="s">
        <v>198</v>
      </c>
      <c r="D1444" t="s">
        <v>745</v>
      </c>
      <c r="E1444" s="22">
        <v>410</v>
      </c>
      <c r="H1444" t="s">
        <v>143</v>
      </c>
      <c r="J1444" t="s">
        <v>105</v>
      </c>
      <c r="K1444" t="s">
        <v>214</v>
      </c>
      <c r="L1444">
        <v>1</v>
      </c>
      <c r="M1444" s="4"/>
      <c r="R1444" s="4"/>
      <c r="S1444" s="4"/>
      <c r="T1444" s="4"/>
      <c r="U1444" s="4"/>
      <c r="V1444" s="4"/>
      <c r="W1444" s="4"/>
    </row>
    <row r="1445" spans="1:23" ht="14.5" hidden="1" customHeight="1" x14ac:dyDescent="0.2">
      <c r="A1445">
        <f t="shared" si="22"/>
        <v>1439</v>
      </c>
      <c r="B1445">
        <v>2018</v>
      </c>
      <c r="C1445" t="s">
        <v>198</v>
      </c>
      <c r="D1445" t="s">
        <v>1035</v>
      </c>
      <c r="E1445" s="22">
        <v>150</v>
      </c>
      <c r="G1445" t="s">
        <v>2880</v>
      </c>
      <c r="H1445" t="s">
        <v>144</v>
      </c>
      <c r="I1445" t="s">
        <v>273</v>
      </c>
      <c r="J1445" t="s">
        <v>53</v>
      </c>
      <c r="K1445" t="s">
        <v>183</v>
      </c>
      <c r="L1445">
        <v>1</v>
      </c>
      <c r="M1445" s="4"/>
      <c r="R1445" s="4"/>
      <c r="S1445" s="4"/>
      <c r="T1445" s="4"/>
      <c r="U1445" s="4"/>
      <c r="V1445" s="4"/>
      <c r="W1445" s="4"/>
    </row>
    <row r="1446" spans="1:23" ht="14.5" hidden="1" customHeight="1" x14ac:dyDescent="0.2">
      <c r="A1446">
        <f t="shared" si="22"/>
        <v>1440</v>
      </c>
      <c r="B1446">
        <v>2018</v>
      </c>
      <c r="C1446" t="s">
        <v>198</v>
      </c>
      <c r="D1446" t="s">
        <v>341</v>
      </c>
      <c r="E1446" s="22">
        <v>140</v>
      </c>
      <c r="H1446" t="s">
        <v>154</v>
      </c>
      <c r="I1446" t="s">
        <v>194</v>
      </c>
      <c r="J1446" t="s">
        <v>78</v>
      </c>
      <c r="K1446" t="s">
        <v>183</v>
      </c>
      <c r="L1446">
        <v>1</v>
      </c>
      <c r="M1446" s="4"/>
      <c r="R1446" s="4"/>
      <c r="S1446" s="4"/>
      <c r="T1446" s="4"/>
      <c r="U1446" s="4"/>
      <c r="V1446" s="4"/>
      <c r="W1446" s="4"/>
    </row>
    <row r="1447" spans="1:23" ht="14.5" hidden="1" customHeight="1" x14ac:dyDescent="0.2">
      <c r="A1447">
        <f t="shared" si="22"/>
        <v>1441</v>
      </c>
      <c r="B1447">
        <v>2018</v>
      </c>
      <c r="C1447" t="s">
        <v>198</v>
      </c>
      <c r="D1447" t="s">
        <v>397</v>
      </c>
      <c r="E1447" s="22">
        <v>160</v>
      </c>
      <c r="H1447" t="s">
        <v>151</v>
      </c>
      <c r="I1447" t="s">
        <v>224</v>
      </c>
      <c r="J1447" t="s">
        <v>108</v>
      </c>
      <c r="K1447" t="s">
        <v>183</v>
      </c>
      <c r="L1447">
        <v>1</v>
      </c>
      <c r="M1447" s="4"/>
      <c r="R1447" s="4"/>
      <c r="S1447" s="4"/>
      <c r="T1447" s="4"/>
      <c r="U1447" s="4"/>
      <c r="V1447" s="4"/>
      <c r="W1447" s="4"/>
    </row>
    <row r="1448" spans="1:23" ht="14.5" hidden="1" customHeight="1" x14ac:dyDescent="0.2">
      <c r="A1448">
        <f t="shared" si="22"/>
        <v>1442</v>
      </c>
      <c r="B1448">
        <v>2018</v>
      </c>
      <c r="C1448" t="s">
        <v>198</v>
      </c>
      <c r="D1448" t="s">
        <v>2881</v>
      </c>
      <c r="E1448" s="22">
        <v>230</v>
      </c>
      <c r="H1448" t="s">
        <v>144</v>
      </c>
      <c r="I1448" t="s">
        <v>197</v>
      </c>
      <c r="J1448" t="s">
        <v>64</v>
      </c>
      <c r="K1448" t="s">
        <v>219</v>
      </c>
      <c r="L1448">
        <v>1</v>
      </c>
      <c r="M1448" s="4"/>
      <c r="R1448" s="4"/>
      <c r="S1448" s="4"/>
      <c r="T1448" s="4"/>
      <c r="U1448" s="4"/>
      <c r="V1448" s="4"/>
      <c r="W1448" s="4"/>
    </row>
    <row r="1449" spans="1:23" ht="14.5" hidden="1" customHeight="1" x14ac:dyDescent="0.2">
      <c r="A1449">
        <f t="shared" si="22"/>
        <v>1443</v>
      </c>
      <c r="B1449">
        <v>2018</v>
      </c>
      <c r="C1449" t="s">
        <v>198</v>
      </c>
      <c r="D1449" t="s">
        <v>557</v>
      </c>
      <c r="E1449" s="22">
        <v>140</v>
      </c>
      <c r="G1449" t="s">
        <v>2882</v>
      </c>
      <c r="H1449" t="s">
        <v>151</v>
      </c>
      <c r="I1449" t="s">
        <v>279</v>
      </c>
      <c r="J1449" t="s">
        <v>53</v>
      </c>
      <c r="K1449" t="s">
        <v>183</v>
      </c>
      <c r="L1449">
        <v>1</v>
      </c>
      <c r="M1449" s="4"/>
      <c r="R1449" s="4"/>
      <c r="S1449" s="4"/>
      <c r="T1449" s="4"/>
      <c r="U1449" s="4"/>
      <c r="V1449" s="4"/>
      <c r="W1449" s="4"/>
    </row>
    <row r="1450" spans="1:23" ht="14.5" hidden="1" customHeight="1" x14ac:dyDescent="0.2">
      <c r="A1450">
        <f t="shared" si="22"/>
        <v>1444</v>
      </c>
      <c r="B1450" s="17">
        <v>2018</v>
      </c>
      <c r="C1450" s="17" t="s">
        <v>202</v>
      </c>
      <c r="D1450" s="17" t="s">
        <v>875</v>
      </c>
      <c r="E1450" s="24">
        <v>200</v>
      </c>
      <c r="F1450" s="18"/>
      <c r="G1450" s="17"/>
      <c r="H1450" s="17" t="s">
        <v>144</v>
      </c>
      <c r="I1450" s="17" t="s">
        <v>197</v>
      </c>
      <c r="J1450" s="17" t="s">
        <v>43</v>
      </c>
      <c r="K1450" s="17" t="s">
        <v>219</v>
      </c>
      <c r="L1450" s="17">
        <v>1</v>
      </c>
      <c r="M1450" s="4"/>
      <c r="R1450" s="4"/>
      <c r="S1450" s="4"/>
      <c r="T1450" s="4"/>
      <c r="U1450" s="4"/>
      <c r="V1450" s="4"/>
      <c r="W1450" s="4"/>
    </row>
    <row r="1451" spans="1:23" ht="14.5" hidden="1" customHeight="1" x14ac:dyDescent="0.2">
      <c r="A1451">
        <f t="shared" si="22"/>
        <v>1445</v>
      </c>
      <c r="B1451" s="17">
        <v>2018</v>
      </c>
      <c r="C1451" s="17" t="s">
        <v>202</v>
      </c>
      <c r="D1451" s="17" t="s">
        <v>2883</v>
      </c>
      <c r="E1451" s="22">
        <v>200</v>
      </c>
      <c r="H1451" t="s">
        <v>154</v>
      </c>
      <c r="I1451" t="s">
        <v>271</v>
      </c>
      <c r="J1451" t="s">
        <v>46</v>
      </c>
      <c r="K1451" t="s">
        <v>219</v>
      </c>
      <c r="L1451">
        <v>1</v>
      </c>
      <c r="M1451" s="4"/>
      <c r="R1451" s="4"/>
      <c r="S1451" s="4"/>
      <c r="T1451" s="4"/>
      <c r="U1451" s="4"/>
      <c r="V1451" s="4"/>
      <c r="W1451" s="4"/>
    </row>
    <row r="1452" spans="1:23" ht="14.5" hidden="1" customHeight="1" x14ac:dyDescent="0.2">
      <c r="A1452">
        <f t="shared" si="22"/>
        <v>1446</v>
      </c>
      <c r="B1452" s="17">
        <v>2018</v>
      </c>
      <c r="C1452" s="17" t="s">
        <v>202</v>
      </c>
      <c r="D1452" t="s">
        <v>1035</v>
      </c>
      <c r="E1452" s="22">
        <v>340</v>
      </c>
      <c r="G1452" t="s">
        <v>2884</v>
      </c>
      <c r="H1452" t="s">
        <v>144</v>
      </c>
      <c r="I1452" t="s">
        <v>232</v>
      </c>
      <c r="J1452" t="s">
        <v>133</v>
      </c>
      <c r="K1452" t="s">
        <v>195</v>
      </c>
      <c r="L1452">
        <v>1</v>
      </c>
      <c r="M1452" s="4"/>
      <c r="R1452" s="4"/>
      <c r="S1452" s="4"/>
      <c r="T1452" s="4"/>
      <c r="U1452" s="4"/>
      <c r="V1452" s="4"/>
      <c r="W1452" s="4"/>
    </row>
    <row r="1453" spans="1:23" ht="14.5" hidden="1" customHeight="1" x14ac:dyDescent="0.2">
      <c r="A1453">
        <f t="shared" si="22"/>
        <v>1447</v>
      </c>
      <c r="B1453" s="17">
        <v>2018</v>
      </c>
      <c r="C1453" s="17" t="s">
        <v>202</v>
      </c>
      <c r="D1453" t="s">
        <v>2885</v>
      </c>
      <c r="E1453" s="22">
        <v>390</v>
      </c>
      <c r="F1453" s="16">
        <v>0.7</v>
      </c>
      <c r="G1453" t="s">
        <v>2886</v>
      </c>
      <c r="H1453" t="s">
        <v>154</v>
      </c>
      <c r="I1453" t="s">
        <v>194</v>
      </c>
      <c r="J1453" t="s">
        <v>52</v>
      </c>
      <c r="K1453" t="s">
        <v>201</v>
      </c>
      <c r="L1453">
        <v>0</v>
      </c>
      <c r="M1453" s="4"/>
      <c r="R1453" s="4"/>
      <c r="S1453" s="4"/>
      <c r="T1453" s="4"/>
      <c r="U1453" s="4"/>
      <c r="V1453" s="4"/>
      <c r="W1453" s="4"/>
    </row>
    <row r="1454" spans="1:23" ht="14.5" hidden="1" customHeight="1" x14ac:dyDescent="0.2">
      <c r="A1454">
        <f t="shared" si="22"/>
        <v>1448</v>
      </c>
      <c r="B1454" s="17">
        <v>2018</v>
      </c>
      <c r="C1454" s="17" t="s">
        <v>202</v>
      </c>
      <c r="D1454" t="s">
        <v>397</v>
      </c>
      <c r="E1454" s="22">
        <v>140</v>
      </c>
      <c r="G1454" t="s">
        <v>2776</v>
      </c>
      <c r="H1454" t="s">
        <v>151</v>
      </c>
      <c r="I1454" t="s">
        <v>279</v>
      </c>
      <c r="J1454" t="s">
        <v>130</v>
      </c>
      <c r="K1454" t="s">
        <v>214</v>
      </c>
      <c r="L1454">
        <v>1</v>
      </c>
      <c r="M1454" s="4"/>
      <c r="R1454" s="4"/>
      <c r="S1454" s="4"/>
      <c r="T1454" s="4"/>
      <c r="U1454" s="4"/>
      <c r="V1454" s="4"/>
      <c r="W1454" s="4"/>
    </row>
    <row r="1455" spans="1:23" ht="14.5" hidden="1" customHeight="1" x14ac:dyDescent="0.2">
      <c r="A1455">
        <f t="shared" si="22"/>
        <v>1449</v>
      </c>
      <c r="B1455" s="17">
        <v>2018</v>
      </c>
      <c r="C1455" s="17" t="s">
        <v>202</v>
      </c>
      <c r="D1455" t="s">
        <v>397</v>
      </c>
      <c r="E1455" s="22">
        <v>120</v>
      </c>
      <c r="H1455" t="s">
        <v>154</v>
      </c>
      <c r="I1455" t="s">
        <v>194</v>
      </c>
      <c r="J1455" t="s">
        <v>16</v>
      </c>
      <c r="K1455" t="s">
        <v>205</v>
      </c>
      <c r="L1455">
        <v>1</v>
      </c>
      <c r="M1455" s="4"/>
      <c r="R1455" s="4"/>
      <c r="S1455" s="4"/>
      <c r="T1455" s="4"/>
      <c r="U1455" s="4"/>
      <c r="V1455" s="4"/>
      <c r="W1455" s="4"/>
    </row>
    <row r="1456" spans="1:23" ht="14.5" hidden="1" customHeight="1" x14ac:dyDescent="0.2">
      <c r="A1456">
        <f t="shared" si="22"/>
        <v>1450</v>
      </c>
      <c r="B1456" s="17">
        <v>2018</v>
      </c>
      <c r="C1456" s="17" t="s">
        <v>202</v>
      </c>
      <c r="D1456" t="s">
        <v>479</v>
      </c>
      <c r="E1456" s="22">
        <v>440</v>
      </c>
      <c r="G1456" t="s">
        <v>2887</v>
      </c>
      <c r="H1456" t="s">
        <v>148</v>
      </c>
      <c r="J1456" t="s">
        <v>2684</v>
      </c>
      <c r="K1456" t="s">
        <v>183</v>
      </c>
      <c r="L1456">
        <v>1</v>
      </c>
      <c r="M1456" s="4"/>
      <c r="R1456" s="4"/>
      <c r="S1456" s="4"/>
      <c r="T1456" s="4"/>
      <c r="U1456" s="4"/>
      <c r="V1456" s="4"/>
      <c r="W1456" s="4"/>
    </row>
    <row r="1457" spans="1:23" ht="14.5" hidden="1" customHeight="1" x14ac:dyDescent="0.2">
      <c r="A1457">
        <f t="shared" si="22"/>
        <v>1451</v>
      </c>
      <c r="B1457" s="17">
        <v>2018</v>
      </c>
      <c r="C1457" s="17" t="s">
        <v>202</v>
      </c>
      <c r="D1457" t="s">
        <v>175</v>
      </c>
      <c r="E1457" s="22">
        <v>670</v>
      </c>
      <c r="H1457" t="s">
        <v>150</v>
      </c>
      <c r="I1457" t="s">
        <v>292</v>
      </c>
      <c r="J1457" t="s">
        <v>38</v>
      </c>
      <c r="K1457" t="s">
        <v>214</v>
      </c>
      <c r="L1457">
        <v>1</v>
      </c>
      <c r="M1457" s="4"/>
      <c r="R1457" s="4"/>
      <c r="S1457" s="4"/>
      <c r="T1457" s="4"/>
      <c r="U1457" s="4"/>
      <c r="V1457" s="4"/>
      <c r="W1457" s="4"/>
    </row>
    <row r="1458" spans="1:23" ht="14.5" hidden="1" customHeight="1" x14ac:dyDescent="0.2">
      <c r="A1458">
        <f t="shared" si="22"/>
        <v>1452</v>
      </c>
      <c r="B1458" s="17">
        <v>2018</v>
      </c>
      <c r="C1458" s="17" t="s">
        <v>202</v>
      </c>
      <c r="D1458" t="s">
        <v>397</v>
      </c>
      <c r="E1458" s="22">
        <v>2950</v>
      </c>
      <c r="H1458" t="s">
        <v>151</v>
      </c>
      <c r="I1458" t="s">
        <v>279</v>
      </c>
      <c r="J1458" t="s">
        <v>38</v>
      </c>
      <c r="K1458" t="s">
        <v>214</v>
      </c>
      <c r="L1458">
        <v>1</v>
      </c>
      <c r="M1458" s="4"/>
      <c r="R1458" s="4"/>
      <c r="S1458" s="4"/>
      <c r="T1458" s="4"/>
      <c r="U1458" s="4"/>
      <c r="V1458" s="4"/>
      <c r="W1458" s="4"/>
    </row>
    <row r="1459" spans="1:23" ht="14.5" hidden="1" customHeight="1" x14ac:dyDescent="0.2">
      <c r="A1459">
        <f t="shared" si="22"/>
        <v>1453</v>
      </c>
      <c r="B1459" s="17">
        <v>2018</v>
      </c>
      <c r="C1459" s="17" t="s">
        <v>202</v>
      </c>
      <c r="D1459" t="s">
        <v>449</v>
      </c>
      <c r="E1459" s="22">
        <v>110</v>
      </c>
      <c r="H1459" t="s">
        <v>145</v>
      </c>
      <c r="J1459" t="s">
        <v>59</v>
      </c>
      <c r="K1459" t="s">
        <v>219</v>
      </c>
      <c r="L1459">
        <v>1</v>
      </c>
      <c r="M1459" s="4"/>
      <c r="R1459" s="4"/>
      <c r="S1459" s="4"/>
      <c r="T1459" s="4"/>
      <c r="U1459" s="4"/>
      <c r="V1459" s="4"/>
      <c r="W1459" s="4"/>
    </row>
    <row r="1460" spans="1:23" ht="14.5" hidden="1" customHeight="1" x14ac:dyDescent="0.2">
      <c r="A1460">
        <f t="shared" si="22"/>
        <v>1454</v>
      </c>
      <c r="B1460">
        <v>2018</v>
      </c>
      <c r="C1460" s="17" t="s">
        <v>207</v>
      </c>
      <c r="D1460" t="s">
        <v>745</v>
      </c>
      <c r="E1460" s="22">
        <v>400</v>
      </c>
      <c r="G1460" t="s">
        <v>2888</v>
      </c>
      <c r="H1460" t="s">
        <v>142</v>
      </c>
      <c r="J1460" t="s">
        <v>13</v>
      </c>
      <c r="K1460" t="s">
        <v>201</v>
      </c>
      <c r="L1460">
        <v>1</v>
      </c>
      <c r="M1460" s="4"/>
      <c r="R1460" s="4"/>
      <c r="S1460" s="4"/>
      <c r="T1460" s="4"/>
      <c r="U1460" s="4"/>
      <c r="V1460" s="4"/>
      <c r="W1460" s="4"/>
    </row>
    <row r="1461" spans="1:23" ht="14.5" hidden="1" customHeight="1" x14ac:dyDescent="0.2">
      <c r="A1461">
        <f t="shared" si="22"/>
        <v>1455</v>
      </c>
      <c r="B1461">
        <v>2018</v>
      </c>
      <c r="C1461" s="17" t="s">
        <v>207</v>
      </c>
      <c r="D1461" t="s">
        <v>444</v>
      </c>
      <c r="E1461" s="22">
        <v>100</v>
      </c>
      <c r="G1461" t="s">
        <v>2889</v>
      </c>
      <c r="H1461" t="s">
        <v>143</v>
      </c>
      <c r="J1461" t="s">
        <v>16</v>
      </c>
      <c r="K1461" t="s">
        <v>205</v>
      </c>
      <c r="L1461">
        <v>1</v>
      </c>
      <c r="M1461" s="4"/>
      <c r="R1461" s="4"/>
      <c r="S1461" s="4"/>
      <c r="T1461" s="4"/>
      <c r="U1461" s="4"/>
      <c r="V1461" s="4"/>
      <c r="W1461" s="4"/>
    </row>
    <row r="1462" spans="1:23" ht="14.5" hidden="1" customHeight="1" x14ac:dyDescent="0.2">
      <c r="A1462">
        <f t="shared" si="22"/>
        <v>1456</v>
      </c>
      <c r="B1462">
        <v>2018</v>
      </c>
      <c r="C1462" s="17" t="s">
        <v>207</v>
      </c>
      <c r="D1462" t="s">
        <v>397</v>
      </c>
      <c r="E1462" s="22">
        <v>100</v>
      </c>
      <c r="H1462" t="s">
        <v>152</v>
      </c>
      <c r="I1462" t="s">
        <v>257</v>
      </c>
      <c r="J1462" t="s">
        <v>130</v>
      </c>
      <c r="K1462" t="s">
        <v>214</v>
      </c>
      <c r="L1462">
        <v>1</v>
      </c>
      <c r="M1462" s="4"/>
      <c r="R1462" s="4"/>
      <c r="S1462" s="4"/>
      <c r="T1462" s="4"/>
      <c r="U1462" s="4"/>
      <c r="V1462" s="4"/>
      <c r="W1462" s="4"/>
    </row>
    <row r="1463" spans="1:23" ht="14.5" hidden="1" customHeight="1" x14ac:dyDescent="0.2">
      <c r="A1463">
        <f t="shared" si="22"/>
        <v>1457</v>
      </c>
      <c r="B1463">
        <v>2018</v>
      </c>
      <c r="C1463" s="17" t="s">
        <v>207</v>
      </c>
      <c r="D1463" t="s">
        <v>2574</v>
      </c>
      <c r="E1463" s="22">
        <v>150</v>
      </c>
      <c r="G1463" t="s">
        <v>625</v>
      </c>
      <c r="H1463" t="s">
        <v>152</v>
      </c>
      <c r="J1463" t="s">
        <v>105</v>
      </c>
      <c r="K1463" t="s">
        <v>214</v>
      </c>
      <c r="L1463">
        <v>1</v>
      </c>
      <c r="M1463" s="4"/>
      <c r="R1463" s="4"/>
      <c r="S1463" s="4"/>
      <c r="T1463" s="4"/>
      <c r="U1463" s="4"/>
      <c r="V1463" s="4"/>
      <c r="W1463" s="4"/>
    </row>
    <row r="1464" spans="1:23" ht="14.5" hidden="1" customHeight="1" x14ac:dyDescent="0.2">
      <c r="A1464">
        <f t="shared" si="22"/>
        <v>1458</v>
      </c>
      <c r="B1464">
        <v>2018</v>
      </c>
      <c r="C1464" s="17" t="s">
        <v>207</v>
      </c>
      <c r="D1464" t="s">
        <v>175</v>
      </c>
      <c r="E1464" s="22">
        <v>250</v>
      </c>
      <c r="H1464" t="s">
        <v>151</v>
      </c>
      <c r="I1464" t="s">
        <v>279</v>
      </c>
      <c r="J1464" t="s">
        <v>108</v>
      </c>
      <c r="K1464" t="s">
        <v>183</v>
      </c>
      <c r="L1464">
        <v>1</v>
      </c>
      <c r="M1464" s="4"/>
      <c r="R1464" s="4"/>
      <c r="S1464" s="4"/>
      <c r="T1464" s="4"/>
      <c r="U1464" s="4"/>
      <c r="V1464" s="4"/>
      <c r="W1464" s="4"/>
    </row>
    <row r="1465" spans="1:23" ht="14.5" hidden="1" customHeight="1" x14ac:dyDescent="0.2">
      <c r="A1465">
        <f t="shared" si="22"/>
        <v>1459</v>
      </c>
      <c r="B1465">
        <v>2018</v>
      </c>
      <c r="C1465" s="17" t="s">
        <v>207</v>
      </c>
      <c r="D1465" t="s">
        <v>397</v>
      </c>
      <c r="E1465" s="22">
        <v>220</v>
      </c>
      <c r="H1465" t="s">
        <v>154</v>
      </c>
      <c r="I1465" t="s">
        <v>194</v>
      </c>
      <c r="J1465" t="s">
        <v>130</v>
      </c>
      <c r="K1465" t="s">
        <v>214</v>
      </c>
      <c r="L1465">
        <v>1</v>
      </c>
      <c r="M1465" s="4"/>
      <c r="R1465" s="4"/>
      <c r="S1465" s="4"/>
      <c r="T1465" s="4"/>
      <c r="U1465" s="4"/>
      <c r="V1465" s="4"/>
      <c r="W1465" s="4"/>
    </row>
    <row r="1466" spans="1:23" ht="14.5" hidden="1" customHeight="1" x14ac:dyDescent="0.2">
      <c r="A1466">
        <f t="shared" si="22"/>
        <v>1460</v>
      </c>
      <c r="B1466">
        <v>2018</v>
      </c>
      <c r="C1466" s="17" t="s">
        <v>207</v>
      </c>
      <c r="D1466" t="s">
        <v>875</v>
      </c>
      <c r="E1466" s="22">
        <v>350</v>
      </c>
      <c r="G1466" t="s">
        <v>2890</v>
      </c>
      <c r="H1466" t="s">
        <v>144</v>
      </c>
      <c r="I1466" t="s">
        <v>299</v>
      </c>
      <c r="J1466" t="s">
        <v>97</v>
      </c>
      <c r="K1466" t="s">
        <v>183</v>
      </c>
      <c r="L1466">
        <v>1</v>
      </c>
      <c r="M1466" s="4"/>
      <c r="R1466" s="4"/>
      <c r="S1466" s="4"/>
      <c r="T1466" s="4"/>
      <c r="U1466" s="4"/>
      <c r="V1466" s="4"/>
      <c r="W1466" s="4"/>
    </row>
    <row r="1467" spans="1:23" ht="14.5" hidden="1" customHeight="1" x14ac:dyDescent="0.2">
      <c r="A1467">
        <f t="shared" si="22"/>
        <v>1461</v>
      </c>
      <c r="B1467">
        <v>2018</v>
      </c>
      <c r="C1467" s="17" t="s">
        <v>207</v>
      </c>
      <c r="D1467" t="s">
        <v>449</v>
      </c>
      <c r="E1467" s="22">
        <v>140</v>
      </c>
      <c r="H1467" t="s">
        <v>150</v>
      </c>
      <c r="I1467" t="s">
        <v>217</v>
      </c>
      <c r="J1467" t="s">
        <v>40</v>
      </c>
      <c r="K1467" t="s">
        <v>219</v>
      </c>
      <c r="L1467">
        <v>1</v>
      </c>
      <c r="M1467" s="4"/>
      <c r="R1467" s="4"/>
      <c r="S1467" s="4"/>
      <c r="T1467" s="4"/>
      <c r="U1467" s="4"/>
      <c r="V1467" s="4"/>
      <c r="W1467" s="4"/>
    </row>
    <row r="1468" spans="1:23" ht="14.5" hidden="1" customHeight="1" x14ac:dyDescent="0.2">
      <c r="A1468">
        <f t="shared" si="22"/>
        <v>1462</v>
      </c>
      <c r="B1468">
        <v>2018</v>
      </c>
      <c r="C1468" s="17" t="s">
        <v>207</v>
      </c>
      <c r="D1468" t="s">
        <v>397</v>
      </c>
      <c r="E1468" s="22">
        <v>610</v>
      </c>
      <c r="G1468" t="s">
        <v>2891</v>
      </c>
      <c r="H1468" t="s">
        <v>151</v>
      </c>
      <c r="I1468" t="s">
        <v>279</v>
      </c>
      <c r="J1468" t="s">
        <v>113</v>
      </c>
      <c r="K1468" t="s">
        <v>183</v>
      </c>
      <c r="L1468">
        <v>1</v>
      </c>
      <c r="M1468" s="4"/>
      <c r="R1468" s="4"/>
      <c r="S1468" s="4"/>
      <c r="T1468" s="4"/>
      <c r="U1468" s="4"/>
      <c r="V1468" s="4"/>
      <c r="W1468" s="4"/>
    </row>
    <row r="1469" spans="1:23" ht="14.5" hidden="1" customHeight="1" x14ac:dyDescent="0.2">
      <c r="A1469">
        <f t="shared" si="22"/>
        <v>1463</v>
      </c>
      <c r="B1469">
        <v>2018</v>
      </c>
      <c r="C1469" s="17" t="s">
        <v>207</v>
      </c>
      <c r="D1469" t="s">
        <v>1035</v>
      </c>
      <c r="E1469" s="22">
        <v>140</v>
      </c>
      <c r="H1469" t="s">
        <v>144</v>
      </c>
      <c r="I1469" t="s">
        <v>232</v>
      </c>
      <c r="J1469" t="s">
        <v>31</v>
      </c>
      <c r="K1469" t="s">
        <v>177</v>
      </c>
      <c r="L1469">
        <v>1</v>
      </c>
      <c r="M1469" s="4"/>
      <c r="R1469" s="4"/>
      <c r="S1469" s="4"/>
      <c r="T1469" s="4"/>
      <c r="U1469" s="4"/>
      <c r="V1469" s="4"/>
      <c r="W1469" s="4"/>
    </row>
    <row r="1470" spans="1:23" ht="14.5" hidden="1" customHeight="1" x14ac:dyDescent="0.2">
      <c r="A1470">
        <f t="shared" si="22"/>
        <v>1464</v>
      </c>
      <c r="B1470">
        <v>2018</v>
      </c>
      <c r="C1470" s="17" t="s">
        <v>207</v>
      </c>
      <c r="D1470" t="s">
        <v>449</v>
      </c>
      <c r="E1470" s="22">
        <v>130</v>
      </c>
      <c r="H1470" t="s">
        <v>153</v>
      </c>
      <c r="J1470" t="s">
        <v>72</v>
      </c>
      <c r="K1470" t="s">
        <v>183</v>
      </c>
      <c r="L1470">
        <v>1</v>
      </c>
      <c r="M1470" s="4"/>
      <c r="R1470" s="4"/>
      <c r="S1470" s="4"/>
      <c r="T1470" s="4"/>
      <c r="U1470" s="4"/>
      <c r="V1470" s="4"/>
      <c r="W1470" s="4"/>
    </row>
    <row r="1471" spans="1:23" ht="14.5" hidden="1" customHeight="1" x14ac:dyDescent="0.2">
      <c r="A1471">
        <f t="shared" si="22"/>
        <v>1465</v>
      </c>
      <c r="B1471">
        <v>2018</v>
      </c>
      <c r="C1471" s="17" t="s">
        <v>207</v>
      </c>
      <c r="D1471" t="s">
        <v>2157</v>
      </c>
      <c r="E1471" s="22">
        <v>290</v>
      </c>
      <c r="H1471" t="s">
        <v>154</v>
      </c>
      <c r="I1471" t="s">
        <v>194</v>
      </c>
      <c r="J1471" t="s">
        <v>44</v>
      </c>
      <c r="K1471" t="s">
        <v>201</v>
      </c>
      <c r="L1471">
        <v>1</v>
      </c>
      <c r="M1471" s="4"/>
      <c r="R1471" s="4"/>
      <c r="S1471" s="4"/>
      <c r="T1471" s="4"/>
      <c r="U1471" s="4"/>
      <c r="V1471" s="4"/>
      <c r="W1471" s="4"/>
    </row>
    <row r="1472" spans="1:23" s="41" customFormat="1" ht="14.5" hidden="1" customHeight="1" x14ac:dyDescent="0.2">
      <c r="A1472">
        <f t="shared" si="22"/>
        <v>1466</v>
      </c>
      <c r="B1472">
        <v>2018</v>
      </c>
      <c r="C1472" s="17" t="s">
        <v>240</v>
      </c>
      <c r="D1472" t="s">
        <v>2486</v>
      </c>
      <c r="E1472" s="22">
        <v>120</v>
      </c>
      <c r="F1472" s="16"/>
      <c r="H1472" t="s">
        <v>151</v>
      </c>
      <c r="I1472" t="s">
        <v>279</v>
      </c>
      <c r="J1472" t="s">
        <v>20</v>
      </c>
      <c r="K1472" t="s">
        <v>195</v>
      </c>
      <c r="L1472">
        <v>0</v>
      </c>
      <c r="M1472" s="77"/>
      <c r="N1472" s="82"/>
      <c r="O1472" s="43"/>
      <c r="R1472" s="77"/>
      <c r="S1472" s="77"/>
      <c r="T1472" s="77"/>
      <c r="U1472" s="77"/>
      <c r="V1472" s="77"/>
      <c r="W1472" s="77"/>
    </row>
    <row r="1473" spans="1:23" ht="14.5" hidden="1" customHeight="1" x14ac:dyDescent="0.2">
      <c r="A1473">
        <f t="shared" si="22"/>
        <v>1467</v>
      </c>
      <c r="B1473">
        <v>2018</v>
      </c>
      <c r="C1473" s="17" t="s">
        <v>240</v>
      </c>
      <c r="D1473" t="s">
        <v>199</v>
      </c>
      <c r="E1473" s="22">
        <v>160</v>
      </c>
      <c r="G1473" t="s">
        <v>892</v>
      </c>
      <c r="H1473" t="s">
        <v>144</v>
      </c>
      <c r="I1473" t="s">
        <v>187</v>
      </c>
      <c r="J1473" t="s">
        <v>55</v>
      </c>
      <c r="K1473" t="s">
        <v>214</v>
      </c>
      <c r="L1473">
        <v>1</v>
      </c>
      <c r="M1473" s="4"/>
      <c r="N1473" s="72"/>
      <c r="R1473" s="4"/>
      <c r="S1473" s="4"/>
      <c r="T1473" s="4"/>
      <c r="U1473" s="4"/>
      <c r="V1473" s="4"/>
      <c r="W1473" s="4"/>
    </row>
    <row r="1474" spans="1:23" ht="14.5" hidden="1" customHeight="1" x14ac:dyDescent="0.2">
      <c r="A1474">
        <f t="shared" si="22"/>
        <v>1468</v>
      </c>
      <c r="B1474">
        <v>2018</v>
      </c>
      <c r="C1474" s="17" t="s">
        <v>240</v>
      </c>
      <c r="D1474" t="s">
        <v>341</v>
      </c>
      <c r="E1474" s="22">
        <v>270</v>
      </c>
      <c r="H1474" t="s">
        <v>154</v>
      </c>
      <c r="I1474" t="s">
        <v>529</v>
      </c>
      <c r="J1474" t="s">
        <v>97</v>
      </c>
      <c r="K1474" t="s">
        <v>183</v>
      </c>
      <c r="L1474">
        <v>1</v>
      </c>
      <c r="M1474" s="4"/>
      <c r="N1474" s="72"/>
      <c r="R1474" s="4"/>
      <c r="S1474" s="4"/>
      <c r="T1474" s="4"/>
      <c r="U1474" s="4"/>
      <c r="V1474" s="4"/>
      <c r="W1474" s="4"/>
    </row>
    <row r="1475" spans="1:23" ht="14.5" hidden="1" customHeight="1" x14ac:dyDescent="0.2">
      <c r="A1475">
        <f t="shared" si="22"/>
        <v>1469</v>
      </c>
      <c r="B1475">
        <v>2018</v>
      </c>
      <c r="C1475" s="17" t="s">
        <v>240</v>
      </c>
      <c r="D1475" t="s">
        <v>875</v>
      </c>
      <c r="E1475" s="22">
        <v>230</v>
      </c>
      <c r="H1475" t="s">
        <v>144</v>
      </c>
      <c r="I1475" t="s">
        <v>197</v>
      </c>
      <c r="J1475" t="s">
        <v>97</v>
      </c>
      <c r="K1475" t="s">
        <v>183</v>
      </c>
      <c r="L1475">
        <v>1</v>
      </c>
      <c r="M1475" s="4"/>
      <c r="N1475" s="72"/>
      <c r="R1475" s="4"/>
      <c r="S1475" s="4"/>
      <c r="T1475" s="4"/>
      <c r="U1475" s="4"/>
      <c r="V1475" s="4"/>
      <c r="W1475" s="4"/>
    </row>
    <row r="1476" spans="1:23" ht="14.5" hidden="1" customHeight="1" x14ac:dyDescent="0.2">
      <c r="A1476">
        <f t="shared" si="22"/>
        <v>1470</v>
      </c>
      <c r="B1476">
        <v>2018</v>
      </c>
      <c r="C1476" s="17" t="s">
        <v>240</v>
      </c>
      <c r="D1476" t="s">
        <v>2892</v>
      </c>
      <c r="E1476" s="22">
        <v>140</v>
      </c>
      <c r="H1476" t="s">
        <v>151</v>
      </c>
      <c r="I1476" t="s">
        <v>279</v>
      </c>
      <c r="J1476" t="s">
        <v>139</v>
      </c>
      <c r="K1476" t="s">
        <v>219</v>
      </c>
      <c r="L1476">
        <v>1</v>
      </c>
      <c r="M1476" s="4"/>
      <c r="N1476" s="72"/>
      <c r="R1476" s="4"/>
      <c r="S1476" s="4"/>
      <c r="T1476" s="4"/>
      <c r="U1476" s="4"/>
      <c r="V1476" s="4"/>
      <c r="W1476" s="4"/>
    </row>
    <row r="1477" spans="1:23" ht="14.5" hidden="1" customHeight="1" x14ac:dyDescent="0.2">
      <c r="A1477">
        <f t="shared" si="22"/>
        <v>1471</v>
      </c>
      <c r="B1477">
        <v>2018</v>
      </c>
      <c r="C1477" s="17" t="s">
        <v>240</v>
      </c>
      <c r="D1477" t="s">
        <v>449</v>
      </c>
      <c r="E1477" s="22">
        <v>370</v>
      </c>
      <c r="H1477" t="s">
        <v>154</v>
      </c>
      <c r="I1477" t="s">
        <v>194</v>
      </c>
      <c r="J1477" t="s">
        <v>96</v>
      </c>
      <c r="K1477" t="s">
        <v>205</v>
      </c>
      <c r="L1477">
        <v>1</v>
      </c>
    </row>
    <row r="1478" spans="1:23" ht="14.5" hidden="1" customHeight="1" x14ac:dyDescent="0.2">
      <c r="A1478">
        <f t="shared" si="22"/>
        <v>1472</v>
      </c>
      <c r="B1478">
        <v>2018</v>
      </c>
      <c r="C1478" s="17" t="s">
        <v>240</v>
      </c>
      <c r="D1478" t="s">
        <v>397</v>
      </c>
      <c r="E1478" s="22">
        <v>150</v>
      </c>
      <c r="H1478" t="s">
        <v>154</v>
      </c>
      <c r="I1478" t="s">
        <v>194</v>
      </c>
      <c r="J1478" t="s">
        <v>84</v>
      </c>
      <c r="K1478" t="s">
        <v>201</v>
      </c>
      <c r="L1478">
        <v>1</v>
      </c>
    </row>
    <row r="1479" spans="1:23" ht="14.5" hidden="1" customHeight="1" x14ac:dyDescent="0.2">
      <c r="A1479">
        <f t="shared" ref="A1479:A1542" si="23">ROW()-6</f>
        <v>1473</v>
      </c>
      <c r="B1479">
        <v>2018</v>
      </c>
      <c r="C1479" s="17" t="s">
        <v>240</v>
      </c>
      <c r="D1479" t="s">
        <v>2329</v>
      </c>
      <c r="E1479" s="22">
        <v>100</v>
      </c>
      <c r="G1479" t="s">
        <v>904</v>
      </c>
      <c r="H1479" t="s">
        <v>144</v>
      </c>
      <c r="I1479" t="s">
        <v>187</v>
      </c>
      <c r="J1479" t="s">
        <v>55</v>
      </c>
      <c r="K1479" t="s">
        <v>214</v>
      </c>
      <c r="L1479">
        <v>1</v>
      </c>
    </row>
    <row r="1480" spans="1:23" ht="14.5" hidden="1" customHeight="1" x14ac:dyDescent="0.2">
      <c r="A1480">
        <f t="shared" si="23"/>
        <v>1474</v>
      </c>
      <c r="B1480">
        <v>2018</v>
      </c>
      <c r="C1480" s="17" t="s">
        <v>240</v>
      </c>
      <c r="D1480" t="s">
        <v>557</v>
      </c>
      <c r="E1480" s="22">
        <v>140</v>
      </c>
      <c r="H1480" t="s">
        <v>155</v>
      </c>
      <c r="J1480" t="s">
        <v>72</v>
      </c>
      <c r="K1480" t="s">
        <v>183</v>
      </c>
      <c r="L1480">
        <v>1</v>
      </c>
    </row>
    <row r="1481" spans="1:23" ht="14.5" hidden="1" customHeight="1" x14ac:dyDescent="0.2">
      <c r="A1481">
        <f t="shared" si="23"/>
        <v>1475</v>
      </c>
      <c r="B1481">
        <v>2018</v>
      </c>
      <c r="C1481" s="17" t="s">
        <v>240</v>
      </c>
      <c r="D1481" t="s">
        <v>2389</v>
      </c>
      <c r="E1481" s="22">
        <v>230</v>
      </c>
      <c r="H1481" t="s">
        <v>151</v>
      </c>
      <c r="I1481" t="s">
        <v>279</v>
      </c>
      <c r="J1481" t="s">
        <v>59</v>
      </c>
      <c r="K1481" t="s">
        <v>219</v>
      </c>
      <c r="L1481">
        <v>1</v>
      </c>
    </row>
    <row r="1482" spans="1:23" ht="14.5" hidden="1" customHeight="1" x14ac:dyDescent="0.2">
      <c r="A1482">
        <f t="shared" si="23"/>
        <v>1476</v>
      </c>
      <c r="B1482">
        <v>2018</v>
      </c>
      <c r="C1482" s="17" t="s">
        <v>240</v>
      </c>
      <c r="D1482" t="s">
        <v>244</v>
      </c>
      <c r="E1482" s="22">
        <v>340</v>
      </c>
      <c r="G1482" t="s">
        <v>2893</v>
      </c>
      <c r="H1482" t="s">
        <v>149</v>
      </c>
      <c r="I1482" t="s">
        <v>238</v>
      </c>
      <c r="J1482" t="s">
        <v>47</v>
      </c>
      <c r="K1482" t="s">
        <v>195</v>
      </c>
      <c r="L1482">
        <v>1</v>
      </c>
    </row>
    <row r="1483" spans="1:23" ht="14.5" hidden="1" customHeight="1" x14ac:dyDescent="0.2">
      <c r="A1483">
        <f t="shared" si="23"/>
        <v>1477</v>
      </c>
      <c r="B1483">
        <v>2018</v>
      </c>
      <c r="C1483" s="17" t="s">
        <v>240</v>
      </c>
      <c r="D1483" t="s">
        <v>2389</v>
      </c>
      <c r="E1483" s="22">
        <v>150</v>
      </c>
      <c r="H1483" t="s">
        <v>150</v>
      </c>
      <c r="I1483" t="s">
        <v>744</v>
      </c>
      <c r="J1483" t="s">
        <v>59</v>
      </c>
      <c r="K1483" t="s">
        <v>219</v>
      </c>
      <c r="L1483">
        <v>1</v>
      </c>
    </row>
    <row r="1484" spans="1:23" ht="14.5" hidden="1" customHeight="1" x14ac:dyDescent="0.2">
      <c r="A1484">
        <f t="shared" si="23"/>
        <v>1478</v>
      </c>
      <c r="B1484">
        <v>2018</v>
      </c>
      <c r="C1484" s="17" t="s">
        <v>240</v>
      </c>
      <c r="D1484" t="s">
        <v>1035</v>
      </c>
      <c r="E1484" s="22">
        <v>380</v>
      </c>
      <c r="H1484" t="s">
        <v>144</v>
      </c>
      <c r="I1484" t="s">
        <v>197</v>
      </c>
      <c r="J1484" t="s">
        <v>59</v>
      </c>
      <c r="K1484" t="s">
        <v>219</v>
      </c>
      <c r="L1484">
        <v>1</v>
      </c>
    </row>
    <row r="1485" spans="1:23" s="41" customFormat="1" ht="14.5" hidden="1" customHeight="1" x14ac:dyDescent="0.2">
      <c r="A1485">
        <f t="shared" si="23"/>
        <v>1479</v>
      </c>
      <c r="B1485">
        <v>2018</v>
      </c>
      <c r="C1485" s="17" t="s">
        <v>240</v>
      </c>
      <c r="D1485" t="s">
        <v>199</v>
      </c>
      <c r="E1485" s="22">
        <v>780</v>
      </c>
      <c r="F1485" s="16"/>
      <c r="H1485" t="s">
        <v>144</v>
      </c>
      <c r="I1485" t="s">
        <v>187</v>
      </c>
      <c r="J1485" t="s">
        <v>13</v>
      </c>
      <c r="K1485" t="s">
        <v>201</v>
      </c>
      <c r="L1485">
        <v>1</v>
      </c>
      <c r="O1485" s="43"/>
    </row>
    <row r="1486" spans="1:23" ht="14.5" hidden="1" customHeight="1" x14ac:dyDescent="0.2">
      <c r="A1486">
        <f t="shared" si="23"/>
        <v>1480</v>
      </c>
      <c r="B1486">
        <v>2018</v>
      </c>
      <c r="C1486" s="17" t="s">
        <v>240</v>
      </c>
      <c r="D1486" t="s">
        <v>1035</v>
      </c>
      <c r="E1486" s="22">
        <v>110</v>
      </c>
      <c r="H1486" t="s">
        <v>144</v>
      </c>
      <c r="I1486" t="s">
        <v>187</v>
      </c>
      <c r="J1486" t="s">
        <v>13</v>
      </c>
      <c r="K1486" t="s">
        <v>201</v>
      </c>
      <c r="L1486">
        <v>1</v>
      </c>
    </row>
    <row r="1487" spans="1:23" ht="14.5" hidden="1" customHeight="1" x14ac:dyDescent="0.2">
      <c r="A1487">
        <f t="shared" si="23"/>
        <v>1481</v>
      </c>
      <c r="B1487">
        <v>2018</v>
      </c>
      <c r="C1487" s="17" t="s">
        <v>240</v>
      </c>
      <c r="D1487" t="s">
        <v>2894</v>
      </c>
      <c r="E1487" s="22">
        <v>150</v>
      </c>
      <c r="G1487" t="s">
        <v>2895</v>
      </c>
      <c r="H1487" t="s">
        <v>144</v>
      </c>
      <c r="I1487" t="s">
        <v>187</v>
      </c>
      <c r="J1487" t="s">
        <v>26</v>
      </c>
      <c r="K1487" t="s">
        <v>219</v>
      </c>
      <c r="L1487">
        <v>1</v>
      </c>
    </row>
    <row r="1488" spans="1:23" ht="14.5" hidden="1" customHeight="1" x14ac:dyDescent="0.2">
      <c r="A1488">
        <f t="shared" si="23"/>
        <v>1482</v>
      </c>
      <c r="B1488">
        <v>2018</v>
      </c>
      <c r="C1488" s="17" t="s">
        <v>212</v>
      </c>
      <c r="D1488" t="s">
        <v>1035</v>
      </c>
      <c r="E1488" s="22">
        <v>690</v>
      </c>
      <c r="G1488" t="s">
        <v>2896</v>
      </c>
      <c r="H1488" t="s">
        <v>154</v>
      </c>
      <c r="I1488" t="s">
        <v>271</v>
      </c>
      <c r="J1488" t="s">
        <v>105</v>
      </c>
      <c r="K1488" t="s">
        <v>214</v>
      </c>
      <c r="L1488">
        <v>1</v>
      </c>
    </row>
    <row r="1489" spans="1:12" ht="14.5" hidden="1" customHeight="1" x14ac:dyDescent="0.2">
      <c r="A1489">
        <f t="shared" si="23"/>
        <v>1483</v>
      </c>
      <c r="B1489">
        <v>2018</v>
      </c>
      <c r="C1489" s="17" t="s">
        <v>212</v>
      </c>
      <c r="D1489" t="s">
        <v>2486</v>
      </c>
      <c r="E1489" s="22">
        <v>140</v>
      </c>
      <c r="G1489" t="s">
        <v>2712</v>
      </c>
      <c r="H1489" t="s">
        <v>151</v>
      </c>
      <c r="I1489" t="s">
        <v>279</v>
      </c>
      <c r="J1489" t="s">
        <v>20</v>
      </c>
      <c r="K1489" t="s">
        <v>195</v>
      </c>
      <c r="L1489">
        <v>0</v>
      </c>
    </row>
    <row r="1490" spans="1:12" ht="14.5" hidden="1" customHeight="1" x14ac:dyDescent="0.2">
      <c r="A1490">
        <f t="shared" si="23"/>
        <v>1484</v>
      </c>
      <c r="B1490">
        <v>2018</v>
      </c>
      <c r="C1490" s="17" t="s">
        <v>212</v>
      </c>
      <c r="D1490" t="s">
        <v>449</v>
      </c>
      <c r="E1490" s="22">
        <v>160</v>
      </c>
      <c r="G1490" t="s">
        <v>2897</v>
      </c>
      <c r="H1490" t="s">
        <v>154</v>
      </c>
      <c r="I1490" t="s">
        <v>194</v>
      </c>
      <c r="J1490" t="s">
        <v>123</v>
      </c>
      <c r="K1490" t="s">
        <v>219</v>
      </c>
      <c r="L1490">
        <v>1</v>
      </c>
    </row>
    <row r="1491" spans="1:12" ht="14.5" hidden="1" customHeight="1" x14ac:dyDescent="0.2">
      <c r="A1491">
        <f t="shared" si="23"/>
        <v>1485</v>
      </c>
      <c r="B1491">
        <v>2018</v>
      </c>
      <c r="C1491" s="17" t="s">
        <v>212</v>
      </c>
      <c r="D1491" t="s">
        <v>557</v>
      </c>
      <c r="E1491" s="22">
        <v>230</v>
      </c>
      <c r="G1491" t="s">
        <v>2898</v>
      </c>
      <c r="H1491" t="s">
        <v>151</v>
      </c>
      <c r="I1491" t="s">
        <v>279</v>
      </c>
      <c r="J1491" t="s">
        <v>138</v>
      </c>
      <c r="K1491" t="s">
        <v>219</v>
      </c>
      <c r="L1491">
        <v>1</v>
      </c>
    </row>
    <row r="1492" spans="1:12" ht="14.5" hidden="1" customHeight="1" x14ac:dyDescent="0.2">
      <c r="A1492">
        <f t="shared" si="23"/>
        <v>1486</v>
      </c>
      <c r="B1492">
        <v>2018</v>
      </c>
      <c r="C1492" s="17" t="s">
        <v>212</v>
      </c>
      <c r="D1492" t="s">
        <v>1624</v>
      </c>
      <c r="E1492" s="22">
        <v>250</v>
      </c>
      <c r="G1492" t="s">
        <v>2270</v>
      </c>
      <c r="H1492" t="s">
        <v>151</v>
      </c>
      <c r="I1492" t="s">
        <v>279</v>
      </c>
      <c r="J1492" t="s">
        <v>97</v>
      </c>
      <c r="K1492" t="s">
        <v>183</v>
      </c>
      <c r="L1492">
        <v>1</v>
      </c>
    </row>
    <row r="1493" spans="1:12" ht="14.5" hidden="1" customHeight="1" x14ac:dyDescent="0.2">
      <c r="A1493">
        <f t="shared" si="23"/>
        <v>1487</v>
      </c>
      <c r="B1493">
        <v>2018</v>
      </c>
      <c r="C1493" s="17" t="s">
        <v>212</v>
      </c>
      <c r="D1493" t="s">
        <v>189</v>
      </c>
      <c r="E1493" s="22">
        <v>150</v>
      </c>
      <c r="H1493" t="s">
        <v>144</v>
      </c>
      <c r="I1493" t="s">
        <v>187</v>
      </c>
      <c r="J1493" t="s">
        <v>105</v>
      </c>
      <c r="K1493" t="s">
        <v>214</v>
      </c>
      <c r="L1493">
        <v>1</v>
      </c>
    </row>
    <row r="1494" spans="1:12" ht="14.5" hidden="1" customHeight="1" x14ac:dyDescent="0.2">
      <c r="A1494">
        <f t="shared" si="23"/>
        <v>1488</v>
      </c>
      <c r="B1494">
        <v>2018</v>
      </c>
      <c r="C1494" s="17" t="s">
        <v>212</v>
      </c>
      <c r="D1494" t="s">
        <v>444</v>
      </c>
      <c r="E1494" s="22">
        <v>1170</v>
      </c>
      <c r="H1494" t="s">
        <v>149</v>
      </c>
      <c r="I1494" t="s">
        <v>182</v>
      </c>
      <c r="J1494" t="s">
        <v>11</v>
      </c>
      <c r="K1494" t="s">
        <v>201</v>
      </c>
      <c r="L1494">
        <v>1</v>
      </c>
    </row>
    <row r="1495" spans="1:12" ht="14.5" hidden="1" customHeight="1" x14ac:dyDescent="0.2">
      <c r="A1495">
        <f t="shared" si="23"/>
        <v>1489</v>
      </c>
      <c r="B1495">
        <v>2018</v>
      </c>
      <c r="C1495" s="17" t="s">
        <v>212</v>
      </c>
      <c r="D1495" s="52" t="s">
        <v>2392</v>
      </c>
      <c r="E1495" s="22">
        <v>680</v>
      </c>
      <c r="G1495" t="s">
        <v>2899</v>
      </c>
      <c r="H1495" t="s">
        <v>144</v>
      </c>
      <c r="I1495" t="s">
        <v>273</v>
      </c>
      <c r="J1495" t="s">
        <v>133</v>
      </c>
      <c r="K1495" t="s">
        <v>195</v>
      </c>
      <c r="L1495">
        <v>1</v>
      </c>
    </row>
    <row r="1496" spans="1:12" ht="14.5" hidden="1" customHeight="1" x14ac:dyDescent="0.2">
      <c r="A1496">
        <f t="shared" si="23"/>
        <v>1490</v>
      </c>
      <c r="B1496">
        <v>2018</v>
      </c>
      <c r="C1496" s="17" t="s">
        <v>212</v>
      </c>
      <c r="D1496" t="s">
        <v>2900</v>
      </c>
      <c r="E1496" s="22">
        <v>240</v>
      </c>
      <c r="H1496" t="s">
        <v>154</v>
      </c>
      <c r="I1496" t="s">
        <v>194</v>
      </c>
      <c r="J1496" t="s">
        <v>40</v>
      </c>
      <c r="K1496" t="s">
        <v>219</v>
      </c>
      <c r="L1496">
        <v>1</v>
      </c>
    </row>
    <row r="1497" spans="1:12" ht="14.5" hidden="1" customHeight="1" x14ac:dyDescent="0.2">
      <c r="A1497">
        <f t="shared" si="23"/>
        <v>1491</v>
      </c>
      <c r="B1497">
        <v>2018</v>
      </c>
      <c r="C1497" s="17" t="s">
        <v>212</v>
      </c>
      <c r="D1497" t="s">
        <v>1289</v>
      </c>
      <c r="E1497" s="22">
        <v>100</v>
      </c>
      <c r="H1497" t="s">
        <v>154</v>
      </c>
      <c r="I1497" t="s">
        <v>194</v>
      </c>
      <c r="J1497" t="s">
        <v>2901</v>
      </c>
      <c r="K1497" t="s">
        <v>219</v>
      </c>
      <c r="L1497">
        <v>1</v>
      </c>
    </row>
    <row r="1498" spans="1:12" ht="14.5" hidden="1" customHeight="1" x14ac:dyDescent="0.2">
      <c r="A1498">
        <f t="shared" si="23"/>
        <v>1492</v>
      </c>
      <c r="B1498">
        <v>2018</v>
      </c>
      <c r="C1498" s="17" t="s">
        <v>212</v>
      </c>
      <c r="D1498" t="s">
        <v>208</v>
      </c>
      <c r="E1498" s="22">
        <v>680</v>
      </c>
      <c r="G1498" t="s">
        <v>2902</v>
      </c>
      <c r="H1498" t="s">
        <v>149</v>
      </c>
      <c r="J1498" t="s">
        <v>101</v>
      </c>
      <c r="K1498" t="s">
        <v>201</v>
      </c>
      <c r="L1498">
        <v>1</v>
      </c>
    </row>
    <row r="1499" spans="1:12" ht="14.5" hidden="1" customHeight="1" x14ac:dyDescent="0.2">
      <c r="A1499">
        <f t="shared" si="23"/>
        <v>1493</v>
      </c>
      <c r="B1499">
        <v>2018</v>
      </c>
      <c r="C1499" s="17" t="s">
        <v>212</v>
      </c>
      <c r="D1499" t="s">
        <v>397</v>
      </c>
      <c r="E1499" s="22">
        <v>210</v>
      </c>
      <c r="H1499" t="s">
        <v>153</v>
      </c>
      <c r="J1499" t="s">
        <v>138</v>
      </c>
      <c r="K1499" t="s">
        <v>219</v>
      </c>
      <c r="L1499">
        <v>1</v>
      </c>
    </row>
    <row r="1500" spans="1:12" ht="14.5" hidden="1" customHeight="1" x14ac:dyDescent="0.2">
      <c r="A1500">
        <f t="shared" si="23"/>
        <v>1494</v>
      </c>
      <c r="B1500">
        <v>2018</v>
      </c>
      <c r="C1500" s="17" t="s">
        <v>212</v>
      </c>
      <c r="D1500" t="s">
        <v>1035</v>
      </c>
      <c r="E1500" s="22">
        <v>150</v>
      </c>
      <c r="F1500" s="16">
        <v>0.49</v>
      </c>
      <c r="G1500" t="s">
        <v>2903</v>
      </c>
      <c r="H1500" t="s">
        <v>154</v>
      </c>
      <c r="I1500" t="s">
        <v>529</v>
      </c>
      <c r="J1500" t="s">
        <v>124</v>
      </c>
      <c r="K1500" t="s">
        <v>183</v>
      </c>
      <c r="L1500">
        <v>1</v>
      </c>
    </row>
    <row r="1501" spans="1:12" ht="14.5" hidden="1" customHeight="1" x14ac:dyDescent="0.2">
      <c r="A1501">
        <f t="shared" si="23"/>
        <v>1495</v>
      </c>
      <c r="B1501">
        <v>2018</v>
      </c>
      <c r="C1501" s="17" t="s">
        <v>212</v>
      </c>
      <c r="D1501" t="s">
        <v>307</v>
      </c>
      <c r="E1501" s="22">
        <v>1760</v>
      </c>
      <c r="H1501" t="s">
        <v>144</v>
      </c>
      <c r="J1501" t="s">
        <v>93</v>
      </c>
      <c r="K1501" t="s">
        <v>201</v>
      </c>
      <c r="L1501">
        <v>1</v>
      </c>
    </row>
    <row r="1502" spans="1:12" ht="14.5" hidden="1" customHeight="1" x14ac:dyDescent="0.2">
      <c r="A1502">
        <f t="shared" si="23"/>
        <v>1496</v>
      </c>
      <c r="B1502">
        <v>2018</v>
      </c>
      <c r="C1502" s="17" t="s">
        <v>212</v>
      </c>
      <c r="D1502" t="s">
        <v>397</v>
      </c>
      <c r="E1502" s="22">
        <v>110</v>
      </c>
      <c r="H1502" t="s">
        <v>151</v>
      </c>
      <c r="I1502" t="s">
        <v>279</v>
      </c>
      <c r="J1502" t="s">
        <v>130</v>
      </c>
      <c r="K1502" t="s">
        <v>214</v>
      </c>
      <c r="L1502">
        <v>1</v>
      </c>
    </row>
    <row r="1503" spans="1:12" ht="14.5" hidden="1" customHeight="1" x14ac:dyDescent="0.2">
      <c r="A1503">
        <f t="shared" si="23"/>
        <v>1497</v>
      </c>
      <c r="B1503">
        <v>2018</v>
      </c>
      <c r="C1503" s="17" t="s">
        <v>212</v>
      </c>
      <c r="D1503" t="s">
        <v>668</v>
      </c>
      <c r="E1503" s="22">
        <v>690</v>
      </c>
      <c r="G1503" t="s">
        <v>2904</v>
      </c>
      <c r="H1503" t="s">
        <v>144</v>
      </c>
      <c r="J1503" t="s">
        <v>123</v>
      </c>
      <c r="K1503" t="s">
        <v>219</v>
      </c>
      <c r="L1503">
        <v>1</v>
      </c>
    </row>
    <row r="1504" spans="1:12" ht="14.5" hidden="1" customHeight="1" x14ac:dyDescent="0.2">
      <c r="A1504">
        <f t="shared" si="23"/>
        <v>1498</v>
      </c>
      <c r="B1504">
        <v>2018</v>
      </c>
      <c r="C1504" s="17" t="s">
        <v>212</v>
      </c>
      <c r="D1504" t="s">
        <v>208</v>
      </c>
      <c r="E1504" s="22">
        <v>520</v>
      </c>
      <c r="G1504" t="s">
        <v>2905</v>
      </c>
      <c r="H1504" t="s">
        <v>149</v>
      </c>
      <c r="I1504" t="s">
        <v>182</v>
      </c>
      <c r="J1504" t="s">
        <v>16</v>
      </c>
      <c r="K1504" t="s">
        <v>205</v>
      </c>
      <c r="L1504">
        <v>1</v>
      </c>
    </row>
    <row r="1505" spans="1:15" s="17" customFormat="1" ht="14.5" hidden="1" customHeight="1" x14ac:dyDescent="0.2">
      <c r="A1505">
        <f t="shared" si="23"/>
        <v>1499</v>
      </c>
      <c r="B1505" s="54">
        <v>2019</v>
      </c>
      <c r="C1505" s="17" t="s">
        <v>172</v>
      </c>
      <c r="D1505" t="s">
        <v>1581</v>
      </c>
      <c r="E1505" s="22">
        <v>200</v>
      </c>
      <c r="F1505" s="16"/>
      <c r="G1505" t="s">
        <v>2906</v>
      </c>
      <c r="H1505" t="s">
        <v>152</v>
      </c>
      <c r="J1505" t="s">
        <v>8</v>
      </c>
      <c r="K1505" t="s">
        <v>205</v>
      </c>
      <c r="L1505">
        <v>1</v>
      </c>
      <c r="O1505" s="39"/>
    </row>
    <row r="1506" spans="1:15" ht="14.5" hidden="1" customHeight="1" x14ac:dyDescent="0.2">
      <c r="A1506">
        <f t="shared" si="23"/>
        <v>1500</v>
      </c>
      <c r="B1506" s="54">
        <v>2019</v>
      </c>
      <c r="C1506" s="17" t="s">
        <v>172</v>
      </c>
      <c r="D1506" t="s">
        <v>557</v>
      </c>
      <c r="E1506" s="22">
        <v>250</v>
      </c>
      <c r="H1506" t="s">
        <v>151</v>
      </c>
      <c r="I1506" t="s">
        <v>279</v>
      </c>
      <c r="J1506" t="s">
        <v>55</v>
      </c>
      <c r="K1506" t="s">
        <v>214</v>
      </c>
      <c r="L1506">
        <v>1</v>
      </c>
    </row>
    <row r="1507" spans="1:15" ht="14.5" hidden="1" customHeight="1" x14ac:dyDescent="0.2">
      <c r="A1507">
        <f t="shared" si="23"/>
        <v>1501</v>
      </c>
      <c r="B1507" s="54">
        <v>2019</v>
      </c>
      <c r="C1507" s="17" t="s">
        <v>172</v>
      </c>
      <c r="D1507" t="s">
        <v>479</v>
      </c>
      <c r="E1507" s="22">
        <v>440</v>
      </c>
      <c r="G1507" t="s">
        <v>2300</v>
      </c>
      <c r="H1507" t="s">
        <v>144</v>
      </c>
      <c r="I1507" t="s">
        <v>299</v>
      </c>
      <c r="J1507" t="s">
        <v>5</v>
      </c>
      <c r="K1507" t="s">
        <v>214</v>
      </c>
      <c r="L1507">
        <v>1</v>
      </c>
    </row>
    <row r="1508" spans="1:15" ht="14.5" hidden="1" customHeight="1" x14ac:dyDescent="0.2">
      <c r="A1508">
        <f t="shared" si="23"/>
        <v>1502</v>
      </c>
      <c r="B1508" s="54">
        <v>2019</v>
      </c>
      <c r="C1508" s="17" t="s">
        <v>172</v>
      </c>
      <c r="D1508" t="s">
        <v>175</v>
      </c>
      <c r="E1508" s="22">
        <v>160</v>
      </c>
      <c r="H1508" t="s">
        <v>154</v>
      </c>
      <c r="I1508" t="s">
        <v>194</v>
      </c>
      <c r="J1508" t="s">
        <v>78</v>
      </c>
      <c r="K1508" t="s">
        <v>183</v>
      </c>
      <c r="L1508">
        <v>1</v>
      </c>
    </row>
    <row r="1509" spans="1:15" ht="14.5" hidden="1" customHeight="1" x14ac:dyDescent="0.2">
      <c r="A1509">
        <f t="shared" si="23"/>
        <v>1503</v>
      </c>
      <c r="B1509" s="54">
        <v>2019</v>
      </c>
      <c r="C1509" s="17" t="s">
        <v>172</v>
      </c>
      <c r="D1509" t="s">
        <v>1149</v>
      </c>
      <c r="E1509" s="22">
        <v>110</v>
      </c>
      <c r="G1509" t="s">
        <v>2393</v>
      </c>
      <c r="H1509" t="s">
        <v>150</v>
      </c>
      <c r="I1509" t="s">
        <v>226</v>
      </c>
      <c r="J1509" t="s">
        <v>136</v>
      </c>
      <c r="K1509" t="s">
        <v>183</v>
      </c>
      <c r="L1509">
        <v>1</v>
      </c>
    </row>
    <row r="1510" spans="1:15" ht="14.5" hidden="1" customHeight="1" x14ac:dyDescent="0.2">
      <c r="A1510">
        <f t="shared" si="23"/>
        <v>1504</v>
      </c>
      <c r="B1510" s="54">
        <v>2019</v>
      </c>
      <c r="C1510" s="17" t="s">
        <v>172</v>
      </c>
      <c r="D1510" t="s">
        <v>2907</v>
      </c>
      <c r="E1510" s="22">
        <v>520</v>
      </c>
      <c r="H1510" t="s">
        <v>144</v>
      </c>
      <c r="I1510" t="s">
        <v>232</v>
      </c>
      <c r="J1510" t="s">
        <v>136</v>
      </c>
      <c r="K1510" t="s">
        <v>183</v>
      </c>
      <c r="L1510">
        <v>1</v>
      </c>
    </row>
    <row r="1511" spans="1:15" ht="14.5" hidden="1" customHeight="1" x14ac:dyDescent="0.2">
      <c r="A1511">
        <f t="shared" si="23"/>
        <v>1505</v>
      </c>
      <c r="B1511" s="54">
        <v>2019</v>
      </c>
      <c r="C1511" s="17" t="s">
        <v>172</v>
      </c>
      <c r="D1511" t="s">
        <v>189</v>
      </c>
      <c r="E1511" s="22">
        <v>270</v>
      </c>
      <c r="G1511" t="s">
        <v>2002</v>
      </c>
      <c r="H1511" t="s">
        <v>144</v>
      </c>
      <c r="I1511" t="s">
        <v>187</v>
      </c>
      <c r="J1511" t="s">
        <v>105</v>
      </c>
      <c r="K1511" t="s">
        <v>214</v>
      </c>
      <c r="L1511">
        <v>1</v>
      </c>
    </row>
    <row r="1512" spans="1:15" ht="14.5" hidden="1" customHeight="1" x14ac:dyDescent="0.2">
      <c r="A1512">
        <f t="shared" si="23"/>
        <v>1506</v>
      </c>
      <c r="B1512" s="54">
        <v>2019</v>
      </c>
      <c r="C1512" s="17" t="s">
        <v>172</v>
      </c>
      <c r="D1512" t="s">
        <v>2434</v>
      </c>
      <c r="E1512" s="22">
        <v>450</v>
      </c>
      <c r="H1512" t="s">
        <v>154</v>
      </c>
      <c r="I1512" t="s">
        <v>194</v>
      </c>
      <c r="J1512" t="s">
        <v>108</v>
      </c>
      <c r="K1512" t="s">
        <v>183</v>
      </c>
      <c r="L1512">
        <v>1</v>
      </c>
    </row>
    <row r="1513" spans="1:15" ht="14.5" hidden="1" customHeight="1" x14ac:dyDescent="0.2">
      <c r="A1513">
        <f t="shared" si="23"/>
        <v>1507</v>
      </c>
      <c r="B1513" s="54">
        <v>2019</v>
      </c>
      <c r="C1513" s="17" t="s">
        <v>172</v>
      </c>
      <c r="D1513" t="s">
        <v>479</v>
      </c>
      <c r="E1513" s="22">
        <v>1220</v>
      </c>
      <c r="H1513" t="s">
        <v>154</v>
      </c>
      <c r="I1513" t="s">
        <v>271</v>
      </c>
      <c r="J1513" t="s">
        <v>70</v>
      </c>
      <c r="K1513" t="s">
        <v>219</v>
      </c>
      <c r="L1513">
        <v>1</v>
      </c>
    </row>
    <row r="1514" spans="1:15" ht="14.5" hidden="1" customHeight="1" x14ac:dyDescent="0.2">
      <c r="A1514">
        <f t="shared" si="23"/>
        <v>1508</v>
      </c>
      <c r="B1514" s="54">
        <v>2019</v>
      </c>
      <c r="C1514" s="17" t="s">
        <v>172</v>
      </c>
      <c r="D1514" t="s">
        <v>199</v>
      </c>
      <c r="E1514" s="22">
        <v>590</v>
      </c>
      <c r="G1514" t="s">
        <v>2002</v>
      </c>
      <c r="H1514" t="s">
        <v>144</v>
      </c>
      <c r="I1514" t="s">
        <v>299</v>
      </c>
      <c r="J1514" t="s">
        <v>105</v>
      </c>
      <c r="K1514" t="s">
        <v>214</v>
      </c>
      <c r="L1514">
        <v>1</v>
      </c>
    </row>
    <row r="1515" spans="1:15" ht="14.5" hidden="1" customHeight="1" x14ac:dyDescent="0.2">
      <c r="A1515">
        <f t="shared" si="23"/>
        <v>1509</v>
      </c>
      <c r="B1515" s="54">
        <v>2019</v>
      </c>
      <c r="C1515" s="17" t="s">
        <v>172</v>
      </c>
      <c r="D1515" t="s">
        <v>479</v>
      </c>
      <c r="E1515" s="22">
        <v>370</v>
      </c>
      <c r="H1515" t="s">
        <v>154</v>
      </c>
      <c r="I1515" t="s">
        <v>194</v>
      </c>
      <c r="J1515" t="s">
        <v>44</v>
      </c>
      <c r="K1515" t="s">
        <v>201</v>
      </c>
      <c r="L1515">
        <v>1</v>
      </c>
    </row>
    <row r="1516" spans="1:15" ht="14.5" hidden="1" customHeight="1" x14ac:dyDescent="0.2">
      <c r="A1516">
        <f t="shared" si="23"/>
        <v>1510</v>
      </c>
      <c r="B1516" s="54">
        <v>2019</v>
      </c>
      <c r="C1516" s="17" t="s">
        <v>172</v>
      </c>
      <c r="D1516" t="s">
        <v>479</v>
      </c>
      <c r="E1516" s="22">
        <v>2360</v>
      </c>
      <c r="H1516" t="s">
        <v>154</v>
      </c>
      <c r="I1516" t="s">
        <v>529</v>
      </c>
      <c r="J1516" t="s">
        <v>72</v>
      </c>
      <c r="K1516" t="s">
        <v>183</v>
      </c>
      <c r="L1516">
        <v>1</v>
      </c>
    </row>
    <row r="1517" spans="1:15" ht="14.5" hidden="1" customHeight="1" x14ac:dyDescent="0.2">
      <c r="A1517">
        <f t="shared" si="23"/>
        <v>1511</v>
      </c>
      <c r="B1517" s="54">
        <v>2019</v>
      </c>
      <c r="C1517" s="17" t="s">
        <v>258</v>
      </c>
      <c r="D1517" t="s">
        <v>397</v>
      </c>
      <c r="E1517" s="22">
        <v>670</v>
      </c>
      <c r="H1517" t="s">
        <v>151</v>
      </c>
      <c r="I1517" t="s">
        <v>279</v>
      </c>
      <c r="J1517" t="s">
        <v>105</v>
      </c>
      <c r="K1517" t="s">
        <v>214</v>
      </c>
      <c r="L1517">
        <v>1</v>
      </c>
    </row>
    <row r="1518" spans="1:15" ht="14.5" hidden="1" customHeight="1" x14ac:dyDescent="0.2">
      <c r="A1518">
        <f t="shared" si="23"/>
        <v>1512</v>
      </c>
      <c r="B1518" s="54">
        <v>2019</v>
      </c>
      <c r="C1518" s="17" t="s">
        <v>258</v>
      </c>
      <c r="D1518" t="s">
        <v>745</v>
      </c>
      <c r="E1518" s="22">
        <v>1480</v>
      </c>
      <c r="H1518" t="s">
        <v>143</v>
      </c>
      <c r="J1518" t="s">
        <v>101</v>
      </c>
      <c r="K1518" t="s">
        <v>201</v>
      </c>
      <c r="L1518">
        <v>1</v>
      </c>
    </row>
    <row r="1519" spans="1:15" ht="14.5" hidden="1" customHeight="1" x14ac:dyDescent="0.2">
      <c r="A1519">
        <f t="shared" si="23"/>
        <v>1513</v>
      </c>
      <c r="B1519" s="54">
        <v>2019</v>
      </c>
      <c r="C1519" s="17" t="s">
        <v>258</v>
      </c>
      <c r="D1519" t="s">
        <v>479</v>
      </c>
      <c r="E1519" s="22">
        <v>480</v>
      </c>
      <c r="H1519" t="s">
        <v>151</v>
      </c>
      <c r="I1519" t="s">
        <v>279</v>
      </c>
      <c r="J1519" t="s">
        <v>131</v>
      </c>
      <c r="K1519" t="s">
        <v>131</v>
      </c>
      <c r="L1519">
        <v>0</v>
      </c>
    </row>
    <row r="1520" spans="1:15" ht="14.5" hidden="1" customHeight="1" x14ac:dyDescent="0.2">
      <c r="A1520">
        <f t="shared" si="23"/>
        <v>1514</v>
      </c>
      <c r="B1520" s="54">
        <v>2019</v>
      </c>
      <c r="C1520" s="17" t="s">
        <v>258</v>
      </c>
      <c r="D1520" t="s">
        <v>479</v>
      </c>
      <c r="E1520" s="22">
        <v>700</v>
      </c>
      <c r="H1520" t="s">
        <v>154</v>
      </c>
      <c r="I1520" t="s">
        <v>194</v>
      </c>
      <c r="J1520" t="s">
        <v>13</v>
      </c>
      <c r="K1520" t="s">
        <v>201</v>
      </c>
      <c r="L1520">
        <v>1</v>
      </c>
    </row>
    <row r="1521" spans="1:12" ht="14.5" hidden="1" customHeight="1" x14ac:dyDescent="0.2">
      <c r="A1521">
        <f t="shared" si="23"/>
        <v>1515</v>
      </c>
      <c r="B1521" s="54">
        <v>2019</v>
      </c>
      <c r="C1521" s="17" t="s">
        <v>258</v>
      </c>
      <c r="D1521" t="s">
        <v>2908</v>
      </c>
      <c r="E1521" s="22">
        <v>150</v>
      </c>
      <c r="G1521" t="s">
        <v>1794</v>
      </c>
      <c r="H1521" t="s">
        <v>144</v>
      </c>
      <c r="I1521" t="s">
        <v>232</v>
      </c>
      <c r="J1521" t="s">
        <v>136</v>
      </c>
      <c r="K1521" t="s">
        <v>183</v>
      </c>
      <c r="L1521">
        <v>1</v>
      </c>
    </row>
    <row r="1522" spans="1:12" ht="14.5" hidden="1" customHeight="1" x14ac:dyDescent="0.2">
      <c r="A1522">
        <f t="shared" si="23"/>
        <v>1516</v>
      </c>
      <c r="B1522" s="54">
        <v>2019</v>
      </c>
      <c r="C1522" s="17" t="s">
        <v>258</v>
      </c>
      <c r="D1522" t="s">
        <v>2909</v>
      </c>
      <c r="E1522" s="22">
        <v>320</v>
      </c>
      <c r="G1522" t="s">
        <v>2910</v>
      </c>
      <c r="H1522" t="s">
        <v>144</v>
      </c>
      <c r="I1522" t="s">
        <v>232</v>
      </c>
      <c r="J1522" t="s">
        <v>47</v>
      </c>
      <c r="K1522" t="s">
        <v>195</v>
      </c>
      <c r="L1522">
        <v>1</v>
      </c>
    </row>
    <row r="1523" spans="1:12" ht="14.5" hidden="1" customHeight="1" x14ac:dyDescent="0.2">
      <c r="A1523">
        <f t="shared" si="23"/>
        <v>1517</v>
      </c>
      <c r="B1523" s="54">
        <v>2019</v>
      </c>
      <c r="C1523" s="17" t="s">
        <v>258</v>
      </c>
      <c r="D1523" t="s">
        <v>199</v>
      </c>
      <c r="E1523" s="22">
        <v>280</v>
      </c>
      <c r="H1523" t="s">
        <v>144</v>
      </c>
      <c r="I1523" t="s">
        <v>187</v>
      </c>
      <c r="J1523" t="s">
        <v>124</v>
      </c>
      <c r="K1523" t="s">
        <v>183</v>
      </c>
      <c r="L1523">
        <v>1</v>
      </c>
    </row>
    <row r="1524" spans="1:12" ht="14.5" hidden="1" customHeight="1" x14ac:dyDescent="0.2">
      <c r="A1524">
        <f t="shared" si="23"/>
        <v>1518</v>
      </c>
      <c r="B1524" s="54">
        <v>2019</v>
      </c>
      <c r="C1524" s="17" t="s">
        <v>258</v>
      </c>
      <c r="D1524" t="s">
        <v>2911</v>
      </c>
      <c r="E1524" s="22">
        <v>270</v>
      </c>
      <c r="H1524" t="s">
        <v>155</v>
      </c>
      <c r="J1524" t="s">
        <v>78</v>
      </c>
      <c r="K1524" t="s">
        <v>183</v>
      </c>
      <c r="L1524">
        <v>1</v>
      </c>
    </row>
    <row r="1525" spans="1:12" ht="14.5" hidden="1" customHeight="1" x14ac:dyDescent="0.2">
      <c r="A1525">
        <f t="shared" si="23"/>
        <v>1519</v>
      </c>
      <c r="B1525" s="54">
        <v>2019</v>
      </c>
      <c r="C1525" s="17" t="s">
        <v>258</v>
      </c>
      <c r="D1525" t="s">
        <v>1035</v>
      </c>
      <c r="E1525" s="22">
        <v>180</v>
      </c>
      <c r="G1525" t="s">
        <v>2912</v>
      </c>
      <c r="H1525" t="s">
        <v>144</v>
      </c>
      <c r="I1525" t="s">
        <v>232</v>
      </c>
      <c r="J1525" t="s">
        <v>77</v>
      </c>
      <c r="K1525" t="s">
        <v>177</v>
      </c>
      <c r="L1525">
        <v>0</v>
      </c>
    </row>
    <row r="1526" spans="1:12" ht="14.5" hidden="1" customHeight="1" x14ac:dyDescent="0.2">
      <c r="A1526">
        <f t="shared" si="23"/>
        <v>1520</v>
      </c>
      <c r="B1526" s="54">
        <v>2019</v>
      </c>
      <c r="C1526" s="17" t="s">
        <v>258</v>
      </c>
      <c r="D1526" t="s">
        <v>199</v>
      </c>
      <c r="E1526" s="22">
        <v>150</v>
      </c>
      <c r="F1526" s="16">
        <v>0.5</v>
      </c>
      <c r="G1526" t="s">
        <v>904</v>
      </c>
      <c r="H1526" t="s">
        <v>144</v>
      </c>
      <c r="I1526" t="s">
        <v>187</v>
      </c>
      <c r="J1526" t="s">
        <v>55</v>
      </c>
      <c r="K1526" t="s">
        <v>214</v>
      </c>
      <c r="L1526">
        <v>1</v>
      </c>
    </row>
    <row r="1527" spans="1:12" ht="14.5" hidden="1" customHeight="1" x14ac:dyDescent="0.2">
      <c r="A1527">
        <f t="shared" si="23"/>
        <v>1521</v>
      </c>
      <c r="B1527" s="54">
        <v>2019</v>
      </c>
      <c r="C1527" s="17" t="s">
        <v>258</v>
      </c>
      <c r="D1527" t="s">
        <v>2913</v>
      </c>
      <c r="E1527" s="22">
        <v>170</v>
      </c>
      <c r="H1527" t="s">
        <v>152</v>
      </c>
      <c r="I1527" t="s">
        <v>257</v>
      </c>
      <c r="J1527" t="s">
        <v>84</v>
      </c>
      <c r="K1527" t="s">
        <v>201</v>
      </c>
      <c r="L1527">
        <v>1</v>
      </c>
    </row>
    <row r="1528" spans="1:12" ht="14.5" hidden="1" customHeight="1" x14ac:dyDescent="0.2">
      <c r="A1528">
        <f t="shared" si="23"/>
        <v>1522</v>
      </c>
      <c r="B1528" s="54">
        <v>2019</v>
      </c>
      <c r="C1528" s="17" t="s">
        <v>258</v>
      </c>
      <c r="D1528" t="s">
        <v>1035</v>
      </c>
      <c r="E1528" s="22">
        <v>1860</v>
      </c>
      <c r="G1528" t="s">
        <v>2914</v>
      </c>
      <c r="H1528" t="s">
        <v>144</v>
      </c>
      <c r="I1528" t="s">
        <v>273</v>
      </c>
      <c r="J1528" t="s">
        <v>52</v>
      </c>
      <c r="K1528" t="s">
        <v>201</v>
      </c>
      <c r="L1528">
        <v>0</v>
      </c>
    </row>
    <row r="1529" spans="1:12" ht="14.5" hidden="1" customHeight="1" x14ac:dyDescent="0.2">
      <c r="A1529">
        <f t="shared" si="23"/>
        <v>1523</v>
      </c>
      <c r="B1529" s="73">
        <v>2019</v>
      </c>
      <c r="C1529" s="17" t="s">
        <v>258</v>
      </c>
      <c r="D1529" s="17" t="s">
        <v>479</v>
      </c>
      <c r="E1529" s="24">
        <v>400</v>
      </c>
      <c r="F1529" s="18"/>
      <c r="G1529" s="17"/>
      <c r="H1529" s="17" t="s">
        <v>144</v>
      </c>
      <c r="I1529" s="17" t="s">
        <v>187</v>
      </c>
      <c r="J1529" s="17" t="s">
        <v>64</v>
      </c>
      <c r="K1529" s="17" t="s">
        <v>219</v>
      </c>
      <c r="L1529" s="17">
        <v>1</v>
      </c>
    </row>
    <row r="1530" spans="1:12" ht="14.5" hidden="1" customHeight="1" x14ac:dyDescent="0.2">
      <c r="A1530">
        <f t="shared" si="23"/>
        <v>1524</v>
      </c>
      <c r="B1530" s="73">
        <v>2019</v>
      </c>
      <c r="C1530" s="17" t="s">
        <v>258</v>
      </c>
      <c r="D1530" s="17" t="s">
        <v>1035</v>
      </c>
      <c r="E1530" s="24">
        <v>170</v>
      </c>
      <c r="F1530" s="18"/>
      <c r="G1530" s="17"/>
      <c r="H1530" s="17" t="s">
        <v>144</v>
      </c>
      <c r="I1530" s="17" t="s">
        <v>197</v>
      </c>
      <c r="J1530" s="17" t="s">
        <v>84</v>
      </c>
      <c r="K1530" s="17" t="s">
        <v>201</v>
      </c>
      <c r="L1530" s="17">
        <v>1</v>
      </c>
    </row>
    <row r="1531" spans="1:12" ht="14.5" hidden="1" customHeight="1" x14ac:dyDescent="0.2">
      <c r="A1531">
        <f t="shared" si="23"/>
        <v>1525</v>
      </c>
      <c r="B1531" s="73">
        <v>2019</v>
      </c>
      <c r="C1531" s="17" t="s">
        <v>258</v>
      </c>
      <c r="D1531" s="17" t="s">
        <v>397</v>
      </c>
      <c r="E1531" s="24">
        <v>110</v>
      </c>
      <c r="F1531" s="18"/>
      <c r="G1531" s="17"/>
      <c r="H1531" s="17" t="s">
        <v>153</v>
      </c>
      <c r="I1531" s="17"/>
      <c r="J1531" s="17" t="s">
        <v>130</v>
      </c>
      <c r="K1531" s="17" t="s">
        <v>214</v>
      </c>
      <c r="L1531" s="17">
        <v>1</v>
      </c>
    </row>
    <row r="1532" spans="1:12" ht="14.5" hidden="1" customHeight="1" x14ac:dyDescent="0.2">
      <c r="A1532">
        <f t="shared" si="23"/>
        <v>1526</v>
      </c>
      <c r="B1532" s="54">
        <v>2019</v>
      </c>
      <c r="C1532" s="17" t="s">
        <v>179</v>
      </c>
      <c r="D1532" t="s">
        <v>397</v>
      </c>
      <c r="E1532" s="22">
        <v>230</v>
      </c>
      <c r="G1532" t="s">
        <v>2430</v>
      </c>
      <c r="H1532" t="s">
        <v>145</v>
      </c>
      <c r="J1532" t="s">
        <v>131</v>
      </c>
      <c r="K1532" t="s">
        <v>131</v>
      </c>
      <c r="L1532">
        <v>0</v>
      </c>
    </row>
    <row r="1533" spans="1:12" ht="14.5" hidden="1" customHeight="1" x14ac:dyDescent="0.2">
      <c r="A1533">
        <f t="shared" si="23"/>
        <v>1527</v>
      </c>
      <c r="B1533" s="54">
        <v>2019</v>
      </c>
      <c r="C1533" s="17" t="s">
        <v>179</v>
      </c>
      <c r="D1533" t="s">
        <v>397</v>
      </c>
      <c r="E1533" s="22">
        <v>210</v>
      </c>
      <c r="G1533" t="s">
        <v>2915</v>
      </c>
      <c r="H1533" t="s">
        <v>154</v>
      </c>
      <c r="I1533" t="s">
        <v>529</v>
      </c>
      <c r="J1533" t="s">
        <v>130</v>
      </c>
      <c r="K1533" t="s">
        <v>214</v>
      </c>
      <c r="L1533">
        <v>1</v>
      </c>
    </row>
    <row r="1534" spans="1:12" ht="14.5" hidden="1" customHeight="1" x14ac:dyDescent="0.2">
      <c r="A1534">
        <f t="shared" si="23"/>
        <v>1528</v>
      </c>
      <c r="B1534" s="54">
        <v>2019</v>
      </c>
      <c r="C1534" s="17" t="s">
        <v>179</v>
      </c>
      <c r="D1534" t="s">
        <v>397</v>
      </c>
      <c r="E1534" s="22">
        <v>220</v>
      </c>
      <c r="H1534" t="s">
        <v>154</v>
      </c>
      <c r="I1534" t="s">
        <v>194</v>
      </c>
      <c r="J1534" t="s">
        <v>13</v>
      </c>
      <c r="K1534" t="s">
        <v>201</v>
      </c>
      <c r="L1534">
        <v>1</v>
      </c>
    </row>
    <row r="1535" spans="1:12" ht="14.5" hidden="1" customHeight="1" x14ac:dyDescent="0.2">
      <c r="A1535">
        <f t="shared" si="23"/>
        <v>1529</v>
      </c>
      <c r="B1535" s="54">
        <v>2019</v>
      </c>
      <c r="C1535" s="17" t="s">
        <v>179</v>
      </c>
      <c r="D1535" t="s">
        <v>1035</v>
      </c>
      <c r="E1535" s="22">
        <v>270</v>
      </c>
      <c r="H1535" t="s">
        <v>144</v>
      </c>
      <c r="I1535" t="s">
        <v>299</v>
      </c>
      <c r="J1535" t="s">
        <v>130</v>
      </c>
      <c r="K1535" t="s">
        <v>214</v>
      </c>
      <c r="L1535">
        <v>1</v>
      </c>
    </row>
    <row r="1536" spans="1:12" ht="14.5" hidden="1" customHeight="1" x14ac:dyDescent="0.2">
      <c r="A1536">
        <f t="shared" si="23"/>
        <v>1530</v>
      </c>
      <c r="B1536" s="54">
        <v>2019</v>
      </c>
      <c r="C1536" s="17" t="s">
        <v>179</v>
      </c>
      <c r="D1536" t="s">
        <v>1035</v>
      </c>
      <c r="E1536" s="22">
        <v>220</v>
      </c>
      <c r="H1536" t="s">
        <v>154</v>
      </c>
      <c r="I1536" t="s">
        <v>194</v>
      </c>
      <c r="J1536" t="s">
        <v>65</v>
      </c>
      <c r="K1536" t="s">
        <v>214</v>
      </c>
      <c r="L1536">
        <v>1</v>
      </c>
    </row>
    <row r="1537" spans="1:12" ht="14.5" hidden="1" customHeight="1" x14ac:dyDescent="0.2">
      <c r="A1537">
        <f t="shared" si="23"/>
        <v>1531</v>
      </c>
      <c r="B1537" s="54">
        <v>2019</v>
      </c>
      <c r="C1537" s="17" t="s">
        <v>179</v>
      </c>
      <c r="D1537" t="s">
        <v>1035</v>
      </c>
      <c r="E1537" s="22">
        <v>240</v>
      </c>
      <c r="H1537" t="s">
        <v>155</v>
      </c>
      <c r="J1537" t="s">
        <v>139</v>
      </c>
      <c r="K1537" t="s">
        <v>219</v>
      </c>
      <c r="L1537">
        <v>1</v>
      </c>
    </row>
    <row r="1538" spans="1:12" ht="14.5" hidden="1" customHeight="1" x14ac:dyDescent="0.2">
      <c r="A1538">
        <f t="shared" si="23"/>
        <v>1532</v>
      </c>
      <c r="B1538" s="54">
        <v>2019</v>
      </c>
      <c r="C1538" s="17" t="s">
        <v>179</v>
      </c>
      <c r="D1538" t="s">
        <v>1035</v>
      </c>
      <c r="E1538" s="22">
        <v>810</v>
      </c>
      <c r="H1538" t="s">
        <v>144</v>
      </c>
      <c r="I1538" t="s">
        <v>197</v>
      </c>
      <c r="J1538" t="s">
        <v>48</v>
      </c>
      <c r="K1538" t="s">
        <v>219</v>
      </c>
      <c r="L1538">
        <v>1</v>
      </c>
    </row>
    <row r="1539" spans="1:12" ht="14.5" hidden="1" customHeight="1" x14ac:dyDescent="0.2">
      <c r="A1539">
        <f t="shared" si="23"/>
        <v>1533</v>
      </c>
      <c r="B1539" s="54">
        <v>2019</v>
      </c>
      <c r="C1539" s="17" t="s">
        <v>179</v>
      </c>
      <c r="D1539" t="s">
        <v>875</v>
      </c>
      <c r="E1539" s="22">
        <v>770</v>
      </c>
      <c r="H1539" t="s">
        <v>144</v>
      </c>
      <c r="I1539" t="s">
        <v>197</v>
      </c>
      <c r="J1539" t="s">
        <v>88</v>
      </c>
      <c r="K1539" t="s">
        <v>219</v>
      </c>
      <c r="L1539">
        <v>1</v>
      </c>
    </row>
    <row r="1540" spans="1:12" ht="14.5" hidden="1" customHeight="1" x14ac:dyDescent="0.2">
      <c r="A1540">
        <f t="shared" si="23"/>
        <v>1534</v>
      </c>
      <c r="B1540" s="54">
        <v>2019</v>
      </c>
      <c r="C1540" s="17" t="s">
        <v>179</v>
      </c>
      <c r="D1540" t="s">
        <v>175</v>
      </c>
      <c r="E1540" s="22">
        <v>180</v>
      </c>
      <c r="H1540" t="s">
        <v>144</v>
      </c>
      <c r="I1540" t="s">
        <v>232</v>
      </c>
      <c r="J1540" t="s">
        <v>53</v>
      </c>
      <c r="K1540" t="s">
        <v>183</v>
      </c>
      <c r="L1540">
        <v>1</v>
      </c>
    </row>
    <row r="1541" spans="1:12" ht="14.5" hidden="1" customHeight="1" x14ac:dyDescent="0.2">
      <c r="A1541">
        <f t="shared" si="23"/>
        <v>1535</v>
      </c>
      <c r="B1541" s="54">
        <v>2019</v>
      </c>
      <c r="C1541" s="17" t="s">
        <v>179</v>
      </c>
      <c r="D1541" t="s">
        <v>199</v>
      </c>
      <c r="E1541" s="22">
        <v>170</v>
      </c>
      <c r="G1541" t="s">
        <v>2916</v>
      </c>
      <c r="H1541" t="s">
        <v>144</v>
      </c>
      <c r="I1541" t="s">
        <v>299</v>
      </c>
      <c r="J1541" t="s">
        <v>55</v>
      </c>
      <c r="K1541" t="s">
        <v>214</v>
      </c>
      <c r="L1541">
        <v>1</v>
      </c>
    </row>
    <row r="1542" spans="1:12" ht="14.5" hidden="1" customHeight="1" x14ac:dyDescent="0.2">
      <c r="A1542">
        <f t="shared" si="23"/>
        <v>1536</v>
      </c>
      <c r="B1542" s="54">
        <v>2019</v>
      </c>
      <c r="C1542" s="17" t="s">
        <v>179</v>
      </c>
      <c r="D1542" t="s">
        <v>397</v>
      </c>
      <c r="E1542" s="22">
        <v>150</v>
      </c>
      <c r="H1542" t="s">
        <v>151</v>
      </c>
      <c r="I1542" t="s">
        <v>279</v>
      </c>
      <c r="J1542" t="s">
        <v>82</v>
      </c>
      <c r="K1542" t="s">
        <v>183</v>
      </c>
      <c r="L1542">
        <v>1</v>
      </c>
    </row>
    <row r="1543" spans="1:12" ht="14.5" hidden="1" customHeight="1" x14ac:dyDescent="0.2">
      <c r="A1543">
        <f t="shared" ref="A1543:A1606" si="24">ROW()-6</f>
        <v>1537</v>
      </c>
      <c r="B1543" s="54">
        <v>2019</v>
      </c>
      <c r="C1543" s="17" t="s">
        <v>179</v>
      </c>
      <c r="D1543" t="s">
        <v>815</v>
      </c>
      <c r="E1543" s="22">
        <v>600</v>
      </c>
      <c r="G1543" t="s">
        <v>2917</v>
      </c>
      <c r="H1543" t="s">
        <v>151</v>
      </c>
      <c r="I1543" t="s">
        <v>279</v>
      </c>
      <c r="J1543" t="s">
        <v>89</v>
      </c>
      <c r="K1543" t="s">
        <v>219</v>
      </c>
      <c r="L1543">
        <v>1</v>
      </c>
    </row>
    <row r="1544" spans="1:12" ht="14.5" hidden="1" customHeight="1" x14ac:dyDescent="0.2">
      <c r="A1544">
        <f t="shared" si="24"/>
        <v>1538</v>
      </c>
      <c r="B1544" s="54">
        <v>2019</v>
      </c>
      <c r="C1544" s="17" t="s">
        <v>179</v>
      </c>
      <c r="D1544" s="17" t="s">
        <v>479</v>
      </c>
      <c r="E1544" s="22">
        <v>130</v>
      </c>
      <c r="H1544" t="s">
        <v>154</v>
      </c>
      <c r="I1544" t="s">
        <v>194</v>
      </c>
      <c r="J1544" t="s">
        <v>59</v>
      </c>
      <c r="K1544" t="s">
        <v>219</v>
      </c>
      <c r="L1544">
        <v>1</v>
      </c>
    </row>
    <row r="1545" spans="1:12" ht="14.5" hidden="1" customHeight="1" x14ac:dyDescent="0.2">
      <c r="A1545">
        <f t="shared" si="24"/>
        <v>1539</v>
      </c>
      <c r="B1545" s="54">
        <v>2019</v>
      </c>
      <c r="C1545" s="17" t="s">
        <v>179</v>
      </c>
      <c r="D1545" t="s">
        <v>189</v>
      </c>
      <c r="E1545" s="22">
        <v>140</v>
      </c>
      <c r="F1545" s="16">
        <v>0.5</v>
      </c>
      <c r="G1545" t="s">
        <v>2918</v>
      </c>
      <c r="H1545" t="s">
        <v>144</v>
      </c>
      <c r="I1545" t="s">
        <v>187</v>
      </c>
      <c r="J1545" t="s">
        <v>77</v>
      </c>
      <c r="K1545" t="s">
        <v>177</v>
      </c>
      <c r="L1545">
        <v>0</v>
      </c>
    </row>
    <row r="1546" spans="1:12" ht="14.5" hidden="1" customHeight="1" x14ac:dyDescent="0.2">
      <c r="A1546">
        <f t="shared" si="24"/>
        <v>1540</v>
      </c>
      <c r="B1546" s="54">
        <v>2019</v>
      </c>
      <c r="C1546" s="17" t="s">
        <v>179</v>
      </c>
      <c r="D1546" s="17" t="s">
        <v>1093</v>
      </c>
      <c r="E1546" s="22">
        <v>260</v>
      </c>
      <c r="H1546" t="s">
        <v>154</v>
      </c>
      <c r="I1546" t="s">
        <v>194</v>
      </c>
      <c r="J1546" t="s">
        <v>23</v>
      </c>
      <c r="K1546" t="s">
        <v>183</v>
      </c>
      <c r="L1546">
        <v>1</v>
      </c>
    </row>
    <row r="1547" spans="1:12" ht="14.5" hidden="1" customHeight="1" x14ac:dyDescent="0.2">
      <c r="A1547">
        <f t="shared" si="24"/>
        <v>1541</v>
      </c>
      <c r="B1547" s="54">
        <v>2019</v>
      </c>
      <c r="C1547" s="17" t="s">
        <v>179</v>
      </c>
      <c r="D1547" s="17" t="s">
        <v>479</v>
      </c>
      <c r="E1547" s="22">
        <v>540</v>
      </c>
      <c r="H1547" t="s">
        <v>154</v>
      </c>
      <c r="I1547" t="s">
        <v>194</v>
      </c>
      <c r="J1547" t="s">
        <v>89</v>
      </c>
      <c r="K1547" t="s">
        <v>219</v>
      </c>
      <c r="L1547">
        <v>1</v>
      </c>
    </row>
    <row r="1548" spans="1:12" ht="15.75" hidden="1" customHeight="1" x14ac:dyDescent="0.2">
      <c r="A1548">
        <f t="shared" si="24"/>
        <v>1542</v>
      </c>
      <c r="B1548" s="54">
        <v>2019</v>
      </c>
      <c r="C1548" s="17" t="s">
        <v>179</v>
      </c>
      <c r="D1548" t="s">
        <v>397</v>
      </c>
      <c r="E1548" s="22">
        <v>150</v>
      </c>
      <c r="H1548" t="s">
        <v>154</v>
      </c>
      <c r="I1548" t="s">
        <v>194</v>
      </c>
      <c r="J1548" t="s">
        <v>84</v>
      </c>
      <c r="K1548" t="s">
        <v>201</v>
      </c>
      <c r="L1548">
        <v>1</v>
      </c>
    </row>
    <row r="1549" spans="1:12" ht="14.5" hidden="1" customHeight="1" x14ac:dyDescent="0.2">
      <c r="A1549">
        <f t="shared" si="24"/>
        <v>1543</v>
      </c>
      <c r="B1549" s="54">
        <v>2019</v>
      </c>
      <c r="C1549" s="17" t="s">
        <v>184</v>
      </c>
      <c r="D1549" t="s">
        <v>444</v>
      </c>
      <c r="E1549" s="22">
        <v>540</v>
      </c>
      <c r="G1549" t="s">
        <v>2919</v>
      </c>
      <c r="H1549" t="s">
        <v>149</v>
      </c>
      <c r="I1549" t="s">
        <v>238</v>
      </c>
      <c r="J1549" t="s">
        <v>122</v>
      </c>
      <c r="K1549" t="s">
        <v>201</v>
      </c>
      <c r="L1549">
        <v>1</v>
      </c>
    </row>
    <row r="1550" spans="1:12" ht="14.5" hidden="1" customHeight="1" x14ac:dyDescent="0.2">
      <c r="A1550">
        <f t="shared" si="24"/>
        <v>1544</v>
      </c>
      <c r="B1550" s="54">
        <v>2019</v>
      </c>
      <c r="C1550" s="17" t="s">
        <v>184</v>
      </c>
      <c r="D1550" t="s">
        <v>875</v>
      </c>
      <c r="E1550" s="22">
        <v>1290</v>
      </c>
      <c r="F1550" s="16">
        <v>0.7</v>
      </c>
      <c r="G1550" t="s">
        <v>2920</v>
      </c>
      <c r="H1550" t="s">
        <v>144</v>
      </c>
      <c r="I1550" t="s">
        <v>197</v>
      </c>
      <c r="J1550" t="s">
        <v>93</v>
      </c>
      <c r="K1550" t="s">
        <v>201</v>
      </c>
      <c r="L1550">
        <v>1</v>
      </c>
    </row>
    <row r="1551" spans="1:12" ht="14.5" hidden="1" customHeight="1" x14ac:dyDescent="0.2">
      <c r="A1551">
        <f t="shared" si="24"/>
        <v>1545</v>
      </c>
      <c r="B1551" s="54">
        <v>2019</v>
      </c>
      <c r="C1551" s="17" t="s">
        <v>184</v>
      </c>
      <c r="D1551" t="s">
        <v>745</v>
      </c>
      <c r="E1551" s="22">
        <v>160</v>
      </c>
      <c r="G1551" t="s">
        <v>2921</v>
      </c>
      <c r="H1551" t="s">
        <v>144</v>
      </c>
      <c r="I1551" t="s">
        <v>299</v>
      </c>
      <c r="J1551" t="s">
        <v>53</v>
      </c>
      <c r="K1551" t="s">
        <v>183</v>
      </c>
      <c r="L1551">
        <v>1</v>
      </c>
    </row>
    <row r="1552" spans="1:12" ht="14.5" hidden="1" customHeight="1" x14ac:dyDescent="0.2">
      <c r="A1552">
        <f t="shared" si="24"/>
        <v>1546</v>
      </c>
      <c r="B1552" s="54">
        <v>2019</v>
      </c>
      <c r="C1552" s="17" t="s">
        <v>184</v>
      </c>
      <c r="D1552" t="s">
        <v>2922</v>
      </c>
      <c r="E1552" s="22">
        <v>570</v>
      </c>
      <c r="G1552" t="s">
        <v>2923</v>
      </c>
      <c r="H1552" t="s">
        <v>144</v>
      </c>
      <c r="I1552" t="s">
        <v>273</v>
      </c>
      <c r="J1552" t="s">
        <v>78</v>
      </c>
      <c r="K1552" t="s">
        <v>183</v>
      </c>
      <c r="L1552">
        <v>1</v>
      </c>
    </row>
    <row r="1553" spans="1:15" ht="14.5" hidden="1" customHeight="1" x14ac:dyDescent="0.2">
      <c r="A1553">
        <f t="shared" si="24"/>
        <v>1547</v>
      </c>
      <c r="B1553" s="54">
        <v>2019</v>
      </c>
      <c r="C1553" s="17" t="s">
        <v>184</v>
      </c>
      <c r="D1553" t="s">
        <v>444</v>
      </c>
      <c r="E1553" s="22">
        <v>160</v>
      </c>
      <c r="G1553" t="s">
        <v>2924</v>
      </c>
      <c r="H1553" t="s">
        <v>151</v>
      </c>
      <c r="I1553" t="s">
        <v>279</v>
      </c>
      <c r="J1553" t="s">
        <v>2628</v>
      </c>
      <c r="K1553" t="s">
        <v>195</v>
      </c>
      <c r="L1553">
        <v>1</v>
      </c>
    </row>
    <row r="1554" spans="1:15" ht="14.5" hidden="1" customHeight="1" x14ac:dyDescent="0.2">
      <c r="A1554">
        <f t="shared" si="24"/>
        <v>1548</v>
      </c>
      <c r="B1554" s="54">
        <v>2019</v>
      </c>
      <c r="C1554" s="17" t="s">
        <v>184</v>
      </c>
      <c r="D1554" t="s">
        <v>444</v>
      </c>
      <c r="E1554" s="22">
        <v>240</v>
      </c>
      <c r="H1554" t="s">
        <v>142</v>
      </c>
      <c r="J1554" t="s">
        <v>63</v>
      </c>
      <c r="K1554" t="s">
        <v>201</v>
      </c>
      <c r="L1554">
        <v>1</v>
      </c>
    </row>
    <row r="1555" spans="1:15" ht="14.5" hidden="1" customHeight="1" x14ac:dyDescent="0.2">
      <c r="A1555">
        <f t="shared" si="24"/>
        <v>1549</v>
      </c>
      <c r="B1555" s="54">
        <v>2019</v>
      </c>
      <c r="C1555" s="17" t="s">
        <v>184</v>
      </c>
      <c r="D1555" t="s">
        <v>444</v>
      </c>
      <c r="E1555" s="22">
        <v>130</v>
      </c>
      <c r="H1555" t="s">
        <v>154</v>
      </c>
      <c r="I1555" t="s">
        <v>271</v>
      </c>
      <c r="J1555" t="s">
        <v>22</v>
      </c>
      <c r="K1555" t="s">
        <v>195</v>
      </c>
      <c r="L1555">
        <v>1</v>
      </c>
    </row>
    <row r="1556" spans="1:15" ht="14.5" hidden="1" customHeight="1" x14ac:dyDescent="0.2">
      <c r="A1556">
        <f t="shared" si="24"/>
        <v>1550</v>
      </c>
      <c r="B1556" s="54">
        <v>2019</v>
      </c>
      <c r="C1556" s="17" t="s">
        <v>184</v>
      </c>
      <c r="D1556" t="s">
        <v>397</v>
      </c>
      <c r="E1556" s="22">
        <v>190</v>
      </c>
      <c r="H1556" t="s">
        <v>154</v>
      </c>
      <c r="I1556" t="s">
        <v>194</v>
      </c>
      <c r="J1556" t="s">
        <v>130</v>
      </c>
      <c r="K1556" t="s">
        <v>214</v>
      </c>
      <c r="L1556">
        <v>1</v>
      </c>
    </row>
    <row r="1557" spans="1:15" ht="14.5" hidden="1" customHeight="1" x14ac:dyDescent="0.2">
      <c r="A1557">
        <f t="shared" si="24"/>
        <v>1551</v>
      </c>
      <c r="B1557" s="54">
        <v>2019</v>
      </c>
      <c r="C1557" s="17" t="s">
        <v>184</v>
      </c>
      <c r="D1557" t="s">
        <v>449</v>
      </c>
      <c r="E1557" s="22">
        <v>500</v>
      </c>
      <c r="H1557" t="s">
        <v>154</v>
      </c>
      <c r="I1557" t="s">
        <v>529</v>
      </c>
      <c r="J1557" t="s">
        <v>46</v>
      </c>
      <c r="K1557" t="s">
        <v>219</v>
      </c>
      <c r="L1557">
        <v>1</v>
      </c>
    </row>
    <row r="1558" spans="1:15" ht="14.5" hidden="1" customHeight="1" x14ac:dyDescent="0.2">
      <c r="A1558">
        <f t="shared" si="24"/>
        <v>1552</v>
      </c>
      <c r="B1558" s="54">
        <v>2019</v>
      </c>
      <c r="C1558" s="17" t="s">
        <v>184</v>
      </c>
      <c r="D1558" t="s">
        <v>1035</v>
      </c>
      <c r="E1558" s="22">
        <v>260</v>
      </c>
      <c r="H1558" t="s">
        <v>155</v>
      </c>
      <c r="J1558" t="s">
        <v>2449</v>
      </c>
      <c r="K1558" t="s">
        <v>183</v>
      </c>
      <c r="L1558">
        <v>1</v>
      </c>
    </row>
    <row r="1559" spans="1:15" ht="14.5" hidden="1" customHeight="1" x14ac:dyDescent="0.2">
      <c r="A1559">
        <f t="shared" si="24"/>
        <v>1553</v>
      </c>
      <c r="B1559" s="54">
        <v>2019</v>
      </c>
      <c r="C1559" s="17" t="s">
        <v>184</v>
      </c>
      <c r="D1559" t="s">
        <v>399</v>
      </c>
      <c r="E1559" s="22">
        <v>960</v>
      </c>
      <c r="H1559" t="s">
        <v>144</v>
      </c>
      <c r="I1559" t="s">
        <v>273</v>
      </c>
      <c r="J1559" t="s">
        <v>93</v>
      </c>
      <c r="K1559" t="s">
        <v>201</v>
      </c>
      <c r="L1559">
        <v>1</v>
      </c>
    </row>
    <row r="1560" spans="1:15" ht="14.5" hidden="1" customHeight="1" x14ac:dyDescent="0.2">
      <c r="A1560">
        <f t="shared" si="24"/>
        <v>1554</v>
      </c>
      <c r="B1560" s="54">
        <v>2019</v>
      </c>
      <c r="C1560" s="17" t="s">
        <v>184</v>
      </c>
      <c r="D1560" t="s">
        <v>875</v>
      </c>
      <c r="E1560" s="22">
        <v>800</v>
      </c>
      <c r="H1560" t="s">
        <v>144</v>
      </c>
      <c r="I1560" t="s">
        <v>197</v>
      </c>
      <c r="J1560" t="s">
        <v>97</v>
      </c>
      <c r="K1560" t="s">
        <v>183</v>
      </c>
      <c r="L1560">
        <v>1</v>
      </c>
    </row>
    <row r="1561" spans="1:15" ht="14.5" hidden="1" customHeight="1" x14ac:dyDescent="0.2">
      <c r="A1561">
        <f t="shared" si="24"/>
        <v>1555</v>
      </c>
      <c r="B1561" s="54">
        <v>2019</v>
      </c>
      <c r="C1561" s="17" t="s">
        <v>184</v>
      </c>
      <c r="D1561" t="s">
        <v>397</v>
      </c>
      <c r="E1561" s="22">
        <v>110</v>
      </c>
      <c r="H1561" t="s">
        <v>151</v>
      </c>
      <c r="I1561" t="s">
        <v>279</v>
      </c>
      <c r="J1561" t="s">
        <v>108</v>
      </c>
      <c r="K1561" t="s">
        <v>183</v>
      </c>
      <c r="L1561">
        <v>1</v>
      </c>
    </row>
    <row r="1562" spans="1:15" ht="14.5" hidden="1" customHeight="1" x14ac:dyDescent="0.2">
      <c r="A1562">
        <f t="shared" si="24"/>
        <v>1556</v>
      </c>
      <c r="B1562" s="54">
        <v>2019</v>
      </c>
      <c r="C1562" s="17" t="s">
        <v>184</v>
      </c>
      <c r="D1562" t="s">
        <v>397</v>
      </c>
      <c r="E1562" s="22">
        <v>100</v>
      </c>
      <c r="G1562" t="s">
        <v>2925</v>
      </c>
      <c r="H1562" t="s">
        <v>151</v>
      </c>
      <c r="I1562" t="s">
        <v>279</v>
      </c>
      <c r="J1562" t="s">
        <v>115</v>
      </c>
      <c r="K1562" t="s">
        <v>201</v>
      </c>
      <c r="L1562">
        <v>1</v>
      </c>
    </row>
    <row r="1563" spans="1:15" ht="14.5" hidden="1" customHeight="1" x14ac:dyDescent="0.2">
      <c r="A1563">
        <f t="shared" si="24"/>
        <v>1557</v>
      </c>
      <c r="B1563" s="54">
        <v>2019</v>
      </c>
      <c r="C1563" s="17" t="s">
        <v>184</v>
      </c>
      <c r="D1563" t="s">
        <v>449</v>
      </c>
      <c r="E1563" s="22">
        <v>420</v>
      </c>
      <c r="H1563" t="s">
        <v>154</v>
      </c>
      <c r="I1563" t="s">
        <v>529</v>
      </c>
      <c r="J1563" t="s">
        <v>101</v>
      </c>
      <c r="K1563" t="s">
        <v>201</v>
      </c>
      <c r="L1563">
        <v>1</v>
      </c>
    </row>
    <row r="1564" spans="1:15" ht="14.5" hidden="1" customHeight="1" x14ac:dyDescent="0.2">
      <c r="A1564">
        <f t="shared" si="24"/>
        <v>1558</v>
      </c>
      <c r="B1564" s="54">
        <v>2019</v>
      </c>
      <c r="C1564" s="17" t="s">
        <v>184</v>
      </c>
      <c r="D1564" t="s">
        <v>397</v>
      </c>
      <c r="E1564" s="22">
        <v>200</v>
      </c>
      <c r="H1564" t="s">
        <v>145</v>
      </c>
      <c r="J1564" t="s">
        <v>130</v>
      </c>
      <c r="K1564" t="s">
        <v>214</v>
      </c>
      <c r="L1564">
        <v>1</v>
      </c>
    </row>
    <row r="1565" spans="1:15" ht="14.5" hidden="1" customHeight="1" x14ac:dyDescent="0.2">
      <c r="A1565">
        <f t="shared" si="24"/>
        <v>1559</v>
      </c>
      <c r="B1565" s="54">
        <v>2019</v>
      </c>
      <c r="C1565" s="17" t="s">
        <v>184</v>
      </c>
      <c r="D1565" t="s">
        <v>397</v>
      </c>
      <c r="E1565" s="22">
        <v>140</v>
      </c>
      <c r="G1565" t="s">
        <v>2926</v>
      </c>
      <c r="H1565" t="s">
        <v>142</v>
      </c>
      <c r="J1565" t="s">
        <v>108</v>
      </c>
      <c r="K1565" t="s">
        <v>183</v>
      </c>
      <c r="L1565">
        <v>1</v>
      </c>
    </row>
    <row r="1566" spans="1:15" ht="14.5" hidden="1" customHeight="1" x14ac:dyDescent="0.2">
      <c r="A1566">
        <f t="shared" si="24"/>
        <v>1560</v>
      </c>
      <c r="B1566" s="54">
        <v>2019</v>
      </c>
      <c r="C1566" s="17" t="s">
        <v>184</v>
      </c>
      <c r="D1566" t="s">
        <v>397</v>
      </c>
      <c r="E1566" s="22">
        <v>220</v>
      </c>
      <c r="H1566" t="s">
        <v>154</v>
      </c>
      <c r="I1566" t="s">
        <v>194</v>
      </c>
      <c r="J1566" t="s">
        <v>78</v>
      </c>
      <c r="K1566" t="s">
        <v>183</v>
      </c>
      <c r="L1566">
        <v>1</v>
      </c>
    </row>
    <row r="1567" spans="1:15" ht="14.5" hidden="1" customHeight="1" x14ac:dyDescent="0.2">
      <c r="A1567">
        <f t="shared" si="24"/>
        <v>1561</v>
      </c>
      <c r="B1567" s="54">
        <v>2019</v>
      </c>
      <c r="C1567" s="17" t="s">
        <v>184</v>
      </c>
      <c r="D1567" t="s">
        <v>449</v>
      </c>
      <c r="E1567" s="22">
        <v>230</v>
      </c>
      <c r="H1567" t="s">
        <v>142</v>
      </c>
      <c r="J1567" t="s">
        <v>134</v>
      </c>
      <c r="K1567" t="s">
        <v>201</v>
      </c>
      <c r="L1567">
        <v>1</v>
      </c>
    </row>
    <row r="1568" spans="1:15" s="17" customFormat="1" ht="14.5" hidden="1" customHeight="1" x14ac:dyDescent="0.2">
      <c r="A1568">
        <f t="shared" si="24"/>
        <v>1562</v>
      </c>
      <c r="B1568" s="54">
        <v>2019</v>
      </c>
      <c r="C1568" s="17" t="s">
        <v>184</v>
      </c>
      <c r="D1568" t="s">
        <v>2927</v>
      </c>
      <c r="E1568" s="22">
        <v>360</v>
      </c>
      <c r="F1568" s="16"/>
      <c r="H1568" t="s">
        <v>144</v>
      </c>
      <c r="I1568" t="s">
        <v>299</v>
      </c>
      <c r="J1568" t="s">
        <v>13</v>
      </c>
      <c r="K1568" t="s">
        <v>201</v>
      </c>
      <c r="L1568">
        <v>1</v>
      </c>
      <c r="O1568" s="39"/>
    </row>
    <row r="1569" spans="1:15" s="17" customFormat="1" ht="14.5" hidden="1" customHeight="1" x14ac:dyDescent="0.2">
      <c r="A1569">
        <f t="shared" si="24"/>
        <v>1563</v>
      </c>
      <c r="B1569" s="54">
        <v>2019</v>
      </c>
      <c r="C1569" s="17" t="s">
        <v>225</v>
      </c>
      <c r="D1569" t="s">
        <v>479</v>
      </c>
      <c r="E1569" s="22">
        <v>110</v>
      </c>
      <c r="F1569" s="16"/>
      <c r="H1569" t="s">
        <v>154</v>
      </c>
      <c r="I1569" t="s">
        <v>271</v>
      </c>
      <c r="J1569" t="s">
        <v>46</v>
      </c>
      <c r="K1569" t="s">
        <v>219</v>
      </c>
      <c r="L1569">
        <v>1</v>
      </c>
      <c r="O1569" s="39"/>
    </row>
    <row r="1570" spans="1:15" ht="14.5" hidden="1" customHeight="1" x14ac:dyDescent="0.2">
      <c r="A1570">
        <f t="shared" si="24"/>
        <v>1564</v>
      </c>
      <c r="B1570" s="54">
        <v>2019</v>
      </c>
      <c r="C1570" s="17" t="s">
        <v>225</v>
      </c>
      <c r="D1570" t="s">
        <v>479</v>
      </c>
      <c r="E1570" s="22">
        <v>120</v>
      </c>
      <c r="H1570" t="s">
        <v>144</v>
      </c>
      <c r="I1570" t="s">
        <v>187</v>
      </c>
      <c r="J1570" t="s">
        <v>105</v>
      </c>
      <c r="K1570" t="s">
        <v>214</v>
      </c>
      <c r="L1570">
        <v>1</v>
      </c>
    </row>
    <row r="1571" spans="1:15" ht="14.5" hidden="1" customHeight="1" x14ac:dyDescent="0.2">
      <c r="A1571">
        <f t="shared" si="24"/>
        <v>1565</v>
      </c>
      <c r="B1571" s="54">
        <v>2019</v>
      </c>
      <c r="C1571" s="17" t="s">
        <v>225</v>
      </c>
      <c r="D1571" t="s">
        <v>479</v>
      </c>
      <c r="E1571" s="22">
        <v>160</v>
      </c>
      <c r="H1571" t="s">
        <v>154</v>
      </c>
      <c r="I1571" t="s">
        <v>194</v>
      </c>
      <c r="J1571" t="s">
        <v>70</v>
      </c>
      <c r="K1571" t="s">
        <v>219</v>
      </c>
      <c r="L1571">
        <v>1</v>
      </c>
    </row>
    <row r="1572" spans="1:15" ht="14.5" hidden="1" customHeight="1" x14ac:dyDescent="0.2">
      <c r="A1572">
        <f t="shared" si="24"/>
        <v>1566</v>
      </c>
      <c r="B1572" s="54">
        <v>2019</v>
      </c>
      <c r="C1572" s="17" t="s">
        <v>225</v>
      </c>
      <c r="D1572" t="s">
        <v>444</v>
      </c>
      <c r="E1572" s="22">
        <v>260</v>
      </c>
      <c r="H1572" t="s">
        <v>151</v>
      </c>
      <c r="I1572" t="s">
        <v>279</v>
      </c>
      <c r="J1572" t="s">
        <v>55</v>
      </c>
      <c r="K1572" t="s">
        <v>214</v>
      </c>
      <c r="L1572">
        <v>1</v>
      </c>
    </row>
    <row r="1573" spans="1:15" ht="14.5" hidden="1" customHeight="1" x14ac:dyDescent="0.2">
      <c r="A1573">
        <f t="shared" si="24"/>
        <v>1567</v>
      </c>
      <c r="B1573" s="54">
        <v>2019</v>
      </c>
      <c r="C1573" s="17" t="s">
        <v>225</v>
      </c>
      <c r="D1573" t="s">
        <v>1093</v>
      </c>
      <c r="E1573" s="22">
        <v>160</v>
      </c>
      <c r="H1573" t="s">
        <v>147</v>
      </c>
      <c r="J1573" t="s">
        <v>126</v>
      </c>
      <c r="K1573" t="s">
        <v>177</v>
      </c>
      <c r="L1573">
        <v>1</v>
      </c>
    </row>
    <row r="1574" spans="1:15" ht="14.5" hidden="1" customHeight="1" x14ac:dyDescent="0.2">
      <c r="A1574">
        <f t="shared" si="24"/>
        <v>1568</v>
      </c>
      <c r="B1574" s="54">
        <v>2019</v>
      </c>
      <c r="C1574" s="17" t="s">
        <v>225</v>
      </c>
      <c r="D1574" t="s">
        <v>1035</v>
      </c>
      <c r="E1574" s="22">
        <v>510</v>
      </c>
      <c r="G1574" t="s">
        <v>1247</v>
      </c>
      <c r="H1574" t="s">
        <v>155</v>
      </c>
      <c r="J1574" t="s">
        <v>130</v>
      </c>
      <c r="K1574" t="s">
        <v>214</v>
      </c>
      <c r="L1574">
        <v>1</v>
      </c>
    </row>
    <row r="1575" spans="1:15" ht="14.5" hidden="1" customHeight="1" x14ac:dyDescent="0.2">
      <c r="A1575">
        <f t="shared" si="24"/>
        <v>1569</v>
      </c>
      <c r="B1575" s="54">
        <v>2019</v>
      </c>
      <c r="C1575" s="17" t="s">
        <v>225</v>
      </c>
      <c r="D1575" t="s">
        <v>341</v>
      </c>
      <c r="E1575" s="22">
        <v>330</v>
      </c>
      <c r="H1575" t="s">
        <v>154</v>
      </c>
      <c r="I1575" t="s">
        <v>194</v>
      </c>
      <c r="J1575" t="s">
        <v>108</v>
      </c>
      <c r="K1575" t="s">
        <v>183</v>
      </c>
      <c r="L1575">
        <v>1</v>
      </c>
    </row>
    <row r="1576" spans="1:15" ht="14.5" hidden="1" customHeight="1" x14ac:dyDescent="0.2">
      <c r="A1576">
        <f t="shared" si="24"/>
        <v>1570</v>
      </c>
      <c r="B1576" s="54">
        <v>2019</v>
      </c>
      <c r="C1576" s="17" t="s">
        <v>225</v>
      </c>
      <c r="D1576" t="s">
        <v>2928</v>
      </c>
      <c r="E1576" s="22">
        <v>430</v>
      </c>
      <c r="H1576" t="s">
        <v>154</v>
      </c>
      <c r="I1576" t="s">
        <v>271</v>
      </c>
      <c r="J1576" t="s">
        <v>59</v>
      </c>
      <c r="K1576" t="s">
        <v>219</v>
      </c>
      <c r="L1576">
        <v>1</v>
      </c>
    </row>
    <row r="1577" spans="1:15" ht="14.5" hidden="1" customHeight="1" x14ac:dyDescent="0.2">
      <c r="A1577">
        <f t="shared" si="24"/>
        <v>1571</v>
      </c>
      <c r="B1577" s="54">
        <v>2019</v>
      </c>
      <c r="C1577" s="17" t="s">
        <v>225</v>
      </c>
      <c r="D1577" t="s">
        <v>449</v>
      </c>
      <c r="E1577" s="22">
        <v>210</v>
      </c>
      <c r="H1577" t="s">
        <v>154</v>
      </c>
      <c r="I1577" t="s">
        <v>194</v>
      </c>
      <c r="J1577" t="s">
        <v>2852</v>
      </c>
      <c r="K1577" t="s">
        <v>195</v>
      </c>
      <c r="L1577">
        <v>1</v>
      </c>
    </row>
    <row r="1578" spans="1:15" s="17" customFormat="1" ht="14.5" hidden="1" customHeight="1" x14ac:dyDescent="0.2">
      <c r="A1578">
        <f t="shared" si="24"/>
        <v>1572</v>
      </c>
      <c r="B1578" s="54">
        <v>2019</v>
      </c>
      <c r="C1578" s="17" t="s">
        <v>225</v>
      </c>
      <c r="D1578" t="s">
        <v>1035</v>
      </c>
      <c r="E1578" s="22">
        <v>730</v>
      </c>
      <c r="F1578" s="16">
        <v>0.7</v>
      </c>
      <c r="G1578" t="s">
        <v>1247</v>
      </c>
      <c r="H1578" t="s">
        <v>155</v>
      </c>
      <c r="J1578" t="s">
        <v>2929</v>
      </c>
      <c r="K1578" t="s">
        <v>214</v>
      </c>
      <c r="L1578">
        <v>1</v>
      </c>
      <c r="O1578" s="39"/>
    </row>
    <row r="1579" spans="1:15" ht="14.5" hidden="1" customHeight="1" x14ac:dyDescent="0.2">
      <c r="A1579">
        <f t="shared" si="24"/>
        <v>1573</v>
      </c>
      <c r="B1579" s="54">
        <v>2019</v>
      </c>
      <c r="C1579" s="17" t="s">
        <v>225</v>
      </c>
      <c r="D1579" t="s">
        <v>397</v>
      </c>
      <c r="E1579" s="22">
        <v>120</v>
      </c>
      <c r="H1579" t="s">
        <v>151</v>
      </c>
      <c r="I1579" t="s">
        <v>279</v>
      </c>
      <c r="J1579" t="s">
        <v>108</v>
      </c>
      <c r="K1579" t="s">
        <v>183</v>
      </c>
      <c r="L1579">
        <v>1</v>
      </c>
    </row>
    <row r="1580" spans="1:15" ht="14.5" hidden="1" customHeight="1" x14ac:dyDescent="0.2">
      <c r="A1580">
        <f t="shared" si="24"/>
        <v>1574</v>
      </c>
      <c r="B1580" s="54">
        <v>2019</v>
      </c>
      <c r="C1580" s="17" t="s">
        <v>225</v>
      </c>
      <c r="D1580" t="s">
        <v>221</v>
      </c>
      <c r="E1580" s="22">
        <v>680</v>
      </c>
      <c r="H1580" t="s">
        <v>154</v>
      </c>
      <c r="I1580" t="s">
        <v>194</v>
      </c>
      <c r="J1580" t="s">
        <v>63</v>
      </c>
      <c r="K1580" t="s">
        <v>201</v>
      </c>
      <c r="L1580">
        <v>1</v>
      </c>
    </row>
    <row r="1581" spans="1:15" ht="14.5" hidden="1" customHeight="1" x14ac:dyDescent="0.2">
      <c r="A1581">
        <f t="shared" si="24"/>
        <v>1575</v>
      </c>
      <c r="B1581" s="54">
        <v>2019</v>
      </c>
      <c r="C1581" s="17" t="s">
        <v>188</v>
      </c>
      <c r="D1581" t="s">
        <v>341</v>
      </c>
      <c r="E1581" s="22">
        <v>1040</v>
      </c>
      <c r="F1581" s="16">
        <v>0.5</v>
      </c>
      <c r="G1581" t="s">
        <v>2930</v>
      </c>
      <c r="H1581" t="s">
        <v>154</v>
      </c>
      <c r="I1581" t="s">
        <v>529</v>
      </c>
      <c r="J1581" t="s">
        <v>51</v>
      </c>
      <c r="K1581" t="s">
        <v>195</v>
      </c>
      <c r="L1581">
        <v>1</v>
      </c>
    </row>
    <row r="1582" spans="1:15" ht="14.5" hidden="1" customHeight="1" x14ac:dyDescent="0.2">
      <c r="A1582">
        <f t="shared" si="24"/>
        <v>1576</v>
      </c>
      <c r="B1582" s="54">
        <v>2019</v>
      </c>
      <c r="C1582" s="17" t="s">
        <v>188</v>
      </c>
      <c r="D1582" t="s">
        <v>221</v>
      </c>
      <c r="E1582" s="22">
        <v>320</v>
      </c>
      <c r="H1582" t="s">
        <v>142</v>
      </c>
      <c r="J1582" t="s">
        <v>23</v>
      </c>
      <c r="K1582" t="s">
        <v>183</v>
      </c>
      <c r="L1582">
        <v>1</v>
      </c>
    </row>
    <row r="1583" spans="1:15" ht="14.5" hidden="1" customHeight="1" x14ac:dyDescent="0.2">
      <c r="A1583">
        <f t="shared" si="24"/>
        <v>1577</v>
      </c>
      <c r="B1583" s="54">
        <v>2019</v>
      </c>
      <c r="C1583" s="17" t="s">
        <v>188</v>
      </c>
      <c r="D1583" s="17" t="s">
        <v>2931</v>
      </c>
      <c r="E1583" s="22">
        <v>100</v>
      </c>
      <c r="F1583" s="16">
        <v>0.9</v>
      </c>
      <c r="G1583" t="s">
        <v>2932</v>
      </c>
      <c r="H1583" t="s">
        <v>154</v>
      </c>
      <c r="I1583" t="s">
        <v>194</v>
      </c>
      <c r="J1583" t="s">
        <v>17</v>
      </c>
      <c r="K1583" t="s">
        <v>195</v>
      </c>
      <c r="L1583">
        <v>1</v>
      </c>
    </row>
    <row r="1584" spans="1:15" ht="14.5" hidden="1" customHeight="1" x14ac:dyDescent="0.2">
      <c r="A1584">
        <f t="shared" si="24"/>
        <v>1578</v>
      </c>
      <c r="B1584" s="54">
        <v>2019</v>
      </c>
      <c r="C1584" s="17" t="s">
        <v>188</v>
      </c>
      <c r="D1584" t="s">
        <v>444</v>
      </c>
      <c r="E1584" s="22">
        <v>300</v>
      </c>
      <c r="H1584" t="s">
        <v>143</v>
      </c>
      <c r="J1584" t="s">
        <v>46</v>
      </c>
      <c r="K1584" t="s">
        <v>219</v>
      </c>
      <c r="L1584">
        <v>1</v>
      </c>
    </row>
    <row r="1585" spans="1:12" ht="14.5" hidden="1" customHeight="1" x14ac:dyDescent="0.2">
      <c r="A1585">
        <f t="shared" si="24"/>
        <v>1579</v>
      </c>
      <c r="B1585" s="54">
        <v>2019</v>
      </c>
      <c r="C1585" s="17" t="s">
        <v>188</v>
      </c>
      <c r="D1585" t="s">
        <v>397</v>
      </c>
      <c r="E1585" s="22">
        <v>120</v>
      </c>
      <c r="G1585" t="s">
        <v>2933</v>
      </c>
      <c r="H1585" t="s">
        <v>151</v>
      </c>
      <c r="I1585" t="s">
        <v>279</v>
      </c>
      <c r="J1585" t="s">
        <v>130</v>
      </c>
      <c r="K1585" t="s">
        <v>214</v>
      </c>
      <c r="L1585">
        <v>1</v>
      </c>
    </row>
    <row r="1586" spans="1:12" ht="14.5" hidden="1" customHeight="1" x14ac:dyDescent="0.2">
      <c r="A1586">
        <f t="shared" si="24"/>
        <v>1580</v>
      </c>
      <c r="B1586" s="54">
        <v>2019</v>
      </c>
      <c r="C1586" s="17" t="s">
        <v>188</v>
      </c>
      <c r="D1586" t="s">
        <v>1035</v>
      </c>
      <c r="E1586" s="22">
        <v>210</v>
      </c>
      <c r="H1586" t="s">
        <v>144</v>
      </c>
      <c r="J1586" t="s">
        <v>132</v>
      </c>
      <c r="K1586" t="s">
        <v>219</v>
      </c>
      <c r="L1586">
        <v>1</v>
      </c>
    </row>
    <row r="1587" spans="1:12" ht="14.5" hidden="1" customHeight="1" x14ac:dyDescent="0.2">
      <c r="A1587">
        <f t="shared" si="24"/>
        <v>1581</v>
      </c>
      <c r="B1587" s="54">
        <v>2019</v>
      </c>
      <c r="C1587" s="17" t="s">
        <v>188</v>
      </c>
      <c r="D1587" t="s">
        <v>397</v>
      </c>
      <c r="E1587" s="22">
        <v>350</v>
      </c>
      <c r="G1587" t="s">
        <v>2934</v>
      </c>
      <c r="H1587" t="s">
        <v>151</v>
      </c>
      <c r="I1587" t="s">
        <v>279</v>
      </c>
      <c r="J1587" t="s">
        <v>131</v>
      </c>
      <c r="K1587" t="s">
        <v>131</v>
      </c>
      <c r="L1587">
        <v>0</v>
      </c>
    </row>
    <row r="1588" spans="1:12" ht="14.5" hidden="1" customHeight="1" x14ac:dyDescent="0.2">
      <c r="A1588">
        <f t="shared" si="24"/>
        <v>1582</v>
      </c>
      <c r="B1588" s="54">
        <v>2019</v>
      </c>
      <c r="C1588" s="17" t="s">
        <v>188</v>
      </c>
      <c r="D1588" t="s">
        <v>397</v>
      </c>
      <c r="E1588" s="22">
        <v>260</v>
      </c>
      <c r="H1588" t="s">
        <v>153</v>
      </c>
      <c r="J1588" t="s">
        <v>23</v>
      </c>
      <c r="K1588" t="s">
        <v>183</v>
      </c>
      <c r="L1588">
        <v>1</v>
      </c>
    </row>
    <row r="1589" spans="1:12" ht="14.5" hidden="1" customHeight="1" x14ac:dyDescent="0.2">
      <c r="A1589">
        <f t="shared" si="24"/>
        <v>1583</v>
      </c>
      <c r="B1589" s="54">
        <v>2019</v>
      </c>
      <c r="C1589" s="17" t="s">
        <v>188</v>
      </c>
      <c r="D1589" t="s">
        <v>449</v>
      </c>
      <c r="E1589" s="22">
        <v>600</v>
      </c>
      <c r="G1589" t="s">
        <v>2935</v>
      </c>
      <c r="H1589" t="s">
        <v>154</v>
      </c>
      <c r="I1589" t="s">
        <v>529</v>
      </c>
      <c r="J1589" t="s">
        <v>130</v>
      </c>
      <c r="K1589" t="s">
        <v>214</v>
      </c>
      <c r="L1589">
        <v>1</v>
      </c>
    </row>
    <row r="1590" spans="1:12" ht="14.5" hidden="1" customHeight="1" x14ac:dyDescent="0.2">
      <c r="A1590">
        <f t="shared" si="24"/>
        <v>1584</v>
      </c>
      <c r="B1590" s="54">
        <v>2019</v>
      </c>
      <c r="C1590" s="17" t="s">
        <v>188</v>
      </c>
      <c r="D1590" t="s">
        <v>189</v>
      </c>
      <c r="E1590" s="22">
        <v>180</v>
      </c>
      <c r="H1590" t="s">
        <v>154</v>
      </c>
      <c r="I1590" t="s">
        <v>194</v>
      </c>
      <c r="J1590" t="s">
        <v>40</v>
      </c>
      <c r="K1590" t="s">
        <v>219</v>
      </c>
      <c r="L1590">
        <v>1</v>
      </c>
    </row>
    <row r="1591" spans="1:12" ht="14.5" hidden="1" customHeight="1" x14ac:dyDescent="0.2">
      <c r="A1591">
        <f t="shared" si="24"/>
        <v>1585</v>
      </c>
      <c r="B1591" s="54">
        <v>2019</v>
      </c>
      <c r="C1591" s="17" t="s">
        <v>188</v>
      </c>
      <c r="D1591" t="s">
        <v>1035</v>
      </c>
      <c r="E1591" s="22">
        <v>140</v>
      </c>
      <c r="G1591" t="s">
        <v>2936</v>
      </c>
      <c r="H1591" t="s">
        <v>144</v>
      </c>
      <c r="I1591" t="s">
        <v>232</v>
      </c>
      <c r="J1591" t="s">
        <v>133</v>
      </c>
      <c r="K1591" t="s">
        <v>195</v>
      </c>
      <c r="L1591">
        <v>1</v>
      </c>
    </row>
    <row r="1592" spans="1:12" ht="14.5" hidden="1" customHeight="1" x14ac:dyDescent="0.2">
      <c r="A1592">
        <f t="shared" si="24"/>
        <v>1586</v>
      </c>
      <c r="B1592" s="54">
        <v>2019</v>
      </c>
      <c r="C1592" s="17" t="s">
        <v>188</v>
      </c>
      <c r="D1592" t="s">
        <v>1035</v>
      </c>
      <c r="E1592" s="22">
        <v>280</v>
      </c>
      <c r="H1592" t="s">
        <v>144</v>
      </c>
      <c r="I1592" t="s">
        <v>197</v>
      </c>
      <c r="J1592" t="s">
        <v>34</v>
      </c>
      <c r="K1592" t="s">
        <v>219</v>
      </c>
      <c r="L1592">
        <v>1</v>
      </c>
    </row>
    <row r="1593" spans="1:12" ht="14.5" hidden="1" customHeight="1" x14ac:dyDescent="0.2">
      <c r="A1593">
        <f t="shared" si="24"/>
        <v>1587</v>
      </c>
      <c r="B1593" s="73">
        <v>2019</v>
      </c>
      <c r="C1593" s="17" t="s">
        <v>188</v>
      </c>
      <c r="D1593" s="17" t="s">
        <v>1093</v>
      </c>
      <c r="E1593" s="24">
        <v>230</v>
      </c>
      <c r="F1593" s="18"/>
      <c r="G1593" s="17"/>
      <c r="H1593" s="17" t="s">
        <v>146</v>
      </c>
      <c r="I1593" s="17"/>
      <c r="J1593" s="17" t="s">
        <v>134</v>
      </c>
      <c r="K1593" s="17" t="s">
        <v>201</v>
      </c>
      <c r="L1593" s="17">
        <v>1</v>
      </c>
    </row>
    <row r="1594" spans="1:12" ht="14.5" hidden="1" customHeight="1" x14ac:dyDescent="0.2">
      <c r="A1594">
        <f t="shared" si="24"/>
        <v>1588</v>
      </c>
      <c r="B1594" s="73">
        <v>2019</v>
      </c>
      <c r="C1594" s="17" t="s">
        <v>188</v>
      </c>
      <c r="D1594" t="s">
        <v>479</v>
      </c>
      <c r="E1594" s="24">
        <v>190</v>
      </c>
      <c r="F1594" s="18"/>
      <c r="G1594" s="17"/>
      <c r="H1594" s="17" t="s">
        <v>154</v>
      </c>
      <c r="I1594" s="17" t="s">
        <v>194</v>
      </c>
      <c r="J1594" s="17" t="s">
        <v>9</v>
      </c>
      <c r="K1594" s="17" t="s">
        <v>9</v>
      </c>
      <c r="L1594" s="17">
        <v>0</v>
      </c>
    </row>
    <row r="1595" spans="1:12" ht="14.5" hidden="1" customHeight="1" x14ac:dyDescent="0.2">
      <c r="A1595">
        <f t="shared" si="24"/>
        <v>1589</v>
      </c>
      <c r="B1595" s="54">
        <v>2019</v>
      </c>
      <c r="C1595" s="17" t="s">
        <v>191</v>
      </c>
      <c r="D1595" t="s">
        <v>1289</v>
      </c>
      <c r="E1595" s="22">
        <v>140</v>
      </c>
      <c r="F1595" s="22"/>
      <c r="H1595" t="s">
        <v>151</v>
      </c>
      <c r="I1595" t="s">
        <v>224</v>
      </c>
      <c r="J1595" t="s">
        <v>108</v>
      </c>
      <c r="K1595" t="s">
        <v>183</v>
      </c>
      <c r="L1595">
        <v>1</v>
      </c>
    </row>
    <row r="1596" spans="1:12" ht="14.5" hidden="1" customHeight="1" x14ac:dyDescent="0.2">
      <c r="A1596">
        <f t="shared" si="24"/>
        <v>1590</v>
      </c>
      <c r="B1596" s="54">
        <v>2019</v>
      </c>
      <c r="C1596" s="17" t="s">
        <v>191</v>
      </c>
      <c r="D1596" t="s">
        <v>875</v>
      </c>
      <c r="E1596" s="22">
        <v>440</v>
      </c>
      <c r="F1596" s="22"/>
      <c r="H1596" t="s">
        <v>144</v>
      </c>
      <c r="J1596" t="s">
        <v>53</v>
      </c>
      <c r="K1596" t="s">
        <v>183</v>
      </c>
      <c r="L1596">
        <v>1</v>
      </c>
    </row>
    <row r="1597" spans="1:12" ht="14.5" hidden="1" customHeight="1" x14ac:dyDescent="0.2">
      <c r="A1597">
        <f t="shared" si="24"/>
        <v>1591</v>
      </c>
      <c r="B1597" s="54">
        <v>2019</v>
      </c>
      <c r="C1597" s="17" t="s">
        <v>191</v>
      </c>
      <c r="D1597" t="s">
        <v>444</v>
      </c>
      <c r="E1597" s="22">
        <v>350</v>
      </c>
      <c r="F1597" s="22"/>
      <c r="H1597" t="s">
        <v>144</v>
      </c>
      <c r="I1597" t="s">
        <v>232</v>
      </c>
      <c r="J1597" t="s">
        <v>67</v>
      </c>
      <c r="K1597" t="s">
        <v>183</v>
      </c>
      <c r="L1597">
        <v>1</v>
      </c>
    </row>
    <row r="1598" spans="1:12" ht="14.5" hidden="1" customHeight="1" x14ac:dyDescent="0.2">
      <c r="A1598">
        <f t="shared" si="24"/>
        <v>1592</v>
      </c>
      <c r="B1598" s="54">
        <v>2019</v>
      </c>
      <c r="C1598" s="17" t="s">
        <v>191</v>
      </c>
      <c r="D1598" t="s">
        <v>2937</v>
      </c>
      <c r="E1598" s="22">
        <v>240</v>
      </c>
      <c r="F1598" s="22"/>
      <c r="H1598" t="s">
        <v>151</v>
      </c>
      <c r="I1598" t="s">
        <v>279</v>
      </c>
      <c r="J1598" t="s">
        <v>64</v>
      </c>
      <c r="K1598" t="s">
        <v>219</v>
      </c>
      <c r="L1598">
        <v>1</v>
      </c>
    </row>
    <row r="1599" spans="1:12" ht="14.5" hidden="1" customHeight="1" x14ac:dyDescent="0.2">
      <c r="A1599">
        <f t="shared" si="24"/>
        <v>1593</v>
      </c>
      <c r="B1599" s="54">
        <v>2019</v>
      </c>
      <c r="C1599" s="17" t="s">
        <v>191</v>
      </c>
      <c r="D1599" t="s">
        <v>875</v>
      </c>
      <c r="E1599" s="22">
        <v>200</v>
      </c>
      <c r="F1599" s="22"/>
      <c r="H1599" t="s">
        <v>144</v>
      </c>
      <c r="I1599" t="s">
        <v>232</v>
      </c>
      <c r="J1599" t="s">
        <v>139</v>
      </c>
      <c r="K1599" t="s">
        <v>219</v>
      </c>
      <c r="L1599">
        <v>1</v>
      </c>
    </row>
    <row r="1600" spans="1:12" ht="14.5" hidden="1" customHeight="1" x14ac:dyDescent="0.2">
      <c r="A1600">
        <f t="shared" si="24"/>
        <v>1594</v>
      </c>
      <c r="B1600" s="54">
        <v>2019</v>
      </c>
      <c r="C1600" s="17" t="s">
        <v>191</v>
      </c>
      <c r="D1600" t="s">
        <v>449</v>
      </c>
      <c r="E1600" s="22">
        <v>110</v>
      </c>
      <c r="F1600" s="22"/>
      <c r="G1600" t="s">
        <v>2938</v>
      </c>
      <c r="H1600" t="s">
        <v>151</v>
      </c>
      <c r="I1600" t="s">
        <v>279</v>
      </c>
      <c r="J1600" t="s">
        <v>101</v>
      </c>
      <c r="K1600" t="s">
        <v>201</v>
      </c>
      <c r="L1600">
        <v>1</v>
      </c>
    </row>
    <row r="1601" spans="1:12" ht="14.5" hidden="1" customHeight="1" x14ac:dyDescent="0.2">
      <c r="A1601">
        <f t="shared" si="24"/>
        <v>1595</v>
      </c>
      <c r="B1601" s="54">
        <v>2019</v>
      </c>
      <c r="C1601" s="17" t="s">
        <v>191</v>
      </c>
      <c r="D1601" t="s">
        <v>397</v>
      </c>
      <c r="E1601" s="22">
        <v>390</v>
      </c>
      <c r="F1601" s="22"/>
      <c r="G1601" t="s">
        <v>2939</v>
      </c>
      <c r="H1601" t="s">
        <v>150</v>
      </c>
      <c r="I1601" t="s">
        <v>744</v>
      </c>
      <c r="J1601" t="s">
        <v>108</v>
      </c>
      <c r="K1601" t="s">
        <v>183</v>
      </c>
      <c r="L1601">
        <v>1</v>
      </c>
    </row>
    <row r="1602" spans="1:12" ht="14.5" hidden="1" customHeight="1" x14ac:dyDescent="0.2">
      <c r="A1602">
        <f t="shared" si="24"/>
        <v>1596</v>
      </c>
      <c r="B1602" s="73">
        <v>2019</v>
      </c>
      <c r="C1602" s="17" t="s">
        <v>191</v>
      </c>
      <c r="D1602" s="17" t="s">
        <v>479</v>
      </c>
      <c r="E1602" s="24">
        <v>360</v>
      </c>
      <c r="F1602" s="24"/>
      <c r="G1602" s="17"/>
      <c r="H1602" s="17" t="s">
        <v>144</v>
      </c>
      <c r="I1602" s="17" t="s">
        <v>197</v>
      </c>
      <c r="J1602" s="17" t="s">
        <v>8</v>
      </c>
      <c r="K1602" s="17" t="s">
        <v>205</v>
      </c>
      <c r="L1602" s="17">
        <v>1</v>
      </c>
    </row>
    <row r="1603" spans="1:12" ht="14.5" hidden="1" customHeight="1" x14ac:dyDescent="0.2">
      <c r="A1603">
        <f t="shared" si="24"/>
        <v>1597</v>
      </c>
      <c r="B1603" s="54">
        <v>2019</v>
      </c>
      <c r="C1603" s="17" t="s">
        <v>191</v>
      </c>
      <c r="D1603" t="s">
        <v>1794</v>
      </c>
      <c r="E1603" s="22">
        <v>250</v>
      </c>
      <c r="F1603" s="22"/>
      <c r="H1603" t="s">
        <v>155</v>
      </c>
      <c r="J1603" t="s">
        <v>42</v>
      </c>
      <c r="K1603" t="s">
        <v>195</v>
      </c>
      <c r="L1603">
        <v>0</v>
      </c>
    </row>
    <row r="1604" spans="1:12" ht="14.5" hidden="1" customHeight="1" x14ac:dyDescent="0.2">
      <c r="A1604">
        <f t="shared" si="24"/>
        <v>1598</v>
      </c>
      <c r="B1604" s="54">
        <v>2019</v>
      </c>
      <c r="C1604" s="17" t="s">
        <v>191</v>
      </c>
      <c r="D1604" t="s">
        <v>2940</v>
      </c>
      <c r="E1604" s="22">
        <v>610</v>
      </c>
      <c r="F1604" s="22"/>
      <c r="G1604" t="s">
        <v>2941</v>
      </c>
      <c r="H1604" t="s">
        <v>144</v>
      </c>
      <c r="I1604" t="s">
        <v>299</v>
      </c>
      <c r="J1604" t="s">
        <v>101</v>
      </c>
      <c r="K1604" t="s">
        <v>201</v>
      </c>
      <c r="L1604">
        <v>1</v>
      </c>
    </row>
    <row r="1605" spans="1:12" ht="14.5" hidden="1" customHeight="1" x14ac:dyDescent="0.2">
      <c r="A1605">
        <f t="shared" si="24"/>
        <v>1599</v>
      </c>
      <c r="B1605" s="54">
        <v>2019</v>
      </c>
      <c r="C1605" s="17" t="s">
        <v>191</v>
      </c>
      <c r="D1605" t="s">
        <v>875</v>
      </c>
      <c r="E1605" s="22">
        <v>220</v>
      </c>
      <c r="F1605" s="22"/>
      <c r="H1605" t="s">
        <v>151</v>
      </c>
      <c r="I1605" t="s">
        <v>279</v>
      </c>
      <c r="J1605" t="s">
        <v>53</v>
      </c>
      <c r="K1605" t="s">
        <v>183</v>
      </c>
      <c r="L1605">
        <v>1</v>
      </c>
    </row>
    <row r="1606" spans="1:12" ht="14.5" hidden="1" customHeight="1" x14ac:dyDescent="0.2">
      <c r="A1606">
        <f t="shared" si="24"/>
        <v>1600</v>
      </c>
      <c r="B1606" s="54">
        <v>2019</v>
      </c>
      <c r="C1606" s="17" t="s">
        <v>191</v>
      </c>
      <c r="D1606" t="s">
        <v>397</v>
      </c>
      <c r="E1606" s="22">
        <v>120</v>
      </c>
      <c r="F1606" s="22"/>
      <c r="G1606" t="s">
        <v>2876</v>
      </c>
      <c r="H1606" t="s">
        <v>151</v>
      </c>
      <c r="I1606" t="s">
        <v>224</v>
      </c>
      <c r="J1606" t="s">
        <v>130</v>
      </c>
      <c r="K1606" t="s">
        <v>214</v>
      </c>
      <c r="L1606">
        <v>1</v>
      </c>
    </row>
    <row r="1607" spans="1:12" ht="14.5" hidden="1" customHeight="1" x14ac:dyDescent="0.2">
      <c r="A1607">
        <f t="shared" ref="A1607:A1670" si="25">ROW()-6</f>
        <v>1601</v>
      </c>
      <c r="B1607" s="54">
        <v>2019</v>
      </c>
      <c r="C1607" s="17" t="s">
        <v>191</v>
      </c>
      <c r="D1607" t="s">
        <v>397</v>
      </c>
      <c r="E1607" s="22">
        <v>260</v>
      </c>
      <c r="F1607" s="22"/>
      <c r="H1607" t="s">
        <v>151</v>
      </c>
      <c r="I1607" t="s">
        <v>279</v>
      </c>
      <c r="J1607" t="s">
        <v>108</v>
      </c>
      <c r="K1607" t="s">
        <v>183</v>
      </c>
      <c r="L1607">
        <v>1</v>
      </c>
    </row>
    <row r="1608" spans="1:12" ht="14.5" hidden="1" customHeight="1" x14ac:dyDescent="0.2">
      <c r="A1608">
        <f t="shared" si="25"/>
        <v>1602</v>
      </c>
      <c r="B1608" s="54">
        <v>2019</v>
      </c>
      <c r="C1608" s="17" t="s">
        <v>191</v>
      </c>
      <c r="D1608" t="s">
        <v>1035</v>
      </c>
      <c r="E1608" s="22">
        <v>110</v>
      </c>
      <c r="F1608" s="22"/>
      <c r="H1608" t="s">
        <v>144</v>
      </c>
      <c r="I1608" t="s">
        <v>197</v>
      </c>
      <c r="J1608" t="s">
        <v>72</v>
      </c>
      <c r="K1608" t="s">
        <v>183</v>
      </c>
      <c r="L1608">
        <v>1</v>
      </c>
    </row>
    <row r="1609" spans="1:12" ht="14.5" hidden="1" customHeight="1" x14ac:dyDescent="0.2">
      <c r="A1609">
        <f t="shared" si="25"/>
        <v>1603</v>
      </c>
      <c r="B1609" s="54">
        <v>2019</v>
      </c>
      <c r="C1609" s="17" t="s">
        <v>198</v>
      </c>
      <c r="D1609" t="s">
        <v>444</v>
      </c>
      <c r="E1609" s="22">
        <v>150</v>
      </c>
      <c r="F1609" s="22"/>
      <c r="G1609" t="s">
        <v>2942</v>
      </c>
      <c r="H1609" t="s">
        <v>144</v>
      </c>
      <c r="I1609" t="s">
        <v>299</v>
      </c>
      <c r="J1609" t="s">
        <v>89</v>
      </c>
      <c r="K1609" t="s">
        <v>219</v>
      </c>
      <c r="L1609">
        <v>1</v>
      </c>
    </row>
    <row r="1610" spans="1:12" ht="14.5" hidden="1" customHeight="1" x14ac:dyDescent="0.2">
      <c r="A1610">
        <f t="shared" si="25"/>
        <v>1604</v>
      </c>
      <c r="B1610" s="54">
        <v>2019</v>
      </c>
      <c r="C1610" s="17" t="s">
        <v>198</v>
      </c>
      <c r="D1610" t="s">
        <v>444</v>
      </c>
      <c r="E1610" s="22">
        <v>450</v>
      </c>
      <c r="F1610" s="22"/>
      <c r="H1610" t="s">
        <v>155</v>
      </c>
      <c r="J1610" t="s">
        <v>138</v>
      </c>
      <c r="K1610" t="s">
        <v>219</v>
      </c>
      <c r="L1610">
        <v>1</v>
      </c>
    </row>
    <row r="1611" spans="1:12" ht="14.5" hidden="1" customHeight="1" x14ac:dyDescent="0.2">
      <c r="A1611">
        <f t="shared" si="25"/>
        <v>1605</v>
      </c>
      <c r="B1611" s="54">
        <v>2019</v>
      </c>
      <c r="C1611" s="17" t="s">
        <v>198</v>
      </c>
      <c r="D1611" t="s">
        <v>449</v>
      </c>
      <c r="E1611" s="22">
        <v>260</v>
      </c>
      <c r="F1611" s="22"/>
      <c r="G1611" t="s">
        <v>2002</v>
      </c>
      <c r="H1611" t="s">
        <v>155</v>
      </c>
      <c r="J1611" t="s">
        <v>105</v>
      </c>
      <c r="K1611" t="s">
        <v>214</v>
      </c>
      <c r="L1611">
        <v>1</v>
      </c>
    </row>
    <row r="1612" spans="1:12" ht="14.5" hidden="1" customHeight="1" x14ac:dyDescent="0.2">
      <c r="A1612">
        <f t="shared" si="25"/>
        <v>1606</v>
      </c>
      <c r="B1612" s="54">
        <v>2019</v>
      </c>
      <c r="C1612" s="17" t="s">
        <v>198</v>
      </c>
      <c r="D1612" t="s">
        <v>449</v>
      </c>
      <c r="E1612" s="22">
        <v>270</v>
      </c>
      <c r="F1612" s="22"/>
      <c r="H1612" t="s">
        <v>154</v>
      </c>
      <c r="I1612" t="s">
        <v>194</v>
      </c>
      <c r="J1612" t="s">
        <v>123</v>
      </c>
      <c r="K1612" t="s">
        <v>219</v>
      </c>
      <c r="L1612">
        <v>1</v>
      </c>
    </row>
    <row r="1613" spans="1:12" ht="14.5" hidden="1" customHeight="1" x14ac:dyDescent="0.2">
      <c r="A1613">
        <f t="shared" si="25"/>
        <v>1607</v>
      </c>
      <c r="B1613" s="54">
        <v>2019</v>
      </c>
      <c r="C1613" s="17" t="s">
        <v>198</v>
      </c>
      <c r="D1613" t="s">
        <v>449</v>
      </c>
      <c r="E1613" s="22">
        <v>100</v>
      </c>
      <c r="F1613" s="22"/>
      <c r="H1613" t="s">
        <v>154</v>
      </c>
      <c r="I1613" t="s">
        <v>529</v>
      </c>
      <c r="J1613" t="s">
        <v>105</v>
      </c>
      <c r="K1613" t="s">
        <v>214</v>
      </c>
      <c r="L1613">
        <v>1</v>
      </c>
    </row>
    <row r="1614" spans="1:12" ht="14.5" hidden="1" customHeight="1" x14ac:dyDescent="0.2">
      <c r="A1614">
        <f t="shared" si="25"/>
        <v>1608</v>
      </c>
      <c r="B1614" s="54">
        <v>2019</v>
      </c>
      <c r="C1614" s="17" t="s">
        <v>198</v>
      </c>
      <c r="D1614" t="s">
        <v>1035</v>
      </c>
      <c r="E1614" s="22">
        <v>150</v>
      </c>
      <c r="F1614" s="22"/>
      <c r="H1614" t="s">
        <v>144</v>
      </c>
      <c r="I1614" t="s">
        <v>197</v>
      </c>
      <c r="J1614" t="s">
        <v>64</v>
      </c>
      <c r="K1614" t="s">
        <v>219</v>
      </c>
      <c r="L1614">
        <v>1</v>
      </c>
    </row>
    <row r="1615" spans="1:12" ht="14.5" hidden="1" customHeight="1" x14ac:dyDescent="0.2">
      <c r="A1615">
        <f t="shared" si="25"/>
        <v>1609</v>
      </c>
      <c r="B1615" s="54">
        <v>2019</v>
      </c>
      <c r="C1615" s="17" t="s">
        <v>198</v>
      </c>
      <c r="D1615" t="s">
        <v>1035</v>
      </c>
      <c r="E1615" s="22">
        <v>970</v>
      </c>
      <c r="F1615" s="22"/>
      <c r="H1615" t="s">
        <v>144</v>
      </c>
      <c r="I1615" t="s">
        <v>197</v>
      </c>
      <c r="J1615" t="s">
        <v>123</v>
      </c>
      <c r="K1615" t="s">
        <v>219</v>
      </c>
      <c r="L1615">
        <v>1</v>
      </c>
    </row>
    <row r="1616" spans="1:12" ht="14.5" hidden="1" customHeight="1" x14ac:dyDescent="0.2">
      <c r="A1616">
        <f t="shared" si="25"/>
        <v>1610</v>
      </c>
      <c r="B1616" s="54">
        <v>2019</v>
      </c>
      <c r="C1616" s="17" t="s">
        <v>198</v>
      </c>
      <c r="D1616" t="s">
        <v>745</v>
      </c>
      <c r="E1616" s="22">
        <v>460</v>
      </c>
      <c r="F1616" s="22"/>
      <c r="G1616" t="s">
        <v>2943</v>
      </c>
      <c r="H1616" t="s">
        <v>151</v>
      </c>
      <c r="I1616" t="s">
        <v>279</v>
      </c>
      <c r="J1616" t="s">
        <v>130</v>
      </c>
      <c r="K1616" t="s">
        <v>214</v>
      </c>
      <c r="L1616">
        <v>1</v>
      </c>
    </row>
    <row r="1617" spans="1:12" ht="14.5" hidden="1" customHeight="1" x14ac:dyDescent="0.2">
      <c r="A1617">
        <f t="shared" si="25"/>
        <v>1611</v>
      </c>
      <c r="B1617" s="54">
        <v>2019</v>
      </c>
      <c r="C1617" s="17" t="s">
        <v>198</v>
      </c>
      <c r="D1617" t="s">
        <v>397</v>
      </c>
      <c r="E1617" s="22">
        <v>120</v>
      </c>
      <c r="F1617" s="22"/>
      <c r="H1617" t="s">
        <v>154</v>
      </c>
      <c r="I1617" t="s">
        <v>194</v>
      </c>
      <c r="J1617" t="s">
        <v>44</v>
      </c>
      <c r="K1617" t="s">
        <v>201</v>
      </c>
      <c r="L1617">
        <v>1</v>
      </c>
    </row>
    <row r="1618" spans="1:12" ht="14.5" hidden="1" customHeight="1" x14ac:dyDescent="0.2">
      <c r="A1618">
        <f t="shared" si="25"/>
        <v>1612</v>
      </c>
      <c r="B1618" s="54">
        <v>2019</v>
      </c>
      <c r="C1618" s="17" t="s">
        <v>198</v>
      </c>
      <c r="D1618" t="s">
        <v>875</v>
      </c>
      <c r="E1618" s="22">
        <v>240</v>
      </c>
      <c r="F1618" s="22"/>
      <c r="G1618" t="s">
        <v>2944</v>
      </c>
      <c r="H1618" t="s">
        <v>151</v>
      </c>
      <c r="I1618" t="s">
        <v>279</v>
      </c>
      <c r="J1618" t="s">
        <v>53</v>
      </c>
      <c r="K1618" t="s">
        <v>183</v>
      </c>
      <c r="L1618">
        <v>1</v>
      </c>
    </row>
    <row r="1619" spans="1:12" ht="14.5" hidden="1" customHeight="1" x14ac:dyDescent="0.2">
      <c r="A1619">
        <f t="shared" si="25"/>
        <v>1613</v>
      </c>
      <c r="B1619" s="54">
        <v>2019</v>
      </c>
      <c r="C1619" s="17" t="s">
        <v>198</v>
      </c>
      <c r="D1619" t="s">
        <v>221</v>
      </c>
      <c r="E1619" s="22">
        <v>110</v>
      </c>
      <c r="F1619" s="22"/>
      <c r="H1619" t="s">
        <v>151</v>
      </c>
      <c r="I1619" t="s">
        <v>279</v>
      </c>
      <c r="J1619" t="s">
        <v>72</v>
      </c>
      <c r="K1619" t="s">
        <v>183</v>
      </c>
      <c r="L1619">
        <v>1</v>
      </c>
    </row>
    <row r="1620" spans="1:12" ht="14.5" hidden="1" customHeight="1" x14ac:dyDescent="0.2">
      <c r="A1620">
        <f t="shared" si="25"/>
        <v>1614</v>
      </c>
      <c r="B1620" s="54">
        <v>2019</v>
      </c>
      <c r="C1620" s="17" t="s">
        <v>198</v>
      </c>
      <c r="D1620" t="s">
        <v>397</v>
      </c>
      <c r="E1620" s="22">
        <v>210</v>
      </c>
      <c r="F1620" s="22"/>
      <c r="G1620" t="s">
        <v>2945</v>
      </c>
      <c r="H1620" t="s">
        <v>151</v>
      </c>
      <c r="I1620" t="s">
        <v>279</v>
      </c>
      <c r="J1620" t="s">
        <v>108</v>
      </c>
      <c r="K1620" t="s">
        <v>183</v>
      </c>
      <c r="L1620">
        <v>1</v>
      </c>
    </row>
    <row r="1621" spans="1:12" ht="14.5" hidden="1" customHeight="1" x14ac:dyDescent="0.2">
      <c r="A1621">
        <f t="shared" si="25"/>
        <v>1615</v>
      </c>
      <c r="B1621" s="54">
        <v>2019</v>
      </c>
      <c r="C1621" s="17" t="s">
        <v>198</v>
      </c>
      <c r="D1621" t="s">
        <v>596</v>
      </c>
      <c r="E1621" s="22">
        <v>580</v>
      </c>
      <c r="F1621" s="16">
        <v>0.81</v>
      </c>
      <c r="G1621" t="s">
        <v>2946</v>
      </c>
      <c r="H1621" t="s">
        <v>144</v>
      </c>
      <c r="I1621" t="s">
        <v>232</v>
      </c>
      <c r="J1621" t="s">
        <v>9</v>
      </c>
      <c r="K1621" t="s">
        <v>9</v>
      </c>
      <c r="L1621">
        <v>0</v>
      </c>
    </row>
    <row r="1622" spans="1:12" ht="14.5" hidden="1" customHeight="1" x14ac:dyDescent="0.2">
      <c r="A1622">
        <f t="shared" si="25"/>
        <v>1616</v>
      </c>
      <c r="B1622" s="54">
        <v>2019</v>
      </c>
      <c r="C1622" s="17" t="s">
        <v>198</v>
      </c>
      <c r="D1622" t="s">
        <v>2813</v>
      </c>
      <c r="E1622" s="22">
        <v>150</v>
      </c>
      <c r="H1622" t="s">
        <v>151</v>
      </c>
      <c r="I1622" t="s">
        <v>279</v>
      </c>
      <c r="J1622" t="s">
        <v>130</v>
      </c>
      <c r="K1622" t="s">
        <v>214</v>
      </c>
      <c r="L1622">
        <v>1</v>
      </c>
    </row>
    <row r="1623" spans="1:12" ht="14.5" hidden="1" customHeight="1" x14ac:dyDescent="0.2">
      <c r="A1623">
        <f t="shared" si="25"/>
        <v>1617</v>
      </c>
      <c r="B1623" s="54">
        <v>2019</v>
      </c>
      <c r="C1623" s="17" t="s">
        <v>198</v>
      </c>
      <c r="D1623" t="s">
        <v>189</v>
      </c>
      <c r="E1623" s="22">
        <v>180</v>
      </c>
      <c r="H1623" t="s">
        <v>144</v>
      </c>
      <c r="I1623" t="s">
        <v>187</v>
      </c>
      <c r="J1623" t="s">
        <v>105</v>
      </c>
      <c r="K1623" t="s">
        <v>214</v>
      </c>
      <c r="L1623">
        <v>1</v>
      </c>
    </row>
    <row r="1624" spans="1:12" ht="14.5" hidden="1" customHeight="1" x14ac:dyDescent="0.2">
      <c r="A1624">
        <f t="shared" si="25"/>
        <v>1618</v>
      </c>
      <c r="B1624" s="54">
        <v>2019</v>
      </c>
      <c r="C1624" s="17" t="s">
        <v>198</v>
      </c>
      <c r="D1624" t="s">
        <v>745</v>
      </c>
      <c r="E1624" s="22">
        <v>180</v>
      </c>
      <c r="G1624" t="s">
        <v>2947</v>
      </c>
      <c r="H1624" t="s">
        <v>143</v>
      </c>
      <c r="J1624" t="s">
        <v>108</v>
      </c>
      <c r="K1624" t="s">
        <v>183</v>
      </c>
      <c r="L1624">
        <v>1</v>
      </c>
    </row>
    <row r="1625" spans="1:12" ht="14.5" hidden="1" customHeight="1" x14ac:dyDescent="0.2">
      <c r="A1625">
        <f t="shared" si="25"/>
        <v>1619</v>
      </c>
      <c r="B1625" s="54">
        <v>2019</v>
      </c>
      <c r="C1625" s="17" t="s">
        <v>198</v>
      </c>
      <c r="D1625" t="s">
        <v>479</v>
      </c>
      <c r="E1625" s="22">
        <v>220</v>
      </c>
      <c r="G1625" t="s">
        <v>2948</v>
      </c>
      <c r="H1625" t="s">
        <v>154</v>
      </c>
      <c r="I1625" t="s">
        <v>271</v>
      </c>
      <c r="J1625" t="s">
        <v>37</v>
      </c>
      <c r="K1625" t="s">
        <v>205</v>
      </c>
      <c r="L1625">
        <v>1</v>
      </c>
    </row>
    <row r="1626" spans="1:12" ht="14.5" hidden="1" customHeight="1" x14ac:dyDescent="0.2">
      <c r="A1626">
        <f t="shared" si="25"/>
        <v>1620</v>
      </c>
      <c r="B1626" s="54">
        <v>2019</v>
      </c>
      <c r="C1626" s="17" t="s">
        <v>198</v>
      </c>
      <c r="D1626" t="s">
        <v>479</v>
      </c>
      <c r="E1626" s="22">
        <v>210</v>
      </c>
      <c r="H1626" t="s">
        <v>154</v>
      </c>
      <c r="I1626" t="s">
        <v>250</v>
      </c>
      <c r="J1626" t="s">
        <v>73</v>
      </c>
      <c r="K1626" t="s">
        <v>201</v>
      </c>
      <c r="L1626">
        <v>1</v>
      </c>
    </row>
    <row r="1627" spans="1:12" ht="14.5" hidden="1" customHeight="1" x14ac:dyDescent="0.2">
      <c r="A1627">
        <f t="shared" si="25"/>
        <v>1621</v>
      </c>
      <c r="B1627" s="54">
        <v>2019</v>
      </c>
      <c r="C1627" s="17" t="s">
        <v>202</v>
      </c>
      <c r="D1627" t="s">
        <v>875</v>
      </c>
      <c r="E1627" s="22">
        <v>270</v>
      </c>
      <c r="F1627" s="22"/>
      <c r="H1627" t="s">
        <v>155</v>
      </c>
      <c r="J1627" t="s">
        <v>40</v>
      </c>
      <c r="K1627" t="s">
        <v>219</v>
      </c>
      <c r="L1627">
        <v>1</v>
      </c>
    </row>
    <row r="1628" spans="1:12" ht="14.5" hidden="1" customHeight="1" x14ac:dyDescent="0.2">
      <c r="A1628">
        <f t="shared" si="25"/>
        <v>1622</v>
      </c>
      <c r="B1628" s="54">
        <v>2019</v>
      </c>
      <c r="C1628" s="17" t="s">
        <v>202</v>
      </c>
      <c r="D1628" t="s">
        <v>557</v>
      </c>
      <c r="E1628" s="22">
        <v>230</v>
      </c>
      <c r="F1628" s="22"/>
      <c r="G1628" t="s">
        <v>2949</v>
      </c>
      <c r="H1628" t="s">
        <v>143</v>
      </c>
      <c r="J1628" t="s">
        <v>63</v>
      </c>
      <c r="K1628" t="s">
        <v>201</v>
      </c>
      <c r="L1628">
        <v>1</v>
      </c>
    </row>
    <row r="1629" spans="1:12" ht="14.5" hidden="1" customHeight="1" x14ac:dyDescent="0.2">
      <c r="A1629">
        <f t="shared" si="25"/>
        <v>1623</v>
      </c>
      <c r="B1629" s="54">
        <v>2019</v>
      </c>
      <c r="C1629" s="17" t="s">
        <v>202</v>
      </c>
      <c r="D1629" t="s">
        <v>397</v>
      </c>
      <c r="E1629" s="22">
        <v>300</v>
      </c>
      <c r="F1629" s="22"/>
      <c r="G1629" t="s">
        <v>2950</v>
      </c>
      <c r="H1629" t="s">
        <v>153</v>
      </c>
      <c r="J1629" t="s">
        <v>131</v>
      </c>
      <c r="K1629" t="s">
        <v>131</v>
      </c>
      <c r="L1629">
        <v>0</v>
      </c>
    </row>
    <row r="1630" spans="1:12" ht="14.5" hidden="1" customHeight="1" x14ac:dyDescent="0.2">
      <c r="A1630">
        <f t="shared" si="25"/>
        <v>1624</v>
      </c>
      <c r="B1630" s="54">
        <v>2019</v>
      </c>
      <c r="C1630" s="17" t="s">
        <v>202</v>
      </c>
      <c r="D1630" t="s">
        <v>745</v>
      </c>
      <c r="E1630" s="22">
        <v>1130</v>
      </c>
      <c r="F1630" s="22"/>
      <c r="G1630" t="s">
        <v>2951</v>
      </c>
      <c r="H1630" t="s">
        <v>142</v>
      </c>
      <c r="J1630" t="s">
        <v>52</v>
      </c>
      <c r="K1630" t="s">
        <v>201</v>
      </c>
      <c r="L1630">
        <v>0</v>
      </c>
    </row>
    <row r="1631" spans="1:12" ht="14.5" hidden="1" customHeight="1" x14ac:dyDescent="0.2">
      <c r="A1631">
        <f t="shared" si="25"/>
        <v>1625</v>
      </c>
      <c r="B1631" s="54">
        <v>2019</v>
      </c>
      <c r="C1631" s="17" t="s">
        <v>202</v>
      </c>
      <c r="D1631" t="s">
        <v>341</v>
      </c>
      <c r="E1631" s="22">
        <v>150</v>
      </c>
      <c r="F1631" s="22"/>
      <c r="G1631" t="s">
        <v>2952</v>
      </c>
      <c r="H1631" t="s">
        <v>151</v>
      </c>
      <c r="I1631" t="s">
        <v>279</v>
      </c>
      <c r="J1631" t="s">
        <v>123</v>
      </c>
      <c r="K1631" t="s">
        <v>219</v>
      </c>
      <c r="L1631">
        <v>1</v>
      </c>
    </row>
    <row r="1632" spans="1:12" ht="14.5" hidden="1" customHeight="1" x14ac:dyDescent="0.2">
      <c r="A1632">
        <f t="shared" si="25"/>
        <v>1626</v>
      </c>
      <c r="B1632" s="54">
        <v>2019</v>
      </c>
      <c r="C1632" s="17" t="s">
        <v>202</v>
      </c>
      <c r="D1632" t="s">
        <v>2434</v>
      </c>
      <c r="E1632" s="22">
        <v>340</v>
      </c>
      <c r="F1632" s="22"/>
      <c r="H1632" t="s">
        <v>154</v>
      </c>
      <c r="I1632" t="s">
        <v>529</v>
      </c>
      <c r="J1632" t="s">
        <v>108</v>
      </c>
      <c r="K1632" t="s">
        <v>183</v>
      </c>
      <c r="L1632">
        <v>1</v>
      </c>
    </row>
    <row r="1633" spans="1:12" ht="14.5" hidden="1" customHeight="1" x14ac:dyDescent="0.2">
      <c r="A1633">
        <f t="shared" si="25"/>
        <v>1627</v>
      </c>
      <c r="B1633" s="54">
        <v>2019</v>
      </c>
      <c r="C1633" s="17" t="s">
        <v>202</v>
      </c>
      <c r="D1633" t="s">
        <v>1035</v>
      </c>
      <c r="E1633" s="22">
        <v>110</v>
      </c>
      <c r="F1633" s="22"/>
      <c r="H1633" t="s">
        <v>144</v>
      </c>
      <c r="I1633" t="s">
        <v>187</v>
      </c>
      <c r="J1633" t="s">
        <v>55</v>
      </c>
      <c r="K1633" t="s">
        <v>214</v>
      </c>
      <c r="L1633">
        <v>1</v>
      </c>
    </row>
    <row r="1634" spans="1:12" ht="14.5" hidden="1" customHeight="1" x14ac:dyDescent="0.2">
      <c r="A1634">
        <f t="shared" si="25"/>
        <v>1628</v>
      </c>
      <c r="B1634" s="54">
        <v>2019</v>
      </c>
      <c r="C1634" s="17" t="s">
        <v>202</v>
      </c>
      <c r="D1634" t="s">
        <v>479</v>
      </c>
      <c r="E1634" s="22">
        <v>100</v>
      </c>
      <c r="F1634" s="22"/>
      <c r="H1634" t="s">
        <v>154</v>
      </c>
      <c r="I1634" t="s">
        <v>194</v>
      </c>
      <c r="J1634" t="s">
        <v>2462</v>
      </c>
      <c r="K1634" t="s">
        <v>219</v>
      </c>
      <c r="L1634">
        <v>1</v>
      </c>
    </row>
    <row r="1635" spans="1:12" ht="14.5" hidden="1" customHeight="1" x14ac:dyDescent="0.2">
      <c r="A1635">
        <f t="shared" si="25"/>
        <v>1629</v>
      </c>
      <c r="B1635" s="54">
        <v>2019</v>
      </c>
      <c r="C1635" s="17" t="s">
        <v>202</v>
      </c>
      <c r="D1635" t="s">
        <v>175</v>
      </c>
      <c r="E1635" s="22">
        <v>140</v>
      </c>
      <c r="F1635" s="22"/>
      <c r="H1635" t="s">
        <v>149</v>
      </c>
      <c r="I1635" t="s">
        <v>182</v>
      </c>
      <c r="J1635" t="s">
        <v>53</v>
      </c>
      <c r="K1635" t="s">
        <v>183</v>
      </c>
      <c r="L1635">
        <v>1</v>
      </c>
    </row>
    <row r="1636" spans="1:12" ht="14.5" hidden="1" customHeight="1" x14ac:dyDescent="0.2">
      <c r="A1636">
        <f t="shared" si="25"/>
        <v>1630</v>
      </c>
      <c r="B1636" s="54">
        <v>2019</v>
      </c>
      <c r="C1636" s="17" t="s">
        <v>202</v>
      </c>
      <c r="D1636" t="s">
        <v>397</v>
      </c>
      <c r="E1636" s="22">
        <v>520</v>
      </c>
      <c r="F1636" s="22"/>
      <c r="H1636" t="s">
        <v>154</v>
      </c>
      <c r="I1636" t="s">
        <v>529</v>
      </c>
      <c r="J1636" t="s">
        <v>57</v>
      </c>
      <c r="K1636" t="s">
        <v>195</v>
      </c>
      <c r="L1636">
        <v>0</v>
      </c>
    </row>
    <row r="1637" spans="1:12" ht="14.5" hidden="1" customHeight="1" x14ac:dyDescent="0.2">
      <c r="A1637">
        <f t="shared" si="25"/>
        <v>1631</v>
      </c>
      <c r="B1637" s="54">
        <v>2019</v>
      </c>
      <c r="C1637" s="17" t="s">
        <v>202</v>
      </c>
      <c r="D1637" t="s">
        <v>1035</v>
      </c>
      <c r="E1637" s="22">
        <v>650</v>
      </c>
      <c r="F1637" s="22"/>
      <c r="H1637" t="s">
        <v>154</v>
      </c>
      <c r="I1637" t="s">
        <v>194</v>
      </c>
      <c r="J1637" t="s">
        <v>46</v>
      </c>
      <c r="K1637" t="s">
        <v>219</v>
      </c>
      <c r="L1637">
        <v>1</v>
      </c>
    </row>
    <row r="1638" spans="1:12" ht="14.5" hidden="1" customHeight="1" x14ac:dyDescent="0.2">
      <c r="A1638">
        <f t="shared" si="25"/>
        <v>1632</v>
      </c>
      <c r="B1638" s="54">
        <v>2019</v>
      </c>
      <c r="C1638" s="17" t="s">
        <v>202</v>
      </c>
      <c r="D1638" t="s">
        <v>199</v>
      </c>
      <c r="E1638" s="22">
        <v>690</v>
      </c>
      <c r="F1638" s="22"/>
      <c r="H1638" t="s">
        <v>144</v>
      </c>
      <c r="I1638" t="s">
        <v>187</v>
      </c>
      <c r="J1638" t="s">
        <v>2557</v>
      </c>
      <c r="K1638" t="s">
        <v>219</v>
      </c>
      <c r="L1638">
        <v>1</v>
      </c>
    </row>
    <row r="1639" spans="1:12" ht="14.5" hidden="1" customHeight="1" x14ac:dyDescent="0.2">
      <c r="A1639">
        <f t="shared" si="25"/>
        <v>1633</v>
      </c>
      <c r="B1639" s="54">
        <v>2019</v>
      </c>
      <c r="C1639" s="17" t="s">
        <v>202</v>
      </c>
      <c r="D1639" t="s">
        <v>199</v>
      </c>
      <c r="E1639" s="22">
        <v>1310</v>
      </c>
      <c r="F1639" s="22"/>
      <c r="H1639" t="s">
        <v>144</v>
      </c>
      <c r="I1639" t="s">
        <v>187</v>
      </c>
      <c r="J1639" t="s">
        <v>88</v>
      </c>
      <c r="K1639" t="s">
        <v>219</v>
      </c>
      <c r="L1639">
        <v>1</v>
      </c>
    </row>
    <row r="1640" spans="1:12" ht="14.5" hidden="1" customHeight="1" x14ac:dyDescent="0.2">
      <c r="A1640">
        <f t="shared" si="25"/>
        <v>1634</v>
      </c>
      <c r="B1640" s="54">
        <v>2019</v>
      </c>
      <c r="C1640" s="17" t="s">
        <v>202</v>
      </c>
      <c r="D1640" t="s">
        <v>246</v>
      </c>
      <c r="E1640" s="22">
        <v>990</v>
      </c>
      <c r="F1640" s="22"/>
      <c r="H1640" t="s">
        <v>144</v>
      </c>
      <c r="I1640" t="s">
        <v>197</v>
      </c>
      <c r="J1640" t="s">
        <v>16</v>
      </c>
      <c r="K1640" t="s">
        <v>205</v>
      </c>
      <c r="L1640">
        <v>1</v>
      </c>
    </row>
    <row r="1641" spans="1:12" ht="14.5" hidden="1" customHeight="1" x14ac:dyDescent="0.2">
      <c r="A1641">
        <f t="shared" si="25"/>
        <v>1635</v>
      </c>
      <c r="B1641" s="54">
        <v>2019</v>
      </c>
      <c r="C1641" s="17" t="s">
        <v>202</v>
      </c>
      <c r="D1641" t="s">
        <v>444</v>
      </c>
      <c r="E1641" s="22">
        <v>100</v>
      </c>
      <c r="F1641" s="22"/>
      <c r="H1641" t="s">
        <v>142</v>
      </c>
      <c r="J1641" t="s">
        <v>40</v>
      </c>
      <c r="K1641" t="s">
        <v>219</v>
      </c>
      <c r="L1641">
        <v>1</v>
      </c>
    </row>
    <row r="1642" spans="1:12" ht="14.5" hidden="1" customHeight="1" x14ac:dyDescent="0.2">
      <c r="A1642">
        <f t="shared" si="25"/>
        <v>1636</v>
      </c>
      <c r="B1642" s="54">
        <v>2019</v>
      </c>
      <c r="C1642" s="17" t="s">
        <v>202</v>
      </c>
      <c r="D1642" t="s">
        <v>479</v>
      </c>
      <c r="E1642" s="22">
        <v>140</v>
      </c>
      <c r="F1642" s="22"/>
      <c r="H1642" t="s">
        <v>154</v>
      </c>
      <c r="I1642" t="s">
        <v>194</v>
      </c>
      <c r="J1642" t="s">
        <v>72</v>
      </c>
      <c r="K1642" t="s">
        <v>183</v>
      </c>
      <c r="L1642">
        <v>1</v>
      </c>
    </row>
    <row r="1643" spans="1:12" ht="14.5" hidden="1" customHeight="1" x14ac:dyDescent="0.2">
      <c r="A1643">
        <f t="shared" si="25"/>
        <v>1637</v>
      </c>
      <c r="B1643" s="54">
        <v>2019</v>
      </c>
      <c r="C1643" s="17" t="s">
        <v>202</v>
      </c>
      <c r="D1643" t="s">
        <v>668</v>
      </c>
      <c r="E1643" s="22">
        <v>1660</v>
      </c>
      <c r="F1643" s="22"/>
      <c r="H1643" t="s">
        <v>155</v>
      </c>
      <c r="J1643" t="s">
        <v>13</v>
      </c>
      <c r="K1643" t="s">
        <v>201</v>
      </c>
      <c r="L1643">
        <v>1</v>
      </c>
    </row>
    <row r="1644" spans="1:12" ht="14.5" hidden="1" customHeight="1" x14ac:dyDescent="0.2">
      <c r="A1644">
        <f t="shared" si="25"/>
        <v>1638</v>
      </c>
      <c r="B1644" s="54">
        <v>2019</v>
      </c>
      <c r="C1644" s="17" t="s">
        <v>207</v>
      </c>
      <c r="D1644" t="s">
        <v>444</v>
      </c>
      <c r="E1644" s="22">
        <v>210</v>
      </c>
      <c r="F1644" s="22"/>
      <c r="H1644" t="s">
        <v>154</v>
      </c>
      <c r="I1644" t="s">
        <v>271</v>
      </c>
      <c r="J1644" t="s">
        <v>82</v>
      </c>
      <c r="K1644" t="s">
        <v>183</v>
      </c>
      <c r="L1644">
        <v>1</v>
      </c>
    </row>
    <row r="1645" spans="1:12" ht="14.5" hidden="1" customHeight="1" x14ac:dyDescent="0.2">
      <c r="A1645">
        <f t="shared" si="25"/>
        <v>1639</v>
      </c>
      <c r="B1645" s="54">
        <v>2019</v>
      </c>
      <c r="C1645" s="17" t="s">
        <v>207</v>
      </c>
      <c r="D1645" t="s">
        <v>444</v>
      </c>
      <c r="E1645" s="22">
        <v>220</v>
      </c>
      <c r="F1645" s="22"/>
      <c r="H1645" t="s">
        <v>144</v>
      </c>
      <c r="J1645" t="s">
        <v>132</v>
      </c>
      <c r="K1645" t="s">
        <v>219</v>
      </c>
      <c r="L1645">
        <v>1</v>
      </c>
    </row>
    <row r="1646" spans="1:12" ht="14.5" hidden="1" customHeight="1" x14ac:dyDescent="0.2">
      <c r="A1646">
        <f t="shared" si="25"/>
        <v>1640</v>
      </c>
      <c r="B1646" s="54">
        <v>2019</v>
      </c>
      <c r="C1646" s="17" t="s">
        <v>207</v>
      </c>
      <c r="D1646" t="s">
        <v>2953</v>
      </c>
      <c r="E1646" s="22">
        <v>190</v>
      </c>
      <c r="F1646" s="16">
        <v>0.5</v>
      </c>
      <c r="G1646" t="s">
        <v>2954</v>
      </c>
      <c r="H1646" t="s">
        <v>144</v>
      </c>
      <c r="J1646" t="s">
        <v>23</v>
      </c>
      <c r="K1646" t="s">
        <v>183</v>
      </c>
      <c r="L1646">
        <v>1</v>
      </c>
    </row>
    <row r="1647" spans="1:12" ht="14.5" hidden="1" customHeight="1" x14ac:dyDescent="0.2">
      <c r="A1647">
        <f t="shared" si="25"/>
        <v>1641</v>
      </c>
      <c r="B1647" s="54">
        <v>2019</v>
      </c>
      <c r="C1647" s="17" t="s">
        <v>207</v>
      </c>
      <c r="D1647" t="s">
        <v>307</v>
      </c>
      <c r="E1647" s="22">
        <v>1120</v>
      </c>
      <c r="F1647" s="22"/>
      <c r="G1647" t="s">
        <v>2884</v>
      </c>
      <c r="H1647" t="s">
        <v>144</v>
      </c>
      <c r="I1647" t="s">
        <v>232</v>
      </c>
      <c r="J1647" t="s">
        <v>133</v>
      </c>
      <c r="K1647" t="s">
        <v>195</v>
      </c>
      <c r="L1647">
        <v>1</v>
      </c>
    </row>
    <row r="1648" spans="1:12" ht="14.5" hidden="1" customHeight="1" x14ac:dyDescent="0.2">
      <c r="A1648">
        <f t="shared" si="25"/>
        <v>1642</v>
      </c>
      <c r="B1648" s="54">
        <v>2019</v>
      </c>
      <c r="C1648" s="17" t="s">
        <v>207</v>
      </c>
      <c r="D1648" t="s">
        <v>1035</v>
      </c>
      <c r="E1648" s="22">
        <v>2360</v>
      </c>
      <c r="F1648" s="22"/>
      <c r="H1648" t="s">
        <v>151</v>
      </c>
      <c r="I1648" t="s">
        <v>279</v>
      </c>
      <c r="J1648" t="s">
        <v>13</v>
      </c>
      <c r="K1648" t="s">
        <v>201</v>
      </c>
      <c r="L1648">
        <v>1</v>
      </c>
    </row>
    <row r="1649" spans="1:12" ht="14.5" hidden="1" customHeight="1" x14ac:dyDescent="0.2">
      <c r="A1649">
        <f t="shared" si="25"/>
        <v>1643</v>
      </c>
      <c r="B1649" s="54">
        <v>2019</v>
      </c>
      <c r="C1649" s="17" t="s">
        <v>207</v>
      </c>
      <c r="D1649" t="s">
        <v>479</v>
      </c>
      <c r="E1649" s="22">
        <v>330</v>
      </c>
      <c r="F1649" s="22"/>
      <c r="H1649" t="s">
        <v>154</v>
      </c>
      <c r="I1649" t="s">
        <v>194</v>
      </c>
      <c r="J1649" t="s">
        <v>9</v>
      </c>
      <c r="K1649" t="s">
        <v>9</v>
      </c>
      <c r="L1649">
        <v>0</v>
      </c>
    </row>
    <row r="1650" spans="1:12" ht="14.5" hidden="1" customHeight="1" x14ac:dyDescent="0.2">
      <c r="A1650">
        <f t="shared" si="25"/>
        <v>1644</v>
      </c>
      <c r="B1650" s="54">
        <v>2019</v>
      </c>
      <c r="C1650" s="17" t="s">
        <v>207</v>
      </c>
      <c r="D1650" t="s">
        <v>479</v>
      </c>
      <c r="E1650" s="22">
        <v>200</v>
      </c>
      <c r="F1650" s="16">
        <v>0.4</v>
      </c>
      <c r="H1650" t="s">
        <v>155</v>
      </c>
      <c r="J1650" t="s">
        <v>108</v>
      </c>
      <c r="K1650" t="s">
        <v>183</v>
      </c>
      <c r="L1650">
        <v>1</v>
      </c>
    </row>
    <row r="1651" spans="1:12" ht="14.5" hidden="1" customHeight="1" x14ac:dyDescent="0.2">
      <c r="A1651">
        <f t="shared" si="25"/>
        <v>1645</v>
      </c>
      <c r="B1651" s="54">
        <v>2019</v>
      </c>
      <c r="C1651" s="17" t="s">
        <v>207</v>
      </c>
      <c r="D1651" t="s">
        <v>2434</v>
      </c>
      <c r="E1651" s="22">
        <v>230</v>
      </c>
      <c r="H1651" t="s">
        <v>154</v>
      </c>
      <c r="I1651" t="s">
        <v>250</v>
      </c>
      <c r="J1651" t="s">
        <v>108</v>
      </c>
      <c r="K1651" t="s">
        <v>183</v>
      </c>
      <c r="L1651">
        <v>1</v>
      </c>
    </row>
    <row r="1652" spans="1:12" ht="14.5" hidden="1" customHeight="1" x14ac:dyDescent="0.2">
      <c r="A1652">
        <f t="shared" si="25"/>
        <v>1646</v>
      </c>
      <c r="B1652" s="54">
        <v>2019</v>
      </c>
      <c r="C1652" s="17" t="s">
        <v>207</v>
      </c>
      <c r="D1652" t="s">
        <v>479</v>
      </c>
      <c r="E1652" s="22">
        <v>110</v>
      </c>
      <c r="H1652" t="s">
        <v>154</v>
      </c>
      <c r="I1652" t="s">
        <v>194</v>
      </c>
      <c r="J1652" t="s">
        <v>124</v>
      </c>
      <c r="K1652" t="s">
        <v>183</v>
      </c>
      <c r="L1652">
        <v>1</v>
      </c>
    </row>
    <row r="1653" spans="1:12" ht="14.5" hidden="1" customHeight="1" x14ac:dyDescent="0.2">
      <c r="A1653">
        <f t="shared" si="25"/>
        <v>1647</v>
      </c>
      <c r="B1653" s="54">
        <v>2019</v>
      </c>
      <c r="C1653" s="17" t="s">
        <v>207</v>
      </c>
      <c r="D1653" t="s">
        <v>483</v>
      </c>
      <c r="E1653" s="22">
        <v>780</v>
      </c>
      <c r="H1653" t="s">
        <v>144</v>
      </c>
      <c r="I1653" t="s">
        <v>273</v>
      </c>
      <c r="J1653" t="s">
        <v>13</v>
      </c>
      <c r="K1653" t="s">
        <v>201</v>
      </c>
      <c r="L1653">
        <v>1</v>
      </c>
    </row>
    <row r="1654" spans="1:12" ht="14.5" hidden="1" customHeight="1" x14ac:dyDescent="0.2">
      <c r="A1654">
        <f t="shared" si="25"/>
        <v>1648</v>
      </c>
      <c r="B1654" s="54">
        <v>2019</v>
      </c>
      <c r="C1654" s="17" t="s">
        <v>207</v>
      </c>
      <c r="D1654" t="s">
        <v>1061</v>
      </c>
      <c r="E1654" s="22">
        <v>680</v>
      </c>
      <c r="H1654" t="s">
        <v>154</v>
      </c>
      <c r="I1654" t="s">
        <v>529</v>
      </c>
      <c r="J1654" t="s">
        <v>19</v>
      </c>
      <c r="K1654" t="s">
        <v>205</v>
      </c>
      <c r="L1654">
        <v>0</v>
      </c>
    </row>
    <row r="1655" spans="1:12" ht="14.5" hidden="1" customHeight="1" x14ac:dyDescent="0.2">
      <c r="A1655">
        <f t="shared" si="25"/>
        <v>1649</v>
      </c>
      <c r="B1655" s="54">
        <v>2019</v>
      </c>
      <c r="C1655" s="17" t="s">
        <v>207</v>
      </c>
      <c r="D1655" s="17" t="s">
        <v>2955</v>
      </c>
      <c r="E1655" s="22">
        <v>310</v>
      </c>
      <c r="H1655" t="s">
        <v>154</v>
      </c>
      <c r="I1655" t="s">
        <v>194</v>
      </c>
      <c r="J1655" t="s">
        <v>95</v>
      </c>
      <c r="K1655" t="s">
        <v>183</v>
      </c>
      <c r="L1655">
        <v>1</v>
      </c>
    </row>
    <row r="1656" spans="1:12" ht="15.75" hidden="1" customHeight="1" x14ac:dyDescent="0.2">
      <c r="A1656">
        <f t="shared" si="25"/>
        <v>1650</v>
      </c>
      <c r="B1656" s="54">
        <v>2019</v>
      </c>
      <c r="C1656" s="17" t="s">
        <v>207</v>
      </c>
      <c r="D1656" t="s">
        <v>479</v>
      </c>
      <c r="E1656" s="22">
        <v>310</v>
      </c>
      <c r="H1656" t="s">
        <v>147</v>
      </c>
      <c r="J1656" t="s">
        <v>9</v>
      </c>
      <c r="K1656" t="s">
        <v>9</v>
      </c>
      <c r="L1656">
        <v>0</v>
      </c>
    </row>
    <row r="1657" spans="1:12" ht="14.5" hidden="1" customHeight="1" x14ac:dyDescent="0.2">
      <c r="A1657">
        <f t="shared" si="25"/>
        <v>1651</v>
      </c>
      <c r="B1657" s="54">
        <v>2019</v>
      </c>
      <c r="C1657" s="17" t="s">
        <v>240</v>
      </c>
      <c r="D1657" t="s">
        <v>199</v>
      </c>
      <c r="E1657" s="22">
        <v>120</v>
      </c>
      <c r="F1657" s="22"/>
      <c r="H1657" t="s">
        <v>144</v>
      </c>
      <c r="I1657" t="s">
        <v>187</v>
      </c>
      <c r="J1657" t="s">
        <v>55</v>
      </c>
      <c r="K1657" t="s">
        <v>214</v>
      </c>
      <c r="L1657">
        <v>1</v>
      </c>
    </row>
    <row r="1658" spans="1:12" ht="14.5" hidden="1" customHeight="1" x14ac:dyDescent="0.2">
      <c r="A1658">
        <f t="shared" si="25"/>
        <v>1652</v>
      </c>
      <c r="B1658" s="54">
        <v>2019</v>
      </c>
      <c r="C1658" s="17" t="s">
        <v>240</v>
      </c>
      <c r="D1658" t="s">
        <v>449</v>
      </c>
      <c r="E1658" s="22">
        <v>540</v>
      </c>
      <c r="F1658" s="22"/>
      <c r="H1658" t="s">
        <v>154</v>
      </c>
      <c r="I1658" t="s">
        <v>194</v>
      </c>
      <c r="J1658" t="s">
        <v>108</v>
      </c>
      <c r="K1658" t="s">
        <v>183</v>
      </c>
      <c r="L1658">
        <v>1</v>
      </c>
    </row>
    <row r="1659" spans="1:12" ht="14.5" hidden="1" customHeight="1" x14ac:dyDescent="0.2">
      <c r="A1659">
        <f t="shared" si="25"/>
        <v>1653</v>
      </c>
      <c r="B1659" s="54">
        <v>2019</v>
      </c>
      <c r="C1659" s="17" t="s">
        <v>240</v>
      </c>
      <c r="D1659" t="s">
        <v>444</v>
      </c>
      <c r="E1659" s="22">
        <v>140</v>
      </c>
      <c r="F1659" s="22"/>
      <c r="H1659" t="s">
        <v>144</v>
      </c>
      <c r="I1659" t="s">
        <v>187</v>
      </c>
      <c r="J1659" t="s">
        <v>55</v>
      </c>
      <c r="K1659" t="s">
        <v>214</v>
      </c>
      <c r="L1659">
        <v>1</v>
      </c>
    </row>
    <row r="1660" spans="1:12" ht="14.5" hidden="1" customHeight="1" x14ac:dyDescent="0.2">
      <c r="A1660">
        <f t="shared" si="25"/>
        <v>1654</v>
      </c>
      <c r="B1660" s="54">
        <v>2019</v>
      </c>
      <c r="C1660" s="17" t="s">
        <v>240</v>
      </c>
      <c r="D1660" t="s">
        <v>189</v>
      </c>
      <c r="E1660" s="22">
        <v>400</v>
      </c>
      <c r="F1660" s="22"/>
      <c r="G1660" t="s">
        <v>2002</v>
      </c>
      <c r="H1660" t="s">
        <v>144</v>
      </c>
      <c r="I1660" t="s">
        <v>299</v>
      </c>
      <c r="J1660" t="s">
        <v>105</v>
      </c>
      <c r="K1660" t="s">
        <v>214</v>
      </c>
      <c r="L1660">
        <v>1</v>
      </c>
    </row>
    <row r="1661" spans="1:12" ht="14.5" hidden="1" customHeight="1" x14ac:dyDescent="0.2">
      <c r="A1661">
        <f t="shared" si="25"/>
        <v>1655</v>
      </c>
      <c r="B1661" s="54">
        <v>2019</v>
      </c>
      <c r="C1661" s="17" t="s">
        <v>240</v>
      </c>
      <c r="D1661" t="s">
        <v>2956</v>
      </c>
      <c r="E1661" s="22">
        <v>110</v>
      </c>
      <c r="F1661" s="22"/>
      <c r="G1661" t="s">
        <v>2957</v>
      </c>
      <c r="H1661" t="s">
        <v>144</v>
      </c>
      <c r="I1661" t="s">
        <v>232</v>
      </c>
      <c r="J1661" t="s">
        <v>128</v>
      </c>
      <c r="K1661" t="s">
        <v>201</v>
      </c>
      <c r="L1661">
        <v>1</v>
      </c>
    </row>
    <row r="1662" spans="1:12" ht="14.5" hidden="1" customHeight="1" x14ac:dyDescent="0.2">
      <c r="A1662">
        <f t="shared" si="25"/>
        <v>1656</v>
      </c>
      <c r="B1662" s="54">
        <v>2019</v>
      </c>
      <c r="C1662" s="17" t="s">
        <v>240</v>
      </c>
      <c r="D1662" t="s">
        <v>703</v>
      </c>
      <c r="E1662" s="22">
        <v>100</v>
      </c>
      <c r="F1662" s="22"/>
      <c r="G1662" t="s">
        <v>1815</v>
      </c>
      <c r="H1662" t="s">
        <v>144</v>
      </c>
      <c r="I1662" t="s">
        <v>299</v>
      </c>
      <c r="J1662" t="s">
        <v>13</v>
      </c>
      <c r="K1662" t="s">
        <v>201</v>
      </c>
      <c r="L1662">
        <v>1</v>
      </c>
    </row>
    <row r="1663" spans="1:12" ht="14.5" hidden="1" customHeight="1" x14ac:dyDescent="0.2">
      <c r="A1663">
        <f t="shared" si="25"/>
        <v>1657</v>
      </c>
      <c r="B1663" s="54">
        <v>2019</v>
      </c>
      <c r="C1663" s="17" t="s">
        <v>240</v>
      </c>
      <c r="D1663" t="s">
        <v>875</v>
      </c>
      <c r="E1663" s="22">
        <v>290</v>
      </c>
      <c r="F1663" s="22"/>
      <c r="H1663" t="s">
        <v>144</v>
      </c>
      <c r="I1663" t="s">
        <v>197</v>
      </c>
      <c r="J1663" t="s">
        <v>115</v>
      </c>
      <c r="K1663" t="s">
        <v>201</v>
      </c>
      <c r="L1663">
        <v>1</v>
      </c>
    </row>
    <row r="1664" spans="1:12" ht="14.5" hidden="1" customHeight="1" x14ac:dyDescent="0.2">
      <c r="A1664">
        <f t="shared" si="25"/>
        <v>1658</v>
      </c>
      <c r="B1664" s="54">
        <v>2019</v>
      </c>
      <c r="C1664" s="17" t="s">
        <v>240</v>
      </c>
      <c r="D1664" t="s">
        <v>875</v>
      </c>
      <c r="E1664" s="22">
        <v>370</v>
      </c>
      <c r="F1664" s="16">
        <v>0.6</v>
      </c>
      <c r="G1664" t="s">
        <v>1247</v>
      </c>
      <c r="H1664" t="s">
        <v>155</v>
      </c>
      <c r="J1664" t="s">
        <v>130</v>
      </c>
      <c r="K1664" t="s">
        <v>214</v>
      </c>
      <c r="L1664">
        <v>1</v>
      </c>
    </row>
    <row r="1665" spans="1:12" ht="14.5" hidden="1" customHeight="1" x14ac:dyDescent="0.2">
      <c r="A1665">
        <f t="shared" si="25"/>
        <v>1659</v>
      </c>
      <c r="B1665" s="54">
        <v>2019</v>
      </c>
      <c r="C1665" s="17" t="s">
        <v>240</v>
      </c>
      <c r="D1665" t="s">
        <v>1035</v>
      </c>
      <c r="E1665" s="22">
        <v>190</v>
      </c>
      <c r="F1665" s="22"/>
      <c r="H1665" t="s">
        <v>154</v>
      </c>
      <c r="I1665" t="s">
        <v>194</v>
      </c>
      <c r="J1665" t="s">
        <v>98</v>
      </c>
      <c r="K1665" t="s">
        <v>195</v>
      </c>
      <c r="L1665">
        <v>1</v>
      </c>
    </row>
    <row r="1666" spans="1:12" ht="14.5" hidden="1" customHeight="1" x14ac:dyDescent="0.2">
      <c r="A1666">
        <f t="shared" si="25"/>
        <v>1660</v>
      </c>
      <c r="B1666" s="54">
        <v>2019</v>
      </c>
      <c r="C1666" s="17" t="s">
        <v>240</v>
      </c>
      <c r="D1666" t="s">
        <v>175</v>
      </c>
      <c r="E1666" s="22">
        <v>110</v>
      </c>
      <c r="F1666" s="22"/>
      <c r="H1666" t="s">
        <v>151</v>
      </c>
      <c r="I1666" t="s">
        <v>279</v>
      </c>
      <c r="J1666" t="s">
        <v>134</v>
      </c>
      <c r="K1666" t="s">
        <v>201</v>
      </c>
      <c r="L1666">
        <v>1</v>
      </c>
    </row>
    <row r="1667" spans="1:12" ht="14.5" hidden="1" customHeight="1" x14ac:dyDescent="0.2">
      <c r="A1667">
        <f t="shared" si="25"/>
        <v>1661</v>
      </c>
      <c r="B1667" s="54">
        <v>2019</v>
      </c>
      <c r="C1667" s="17" t="s">
        <v>240</v>
      </c>
      <c r="D1667" t="s">
        <v>449</v>
      </c>
      <c r="E1667" s="22">
        <v>1660</v>
      </c>
      <c r="F1667" s="22"/>
      <c r="H1667" t="s">
        <v>154</v>
      </c>
      <c r="I1667" t="s">
        <v>529</v>
      </c>
      <c r="J1667" t="s">
        <v>89</v>
      </c>
      <c r="K1667" t="s">
        <v>219</v>
      </c>
      <c r="L1667">
        <v>1</v>
      </c>
    </row>
    <row r="1668" spans="1:12" ht="14.5" hidden="1" customHeight="1" x14ac:dyDescent="0.2">
      <c r="A1668">
        <f t="shared" si="25"/>
        <v>1662</v>
      </c>
      <c r="B1668" s="54">
        <v>2019</v>
      </c>
      <c r="C1668" s="17" t="s">
        <v>240</v>
      </c>
      <c r="D1668" t="s">
        <v>1035</v>
      </c>
      <c r="E1668" s="22">
        <v>340</v>
      </c>
      <c r="F1668" s="22"/>
      <c r="G1668" t="s">
        <v>828</v>
      </c>
      <c r="H1668" t="s">
        <v>144</v>
      </c>
      <c r="I1668" t="s">
        <v>197</v>
      </c>
      <c r="J1668" t="s">
        <v>93</v>
      </c>
      <c r="K1668" t="s">
        <v>201</v>
      </c>
      <c r="L1668">
        <v>1</v>
      </c>
    </row>
    <row r="1669" spans="1:12" ht="14.5" hidden="1" customHeight="1" x14ac:dyDescent="0.2">
      <c r="A1669">
        <f t="shared" si="25"/>
        <v>1663</v>
      </c>
      <c r="B1669" s="54">
        <v>2019</v>
      </c>
      <c r="C1669" s="17" t="s">
        <v>240</v>
      </c>
      <c r="D1669" t="s">
        <v>449</v>
      </c>
      <c r="E1669" s="22">
        <v>190</v>
      </c>
      <c r="F1669" s="22"/>
      <c r="H1669" t="s">
        <v>153</v>
      </c>
      <c r="J1669" t="s">
        <v>23</v>
      </c>
      <c r="K1669" t="s">
        <v>183</v>
      </c>
      <c r="L1669">
        <v>1</v>
      </c>
    </row>
    <row r="1670" spans="1:12" ht="14.5" hidden="1" customHeight="1" x14ac:dyDescent="0.2">
      <c r="A1670">
        <f t="shared" si="25"/>
        <v>1664</v>
      </c>
      <c r="B1670" s="54">
        <v>2019</v>
      </c>
      <c r="C1670" s="17" t="s">
        <v>240</v>
      </c>
      <c r="D1670" t="s">
        <v>479</v>
      </c>
      <c r="E1670" s="22">
        <v>500</v>
      </c>
      <c r="F1670" s="22"/>
      <c r="H1670" t="s">
        <v>145</v>
      </c>
      <c r="J1670" t="s">
        <v>9</v>
      </c>
      <c r="K1670" t="s">
        <v>9</v>
      </c>
      <c r="L1670">
        <v>0</v>
      </c>
    </row>
    <row r="1671" spans="1:12" ht="14.5" hidden="1" customHeight="1" x14ac:dyDescent="0.2">
      <c r="A1671">
        <f t="shared" ref="A1671:A1734" si="26">ROW()-6</f>
        <v>1665</v>
      </c>
      <c r="B1671" s="54">
        <v>2019</v>
      </c>
      <c r="C1671" s="17" t="s">
        <v>240</v>
      </c>
      <c r="D1671" t="s">
        <v>1035</v>
      </c>
      <c r="E1671" s="22">
        <v>360</v>
      </c>
      <c r="F1671" s="22"/>
      <c r="H1671" t="s">
        <v>155</v>
      </c>
      <c r="J1671" t="s">
        <v>6</v>
      </c>
      <c r="K1671" t="s">
        <v>219</v>
      </c>
      <c r="L1671">
        <v>1</v>
      </c>
    </row>
    <row r="1672" spans="1:12" ht="14.5" hidden="1" customHeight="1" x14ac:dyDescent="0.2">
      <c r="A1672">
        <f t="shared" si="26"/>
        <v>1666</v>
      </c>
      <c r="B1672" s="54">
        <v>2019</v>
      </c>
      <c r="C1672" s="17" t="s">
        <v>240</v>
      </c>
      <c r="D1672" t="s">
        <v>341</v>
      </c>
      <c r="E1672" s="22">
        <v>350</v>
      </c>
      <c r="F1672" s="22"/>
      <c r="H1672" t="s">
        <v>154</v>
      </c>
      <c r="I1672" t="s">
        <v>529</v>
      </c>
      <c r="J1672" t="s">
        <v>106</v>
      </c>
      <c r="K1672" t="s">
        <v>195</v>
      </c>
      <c r="L1672">
        <v>1</v>
      </c>
    </row>
    <row r="1673" spans="1:12" ht="14.5" hidden="1" customHeight="1" x14ac:dyDescent="0.2">
      <c r="A1673">
        <f t="shared" si="26"/>
        <v>1667</v>
      </c>
      <c r="B1673" s="54">
        <v>2019</v>
      </c>
      <c r="C1673" s="17" t="s">
        <v>240</v>
      </c>
      <c r="D1673" t="s">
        <v>2228</v>
      </c>
      <c r="E1673" s="22">
        <v>710</v>
      </c>
      <c r="F1673" s="22"/>
      <c r="H1673" t="s">
        <v>154</v>
      </c>
      <c r="I1673" t="s">
        <v>194</v>
      </c>
      <c r="J1673" t="s">
        <v>2554</v>
      </c>
      <c r="K1673" t="s">
        <v>219</v>
      </c>
      <c r="L1673">
        <v>1</v>
      </c>
    </row>
    <row r="1674" spans="1:12" ht="14.5" hidden="1" customHeight="1" x14ac:dyDescent="0.2">
      <c r="A1674">
        <f t="shared" si="26"/>
        <v>1668</v>
      </c>
      <c r="B1674" s="54">
        <v>2019</v>
      </c>
      <c r="C1674" s="17" t="s">
        <v>240</v>
      </c>
      <c r="D1674" t="s">
        <v>2486</v>
      </c>
      <c r="E1674" s="22">
        <v>100</v>
      </c>
      <c r="F1674" s="22"/>
      <c r="H1674" t="s">
        <v>150</v>
      </c>
      <c r="I1674" t="s">
        <v>217</v>
      </c>
      <c r="J1674" t="s">
        <v>126</v>
      </c>
      <c r="K1674" t="s">
        <v>177</v>
      </c>
      <c r="L1674">
        <v>1</v>
      </c>
    </row>
    <row r="1675" spans="1:12" ht="14.5" hidden="1" customHeight="1" x14ac:dyDescent="0.2">
      <c r="A1675">
        <f t="shared" si="26"/>
        <v>1669</v>
      </c>
      <c r="B1675" s="54">
        <v>2019</v>
      </c>
      <c r="C1675" s="17" t="s">
        <v>212</v>
      </c>
      <c r="D1675" t="s">
        <v>307</v>
      </c>
      <c r="E1675" s="22">
        <v>1100</v>
      </c>
      <c r="F1675" s="22"/>
      <c r="G1675" t="s">
        <v>2958</v>
      </c>
      <c r="H1675" t="s">
        <v>155</v>
      </c>
      <c r="J1675" t="s">
        <v>105</v>
      </c>
      <c r="K1675" t="s">
        <v>214</v>
      </c>
      <c r="L1675">
        <v>1</v>
      </c>
    </row>
    <row r="1676" spans="1:12" ht="14.5" hidden="1" customHeight="1" x14ac:dyDescent="0.2">
      <c r="A1676">
        <f t="shared" si="26"/>
        <v>1670</v>
      </c>
      <c r="B1676" s="54">
        <v>2019</v>
      </c>
      <c r="C1676" s="17" t="s">
        <v>212</v>
      </c>
      <c r="D1676" t="s">
        <v>479</v>
      </c>
      <c r="E1676" s="22">
        <v>100</v>
      </c>
      <c r="F1676" s="22"/>
      <c r="G1676" t="s">
        <v>2959</v>
      </c>
      <c r="H1676" t="s">
        <v>154</v>
      </c>
      <c r="I1676" t="s">
        <v>529</v>
      </c>
      <c r="J1676" t="s">
        <v>9</v>
      </c>
      <c r="K1676" t="s">
        <v>9</v>
      </c>
      <c r="L1676">
        <v>0</v>
      </c>
    </row>
    <row r="1677" spans="1:12" ht="14.5" hidden="1" customHeight="1" x14ac:dyDescent="0.2">
      <c r="A1677">
        <f t="shared" si="26"/>
        <v>1671</v>
      </c>
      <c r="B1677" s="54">
        <v>2019</v>
      </c>
      <c r="C1677" s="17" t="s">
        <v>212</v>
      </c>
      <c r="D1677" t="s">
        <v>479</v>
      </c>
      <c r="E1677" s="22">
        <v>160</v>
      </c>
      <c r="F1677" s="27"/>
      <c r="H1677" t="s">
        <v>154</v>
      </c>
      <c r="I1677" t="s">
        <v>529</v>
      </c>
      <c r="J1677" t="s">
        <v>9</v>
      </c>
      <c r="K1677" t="s">
        <v>9</v>
      </c>
      <c r="L1677">
        <v>0</v>
      </c>
    </row>
    <row r="1678" spans="1:12" ht="14.5" hidden="1" customHeight="1" x14ac:dyDescent="0.2">
      <c r="A1678">
        <f t="shared" si="26"/>
        <v>1672</v>
      </c>
      <c r="B1678" s="54">
        <v>2019</v>
      </c>
      <c r="C1678" s="17" t="s">
        <v>212</v>
      </c>
      <c r="D1678" t="s">
        <v>444</v>
      </c>
      <c r="E1678" s="22">
        <v>690</v>
      </c>
      <c r="H1678" t="s">
        <v>151</v>
      </c>
      <c r="I1678" t="s">
        <v>279</v>
      </c>
      <c r="J1678" t="s">
        <v>2929</v>
      </c>
      <c r="K1678" t="s">
        <v>214</v>
      </c>
      <c r="L1678">
        <v>1</v>
      </c>
    </row>
    <row r="1679" spans="1:12" ht="14.5" hidden="1" customHeight="1" x14ac:dyDescent="0.2">
      <c r="A1679">
        <f t="shared" si="26"/>
        <v>1673</v>
      </c>
      <c r="B1679" s="54">
        <v>2019</v>
      </c>
      <c r="C1679" s="17" t="s">
        <v>212</v>
      </c>
      <c r="D1679" t="s">
        <v>397</v>
      </c>
      <c r="E1679" s="22">
        <v>110</v>
      </c>
      <c r="H1679" t="s">
        <v>151</v>
      </c>
      <c r="I1679" t="s">
        <v>279</v>
      </c>
      <c r="J1679" t="s">
        <v>130</v>
      </c>
      <c r="K1679" t="s">
        <v>214</v>
      </c>
      <c r="L1679">
        <v>1</v>
      </c>
    </row>
    <row r="1680" spans="1:12" ht="14.5" hidden="1" customHeight="1" x14ac:dyDescent="0.2">
      <c r="A1680">
        <f t="shared" si="26"/>
        <v>1674</v>
      </c>
      <c r="B1680" s="54">
        <v>2019</v>
      </c>
      <c r="C1680" s="17" t="s">
        <v>212</v>
      </c>
      <c r="D1680" t="s">
        <v>341</v>
      </c>
      <c r="E1680" s="22">
        <v>160</v>
      </c>
      <c r="H1680" t="s">
        <v>154</v>
      </c>
      <c r="I1680" t="s">
        <v>529</v>
      </c>
      <c r="J1680" t="s">
        <v>108</v>
      </c>
      <c r="K1680" t="s">
        <v>183</v>
      </c>
      <c r="L1680">
        <v>1</v>
      </c>
    </row>
    <row r="1681" spans="1:12" ht="14.5" hidden="1" customHeight="1" x14ac:dyDescent="0.2">
      <c r="A1681">
        <f t="shared" si="26"/>
        <v>1675</v>
      </c>
      <c r="B1681" s="54">
        <v>2019</v>
      </c>
      <c r="C1681" s="17" t="s">
        <v>212</v>
      </c>
      <c r="D1681" t="s">
        <v>189</v>
      </c>
      <c r="E1681" s="22">
        <v>140</v>
      </c>
      <c r="H1681" t="s">
        <v>144</v>
      </c>
      <c r="J1681" t="s">
        <v>105</v>
      </c>
      <c r="K1681" t="s">
        <v>214</v>
      </c>
      <c r="L1681">
        <v>1</v>
      </c>
    </row>
    <row r="1682" spans="1:12" ht="14.5" hidden="1" customHeight="1" x14ac:dyDescent="0.2">
      <c r="A1682">
        <f t="shared" si="26"/>
        <v>1676</v>
      </c>
      <c r="B1682" s="54">
        <v>2019</v>
      </c>
      <c r="C1682" s="17" t="s">
        <v>212</v>
      </c>
      <c r="D1682" t="s">
        <v>449</v>
      </c>
      <c r="E1682" s="22">
        <v>420</v>
      </c>
      <c r="H1682" t="s">
        <v>154</v>
      </c>
      <c r="I1682" t="s">
        <v>194</v>
      </c>
      <c r="J1682" t="s">
        <v>37</v>
      </c>
      <c r="K1682" t="s">
        <v>205</v>
      </c>
      <c r="L1682">
        <v>1</v>
      </c>
    </row>
    <row r="1683" spans="1:12" ht="14.5" hidden="1" customHeight="1" x14ac:dyDescent="0.2">
      <c r="A1683">
        <f t="shared" si="26"/>
        <v>1677</v>
      </c>
      <c r="B1683" s="54">
        <v>2019</v>
      </c>
      <c r="C1683" s="17" t="s">
        <v>212</v>
      </c>
      <c r="D1683" t="s">
        <v>449</v>
      </c>
      <c r="E1683" s="22">
        <v>600</v>
      </c>
      <c r="H1683" t="s">
        <v>154</v>
      </c>
      <c r="I1683" t="s">
        <v>529</v>
      </c>
      <c r="J1683" t="s">
        <v>130</v>
      </c>
      <c r="K1683" t="s">
        <v>214</v>
      </c>
      <c r="L1683">
        <v>1</v>
      </c>
    </row>
    <row r="1684" spans="1:12" ht="14.5" hidden="1" customHeight="1" x14ac:dyDescent="0.2">
      <c r="A1684">
        <f t="shared" si="26"/>
        <v>1678</v>
      </c>
      <c r="B1684" s="54">
        <v>2019</v>
      </c>
      <c r="C1684" s="17" t="s">
        <v>212</v>
      </c>
      <c r="D1684" t="s">
        <v>2960</v>
      </c>
      <c r="E1684" s="22">
        <v>190</v>
      </c>
      <c r="H1684" t="s">
        <v>154</v>
      </c>
      <c r="I1684" t="s">
        <v>529</v>
      </c>
      <c r="J1684" t="s">
        <v>124</v>
      </c>
      <c r="K1684" t="s">
        <v>183</v>
      </c>
      <c r="L1684">
        <v>1</v>
      </c>
    </row>
    <row r="1685" spans="1:12" s="17" customFormat="1" ht="14.5" hidden="1" customHeight="1" x14ac:dyDescent="0.2">
      <c r="A1685" s="17">
        <f t="shared" si="26"/>
        <v>1679</v>
      </c>
      <c r="B1685" s="73">
        <v>2019</v>
      </c>
      <c r="C1685" s="17" t="s">
        <v>212</v>
      </c>
      <c r="D1685" s="17" t="s">
        <v>175</v>
      </c>
      <c r="E1685" s="24">
        <v>280</v>
      </c>
      <c r="F1685" s="18"/>
      <c r="G1685" s="17" t="s">
        <v>2961</v>
      </c>
      <c r="H1685" s="17" t="s">
        <v>144</v>
      </c>
      <c r="I1685" s="17" t="s">
        <v>232</v>
      </c>
      <c r="J1685" s="17" t="s">
        <v>123</v>
      </c>
      <c r="K1685" s="17" t="s">
        <v>219</v>
      </c>
      <c r="L1685" s="17">
        <v>1</v>
      </c>
    </row>
    <row r="1686" spans="1:12" ht="14.5" hidden="1" customHeight="1" x14ac:dyDescent="0.2">
      <c r="A1686">
        <f t="shared" si="26"/>
        <v>1680</v>
      </c>
      <c r="B1686" s="54">
        <v>2019</v>
      </c>
      <c r="C1686" s="17" t="s">
        <v>212</v>
      </c>
      <c r="D1686" t="s">
        <v>199</v>
      </c>
      <c r="E1686" s="22">
        <v>120</v>
      </c>
      <c r="H1686" t="s">
        <v>144</v>
      </c>
      <c r="I1686" t="s">
        <v>187</v>
      </c>
      <c r="J1686" t="s">
        <v>5</v>
      </c>
      <c r="K1686" t="s">
        <v>214</v>
      </c>
      <c r="L1686">
        <v>1</v>
      </c>
    </row>
    <row r="1687" spans="1:12" ht="14.5" hidden="1" customHeight="1" x14ac:dyDescent="0.2">
      <c r="A1687">
        <f t="shared" si="26"/>
        <v>1681</v>
      </c>
      <c r="B1687" s="54">
        <v>2019</v>
      </c>
      <c r="C1687" s="17" t="s">
        <v>212</v>
      </c>
      <c r="D1687" t="s">
        <v>703</v>
      </c>
      <c r="E1687" s="22">
        <v>220</v>
      </c>
      <c r="G1687" t="s">
        <v>2962</v>
      </c>
      <c r="H1687" t="s">
        <v>144</v>
      </c>
      <c r="I1687" t="s">
        <v>299</v>
      </c>
      <c r="J1687" t="s">
        <v>93</v>
      </c>
      <c r="K1687" t="s">
        <v>201</v>
      </c>
      <c r="L1687">
        <v>1</v>
      </c>
    </row>
    <row r="1688" spans="1:12" ht="14.5" hidden="1" customHeight="1" x14ac:dyDescent="0.2">
      <c r="A1688">
        <f t="shared" si="26"/>
        <v>1682</v>
      </c>
      <c r="B1688" s="54">
        <v>2020</v>
      </c>
      <c r="C1688" s="17" t="s">
        <v>172</v>
      </c>
      <c r="D1688" t="s">
        <v>397</v>
      </c>
      <c r="E1688" s="22">
        <v>100</v>
      </c>
      <c r="H1688" t="s">
        <v>151</v>
      </c>
      <c r="I1688" t="s">
        <v>279</v>
      </c>
      <c r="J1688" t="s">
        <v>65</v>
      </c>
      <c r="K1688" t="s">
        <v>214</v>
      </c>
      <c r="L1688">
        <v>1</v>
      </c>
    </row>
    <row r="1689" spans="1:12" ht="14.5" hidden="1" customHeight="1" x14ac:dyDescent="0.2">
      <c r="A1689">
        <f t="shared" si="26"/>
        <v>1683</v>
      </c>
      <c r="B1689" s="54">
        <v>2020</v>
      </c>
      <c r="C1689" s="17" t="s">
        <v>172</v>
      </c>
      <c r="D1689" t="s">
        <v>2963</v>
      </c>
      <c r="E1689" s="22">
        <v>1100</v>
      </c>
      <c r="G1689" t="s">
        <v>2760</v>
      </c>
      <c r="H1689" t="s">
        <v>149</v>
      </c>
      <c r="I1689" t="s">
        <v>238</v>
      </c>
      <c r="J1689" t="s">
        <v>48</v>
      </c>
      <c r="K1689" t="s">
        <v>219</v>
      </c>
      <c r="L1689">
        <v>1</v>
      </c>
    </row>
    <row r="1690" spans="1:12" ht="14.5" hidden="1" customHeight="1" x14ac:dyDescent="0.2">
      <c r="A1690">
        <f t="shared" si="26"/>
        <v>1684</v>
      </c>
      <c r="B1690" s="54">
        <v>2020</v>
      </c>
      <c r="C1690" s="17" t="s">
        <v>172</v>
      </c>
      <c r="D1690" t="s">
        <v>2964</v>
      </c>
      <c r="E1690" s="22">
        <v>140</v>
      </c>
      <c r="F1690" s="16">
        <v>0.9</v>
      </c>
      <c r="G1690" t="s">
        <v>2965</v>
      </c>
      <c r="H1690" t="s">
        <v>154</v>
      </c>
      <c r="I1690" t="s">
        <v>529</v>
      </c>
      <c r="J1690" t="s">
        <v>52</v>
      </c>
      <c r="K1690" t="s">
        <v>201</v>
      </c>
      <c r="L1690">
        <v>0</v>
      </c>
    </row>
    <row r="1691" spans="1:12" ht="14.5" hidden="1" customHeight="1" x14ac:dyDescent="0.2">
      <c r="A1691">
        <f t="shared" si="26"/>
        <v>1685</v>
      </c>
      <c r="B1691" s="54">
        <v>2020</v>
      </c>
      <c r="C1691" s="17" t="s">
        <v>172</v>
      </c>
      <c r="D1691" t="s">
        <v>875</v>
      </c>
      <c r="E1691" s="22">
        <v>750</v>
      </c>
      <c r="H1691" t="s">
        <v>144</v>
      </c>
      <c r="I1691" t="s">
        <v>273</v>
      </c>
      <c r="J1691" t="s">
        <v>136</v>
      </c>
      <c r="K1691" t="s">
        <v>183</v>
      </c>
      <c r="L1691">
        <v>1</v>
      </c>
    </row>
    <row r="1692" spans="1:12" ht="14.5" hidden="1" customHeight="1" x14ac:dyDescent="0.2">
      <c r="A1692">
        <f t="shared" si="26"/>
        <v>1686</v>
      </c>
      <c r="B1692" s="54">
        <v>2020</v>
      </c>
      <c r="C1692" s="17" t="s">
        <v>172</v>
      </c>
      <c r="D1692" t="s">
        <v>2966</v>
      </c>
      <c r="E1692" s="22">
        <v>140</v>
      </c>
      <c r="H1692" t="s">
        <v>154</v>
      </c>
      <c r="I1692" t="s">
        <v>194</v>
      </c>
      <c r="J1692" t="s">
        <v>64</v>
      </c>
      <c r="K1692" t="s">
        <v>219</v>
      </c>
      <c r="L1692">
        <v>1</v>
      </c>
    </row>
    <row r="1693" spans="1:12" ht="14.5" hidden="1" customHeight="1" x14ac:dyDescent="0.2">
      <c r="A1693">
        <f t="shared" si="26"/>
        <v>1687</v>
      </c>
      <c r="B1693" s="54">
        <v>2020</v>
      </c>
      <c r="C1693" s="17" t="s">
        <v>172</v>
      </c>
      <c r="D1693" t="s">
        <v>199</v>
      </c>
      <c r="E1693" s="22">
        <v>840</v>
      </c>
      <c r="F1693" s="16">
        <v>0.8</v>
      </c>
      <c r="G1693" t="s">
        <v>2878</v>
      </c>
      <c r="H1693" t="s">
        <v>144</v>
      </c>
      <c r="I1693" t="s">
        <v>299</v>
      </c>
      <c r="J1693" t="s">
        <v>89</v>
      </c>
      <c r="K1693" t="s">
        <v>219</v>
      </c>
      <c r="L1693">
        <v>1</v>
      </c>
    </row>
    <row r="1694" spans="1:12" ht="14.5" hidden="1" customHeight="1" x14ac:dyDescent="0.2">
      <c r="A1694">
        <f t="shared" si="26"/>
        <v>1688</v>
      </c>
      <c r="B1694" s="54">
        <v>2020</v>
      </c>
      <c r="C1694" s="17" t="s">
        <v>172</v>
      </c>
      <c r="D1694" t="s">
        <v>2967</v>
      </c>
      <c r="E1694" s="22">
        <v>310</v>
      </c>
      <c r="H1694" t="s">
        <v>151</v>
      </c>
      <c r="I1694" t="s">
        <v>279</v>
      </c>
      <c r="J1694" t="s">
        <v>122</v>
      </c>
      <c r="K1694" t="s">
        <v>201</v>
      </c>
      <c r="L1694">
        <v>1</v>
      </c>
    </row>
    <row r="1695" spans="1:12" ht="14.5" hidden="1" customHeight="1" x14ac:dyDescent="0.2">
      <c r="A1695">
        <f t="shared" si="26"/>
        <v>1689</v>
      </c>
      <c r="B1695" s="54">
        <v>2020</v>
      </c>
      <c r="C1695" s="17" t="s">
        <v>172</v>
      </c>
      <c r="D1695" t="s">
        <v>1035</v>
      </c>
      <c r="E1695" s="22">
        <v>110</v>
      </c>
      <c r="H1695" t="s">
        <v>144</v>
      </c>
      <c r="I1695" t="s">
        <v>197</v>
      </c>
      <c r="J1695" t="s">
        <v>77</v>
      </c>
      <c r="K1695" t="s">
        <v>177</v>
      </c>
      <c r="L1695">
        <v>0</v>
      </c>
    </row>
    <row r="1696" spans="1:12" ht="14.5" hidden="1" customHeight="1" x14ac:dyDescent="0.2">
      <c r="A1696">
        <f t="shared" si="26"/>
        <v>1690</v>
      </c>
      <c r="B1696" s="54">
        <v>2020</v>
      </c>
      <c r="C1696" s="17" t="s">
        <v>172</v>
      </c>
      <c r="D1696" t="s">
        <v>2968</v>
      </c>
      <c r="E1696" s="22">
        <v>200</v>
      </c>
      <c r="H1696" t="s">
        <v>154</v>
      </c>
      <c r="I1696" t="s">
        <v>194</v>
      </c>
      <c r="J1696" t="s">
        <v>44</v>
      </c>
      <c r="K1696" t="s">
        <v>201</v>
      </c>
      <c r="L1696">
        <v>1</v>
      </c>
    </row>
    <row r="1697" spans="1:12" ht="14.5" hidden="1" customHeight="1" x14ac:dyDescent="0.2">
      <c r="A1697">
        <f t="shared" si="26"/>
        <v>1691</v>
      </c>
      <c r="B1697" s="54">
        <v>2020</v>
      </c>
      <c r="C1697" s="17" t="s">
        <v>172</v>
      </c>
      <c r="D1697" t="s">
        <v>449</v>
      </c>
      <c r="E1697" s="22">
        <v>180</v>
      </c>
      <c r="G1697" t="s">
        <v>2969</v>
      </c>
      <c r="H1697" t="s">
        <v>154</v>
      </c>
      <c r="I1697" t="s">
        <v>529</v>
      </c>
      <c r="J1697" t="s">
        <v>108</v>
      </c>
      <c r="K1697" t="s">
        <v>183</v>
      </c>
      <c r="L1697">
        <v>1</v>
      </c>
    </row>
    <row r="1698" spans="1:12" ht="14.5" hidden="1" customHeight="1" x14ac:dyDescent="0.2">
      <c r="A1698">
        <f t="shared" si="26"/>
        <v>1692</v>
      </c>
      <c r="B1698" s="54">
        <v>2020</v>
      </c>
      <c r="C1698" s="17" t="s">
        <v>172</v>
      </c>
      <c r="D1698" t="s">
        <v>444</v>
      </c>
      <c r="E1698" s="22">
        <v>230</v>
      </c>
      <c r="H1698" t="s">
        <v>155</v>
      </c>
      <c r="J1698" t="s">
        <v>115</v>
      </c>
      <c r="K1698" t="s">
        <v>201</v>
      </c>
      <c r="L1698">
        <v>1</v>
      </c>
    </row>
    <row r="1699" spans="1:12" ht="14.5" hidden="1" customHeight="1" x14ac:dyDescent="0.2">
      <c r="A1699">
        <f t="shared" si="26"/>
        <v>1693</v>
      </c>
      <c r="B1699" s="54">
        <v>2020</v>
      </c>
      <c r="C1699" s="17" t="s">
        <v>258</v>
      </c>
      <c r="D1699" t="s">
        <v>1035</v>
      </c>
      <c r="E1699" s="22">
        <v>230</v>
      </c>
      <c r="G1699" t="s">
        <v>2970</v>
      </c>
      <c r="H1699" t="s">
        <v>154</v>
      </c>
      <c r="I1699" t="s">
        <v>529</v>
      </c>
      <c r="J1699" t="s">
        <v>130</v>
      </c>
      <c r="K1699" t="s">
        <v>214</v>
      </c>
      <c r="L1699">
        <v>1</v>
      </c>
    </row>
    <row r="1700" spans="1:12" ht="14.5" hidden="1" customHeight="1" x14ac:dyDescent="0.2">
      <c r="A1700">
        <f t="shared" si="26"/>
        <v>1694</v>
      </c>
      <c r="B1700" s="54">
        <v>2020</v>
      </c>
      <c r="C1700" s="17" t="s">
        <v>258</v>
      </c>
      <c r="D1700" t="s">
        <v>1035</v>
      </c>
      <c r="E1700" s="22">
        <v>460</v>
      </c>
      <c r="G1700" t="s">
        <v>2971</v>
      </c>
      <c r="H1700" t="s">
        <v>144</v>
      </c>
      <c r="I1700" t="s">
        <v>232</v>
      </c>
      <c r="J1700" t="s">
        <v>100</v>
      </c>
      <c r="K1700" t="s">
        <v>214</v>
      </c>
      <c r="L1700">
        <v>1</v>
      </c>
    </row>
    <row r="1701" spans="1:12" ht="14.5" hidden="1" customHeight="1" x14ac:dyDescent="0.2">
      <c r="A1701">
        <f t="shared" si="26"/>
        <v>1695</v>
      </c>
      <c r="B1701" s="54">
        <v>2020</v>
      </c>
      <c r="C1701" s="17" t="s">
        <v>258</v>
      </c>
      <c r="D1701" t="s">
        <v>449</v>
      </c>
      <c r="E1701" s="22">
        <v>990</v>
      </c>
      <c r="H1701" t="s">
        <v>154</v>
      </c>
      <c r="I1701" t="s">
        <v>529</v>
      </c>
      <c r="J1701" t="s">
        <v>89</v>
      </c>
      <c r="K1701" t="s">
        <v>219</v>
      </c>
      <c r="L1701">
        <v>1</v>
      </c>
    </row>
    <row r="1702" spans="1:12" ht="14.5" hidden="1" customHeight="1" x14ac:dyDescent="0.2">
      <c r="A1702">
        <f t="shared" si="26"/>
        <v>1696</v>
      </c>
      <c r="B1702" s="54">
        <v>2020</v>
      </c>
      <c r="C1702" s="17" t="s">
        <v>258</v>
      </c>
      <c r="D1702" t="s">
        <v>1035</v>
      </c>
      <c r="E1702" s="22">
        <v>380</v>
      </c>
      <c r="H1702" t="s">
        <v>144</v>
      </c>
      <c r="I1702" t="s">
        <v>197</v>
      </c>
      <c r="J1702" t="s">
        <v>53</v>
      </c>
      <c r="K1702" t="s">
        <v>183</v>
      </c>
      <c r="L1702">
        <v>1</v>
      </c>
    </row>
    <row r="1703" spans="1:12" ht="14.5" hidden="1" customHeight="1" x14ac:dyDescent="0.2">
      <c r="A1703">
        <f t="shared" si="26"/>
        <v>1697</v>
      </c>
      <c r="B1703" s="54">
        <v>2020</v>
      </c>
      <c r="C1703" s="17" t="s">
        <v>258</v>
      </c>
      <c r="D1703" t="s">
        <v>397</v>
      </c>
      <c r="E1703" s="22">
        <v>100</v>
      </c>
      <c r="F1703" s="16">
        <v>0.7</v>
      </c>
      <c r="G1703" t="s">
        <v>2945</v>
      </c>
      <c r="H1703" t="s">
        <v>151</v>
      </c>
      <c r="I1703" t="s">
        <v>279</v>
      </c>
      <c r="J1703" t="s">
        <v>108</v>
      </c>
      <c r="K1703" t="s">
        <v>183</v>
      </c>
      <c r="L1703">
        <v>1</v>
      </c>
    </row>
    <row r="1704" spans="1:12" ht="14.5" hidden="1" customHeight="1" x14ac:dyDescent="0.2">
      <c r="A1704">
        <f t="shared" si="26"/>
        <v>1698</v>
      </c>
      <c r="B1704" s="54">
        <v>2020</v>
      </c>
      <c r="C1704" s="17" t="s">
        <v>258</v>
      </c>
      <c r="D1704" t="s">
        <v>479</v>
      </c>
      <c r="E1704" s="22">
        <v>100</v>
      </c>
      <c r="H1704" t="s">
        <v>150</v>
      </c>
      <c r="I1704" t="s">
        <v>217</v>
      </c>
      <c r="J1704" t="s">
        <v>59</v>
      </c>
      <c r="K1704" t="s">
        <v>219</v>
      </c>
      <c r="L1704">
        <v>1</v>
      </c>
    </row>
    <row r="1705" spans="1:12" ht="14.5" hidden="1" customHeight="1" x14ac:dyDescent="0.2">
      <c r="A1705">
        <f t="shared" si="26"/>
        <v>1699</v>
      </c>
      <c r="B1705" s="54">
        <v>2020</v>
      </c>
      <c r="C1705" s="17" t="s">
        <v>258</v>
      </c>
      <c r="D1705" t="s">
        <v>479</v>
      </c>
      <c r="E1705" s="22">
        <v>290</v>
      </c>
      <c r="H1705" t="s">
        <v>150</v>
      </c>
      <c r="J1705" t="s">
        <v>9</v>
      </c>
      <c r="K1705" t="s">
        <v>9</v>
      </c>
      <c r="L1705">
        <v>0</v>
      </c>
    </row>
    <row r="1706" spans="1:12" ht="14.5" hidden="1" customHeight="1" x14ac:dyDescent="0.2">
      <c r="A1706">
        <f t="shared" si="26"/>
        <v>1700</v>
      </c>
      <c r="B1706" s="54">
        <v>2020</v>
      </c>
      <c r="C1706" s="17" t="s">
        <v>258</v>
      </c>
      <c r="D1706" t="s">
        <v>444</v>
      </c>
      <c r="E1706" s="22">
        <v>600</v>
      </c>
      <c r="G1706" t="s">
        <v>2972</v>
      </c>
      <c r="H1706" t="s">
        <v>144</v>
      </c>
      <c r="I1706" t="s">
        <v>299</v>
      </c>
      <c r="J1706" t="s">
        <v>128</v>
      </c>
      <c r="K1706" t="s">
        <v>201</v>
      </c>
      <c r="L1706">
        <v>1</v>
      </c>
    </row>
    <row r="1707" spans="1:12" ht="14.5" hidden="1" customHeight="1" x14ac:dyDescent="0.2">
      <c r="A1707">
        <f t="shared" si="26"/>
        <v>1701</v>
      </c>
      <c r="B1707" s="54">
        <v>2020</v>
      </c>
      <c r="C1707" s="17" t="s">
        <v>179</v>
      </c>
      <c r="D1707" t="s">
        <v>199</v>
      </c>
      <c r="E1707" s="22">
        <v>200</v>
      </c>
      <c r="H1707" t="s">
        <v>144</v>
      </c>
      <c r="I1707" t="s">
        <v>299</v>
      </c>
      <c r="J1707" t="s">
        <v>55</v>
      </c>
      <c r="K1707" t="s">
        <v>214</v>
      </c>
      <c r="L1707">
        <v>1</v>
      </c>
    </row>
    <row r="1708" spans="1:12" ht="14.5" hidden="1" customHeight="1" x14ac:dyDescent="0.2">
      <c r="A1708">
        <f t="shared" si="26"/>
        <v>1702</v>
      </c>
      <c r="B1708" s="54">
        <v>2020</v>
      </c>
      <c r="C1708" s="17" t="s">
        <v>179</v>
      </c>
      <c r="D1708" t="s">
        <v>875</v>
      </c>
      <c r="E1708" s="22">
        <v>240</v>
      </c>
      <c r="G1708" t="s">
        <v>2973</v>
      </c>
      <c r="H1708" t="s">
        <v>144</v>
      </c>
      <c r="I1708" t="s">
        <v>232</v>
      </c>
      <c r="J1708" t="s">
        <v>133</v>
      </c>
      <c r="K1708" t="s">
        <v>195</v>
      </c>
      <c r="L1708">
        <v>1</v>
      </c>
    </row>
    <row r="1709" spans="1:12" ht="14.5" hidden="1" customHeight="1" x14ac:dyDescent="0.2">
      <c r="A1709">
        <f t="shared" si="26"/>
        <v>1703</v>
      </c>
      <c r="B1709" s="54">
        <v>2020</v>
      </c>
      <c r="C1709" s="17" t="s">
        <v>179</v>
      </c>
      <c r="D1709" t="s">
        <v>2547</v>
      </c>
      <c r="E1709" s="22">
        <v>260</v>
      </c>
      <c r="H1709" t="s">
        <v>154</v>
      </c>
      <c r="I1709" t="s">
        <v>250</v>
      </c>
      <c r="J1709" t="s">
        <v>13</v>
      </c>
      <c r="K1709" t="s">
        <v>201</v>
      </c>
      <c r="L1709">
        <v>1</v>
      </c>
    </row>
    <row r="1710" spans="1:12" ht="14.5" hidden="1" customHeight="1" x14ac:dyDescent="0.2">
      <c r="A1710">
        <f t="shared" si="26"/>
        <v>1704</v>
      </c>
      <c r="B1710" s="54">
        <v>2020</v>
      </c>
      <c r="C1710" s="17" t="s">
        <v>179</v>
      </c>
      <c r="D1710" t="s">
        <v>1035</v>
      </c>
      <c r="E1710" s="22">
        <v>630</v>
      </c>
      <c r="H1710" t="s">
        <v>144</v>
      </c>
      <c r="I1710" t="s">
        <v>273</v>
      </c>
      <c r="J1710" t="s">
        <v>139</v>
      </c>
      <c r="K1710" t="s">
        <v>219</v>
      </c>
      <c r="L1710">
        <v>1</v>
      </c>
    </row>
    <row r="1711" spans="1:12" ht="14.5" hidden="1" customHeight="1" x14ac:dyDescent="0.2">
      <c r="A1711">
        <f t="shared" si="26"/>
        <v>1705</v>
      </c>
      <c r="B1711" s="54">
        <v>2020</v>
      </c>
      <c r="C1711" s="17" t="s">
        <v>179</v>
      </c>
      <c r="D1711" t="s">
        <v>1035</v>
      </c>
      <c r="E1711" s="22">
        <v>130</v>
      </c>
      <c r="G1711" t="s">
        <v>2974</v>
      </c>
      <c r="H1711" t="s">
        <v>144</v>
      </c>
      <c r="J1711" t="s">
        <v>13</v>
      </c>
      <c r="K1711" t="s">
        <v>201</v>
      </c>
      <c r="L1711">
        <v>1</v>
      </c>
    </row>
    <row r="1712" spans="1:12" ht="14.5" hidden="1" customHeight="1" x14ac:dyDescent="0.2">
      <c r="A1712">
        <f t="shared" si="26"/>
        <v>1706</v>
      </c>
      <c r="B1712" s="54">
        <v>2020</v>
      </c>
      <c r="C1712" s="17" t="s">
        <v>179</v>
      </c>
      <c r="D1712" t="s">
        <v>530</v>
      </c>
      <c r="E1712" s="22">
        <v>190</v>
      </c>
      <c r="H1712" t="s">
        <v>152</v>
      </c>
      <c r="J1712" t="s">
        <v>97</v>
      </c>
      <c r="K1712" t="s">
        <v>183</v>
      </c>
      <c r="L1712">
        <v>1</v>
      </c>
    </row>
    <row r="1713" spans="1:12" ht="14.5" hidden="1" customHeight="1" x14ac:dyDescent="0.2">
      <c r="A1713">
        <f t="shared" si="26"/>
        <v>1707</v>
      </c>
      <c r="B1713" s="54">
        <v>2020</v>
      </c>
      <c r="C1713" s="17" t="s">
        <v>179</v>
      </c>
      <c r="D1713" t="s">
        <v>479</v>
      </c>
      <c r="E1713" s="22">
        <v>190</v>
      </c>
      <c r="H1713" t="s">
        <v>154</v>
      </c>
      <c r="I1713" t="s">
        <v>194</v>
      </c>
      <c r="J1713" t="s">
        <v>23</v>
      </c>
      <c r="K1713" t="s">
        <v>183</v>
      </c>
      <c r="L1713">
        <v>1</v>
      </c>
    </row>
    <row r="1714" spans="1:12" ht="14.5" hidden="1" customHeight="1" x14ac:dyDescent="0.2">
      <c r="A1714">
        <f t="shared" si="26"/>
        <v>1708</v>
      </c>
      <c r="B1714" s="54">
        <v>2020</v>
      </c>
      <c r="C1714" s="17" t="s">
        <v>179</v>
      </c>
      <c r="D1714" t="s">
        <v>449</v>
      </c>
      <c r="E1714" s="22">
        <v>830</v>
      </c>
      <c r="H1714" t="s">
        <v>154</v>
      </c>
      <c r="I1714" t="s">
        <v>529</v>
      </c>
      <c r="J1714" t="s">
        <v>138</v>
      </c>
      <c r="K1714" t="s">
        <v>219</v>
      </c>
      <c r="L1714">
        <v>1</v>
      </c>
    </row>
    <row r="1715" spans="1:12" ht="14.5" hidden="1" customHeight="1" x14ac:dyDescent="0.2">
      <c r="A1715">
        <f t="shared" si="26"/>
        <v>1709</v>
      </c>
      <c r="B1715" s="54">
        <v>2020</v>
      </c>
      <c r="C1715" s="17" t="s">
        <v>179</v>
      </c>
      <c r="D1715" t="s">
        <v>341</v>
      </c>
      <c r="E1715" s="22">
        <v>120</v>
      </c>
      <c r="H1715" t="s">
        <v>150</v>
      </c>
      <c r="J1715" t="s">
        <v>96</v>
      </c>
      <c r="K1715" t="s">
        <v>205</v>
      </c>
      <c r="L1715">
        <v>1</v>
      </c>
    </row>
    <row r="1716" spans="1:12" ht="14.5" hidden="1" customHeight="1" x14ac:dyDescent="0.2">
      <c r="A1716">
        <f t="shared" si="26"/>
        <v>1710</v>
      </c>
      <c r="B1716" s="54">
        <v>2020</v>
      </c>
      <c r="C1716" s="17" t="s">
        <v>179</v>
      </c>
      <c r="D1716" t="s">
        <v>2975</v>
      </c>
      <c r="E1716" s="22">
        <v>320</v>
      </c>
      <c r="H1716" t="s">
        <v>155</v>
      </c>
      <c r="J1716" t="s">
        <v>92</v>
      </c>
      <c r="K1716" t="s">
        <v>214</v>
      </c>
      <c r="L1716">
        <v>1</v>
      </c>
    </row>
    <row r="1717" spans="1:12" ht="14.5" hidden="1" customHeight="1" x14ac:dyDescent="0.2">
      <c r="A1717">
        <f t="shared" si="26"/>
        <v>1711</v>
      </c>
      <c r="B1717" s="54">
        <v>2020</v>
      </c>
      <c r="C1717" s="17" t="s">
        <v>179</v>
      </c>
      <c r="D1717" t="s">
        <v>221</v>
      </c>
      <c r="E1717" s="22">
        <v>860</v>
      </c>
      <c r="H1717" t="s">
        <v>143</v>
      </c>
      <c r="J1717" t="s">
        <v>14</v>
      </c>
      <c r="K1717" t="s">
        <v>195</v>
      </c>
      <c r="L1717">
        <v>1</v>
      </c>
    </row>
    <row r="1718" spans="1:12" ht="14.5" hidden="1" customHeight="1" x14ac:dyDescent="0.2">
      <c r="A1718">
        <f t="shared" si="26"/>
        <v>1712</v>
      </c>
      <c r="B1718" s="54">
        <v>2020</v>
      </c>
      <c r="C1718" s="17" t="s">
        <v>184</v>
      </c>
      <c r="D1718" t="s">
        <v>479</v>
      </c>
      <c r="E1718" s="22">
        <v>320</v>
      </c>
      <c r="F1718" s="16">
        <v>0.31</v>
      </c>
      <c r="H1718" t="s">
        <v>155</v>
      </c>
      <c r="J1718" t="s">
        <v>108</v>
      </c>
      <c r="K1718" t="s">
        <v>183</v>
      </c>
      <c r="L1718">
        <v>1</v>
      </c>
    </row>
    <row r="1719" spans="1:12" ht="14.5" hidden="1" customHeight="1" x14ac:dyDescent="0.2">
      <c r="A1719">
        <f t="shared" si="26"/>
        <v>1713</v>
      </c>
      <c r="B1719" s="54">
        <v>2020</v>
      </c>
      <c r="C1719" s="17" t="s">
        <v>184</v>
      </c>
      <c r="D1719" t="s">
        <v>449</v>
      </c>
      <c r="E1719" s="22">
        <v>100</v>
      </c>
      <c r="H1719" t="s">
        <v>154</v>
      </c>
      <c r="I1719" t="s">
        <v>194</v>
      </c>
      <c r="J1719" t="s">
        <v>134</v>
      </c>
      <c r="K1719" t="s">
        <v>201</v>
      </c>
      <c r="L1719">
        <v>1</v>
      </c>
    </row>
    <row r="1720" spans="1:12" ht="14.5" hidden="1" customHeight="1" x14ac:dyDescent="0.2">
      <c r="A1720">
        <f t="shared" si="26"/>
        <v>1714</v>
      </c>
      <c r="B1720" s="54">
        <v>2020</v>
      </c>
      <c r="C1720" s="17" t="s">
        <v>184</v>
      </c>
      <c r="D1720" t="s">
        <v>1035</v>
      </c>
      <c r="E1720" s="22">
        <v>930</v>
      </c>
      <c r="H1720" t="s">
        <v>144</v>
      </c>
      <c r="I1720" t="s">
        <v>197</v>
      </c>
      <c r="J1720" t="s">
        <v>46</v>
      </c>
      <c r="K1720" t="s">
        <v>219</v>
      </c>
      <c r="L1720">
        <v>1</v>
      </c>
    </row>
    <row r="1721" spans="1:12" ht="14.5" hidden="1" customHeight="1" x14ac:dyDescent="0.2">
      <c r="A1721">
        <f t="shared" si="26"/>
        <v>1715</v>
      </c>
      <c r="B1721" s="54">
        <v>2020</v>
      </c>
      <c r="C1721" s="17" t="s">
        <v>184</v>
      </c>
      <c r="D1721" t="s">
        <v>449</v>
      </c>
      <c r="E1721" s="22">
        <v>160</v>
      </c>
      <c r="H1721" t="s">
        <v>145</v>
      </c>
      <c r="J1721" t="s">
        <v>23</v>
      </c>
      <c r="K1721" t="s">
        <v>183</v>
      </c>
      <c r="L1721">
        <v>1</v>
      </c>
    </row>
    <row r="1722" spans="1:12" ht="14.5" hidden="1" customHeight="1" x14ac:dyDescent="0.2">
      <c r="A1722">
        <f t="shared" si="26"/>
        <v>1716</v>
      </c>
      <c r="B1722" s="54">
        <v>2020</v>
      </c>
      <c r="C1722" s="17" t="s">
        <v>184</v>
      </c>
      <c r="D1722" t="s">
        <v>2667</v>
      </c>
      <c r="E1722" s="22">
        <v>320</v>
      </c>
      <c r="H1722" t="s">
        <v>144</v>
      </c>
      <c r="I1722" t="s">
        <v>197</v>
      </c>
      <c r="J1722" t="s">
        <v>67</v>
      </c>
      <c r="K1722" t="s">
        <v>183</v>
      </c>
      <c r="L1722">
        <v>1</v>
      </c>
    </row>
    <row r="1723" spans="1:12" ht="14.5" hidden="1" customHeight="1" x14ac:dyDescent="0.2">
      <c r="A1723">
        <f t="shared" si="26"/>
        <v>1717</v>
      </c>
      <c r="B1723" s="54">
        <v>2020</v>
      </c>
      <c r="C1723" s="17" t="s">
        <v>184</v>
      </c>
      <c r="D1723" t="s">
        <v>875</v>
      </c>
      <c r="E1723" s="22">
        <v>500</v>
      </c>
      <c r="H1723" t="s">
        <v>144</v>
      </c>
      <c r="I1723" t="s">
        <v>232</v>
      </c>
      <c r="J1723" t="s">
        <v>124</v>
      </c>
      <c r="K1723" t="s">
        <v>183</v>
      </c>
      <c r="L1723">
        <v>1</v>
      </c>
    </row>
    <row r="1724" spans="1:12" ht="14.5" hidden="1" customHeight="1" x14ac:dyDescent="0.2">
      <c r="A1724">
        <f t="shared" si="26"/>
        <v>1718</v>
      </c>
      <c r="B1724" s="54">
        <v>2020</v>
      </c>
      <c r="C1724" s="17" t="s">
        <v>225</v>
      </c>
      <c r="D1724" t="s">
        <v>875</v>
      </c>
      <c r="E1724" s="22">
        <v>1400</v>
      </c>
      <c r="G1724" t="s">
        <v>2976</v>
      </c>
      <c r="H1724" t="s">
        <v>144</v>
      </c>
      <c r="I1724" t="s">
        <v>273</v>
      </c>
      <c r="J1724" t="s">
        <v>136</v>
      </c>
      <c r="K1724" t="s">
        <v>183</v>
      </c>
      <c r="L1724">
        <v>1</v>
      </c>
    </row>
    <row r="1725" spans="1:12" ht="14.5" hidden="1" customHeight="1" x14ac:dyDescent="0.2">
      <c r="A1725">
        <f t="shared" si="26"/>
        <v>1719</v>
      </c>
      <c r="B1725" s="54">
        <v>2020</v>
      </c>
      <c r="C1725" s="17" t="s">
        <v>225</v>
      </c>
      <c r="D1725" t="s">
        <v>1035</v>
      </c>
      <c r="E1725" s="22">
        <v>350</v>
      </c>
      <c r="G1725" t="s">
        <v>2435</v>
      </c>
      <c r="H1725" t="s">
        <v>144</v>
      </c>
      <c r="I1725" t="s">
        <v>232</v>
      </c>
      <c r="J1725" t="s">
        <v>138</v>
      </c>
      <c r="K1725" t="s">
        <v>219</v>
      </c>
      <c r="L1725">
        <v>1</v>
      </c>
    </row>
    <row r="1726" spans="1:12" ht="14.5" hidden="1" customHeight="1" x14ac:dyDescent="0.2">
      <c r="A1726">
        <f t="shared" si="26"/>
        <v>1720</v>
      </c>
      <c r="B1726" s="54">
        <v>2020</v>
      </c>
      <c r="C1726" s="17" t="s">
        <v>225</v>
      </c>
      <c r="D1726" t="s">
        <v>1018</v>
      </c>
      <c r="E1726" s="22">
        <v>130</v>
      </c>
      <c r="H1726" t="s">
        <v>147</v>
      </c>
      <c r="J1726" t="s">
        <v>138</v>
      </c>
      <c r="K1726" t="s">
        <v>219</v>
      </c>
      <c r="L1726">
        <v>1</v>
      </c>
    </row>
    <row r="1727" spans="1:12" ht="14.5" hidden="1" customHeight="1" x14ac:dyDescent="0.2">
      <c r="A1727">
        <f t="shared" si="26"/>
        <v>1721</v>
      </c>
      <c r="B1727" s="54">
        <v>2020</v>
      </c>
      <c r="C1727" s="17" t="s">
        <v>225</v>
      </c>
      <c r="D1727" t="s">
        <v>341</v>
      </c>
      <c r="E1727" s="22">
        <v>1920</v>
      </c>
      <c r="H1727" t="s">
        <v>154</v>
      </c>
      <c r="I1727" t="s">
        <v>529</v>
      </c>
      <c r="J1727" t="s">
        <v>53</v>
      </c>
      <c r="K1727" t="s">
        <v>183</v>
      </c>
      <c r="L1727">
        <v>1</v>
      </c>
    </row>
    <row r="1728" spans="1:12" ht="14.5" hidden="1" customHeight="1" x14ac:dyDescent="0.2">
      <c r="A1728">
        <f t="shared" si="26"/>
        <v>1722</v>
      </c>
      <c r="B1728" s="54">
        <v>2020</v>
      </c>
      <c r="C1728" s="17" t="s">
        <v>225</v>
      </c>
      <c r="D1728" t="s">
        <v>397</v>
      </c>
      <c r="E1728" s="22">
        <v>120</v>
      </c>
      <c r="H1728" t="s">
        <v>148</v>
      </c>
      <c r="J1728" t="s">
        <v>5</v>
      </c>
      <c r="K1728" t="s">
        <v>214</v>
      </c>
      <c r="L1728">
        <v>1</v>
      </c>
    </row>
    <row r="1729" spans="1:12" ht="14.5" hidden="1" customHeight="1" x14ac:dyDescent="0.2">
      <c r="A1729">
        <f t="shared" si="26"/>
        <v>1723</v>
      </c>
      <c r="B1729" s="54">
        <v>2020</v>
      </c>
      <c r="C1729" s="17" t="s">
        <v>225</v>
      </c>
      <c r="D1729" t="s">
        <v>479</v>
      </c>
      <c r="E1729" s="22">
        <v>170</v>
      </c>
      <c r="H1729" t="s">
        <v>154</v>
      </c>
      <c r="I1729" t="s">
        <v>529</v>
      </c>
      <c r="J1729" t="s">
        <v>9</v>
      </c>
      <c r="K1729" t="s">
        <v>9</v>
      </c>
      <c r="L1729">
        <v>0</v>
      </c>
    </row>
    <row r="1730" spans="1:12" ht="14.5" hidden="1" customHeight="1" x14ac:dyDescent="0.2">
      <c r="A1730">
        <f t="shared" si="26"/>
        <v>1724</v>
      </c>
      <c r="B1730" s="54">
        <v>2020</v>
      </c>
      <c r="C1730" s="17" t="s">
        <v>225</v>
      </c>
      <c r="D1730" t="s">
        <v>341</v>
      </c>
      <c r="E1730" s="22">
        <v>140</v>
      </c>
      <c r="H1730" t="s">
        <v>154</v>
      </c>
      <c r="I1730" t="s">
        <v>529</v>
      </c>
      <c r="J1730" t="s">
        <v>67</v>
      </c>
      <c r="K1730" t="s">
        <v>183</v>
      </c>
      <c r="L1730">
        <v>1</v>
      </c>
    </row>
    <row r="1731" spans="1:12" ht="14.5" hidden="1" customHeight="1" x14ac:dyDescent="0.2">
      <c r="A1731">
        <f t="shared" si="26"/>
        <v>1725</v>
      </c>
      <c r="B1731" s="54">
        <v>2020</v>
      </c>
      <c r="C1731" s="17" t="s">
        <v>225</v>
      </c>
      <c r="D1731" t="s">
        <v>1035</v>
      </c>
      <c r="E1731" s="22">
        <v>430</v>
      </c>
      <c r="G1731" t="s">
        <v>1247</v>
      </c>
      <c r="H1731" t="s">
        <v>155</v>
      </c>
      <c r="J1731" t="s">
        <v>105</v>
      </c>
      <c r="K1731" t="s">
        <v>214</v>
      </c>
      <c r="L1731">
        <v>1</v>
      </c>
    </row>
    <row r="1732" spans="1:12" ht="14.5" hidden="1" customHeight="1" x14ac:dyDescent="0.2">
      <c r="A1732">
        <f t="shared" si="26"/>
        <v>1726</v>
      </c>
      <c r="B1732" s="54">
        <v>2020</v>
      </c>
      <c r="C1732" s="17" t="s">
        <v>225</v>
      </c>
      <c r="D1732" t="s">
        <v>875</v>
      </c>
      <c r="E1732" s="22">
        <v>110</v>
      </c>
      <c r="G1732" t="s">
        <v>2977</v>
      </c>
      <c r="H1732" t="s">
        <v>144</v>
      </c>
      <c r="I1732" t="s">
        <v>232</v>
      </c>
      <c r="J1732" t="s">
        <v>94</v>
      </c>
      <c r="K1732" t="s">
        <v>177</v>
      </c>
      <c r="L1732">
        <v>0</v>
      </c>
    </row>
    <row r="1733" spans="1:12" ht="14.5" hidden="1" customHeight="1" x14ac:dyDescent="0.2">
      <c r="A1733">
        <f t="shared" si="26"/>
        <v>1727</v>
      </c>
      <c r="B1733" s="54">
        <v>2020</v>
      </c>
      <c r="C1733" s="17" t="s">
        <v>188</v>
      </c>
      <c r="D1733" t="s">
        <v>875</v>
      </c>
      <c r="E1733" s="22">
        <v>120</v>
      </c>
      <c r="G1733" t="s">
        <v>2978</v>
      </c>
      <c r="H1733" t="s">
        <v>144</v>
      </c>
      <c r="I1733" t="s">
        <v>273</v>
      </c>
      <c r="J1733" t="s">
        <v>17</v>
      </c>
      <c r="K1733" t="s">
        <v>195</v>
      </c>
      <c r="L1733">
        <v>1</v>
      </c>
    </row>
    <row r="1734" spans="1:12" ht="14.5" hidden="1" customHeight="1" x14ac:dyDescent="0.2">
      <c r="A1734">
        <f t="shared" si="26"/>
        <v>1728</v>
      </c>
      <c r="B1734" s="54">
        <v>2020</v>
      </c>
      <c r="C1734" s="17" t="s">
        <v>188</v>
      </c>
      <c r="D1734" t="s">
        <v>2228</v>
      </c>
      <c r="E1734" s="22">
        <v>180</v>
      </c>
      <c r="H1734" t="s">
        <v>154</v>
      </c>
      <c r="I1734" t="s">
        <v>194</v>
      </c>
      <c r="J1734" t="s">
        <v>106</v>
      </c>
      <c r="K1734" t="s">
        <v>195</v>
      </c>
      <c r="L1734">
        <v>1</v>
      </c>
    </row>
    <row r="1735" spans="1:12" ht="14.5" hidden="1" customHeight="1" x14ac:dyDescent="0.2">
      <c r="A1735">
        <f t="shared" ref="A1735:A1798" si="27">ROW()-6</f>
        <v>1729</v>
      </c>
      <c r="B1735" s="54">
        <v>2020</v>
      </c>
      <c r="C1735" s="17" t="s">
        <v>188</v>
      </c>
      <c r="D1735" t="s">
        <v>1035</v>
      </c>
      <c r="E1735" s="22">
        <v>1930</v>
      </c>
      <c r="F1735" s="16">
        <v>0.7</v>
      </c>
      <c r="H1735" t="s">
        <v>144</v>
      </c>
      <c r="I1735" t="s">
        <v>197</v>
      </c>
      <c r="J1735" t="s">
        <v>93</v>
      </c>
      <c r="K1735" t="s">
        <v>201</v>
      </c>
      <c r="L1735">
        <v>1</v>
      </c>
    </row>
    <row r="1736" spans="1:12" ht="14.5" hidden="1" customHeight="1" x14ac:dyDescent="0.2">
      <c r="A1736">
        <f t="shared" si="27"/>
        <v>1730</v>
      </c>
      <c r="B1736" s="54">
        <v>2020</v>
      </c>
      <c r="C1736" s="17" t="s">
        <v>188</v>
      </c>
      <c r="D1736" t="s">
        <v>449</v>
      </c>
      <c r="E1736" s="22">
        <v>290</v>
      </c>
      <c r="H1736" t="s">
        <v>151</v>
      </c>
      <c r="I1736" t="s">
        <v>279</v>
      </c>
      <c r="J1736" t="s">
        <v>100</v>
      </c>
      <c r="K1736" t="s">
        <v>214</v>
      </c>
      <c r="L1736">
        <v>1</v>
      </c>
    </row>
    <row r="1737" spans="1:12" ht="14.5" hidden="1" customHeight="1" x14ac:dyDescent="0.2">
      <c r="A1737">
        <f t="shared" si="27"/>
        <v>1731</v>
      </c>
      <c r="B1737" s="54">
        <v>2020</v>
      </c>
      <c r="C1737" s="17" t="s">
        <v>188</v>
      </c>
      <c r="D1737" t="s">
        <v>399</v>
      </c>
      <c r="E1737" s="22">
        <v>180</v>
      </c>
      <c r="G1737" t="s">
        <v>2979</v>
      </c>
      <c r="H1737" t="s">
        <v>144</v>
      </c>
      <c r="I1737" t="s">
        <v>299</v>
      </c>
      <c r="J1737" t="s">
        <v>13</v>
      </c>
      <c r="K1737" t="s">
        <v>201</v>
      </c>
      <c r="L1737">
        <v>1</v>
      </c>
    </row>
    <row r="1738" spans="1:12" ht="14.5" hidden="1" customHeight="1" x14ac:dyDescent="0.2">
      <c r="A1738">
        <f t="shared" si="27"/>
        <v>1732</v>
      </c>
      <c r="B1738" s="54">
        <v>2020</v>
      </c>
      <c r="C1738" s="17" t="s">
        <v>188</v>
      </c>
      <c r="D1738" t="s">
        <v>449</v>
      </c>
      <c r="E1738" s="22">
        <v>120</v>
      </c>
      <c r="H1738" t="s">
        <v>154</v>
      </c>
      <c r="I1738" t="s">
        <v>250</v>
      </c>
      <c r="J1738" t="s">
        <v>126</v>
      </c>
      <c r="K1738" t="s">
        <v>177</v>
      </c>
      <c r="L1738">
        <v>1</v>
      </c>
    </row>
    <row r="1739" spans="1:12" ht="14.5" hidden="1" customHeight="1" x14ac:dyDescent="0.2">
      <c r="A1739">
        <f t="shared" si="27"/>
        <v>1733</v>
      </c>
      <c r="B1739" s="54">
        <v>2020</v>
      </c>
      <c r="C1739" s="17" t="s">
        <v>188</v>
      </c>
      <c r="D1739" t="s">
        <v>2980</v>
      </c>
      <c r="E1739" s="22">
        <v>100</v>
      </c>
      <c r="H1739" t="s">
        <v>145</v>
      </c>
      <c r="J1739" t="s">
        <v>14</v>
      </c>
      <c r="K1739" t="s">
        <v>195</v>
      </c>
      <c r="L1739">
        <v>1</v>
      </c>
    </row>
    <row r="1740" spans="1:12" ht="14.5" hidden="1" customHeight="1" x14ac:dyDescent="0.2">
      <c r="A1740">
        <f t="shared" si="27"/>
        <v>1734</v>
      </c>
      <c r="B1740" s="54">
        <v>2020</v>
      </c>
      <c r="C1740" s="17" t="s">
        <v>188</v>
      </c>
      <c r="D1740" t="s">
        <v>449</v>
      </c>
      <c r="E1740" s="22">
        <v>480</v>
      </c>
      <c r="H1740" t="s">
        <v>151</v>
      </c>
      <c r="I1740" t="s">
        <v>279</v>
      </c>
      <c r="J1740" t="s">
        <v>130</v>
      </c>
      <c r="K1740" t="s">
        <v>214</v>
      </c>
      <c r="L1740">
        <v>1</v>
      </c>
    </row>
    <row r="1741" spans="1:12" ht="14.5" hidden="1" customHeight="1" x14ac:dyDescent="0.2">
      <c r="A1741">
        <f t="shared" si="27"/>
        <v>1735</v>
      </c>
      <c r="B1741" s="54">
        <v>2020</v>
      </c>
      <c r="C1741" s="17" t="s">
        <v>191</v>
      </c>
      <c r="D1741" t="s">
        <v>2981</v>
      </c>
      <c r="E1741" s="22">
        <v>100</v>
      </c>
      <c r="H1741" t="s">
        <v>154</v>
      </c>
      <c r="I1741" t="s">
        <v>194</v>
      </c>
      <c r="J1741" t="s">
        <v>123</v>
      </c>
      <c r="K1741" t="s">
        <v>219</v>
      </c>
      <c r="L1741">
        <v>1</v>
      </c>
    </row>
    <row r="1742" spans="1:12" ht="14.5" hidden="1" customHeight="1" x14ac:dyDescent="0.2">
      <c r="A1742">
        <f t="shared" si="27"/>
        <v>1736</v>
      </c>
      <c r="B1742" s="54">
        <v>2020</v>
      </c>
      <c r="C1742" s="17" t="s">
        <v>191</v>
      </c>
      <c r="D1742" t="s">
        <v>2982</v>
      </c>
      <c r="E1742" s="22">
        <v>120</v>
      </c>
      <c r="H1742" t="s">
        <v>154</v>
      </c>
      <c r="I1742" t="s">
        <v>529</v>
      </c>
      <c r="J1742" t="s">
        <v>130</v>
      </c>
      <c r="K1742" t="s">
        <v>214</v>
      </c>
      <c r="L1742">
        <v>1</v>
      </c>
    </row>
    <row r="1743" spans="1:12" ht="14.5" hidden="1" customHeight="1" x14ac:dyDescent="0.2">
      <c r="A1743">
        <f t="shared" si="27"/>
        <v>1737</v>
      </c>
      <c r="B1743" s="54">
        <v>2020</v>
      </c>
      <c r="C1743" s="17" t="s">
        <v>191</v>
      </c>
      <c r="D1743" t="s">
        <v>2517</v>
      </c>
      <c r="E1743" s="22">
        <v>120</v>
      </c>
      <c r="H1743" t="s">
        <v>154</v>
      </c>
      <c r="I1743" t="s">
        <v>271</v>
      </c>
      <c r="J1743" t="s">
        <v>13</v>
      </c>
      <c r="K1743" t="s">
        <v>201</v>
      </c>
      <c r="L1743">
        <v>1</v>
      </c>
    </row>
    <row r="1744" spans="1:12" ht="14.5" hidden="1" customHeight="1" x14ac:dyDescent="0.2">
      <c r="A1744">
        <f t="shared" si="27"/>
        <v>1738</v>
      </c>
      <c r="B1744" s="54">
        <v>2020</v>
      </c>
      <c r="C1744" s="17" t="s">
        <v>191</v>
      </c>
      <c r="D1744" t="s">
        <v>1035</v>
      </c>
      <c r="E1744" s="22">
        <v>330</v>
      </c>
      <c r="H1744" t="s">
        <v>155</v>
      </c>
      <c r="J1744" t="s">
        <v>108</v>
      </c>
      <c r="K1744" t="s">
        <v>183</v>
      </c>
      <c r="L1744">
        <v>1</v>
      </c>
    </row>
    <row r="1745" spans="1:12" ht="14.5" hidden="1" customHeight="1" x14ac:dyDescent="0.2">
      <c r="A1745">
        <f t="shared" si="27"/>
        <v>1739</v>
      </c>
      <c r="B1745" s="54">
        <v>2020</v>
      </c>
      <c r="C1745" s="17" t="s">
        <v>191</v>
      </c>
      <c r="D1745" t="s">
        <v>2983</v>
      </c>
      <c r="E1745" s="22">
        <v>100</v>
      </c>
      <c r="H1745" t="s">
        <v>154</v>
      </c>
      <c r="I1745" t="s">
        <v>194</v>
      </c>
      <c r="J1745" t="s">
        <v>40</v>
      </c>
      <c r="K1745" t="s">
        <v>219</v>
      </c>
      <c r="L1745">
        <v>1</v>
      </c>
    </row>
    <row r="1746" spans="1:12" ht="14.5" hidden="1" customHeight="1" x14ac:dyDescent="0.2">
      <c r="A1746">
        <f t="shared" si="27"/>
        <v>1740</v>
      </c>
      <c r="B1746" s="54">
        <v>2020</v>
      </c>
      <c r="C1746" s="17" t="s">
        <v>191</v>
      </c>
      <c r="D1746" t="s">
        <v>479</v>
      </c>
      <c r="E1746" s="22">
        <v>830</v>
      </c>
      <c r="H1746" t="s">
        <v>154</v>
      </c>
      <c r="I1746" t="s">
        <v>529</v>
      </c>
      <c r="J1746" t="s">
        <v>77</v>
      </c>
      <c r="K1746" t="s">
        <v>177</v>
      </c>
      <c r="L1746">
        <v>0</v>
      </c>
    </row>
    <row r="1747" spans="1:12" ht="14.5" hidden="1" customHeight="1" x14ac:dyDescent="0.2">
      <c r="A1747">
        <f t="shared" si="27"/>
        <v>1741</v>
      </c>
      <c r="B1747" s="54">
        <v>2020</v>
      </c>
      <c r="C1747" s="17" t="s">
        <v>191</v>
      </c>
      <c r="D1747" t="s">
        <v>479</v>
      </c>
      <c r="E1747" s="22">
        <v>100</v>
      </c>
      <c r="G1747" t="s">
        <v>2984</v>
      </c>
      <c r="H1747" t="s">
        <v>154</v>
      </c>
      <c r="I1747" t="s">
        <v>194</v>
      </c>
      <c r="J1747" t="s">
        <v>72</v>
      </c>
      <c r="K1747" t="s">
        <v>183</v>
      </c>
      <c r="L1747">
        <v>1</v>
      </c>
    </row>
    <row r="1748" spans="1:12" ht="14.5" hidden="1" customHeight="1" x14ac:dyDescent="0.2">
      <c r="A1748">
        <f t="shared" si="27"/>
        <v>1742</v>
      </c>
      <c r="B1748" s="54">
        <v>2020</v>
      </c>
      <c r="C1748" s="17" t="s">
        <v>198</v>
      </c>
      <c r="D1748" t="s">
        <v>875</v>
      </c>
      <c r="E1748" s="22">
        <v>160</v>
      </c>
      <c r="G1748" t="s">
        <v>2985</v>
      </c>
      <c r="H1748" t="s">
        <v>149</v>
      </c>
      <c r="I1748" t="s">
        <v>182</v>
      </c>
      <c r="J1748" t="s">
        <v>53</v>
      </c>
      <c r="K1748" t="s">
        <v>183</v>
      </c>
      <c r="L1748">
        <v>1</v>
      </c>
    </row>
    <row r="1749" spans="1:12" ht="14.5" hidden="1" customHeight="1" x14ac:dyDescent="0.2">
      <c r="A1749">
        <f t="shared" si="27"/>
        <v>1743</v>
      </c>
      <c r="B1749" s="54">
        <v>2020</v>
      </c>
      <c r="C1749" s="17" t="s">
        <v>198</v>
      </c>
      <c r="D1749" t="s">
        <v>745</v>
      </c>
      <c r="E1749" s="22">
        <v>410</v>
      </c>
      <c r="G1749" t="s">
        <v>2986</v>
      </c>
      <c r="H1749" t="s">
        <v>143</v>
      </c>
      <c r="J1749" t="s">
        <v>92</v>
      </c>
      <c r="K1749" t="s">
        <v>214</v>
      </c>
      <c r="L1749">
        <v>1</v>
      </c>
    </row>
    <row r="1750" spans="1:12" ht="14.5" hidden="1" customHeight="1" x14ac:dyDescent="0.2">
      <c r="A1750">
        <f t="shared" si="27"/>
        <v>1744</v>
      </c>
      <c r="B1750" s="54">
        <v>2020</v>
      </c>
      <c r="C1750" s="17" t="s">
        <v>198</v>
      </c>
      <c r="D1750" t="s">
        <v>557</v>
      </c>
      <c r="E1750" s="22">
        <v>300</v>
      </c>
      <c r="G1750" t="s">
        <v>2987</v>
      </c>
      <c r="H1750" t="s">
        <v>151</v>
      </c>
      <c r="I1750" t="s">
        <v>279</v>
      </c>
      <c r="J1750" t="s">
        <v>2462</v>
      </c>
      <c r="K1750" t="s">
        <v>219</v>
      </c>
      <c r="L1750">
        <v>1</v>
      </c>
    </row>
    <row r="1751" spans="1:12" ht="14.5" hidden="1" customHeight="1" x14ac:dyDescent="0.2">
      <c r="A1751">
        <f t="shared" si="27"/>
        <v>1745</v>
      </c>
      <c r="B1751" s="54">
        <v>2020</v>
      </c>
      <c r="C1751" s="17" t="s">
        <v>198</v>
      </c>
      <c r="D1751" t="s">
        <v>2983</v>
      </c>
      <c r="E1751" s="22">
        <v>130</v>
      </c>
      <c r="H1751" t="s">
        <v>154</v>
      </c>
      <c r="I1751" t="s">
        <v>194</v>
      </c>
      <c r="J1751" t="s">
        <v>40</v>
      </c>
      <c r="K1751" t="s">
        <v>219</v>
      </c>
      <c r="L1751">
        <v>1</v>
      </c>
    </row>
    <row r="1752" spans="1:12" ht="14.5" hidden="1" customHeight="1" x14ac:dyDescent="0.2">
      <c r="A1752">
        <f t="shared" si="27"/>
        <v>1746</v>
      </c>
      <c r="B1752" s="54">
        <v>2020</v>
      </c>
      <c r="C1752" s="17" t="s">
        <v>198</v>
      </c>
      <c r="D1752" t="s">
        <v>189</v>
      </c>
      <c r="E1752" s="22">
        <v>1220</v>
      </c>
      <c r="G1752" t="s">
        <v>2002</v>
      </c>
      <c r="H1752" t="s">
        <v>144</v>
      </c>
      <c r="I1752" t="s">
        <v>187</v>
      </c>
      <c r="J1752" t="s">
        <v>105</v>
      </c>
      <c r="K1752" t="s">
        <v>214</v>
      </c>
      <c r="L1752">
        <v>1</v>
      </c>
    </row>
    <row r="1753" spans="1:12" ht="14.5" hidden="1" customHeight="1" x14ac:dyDescent="0.2">
      <c r="A1753">
        <f t="shared" si="27"/>
        <v>1747</v>
      </c>
      <c r="B1753" s="54">
        <v>2020</v>
      </c>
      <c r="C1753" s="17" t="s">
        <v>198</v>
      </c>
      <c r="D1753" t="s">
        <v>479</v>
      </c>
      <c r="E1753" s="22">
        <v>430</v>
      </c>
      <c r="H1753" t="s">
        <v>148</v>
      </c>
      <c r="J1753" t="s">
        <v>59</v>
      </c>
      <c r="K1753" t="s">
        <v>219</v>
      </c>
      <c r="L1753">
        <v>1</v>
      </c>
    </row>
    <row r="1754" spans="1:12" ht="14.5" hidden="1" customHeight="1" x14ac:dyDescent="0.2">
      <c r="A1754">
        <f t="shared" si="27"/>
        <v>1748</v>
      </c>
      <c r="B1754" s="54">
        <v>2020</v>
      </c>
      <c r="C1754" s="17" t="s">
        <v>198</v>
      </c>
      <c r="D1754" t="s">
        <v>399</v>
      </c>
      <c r="E1754" s="22">
        <v>560</v>
      </c>
      <c r="H1754" t="s">
        <v>144</v>
      </c>
      <c r="I1754" t="s">
        <v>232</v>
      </c>
      <c r="J1754" t="s">
        <v>130</v>
      </c>
      <c r="K1754" t="s">
        <v>214</v>
      </c>
      <c r="L1754">
        <v>1</v>
      </c>
    </row>
    <row r="1755" spans="1:12" ht="14.5" hidden="1" customHeight="1" x14ac:dyDescent="0.2">
      <c r="A1755">
        <f t="shared" si="27"/>
        <v>1749</v>
      </c>
      <c r="B1755" s="54">
        <v>2020</v>
      </c>
      <c r="C1755" s="17" t="s">
        <v>198</v>
      </c>
      <c r="D1755" t="s">
        <v>221</v>
      </c>
      <c r="E1755" s="22">
        <v>520</v>
      </c>
      <c r="H1755" t="s">
        <v>142</v>
      </c>
      <c r="J1755" t="s">
        <v>14</v>
      </c>
      <c r="K1755" t="s">
        <v>195</v>
      </c>
      <c r="L1755">
        <v>1</v>
      </c>
    </row>
    <row r="1756" spans="1:12" ht="14.5" hidden="1" customHeight="1" x14ac:dyDescent="0.2">
      <c r="A1756">
        <f t="shared" si="27"/>
        <v>1750</v>
      </c>
      <c r="B1756" s="54">
        <v>2020</v>
      </c>
      <c r="C1756" s="17" t="s">
        <v>198</v>
      </c>
      <c r="D1756" t="s">
        <v>397</v>
      </c>
      <c r="E1756" s="22">
        <v>600</v>
      </c>
      <c r="H1756" t="s">
        <v>154</v>
      </c>
      <c r="I1756" t="s">
        <v>250</v>
      </c>
      <c r="J1756" t="s">
        <v>23</v>
      </c>
      <c r="K1756" t="s">
        <v>183</v>
      </c>
      <c r="L1756">
        <v>1</v>
      </c>
    </row>
    <row r="1757" spans="1:12" ht="14.5" hidden="1" customHeight="1" x14ac:dyDescent="0.2">
      <c r="A1757">
        <f t="shared" si="27"/>
        <v>1751</v>
      </c>
      <c r="B1757" s="54">
        <v>2020</v>
      </c>
      <c r="C1757" s="17" t="s">
        <v>198</v>
      </c>
      <c r="D1757" t="s">
        <v>397</v>
      </c>
      <c r="E1757" s="22">
        <v>170</v>
      </c>
      <c r="G1757" t="s">
        <v>2988</v>
      </c>
      <c r="H1757" t="s">
        <v>151</v>
      </c>
      <c r="I1757" t="s">
        <v>279</v>
      </c>
      <c r="J1757" t="s">
        <v>53</v>
      </c>
      <c r="K1757" t="s">
        <v>183</v>
      </c>
      <c r="L1757">
        <v>1</v>
      </c>
    </row>
    <row r="1758" spans="1:12" ht="14.5" hidden="1" customHeight="1" x14ac:dyDescent="0.2">
      <c r="A1758">
        <f t="shared" si="27"/>
        <v>1752</v>
      </c>
      <c r="B1758" s="54">
        <v>2020</v>
      </c>
      <c r="C1758" s="17" t="s">
        <v>202</v>
      </c>
      <c r="D1758" t="s">
        <v>199</v>
      </c>
      <c r="E1758" s="22">
        <v>140</v>
      </c>
      <c r="G1758" t="s">
        <v>2689</v>
      </c>
      <c r="H1758" t="s">
        <v>144</v>
      </c>
      <c r="I1758" t="s">
        <v>187</v>
      </c>
      <c r="J1758" t="s">
        <v>130</v>
      </c>
      <c r="K1758" t="s">
        <v>214</v>
      </c>
      <c r="L1758">
        <v>1</v>
      </c>
    </row>
    <row r="1759" spans="1:12" ht="14.5" hidden="1" customHeight="1" x14ac:dyDescent="0.2">
      <c r="A1759">
        <f t="shared" si="27"/>
        <v>1753</v>
      </c>
      <c r="B1759" s="54">
        <v>2020</v>
      </c>
      <c r="C1759" s="17" t="s">
        <v>202</v>
      </c>
      <c r="D1759" t="s">
        <v>875</v>
      </c>
      <c r="E1759" s="22">
        <v>110</v>
      </c>
      <c r="H1759" t="s">
        <v>144</v>
      </c>
      <c r="I1759" t="s">
        <v>197</v>
      </c>
      <c r="J1759" t="s">
        <v>88</v>
      </c>
      <c r="K1759" t="s">
        <v>219</v>
      </c>
      <c r="L1759">
        <v>1</v>
      </c>
    </row>
    <row r="1760" spans="1:12" ht="14.5" hidden="1" customHeight="1" x14ac:dyDescent="0.2">
      <c r="A1760">
        <f t="shared" si="27"/>
        <v>1754</v>
      </c>
      <c r="B1760" s="54">
        <v>2020</v>
      </c>
      <c r="C1760" s="17" t="s">
        <v>202</v>
      </c>
      <c r="D1760" t="s">
        <v>745</v>
      </c>
      <c r="E1760" s="22">
        <v>390</v>
      </c>
      <c r="G1760" t="s">
        <v>2935</v>
      </c>
      <c r="H1760" t="s">
        <v>143</v>
      </c>
      <c r="J1760" t="s">
        <v>130</v>
      </c>
      <c r="K1760" t="s">
        <v>214</v>
      </c>
      <c r="L1760">
        <v>1</v>
      </c>
    </row>
    <row r="1761" spans="1:12" ht="14.5" hidden="1" customHeight="1" x14ac:dyDescent="0.2">
      <c r="A1761">
        <f t="shared" si="27"/>
        <v>1755</v>
      </c>
      <c r="B1761" s="54">
        <v>2020</v>
      </c>
      <c r="C1761" s="17" t="s">
        <v>202</v>
      </c>
      <c r="D1761" t="s">
        <v>1035</v>
      </c>
      <c r="E1761" s="22">
        <v>120</v>
      </c>
      <c r="G1761" t="s">
        <v>2989</v>
      </c>
      <c r="H1761" t="s">
        <v>151</v>
      </c>
      <c r="I1761" t="s">
        <v>279</v>
      </c>
      <c r="J1761" t="s">
        <v>23</v>
      </c>
      <c r="K1761" t="s">
        <v>183</v>
      </c>
      <c r="L1761">
        <v>1</v>
      </c>
    </row>
    <row r="1762" spans="1:12" ht="14.5" hidden="1" customHeight="1" x14ac:dyDescent="0.2">
      <c r="A1762">
        <f t="shared" si="27"/>
        <v>1756</v>
      </c>
      <c r="B1762" s="54">
        <v>2020</v>
      </c>
      <c r="C1762" s="17" t="s">
        <v>202</v>
      </c>
      <c r="D1762" t="s">
        <v>397</v>
      </c>
      <c r="E1762" s="22">
        <v>1130</v>
      </c>
      <c r="H1762" t="s">
        <v>154</v>
      </c>
      <c r="I1762" t="s">
        <v>529</v>
      </c>
      <c r="J1762" t="s">
        <v>97</v>
      </c>
      <c r="K1762" t="s">
        <v>183</v>
      </c>
      <c r="L1762">
        <v>1</v>
      </c>
    </row>
    <row r="1763" spans="1:12" ht="14.5" hidden="1" customHeight="1" x14ac:dyDescent="0.2">
      <c r="A1763">
        <f t="shared" si="27"/>
        <v>1757</v>
      </c>
      <c r="B1763" s="54">
        <v>2020</v>
      </c>
      <c r="C1763" s="17" t="s">
        <v>202</v>
      </c>
      <c r="D1763" t="s">
        <v>1035</v>
      </c>
      <c r="E1763" s="22">
        <v>180</v>
      </c>
      <c r="G1763" t="s">
        <v>2990</v>
      </c>
      <c r="H1763" t="s">
        <v>144</v>
      </c>
      <c r="I1763" t="s">
        <v>232</v>
      </c>
      <c r="J1763" t="s">
        <v>136</v>
      </c>
      <c r="K1763" t="s">
        <v>183</v>
      </c>
      <c r="L1763">
        <v>1</v>
      </c>
    </row>
    <row r="1764" spans="1:12" ht="14.5" hidden="1" customHeight="1" x14ac:dyDescent="0.2">
      <c r="A1764">
        <f t="shared" si="27"/>
        <v>1758</v>
      </c>
      <c r="B1764" s="54">
        <v>2020</v>
      </c>
      <c r="C1764" s="17" t="s">
        <v>202</v>
      </c>
      <c r="D1764" t="s">
        <v>1035</v>
      </c>
      <c r="E1764" s="22">
        <v>400</v>
      </c>
      <c r="H1764" t="s">
        <v>144</v>
      </c>
      <c r="I1764" t="s">
        <v>232</v>
      </c>
      <c r="J1764" t="s">
        <v>92</v>
      </c>
      <c r="K1764" t="s">
        <v>214</v>
      </c>
      <c r="L1764">
        <v>1</v>
      </c>
    </row>
    <row r="1765" spans="1:12" ht="14.5" hidden="1" customHeight="1" x14ac:dyDescent="0.2">
      <c r="A1765">
        <f t="shared" si="27"/>
        <v>1759</v>
      </c>
      <c r="B1765" s="54">
        <v>2020</v>
      </c>
      <c r="C1765" s="17" t="s">
        <v>202</v>
      </c>
      <c r="D1765" t="s">
        <v>479</v>
      </c>
      <c r="E1765" s="22">
        <v>130</v>
      </c>
      <c r="H1765" t="s">
        <v>150</v>
      </c>
      <c r="I1765" t="s">
        <v>217</v>
      </c>
      <c r="J1765" t="s">
        <v>93</v>
      </c>
      <c r="K1765" t="s">
        <v>201</v>
      </c>
      <c r="L1765">
        <v>1</v>
      </c>
    </row>
    <row r="1766" spans="1:12" ht="14.5" hidden="1" customHeight="1" x14ac:dyDescent="0.2">
      <c r="A1766">
        <f t="shared" si="27"/>
        <v>1760</v>
      </c>
      <c r="B1766" s="54">
        <v>2020</v>
      </c>
      <c r="C1766" s="17" t="s">
        <v>202</v>
      </c>
      <c r="D1766" t="s">
        <v>479</v>
      </c>
      <c r="E1766" s="22">
        <v>370</v>
      </c>
      <c r="H1766" t="s">
        <v>150</v>
      </c>
      <c r="J1766" t="s">
        <v>9</v>
      </c>
      <c r="K1766" t="s">
        <v>9</v>
      </c>
      <c r="L1766">
        <v>0</v>
      </c>
    </row>
    <row r="1767" spans="1:12" ht="14.5" hidden="1" customHeight="1" x14ac:dyDescent="0.2">
      <c r="A1767">
        <f t="shared" si="27"/>
        <v>1761</v>
      </c>
      <c r="B1767" s="54">
        <v>2020</v>
      </c>
      <c r="C1767" s="17" t="s">
        <v>202</v>
      </c>
      <c r="D1767" t="s">
        <v>479</v>
      </c>
      <c r="E1767" s="22">
        <v>280</v>
      </c>
      <c r="H1767" t="s">
        <v>154</v>
      </c>
      <c r="I1767" t="s">
        <v>271</v>
      </c>
      <c r="J1767" t="s">
        <v>124</v>
      </c>
      <c r="K1767" t="s">
        <v>183</v>
      </c>
      <c r="L1767">
        <v>1</v>
      </c>
    </row>
    <row r="1768" spans="1:12" ht="14.5" hidden="1" customHeight="1" x14ac:dyDescent="0.2">
      <c r="A1768">
        <f t="shared" si="27"/>
        <v>1762</v>
      </c>
      <c r="B1768" s="54">
        <v>2020</v>
      </c>
      <c r="C1768" s="17" t="s">
        <v>202</v>
      </c>
      <c r="D1768" t="s">
        <v>479</v>
      </c>
      <c r="E1768" s="22">
        <v>130</v>
      </c>
      <c r="G1768" t="s">
        <v>2991</v>
      </c>
      <c r="H1768" t="s">
        <v>154</v>
      </c>
      <c r="I1768" t="s">
        <v>529</v>
      </c>
      <c r="J1768" t="s">
        <v>86</v>
      </c>
      <c r="K1768" t="s">
        <v>183</v>
      </c>
      <c r="L1768">
        <v>1</v>
      </c>
    </row>
    <row r="1769" spans="1:12" ht="14.5" hidden="1" customHeight="1" x14ac:dyDescent="0.2">
      <c r="A1769">
        <f t="shared" si="27"/>
        <v>1763</v>
      </c>
      <c r="B1769" s="54">
        <v>2020</v>
      </c>
      <c r="C1769" s="17" t="s">
        <v>202</v>
      </c>
      <c r="D1769" t="s">
        <v>2157</v>
      </c>
      <c r="E1769" s="22">
        <v>120</v>
      </c>
      <c r="G1769" t="s">
        <v>2992</v>
      </c>
      <c r="H1769" t="s">
        <v>151</v>
      </c>
      <c r="I1769" t="s">
        <v>279</v>
      </c>
      <c r="J1769" t="s">
        <v>86</v>
      </c>
      <c r="K1769" t="s">
        <v>183</v>
      </c>
      <c r="L1769">
        <v>1</v>
      </c>
    </row>
    <row r="1770" spans="1:12" ht="14.5" hidden="1" customHeight="1" x14ac:dyDescent="0.2">
      <c r="A1770">
        <f t="shared" si="27"/>
        <v>1764</v>
      </c>
      <c r="B1770" s="54">
        <v>2020</v>
      </c>
      <c r="C1770" s="17" t="s">
        <v>202</v>
      </c>
      <c r="D1770" t="s">
        <v>2983</v>
      </c>
      <c r="E1770" s="22">
        <v>130</v>
      </c>
      <c r="H1770" t="s">
        <v>154</v>
      </c>
      <c r="I1770" t="s">
        <v>194</v>
      </c>
      <c r="J1770" t="s">
        <v>132</v>
      </c>
      <c r="K1770" t="s">
        <v>219</v>
      </c>
      <c r="L1770">
        <v>1</v>
      </c>
    </row>
    <row r="1771" spans="1:12" ht="14.5" hidden="1" customHeight="1" x14ac:dyDescent="0.2">
      <c r="A1771">
        <f t="shared" si="27"/>
        <v>1765</v>
      </c>
      <c r="B1771" s="54">
        <v>2020</v>
      </c>
      <c r="C1771" s="17" t="s">
        <v>202</v>
      </c>
      <c r="D1771" t="s">
        <v>1149</v>
      </c>
      <c r="E1771" s="22">
        <v>450</v>
      </c>
      <c r="H1771" t="s">
        <v>142</v>
      </c>
      <c r="J1771" t="s">
        <v>59</v>
      </c>
      <c r="K1771" t="s">
        <v>219</v>
      </c>
      <c r="L1771">
        <v>1</v>
      </c>
    </row>
    <row r="1772" spans="1:12" ht="14.5" hidden="1" customHeight="1" x14ac:dyDescent="0.2">
      <c r="A1772">
        <f t="shared" si="27"/>
        <v>1766</v>
      </c>
      <c r="B1772" s="54">
        <v>2020</v>
      </c>
      <c r="C1772" s="17" t="s">
        <v>202</v>
      </c>
      <c r="D1772" t="s">
        <v>1035</v>
      </c>
      <c r="E1772" s="22">
        <v>160</v>
      </c>
      <c r="H1772" t="s">
        <v>155</v>
      </c>
      <c r="J1772" t="s">
        <v>6</v>
      </c>
      <c r="K1772" t="s">
        <v>219</v>
      </c>
      <c r="L1772">
        <v>1</v>
      </c>
    </row>
    <row r="1773" spans="1:12" ht="14.5" hidden="1" customHeight="1" x14ac:dyDescent="0.2">
      <c r="A1773">
        <f t="shared" si="27"/>
        <v>1767</v>
      </c>
      <c r="B1773" s="54">
        <v>2020</v>
      </c>
      <c r="C1773" s="17" t="s">
        <v>202</v>
      </c>
      <c r="D1773" t="s">
        <v>479</v>
      </c>
      <c r="E1773" s="22">
        <v>1270</v>
      </c>
      <c r="H1773" t="s">
        <v>154</v>
      </c>
      <c r="I1773" t="s">
        <v>194</v>
      </c>
      <c r="J1773" t="s">
        <v>94</v>
      </c>
      <c r="K1773" t="s">
        <v>177</v>
      </c>
      <c r="L1773">
        <v>0</v>
      </c>
    </row>
    <row r="1774" spans="1:12" ht="14.5" hidden="1" customHeight="1" x14ac:dyDescent="0.2">
      <c r="A1774">
        <f t="shared" si="27"/>
        <v>1768</v>
      </c>
      <c r="B1774" s="54">
        <v>2020</v>
      </c>
      <c r="C1774" s="17" t="s">
        <v>202</v>
      </c>
      <c r="D1774" t="s">
        <v>397</v>
      </c>
      <c r="E1774" s="22">
        <v>110</v>
      </c>
      <c r="H1774" t="s">
        <v>154</v>
      </c>
      <c r="I1774" t="s">
        <v>194</v>
      </c>
      <c r="J1774" t="s">
        <v>132</v>
      </c>
      <c r="K1774" t="s">
        <v>219</v>
      </c>
      <c r="L1774">
        <v>1</v>
      </c>
    </row>
    <row r="1775" spans="1:12" ht="14.5" hidden="1" customHeight="1" x14ac:dyDescent="0.2">
      <c r="A1775">
        <f t="shared" si="27"/>
        <v>1769</v>
      </c>
      <c r="B1775" s="54">
        <v>2020</v>
      </c>
      <c r="C1775" s="17" t="s">
        <v>202</v>
      </c>
      <c r="D1775" t="s">
        <v>1292</v>
      </c>
      <c r="E1775" s="22">
        <v>360</v>
      </c>
      <c r="H1775" t="s">
        <v>155</v>
      </c>
      <c r="J1775" t="s">
        <v>59</v>
      </c>
      <c r="K1775" t="s">
        <v>219</v>
      </c>
      <c r="L1775">
        <v>1</v>
      </c>
    </row>
    <row r="1776" spans="1:12" ht="14.5" hidden="1" customHeight="1" x14ac:dyDescent="0.2">
      <c r="A1776">
        <f t="shared" si="27"/>
        <v>1770</v>
      </c>
      <c r="B1776" s="54">
        <v>2020</v>
      </c>
      <c r="C1776" s="17" t="s">
        <v>207</v>
      </c>
      <c r="D1776" t="s">
        <v>745</v>
      </c>
      <c r="E1776" s="22">
        <v>890</v>
      </c>
      <c r="G1776" t="s">
        <v>2993</v>
      </c>
      <c r="H1776" t="s">
        <v>143</v>
      </c>
      <c r="J1776" t="s">
        <v>101</v>
      </c>
      <c r="K1776" t="s">
        <v>201</v>
      </c>
      <c r="L1776">
        <v>1</v>
      </c>
    </row>
    <row r="1777" spans="1:12" ht="14.5" hidden="1" customHeight="1" x14ac:dyDescent="0.2">
      <c r="A1777">
        <f t="shared" si="27"/>
        <v>1771</v>
      </c>
      <c r="B1777" s="54">
        <v>2020</v>
      </c>
      <c r="C1777" s="17" t="s">
        <v>207</v>
      </c>
      <c r="D1777" t="s">
        <v>745</v>
      </c>
      <c r="E1777" s="22">
        <v>450</v>
      </c>
      <c r="G1777" t="s">
        <v>2994</v>
      </c>
      <c r="H1777" t="s">
        <v>142</v>
      </c>
      <c r="J1777" t="s">
        <v>101</v>
      </c>
      <c r="K1777" t="s">
        <v>201</v>
      </c>
      <c r="L1777">
        <v>1</v>
      </c>
    </row>
    <row r="1778" spans="1:12" ht="14.5" hidden="1" customHeight="1" x14ac:dyDescent="0.2">
      <c r="A1778">
        <f t="shared" si="27"/>
        <v>1772</v>
      </c>
      <c r="B1778" s="54">
        <v>2020</v>
      </c>
      <c r="C1778" s="17" t="s">
        <v>207</v>
      </c>
      <c r="D1778" t="s">
        <v>479</v>
      </c>
      <c r="E1778" s="22">
        <v>110</v>
      </c>
      <c r="H1778" t="s">
        <v>154</v>
      </c>
      <c r="I1778" t="s">
        <v>194</v>
      </c>
      <c r="J1778" t="s">
        <v>59</v>
      </c>
      <c r="K1778" t="s">
        <v>219</v>
      </c>
      <c r="L1778">
        <v>1</v>
      </c>
    </row>
    <row r="1779" spans="1:12" ht="14.5" hidden="1" customHeight="1" x14ac:dyDescent="0.2">
      <c r="A1779">
        <f t="shared" si="27"/>
        <v>1773</v>
      </c>
      <c r="B1779" s="54">
        <v>2020</v>
      </c>
      <c r="C1779" s="17" t="s">
        <v>207</v>
      </c>
      <c r="D1779" t="s">
        <v>479</v>
      </c>
      <c r="E1779" s="22">
        <v>380</v>
      </c>
      <c r="G1779" t="s">
        <v>2995</v>
      </c>
      <c r="H1779" t="s">
        <v>148</v>
      </c>
      <c r="J1779" t="s">
        <v>38</v>
      </c>
      <c r="K1779" t="s">
        <v>214</v>
      </c>
      <c r="L1779">
        <v>1</v>
      </c>
    </row>
    <row r="1780" spans="1:12" ht="14.5" hidden="1" customHeight="1" x14ac:dyDescent="0.2">
      <c r="A1780">
        <f t="shared" si="27"/>
        <v>1774</v>
      </c>
      <c r="B1780" s="54">
        <v>2020</v>
      </c>
      <c r="C1780" s="17" t="s">
        <v>207</v>
      </c>
      <c r="D1780" t="s">
        <v>449</v>
      </c>
      <c r="E1780" s="22">
        <v>400</v>
      </c>
      <c r="H1780" t="s">
        <v>154</v>
      </c>
      <c r="I1780" t="s">
        <v>529</v>
      </c>
      <c r="J1780" t="s">
        <v>89</v>
      </c>
      <c r="K1780" t="s">
        <v>219</v>
      </c>
      <c r="L1780">
        <v>1</v>
      </c>
    </row>
    <row r="1781" spans="1:12" ht="14.5" hidden="1" customHeight="1" x14ac:dyDescent="0.2">
      <c r="A1781">
        <f t="shared" si="27"/>
        <v>1775</v>
      </c>
      <c r="B1781" s="54">
        <v>2020</v>
      </c>
      <c r="C1781" s="17" t="s">
        <v>207</v>
      </c>
      <c r="D1781" t="s">
        <v>875</v>
      </c>
      <c r="E1781" s="22">
        <v>230</v>
      </c>
      <c r="G1781" t="s">
        <v>2996</v>
      </c>
      <c r="H1781" t="s">
        <v>144</v>
      </c>
      <c r="I1781" t="s">
        <v>232</v>
      </c>
      <c r="J1781" t="s">
        <v>136</v>
      </c>
      <c r="K1781" t="s">
        <v>183</v>
      </c>
      <c r="L1781">
        <v>1</v>
      </c>
    </row>
    <row r="1782" spans="1:12" ht="14.5" hidden="1" customHeight="1" x14ac:dyDescent="0.2">
      <c r="A1782">
        <f t="shared" si="27"/>
        <v>1776</v>
      </c>
      <c r="B1782" s="54">
        <v>2020</v>
      </c>
      <c r="C1782" s="17" t="s">
        <v>240</v>
      </c>
      <c r="D1782" t="s">
        <v>175</v>
      </c>
      <c r="E1782" s="22">
        <v>410</v>
      </c>
      <c r="H1782" t="s">
        <v>154</v>
      </c>
      <c r="I1782" t="s">
        <v>250</v>
      </c>
      <c r="J1782" t="s">
        <v>23</v>
      </c>
      <c r="K1782" t="s">
        <v>183</v>
      </c>
      <c r="L1782">
        <v>1</v>
      </c>
    </row>
    <row r="1783" spans="1:12" ht="14.5" hidden="1" customHeight="1" x14ac:dyDescent="0.2">
      <c r="A1783">
        <f t="shared" si="27"/>
        <v>1777</v>
      </c>
      <c r="B1783" s="54">
        <v>2020</v>
      </c>
      <c r="C1783" s="17" t="s">
        <v>240</v>
      </c>
      <c r="D1783" t="s">
        <v>479</v>
      </c>
      <c r="E1783" s="22">
        <v>540</v>
      </c>
      <c r="G1783" t="s">
        <v>2997</v>
      </c>
      <c r="H1783" t="s">
        <v>154</v>
      </c>
      <c r="I1783" t="s">
        <v>194</v>
      </c>
      <c r="J1783" t="s">
        <v>9</v>
      </c>
      <c r="K1783" t="s">
        <v>9</v>
      </c>
      <c r="L1783">
        <v>0</v>
      </c>
    </row>
    <row r="1784" spans="1:12" ht="14.5" hidden="1" customHeight="1" x14ac:dyDescent="0.2">
      <c r="A1784">
        <f t="shared" si="27"/>
        <v>1778</v>
      </c>
      <c r="B1784" s="54">
        <v>2020</v>
      </c>
      <c r="C1784" s="17" t="s">
        <v>240</v>
      </c>
      <c r="D1784" t="s">
        <v>199</v>
      </c>
      <c r="E1784" s="22">
        <v>520</v>
      </c>
      <c r="G1784" t="s">
        <v>2689</v>
      </c>
      <c r="H1784" t="s">
        <v>144</v>
      </c>
      <c r="I1784" t="s">
        <v>187</v>
      </c>
      <c r="J1784" t="s">
        <v>130</v>
      </c>
      <c r="K1784" t="s">
        <v>214</v>
      </c>
      <c r="L1784">
        <v>1</v>
      </c>
    </row>
    <row r="1785" spans="1:12" ht="14.5" hidden="1" customHeight="1" x14ac:dyDescent="0.2">
      <c r="A1785">
        <f t="shared" si="27"/>
        <v>1779</v>
      </c>
      <c r="B1785" s="54">
        <v>2020</v>
      </c>
      <c r="C1785" s="17" t="s">
        <v>240</v>
      </c>
      <c r="D1785" t="s">
        <v>2998</v>
      </c>
      <c r="E1785" s="22">
        <v>180</v>
      </c>
      <c r="H1785" t="s">
        <v>152</v>
      </c>
      <c r="I1785" t="s">
        <v>257</v>
      </c>
      <c r="J1785" t="s">
        <v>46</v>
      </c>
      <c r="K1785" t="s">
        <v>219</v>
      </c>
      <c r="L1785">
        <v>1</v>
      </c>
    </row>
    <row r="1786" spans="1:12" ht="14.5" hidden="1" customHeight="1" x14ac:dyDescent="0.2">
      <c r="A1786">
        <f t="shared" si="27"/>
        <v>1780</v>
      </c>
      <c r="B1786" s="54">
        <v>2020</v>
      </c>
      <c r="C1786" s="17" t="s">
        <v>240</v>
      </c>
      <c r="D1786" t="s">
        <v>397</v>
      </c>
      <c r="E1786" s="22">
        <v>200</v>
      </c>
      <c r="H1786" t="s">
        <v>151</v>
      </c>
      <c r="I1786" t="s">
        <v>279</v>
      </c>
      <c r="J1786" t="s">
        <v>134</v>
      </c>
      <c r="K1786" t="s">
        <v>201</v>
      </c>
      <c r="L1786">
        <v>1</v>
      </c>
    </row>
    <row r="1787" spans="1:12" ht="14.5" hidden="1" customHeight="1" x14ac:dyDescent="0.2">
      <c r="A1787">
        <f t="shared" si="27"/>
        <v>1781</v>
      </c>
      <c r="B1787" s="54">
        <v>2020</v>
      </c>
      <c r="C1787" s="17" t="s">
        <v>240</v>
      </c>
      <c r="D1787" t="s">
        <v>2999</v>
      </c>
      <c r="E1787" s="22">
        <v>160</v>
      </c>
      <c r="H1787" t="s">
        <v>144</v>
      </c>
      <c r="I1787" t="s">
        <v>197</v>
      </c>
      <c r="J1787" t="s">
        <v>27</v>
      </c>
      <c r="K1787" t="s">
        <v>205</v>
      </c>
      <c r="L1787">
        <v>1</v>
      </c>
    </row>
    <row r="1788" spans="1:12" ht="14.5" hidden="1" customHeight="1" x14ac:dyDescent="0.2">
      <c r="A1788">
        <f t="shared" si="27"/>
        <v>1782</v>
      </c>
      <c r="B1788" s="54">
        <v>2020</v>
      </c>
      <c r="C1788" s="17" t="s">
        <v>240</v>
      </c>
      <c r="D1788" t="s">
        <v>1035</v>
      </c>
      <c r="E1788" s="22">
        <v>130</v>
      </c>
      <c r="H1788" t="s">
        <v>144</v>
      </c>
      <c r="I1788" t="s">
        <v>273</v>
      </c>
      <c r="J1788" t="s">
        <v>53</v>
      </c>
      <c r="K1788" t="s">
        <v>183</v>
      </c>
      <c r="L1788">
        <v>1</v>
      </c>
    </row>
    <row r="1789" spans="1:12" ht="14.5" hidden="1" customHeight="1" x14ac:dyDescent="0.2">
      <c r="A1789">
        <f t="shared" si="27"/>
        <v>1783</v>
      </c>
      <c r="B1789" s="54">
        <v>2020</v>
      </c>
      <c r="C1789" s="17" t="s">
        <v>240</v>
      </c>
      <c r="D1789" t="s">
        <v>479</v>
      </c>
      <c r="E1789" s="22">
        <v>240</v>
      </c>
      <c r="G1789" t="s">
        <v>3000</v>
      </c>
      <c r="H1789" t="s">
        <v>154</v>
      </c>
      <c r="I1789" t="s">
        <v>529</v>
      </c>
      <c r="J1789" t="s">
        <v>9</v>
      </c>
      <c r="K1789" t="s">
        <v>9</v>
      </c>
      <c r="L1789">
        <v>0</v>
      </c>
    </row>
    <row r="1790" spans="1:12" ht="14.5" hidden="1" customHeight="1" x14ac:dyDescent="0.2">
      <c r="A1790">
        <f t="shared" si="27"/>
        <v>1784</v>
      </c>
      <c r="B1790" s="54">
        <v>2020</v>
      </c>
      <c r="C1790" s="17" t="s">
        <v>212</v>
      </c>
      <c r="D1790" t="s">
        <v>397</v>
      </c>
      <c r="E1790" s="22">
        <v>180</v>
      </c>
      <c r="H1790" t="s">
        <v>155</v>
      </c>
      <c r="J1790" t="s">
        <v>108</v>
      </c>
      <c r="K1790" t="s">
        <v>183</v>
      </c>
      <c r="L1790">
        <v>1</v>
      </c>
    </row>
    <row r="1791" spans="1:12" ht="14.5" hidden="1" customHeight="1" x14ac:dyDescent="0.2">
      <c r="A1791">
        <f t="shared" si="27"/>
        <v>1785</v>
      </c>
      <c r="B1791" s="54">
        <v>2020</v>
      </c>
      <c r="C1791" s="17" t="s">
        <v>212</v>
      </c>
      <c r="D1791" t="s">
        <v>397</v>
      </c>
      <c r="E1791" s="22">
        <v>1490</v>
      </c>
      <c r="H1791" t="s">
        <v>154</v>
      </c>
      <c r="I1791" t="s">
        <v>529</v>
      </c>
      <c r="J1791" t="s">
        <v>63</v>
      </c>
      <c r="K1791" t="s">
        <v>201</v>
      </c>
      <c r="L1791">
        <v>1</v>
      </c>
    </row>
    <row r="1792" spans="1:12" ht="14.5" hidden="1" customHeight="1" x14ac:dyDescent="0.2">
      <c r="A1792">
        <f t="shared" si="27"/>
        <v>1786</v>
      </c>
      <c r="B1792" s="54">
        <v>2020</v>
      </c>
      <c r="C1792" s="17" t="s">
        <v>212</v>
      </c>
      <c r="D1792" t="s">
        <v>1035</v>
      </c>
      <c r="E1792" s="22">
        <v>120</v>
      </c>
      <c r="H1792" t="s">
        <v>144</v>
      </c>
      <c r="I1792" t="s">
        <v>232</v>
      </c>
      <c r="J1792" t="s">
        <v>134</v>
      </c>
      <c r="K1792" t="s">
        <v>201</v>
      </c>
      <c r="L1792">
        <v>1</v>
      </c>
    </row>
    <row r="1793" spans="1:12" ht="14.5" hidden="1" customHeight="1" x14ac:dyDescent="0.2">
      <c r="A1793">
        <f t="shared" si="27"/>
        <v>1787</v>
      </c>
      <c r="B1793" s="54">
        <v>2020</v>
      </c>
      <c r="C1793" s="17" t="s">
        <v>212</v>
      </c>
      <c r="D1793" t="s">
        <v>3001</v>
      </c>
      <c r="E1793" s="22">
        <v>460</v>
      </c>
      <c r="H1793" t="s">
        <v>144</v>
      </c>
      <c r="I1793" t="s">
        <v>232</v>
      </c>
      <c r="J1793" t="s">
        <v>136</v>
      </c>
      <c r="K1793" t="s">
        <v>183</v>
      </c>
      <c r="L1793">
        <v>1</v>
      </c>
    </row>
    <row r="1794" spans="1:12" ht="14.5" hidden="1" customHeight="1" x14ac:dyDescent="0.2">
      <c r="A1794">
        <f t="shared" si="27"/>
        <v>1788</v>
      </c>
      <c r="B1794" s="54">
        <v>2020</v>
      </c>
      <c r="C1794" s="17" t="s">
        <v>212</v>
      </c>
      <c r="D1794" t="s">
        <v>449</v>
      </c>
      <c r="E1794" s="22">
        <v>150</v>
      </c>
      <c r="H1794" t="s">
        <v>154</v>
      </c>
      <c r="I1794" t="s">
        <v>194</v>
      </c>
      <c r="J1794" t="s">
        <v>132</v>
      </c>
      <c r="K1794" t="s">
        <v>219</v>
      </c>
      <c r="L1794">
        <v>1</v>
      </c>
    </row>
    <row r="1795" spans="1:12" ht="14.5" hidden="1" customHeight="1" x14ac:dyDescent="0.2">
      <c r="A1795">
        <f t="shared" si="27"/>
        <v>1789</v>
      </c>
      <c r="B1795" s="54">
        <v>2020</v>
      </c>
      <c r="C1795" s="17" t="s">
        <v>212</v>
      </c>
      <c r="D1795" t="s">
        <v>449</v>
      </c>
      <c r="E1795" s="22">
        <v>420</v>
      </c>
      <c r="H1795" t="s">
        <v>154</v>
      </c>
      <c r="I1795" t="s">
        <v>529</v>
      </c>
      <c r="J1795" t="s">
        <v>124</v>
      </c>
      <c r="K1795" t="s">
        <v>183</v>
      </c>
      <c r="L1795">
        <v>1</v>
      </c>
    </row>
    <row r="1796" spans="1:12" ht="14.5" hidden="1" customHeight="1" x14ac:dyDescent="0.2">
      <c r="A1796">
        <f t="shared" si="27"/>
        <v>1790</v>
      </c>
      <c r="B1796" s="54">
        <v>2020</v>
      </c>
      <c r="C1796" s="17" t="s">
        <v>212</v>
      </c>
      <c r="D1796" t="s">
        <v>479</v>
      </c>
      <c r="E1796" s="22">
        <v>710</v>
      </c>
      <c r="H1796" t="s">
        <v>154</v>
      </c>
      <c r="I1796" t="s">
        <v>194</v>
      </c>
      <c r="J1796" t="s">
        <v>106</v>
      </c>
      <c r="K1796" t="s">
        <v>195</v>
      </c>
      <c r="L1796">
        <v>1</v>
      </c>
    </row>
    <row r="1797" spans="1:12" ht="14.5" hidden="1" customHeight="1" x14ac:dyDescent="0.2">
      <c r="A1797">
        <f t="shared" si="27"/>
        <v>1791</v>
      </c>
      <c r="B1797" s="54">
        <v>2020</v>
      </c>
      <c r="C1797" s="17" t="s">
        <v>212</v>
      </c>
      <c r="D1797" t="s">
        <v>341</v>
      </c>
      <c r="E1797" s="22">
        <v>130</v>
      </c>
      <c r="H1797" t="s">
        <v>154</v>
      </c>
      <c r="I1797" t="s">
        <v>194</v>
      </c>
      <c r="J1797" t="s">
        <v>84</v>
      </c>
      <c r="K1797" t="s">
        <v>201</v>
      </c>
      <c r="L1797">
        <v>1</v>
      </c>
    </row>
    <row r="1798" spans="1:12" ht="14.5" hidden="1" customHeight="1" x14ac:dyDescent="0.2">
      <c r="A1798">
        <f t="shared" si="27"/>
        <v>1792</v>
      </c>
      <c r="B1798" s="54">
        <v>2020</v>
      </c>
      <c r="C1798" s="17" t="s">
        <v>212</v>
      </c>
      <c r="D1798" t="s">
        <v>267</v>
      </c>
      <c r="E1798" s="22">
        <v>520</v>
      </c>
      <c r="F1798" s="16">
        <v>0.75</v>
      </c>
      <c r="G1798" t="s">
        <v>3002</v>
      </c>
      <c r="H1798" t="s">
        <v>149</v>
      </c>
      <c r="I1798" t="s">
        <v>238</v>
      </c>
      <c r="J1798" t="s">
        <v>53</v>
      </c>
      <c r="K1798" t="s">
        <v>183</v>
      </c>
      <c r="L1798">
        <v>1</v>
      </c>
    </row>
    <row r="1799" spans="1:12" ht="14.5" hidden="1" customHeight="1" x14ac:dyDescent="0.2">
      <c r="A1799">
        <f t="shared" ref="A1799:A1862" si="28">ROW()-6</f>
        <v>1793</v>
      </c>
      <c r="B1799" s="54">
        <v>2020</v>
      </c>
      <c r="C1799" s="17" t="s">
        <v>212</v>
      </c>
      <c r="D1799" t="s">
        <v>3003</v>
      </c>
      <c r="E1799" s="22">
        <v>120</v>
      </c>
      <c r="H1799" t="s">
        <v>154</v>
      </c>
      <c r="I1799" t="s">
        <v>194</v>
      </c>
      <c r="J1799" t="s">
        <v>122</v>
      </c>
      <c r="K1799" t="s">
        <v>201</v>
      </c>
      <c r="L1799">
        <v>1</v>
      </c>
    </row>
    <row r="1800" spans="1:12" ht="14.5" hidden="1" customHeight="1" x14ac:dyDescent="0.2">
      <c r="A1800">
        <f t="shared" si="28"/>
        <v>1794</v>
      </c>
      <c r="B1800" s="54">
        <v>2020</v>
      </c>
      <c r="C1800" s="17" t="s">
        <v>212</v>
      </c>
      <c r="D1800" t="s">
        <v>479</v>
      </c>
      <c r="E1800" s="22">
        <v>160</v>
      </c>
      <c r="H1800" t="s">
        <v>154</v>
      </c>
      <c r="I1800" t="s">
        <v>529</v>
      </c>
      <c r="J1800" t="s">
        <v>9</v>
      </c>
      <c r="K1800" t="s">
        <v>9</v>
      </c>
      <c r="L1800">
        <v>0</v>
      </c>
    </row>
    <row r="1801" spans="1:12" ht="14.5" hidden="1" customHeight="1" x14ac:dyDescent="0.2">
      <c r="A1801">
        <f t="shared" si="28"/>
        <v>1795</v>
      </c>
      <c r="B1801" s="54">
        <v>2020</v>
      </c>
      <c r="C1801" s="17" t="s">
        <v>212</v>
      </c>
      <c r="D1801" t="s">
        <v>1035</v>
      </c>
      <c r="E1801" s="22">
        <v>380</v>
      </c>
      <c r="H1801" t="s">
        <v>154</v>
      </c>
      <c r="I1801" t="s">
        <v>529</v>
      </c>
      <c r="J1801" t="s">
        <v>19</v>
      </c>
      <c r="K1801" t="s">
        <v>205</v>
      </c>
      <c r="L1801">
        <v>0</v>
      </c>
    </row>
    <row r="1802" spans="1:12" ht="14.5" hidden="1" customHeight="1" x14ac:dyDescent="0.2">
      <c r="A1802">
        <f t="shared" si="28"/>
        <v>1796</v>
      </c>
      <c r="B1802" s="54">
        <v>2020</v>
      </c>
      <c r="C1802" s="17" t="s">
        <v>212</v>
      </c>
      <c r="D1802" t="s">
        <v>875</v>
      </c>
      <c r="E1802" s="22">
        <v>110</v>
      </c>
      <c r="H1802" t="s">
        <v>154</v>
      </c>
      <c r="I1802" t="s">
        <v>529</v>
      </c>
      <c r="J1802" t="s">
        <v>83</v>
      </c>
      <c r="K1802" t="s">
        <v>219</v>
      </c>
      <c r="L1802">
        <v>1</v>
      </c>
    </row>
    <row r="1803" spans="1:12" ht="14.5" hidden="1" customHeight="1" x14ac:dyDescent="0.2">
      <c r="A1803">
        <f t="shared" si="28"/>
        <v>1797</v>
      </c>
      <c r="B1803" s="54">
        <v>2020</v>
      </c>
      <c r="C1803" s="17" t="s">
        <v>212</v>
      </c>
      <c r="D1803" t="s">
        <v>397</v>
      </c>
      <c r="E1803" s="22">
        <v>100</v>
      </c>
      <c r="H1803" t="s">
        <v>154</v>
      </c>
      <c r="I1803" t="s">
        <v>194</v>
      </c>
      <c r="J1803" t="s">
        <v>97</v>
      </c>
      <c r="K1803" t="s">
        <v>183</v>
      </c>
      <c r="L1803">
        <v>1</v>
      </c>
    </row>
    <row r="1804" spans="1:12" ht="14.5" hidden="1" customHeight="1" x14ac:dyDescent="0.2">
      <c r="A1804">
        <f t="shared" si="28"/>
        <v>1798</v>
      </c>
      <c r="B1804" s="54">
        <v>2021</v>
      </c>
      <c r="C1804" s="17" t="s">
        <v>172</v>
      </c>
      <c r="D1804" t="s">
        <v>479</v>
      </c>
      <c r="E1804" s="22">
        <v>140</v>
      </c>
      <c r="H1804" t="s">
        <v>154</v>
      </c>
      <c r="I1804" t="s">
        <v>529</v>
      </c>
      <c r="J1804" t="s">
        <v>108</v>
      </c>
      <c r="K1804" t="s">
        <v>183</v>
      </c>
      <c r="L1804">
        <v>1</v>
      </c>
    </row>
    <row r="1805" spans="1:12" ht="14.5" hidden="1" customHeight="1" x14ac:dyDescent="0.2">
      <c r="A1805">
        <f t="shared" si="28"/>
        <v>1799</v>
      </c>
      <c r="B1805" s="54">
        <v>2021</v>
      </c>
      <c r="C1805" s="17" t="s">
        <v>172</v>
      </c>
      <c r="D1805" t="s">
        <v>1035</v>
      </c>
      <c r="E1805" s="22">
        <v>140</v>
      </c>
      <c r="G1805" t="s">
        <v>3004</v>
      </c>
      <c r="H1805" t="s">
        <v>144</v>
      </c>
      <c r="I1805" t="s">
        <v>197</v>
      </c>
      <c r="J1805" t="s">
        <v>43</v>
      </c>
      <c r="K1805" t="s">
        <v>219</v>
      </c>
      <c r="L1805">
        <v>1</v>
      </c>
    </row>
    <row r="1806" spans="1:12" ht="14.5" hidden="1" customHeight="1" x14ac:dyDescent="0.2">
      <c r="A1806">
        <f t="shared" si="28"/>
        <v>1800</v>
      </c>
      <c r="B1806" s="54">
        <v>2021</v>
      </c>
      <c r="C1806" s="17" t="s">
        <v>172</v>
      </c>
      <c r="D1806" t="s">
        <v>1035</v>
      </c>
      <c r="E1806" s="22">
        <v>300</v>
      </c>
      <c r="H1806" t="s">
        <v>151</v>
      </c>
      <c r="I1806" t="s">
        <v>279</v>
      </c>
      <c r="J1806" t="s">
        <v>48</v>
      </c>
      <c r="K1806" t="s">
        <v>219</v>
      </c>
      <c r="L1806">
        <v>1</v>
      </c>
    </row>
    <row r="1807" spans="1:12" ht="14.5" hidden="1" customHeight="1" x14ac:dyDescent="0.2">
      <c r="A1807">
        <f t="shared" si="28"/>
        <v>1801</v>
      </c>
      <c r="B1807" s="73">
        <v>2021</v>
      </c>
      <c r="C1807" s="17" t="s">
        <v>172</v>
      </c>
      <c r="D1807" s="17" t="s">
        <v>745</v>
      </c>
      <c r="E1807" s="24">
        <v>450</v>
      </c>
      <c r="F1807" s="18"/>
      <c r="G1807" s="17"/>
      <c r="H1807" s="17" t="s">
        <v>143</v>
      </c>
      <c r="I1807" s="17"/>
      <c r="J1807" s="17" t="s">
        <v>101</v>
      </c>
      <c r="K1807" s="17" t="s">
        <v>201</v>
      </c>
      <c r="L1807" s="17">
        <v>1</v>
      </c>
    </row>
    <row r="1808" spans="1:12" ht="14.5" hidden="1" customHeight="1" x14ac:dyDescent="0.2">
      <c r="A1808">
        <f t="shared" si="28"/>
        <v>1802</v>
      </c>
      <c r="B1808" s="54">
        <v>2021</v>
      </c>
      <c r="C1808" s="17" t="s">
        <v>172</v>
      </c>
      <c r="D1808" t="s">
        <v>875</v>
      </c>
      <c r="E1808" s="22">
        <v>430</v>
      </c>
      <c r="H1808" t="s">
        <v>144</v>
      </c>
      <c r="I1808" t="s">
        <v>232</v>
      </c>
      <c r="J1808" t="s">
        <v>136</v>
      </c>
      <c r="K1808" t="s">
        <v>183</v>
      </c>
      <c r="L1808">
        <v>1</v>
      </c>
    </row>
    <row r="1809" spans="1:12" ht="14.5" hidden="1" customHeight="1" x14ac:dyDescent="0.2">
      <c r="A1809">
        <f t="shared" si="28"/>
        <v>1803</v>
      </c>
      <c r="B1809" s="54">
        <v>2021</v>
      </c>
      <c r="C1809" s="17" t="s">
        <v>172</v>
      </c>
      <c r="D1809" t="s">
        <v>397</v>
      </c>
      <c r="E1809" s="22">
        <v>150</v>
      </c>
      <c r="H1809" t="s">
        <v>151</v>
      </c>
      <c r="I1809" t="s">
        <v>279</v>
      </c>
      <c r="J1809" t="s">
        <v>105</v>
      </c>
      <c r="K1809" t="s">
        <v>214</v>
      </c>
      <c r="L1809">
        <v>1</v>
      </c>
    </row>
    <row r="1810" spans="1:12" ht="14.5" hidden="1" customHeight="1" x14ac:dyDescent="0.2">
      <c r="A1810">
        <f t="shared" si="28"/>
        <v>1804</v>
      </c>
      <c r="B1810" s="54">
        <v>2021</v>
      </c>
      <c r="C1810" s="17" t="s">
        <v>172</v>
      </c>
      <c r="D1810" t="s">
        <v>444</v>
      </c>
      <c r="E1810" s="22">
        <v>890</v>
      </c>
      <c r="H1810" t="s">
        <v>144</v>
      </c>
      <c r="I1810" t="s">
        <v>232</v>
      </c>
      <c r="J1810" t="s">
        <v>130</v>
      </c>
      <c r="K1810" t="s">
        <v>214</v>
      </c>
      <c r="L1810">
        <v>1</v>
      </c>
    </row>
    <row r="1811" spans="1:12" ht="14.5" hidden="1" customHeight="1" x14ac:dyDescent="0.2">
      <c r="A1811">
        <f t="shared" si="28"/>
        <v>1805</v>
      </c>
      <c r="B1811" s="54">
        <v>2021</v>
      </c>
      <c r="C1811" s="17" t="s">
        <v>258</v>
      </c>
      <c r="D1811" t="s">
        <v>449</v>
      </c>
      <c r="E1811" s="22">
        <v>1320</v>
      </c>
      <c r="H1811" t="s">
        <v>154</v>
      </c>
      <c r="I1811" t="s">
        <v>529</v>
      </c>
      <c r="J1811" t="s">
        <v>123</v>
      </c>
      <c r="K1811" t="s">
        <v>219</v>
      </c>
      <c r="L1811">
        <v>1</v>
      </c>
    </row>
    <row r="1812" spans="1:12" ht="14.5" hidden="1" customHeight="1" x14ac:dyDescent="0.2">
      <c r="A1812">
        <f t="shared" si="28"/>
        <v>1806</v>
      </c>
      <c r="B1812" s="54">
        <v>2021</v>
      </c>
      <c r="C1812" s="17" t="s">
        <v>258</v>
      </c>
      <c r="D1812" t="s">
        <v>189</v>
      </c>
      <c r="E1812" s="22">
        <v>360</v>
      </c>
      <c r="H1812" t="s">
        <v>144</v>
      </c>
      <c r="I1812" t="s">
        <v>187</v>
      </c>
      <c r="J1812" t="s">
        <v>65</v>
      </c>
      <c r="K1812" t="s">
        <v>214</v>
      </c>
      <c r="L1812">
        <v>1</v>
      </c>
    </row>
    <row r="1813" spans="1:12" ht="14.5" hidden="1" customHeight="1" x14ac:dyDescent="0.2">
      <c r="A1813">
        <f t="shared" si="28"/>
        <v>1807</v>
      </c>
      <c r="B1813" s="54">
        <v>2021</v>
      </c>
      <c r="C1813" s="17" t="s">
        <v>258</v>
      </c>
      <c r="D1813" t="s">
        <v>397</v>
      </c>
      <c r="E1813" s="22">
        <v>240</v>
      </c>
      <c r="H1813" t="s">
        <v>142</v>
      </c>
      <c r="J1813" t="s">
        <v>115</v>
      </c>
      <c r="K1813" t="s">
        <v>201</v>
      </c>
      <c r="L1813">
        <v>1</v>
      </c>
    </row>
    <row r="1814" spans="1:12" ht="14.5" hidden="1" customHeight="1" x14ac:dyDescent="0.2">
      <c r="A1814">
        <f t="shared" si="28"/>
        <v>1808</v>
      </c>
      <c r="B1814" s="54">
        <v>2021</v>
      </c>
      <c r="C1814" s="17" t="s">
        <v>258</v>
      </c>
      <c r="D1814" t="s">
        <v>479</v>
      </c>
      <c r="E1814" s="22">
        <v>360</v>
      </c>
      <c r="H1814" t="s">
        <v>154</v>
      </c>
      <c r="I1814" t="s">
        <v>529</v>
      </c>
      <c r="J1814" t="s">
        <v>108</v>
      </c>
      <c r="K1814" t="s">
        <v>183</v>
      </c>
      <c r="L1814">
        <v>1</v>
      </c>
    </row>
    <row r="1815" spans="1:12" ht="14.5" hidden="1" customHeight="1" x14ac:dyDescent="0.2">
      <c r="A1815">
        <f t="shared" si="28"/>
        <v>1809</v>
      </c>
      <c r="B1815" s="54">
        <v>2021</v>
      </c>
      <c r="C1815" s="17" t="s">
        <v>258</v>
      </c>
      <c r="D1815" t="s">
        <v>1356</v>
      </c>
      <c r="E1815" s="22">
        <v>100</v>
      </c>
      <c r="H1815" t="s">
        <v>146</v>
      </c>
      <c r="J1815" t="s">
        <v>40</v>
      </c>
      <c r="K1815" t="s">
        <v>219</v>
      </c>
      <c r="L1815">
        <v>1</v>
      </c>
    </row>
    <row r="1816" spans="1:12" ht="14.5" hidden="1" customHeight="1" x14ac:dyDescent="0.2">
      <c r="A1816">
        <f t="shared" si="28"/>
        <v>1810</v>
      </c>
      <c r="B1816" s="54">
        <v>2021</v>
      </c>
      <c r="C1816" s="17" t="s">
        <v>179</v>
      </c>
      <c r="D1816" t="s">
        <v>2329</v>
      </c>
      <c r="E1816" s="22">
        <v>120</v>
      </c>
      <c r="G1816" t="s">
        <v>2002</v>
      </c>
      <c r="H1816" t="s">
        <v>144</v>
      </c>
      <c r="I1816" t="s">
        <v>187</v>
      </c>
      <c r="J1816" t="s">
        <v>105</v>
      </c>
      <c r="K1816" t="s">
        <v>214</v>
      </c>
      <c r="L1816">
        <v>1</v>
      </c>
    </row>
    <row r="1817" spans="1:12" ht="14.5" hidden="1" customHeight="1" x14ac:dyDescent="0.2">
      <c r="A1817">
        <f t="shared" si="28"/>
        <v>1811</v>
      </c>
      <c r="B1817" s="54">
        <v>2021</v>
      </c>
      <c r="C1817" s="17" t="s">
        <v>179</v>
      </c>
      <c r="D1817" t="s">
        <v>397</v>
      </c>
      <c r="E1817" s="22">
        <v>130</v>
      </c>
      <c r="G1817" t="s">
        <v>2988</v>
      </c>
      <c r="H1817" t="s">
        <v>154</v>
      </c>
      <c r="I1817" t="s">
        <v>529</v>
      </c>
      <c r="J1817" t="s">
        <v>108</v>
      </c>
      <c r="K1817" t="s">
        <v>183</v>
      </c>
      <c r="L1817">
        <v>1</v>
      </c>
    </row>
    <row r="1818" spans="1:12" ht="14.5" hidden="1" customHeight="1" x14ac:dyDescent="0.2">
      <c r="A1818">
        <f t="shared" si="28"/>
        <v>1812</v>
      </c>
      <c r="B1818" s="54">
        <v>2021</v>
      </c>
      <c r="C1818" s="17" t="s">
        <v>179</v>
      </c>
      <c r="D1818" t="s">
        <v>189</v>
      </c>
      <c r="E1818" s="22">
        <v>900</v>
      </c>
      <c r="H1818" t="s">
        <v>144</v>
      </c>
      <c r="I1818" t="s">
        <v>299</v>
      </c>
      <c r="J1818" t="s">
        <v>101</v>
      </c>
      <c r="K1818" t="s">
        <v>201</v>
      </c>
      <c r="L1818">
        <v>1</v>
      </c>
    </row>
    <row r="1819" spans="1:12" ht="14.5" hidden="1" customHeight="1" x14ac:dyDescent="0.2">
      <c r="A1819">
        <f t="shared" si="28"/>
        <v>1813</v>
      </c>
      <c r="B1819" s="54">
        <v>2021</v>
      </c>
      <c r="C1819" s="17" t="s">
        <v>179</v>
      </c>
      <c r="D1819" t="s">
        <v>875</v>
      </c>
      <c r="E1819" s="22">
        <v>470</v>
      </c>
      <c r="F1819" s="16">
        <v>0.9</v>
      </c>
      <c r="G1819" t="s">
        <v>3005</v>
      </c>
      <c r="H1819" t="s">
        <v>144</v>
      </c>
      <c r="I1819" t="s">
        <v>197</v>
      </c>
      <c r="J1819" t="s">
        <v>93</v>
      </c>
      <c r="K1819" t="s">
        <v>201</v>
      </c>
      <c r="L1819">
        <v>1</v>
      </c>
    </row>
    <row r="1820" spans="1:12" ht="14.5" hidden="1" customHeight="1" x14ac:dyDescent="0.2">
      <c r="A1820">
        <f t="shared" si="28"/>
        <v>1814</v>
      </c>
      <c r="B1820" s="54">
        <v>2021</v>
      </c>
      <c r="C1820" s="17" t="s">
        <v>184</v>
      </c>
      <c r="D1820" t="s">
        <v>479</v>
      </c>
      <c r="E1820" s="22">
        <v>170</v>
      </c>
      <c r="H1820" t="s">
        <v>154</v>
      </c>
      <c r="I1820" t="s">
        <v>194</v>
      </c>
      <c r="J1820" t="s">
        <v>64</v>
      </c>
      <c r="K1820" t="s">
        <v>219</v>
      </c>
      <c r="L1820">
        <v>1</v>
      </c>
    </row>
    <row r="1821" spans="1:12" ht="14.5" hidden="1" customHeight="1" x14ac:dyDescent="0.2">
      <c r="A1821">
        <f t="shared" si="28"/>
        <v>1815</v>
      </c>
      <c r="B1821" s="54">
        <v>2021</v>
      </c>
      <c r="C1821" s="17" t="s">
        <v>184</v>
      </c>
      <c r="D1821" t="s">
        <v>185</v>
      </c>
      <c r="E1821" s="22">
        <v>100</v>
      </c>
      <c r="G1821" t="s">
        <v>2002</v>
      </c>
      <c r="H1821" t="s">
        <v>144</v>
      </c>
      <c r="J1821" t="s">
        <v>105</v>
      </c>
      <c r="K1821" t="s">
        <v>214</v>
      </c>
      <c r="L1821">
        <v>1</v>
      </c>
    </row>
    <row r="1822" spans="1:12" ht="14.5" hidden="1" customHeight="1" x14ac:dyDescent="0.2">
      <c r="A1822">
        <f t="shared" si="28"/>
        <v>1816</v>
      </c>
      <c r="B1822" s="54">
        <v>2021</v>
      </c>
      <c r="C1822" s="17" t="s">
        <v>184</v>
      </c>
      <c r="D1822" t="s">
        <v>875</v>
      </c>
      <c r="E1822" s="22">
        <v>190</v>
      </c>
      <c r="H1822" t="s">
        <v>144</v>
      </c>
      <c r="I1822" t="s">
        <v>232</v>
      </c>
      <c r="J1822" t="s">
        <v>105</v>
      </c>
      <c r="K1822" t="s">
        <v>214</v>
      </c>
      <c r="L1822">
        <v>1</v>
      </c>
    </row>
    <row r="1823" spans="1:12" ht="14.5" hidden="1" customHeight="1" x14ac:dyDescent="0.2">
      <c r="A1823">
        <f t="shared" si="28"/>
        <v>1817</v>
      </c>
      <c r="B1823" s="54">
        <v>2021</v>
      </c>
      <c r="C1823" s="17" t="s">
        <v>184</v>
      </c>
      <c r="D1823" t="s">
        <v>1035</v>
      </c>
      <c r="E1823" s="22">
        <v>120</v>
      </c>
      <c r="H1823" t="s">
        <v>154</v>
      </c>
      <c r="I1823" t="s">
        <v>194</v>
      </c>
      <c r="J1823" t="s">
        <v>106</v>
      </c>
      <c r="K1823" t="s">
        <v>195</v>
      </c>
      <c r="L1823">
        <v>1</v>
      </c>
    </row>
    <row r="1824" spans="1:12" ht="14.5" hidden="1" customHeight="1" x14ac:dyDescent="0.2">
      <c r="A1824">
        <f t="shared" si="28"/>
        <v>1818</v>
      </c>
      <c r="B1824" s="54">
        <v>2021</v>
      </c>
      <c r="C1824" s="17" t="s">
        <v>184</v>
      </c>
      <c r="D1824" t="s">
        <v>397</v>
      </c>
      <c r="E1824" s="22">
        <v>380</v>
      </c>
      <c r="H1824" t="s">
        <v>154</v>
      </c>
      <c r="I1824" t="s">
        <v>529</v>
      </c>
      <c r="J1824" t="s">
        <v>124</v>
      </c>
      <c r="K1824" t="s">
        <v>183</v>
      </c>
      <c r="L1824">
        <v>1</v>
      </c>
    </row>
    <row r="1825" spans="1:12" ht="14.5" hidden="1" customHeight="1" x14ac:dyDescent="0.2">
      <c r="A1825">
        <f t="shared" si="28"/>
        <v>1819</v>
      </c>
      <c r="B1825" s="54">
        <v>2021</v>
      </c>
      <c r="C1825" s="17" t="s">
        <v>184</v>
      </c>
      <c r="D1825" t="s">
        <v>479</v>
      </c>
      <c r="E1825" s="22">
        <v>300</v>
      </c>
      <c r="G1825" t="s">
        <v>3006</v>
      </c>
      <c r="H1825" t="s">
        <v>144</v>
      </c>
      <c r="I1825" t="s">
        <v>197</v>
      </c>
      <c r="J1825" t="s">
        <v>9</v>
      </c>
      <c r="K1825" t="s">
        <v>9</v>
      </c>
      <c r="L1825">
        <v>0</v>
      </c>
    </row>
    <row r="1826" spans="1:12" ht="14.5" hidden="1" customHeight="1" x14ac:dyDescent="0.2">
      <c r="A1826">
        <f t="shared" si="28"/>
        <v>1820</v>
      </c>
      <c r="B1826" s="54">
        <v>2021</v>
      </c>
      <c r="C1826" s="17" t="s">
        <v>184</v>
      </c>
      <c r="D1826" t="s">
        <v>449</v>
      </c>
      <c r="E1826" s="22">
        <v>190</v>
      </c>
      <c r="H1826" t="s">
        <v>154</v>
      </c>
      <c r="I1826" t="s">
        <v>529</v>
      </c>
      <c r="J1826" t="s">
        <v>108</v>
      </c>
      <c r="K1826" t="s">
        <v>183</v>
      </c>
      <c r="L1826">
        <v>1</v>
      </c>
    </row>
    <row r="1827" spans="1:12" ht="14.5" hidden="1" customHeight="1" x14ac:dyDescent="0.2">
      <c r="A1827">
        <f t="shared" si="28"/>
        <v>1821</v>
      </c>
      <c r="B1827" s="54">
        <v>2021</v>
      </c>
      <c r="C1827" s="17" t="s">
        <v>184</v>
      </c>
      <c r="D1827" t="s">
        <v>175</v>
      </c>
      <c r="E1827" s="22">
        <v>320</v>
      </c>
      <c r="H1827" t="s">
        <v>151</v>
      </c>
      <c r="I1827" t="s">
        <v>279</v>
      </c>
      <c r="J1827" t="s">
        <v>108</v>
      </c>
      <c r="K1827" t="s">
        <v>183</v>
      </c>
      <c r="L1827">
        <v>1</v>
      </c>
    </row>
    <row r="1828" spans="1:12" ht="14.5" hidden="1" customHeight="1" x14ac:dyDescent="0.2">
      <c r="A1828">
        <f t="shared" si="28"/>
        <v>1822</v>
      </c>
      <c r="B1828" s="54">
        <v>2021</v>
      </c>
      <c r="C1828" s="17" t="s">
        <v>184</v>
      </c>
      <c r="D1828" t="s">
        <v>1035</v>
      </c>
      <c r="E1828" s="22">
        <v>210</v>
      </c>
      <c r="H1828" t="s">
        <v>144</v>
      </c>
      <c r="I1828" t="s">
        <v>232</v>
      </c>
      <c r="J1828" t="s">
        <v>8</v>
      </c>
      <c r="K1828" t="s">
        <v>205</v>
      </c>
      <c r="L1828">
        <v>1</v>
      </c>
    </row>
    <row r="1829" spans="1:12" ht="14.5" hidden="1" customHeight="1" x14ac:dyDescent="0.2">
      <c r="A1829">
        <f t="shared" si="28"/>
        <v>1823</v>
      </c>
      <c r="B1829" s="54">
        <v>2021</v>
      </c>
      <c r="C1829" s="17" t="s">
        <v>184</v>
      </c>
      <c r="D1829" t="s">
        <v>397</v>
      </c>
      <c r="E1829" s="22">
        <v>140</v>
      </c>
      <c r="G1829" t="s">
        <v>3007</v>
      </c>
      <c r="H1829" t="s">
        <v>151</v>
      </c>
      <c r="I1829" t="s">
        <v>279</v>
      </c>
      <c r="J1829" t="s">
        <v>9</v>
      </c>
      <c r="K1829" t="s">
        <v>9</v>
      </c>
      <c r="L1829">
        <v>0</v>
      </c>
    </row>
    <row r="1830" spans="1:12" ht="14.5" hidden="1" customHeight="1" x14ac:dyDescent="0.2">
      <c r="A1830">
        <f t="shared" si="28"/>
        <v>1824</v>
      </c>
      <c r="B1830" s="54">
        <v>2021</v>
      </c>
      <c r="C1830" s="17" t="s">
        <v>184</v>
      </c>
      <c r="D1830" t="s">
        <v>341</v>
      </c>
      <c r="E1830" s="22">
        <v>310</v>
      </c>
      <c r="H1830" t="s">
        <v>154</v>
      </c>
      <c r="I1830" t="s">
        <v>194</v>
      </c>
      <c r="J1830" t="s">
        <v>44</v>
      </c>
      <c r="K1830" t="s">
        <v>201</v>
      </c>
      <c r="L1830">
        <v>1</v>
      </c>
    </row>
    <row r="1831" spans="1:12" ht="14.5" hidden="1" customHeight="1" x14ac:dyDescent="0.2">
      <c r="A1831">
        <f t="shared" si="28"/>
        <v>1825</v>
      </c>
      <c r="B1831" s="54">
        <v>2021</v>
      </c>
      <c r="C1831" s="17" t="s">
        <v>184</v>
      </c>
      <c r="D1831" t="s">
        <v>2157</v>
      </c>
      <c r="E1831" s="22">
        <v>110</v>
      </c>
      <c r="H1831" t="s">
        <v>154</v>
      </c>
      <c r="I1831" t="s">
        <v>194</v>
      </c>
      <c r="J1831" t="s">
        <v>122</v>
      </c>
      <c r="K1831" t="s">
        <v>201</v>
      </c>
      <c r="L1831">
        <v>1</v>
      </c>
    </row>
    <row r="1832" spans="1:12" ht="14.5" hidden="1" customHeight="1" x14ac:dyDescent="0.2">
      <c r="A1832">
        <f t="shared" si="28"/>
        <v>1826</v>
      </c>
      <c r="B1832" s="54">
        <v>2021</v>
      </c>
      <c r="C1832" s="17" t="s">
        <v>225</v>
      </c>
      <c r="D1832" t="s">
        <v>449</v>
      </c>
      <c r="E1832" s="22">
        <v>160</v>
      </c>
      <c r="H1832" t="s">
        <v>150</v>
      </c>
      <c r="I1832" t="s">
        <v>217</v>
      </c>
      <c r="J1832" t="s">
        <v>40</v>
      </c>
      <c r="K1832" t="s">
        <v>219</v>
      </c>
      <c r="L1832">
        <v>1</v>
      </c>
    </row>
    <row r="1833" spans="1:12" ht="14.5" hidden="1" customHeight="1" x14ac:dyDescent="0.2">
      <c r="A1833">
        <f t="shared" si="28"/>
        <v>1827</v>
      </c>
      <c r="B1833" s="54">
        <v>2021</v>
      </c>
      <c r="C1833" s="17" t="s">
        <v>225</v>
      </c>
      <c r="D1833" t="s">
        <v>1035</v>
      </c>
      <c r="E1833" s="22">
        <v>350</v>
      </c>
      <c r="H1833" t="s">
        <v>144</v>
      </c>
      <c r="I1833" t="s">
        <v>197</v>
      </c>
      <c r="J1833" t="s">
        <v>93</v>
      </c>
      <c r="K1833" t="s">
        <v>201</v>
      </c>
      <c r="L1833">
        <v>1</v>
      </c>
    </row>
    <row r="1834" spans="1:12" ht="14.5" hidden="1" customHeight="1" x14ac:dyDescent="0.2">
      <c r="A1834">
        <f t="shared" si="28"/>
        <v>1828</v>
      </c>
      <c r="B1834" s="54">
        <v>2021</v>
      </c>
      <c r="C1834" s="17" t="s">
        <v>225</v>
      </c>
      <c r="D1834" t="s">
        <v>703</v>
      </c>
      <c r="E1834" s="22">
        <v>160</v>
      </c>
      <c r="H1834" t="s">
        <v>144</v>
      </c>
      <c r="I1834" t="s">
        <v>299</v>
      </c>
      <c r="J1834" t="s">
        <v>93</v>
      </c>
      <c r="K1834" t="s">
        <v>201</v>
      </c>
      <c r="L1834">
        <v>1</v>
      </c>
    </row>
    <row r="1835" spans="1:12" ht="14.5" hidden="1" customHeight="1" x14ac:dyDescent="0.2">
      <c r="A1835">
        <f t="shared" si="28"/>
        <v>1829</v>
      </c>
      <c r="B1835" s="54">
        <v>2021</v>
      </c>
      <c r="C1835" s="17" t="s">
        <v>225</v>
      </c>
      <c r="D1835" t="s">
        <v>1289</v>
      </c>
      <c r="E1835" s="22">
        <v>140</v>
      </c>
      <c r="H1835" t="s">
        <v>151</v>
      </c>
      <c r="I1835" t="s">
        <v>279</v>
      </c>
      <c r="J1835" t="s">
        <v>108</v>
      </c>
      <c r="K1835" t="s">
        <v>183</v>
      </c>
      <c r="L1835">
        <v>1</v>
      </c>
    </row>
    <row r="1836" spans="1:12" ht="14.5" hidden="1" customHeight="1" x14ac:dyDescent="0.2">
      <c r="A1836">
        <f t="shared" si="28"/>
        <v>1830</v>
      </c>
      <c r="B1836" s="54">
        <v>2021</v>
      </c>
      <c r="C1836" s="17" t="s">
        <v>225</v>
      </c>
      <c r="D1836" t="s">
        <v>479</v>
      </c>
      <c r="E1836" s="22">
        <v>170</v>
      </c>
      <c r="H1836" t="s">
        <v>145</v>
      </c>
      <c r="J1836" t="s">
        <v>9</v>
      </c>
      <c r="K1836" t="s">
        <v>9</v>
      </c>
      <c r="L1836">
        <v>0</v>
      </c>
    </row>
    <row r="1837" spans="1:12" ht="14.5" hidden="1" customHeight="1" x14ac:dyDescent="0.2">
      <c r="A1837">
        <f t="shared" si="28"/>
        <v>1831</v>
      </c>
      <c r="B1837" s="54">
        <v>2021</v>
      </c>
      <c r="C1837" s="17" t="s">
        <v>225</v>
      </c>
      <c r="D1837" t="s">
        <v>444</v>
      </c>
      <c r="E1837" s="22">
        <v>180</v>
      </c>
      <c r="H1837" t="s">
        <v>144</v>
      </c>
      <c r="J1837" t="s">
        <v>3008</v>
      </c>
      <c r="K1837" t="s">
        <v>205</v>
      </c>
      <c r="L1837">
        <v>1</v>
      </c>
    </row>
    <row r="1838" spans="1:12" ht="14.5" hidden="1" customHeight="1" x14ac:dyDescent="0.2">
      <c r="A1838">
        <f t="shared" si="28"/>
        <v>1832</v>
      </c>
      <c r="B1838" s="54">
        <v>2021</v>
      </c>
      <c r="C1838" s="17" t="s">
        <v>225</v>
      </c>
      <c r="D1838" t="s">
        <v>175</v>
      </c>
      <c r="E1838" s="22">
        <v>790</v>
      </c>
      <c r="H1838" t="s">
        <v>154</v>
      </c>
      <c r="I1838" t="s">
        <v>529</v>
      </c>
      <c r="J1838" t="s">
        <v>108</v>
      </c>
      <c r="K1838" t="s">
        <v>183</v>
      </c>
      <c r="L1838">
        <v>1</v>
      </c>
    </row>
    <row r="1839" spans="1:12" ht="14.5" hidden="1" customHeight="1" x14ac:dyDescent="0.2">
      <c r="A1839">
        <f t="shared" si="28"/>
        <v>1833</v>
      </c>
      <c r="B1839" s="54">
        <v>2021</v>
      </c>
      <c r="C1839" s="17" t="s">
        <v>225</v>
      </c>
      <c r="D1839" t="s">
        <v>189</v>
      </c>
      <c r="E1839" s="22">
        <v>200</v>
      </c>
      <c r="G1839" t="s">
        <v>993</v>
      </c>
      <c r="H1839" t="s">
        <v>144</v>
      </c>
      <c r="J1839" t="s">
        <v>105</v>
      </c>
      <c r="K1839" t="s">
        <v>214</v>
      </c>
      <c r="L1839">
        <v>1</v>
      </c>
    </row>
    <row r="1840" spans="1:12" ht="14.5" hidden="1" customHeight="1" x14ac:dyDescent="0.2">
      <c r="A1840">
        <f t="shared" si="28"/>
        <v>1834</v>
      </c>
      <c r="B1840" s="54">
        <v>2021</v>
      </c>
      <c r="C1840" s="17" t="s">
        <v>225</v>
      </c>
      <c r="D1840" t="s">
        <v>479</v>
      </c>
      <c r="E1840" s="22">
        <v>750</v>
      </c>
      <c r="H1840" t="s">
        <v>154</v>
      </c>
      <c r="I1840" t="s">
        <v>271</v>
      </c>
      <c r="J1840" t="s">
        <v>96</v>
      </c>
      <c r="K1840" t="s">
        <v>205</v>
      </c>
      <c r="L1840">
        <v>1</v>
      </c>
    </row>
    <row r="1841" spans="1:12" ht="14.5" hidden="1" customHeight="1" x14ac:dyDescent="0.2">
      <c r="A1841">
        <f t="shared" si="28"/>
        <v>1835</v>
      </c>
      <c r="B1841" s="54">
        <v>2021</v>
      </c>
      <c r="C1841" s="17" t="s">
        <v>225</v>
      </c>
      <c r="D1841" t="s">
        <v>3009</v>
      </c>
      <c r="E1841" s="22">
        <v>420</v>
      </c>
      <c r="H1841" t="s">
        <v>154</v>
      </c>
      <c r="I1841" t="s">
        <v>194</v>
      </c>
      <c r="J1841" t="s">
        <v>84</v>
      </c>
      <c r="K1841" t="s">
        <v>201</v>
      </c>
      <c r="L1841">
        <v>1</v>
      </c>
    </row>
    <row r="1842" spans="1:12" ht="14.5" hidden="1" customHeight="1" x14ac:dyDescent="0.2">
      <c r="A1842">
        <f t="shared" si="28"/>
        <v>1836</v>
      </c>
      <c r="B1842" s="54">
        <v>2021</v>
      </c>
      <c r="C1842" s="17" t="s">
        <v>225</v>
      </c>
      <c r="D1842" t="s">
        <v>199</v>
      </c>
      <c r="E1842" s="22">
        <v>130</v>
      </c>
      <c r="G1842" t="s">
        <v>3010</v>
      </c>
      <c r="H1842" t="s">
        <v>144</v>
      </c>
      <c r="I1842" t="s">
        <v>187</v>
      </c>
      <c r="J1842" t="s">
        <v>53</v>
      </c>
      <c r="K1842" t="s">
        <v>183</v>
      </c>
      <c r="L1842">
        <v>1</v>
      </c>
    </row>
    <row r="1843" spans="1:12" ht="14.5" hidden="1" customHeight="1" x14ac:dyDescent="0.2">
      <c r="A1843">
        <f t="shared" si="28"/>
        <v>1837</v>
      </c>
      <c r="B1843" s="54">
        <v>2021</v>
      </c>
      <c r="C1843" s="17" t="s">
        <v>225</v>
      </c>
      <c r="D1843" t="s">
        <v>199</v>
      </c>
      <c r="E1843" s="22">
        <v>160</v>
      </c>
      <c r="G1843" t="s">
        <v>2689</v>
      </c>
      <c r="H1843" t="s">
        <v>144</v>
      </c>
      <c r="I1843" t="s">
        <v>187</v>
      </c>
      <c r="J1843" t="s">
        <v>130</v>
      </c>
      <c r="K1843" t="s">
        <v>214</v>
      </c>
      <c r="L1843">
        <v>1</v>
      </c>
    </row>
    <row r="1844" spans="1:12" ht="14.5" hidden="1" customHeight="1" x14ac:dyDescent="0.2">
      <c r="A1844">
        <f t="shared" si="28"/>
        <v>1838</v>
      </c>
      <c r="B1844" s="54">
        <v>2021</v>
      </c>
      <c r="C1844" s="17" t="s">
        <v>225</v>
      </c>
      <c r="D1844" t="s">
        <v>199</v>
      </c>
      <c r="E1844" s="22">
        <v>300</v>
      </c>
      <c r="F1844" s="16">
        <v>0.4</v>
      </c>
      <c r="H1844" t="s">
        <v>144</v>
      </c>
      <c r="I1844" t="s">
        <v>187</v>
      </c>
      <c r="J1844" t="s">
        <v>130</v>
      </c>
      <c r="K1844" t="s">
        <v>214</v>
      </c>
      <c r="L1844">
        <v>1</v>
      </c>
    </row>
    <row r="1845" spans="1:12" ht="14.5" hidden="1" customHeight="1" x14ac:dyDescent="0.2">
      <c r="A1845">
        <f t="shared" si="28"/>
        <v>1839</v>
      </c>
      <c r="B1845" s="54">
        <v>2021</v>
      </c>
      <c r="C1845" s="17" t="s">
        <v>188</v>
      </c>
      <c r="D1845" t="s">
        <v>449</v>
      </c>
      <c r="E1845" s="22">
        <v>110</v>
      </c>
      <c r="H1845" t="s">
        <v>148</v>
      </c>
      <c r="J1845" t="s">
        <v>40</v>
      </c>
      <c r="K1845" t="s">
        <v>219</v>
      </c>
      <c r="L1845">
        <v>1</v>
      </c>
    </row>
    <row r="1846" spans="1:12" ht="14.5" hidden="1" customHeight="1" x14ac:dyDescent="0.2">
      <c r="A1846">
        <f t="shared" si="28"/>
        <v>1840</v>
      </c>
      <c r="B1846" s="54">
        <v>2021</v>
      </c>
      <c r="C1846" s="17" t="s">
        <v>188</v>
      </c>
      <c r="D1846" t="s">
        <v>397</v>
      </c>
      <c r="E1846" s="22">
        <v>1920</v>
      </c>
      <c r="H1846" t="s">
        <v>151</v>
      </c>
      <c r="I1846" t="s">
        <v>279</v>
      </c>
      <c r="J1846" t="s">
        <v>38</v>
      </c>
      <c r="K1846" t="s">
        <v>214</v>
      </c>
      <c r="L1846">
        <v>1</v>
      </c>
    </row>
    <row r="1847" spans="1:12" ht="14.5" hidden="1" customHeight="1" x14ac:dyDescent="0.2">
      <c r="A1847">
        <f t="shared" si="28"/>
        <v>1841</v>
      </c>
      <c r="B1847" s="54">
        <v>2021</v>
      </c>
      <c r="C1847" s="17" t="s">
        <v>188</v>
      </c>
      <c r="D1847" t="s">
        <v>703</v>
      </c>
      <c r="E1847" s="22">
        <v>240</v>
      </c>
      <c r="H1847" t="s">
        <v>144</v>
      </c>
      <c r="I1847" t="s">
        <v>197</v>
      </c>
      <c r="J1847" t="s">
        <v>93</v>
      </c>
      <c r="K1847" t="s">
        <v>201</v>
      </c>
      <c r="L1847">
        <v>1</v>
      </c>
    </row>
    <row r="1848" spans="1:12" ht="14.5" hidden="1" customHeight="1" x14ac:dyDescent="0.2">
      <c r="A1848">
        <f t="shared" si="28"/>
        <v>1842</v>
      </c>
      <c r="B1848" s="54">
        <v>2021</v>
      </c>
      <c r="C1848" s="17" t="s">
        <v>188</v>
      </c>
      <c r="D1848" t="s">
        <v>1035</v>
      </c>
      <c r="E1848" s="22">
        <v>260</v>
      </c>
      <c r="H1848" t="s">
        <v>149</v>
      </c>
      <c r="J1848" t="s">
        <v>50</v>
      </c>
      <c r="K1848" t="s">
        <v>205</v>
      </c>
      <c r="L1848">
        <v>1</v>
      </c>
    </row>
    <row r="1849" spans="1:12" ht="14.5" hidden="1" customHeight="1" x14ac:dyDescent="0.2">
      <c r="A1849">
        <f t="shared" si="28"/>
        <v>1843</v>
      </c>
      <c r="B1849" s="54">
        <v>2021</v>
      </c>
      <c r="C1849" s="17" t="s">
        <v>188</v>
      </c>
      <c r="D1849" t="s">
        <v>557</v>
      </c>
      <c r="E1849" s="22">
        <v>440</v>
      </c>
      <c r="H1849" t="s">
        <v>151</v>
      </c>
      <c r="I1849" t="s">
        <v>279</v>
      </c>
      <c r="J1849" t="s">
        <v>38</v>
      </c>
      <c r="K1849" t="s">
        <v>214</v>
      </c>
      <c r="L1849">
        <v>1</v>
      </c>
    </row>
    <row r="1850" spans="1:12" s="41" customFormat="1" ht="14.5" hidden="1" customHeight="1" x14ac:dyDescent="0.2">
      <c r="A1850">
        <f t="shared" si="28"/>
        <v>1844</v>
      </c>
      <c r="B1850" s="54">
        <v>2021</v>
      </c>
      <c r="C1850" s="17" t="s">
        <v>188</v>
      </c>
      <c r="D1850" t="s">
        <v>3011</v>
      </c>
      <c r="E1850" s="22">
        <v>930</v>
      </c>
      <c r="F1850" s="16"/>
      <c r="H1850" t="s">
        <v>149</v>
      </c>
      <c r="I1850" t="s">
        <v>238</v>
      </c>
      <c r="J1850" t="s">
        <v>53</v>
      </c>
      <c r="K1850" t="s">
        <v>183</v>
      </c>
      <c r="L1850">
        <v>1</v>
      </c>
    </row>
    <row r="1851" spans="1:12" s="41" customFormat="1" ht="14.5" hidden="1" customHeight="1" x14ac:dyDescent="0.2">
      <c r="A1851">
        <f t="shared" si="28"/>
        <v>1845</v>
      </c>
      <c r="B1851" s="54">
        <v>2021</v>
      </c>
      <c r="C1851" s="17" t="s">
        <v>188</v>
      </c>
      <c r="D1851" t="s">
        <v>2680</v>
      </c>
      <c r="E1851" s="22">
        <v>140</v>
      </c>
      <c r="F1851" s="16"/>
      <c r="H1851" t="s">
        <v>155</v>
      </c>
      <c r="J1851" t="s">
        <v>93</v>
      </c>
      <c r="K1851" t="s">
        <v>201</v>
      </c>
      <c r="L1851">
        <v>1</v>
      </c>
    </row>
    <row r="1852" spans="1:12" ht="14.5" hidden="1" customHeight="1" x14ac:dyDescent="0.2">
      <c r="A1852">
        <f t="shared" si="28"/>
        <v>1846</v>
      </c>
      <c r="B1852" s="54">
        <v>2021</v>
      </c>
      <c r="C1852" s="17" t="s">
        <v>188</v>
      </c>
      <c r="D1852" t="s">
        <v>1035</v>
      </c>
      <c r="E1852" s="22">
        <v>460</v>
      </c>
      <c r="G1852" t="s">
        <v>1247</v>
      </c>
      <c r="H1852" t="s">
        <v>144</v>
      </c>
      <c r="I1852" t="s">
        <v>232</v>
      </c>
      <c r="J1852" t="s">
        <v>112</v>
      </c>
      <c r="K1852" t="s">
        <v>219</v>
      </c>
      <c r="L1852">
        <v>1</v>
      </c>
    </row>
    <row r="1853" spans="1:12" ht="14.5" hidden="1" customHeight="1" x14ac:dyDescent="0.2">
      <c r="A1853">
        <f t="shared" si="28"/>
        <v>1847</v>
      </c>
      <c r="B1853" s="54">
        <v>2021</v>
      </c>
      <c r="C1853" s="17" t="s">
        <v>188</v>
      </c>
      <c r="D1853" t="s">
        <v>479</v>
      </c>
      <c r="E1853" s="22">
        <v>180</v>
      </c>
      <c r="H1853" t="s">
        <v>154</v>
      </c>
      <c r="I1853" t="s">
        <v>529</v>
      </c>
      <c r="J1853" t="s">
        <v>108</v>
      </c>
      <c r="K1853" t="s">
        <v>183</v>
      </c>
      <c r="L1853">
        <v>1</v>
      </c>
    </row>
    <row r="1854" spans="1:12" ht="14.5" hidden="1" customHeight="1" x14ac:dyDescent="0.2">
      <c r="A1854">
        <f t="shared" si="28"/>
        <v>1848</v>
      </c>
      <c r="B1854" s="54">
        <v>2021</v>
      </c>
      <c r="C1854" s="17" t="s">
        <v>188</v>
      </c>
      <c r="D1854" t="s">
        <v>3012</v>
      </c>
      <c r="E1854" s="22">
        <v>160</v>
      </c>
      <c r="H1854" t="s">
        <v>144</v>
      </c>
      <c r="I1854" t="s">
        <v>197</v>
      </c>
      <c r="J1854" t="s">
        <v>66</v>
      </c>
      <c r="K1854" t="s">
        <v>201</v>
      </c>
      <c r="L1854">
        <v>1</v>
      </c>
    </row>
    <row r="1855" spans="1:12" ht="14.5" hidden="1" customHeight="1" x14ac:dyDescent="0.2">
      <c r="A1855">
        <f t="shared" si="28"/>
        <v>1849</v>
      </c>
      <c r="B1855" s="54">
        <v>2021</v>
      </c>
      <c r="C1855" t="s">
        <v>191</v>
      </c>
      <c r="D1855" t="s">
        <v>3013</v>
      </c>
      <c r="E1855" s="22">
        <v>120</v>
      </c>
      <c r="H1855" t="s">
        <v>149</v>
      </c>
      <c r="J1855" t="s">
        <v>63</v>
      </c>
      <c r="K1855" t="s">
        <v>201</v>
      </c>
      <c r="L1855">
        <v>1</v>
      </c>
    </row>
    <row r="1856" spans="1:12" ht="14.5" hidden="1" customHeight="1" x14ac:dyDescent="0.2">
      <c r="A1856">
        <f t="shared" si="28"/>
        <v>1850</v>
      </c>
      <c r="B1856" s="54">
        <v>2021</v>
      </c>
      <c r="C1856" t="s">
        <v>191</v>
      </c>
      <c r="D1856" t="s">
        <v>875</v>
      </c>
      <c r="E1856" s="22">
        <v>240</v>
      </c>
      <c r="G1856" t="s">
        <v>3014</v>
      </c>
      <c r="H1856" t="s">
        <v>144</v>
      </c>
      <c r="I1856" t="s">
        <v>232</v>
      </c>
      <c r="J1856" t="s">
        <v>89</v>
      </c>
      <c r="K1856" t="s">
        <v>219</v>
      </c>
      <c r="L1856">
        <v>1</v>
      </c>
    </row>
    <row r="1857" spans="1:12" ht="14.5" hidden="1" customHeight="1" x14ac:dyDescent="0.2">
      <c r="A1857">
        <f t="shared" si="28"/>
        <v>1851</v>
      </c>
      <c r="B1857" s="54">
        <v>2021</v>
      </c>
      <c r="C1857" t="s">
        <v>191</v>
      </c>
      <c r="D1857" t="s">
        <v>199</v>
      </c>
      <c r="E1857" s="22">
        <v>500</v>
      </c>
      <c r="F1857" s="16">
        <v>0.72</v>
      </c>
      <c r="G1857" t="s">
        <v>758</v>
      </c>
      <c r="H1857" t="s">
        <v>144</v>
      </c>
      <c r="I1857" t="s">
        <v>187</v>
      </c>
      <c r="J1857" t="s">
        <v>55</v>
      </c>
      <c r="K1857" t="s">
        <v>214</v>
      </c>
      <c r="L1857">
        <v>1</v>
      </c>
    </row>
    <row r="1858" spans="1:12" ht="14.5" hidden="1" customHeight="1" x14ac:dyDescent="0.2">
      <c r="A1858">
        <f t="shared" si="28"/>
        <v>1852</v>
      </c>
      <c r="B1858" s="54">
        <v>2021</v>
      </c>
      <c r="C1858" t="s">
        <v>191</v>
      </c>
      <c r="D1858" t="s">
        <v>875</v>
      </c>
      <c r="E1858" s="22">
        <v>290</v>
      </c>
      <c r="H1858" t="s">
        <v>144</v>
      </c>
      <c r="I1858" t="s">
        <v>232</v>
      </c>
      <c r="J1858" t="s">
        <v>8</v>
      </c>
      <c r="K1858" t="s">
        <v>205</v>
      </c>
      <c r="L1858">
        <v>1</v>
      </c>
    </row>
    <row r="1859" spans="1:12" ht="14.5" hidden="1" customHeight="1" x14ac:dyDescent="0.2">
      <c r="A1859">
        <f t="shared" si="28"/>
        <v>1853</v>
      </c>
      <c r="B1859" s="54">
        <v>2021</v>
      </c>
      <c r="C1859" t="s">
        <v>191</v>
      </c>
      <c r="D1859" t="s">
        <v>479</v>
      </c>
      <c r="E1859" s="22">
        <v>160</v>
      </c>
      <c r="F1859" s="16">
        <v>0.5</v>
      </c>
      <c r="G1859" t="s">
        <v>3015</v>
      </c>
      <c r="H1859" t="s">
        <v>155</v>
      </c>
      <c r="J1859" t="s">
        <v>108</v>
      </c>
      <c r="K1859" t="s">
        <v>183</v>
      </c>
      <c r="L1859">
        <v>1</v>
      </c>
    </row>
    <row r="1860" spans="1:12" ht="14.5" hidden="1" customHeight="1" x14ac:dyDescent="0.2">
      <c r="A1860">
        <f t="shared" si="28"/>
        <v>1854</v>
      </c>
      <c r="B1860" s="54">
        <v>2021</v>
      </c>
      <c r="C1860" t="s">
        <v>191</v>
      </c>
      <c r="D1860" t="s">
        <v>1793</v>
      </c>
      <c r="E1860" s="22">
        <v>110</v>
      </c>
      <c r="H1860" t="s">
        <v>150</v>
      </c>
      <c r="I1860" t="s">
        <v>217</v>
      </c>
      <c r="J1860" t="s">
        <v>2462</v>
      </c>
      <c r="K1860" t="s">
        <v>219</v>
      </c>
      <c r="L1860">
        <v>1</v>
      </c>
    </row>
    <row r="1861" spans="1:12" ht="14.5" hidden="1" customHeight="1" x14ac:dyDescent="0.2">
      <c r="A1861">
        <f t="shared" si="28"/>
        <v>1855</v>
      </c>
      <c r="B1861" s="54">
        <v>2021</v>
      </c>
      <c r="C1861" t="s">
        <v>191</v>
      </c>
      <c r="D1861" t="s">
        <v>208</v>
      </c>
      <c r="E1861" s="22">
        <v>1250</v>
      </c>
      <c r="G1861" t="s">
        <v>2702</v>
      </c>
      <c r="H1861" t="s">
        <v>149</v>
      </c>
      <c r="I1861" t="s">
        <v>182</v>
      </c>
      <c r="J1861" t="s">
        <v>128</v>
      </c>
      <c r="K1861" t="s">
        <v>201</v>
      </c>
      <c r="L1861">
        <v>1</v>
      </c>
    </row>
    <row r="1862" spans="1:12" ht="14.5" hidden="1" customHeight="1" x14ac:dyDescent="0.2">
      <c r="A1862">
        <f t="shared" si="28"/>
        <v>1856</v>
      </c>
      <c r="B1862" s="54">
        <v>2021</v>
      </c>
      <c r="C1862" t="s">
        <v>191</v>
      </c>
      <c r="D1862" t="s">
        <v>341</v>
      </c>
      <c r="E1862" s="22">
        <v>210</v>
      </c>
      <c r="H1862" t="s">
        <v>151</v>
      </c>
      <c r="I1862" t="s">
        <v>279</v>
      </c>
      <c r="J1862" t="s">
        <v>65</v>
      </c>
      <c r="K1862" t="s">
        <v>214</v>
      </c>
      <c r="L1862">
        <v>1</v>
      </c>
    </row>
    <row r="1863" spans="1:12" ht="14.5" hidden="1" customHeight="1" x14ac:dyDescent="0.2">
      <c r="A1863">
        <f t="shared" ref="A1863:A1926" si="29">ROW()-6</f>
        <v>1857</v>
      </c>
      <c r="B1863" s="54">
        <v>2021</v>
      </c>
      <c r="C1863" t="s">
        <v>191</v>
      </c>
      <c r="D1863" t="s">
        <v>1035</v>
      </c>
      <c r="E1863" s="22">
        <v>310</v>
      </c>
      <c r="H1863" t="s">
        <v>144</v>
      </c>
      <c r="I1863" t="s">
        <v>232</v>
      </c>
      <c r="J1863" t="s">
        <v>136</v>
      </c>
      <c r="K1863" t="s">
        <v>183</v>
      </c>
      <c r="L1863">
        <v>1</v>
      </c>
    </row>
    <row r="1864" spans="1:12" ht="14.5" hidden="1" customHeight="1" x14ac:dyDescent="0.2">
      <c r="A1864">
        <f t="shared" si="29"/>
        <v>1858</v>
      </c>
      <c r="B1864" s="54">
        <v>2021</v>
      </c>
      <c r="C1864" t="s">
        <v>198</v>
      </c>
      <c r="D1864" t="s">
        <v>2680</v>
      </c>
      <c r="E1864" s="22">
        <v>230</v>
      </c>
      <c r="H1864" t="s">
        <v>147</v>
      </c>
      <c r="J1864" t="s">
        <v>46</v>
      </c>
      <c r="K1864" t="s">
        <v>219</v>
      </c>
      <c r="L1864">
        <v>1</v>
      </c>
    </row>
    <row r="1865" spans="1:12" ht="14.5" hidden="1" customHeight="1" x14ac:dyDescent="0.2">
      <c r="A1865">
        <f t="shared" si="29"/>
        <v>1859</v>
      </c>
      <c r="B1865" s="54">
        <v>2021</v>
      </c>
      <c r="C1865" t="s">
        <v>198</v>
      </c>
      <c r="D1865" t="s">
        <v>875</v>
      </c>
      <c r="E1865" s="22">
        <v>130</v>
      </c>
      <c r="H1865" t="s">
        <v>154</v>
      </c>
      <c r="I1865" t="s">
        <v>271</v>
      </c>
      <c r="J1865" t="s">
        <v>34</v>
      </c>
      <c r="K1865" t="s">
        <v>219</v>
      </c>
      <c r="L1865">
        <v>1</v>
      </c>
    </row>
    <row r="1866" spans="1:12" ht="14.5" hidden="1" customHeight="1" x14ac:dyDescent="0.2">
      <c r="A1866">
        <f t="shared" si="29"/>
        <v>1860</v>
      </c>
      <c r="B1866" s="54">
        <v>2021</v>
      </c>
      <c r="C1866" t="s">
        <v>198</v>
      </c>
      <c r="D1866" t="s">
        <v>1035</v>
      </c>
      <c r="E1866" s="22">
        <v>110</v>
      </c>
      <c r="G1866" t="s">
        <v>3016</v>
      </c>
      <c r="H1866" t="s">
        <v>144</v>
      </c>
      <c r="I1866" t="s">
        <v>232</v>
      </c>
      <c r="J1866" t="s">
        <v>19</v>
      </c>
      <c r="K1866" t="s">
        <v>205</v>
      </c>
      <c r="L1866">
        <v>0</v>
      </c>
    </row>
    <row r="1867" spans="1:12" ht="14.5" hidden="1" customHeight="1" x14ac:dyDescent="0.2">
      <c r="A1867">
        <f t="shared" si="29"/>
        <v>1861</v>
      </c>
      <c r="B1867" s="54">
        <v>2021</v>
      </c>
      <c r="C1867" t="s">
        <v>198</v>
      </c>
      <c r="D1867" t="s">
        <v>199</v>
      </c>
      <c r="E1867" s="22">
        <v>7070</v>
      </c>
      <c r="H1867" t="s">
        <v>144</v>
      </c>
      <c r="I1867" t="s">
        <v>299</v>
      </c>
      <c r="J1867" t="s">
        <v>129</v>
      </c>
      <c r="K1867" t="s">
        <v>201</v>
      </c>
      <c r="L1867">
        <v>1</v>
      </c>
    </row>
    <row r="1868" spans="1:12" ht="14.5" hidden="1" customHeight="1" x14ac:dyDescent="0.2">
      <c r="A1868">
        <f t="shared" si="29"/>
        <v>1862</v>
      </c>
      <c r="B1868" s="54">
        <v>2021</v>
      </c>
      <c r="C1868" t="s">
        <v>198</v>
      </c>
      <c r="D1868" t="s">
        <v>444</v>
      </c>
      <c r="E1868" s="22">
        <v>150</v>
      </c>
      <c r="H1868" t="s">
        <v>155</v>
      </c>
      <c r="J1868" t="s">
        <v>96</v>
      </c>
      <c r="K1868" t="s">
        <v>205</v>
      </c>
      <c r="L1868">
        <v>1</v>
      </c>
    </row>
    <row r="1869" spans="1:12" ht="14.5" hidden="1" customHeight="1" x14ac:dyDescent="0.2">
      <c r="A1869">
        <f t="shared" si="29"/>
        <v>1863</v>
      </c>
      <c r="B1869" s="54">
        <v>2021</v>
      </c>
      <c r="C1869" t="s">
        <v>198</v>
      </c>
      <c r="D1869" t="s">
        <v>557</v>
      </c>
      <c r="E1869" s="22">
        <v>300</v>
      </c>
      <c r="H1869" t="s">
        <v>151</v>
      </c>
      <c r="I1869" t="s">
        <v>279</v>
      </c>
      <c r="J1869" t="s">
        <v>40</v>
      </c>
      <c r="K1869" t="s">
        <v>219</v>
      </c>
      <c r="L1869">
        <v>1</v>
      </c>
    </row>
    <row r="1870" spans="1:12" ht="14.5" hidden="1" customHeight="1" x14ac:dyDescent="0.2">
      <c r="A1870">
        <f t="shared" si="29"/>
        <v>1864</v>
      </c>
      <c r="B1870" s="54">
        <v>2021</v>
      </c>
      <c r="C1870" t="s">
        <v>198</v>
      </c>
      <c r="D1870" t="s">
        <v>1035</v>
      </c>
      <c r="E1870" s="22">
        <v>100</v>
      </c>
      <c r="H1870" t="s">
        <v>154</v>
      </c>
      <c r="I1870" t="s">
        <v>194</v>
      </c>
      <c r="J1870" t="s">
        <v>46</v>
      </c>
      <c r="K1870" t="s">
        <v>219</v>
      </c>
      <c r="L1870">
        <v>1</v>
      </c>
    </row>
    <row r="1871" spans="1:12" ht="14.5" hidden="1" customHeight="1" x14ac:dyDescent="0.2">
      <c r="A1871">
        <f t="shared" si="29"/>
        <v>1865</v>
      </c>
      <c r="B1871" s="54">
        <v>2021</v>
      </c>
      <c r="C1871" t="s">
        <v>198</v>
      </c>
      <c r="D1871" t="s">
        <v>444</v>
      </c>
      <c r="E1871" s="22">
        <v>170</v>
      </c>
      <c r="H1871" t="s">
        <v>144</v>
      </c>
      <c r="J1871" t="s">
        <v>23</v>
      </c>
      <c r="K1871" t="s">
        <v>183</v>
      </c>
      <c r="L1871">
        <v>1</v>
      </c>
    </row>
    <row r="1872" spans="1:12" ht="14.5" hidden="1" customHeight="1" x14ac:dyDescent="0.2">
      <c r="A1872">
        <f t="shared" si="29"/>
        <v>1866</v>
      </c>
      <c r="B1872" s="54">
        <v>2021</v>
      </c>
      <c r="C1872" t="s">
        <v>198</v>
      </c>
      <c r="D1872" t="s">
        <v>397</v>
      </c>
      <c r="E1872" s="22">
        <v>110</v>
      </c>
      <c r="G1872" t="s">
        <v>3017</v>
      </c>
      <c r="H1872" t="s">
        <v>150</v>
      </c>
      <c r="I1872" t="s">
        <v>744</v>
      </c>
      <c r="J1872" t="s">
        <v>124</v>
      </c>
      <c r="K1872" t="s">
        <v>183</v>
      </c>
      <c r="L1872">
        <v>1</v>
      </c>
    </row>
    <row r="1873" spans="1:15" ht="14.5" hidden="1" customHeight="1" x14ac:dyDescent="0.2">
      <c r="A1873">
        <f t="shared" si="29"/>
        <v>1867</v>
      </c>
      <c r="B1873" s="54">
        <v>2021</v>
      </c>
      <c r="C1873" t="s">
        <v>198</v>
      </c>
      <c r="D1873" t="s">
        <v>1035</v>
      </c>
      <c r="E1873" s="22">
        <v>530</v>
      </c>
      <c r="G1873" t="s">
        <v>3018</v>
      </c>
      <c r="H1873" t="s">
        <v>154</v>
      </c>
      <c r="I1873" t="s">
        <v>529</v>
      </c>
      <c r="J1873" t="s">
        <v>98</v>
      </c>
      <c r="K1873" t="s">
        <v>195</v>
      </c>
      <c r="L1873">
        <v>1</v>
      </c>
    </row>
    <row r="1874" spans="1:15" ht="14.5" hidden="1" customHeight="1" x14ac:dyDescent="0.2">
      <c r="A1874">
        <f t="shared" si="29"/>
        <v>1868</v>
      </c>
      <c r="B1874" s="54">
        <v>2021</v>
      </c>
      <c r="C1874" t="s">
        <v>202</v>
      </c>
      <c r="D1874" t="s">
        <v>221</v>
      </c>
      <c r="E1874" s="22">
        <v>910</v>
      </c>
      <c r="H1874" t="s">
        <v>144</v>
      </c>
      <c r="I1874" t="s">
        <v>187</v>
      </c>
      <c r="J1874" t="s">
        <v>55</v>
      </c>
      <c r="K1874" t="s">
        <v>214</v>
      </c>
      <c r="L1874">
        <v>1</v>
      </c>
    </row>
    <row r="1875" spans="1:15" ht="14.5" hidden="1" customHeight="1" x14ac:dyDescent="0.2">
      <c r="A1875">
        <f t="shared" si="29"/>
        <v>1869</v>
      </c>
      <c r="B1875" s="54">
        <v>2021</v>
      </c>
      <c r="C1875" t="s">
        <v>202</v>
      </c>
      <c r="D1875" t="s">
        <v>189</v>
      </c>
      <c r="E1875" s="22">
        <v>130</v>
      </c>
      <c r="H1875" t="s">
        <v>144</v>
      </c>
      <c r="I1875" t="s">
        <v>187</v>
      </c>
      <c r="J1875" t="s">
        <v>37</v>
      </c>
      <c r="K1875" t="s">
        <v>205</v>
      </c>
      <c r="L1875">
        <v>1</v>
      </c>
    </row>
    <row r="1876" spans="1:15" ht="14.5" hidden="1" customHeight="1" x14ac:dyDescent="0.2">
      <c r="A1876">
        <f t="shared" si="29"/>
        <v>1870</v>
      </c>
      <c r="B1876" s="54">
        <v>2021</v>
      </c>
      <c r="C1876" t="s">
        <v>202</v>
      </c>
      <c r="D1876" t="s">
        <v>1035</v>
      </c>
      <c r="E1876" s="22">
        <v>220</v>
      </c>
      <c r="G1876" t="s">
        <v>3019</v>
      </c>
      <c r="H1876" t="s">
        <v>144</v>
      </c>
      <c r="I1876" t="s">
        <v>232</v>
      </c>
      <c r="J1876" t="s">
        <v>27</v>
      </c>
      <c r="K1876" t="s">
        <v>205</v>
      </c>
      <c r="L1876">
        <v>1</v>
      </c>
    </row>
    <row r="1877" spans="1:15" ht="14.5" hidden="1" customHeight="1" x14ac:dyDescent="0.2">
      <c r="A1877">
        <f t="shared" si="29"/>
        <v>1871</v>
      </c>
      <c r="B1877" s="54">
        <v>2021</v>
      </c>
      <c r="C1877" t="s">
        <v>202</v>
      </c>
      <c r="D1877" t="s">
        <v>244</v>
      </c>
      <c r="E1877" s="22">
        <v>100</v>
      </c>
      <c r="G1877" t="s">
        <v>2760</v>
      </c>
      <c r="H1877" t="s">
        <v>149</v>
      </c>
      <c r="I1877" t="s">
        <v>182</v>
      </c>
      <c r="J1877" t="s">
        <v>63</v>
      </c>
      <c r="K1877" t="s">
        <v>201</v>
      </c>
      <c r="L1877">
        <v>1</v>
      </c>
    </row>
    <row r="1878" spans="1:15" ht="14.5" hidden="1" customHeight="1" x14ac:dyDescent="0.2">
      <c r="A1878">
        <f t="shared" si="29"/>
        <v>1872</v>
      </c>
      <c r="B1878" s="54">
        <v>2021</v>
      </c>
      <c r="C1878" t="s">
        <v>202</v>
      </c>
      <c r="D1878" t="s">
        <v>3020</v>
      </c>
      <c r="E1878" s="22">
        <v>230</v>
      </c>
      <c r="H1878" t="s">
        <v>154</v>
      </c>
      <c r="I1878" t="s">
        <v>194</v>
      </c>
      <c r="J1878" t="s">
        <v>13</v>
      </c>
      <c r="K1878" t="s">
        <v>201</v>
      </c>
      <c r="L1878">
        <v>1</v>
      </c>
    </row>
    <row r="1879" spans="1:15" ht="14.5" hidden="1" customHeight="1" x14ac:dyDescent="0.2">
      <c r="A1879">
        <f t="shared" si="29"/>
        <v>1873</v>
      </c>
      <c r="B1879" s="54">
        <v>2021</v>
      </c>
      <c r="C1879" t="s">
        <v>202</v>
      </c>
      <c r="D1879" t="s">
        <v>1035</v>
      </c>
      <c r="E1879" s="22">
        <v>110</v>
      </c>
      <c r="H1879" t="s">
        <v>144</v>
      </c>
      <c r="I1879" t="s">
        <v>232</v>
      </c>
      <c r="J1879" t="s">
        <v>53</v>
      </c>
      <c r="K1879" t="s">
        <v>183</v>
      </c>
      <c r="L1879">
        <v>1</v>
      </c>
    </row>
    <row r="1880" spans="1:15" ht="14.5" hidden="1" customHeight="1" x14ac:dyDescent="0.2">
      <c r="A1880">
        <f t="shared" si="29"/>
        <v>1874</v>
      </c>
      <c r="B1880" s="54">
        <v>2021</v>
      </c>
      <c r="C1880" t="s">
        <v>202</v>
      </c>
      <c r="D1880" t="s">
        <v>3021</v>
      </c>
      <c r="E1880" s="22">
        <v>110</v>
      </c>
      <c r="H1880" t="s">
        <v>144</v>
      </c>
      <c r="I1880" t="s">
        <v>197</v>
      </c>
      <c r="J1880" t="s">
        <v>139</v>
      </c>
      <c r="K1880" t="s">
        <v>219</v>
      </c>
      <c r="L1880">
        <v>1</v>
      </c>
    </row>
    <row r="1881" spans="1:15" ht="14.5" hidden="1" customHeight="1" x14ac:dyDescent="0.2">
      <c r="A1881">
        <f t="shared" si="29"/>
        <v>1875</v>
      </c>
      <c r="B1881" s="54">
        <v>2021</v>
      </c>
      <c r="C1881" t="s">
        <v>202</v>
      </c>
      <c r="D1881" t="s">
        <v>397</v>
      </c>
      <c r="E1881" s="22">
        <v>110</v>
      </c>
      <c r="H1881" t="s">
        <v>154</v>
      </c>
      <c r="I1881" t="s">
        <v>194</v>
      </c>
      <c r="J1881" t="s">
        <v>108</v>
      </c>
      <c r="K1881" t="s">
        <v>183</v>
      </c>
      <c r="L1881">
        <v>1</v>
      </c>
    </row>
    <row r="1882" spans="1:15" s="17" customFormat="1" ht="14.5" hidden="1" customHeight="1" x14ac:dyDescent="0.2">
      <c r="A1882">
        <f t="shared" si="29"/>
        <v>1876</v>
      </c>
      <c r="B1882" s="54">
        <v>2021</v>
      </c>
      <c r="C1882" t="s">
        <v>202</v>
      </c>
      <c r="D1882" t="s">
        <v>479</v>
      </c>
      <c r="E1882" s="22">
        <v>140</v>
      </c>
      <c r="F1882" s="16"/>
      <c r="H1882" t="s">
        <v>154</v>
      </c>
      <c r="I1882" t="s">
        <v>250</v>
      </c>
      <c r="J1882" t="s">
        <v>40</v>
      </c>
      <c r="K1882" t="s">
        <v>219</v>
      </c>
      <c r="L1882">
        <v>1</v>
      </c>
      <c r="O1882" s="39"/>
    </row>
    <row r="1883" spans="1:15" s="17" customFormat="1" ht="14.5" hidden="1" customHeight="1" x14ac:dyDescent="0.2">
      <c r="A1883">
        <f t="shared" si="29"/>
        <v>1877</v>
      </c>
      <c r="B1883" s="54">
        <v>2021</v>
      </c>
      <c r="C1883" t="s">
        <v>207</v>
      </c>
      <c r="D1883" t="s">
        <v>479</v>
      </c>
      <c r="E1883" s="22">
        <v>3810</v>
      </c>
      <c r="F1883" s="16"/>
      <c r="H1883" t="s">
        <v>155</v>
      </c>
      <c r="J1883" t="s">
        <v>106</v>
      </c>
      <c r="K1883" t="s">
        <v>195</v>
      </c>
      <c r="L1883">
        <v>1</v>
      </c>
      <c r="O1883" s="39"/>
    </row>
    <row r="1884" spans="1:15" s="17" customFormat="1" ht="14.5" hidden="1" customHeight="1" x14ac:dyDescent="0.2">
      <c r="A1884">
        <f t="shared" si="29"/>
        <v>1878</v>
      </c>
      <c r="B1884" s="54">
        <v>2021</v>
      </c>
      <c r="C1884" t="s">
        <v>207</v>
      </c>
      <c r="D1884" t="s">
        <v>2228</v>
      </c>
      <c r="E1884" s="22">
        <v>390</v>
      </c>
      <c r="F1884" s="16"/>
      <c r="H1884" t="s">
        <v>154</v>
      </c>
      <c r="I1884" t="s">
        <v>194</v>
      </c>
      <c r="J1884" t="s">
        <v>106</v>
      </c>
      <c r="K1884" t="s">
        <v>195</v>
      </c>
      <c r="L1884">
        <v>1</v>
      </c>
      <c r="O1884" s="39"/>
    </row>
    <row r="1885" spans="1:15" s="17" customFormat="1" ht="14.5" hidden="1" customHeight="1" x14ac:dyDescent="0.2">
      <c r="A1885">
        <f t="shared" si="29"/>
        <v>1879</v>
      </c>
      <c r="B1885" s="54">
        <v>2021</v>
      </c>
      <c r="C1885" t="s">
        <v>207</v>
      </c>
      <c r="D1885" t="s">
        <v>3022</v>
      </c>
      <c r="E1885" s="22">
        <v>180</v>
      </c>
      <c r="F1885" s="16"/>
      <c r="H1885" t="s">
        <v>154</v>
      </c>
      <c r="I1885" t="s">
        <v>250</v>
      </c>
      <c r="J1885" t="s">
        <v>13</v>
      </c>
      <c r="K1885" t="s">
        <v>201</v>
      </c>
      <c r="L1885">
        <v>1</v>
      </c>
      <c r="O1885" s="39"/>
    </row>
    <row r="1886" spans="1:15" s="17" customFormat="1" ht="14.5" hidden="1" customHeight="1" x14ac:dyDescent="0.2">
      <c r="A1886">
        <f t="shared" si="29"/>
        <v>1880</v>
      </c>
      <c r="B1886" s="54">
        <v>2021</v>
      </c>
      <c r="C1886" t="s">
        <v>207</v>
      </c>
      <c r="D1886" t="s">
        <v>875</v>
      </c>
      <c r="E1886" s="22">
        <v>120</v>
      </c>
      <c r="F1886" s="16"/>
      <c r="H1886" t="s">
        <v>144</v>
      </c>
      <c r="J1886" t="s">
        <v>105</v>
      </c>
      <c r="K1886" t="s">
        <v>214</v>
      </c>
      <c r="L1886">
        <v>1</v>
      </c>
      <c r="O1886" s="39"/>
    </row>
    <row r="1887" spans="1:15" ht="14.5" hidden="1" customHeight="1" x14ac:dyDescent="0.2">
      <c r="A1887">
        <f t="shared" si="29"/>
        <v>1881</v>
      </c>
      <c r="B1887" s="54">
        <v>2021</v>
      </c>
      <c r="C1887" t="s">
        <v>207</v>
      </c>
      <c r="D1887" t="s">
        <v>1035</v>
      </c>
      <c r="E1887" s="22">
        <v>110</v>
      </c>
      <c r="H1887" t="s">
        <v>154</v>
      </c>
      <c r="I1887" t="s">
        <v>194</v>
      </c>
      <c r="J1887" t="s">
        <v>2557</v>
      </c>
      <c r="K1887" t="s">
        <v>219</v>
      </c>
      <c r="L1887">
        <v>1</v>
      </c>
    </row>
    <row r="1888" spans="1:15" ht="14.5" hidden="1" customHeight="1" x14ac:dyDescent="0.2">
      <c r="A1888">
        <f t="shared" si="29"/>
        <v>1882</v>
      </c>
      <c r="B1888" s="54">
        <v>2021</v>
      </c>
      <c r="C1888" t="s">
        <v>207</v>
      </c>
      <c r="D1888" t="s">
        <v>1035</v>
      </c>
      <c r="E1888" s="22">
        <v>220</v>
      </c>
      <c r="H1888" t="s">
        <v>151</v>
      </c>
      <c r="I1888" t="s">
        <v>279</v>
      </c>
      <c r="J1888" t="s">
        <v>65</v>
      </c>
      <c r="K1888" t="s">
        <v>214</v>
      </c>
      <c r="L1888">
        <v>1</v>
      </c>
    </row>
    <row r="1889" spans="1:12" ht="14.5" hidden="1" customHeight="1" x14ac:dyDescent="0.2">
      <c r="A1889">
        <f t="shared" si="29"/>
        <v>1883</v>
      </c>
      <c r="B1889" s="54">
        <v>2021</v>
      </c>
      <c r="C1889" t="s">
        <v>207</v>
      </c>
      <c r="D1889" t="s">
        <v>1035</v>
      </c>
      <c r="E1889" s="22">
        <v>300</v>
      </c>
      <c r="H1889" t="s">
        <v>144</v>
      </c>
      <c r="I1889" t="s">
        <v>232</v>
      </c>
      <c r="J1889" t="s">
        <v>17</v>
      </c>
      <c r="K1889" t="s">
        <v>195</v>
      </c>
      <c r="L1889">
        <v>1</v>
      </c>
    </row>
    <row r="1890" spans="1:12" ht="14.5" hidden="1" customHeight="1" x14ac:dyDescent="0.2">
      <c r="A1890">
        <f t="shared" si="29"/>
        <v>1884</v>
      </c>
      <c r="B1890" s="54">
        <v>2021</v>
      </c>
      <c r="C1890" t="s">
        <v>207</v>
      </c>
      <c r="D1890" t="s">
        <v>557</v>
      </c>
      <c r="E1890" s="22">
        <v>120</v>
      </c>
      <c r="G1890" t="s">
        <v>3023</v>
      </c>
      <c r="H1890" t="s">
        <v>151</v>
      </c>
      <c r="I1890" t="s">
        <v>279</v>
      </c>
      <c r="J1890" t="s">
        <v>3024</v>
      </c>
      <c r="K1890" t="s">
        <v>177</v>
      </c>
      <c r="L1890">
        <v>1</v>
      </c>
    </row>
    <row r="1891" spans="1:12" ht="14.5" hidden="1" customHeight="1" x14ac:dyDescent="0.2">
      <c r="A1891">
        <f t="shared" si="29"/>
        <v>1885</v>
      </c>
      <c r="B1891" s="54">
        <v>2021</v>
      </c>
      <c r="C1891" t="s">
        <v>240</v>
      </c>
      <c r="D1891" t="s">
        <v>1035</v>
      </c>
      <c r="E1891" s="22">
        <v>110</v>
      </c>
      <c r="F1891" s="16">
        <v>0.25</v>
      </c>
      <c r="H1891" t="s">
        <v>154</v>
      </c>
      <c r="I1891" t="s">
        <v>250</v>
      </c>
      <c r="J1891" t="s">
        <v>96</v>
      </c>
      <c r="K1891" t="s">
        <v>205</v>
      </c>
      <c r="L1891">
        <v>1</v>
      </c>
    </row>
    <row r="1892" spans="1:12" ht="14.5" hidden="1" customHeight="1" x14ac:dyDescent="0.2">
      <c r="A1892">
        <f t="shared" si="29"/>
        <v>1886</v>
      </c>
      <c r="B1892" s="54">
        <v>2021</v>
      </c>
      <c r="C1892" t="s">
        <v>240</v>
      </c>
      <c r="D1892" t="s">
        <v>1035</v>
      </c>
      <c r="E1892" s="22">
        <v>200</v>
      </c>
      <c r="G1892" t="s">
        <v>2151</v>
      </c>
      <c r="H1892" t="s">
        <v>155</v>
      </c>
      <c r="J1892" t="s">
        <v>105</v>
      </c>
      <c r="K1892" t="s">
        <v>214</v>
      </c>
      <c r="L1892">
        <v>1</v>
      </c>
    </row>
    <row r="1893" spans="1:12" ht="14.5" hidden="1" customHeight="1" x14ac:dyDescent="0.2">
      <c r="A1893">
        <f t="shared" si="29"/>
        <v>1887</v>
      </c>
      <c r="B1893" s="54">
        <v>2021</v>
      </c>
      <c r="C1893" t="s">
        <v>240</v>
      </c>
      <c r="D1893" t="s">
        <v>221</v>
      </c>
      <c r="E1893" s="22">
        <v>2850</v>
      </c>
      <c r="G1893" t="s">
        <v>3025</v>
      </c>
      <c r="H1893" t="s">
        <v>144</v>
      </c>
      <c r="I1893" t="s">
        <v>187</v>
      </c>
      <c r="J1893" t="s">
        <v>55</v>
      </c>
      <c r="K1893" t="s">
        <v>214</v>
      </c>
      <c r="L1893">
        <v>1</v>
      </c>
    </row>
    <row r="1894" spans="1:12" ht="14.5" hidden="1" customHeight="1" x14ac:dyDescent="0.2">
      <c r="A1894">
        <f t="shared" si="29"/>
        <v>1888</v>
      </c>
      <c r="B1894" s="54">
        <v>2021</v>
      </c>
      <c r="C1894" t="s">
        <v>240</v>
      </c>
      <c r="D1894" t="s">
        <v>3026</v>
      </c>
      <c r="E1894" s="22">
        <v>420</v>
      </c>
      <c r="H1894" t="s">
        <v>144</v>
      </c>
      <c r="I1894" t="s">
        <v>187</v>
      </c>
      <c r="J1894" t="s">
        <v>65</v>
      </c>
      <c r="K1894" t="s">
        <v>214</v>
      </c>
      <c r="L1894">
        <v>1</v>
      </c>
    </row>
    <row r="1895" spans="1:12" ht="14.5" hidden="1" customHeight="1" x14ac:dyDescent="0.2">
      <c r="A1895">
        <f t="shared" si="29"/>
        <v>1889</v>
      </c>
      <c r="B1895" s="54">
        <v>2021</v>
      </c>
      <c r="C1895" t="s">
        <v>240</v>
      </c>
      <c r="D1895" t="s">
        <v>449</v>
      </c>
      <c r="E1895" s="22">
        <v>100</v>
      </c>
      <c r="F1895" s="16">
        <v>0.5</v>
      </c>
      <c r="H1895" t="s">
        <v>154</v>
      </c>
      <c r="I1895" t="s">
        <v>194</v>
      </c>
      <c r="J1895" t="s">
        <v>124</v>
      </c>
      <c r="K1895" t="s">
        <v>183</v>
      </c>
      <c r="L1895">
        <v>1</v>
      </c>
    </row>
    <row r="1896" spans="1:12" ht="14.5" hidden="1" customHeight="1" x14ac:dyDescent="0.2">
      <c r="A1896">
        <f t="shared" si="29"/>
        <v>1890</v>
      </c>
      <c r="B1896" s="54">
        <v>2021</v>
      </c>
      <c r="C1896" t="s">
        <v>240</v>
      </c>
      <c r="D1896" t="s">
        <v>189</v>
      </c>
      <c r="E1896" s="22">
        <v>360</v>
      </c>
      <c r="H1896" t="s">
        <v>144</v>
      </c>
      <c r="I1896" t="s">
        <v>187</v>
      </c>
      <c r="J1896" t="s">
        <v>77</v>
      </c>
      <c r="K1896" t="s">
        <v>177</v>
      </c>
      <c r="L1896">
        <v>0</v>
      </c>
    </row>
    <row r="1897" spans="1:12" ht="14.5" hidden="1" customHeight="1" x14ac:dyDescent="0.2">
      <c r="A1897">
        <f t="shared" si="29"/>
        <v>1891</v>
      </c>
      <c r="B1897" s="54">
        <v>2021</v>
      </c>
      <c r="C1897" t="s">
        <v>240</v>
      </c>
      <c r="D1897" s="17" t="s">
        <v>3027</v>
      </c>
      <c r="E1897" s="22">
        <v>1090</v>
      </c>
      <c r="H1897" t="s">
        <v>154</v>
      </c>
      <c r="I1897" t="s">
        <v>529</v>
      </c>
      <c r="J1897" t="s">
        <v>106</v>
      </c>
      <c r="K1897" t="s">
        <v>195</v>
      </c>
      <c r="L1897">
        <v>1</v>
      </c>
    </row>
    <row r="1898" spans="1:12" ht="14.5" hidden="1" customHeight="1" x14ac:dyDescent="0.2">
      <c r="A1898">
        <f t="shared" si="29"/>
        <v>1892</v>
      </c>
      <c r="B1898" s="73">
        <v>2021</v>
      </c>
      <c r="C1898" s="17" t="s">
        <v>240</v>
      </c>
      <c r="D1898" s="17" t="s">
        <v>1035</v>
      </c>
      <c r="E1898" s="24">
        <v>150</v>
      </c>
      <c r="F1898" s="18"/>
      <c r="G1898" s="17"/>
      <c r="H1898" s="17" t="s">
        <v>147</v>
      </c>
      <c r="I1898" s="17"/>
      <c r="J1898" s="17" t="s">
        <v>6</v>
      </c>
      <c r="K1898" s="17" t="s">
        <v>219</v>
      </c>
      <c r="L1898" s="17">
        <v>1</v>
      </c>
    </row>
    <row r="1899" spans="1:12" ht="14.5" hidden="1" customHeight="1" x14ac:dyDescent="0.2">
      <c r="A1899">
        <f t="shared" si="29"/>
        <v>1893</v>
      </c>
      <c r="B1899" s="73">
        <v>2021</v>
      </c>
      <c r="C1899" s="17" t="s">
        <v>240</v>
      </c>
      <c r="D1899" t="s">
        <v>175</v>
      </c>
      <c r="E1899" s="24">
        <v>170</v>
      </c>
      <c r="F1899" s="18"/>
      <c r="G1899" s="17"/>
      <c r="H1899" s="17" t="s">
        <v>151</v>
      </c>
      <c r="I1899" s="17" t="s">
        <v>279</v>
      </c>
      <c r="J1899" s="17" t="s">
        <v>134</v>
      </c>
      <c r="K1899" s="17" t="s">
        <v>201</v>
      </c>
      <c r="L1899" s="17">
        <v>1</v>
      </c>
    </row>
    <row r="1900" spans="1:12" ht="14.5" hidden="1" customHeight="1" x14ac:dyDescent="0.2">
      <c r="A1900">
        <f t="shared" si="29"/>
        <v>1894</v>
      </c>
      <c r="B1900" s="73">
        <v>2021</v>
      </c>
      <c r="C1900" s="17" t="s">
        <v>240</v>
      </c>
      <c r="D1900" s="17" t="s">
        <v>3028</v>
      </c>
      <c r="E1900" s="24">
        <v>340</v>
      </c>
      <c r="F1900" s="18"/>
      <c r="G1900" s="17"/>
      <c r="H1900" s="17" t="s">
        <v>144</v>
      </c>
      <c r="I1900" s="17" t="s">
        <v>273</v>
      </c>
      <c r="J1900" s="17" t="s">
        <v>78</v>
      </c>
      <c r="K1900" s="17" t="s">
        <v>183</v>
      </c>
      <c r="L1900" s="17">
        <v>1</v>
      </c>
    </row>
    <row r="1901" spans="1:12" ht="14.5" hidden="1" customHeight="1" x14ac:dyDescent="0.2">
      <c r="A1901">
        <f t="shared" si="29"/>
        <v>1895</v>
      </c>
      <c r="B1901" s="73">
        <v>2021</v>
      </c>
      <c r="C1901" s="17" t="s">
        <v>240</v>
      </c>
      <c r="D1901" t="s">
        <v>397</v>
      </c>
      <c r="E1901" s="24">
        <v>540</v>
      </c>
      <c r="F1901" s="18"/>
      <c r="G1901" s="17"/>
      <c r="H1901" s="17" t="s">
        <v>151</v>
      </c>
      <c r="I1901" s="17" t="s">
        <v>279</v>
      </c>
      <c r="J1901" s="17" t="s">
        <v>108</v>
      </c>
      <c r="K1901" s="17" t="s">
        <v>183</v>
      </c>
      <c r="L1901" s="17">
        <v>1</v>
      </c>
    </row>
    <row r="1902" spans="1:12" ht="14.5" hidden="1" customHeight="1" x14ac:dyDescent="0.2">
      <c r="A1902">
        <f t="shared" si="29"/>
        <v>1896</v>
      </c>
      <c r="B1902" s="73">
        <v>2021</v>
      </c>
      <c r="C1902" s="17" t="s">
        <v>240</v>
      </c>
      <c r="D1902" t="s">
        <v>3029</v>
      </c>
      <c r="E1902" s="24">
        <v>240</v>
      </c>
      <c r="F1902" s="18"/>
      <c r="G1902" s="17"/>
      <c r="H1902" s="17" t="s">
        <v>154</v>
      </c>
      <c r="I1902" s="17" t="s">
        <v>194</v>
      </c>
      <c r="J1902" s="17" t="s">
        <v>13</v>
      </c>
      <c r="K1902" s="17" t="s">
        <v>183</v>
      </c>
      <c r="L1902" s="17">
        <v>1</v>
      </c>
    </row>
    <row r="1903" spans="1:12" ht="14.5" hidden="1" customHeight="1" x14ac:dyDescent="0.2">
      <c r="A1903">
        <f t="shared" si="29"/>
        <v>1897</v>
      </c>
      <c r="B1903" s="54">
        <v>2021</v>
      </c>
      <c r="C1903" t="s">
        <v>212</v>
      </c>
      <c r="D1903" t="s">
        <v>479</v>
      </c>
      <c r="E1903" s="22">
        <v>270</v>
      </c>
      <c r="H1903" t="s">
        <v>154</v>
      </c>
      <c r="I1903" t="s">
        <v>194</v>
      </c>
      <c r="J1903" t="s">
        <v>97</v>
      </c>
      <c r="K1903" t="s">
        <v>183</v>
      </c>
      <c r="L1903">
        <v>1</v>
      </c>
    </row>
    <row r="1904" spans="1:12" ht="14.5" hidden="1" customHeight="1" x14ac:dyDescent="0.2">
      <c r="A1904">
        <f t="shared" si="29"/>
        <v>1898</v>
      </c>
      <c r="B1904" s="54">
        <v>2021</v>
      </c>
      <c r="C1904" t="s">
        <v>212</v>
      </c>
      <c r="D1904" t="s">
        <v>2434</v>
      </c>
      <c r="E1904" s="22">
        <v>400</v>
      </c>
      <c r="F1904" s="16">
        <v>0.7</v>
      </c>
      <c r="G1904" t="s">
        <v>3030</v>
      </c>
      <c r="H1904" t="s">
        <v>154</v>
      </c>
      <c r="I1904" t="s">
        <v>529</v>
      </c>
      <c r="J1904" t="s">
        <v>108</v>
      </c>
      <c r="K1904" t="s">
        <v>183</v>
      </c>
      <c r="L1904">
        <v>1</v>
      </c>
    </row>
    <row r="1905" spans="1:12" ht="14.5" hidden="1" customHeight="1" x14ac:dyDescent="0.2">
      <c r="A1905">
        <f t="shared" si="29"/>
        <v>1899</v>
      </c>
      <c r="B1905" s="54">
        <v>2021</v>
      </c>
      <c r="C1905" t="s">
        <v>212</v>
      </c>
      <c r="D1905" t="s">
        <v>397</v>
      </c>
      <c r="E1905" s="22">
        <v>670</v>
      </c>
      <c r="F1905" s="16">
        <v>0.08</v>
      </c>
      <c r="H1905" t="s">
        <v>154</v>
      </c>
      <c r="I1905" t="s">
        <v>194</v>
      </c>
      <c r="J1905" t="s">
        <v>9</v>
      </c>
      <c r="K1905" t="s">
        <v>9</v>
      </c>
      <c r="L1905">
        <v>0</v>
      </c>
    </row>
    <row r="1906" spans="1:12" ht="14.5" hidden="1" customHeight="1" x14ac:dyDescent="0.2">
      <c r="A1906">
        <f t="shared" si="29"/>
        <v>1900</v>
      </c>
      <c r="B1906" s="54">
        <v>2021</v>
      </c>
      <c r="C1906" t="s">
        <v>212</v>
      </c>
      <c r="D1906" t="s">
        <v>1035</v>
      </c>
      <c r="E1906" s="22">
        <v>150</v>
      </c>
      <c r="H1906" t="s">
        <v>144</v>
      </c>
      <c r="I1906" t="s">
        <v>299</v>
      </c>
      <c r="J1906" t="s">
        <v>105</v>
      </c>
      <c r="K1906" t="s">
        <v>214</v>
      </c>
      <c r="L1906">
        <v>1</v>
      </c>
    </row>
    <row r="1907" spans="1:12" ht="14.5" hidden="1" customHeight="1" x14ac:dyDescent="0.2">
      <c r="A1907">
        <f t="shared" si="29"/>
        <v>1901</v>
      </c>
      <c r="B1907" s="54">
        <v>2021</v>
      </c>
      <c r="C1907" t="s">
        <v>212</v>
      </c>
      <c r="D1907" t="s">
        <v>1035</v>
      </c>
      <c r="E1907" s="22">
        <v>220</v>
      </c>
      <c r="H1907" t="s">
        <v>155</v>
      </c>
      <c r="J1907" t="s">
        <v>97</v>
      </c>
      <c r="K1907" t="s">
        <v>183</v>
      </c>
      <c r="L1907">
        <v>1</v>
      </c>
    </row>
    <row r="1908" spans="1:12" ht="14.5" hidden="1" customHeight="1" x14ac:dyDescent="0.2">
      <c r="A1908">
        <f t="shared" si="29"/>
        <v>1902</v>
      </c>
      <c r="B1908" s="54">
        <v>2021</v>
      </c>
      <c r="C1908" t="s">
        <v>212</v>
      </c>
      <c r="D1908" t="s">
        <v>1035</v>
      </c>
      <c r="E1908" s="22">
        <v>160</v>
      </c>
      <c r="H1908" t="s">
        <v>154</v>
      </c>
      <c r="I1908" t="s">
        <v>250</v>
      </c>
      <c r="J1908" t="s">
        <v>6</v>
      </c>
      <c r="K1908" t="s">
        <v>219</v>
      </c>
      <c r="L1908">
        <v>1</v>
      </c>
    </row>
    <row r="1909" spans="1:12" ht="14.5" hidden="1" customHeight="1" x14ac:dyDescent="0.2">
      <c r="A1909">
        <f t="shared" si="29"/>
        <v>1903</v>
      </c>
      <c r="B1909" s="54">
        <v>2021</v>
      </c>
      <c r="C1909" t="s">
        <v>212</v>
      </c>
      <c r="D1909" t="s">
        <v>2547</v>
      </c>
      <c r="E1909" s="22">
        <v>140</v>
      </c>
      <c r="H1909" t="s">
        <v>147</v>
      </c>
      <c r="J1909" t="s">
        <v>3031</v>
      </c>
      <c r="K1909" t="s">
        <v>219</v>
      </c>
      <c r="L1909">
        <v>0</v>
      </c>
    </row>
    <row r="1910" spans="1:12" ht="14.5" hidden="1" customHeight="1" x14ac:dyDescent="0.2">
      <c r="A1910">
        <f t="shared" si="29"/>
        <v>1904</v>
      </c>
      <c r="B1910" s="54">
        <v>2021</v>
      </c>
      <c r="C1910" t="s">
        <v>212</v>
      </c>
      <c r="D1910" t="s">
        <v>745</v>
      </c>
      <c r="E1910" s="22">
        <v>1330</v>
      </c>
      <c r="G1910" t="s">
        <v>2993</v>
      </c>
      <c r="H1910" t="s">
        <v>143</v>
      </c>
      <c r="J1910" t="s">
        <v>101</v>
      </c>
      <c r="K1910" t="s">
        <v>201</v>
      </c>
      <c r="L1910">
        <v>1</v>
      </c>
    </row>
    <row r="1911" spans="1:12" ht="14.5" hidden="1" customHeight="1" x14ac:dyDescent="0.2">
      <c r="A1911">
        <f t="shared" si="29"/>
        <v>1905</v>
      </c>
      <c r="B1911" s="54">
        <v>2021</v>
      </c>
      <c r="C1911" t="s">
        <v>212</v>
      </c>
      <c r="D1911" t="s">
        <v>421</v>
      </c>
      <c r="E1911" s="22">
        <v>120</v>
      </c>
      <c r="H1911" t="s">
        <v>144</v>
      </c>
      <c r="I1911" t="s">
        <v>197</v>
      </c>
      <c r="J1911" t="s">
        <v>17</v>
      </c>
      <c r="K1911" t="s">
        <v>195</v>
      </c>
      <c r="L1911">
        <v>1</v>
      </c>
    </row>
    <row r="1912" spans="1:12" ht="14.5" hidden="1" customHeight="1" x14ac:dyDescent="0.2">
      <c r="A1912">
        <f t="shared" si="29"/>
        <v>1906</v>
      </c>
      <c r="B1912" s="54">
        <v>2021</v>
      </c>
      <c r="C1912" t="s">
        <v>212</v>
      </c>
      <c r="D1912" t="s">
        <v>745</v>
      </c>
      <c r="E1912" s="22">
        <v>460</v>
      </c>
      <c r="G1912" t="s">
        <v>3032</v>
      </c>
      <c r="H1912" t="s">
        <v>143</v>
      </c>
      <c r="J1912" t="s">
        <v>134</v>
      </c>
      <c r="K1912" t="s">
        <v>201</v>
      </c>
      <c r="L1912">
        <v>1</v>
      </c>
    </row>
    <row r="1913" spans="1:12" ht="14.5" hidden="1" customHeight="1" x14ac:dyDescent="0.2">
      <c r="A1913">
        <f t="shared" si="29"/>
        <v>1907</v>
      </c>
      <c r="B1913" s="54">
        <v>2021</v>
      </c>
      <c r="C1913" t="s">
        <v>212</v>
      </c>
      <c r="D1913" t="s">
        <v>244</v>
      </c>
      <c r="E1913" s="22">
        <v>450</v>
      </c>
      <c r="G1913" t="s">
        <v>3033</v>
      </c>
      <c r="H1913" t="s">
        <v>149</v>
      </c>
      <c r="I1913" t="s">
        <v>236</v>
      </c>
      <c r="J1913" t="s">
        <v>53</v>
      </c>
      <c r="K1913" t="s">
        <v>183</v>
      </c>
      <c r="L1913">
        <v>1</v>
      </c>
    </row>
    <row r="1914" spans="1:12" ht="14.5" hidden="1" customHeight="1" x14ac:dyDescent="0.2">
      <c r="A1914">
        <f t="shared" si="29"/>
        <v>1908</v>
      </c>
      <c r="B1914" s="54">
        <v>2021</v>
      </c>
      <c r="C1914" t="s">
        <v>212</v>
      </c>
      <c r="D1914" t="s">
        <v>479</v>
      </c>
      <c r="E1914" s="22">
        <v>280</v>
      </c>
      <c r="H1914" t="s">
        <v>154</v>
      </c>
      <c r="I1914" t="s">
        <v>194</v>
      </c>
      <c r="J1914" t="s">
        <v>60</v>
      </c>
      <c r="K1914" t="s">
        <v>177</v>
      </c>
      <c r="L1914">
        <v>1</v>
      </c>
    </row>
    <row r="1915" spans="1:12" ht="14.5" hidden="1" customHeight="1" x14ac:dyDescent="0.2">
      <c r="A1915">
        <f t="shared" si="29"/>
        <v>1909</v>
      </c>
      <c r="B1915" s="54">
        <v>2021</v>
      </c>
      <c r="C1915" t="s">
        <v>212</v>
      </c>
      <c r="D1915" t="s">
        <v>479</v>
      </c>
      <c r="E1915" s="22">
        <v>430</v>
      </c>
      <c r="H1915" t="s">
        <v>154</v>
      </c>
      <c r="I1915" t="s">
        <v>529</v>
      </c>
      <c r="J1915" t="s">
        <v>9</v>
      </c>
      <c r="K1915" t="s">
        <v>9</v>
      </c>
      <c r="L1915">
        <v>0</v>
      </c>
    </row>
    <row r="1916" spans="1:12" ht="14.5" hidden="1" customHeight="1" x14ac:dyDescent="0.2">
      <c r="A1916">
        <f t="shared" si="29"/>
        <v>1910</v>
      </c>
      <c r="B1916" s="54">
        <v>2022</v>
      </c>
      <c r="C1916" t="s">
        <v>172</v>
      </c>
      <c r="D1916" t="s">
        <v>479</v>
      </c>
      <c r="E1916" s="22">
        <v>150</v>
      </c>
      <c r="H1916" t="s">
        <v>154</v>
      </c>
      <c r="I1916" t="s">
        <v>194</v>
      </c>
      <c r="J1916" t="s">
        <v>13</v>
      </c>
      <c r="K1916" t="s">
        <v>201</v>
      </c>
      <c r="L1916">
        <v>1</v>
      </c>
    </row>
    <row r="1917" spans="1:12" ht="14.5" hidden="1" customHeight="1" x14ac:dyDescent="0.2">
      <c r="A1917">
        <f t="shared" si="29"/>
        <v>1911</v>
      </c>
      <c r="B1917" s="54">
        <v>2022</v>
      </c>
      <c r="C1917" t="s">
        <v>172</v>
      </c>
      <c r="D1917" t="s">
        <v>479</v>
      </c>
      <c r="E1917" s="22">
        <v>150</v>
      </c>
      <c r="H1917" t="s">
        <v>154</v>
      </c>
      <c r="I1917" t="s">
        <v>529</v>
      </c>
      <c r="J1917" t="s">
        <v>9</v>
      </c>
      <c r="K1917" t="s">
        <v>9</v>
      </c>
      <c r="L1917">
        <v>0</v>
      </c>
    </row>
    <row r="1918" spans="1:12" ht="14.5" hidden="1" customHeight="1" x14ac:dyDescent="0.2">
      <c r="A1918">
        <f t="shared" si="29"/>
        <v>1912</v>
      </c>
      <c r="B1918" s="54">
        <v>2022</v>
      </c>
      <c r="C1918" t="s">
        <v>172</v>
      </c>
      <c r="D1918" t="s">
        <v>479</v>
      </c>
      <c r="E1918" s="22">
        <v>270</v>
      </c>
      <c r="F1918" s="16">
        <v>0.52</v>
      </c>
      <c r="G1918" t="s">
        <v>2750</v>
      </c>
      <c r="H1918" t="s">
        <v>154</v>
      </c>
      <c r="I1918" t="s">
        <v>194</v>
      </c>
      <c r="J1918" t="s">
        <v>9</v>
      </c>
      <c r="K1918" t="s">
        <v>9</v>
      </c>
      <c r="L1918">
        <v>0</v>
      </c>
    </row>
    <row r="1919" spans="1:12" ht="14.5" hidden="1" customHeight="1" x14ac:dyDescent="0.2">
      <c r="A1919">
        <f t="shared" si="29"/>
        <v>1913</v>
      </c>
      <c r="B1919" s="54">
        <v>2022</v>
      </c>
      <c r="C1919" t="s">
        <v>172</v>
      </c>
      <c r="D1919" t="s">
        <v>397</v>
      </c>
      <c r="E1919" s="22">
        <v>170</v>
      </c>
      <c r="G1919" t="s">
        <v>3034</v>
      </c>
      <c r="H1919" t="s">
        <v>151</v>
      </c>
      <c r="I1919" t="s">
        <v>279</v>
      </c>
      <c r="J1919" t="s">
        <v>130</v>
      </c>
      <c r="K1919" t="s">
        <v>214</v>
      </c>
      <c r="L1919">
        <v>1</v>
      </c>
    </row>
    <row r="1920" spans="1:12" ht="14.5" hidden="1" customHeight="1" x14ac:dyDescent="0.2">
      <c r="A1920">
        <f t="shared" si="29"/>
        <v>1914</v>
      </c>
      <c r="B1920" s="54">
        <v>2022</v>
      </c>
      <c r="C1920" t="s">
        <v>172</v>
      </c>
      <c r="D1920" t="s">
        <v>1356</v>
      </c>
      <c r="E1920" s="22">
        <v>170</v>
      </c>
      <c r="H1920" t="s">
        <v>147</v>
      </c>
      <c r="J1920" t="s">
        <v>64</v>
      </c>
      <c r="K1920" t="s">
        <v>219</v>
      </c>
      <c r="L1920">
        <v>1</v>
      </c>
    </row>
    <row r="1921" spans="1:12" ht="14.5" hidden="1" customHeight="1" x14ac:dyDescent="0.2">
      <c r="A1921">
        <f t="shared" si="29"/>
        <v>1915</v>
      </c>
      <c r="B1921" s="54">
        <v>2022</v>
      </c>
      <c r="C1921" t="s">
        <v>172</v>
      </c>
      <c r="D1921" t="s">
        <v>875</v>
      </c>
      <c r="E1921" s="22">
        <v>880</v>
      </c>
      <c r="H1921" t="s">
        <v>144</v>
      </c>
      <c r="I1921" t="s">
        <v>299</v>
      </c>
      <c r="J1921" t="s">
        <v>55</v>
      </c>
      <c r="K1921" t="s">
        <v>214</v>
      </c>
      <c r="L1921">
        <v>1</v>
      </c>
    </row>
    <row r="1922" spans="1:12" ht="14.5" hidden="1" customHeight="1" x14ac:dyDescent="0.2">
      <c r="A1922">
        <f t="shared" si="29"/>
        <v>1916</v>
      </c>
      <c r="B1922" s="54">
        <v>2022</v>
      </c>
      <c r="C1922" t="s">
        <v>172</v>
      </c>
      <c r="D1922" t="s">
        <v>2667</v>
      </c>
      <c r="E1922" s="22">
        <v>140</v>
      </c>
      <c r="H1922" t="s">
        <v>144</v>
      </c>
      <c r="I1922" t="s">
        <v>232</v>
      </c>
      <c r="J1922" t="s">
        <v>97</v>
      </c>
      <c r="K1922" t="s">
        <v>183</v>
      </c>
      <c r="L1922">
        <v>1</v>
      </c>
    </row>
    <row r="1923" spans="1:12" ht="14.5" hidden="1" customHeight="1" x14ac:dyDescent="0.2">
      <c r="A1923">
        <f t="shared" si="29"/>
        <v>1917</v>
      </c>
      <c r="B1923" s="54">
        <v>2022</v>
      </c>
      <c r="C1923" t="s">
        <v>172</v>
      </c>
      <c r="D1923" t="s">
        <v>185</v>
      </c>
      <c r="E1923" s="22">
        <v>120</v>
      </c>
      <c r="G1923" t="s">
        <v>993</v>
      </c>
      <c r="H1923" t="s">
        <v>144</v>
      </c>
      <c r="I1923" t="s">
        <v>187</v>
      </c>
      <c r="J1923" t="s">
        <v>19</v>
      </c>
      <c r="K1923" t="s">
        <v>205</v>
      </c>
      <c r="L1923">
        <v>0</v>
      </c>
    </row>
    <row r="1924" spans="1:12" ht="14.5" hidden="1" customHeight="1" x14ac:dyDescent="0.2">
      <c r="A1924">
        <f t="shared" si="29"/>
        <v>1918</v>
      </c>
      <c r="B1924" s="54">
        <v>2022</v>
      </c>
      <c r="C1924" t="s">
        <v>172</v>
      </c>
      <c r="D1924" t="s">
        <v>479</v>
      </c>
      <c r="E1924" s="22">
        <v>360</v>
      </c>
      <c r="F1924" s="16">
        <v>0.5</v>
      </c>
      <c r="G1924" t="s">
        <v>3035</v>
      </c>
      <c r="H1924" t="s">
        <v>151</v>
      </c>
      <c r="I1924" t="s">
        <v>279</v>
      </c>
      <c r="J1924" t="s">
        <v>97</v>
      </c>
      <c r="K1924" t="s">
        <v>183</v>
      </c>
      <c r="L1924">
        <v>1</v>
      </c>
    </row>
    <row r="1925" spans="1:12" ht="14.5" hidden="1" customHeight="1" x14ac:dyDescent="0.2">
      <c r="A1925">
        <f t="shared" si="29"/>
        <v>1919</v>
      </c>
      <c r="B1925" s="54">
        <v>2022</v>
      </c>
      <c r="C1925" t="s">
        <v>172</v>
      </c>
      <c r="D1925" t="s">
        <v>557</v>
      </c>
      <c r="E1925" s="22">
        <v>1050</v>
      </c>
      <c r="G1925" t="s">
        <v>2917</v>
      </c>
      <c r="H1925" t="s">
        <v>151</v>
      </c>
      <c r="I1925" t="s">
        <v>279</v>
      </c>
      <c r="J1925" t="s">
        <v>89</v>
      </c>
      <c r="K1925" t="s">
        <v>219</v>
      </c>
      <c r="L1925">
        <v>1</v>
      </c>
    </row>
    <row r="1926" spans="1:12" ht="14.5" hidden="1" customHeight="1" x14ac:dyDescent="0.2">
      <c r="A1926">
        <f t="shared" si="29"/>
        <v>1920</v>
      </c>
      <c r="B1926" s="54">
        <v>2022</v>
      </c>
      <c r="C1926" t="s">
        <v>258</v>
      </c>
      <c r="D1926" t="s">
        <v>189</v>
      </c>
      <c r="E1926" s="22">
        <v>610</v>
      </c>
      <c r="H1926" t="s">
        <v>144</v>
      </c>
      <c r="I1926" t="s">
        <v>187</v>
      </c>
      <c r="J1926" t="s">
        <v>132</v>
      </c>
      <c r="K1926" t="s">
        <v>219</v>
      </c>
      <c r="L1926">
        <v>1</v>
      </c>
    </row>
    <row r="1927" spans="1:12" ht="14.5" hidden="1" customHeight="1" x14ac:dyDescent="0.2">
      <c r="A1927">
        <f t="shared" ref="A1927:A1990" si="30">ROW()-6</f>
        <v>1921</v>
      </c>
      <c r="B1927" s="54">
        <v>2022</v>
      </c>
      <c r="C1927" t="s">
        <v>258</v>
      </c>
      <c r="D1927" t="s">
        <v>189</v>
      </c>
      <c r="E1927" s="22">
        <v>180</v>
      </c>
      <c r="G1927" t="s">
        <v>3036</v>
      </c>
      <c r="H1927" t="s">
        <v>144</v>
      </c>
      <c r="I1927" t="s">
        <v>299</v>
      </c>
      <c r="J1927" t="s">
        <v>5</v>
      </c>
      <c r="K1927" t="s">
        <v>214</v>
      </c>
      <c r="L1927">
        <v>1</v>
      </c>
    </row>
    <row r="1928" spans="1:12" ht="14.5" hidden="1" customHeight="1" x14ac:dyDescent="0.2">
      <c r="A1928">
        <f t="shared" si="30"/>
        <v>1922</v>
      </c>
      <c r="B1928" s="54">
        <v>2022</v>
      </c>
      <c r="C1928" t="s">
        <v>258</v>
      </c>
      <c r="D1928" t="s">
        <v>199</v>
      </c>
      <c r="E1928" s="22">
        <v>320</v>
      </c>
      <c r="G1928" t="s">
        <v>537</v>
      </c>
      <c r="H1928" t="s">
        <v>144</v>
      </c>
      <c r="I1928" t="s">
        <v>187</v>
      </c>
      <c r="J1928" t="s">
        <v>55</v>
      </c>
      <c r="K1928" t="s">
        <v>214</v>
      </c>
      <c r="L1928">
        <v>1</v>
      </c>
    </row>
    <row r="1929" spans="1:12" ht="14.5" hidden="1" customHeight="1" x14ac:dyDescent="0.2">
      <c r="A1929">
        <f t="shared" si="30"/>
        <v>1923</v>
      </c>
      <c r="B1929" s="54">
        <v>2022</v>
      </c>
      <c r="C1929" t="s">
        <v>258</v>
      </c>
      <c r="D1929" t="s">
        <v>479</v>
      </c>
      <c r="E1929" s="22">
        <v>290</v>
      </c>
      <c r="H1929" t="s">
        <v>154</v>
      </c>
      <c r="I1929" t="s">
        <v>529</v>
      </c>
      <c r="J1929" t="s">
        <v>108</v>
      </c>
      <c r="K1929" t="s">
        <v>183</v>
      </c>
      <c r="L1929">
        <v>1</v>
      </c>
    </row>
    <row r="1930" spans="1:12" ht="14.5" hidden="1" customHeight="1" x14ac:dyDescent="0.2">
      <c r="A1930">
        <f t="shared" si="30"/>
        <v>1924</v>
      </c>
      <c r="B1930" s="54">
        <v>2022</v>
      </c>
      <c r="C1930" t="s">
        <v>258</v>
      </c>
      <c r="D1930" t="s">
        <v>1035</v>
      </c>
      <c r="E1930" s="22">
        <v>130</v>
      </c>
      <c r="G1930" t="s">
        <v>3037</v>
      </c>
      <c r="H1930" t="s">
        <v>154</v>
      </c>
      <c r="I1930" t="s">
        <v>529</v>
      </c>
      <c r="J1930" t="s">
        <v>108</v>
      </c>
      <c r="K1930" t="s">
        <v>183</v>
      </c>
      <c r="L1930">
        <v>1</v>
      </c>
    </row>
    <row r="1931" spans="1:12" ht="14.5" hidden="1" customHeight="1" x14ac:dyDescent="0.2">
      <c r="A1931">
        <f t="shared" si="30"/>
        <v>1925</v>
      </c>
      <c r="B1931" s="54">
        <v>2022</v>
      </c>
      <c r="C1931" t="s">
        <v>258</v>
      </c>
      <c r="D1931" t="s">
        <v>1035</v>
      </c>
      <c r="E1931" s="22">
        <v>110</v>
      </c>
      <c r="H1931" t="s">
        <v>144</v>
      </c>
      <c r="J1931" t="s">
        <v>2557</v>
      </c>
      <c r="K1931" t="s">
        <v>219</v>
      </c>
      <c r="L1931">
        <v>1</v>
      </c>
    </row>
    <row r="1932" spans="1:12" ht="14.5" hidden="1" customHeight="1" x14ac:dyDescent="0.2">
      <c r="A1932">
        <f t="shared" si="30"/>
        <v>1926</v>
      </c>
      <c r="B1932" s="54">
        <v>2022</v>
      </c>
      <c r="C1932" t="s">
        <v>258</v>
      </c>
      <c r="D1932" t="s">
        <v>1035</v>
      </c>
      <c r="E1932" s="22">
        <v>110</v>
      </c>
      <c r="H1932" t="s">
        <v>144</v>
      </c>
      <c r="J1932" t="s">
        <v>3031</v>
      </c>
      <c r="K1932" t="s">
        <v>219</v>
      </c>
      <c r="L1932">
        <v>1</v>
      </c>
    </row>
    <row r="1933" spans="1:12" ht="14.5" hidden="1" customHeight="1" x14ac:dyDescent="0.2">
      <c r="A1933">
        <f t="shared" si="30"/>
        <v>1927</v>
      </c>
      <c r="B1933" s="54">
        <v>2022</v>
      </c>
      <c r="C1933" t="s">
        <v>258</v>
      </c>
      <c r="D1933" t="s">
        <v>1035</v>
      </c>
      <c r="E1933" s="22">
        <v>110</v>
      </c>
      <c r="H1933" t="s">
        <v>144</v>
      </c>
      <c r="J1933" t="s">
        <v>88</v>
      </c>
      <c r="K1933" t="s">
        <v>219</v>
      </c>
      <c r="L1933">
        <v>1</v>
      </c>
    </row>
    <row r="1934" spans="1:12" ht="14.5" hidden="1" customHeight="1" x14ac:dyDescent="0.2">
      <c r="A1934">
        <f t="shared" si="30"/>
        <v>1928</v>
      </c>
      <c r="B1934" s="54">
        <v>2022</v>
      </c>
      <c r="C1934" t="s">
        <v>258</v>
      </c>
      <c r="D1934" t="s">
        <v>449</v>
      </c>
      <c r="E1934" s="22">
        <v>960</v>
      </c>
      <c r="H1934" t="s">
        <v>154</v>
      </c>
      <c r="I1934" t="s">
        <v>529</v>
      </c>
      <c r="J1934" t="s">
        <v>27</v>
      </c>
      <c r="K1934" t="s">
        <v>205</v>
      </c>
      <c r="L1934">
        <v>1</v>
      </c>
    </row>
    <row r="1935" spans="1:12" ht="14.5" hidden="1" customHeight="1" x14ac:dyDescent="0.2">
      <c r="A1935">
        <f t="shared" si="30"/>
        <v>1929</v>
      </c>
      <c r="B1935" s="54">
        <v>2022</v>
      </c>
      <c r="C1935" t="s">
        <v>258</v>
      </c>
      <c r="D1935" t="s">
        <v>745</v>
      </c>
      <c r="E1935" s="22">
        <v>270</v>
      </c>
      <c r="H1935" t="s">
        <v>144</v>
      </c>
      <c r="I1935" t="s">
        <v>299</v>
      </c>
      <c r="J1935" t="s">
        <v>63</v>
      </c>
      <c r="K1935" t="s">
        <v>201</v>
      </c>
      <c r="L1935">
        <v>1</v>
      </c>
    </row>
    <row r="1936" spans="1:12" ht="14.5" hidden="1" customHeight="1" x14ac:dyDescent="0.2">
      <c r="A1936">
        <f t="shared" si="30"/>
        <v>1930</v>
      </c>
      <c r="B1936" s="54">
        <v>2022</v>
      </c>
      <c r="C1936" t="s">
        <v>258</v>
      </c>
      <c r="D1936" t="s">
        <v>557</v>
      </c>
      <c r="E1936" s="22">
        <v>270</v>
      </c>
      <c r="H1936" t="s">
        <v>151</v>
      </c>
      <c r="I1936" t="s">
        <v>279</v>
      </c>
      <c r="J1936" t="s">
        <v>134</v>
      </c>
      <c r="K1936" t="s">
        <v>201</v>
      </c>
      <c r="L1936">
        <v>1</v>
      </c>
    </row>
    <row r="1937" spans="1:12" ht="14.5" hidden="1" customHeight="1" x14ac:dyDescent="0.2">
      <c r="A1937">
        <f t="shared" si="30"/>
        <v>1931</v>
      </c>
      <c r="B1937" s="54">
        <v>2022</v>
      </c>
      <c r="C1937" t="s">
        <v>258</v>
      </c>
      <c r="D1937" t="s">
        <v>444</v>
      </c>
      <c r="E1937" s="22">
        <v>190</v>
      </c>
      <c r="H1937" t="s">
        <v>144</v>
      </c>
      <c r="I1937" t="s">
        <v>197</v>
      </c>
      <c r="J1937" t="s">
        <v>136</v>
      </c>
      <c r="K1937" t="s">
        <v>183</v>
      </c>
      <c r="L1937">
        <v>1</v>
      </c>
    </row>
    <row r="1938" spans="1:12" ht="14.5" hidden="1" customHeight="1" x14ac:dyDescent="0.2">
      <c r="A1938">
        <f t="shared" si="30"/>
        <v>1932</v>
      </c>
      <c r="B1938" s="54">
        <v>2022</v>
      </c>
      <c r="C1938" t="s">
        <v>258</v>
      </c>
      <c r="D1938" t="s">
        <v>449</v>
      </c>
      <c r="E1938" s="22">
        <v>340</v>
      </c>
      <c r="H1938" t="s">
        <v>154</v>
      </c>
      <c r="I1938" t="s">
        <v>194</v>
      </c>
      <c r="J1938" t="s">
        <v>3008</v>
      </c>
      <c r="K1938" t="s">
        <v>205</v>
      </c>
      <c r="L1938">
        <v>1</v>
      </c>
    </row>
    <row r="1939" spans="1:12" ht="14.5" hidden="1" customHeight="1" x14ac:dyDescent="0.2">
      <c r="A1939">
        <f t="shared" si="30"/>
        <v>1933</v>
      </c>
      <c r="B1939" s="54">
        <v>2022</v>
      </c>
      <c r="C1939" t="s">
        <v>179</v>
      </c>
      <c r="D1939" t="s">
        <v>199</v>
      </c>
      <c r="E1939" s="22">
        <v>230</v>
      </c>
      <c r="G1939" t="s">
        <v>3038</v>
      </c>
      <c r="H1939" t="s">
        <v>144</v>
      </c>
      <c r="I1939" t="s">
        <v>187</v>
      </c>
      <c r="J1939" t="s">
        <v>37</v>
      </c>
      <c r="K1939" t="s">
        <v>205</v>
      </c>
      <c r="L1939">
        <v>1</v>
      </c>
    </row>
    <row r="1940" spans="1:12" ht="14.5" hidden="1" customHeight="1" x14ac:dyDescent="0.2">
      <c r="A1940">
        <f t="shared" si="30"/>
        <v>1934</v>
      </c>
      <c r="B1940" s="54">
        <v>2022</v>
      </c>
      <c r="C1940" t="s">
        <v>179</v>
      </c>
      <c r="D1940" t="s">
        <v>875</v>
      </c>
      <c r="E1940" s="22">
        <v>210</v>
      </c>
      <c r="H1940" t="s">
        <v>142</v>
      </c>
      <c r="J1940" t="s">
        <v>124</v>
      </c>
      <c r="K1940" t="s">
        <v>183</v>
      </c>
      <c r="L1940">
        <v>1</v>
      </c>
    </row>
    <row r="1941" spans="1:12" ht="14.5" hidden="1" customHeight="1" x14ac:dyDescent="0.2">
      <c r="A1941">
        <f t="shared" si="30"/>
        <v>1935</v>
      </c>
      <c r="B1941" s="54">
        <v>2022</v>
      </c>
      <c r="C1941" t="s">
        <v>179</v>
      </c>
      <c r="D1941" t="s">
        <v>2228</v>
      </c>
      <c r="E1941" s="22">
        <v>140</v>
      </c>
      <c r="H1941" t="s">
        <v>154</v>
      </c>
      <c r="I1941" t="s">
        <v>194</v>
      </c>
      <c r="J1941" t="s">
        <v>13</v>
      </c>
      <c r="K1941" t="s">
        <v>201</v>
      </c>
      <c r="L1941">
        <v>1</v>
      </c>
    </row>
    <row r="1942" spans="1:12" ht="14.5" hidden="1" customHeight="1" x14ac:dyDescent="0.2">
      <c r="A1942">
        <f t="shared" si="30"/>
        <v>1936</v>
      </c>
      <c r="B1942" s="54">
        <v>2022</v>
      </c>
      <c r="C1942" t="s">
        <v>179</v>
      </c>
      <c r="D1942" t="s">
        <v>479</v>
      </c>
      <c r="E1942" s="22">
        <v>150</v>
      </c>
      <c r="H1942" t="s">
        <v>154</v>
      </c>
      <c r="I1942" t="s">
        <v>194</v>
      </c>
      <c r="J1942" t="s">
        <v>106</v>
      </c>
      <c r="K1942" t="s">
        <v>195</v>
      </c>
      <c r="L1942">
        <v>1</v>
      </c>
    </row>
    <row r="1943" spans="1:12" ht="14.5" hidden="1" customHeight="1" x14ac:dyDescent="0.2">
      <c r="A1943">
        <f t="shared" si="30"/>
        <v>1937</v>
      </c>
      <c r="B1943" s="54">
        <v>2022</v>
      </c>
      <c r="C1943" t="s">
        <v>179</v>
      </c>
      <c r="D1943" t="s">
        <v>479</v>
      </c>
      <c r="E1943" s="22">
        <v>1760</v>
      </c>
      <c r="H1943" t="s">
        <v>154</v>
      </c>
      <c r="I1943" t="s">
        <v>194</v>
      </c>
      <c r="J1943" t="s">
        <v>106</v>
      </c>
      <c r="K1943" t="s">
        <v>195</v>
      </c>
      <c r="L1943">
        <v>1</v>
      </c>
    </row>
    <row r="1944" spans="1:12" ht="14.5" hidden="1" customHeight="1" x14ac:dyDescent="0.2">
      <c r="A1944">
        <f t="shared" si="30"/>
        <v>1938</v>
      </c>
      <c r="B1944" s="54">
        <v>2022</v>
      </c>
      <c r="C1944" t="s">
        <v>179</v>
      </c>
      <c r="D1944" t="s">
        <v>175</v>
      </c>
      <c r="E1944" s="22">
        <v>190</v>
      </c>
      <c r="H1944" t="s">
        <v>149</v>
      </c>
      <c r="I1944" t="s">
        <v>182</v>
      </c>
      <c r="J1944" t="s">
        <v>136</v>
      </c>
      <c r="K1944" t="s">
        <v>183</v>
      </c>
      <c r="L1944">
        <v>1</v>
      </c>
    </row>
    <row r="1945" spans="1:12" ht="14.5" hidden="1" customHeight="1" x14ac:dyDescent="0.2">
      <c r="A1945">
        <f t="shared" si="30"/>
        <v>1939</v>
      </c>
      <c r="B1945" s="54">
        <v>2022</v>
      </c>
      <c r="C1945" t="s">
        <v>179</v>
      </c>
      <c r="D1945" t="s">
        <v>2389</v>
      </c>
      <c r="E1945" s="22">
        <v>190</v>
      </c>
      <c r="H1945" t="s">
        <v>155</v>
      </c>
      <c r="J1945" t="s">
        <v>34</v>
      </c>
      <c r="K1945" t="s">
        <v>219</v>
      </c>
      <c r="L1945">
        <v>1</v>
      </c>
    </row>
    <row r="1946" spans="1:12" ht="14.5" hidden="1" customHeight="1" x14ac:dyDescent="0.2">
      <c r="A1946">
        <f t="shared" si="30"/>
        <v>1940</v>
      </c>
      <c r="B1946" s="54">
        <v>2022</v>
      </c>
      <c r="C1946" t="s">
        <v>179</v>
      </c>
      <c r="D1946" t="s">
        <v>175</v>
      </c>
      <c r="E1946" s="22">
        <v>230</v>
      </c>
      <c r="G1946" t="s">
        <v>3039</v>
      </c>
      <c r="H1946" t="s">
        <v>149</v>
      </c>
      <c r="I1946" t="s">
        <v>182</v>
      </c>
      <c r="J1946" t="s">
        <v>53</v>
      </c>
      <c r="K1946" t="s">
        <v>183</v>
      </c>
      <c r="L1946">
        <v>1</v>
      </c>
    </row>
    <row r="1947" spans="1:12" ht="14.5" hidden="1" customHeight="1" x14ac:dyDescent="0.2">
      <c r="A1947">
        <f t="shared" si="30"/>
        <v>1941</v>
      </c>
      <c r="B1947" s="54">
        <v>2022</v>
      </c>
      <c r="C1947" t="s">
        <v>179</v>
      </c>
      <c r="D1947" t="s">
        <v>875</v>
      </c>
      <c r="E1947" s="22">
        <v>110</v>
      </c>
      <c r="H1947" t="s">
        <v>144</v>
      </c>
      <c r="I1947" t="s">
        <v>273</v>
      </c>
      <c r="J1947" t="s">
        <v>53</v>
      </c>
      <c r="K1947" t="s">
        <v>183</v>
      </c>
      <c r="L1947">
        <v>1</v>
      </c>
    </row>
    <row r="1948" spans="1:12" ht="14.5" hidden="1" customHeight="1" x14ac:dyDescent="0.2">
      <c r="A1948">
        <f t="shared" si="30"/>
        <v>1942</v>
      </c>
      <c r="B1948" s="54">
        <v>2022</v>
      </c>
      <c r="C1948" t="s">
        <v>179</v>
      </c>
      <c r="D1948" t="s">
        <v>745</v>
      </c>
      <c r="E1948" s="22">
        <v>160</v>
      </c>
      <c r="H1948" t="s">
        <v>143</v>
      </c>
      <c r="J1948" t="s">
        <v>128</v>
      </c>
      <c r="K1948" t="s">
        <v>201</v>
      </c>
      <c r="L1948">
        <v>1</v>
      </c>
    </row>
    <row r="1949" spans="1:12" ht="14.5" hidden="1" customHeight="1" x14ac:dyDescent="0.2">
      <c r="A1949">
        <f t="shared" si="30"/>
        <v>1943</v>
      </c>
      <c r="B1949" s="54">
        <v>2022</v>
      </c>
      <c r="C1949" t="s">
        <v>179</v>
      </c>
      <c r="D1949" t="s">
        <v>397</v>
      </c>
      <c r="E1949" s="22">
        <v>120</v>
      </c>
      <c r="H1949" t="s">
        <v>151</v>
      </c>
      <c r="I1949" t="s">
        <v>279</v>
      </c>
      <c r="J1949" t="s">
        <v>108</v>
      </c>
      <c r="K1949" t="s">
        <v>183</v>
      </c>
      <c r="L1949">
        <v>1</v>
      </c>
    </row>
    <row r="1950" spans="1:12" ht="14.5" hidden="1" customHeight="1" x14ac:dyDescent="0.2">
      <c r="A1950">
        <f t="shared" si="30"/>
        <v>1944</v>
      </c>
      <c r="B1950" s="54">
        <v>2022</v>
      </c>
      <c r="C1950" t="s">
        <v>179</v>
      </c>
      <c r="D1950" t="s">
        <v>2389</v>
      </c>
      <c r="E1950" s="22">
        <v>170</v>
      </c>
      <c r="H1950" t="s">
        <v>151</v>
      </c>
      <c r="I1950" t="s">
        <v>279</v>
      </c>
      <c r="J1950" t="s">
        <v>2462</v>
      </c>
      <c r="K1950" t="s">
        <v>219</v>
      </c>
      <c r="L1950">
        <v>1</v>
      </c>
    </row>
    <row r="1951" spans="1:12" ht="14.5" hidden="1" customHeight="1" x14ac:dyDescent="0.2">
      <c r="A1951">
        <f t="shared" si="30"/>
        <v>1945</v>
      </c>
      <c r="B1951" s="54">
        <v>2022</v>
      </c>
      <c r="C1951" t="s">
        <v>184</v>
      </c>
      <c r="D1951" t="s">
        <v>397</v>
      </c>
      <c r="E1951" s="22">
        <v>110</v>
      </c>
      <c r="H1951" t="s">
        <v>146</v>
      </c>
      <c r="J1951" t="s">
        <v>23</v>
      </c>
      <c r="K1951" t="s">
        <v>183</v>
      </c>
      <c r="L1951">
        <v>1</v>
      </c>
    </row>
    <row r="1952" spans="1:12" ht="14.5" hidden="1" customHeight="1" x14ac:dyDescent="0.2">
      <c r="A1952">
        <f t="shared" si="30"/>
        <v>1946</v>
      </c>
      <c r="B1952" s="54">
        <v>2022</v>
      </c>
      <c r="C1952" t="s">
        <v>184</v>
      </c>
      <c r="D1952" t="s">
        <v>479</v>
      </c>
      <c r="E1952" s="22">
        <v>780</v>
      </c>
      <c r="H1952" t="s">
        <v>154</v>
      </c>
      <c r="I1952" t="s">
        <v>529</v>
      </c>
      <c r="J1952" t="s">
        <v>9</v>
      </c>
      <c r="K1952" t="s">
        <v>9</v>
      </c>
      <c r="L1952">
        <v>0</v>
      </c>
    </row>
    <row r="1953" spans="1:12" ht="14.5" hidden="1" customHeight="1" x14ac:dyDescent="0.2">
      <c r="A1953">
        <f t="shared" si="30"/>
        <v>1947</v>
      </c>
      <c r="B1953" s="54">
        <v>2022</v>
      </c>
      <c r="C1953" t="s">
        <v>184</v>
      </c>
      <c r="D1953" t="s">
        <v>745</v>
      </c>
      <c r="E1953" s="22">
        <v>310</v>
      </c>
      <c r="G1953" t="s">
        <v>3040</v>
      </c>
      <c r="H1953" t="s">
        <v>144</v>
      </c>
      <c r="I1953" t="s">
        <v>299</v>
      </c>
      <c r="J1953" t="s">
        <v>93</v>
      </c>
      <c r="K1953" t="s">
        <v>201</v>
      </c>
      <c r="L1953">
        <v>1</v>
      </c>
    </row>
    <row r="1954" spans="1:12" ht="14.5" hidden="1" customHeight="1" x14ac:dyDescent="0.2">
      <c r="A1954">
        <f t="shared" si="30"/>
        <v>1948</v>
      </c>
      <c r="B1954" s="54">
        <v>2022</v>
      </c>
      <c r="C1954" t="s">
        <v>184</v>
      </c>
      <c r="D1954" t="s">
        <v>2574</v>
      </c>
      <c r="E1954" s="22">
        <v>190</v>
      </c>
      <c r="F1954" s="16">
        <v>0.3</v>
      </c>
      <c r="G1954" t="s">
        <v>3041</v>
      </c>
      <c r="H1954" t="s">
        <v>143</v>
      </c>
      <c r="J1954" t="s">
        <v>100</v>
      </c>
      <c r="K1954" t="s">
        <v>214</v>
      </c>
      <c r="L1954">
        <v>1</v>
      </c>
    </row>
    <row r="1955" spans="1:12" ht="14.5" hidden="1" customHeight="1" x14ac:dyDescent="0.2">
      <c r="A1955">
        <f t="shared" si="30"/>
        <v>1949</v>
      </c>
      <c r="B1955" s="54">
        <v>2022</v>
      </c>
      <c r="C1955" t="s">
        <v>184</v>
      </c>
      <c r="D1955" s="17" t="s">
        <v>3042</v>
      </c>
      <c r="E1955" s="22">
        <v>270</v>
      </c>
      <c r="H1955" t="s">
        <v>154</v>
      </c>
      <c r="I1955" t="s">
        <v>250</v>
      </c>
      <c r="J1955" t="s">
        <v>123</v>
      </c>
      <c r="K1955" t="s">
        <v>219</v>
      </c>
      <c r="L1955">
        <v>1</v>
      </c>
    </row>
    <row r="1956" spans="1:12" ht="14.5" hidden="1" customHeight="1" x14ac:dyDescent="0.2">
      <c r="A1956">
        <f t="shared" si="30"/>
        <v>1950</v>
      </c>
      <c r="B1956" s="54">
        <v>2022</v>
      </c>
      <c r="C1956" t="s">
        <v>184</v>
      </c>
      <c r="D1956" t="s">
        <v>341</v>
      </c>
      <c r="E1956" s="22">
        <v>450</v>
      </c>
      <c r="H1956" t="s">
        <v>152</v>
      </c>
      <c r="I1956" t="s">
        <v>257</v>
      </c>
      <c r="J1956" t="s">
        <v>13</v>
      </c>
      <c r="K1956" t="s">
        <v>201</v>
      </c>
      <c r="L1956">
        <v>1</v>
      </c>
    </row>
    <row r="1957" spans="1:12" ht="14.5" hidden="1" customHeight="1" x14ac:dyDescent="0.2">
      <c r="A1957">
        <f t="shared" si="30"/>
        <v>1951</v>
      </c>
      <c r="B1957" s="54">
        <v>2022</v>
      </c>
      <c r="C1957" t="s">
        <v>184</v>
      </c>
      <c r="D1957" t="s">
        <v>1035</v>
      </c>
      <c r="E1957" s="22">
        <v>180</v>
      </c>
      <c r="G1957" t="s">
        <v>3043</v>
      </c>
      <c r="H1957" t="s">
        <v>155</v>
      </c>
      <c r="J1957" t="s">
        <v>93</v>
      </c>
      <c r="K1957" t="s">
        <v>201</v>
      </c>
      <c r="L1957">
        <v>1</v>
      </c>
    </row>
    <row r="1958" spans="1:12" ht="14.5" hidden="1" customHeight="1" x14ac:dyDescent="0.2">
      <c r="A1958">
        <f t="shared" si="30"/>
        <v>1952</v>
      </c>
      <c r="B1958" s="54">
        <v>2022</v>
      </c>
      <c r="C1958" t="s">
        <v>184</v>
      </c>
      <c r="D1958" t="s">
        <v>745</v>
      </c>
      <c r="E1958" s="22">
        <v>520</v>
      </c>
      <c r="G1958" t="s">
        <v>904</v>
      </c>
      <c r="H1958" t="s">
        <v>144</v>
      </c>
      <c r="J1958" t="s">
        <v>55</v>
      </c>
      <c r="K1958" t="s">
        <v>214</v>
      </c>
      <c r="L1958">
        <v>1</v>
      </c>
    </row>
    <row r="1959" spans="1:12" ht="14.5" hidden="1" customHeight="1" x14ac:dyDescent="0.2">
      <c r="A1959">
        <f t="shared" si="30"/>
        <v>1953</v>
      </c>
      <c r="B1959" s="54">
        <v>2022</v>
      </c>
      <c r="C1959" t="s">
        <v>184</v>
      </c>
      <c r="D1959" t="s">
        <v>479</v>
      </c>
      <c r="E1959" s="22">
        <v>370</v>
      </c>
      <c r="G1959" t="s">
        <v>1273</v>
      </c>
      <c r="H1959" t="s">
        <v>148</v>
      </c>
      <c r="J1959" t="s">
        <v>38</v>
      </c>
      <c r="K1959" t="s">
        <v>214</v>
      </c>
      <c r="L1959">
        <v>1</v>
      </c>
    </row>
    <row r="1960" spans="1:12" ht="14.5" hidden="1" customHeight="1" x14ac:dyDescent="0.2">
      <c r="A1960">
        <f t="shared" si="30"/>
        <v>1954</v>
      </c>
      <c r="B1960" s="54">
        <v>2022</v>
      </c>
      <c r="C1960" t="s">
        <v>184</v>
      </c>
      <c r="D1960" t="s">
        <v>1035</v>
      </c>
      <c r="E1960" s="22">
        <v>560</v>
      </c>
      <c r="H1960" t="s">
        <v>150</v>
      </c>
      <c r="I1960" t="s">
        <v>744</v>
      </c>
      <c r="J1960" t="s">
        <v>55</v>
      </c>
      <c r="K1960" t="s">
        <v>214</v>
      </c>
      <c r="L1960">
        <v>1</v>
      </c>
    </row>
    <row r="1961" spans="1:12" ht="14.5" hidden="1" customHeight="1" x14ac:dyDescent="0.2">
      <c r="A1961">
        <f t="shared" si="30"/>
        <v>1955</v>
      </c>
      <c r="B1961" s="54">
        <v>2022</v>
      </c>
      <c r="C1961" t="s">
        <v>225</v>
      </c>
      <c r="D1961" t="s">
        <v>449</v>
      </c>
      <c r="E1961" s="22">
        <v>260</v>
      </c>
      <c r="H1961" t="s">
        <v>154</v>
      </c>
      <c r="I1961" t="s">
        <v>194</v>
      </c>
      <c r="J1961" t="s">
        <v>50</v>
      </c>
      <c r="K1961" t="s">
        <v>205</v>
      </c>
      <c r="L1961">
        <v>1</v>
      </c>
    </row>
    <row r="1962" spans="1:12" ht="14.5" hidden="1" customHeight="1" x14ac:dyDescent="0.2">
      <c r="A1962">
        <f t="shared" si="30"/>
        <v>1956</v>
      </c>
      <c r="B1962" s="54">
        <v>2022</v>
      </c>
      <c r="C1962" t="s">
        <v>225</v>
      </c>
      <c r="D1962" t="s">
        <v>2704</v>
      </c>
      <c r="E1962" s="22">
        <v>410</v>
      </c>
      <c r="G1962" t="s">
        <v>3044</v>
      </c>
      <c r="H1962" t="s">
        <v>144</v>
      </c>
      <c r="I1962" t="s">
        <v>232</v>
      </c>
      <c r="J1962" t="s">
        <v>67</v>
      </c>
      <c r="K1962" t="s">
        <v>183</v>
      </c>
      <c r="L1962">
        <v>1</v>
      </c>
    </row>
    <row r="1963" spans="1:12" ht="14.5" hidden="1" customHeight="1" x14ac:dyDescent="0.2">
      <c r="A1963">
        <f t="shared" si="30"/>
        <v>1957</v>
      </c>
      <c r="B1963" s="54">
        <v>2022</v>
      </c>
      <c r="C1963" t="s">
        <v>225</v>
      </c>
      <c r="D1963" t="s">
        <v>3045</v>
      </c>
      <c r="E1963" s="22">
        <v>520</v>
      </c>
      <c r="G1963" t="s">
        <v>2300</v>
      </c>
      <c r="H1963" t="s">
        <v>143</v>
      </c>
      <c r="J1963" t="s">
        <v>5</v>
      </c>
      <c r="K1963" t="s">
        <v>214</v>
      </c>
      <c r="L1963">
        <v>1</v>
      </c>
    </row>
    <row r="1964" spans="1:12" ht="14.5" hidden="1" customHeight="1" x14ac:dyDescent="0.2">
      <c r="A1964">
        <f t="shared" si="30"/>
        <v>1958</v>
      </c>
      <c r="B1964" s="54">
        <v>2022</v>
      </c>
      <c r="C1964" t="s">
        <v>225</v>
      </c>
      <c r="D1964" t="s">
        <v>875</v>
      </c>
      <c r="E1964" s="22">
        <v>150</v>
      </c>
      <c r="H1964" t="s">
        <v>154</v>
      </c>
      <c r="I1964" t="s">
        <v>194</v>
      </c>
      <c r="J1964" t="s">
        <v>93</v>
      </c>
      <c r="K1964" t="s">
        <v>201</v>
      </c>
      <c r="L1964">
        <v>1</v>
      </c>
    </row>
    <row r="1965" spans="1:12" ht="14.5" hidden="1" customHeight="1" x14ac:dyDescent="0.2">
      <c r="A1965">
        <f t="shared" si="30"/>
        <v>1959</v>
      </c>
      <c r="B1965" s="54">
        <v>2022</v>
      </c>
      <c r="C1965" t="s">
        <v>225</v>
      </c>
      <c r="D1965" t="s">
        <v>444</v>
      </c>
      <c r="E1965" s="22">
        <v>190</v>
      </c>
      <c r="H1965" t="s">
        <v>145</v>
      </c>
      <c r="J1965" t="s">
        <v>48</v>
      </c>
      <c r="K1965" t="s">
        <v>219</v>
      </c>
      <c r="L1965">
        <v>1</v>
      </c>
    </row>
    <row r="1966" spans="1:12" ht="14.5" hidden="1" customHeight="1" x14ac:dyDescent="0.2">
      <c r="A1966">
        <f t="shared" si="30"/>
        <v>1960</v>
      </c>
      <c r="B1966" s="54">
        <v>2022</v>
      </c>
      <c r="C1966" t="s">
        <v>225</v>
      </c>
      <c r="D1966" t="s">
        <v>1035</v>
      </c>
      <c r="E1966" s="22">
        <v>210</v>
      </c>
      <c r="H1966" t="s">
        <v>144</v>
      </c>
      <c r="I1966" t="s">
        <v>197</v>
      </c>
      <c r="J1966" t="s">
        <v>102</v>
      </c>
      <c r="K1966" t="s">
        <v>219</v>
      </c>
      <c r="L1966">
        <v>1</v>
      </c>
    </row>
    <row r="1967" spans="1:12" ht="14.5" hidden="1" customHeight="1" x14ac:dyDescent="0.2">
      <c r="A1967">
        <f t="shared" si="30"/>
        <v>1961</v>
      </c>
      <c r="B1967" s="54">
        <v>2022</v>
      </c>
      <c r="C1967" t="s">
        <v>225</v>
      </c>
      <c r="D1967" t="s">
        <v>479</v>
      </c>
      <c r="E1967" s="22">
        <v>130</v>
      </c>
      <c r="G1967" t="s">
        <v>3046</v>
      </c>
      <c r="H1967" t="s">
        <v>155</v>
      </c>
      <c r="J1967" t="s">
        <v>93</v>
      </c>
      <c r="K1967" t="s">
        <v>201</v>
      </c>
      <c r="L1967">
        <v>1</v>
      </c>
    </row>
    <row r="1968" spans="1:12" ht="14.5" hidden="1" customHeight="1" x14ac:dyDescent="0.2">
      <c r="A1968">
        <f t="shared" si="30"/>
        <v>1962</v>
      </c>
      <c r="B1968" s="54">
        <v>2022</v>
      </c>
      <c r="C1968" t="s">
        <v>225</v>
      </c>
      <c r="D1968" t="s">
        <v>199</v>
      </c>
      <c r="E1968" s="22">
        <v>430</v>
      </c>
      <c r="G1968" t="s">
        <v>3047</v>
      </c>
      <c r="H1968" t="s">
        <v>144</v>
      </c>
      <c r="I1968" t="s">
        <v>299</v>
      </c>
      <c r="J1968" t="s">
        <v>124</v>
      </c>
      <c r="K1968" t="s">
        <v>183</v>
      </c>
      <c r="L1968">
        <v>1</v>
      </c>
    </row>
    <row r="1969" spans="1:12" ht="14.5" hidden="1" customHeight="1" x14ac:dyDescent="0.2">
      <c r="A1969">
        <f t="shared" si="30"/>
        <v>1963</v>
      </c>
      <c r="B1969" s="54">
        <v>2022</v>
      </c>
      <c r="C1969" t="s">
        <v>225</v>
      </c>
      <c r="D1969" t="s">
        <v>1035</v>
      </c>
      <c r="E1969" s="22">
        <v>150</v>
      </c>
      <c r="H1969" t="s">
        <v>144</v>
      </c>
      <c r="I1969" t="s">
        <v>232</v>
      </c>
      <c r="J1969" t="s">
        <v>82</v>
      </c>
      <c r="K1969" t="s">
        <v>183</v>
      </c>
      <c r="L1969">
        <v>1</v>
      </c>
    </row>
    <row r="1970" spans="1:12" ht="14.5" hidden="1" customHeight="1" x14ac:dyDescent="0.2">
      <c r="A1970">
        <f t="shared" si="30"/>
        <v>1964</v>
      </c>
      <c r="B1970" s="54">
        <v>2022</v>
      </c>
      <c r="C1970" t="s">
        <v>188</v>
      </c>
      <c r="D1970" t="s">
        <v>2538</v>
      </c>
      <c r="E1970" s="22">
        <v>190</v>
      </c>
      <c r="H1970" t="s">
        <v>144</v>
      </c>
      <c r="I1970" t="s">
        <v>197</v>
      </c>
      <c r="J1970" t="s">
        <v>64</v>
      </c>
      <c r="K1970" t="s">
        <v>219</v>
      </c>
      <c r="L1970">
        <v>1</v>
      </c>
    </row>
    <row r="1971" spans="1:12" ht="14.5" hidden="1" customHeight="1" x14ac:dyDescent="0.2">
      <c r="A1971">
        <f t="shared" si="30"/>
        <v>1965</v>
      </c>
      <c r="B1971" s="54">
        <v>2022</v>
      </c>
      <c r="C1971" t="s">
        <v>188</v>
      </c>
      <c r="D1971" t="s">
        <v>307</v>
      </c>
      <c r="E1971" s="22">
        <v>110</v>
      </c>
      <c r="G1971" t="s">
        <v>3048</v>
      </c>
      <c r="H1971" t="s">
        <v>144</v>
      </c>
      <c r="I1971" t="s">
        <v>232</v>
      </c>
      <c r="J1971" t="s">
        <v>112</v>
      </c>
      <c r="K1971" t="s">
        <v>219</v>
      </c>
      <c r="L1971">
        <v>1</v>
      </c>
    </row>
    <row r="1972" spans="1:12" ht="14.5" hidden="1" customHeight="1" x14ac:dyDescent="0.2">
      <c r="A1972">
        <f t="shared" si="30"/>
        <v>1966</v>
      </c>
      <c r="B1972" s="54">
        <v>2022</v>
      </c>
      <c r="C1972" t="s">
        <v>188</v>
      </c>
      <c r="D1972" t="s">
        <v>397</v>
      </c>
      <c r="E1972" s="22">
        <v>140</v>
      </c>
      <c r="H1972" t="s">
        <v>147</v>
      </c>
      <c r="J1972" t="s">
        <v>95</v>
      </c>
      <c r="K1972" t="s">
        <v>183</v>
      </c>
      <c r="L1972">
        <v>1</v>
      </c>
    </row>
    <row r="1973" spans="1:12" ht="14.5" hidden="1" customHeight="1" x14ac:dyDescent="0.2">
      <c r="A1973">
        <f t="shared" si="30"/>
        <v>1967</v>
      </c>
      <c r="B1973" s="54">
        <v>2022</v>
      </c>
      <c r="C1973" t="s">
        <v>188</v>
      </c>
      <c r="D1973" t="s">
        <v>479</v>
      </c>
      <c r="E1973" s="22">
        <v>410</v>
      </c>
      <c r="H1973" t="s">
        <v>154</v>
      </c>
      <c r="I1973" t="s">
        <v>194</v>
      </c>
      <c r="J1973" t="s">
        <v>97</v>
      </c>
      <c r="K1973" t="s">
        <v>183</v>
      </c>
      <c r="L1973">
        <v>1</v>
      </c>
    </row>
    <row r="1974" spans="1:12" ht="14.5" hidden="1" customHeight="1" x14ac:dyDescent="0.2">
      <c r="A1974">
        <f t="shared" si="30"/>
        <v>1968</v>
      </c>
      <c r="B1974" s="54">
        <v>2022</v>
      </c>
      <c r="C1974" t="s">
        <v>188</v>
      </c>
      <c r="D1974" t="s">
        <v>479</v>
      </c>
      <c r="E1974" s="22">
        <v>130</v>
      </c>
      <c r="H1974" t="s">
        <v>154</v>
      </c>
      <c r="I1974" t="s">
        <v>194</v>
      </c>
      <c r="J1974" t="s">
        <v>60</v>
      </c>
      <c r="K1974" t="s">
        <v>177</v>
      </c>
      <c r="L1974">
        <v>1</v>
      </c>
    </row>
    <row r="1975" spans="1:12" ht="14.5" hidden="1" customHeight="1" x14ac:dyDescent="0.2">
      <c r="A1975">
        <f t="shared" si="30"/>
        <v>1969</v>
      </c>
      <c r="B1975" s="54">
        <v>2022</v>
      </c>
      <c r="C1975" t="s">
        <v>188</v>
      </c>
      <c r="D1975" t="s">
        <v>449</v>
      </c>
      <c r="E1975" s="22">
        <v>100</v>
      </c>
      <c r="H1975" t="s">
        <v>154</v>
      </c>
      <c r="I1975" t="s">
        <v>194</v>
      </c>
      <c r="J1975" t="s">
        <v>46</v>
      </c>
      <c r="K1975" t="s">
        <v>219</v>
      </c>
      <c r="L1975">
        <v>1</v>
      </c>
    </row>
    <row r="1976" spans="1:12" ht="14.5" hidden="1" customHeight="1" x14ac:dyDescent="0.2">
      <c r="A1976">
        <f t="shared" si="30"/>
        <v>1970</v>
      </c>
      <c r="B1976" s="54">
        <v>2022</v>
      </c>
      <c r="C1976" t="s">
        <v>188</v>
      </c>
      <c r="D1976" t="s">
        <v>479</v>
      </c>
      <c r="E1976" s="22">
        <v>450</v>
      </c>
      <c r="H1976" t="s">
        <v>147</v>
      </c>
      <c r="J1976" t="s">
        <v>9</v>
      </c>
      <c r="K1976" t="s">
        <v>9</v>
      </c>
      <c r="L1976">
        <v>0</v>
      </c>
    </row>
    <row r="1977" spans="1:12" ht="14.5" hidden="1" customHeight="1" x14ac:dyDescent="0.2">
      <c r="A1977">
        <f t="shared" si="30"/>
        <v>1971</v>
      </c>
      <c r="B1977" s="54">
        <v>2022</v>
      </c>
      <c r="C1977" t="s">
        <v>188</v>
      </c>
      <c r="D1977" t="s">
        <v>449</v>
      </c>
      <c r="E1977" s="22">
        <v>960</v>
      </c>
      <c r="H1977" t="s">
        <v>154</v>
      </c>
      <c r="I1977" t="s">
        <v>194</v>
      </c>
      <c r="J1977" t="s">
        <v>105</v>
      </c>
      <c r="K1977" t="s">
        <v>214</v>
      </c>
      <c r="L1977">
        <v>1</v>
      </c>
    </row>
    <row r="1978" spans="1:12" ht="14.5" hidden="1" customHeight="1" x14ac:dyDescent="0.2">
      <c r="A1978">
        <f t="shared" si="30"/>
        <v>1972</v>
      </c>
      <c r="B1978" s="54">
        <v>2022</v>
      </c>
      <c r="C1978" t="s">
        <v>188</v>
      </c>
      <c r="D1978" t="s">
        <v>444</v>
      </c>
      <c r="E1978" s="22">
        <v>820</v>
      </c>
      <c r="H1978" t="s">
        <v>154</v>
      </c>
      <c r="I1978" t="s">
        <v>529</v>
      </c>
      <c r="J1978" t="s">
        <v>8</v>
      </c>
      <c r="K1978" t="s">
        <v>205</v>
      </c>
      <c r="L1978">
        <v>1</v>
      </c>
    </row>
    <row r="1979" spans="1:12" ht="14.5" hidden="1" customHeight="1" x14ac:dyDescent="0.2">
      <c r="A1979">
        <f t="shared" si="30"/>
        <v>1973</v>
      </c>
      <c r="B1979" s="54">
        <v>2022</v>
      </c>
      <c r="C1979" t="s">
        <v>188</v>
      </c>
      <c r="D1979" t="s">
        <v>3049</v>
      </c>
      <c r="E1979" s="22">
        <v>130</v>
      </c>
      <c r="H1979" t="s">
        <v>154</v>
      </c>
      <c r="I1979" t="s">
        <v>194</v>
      </c>
      <c r="J1979" t="s">
        <v>71</v>
      </c>
      <c r="K1979" t="s">
        <v>219</v>
      </c>
      <c r="L1979">
        <v>1</v>
      </c>
    </row>
    <row r="1980" spans="1:12" ht="14.5" hidden="1" customHeight="1" x14ac:dyDescent="0.2">
      <c r="A1980">
        <f t="shared" si="30"/>
        <v>1974</v>
      </c>
      <c r="B1980" s="54">
        <v>2022</v>
      </c>
      <c r="C1980" t="s">
        <v>188</v>
      </c>
      <c r="D1980" t="s">
        <v>745</v>
      </c>
      <c r="E1980" s="22">
        <v>230</v>
      </c>
      <c r="G1980" t="s">
        <v>3050</v>
      </c>
      <c r="H1980" t="s">
        <v>143</v>
      </c>
      <c r="J1980" t="s">
        <v>100</v>
      </c>
      <c r="K1980" t="s">
        <v>214</v>
      </c>
      <c r="L1980">
        <v>1</v>
      </c>
    </row>
    <row r="1981" spans="1:12" ht="14.5" hidden="1" customHeight="1" x14ac:dyDescent="0.2">
      <c r="A1981">
        <f t="shared" si="30"/>
        <v>1975</v>
      </c>
      <c r="B1981" s="54">
        <v>2022</v>
      </c>
      <c r="C1981" t="s">
        <v>188</v>
      </c>
      <c r="D1981" t="s">
        <v>449</v>
      </c>
      <c r="E1981" s="22">
        <v>210</v>
      </c>
      <c r="H1981" t="s">
        <v>154</v>
      </c>
      <c r="I1981" t="s">
        <v>250</v>
      </c>
      <c r="J1981" t="s">
        <v>89</v>
      </c>
      <c r="K1981" t="s">
        <v>219</v>
      </c>
      <c r="L1981">
        <v>1</v>
      </c>
    </row>
    <row r="1982" spans="1:12" ht="14.5" hidden="1" customHeight="1" x14ac:dyDescent="0.2">
      <c r="A1982">
        <f t="shared" si="30"/>
        <v>1976</v>
      </c>
      <c r="B1982" s="54">
        <v>2022</v>
      </c>
      <c r="C1982" t="s">
        <v>188</v>
      </c>
      <c r="D1982" t="s">
        <v>479</v>
      </c>
      <c r="E1982" s="22">
        <v>200</v>
      </c>
      <c r="G1982" t="s">
        <v>3051</v>
      </c>
      <c r="H1982" t="s">
        <v>155</v>
      </c>
      <c r="J1982" t="s">
        <v>93</v>
      </c>
      <c r="K1982" t="s">
        <v>201</v>
      </c>
      <c r="L1982">
        <v>1</v>
      </c>
    </row>
    <row r="1983" spans="1:12" ht="14.5" hidden="1" customHeight="1" x14ac:dyDescent="0.2">
      <c r="A1983">
        <f t="shared" si="30"/>
        <v>1977</v>
      </c>
      <c r="B1983" s="54">
        <v>2022</v>
      </c>
      <c r="C1983" t="s">
        <v>188</v>
      </c>
      <c r="D1983" t="s">
        <v>397</v>
      </c>
      <c r="E1983" s="22">
        <v>370</v>
      </c>
      <c r="H1983" t="s">
        <v>154</v>
      </c>
      <c r="I1983" t="s">
        <v>250</v>
      </c>
      <c r="J1983" t="s">
        <v>55</v>
      </c>
      <c r="K1983" t="s">
        <v>214</v>
      </c>
      <c r="L1983">
        <v>1</v>
      </c>
    </row>
    <row r="1984" spans="1:12" ht="14.5" hidden="1" customHeight="1" x14ac:dyDescent="0.2">
      <c r="A1984">
        <f t="shared" si="30"/>
        <v>1978</v>
      </c>
      <c r="B1984" s="54">
        <v>2022</v>
      </c>
      <c r="C1984" t="s">
        <v>191</v>
      </c>
      <c r="D1984" t="s">
        <v>1289</v>
      </c>
      <c r="E1984" s="22">
        <v>330</v>
      </c>
      <c r="H1984" t="s">
        <v>151</v>
      </c>
      <c r="I1984" t="s">
        <v>279</v>
      </c>
      <c r="J1984" t="s">
        <v>108</v>
      </c>
      <c r="K1984" t="s">
        <v>183</v>
      </c>
      <c r="L1984">
        <v>1</v>
      </c>
    </row>
    <row r="1985" spans="1:12" ht="14.5" hidden="1" customHeight="1" x14ac:dyDescent="0.2">
      <c r="A1985">
        <f t="shared" si="30"/>
        <v>1979</v>
      </c>
      <c r="B1985" s="54">
        <v>2022</v>
      </c>
      <c r="C1985" t="s">
        <v>191</v>
      </c>
      <c r="D1985" t="s">
        <v>3052</v>
      </c>
      <c r="E1985" s="22">
        <v>180</v>
      </c>
      <c r="H1985" t="s">
        <v>147</v>
      </c>
      <c r="J1985" t="s">
        <v>50</v>
      </c>
      <c r="K1985" t="s">
        <v>205</v>
      </c>
      <c r="L1985">
        <v>1</v>
      </c>
    </row>
    <row r="1986" spans="1:12" ht="14.5" hidden="1" customHeight="1" x14ac:dyDescent="0.2">
      <c r="A1986">
        <f t="shared" si="30"/>
        <v>1980</v>
      </c>
      <c r="B1986" s="54">
        <v>2022</v>
      </c>
      <c r="C1986" t="s">
        <v>191</v>
      </c>
      <c r="D1986" t="s">
        <v>479</v>
      </c>
      <c r="E1986" s="22">
        <v>550</v>
      </c>
      <c r="H1986" t="s">
        <v>151</v>
      </c>
      <c r="I1986" t="s">
        <v>279</v>
      </c>
      <c r="J1986" t="s">
        <v>9</v>
      </c>
      <c r="K1986" t="s">
        <v>9</v>
      </c>
      <c r="L1986">
        <v>0</v>
      </c>
    </row>
    <row r="1987" spans="1:12" ht="14.5" hidden="1" customHeight="1" x14ac:dyDescent="0.2">
      <c r="A1987">
        <f t="shared" si="30"/>
        <v>1981</v>
      </c>
      <c r="B1987" s="54">
        <v>2022</v>
      </c>
      <c r="C1987" t="s">
        <v>191</v>
      </c>
      <c r="D1987" t="s">
        <v>479</v>
      </c>
      <c r="E1987" s="22">
        <v>1260</v>
      </c>
      <c r="H1987" t="s">
        <v>154</v>
      </c>
      <c r="I1987" t="s">
        <v>529</v>
      </c>
      <c r="J1987" t="s">
        <v>72</v>
      </c>
      <c r="K1987" t="s">
        <v>183</v>
      </c>
      <c r="L1987">
        <v>1</v>
      </c>
    </row>
    <row r="1988" spans="1:12" ht="14.5" hidden="1" customHeight="1" x14ac:dyDescent="0.2">
      <c r="A1988">
        <f t="shared" si="30"/>
        <v>1982</v>
      </c>
      <c r="B1988" s="54">
        <v>2022</v>
      </c>
      <c r="C1988" t="s">
        <v>191</v>
      </c>
      <c r="D1988" t="s">
        <v>175</v>
      </c>
      <c r="E1988" s="22">
        <v>260</v>
      </c>
      <c r="G1988" t="s">
        <v>3053</v>
      </c>
      <c r="H1988" t="s">
        <v>149</v>
      </c>
      <c r="J1988" t="s">
        <v>53</v>
      </c>
      <c r="K1988" t="s">
        <v>183</v>
      </c>
      <c r="L1988">
        <v>1</v>
      </c>
    </row>
    <row r="1989" spans="1:12" ht="14.5" hidden="1" customHeight="1" x14ac:dyDescent="0.2">
      <c r="A1989">
        <f t="shared" si="30"/>
        <v>1983</v>
      </c>
      <c r="B1989" s="54">
        <v>2022</v>
      </c>
      <c r="C1989" t="s">
        <v>191</v>
      </c>
      <c r="D1989" t="s">
        <v>189</v>
      </c>
      <c r="E1989" s="22">
        <v>160</v>
      </c>
      <c r="G1989" t="s">
        <v>1703</v>
      </c>
      <c r="H1989" t="s">
        <v>143</v>
      </c>
      <c r="J1989" t="s">
        <v>108</v>
      </c>
      <c r="K1989" t="s">
        <v>183</v>
      </c>
      <c r="L1989">
        <v>1</v>
      </c>
    </row>
    <row r="1990" spans="1:12" ht="14.5" hidden="1" customHeight="1" x14ac:dyDescent="0.2">
      <c r="A1990">
        <f t="shared" si="30"/>
        <v>1984</v>
      </c>
      <c r="B1990" s="54">
        <v>2022</v>
      </c>
      <c r="C1990" t="s">
        <v>191</v>
      </c>
      <c r="D1990" t="s">
        <v>2309</v>
      </c>
      <c r="E1990" s="22">
        <v>160</v>
      </c>
      <c r="H1990" t="s">
        <v>154</v>
      </c>
      <c r="I1990" t="s">
        <v>529</v>
      </c>
      <c r="J1990" t="s">
        <v>77</v>
      </c>
      <c r="K1990" t="s">
        <v>177</v>
      </c>
      <c r="L1990">
        <v>0</v>
      </c>
    </row>
    <row r="1991" spans="1:12" ht="14.5" hidden="1" customHeight="1" x14ac:dyDescent="0.2">
      <c r="A1991">
        <f t="shared" ref="A1991:A2054" si="31">ROW()-6</f>
        <v>1985</v>
      </c>
      <c r="B1991" s="54">
        <v>2022</v>
      </c>
      <c r="C1991" t="s">
        <v>191</v>
      </c>
      <c r="D1991" t="s">
        <v>875</v>
      </c>
      <c r="E1991" s="22">
        <v>290</v>
      </c>
      <c r="H1991" t="s">
        <v>144</v>
      </c>
      <c r="I1991" t="s">
        <v>232</v>
      </c>
      <c r="J1991" t="s">
        <v>38</v>
      </c>
      <c r="K1991" t="s">
        <v>214</v>
      </c>
      <c r="L1991">
        <v>1</v>
      </c>
    </row>
    <row r="1992" spans="1:12" ht="14.5" hidden="1" customHeight="1" x14ac:dyDescent="0.2">
      <c r="A1992">
        <f t="shared" si="31"/>
        <v>1986</v>
      </c>
      <c r="B1992" s="54">
        <v>2022</v>
      </c>
      <c r="C1992" t="s">
        <v>191</v>
      </c>
      <c r="D1992" t="s">
        <v>3028</v>
      </c>
      <c r="E1992" s="22">
        <v>290</v>
      </c>
      <c r="H1992" t="s">
        <v>153</v>
      </c>
      <c r="J1992" t="s">
        <v>13</v>
      </c>
      <c r="K1992" t="s">
        <v>201</v>
      </c>
      <c r="L1992">
        <v>1</v>
      </c>
    </row>
    <row r="1993" spans="1:12" ht="14.5" hidden="1" customHeight="1" x14ac:dyDescent="0.2">
      <c r="A1993">
        <f t="shared" si="31"/>
        <v>1987</v>
      </c>
      <c r="B1993" s="54">
        <v>2022</v>
      </c>
      <c r="C1993" t="s">
        <v>191</v>
      </c>
      <c r="D1993" t="s">
        <v>474</v>
      </c>
      <c r="E1993" s="22">
        <v>120</v>
      </c>
      <c r="H1993" t="s">
        <v>154</v>
      </c>
      <c r="I1993" t="s">
        <v>194</v>
      </c>
      <c r="J1993" t="s">
        <v>2755</v>
      </c>
      <c r="K1993" t="s">
        <v>177</v>
      </c>
      <c r="L1993">
        <v>1</v>
      </c>
    </row>
    <row r="1994" spans="1:12" ht="14.5" hidden="1" customHeight="1" x14ac:dyDescent="0.2">
      <c r="A1994">
        <f t="shared" si="31"/>
        <v>1988</v>
      </c>
      <c r="B1994" s="54">
        <v>2022</v>
      </c>
      <c r="C1994" t="s">
        <v>191</v>
      </c>
      <c r="D1994" t="s">
        <v>449</v>
      </c>
      <c r="E1994" s="22">
        <v>760</v>
      </c>
      <c r="H1994" t="s">
        <v>154</v>
      </c>
      <c r="I1994" t="s">
        <v>529</v>
      </c>
      <c r="J1994" t="s">
        <v>89</v>
      </c>
      <c r="K1994" t="s">
        <v>219</v>
      </c>
      <c r="L1994">
        <v>1</v>
      </c>
    </row>
    <row r="1995" spans="1:12" ht="14.5" hidden="1" customHeight="1" x14ac:dyDescent="0.2">
      <c r="A1995">
        <f t="shared" si="31"/>
        <v>1989</v>
      </c>
      <c r="B1995">
        <v>2022</v>
      </c>
      <c r="C1995" t="s">
        <v>198</v>
      </c>
      <c r="D1995" t="s">
        <v>1035</v>
      </c>
      <c r="E1995" s="22">
        <v>1360</v>
      </c>
      <c r="H1995" t="s">
        <v>144</v>
      </c>
      <c r="I1995" t="s">
        <v>197</v>
      </c>
      <c r="J1995" t="s">
        <v>53</v>
      </c>
      <c r="K1995" t="s">
        <v>183</v>
      </c>
      <c r="L1995">
        <v>1</v>
      </c>
    </row>
    <row r="1996" spans="1:12" ht="14.5" hidden="1" customHeight="1" x14ac:dyDescent="0.2">
      <c r="A1996">
        <f t="shared" si="31"/>
        <v>1990</v>
      </c>
      <c r="B1996">
        <v>2022</v>
      </c>
      <c r="C1996" t="s">
        <v>198</v>
      </c>
      <c r="D1996" t="s">
        <v>397</v>
      </c>
      <c r="E1996" s="22">
        <v>290</v>
      </c>
      <c r="H1996" t="s">
        <v>154</v>
      </c>
      <c r="I1996" t="s">
        <v>194</v>
      </c>
      <c r="J1996" t="s">
        <v>17</v>
      </c>
      <c r="K1996" t="s">
        <v>195</v>
      </c>
      <c r="L1996">
        <v>1</v>
      </c>
    </row>
    <row r="1997" spans="1:12" ht="14.5" hidden="1" customHeight="1" x14ac:dyDescent="0.2">
      <c r="A1997">
        <f t="shared" si="31"/>
        <v>1991</v>
      </c>
      <c r="B1997">
        <v>2022</v>
      </c>
      <c r="C1997" t="s">
        <v>198</v>
      </c>
      <c r="D1997" t="s">
        <v>397</v>
      </c>
      <c r="E1997" s="22">
        <v>400</v>
      </c>
      <c r="G1997" t="s">
        <v>3054</v>
      </c>
      <c r="H1997" t="s">
        <v>146</v>
      </c>
      <c r="J1997" t="s">
        <v>40</v>
      </c>
      <c r="K1997" t="s">
        <v>219</v>
      </c>
      <c r="L1997">
        <v>1</v>
      </c>
    </row>
    <row r="1998" spans="1:12" ht="14.5" hidden="1" customHeight="1" x14ac:dyDescent="0.2">
      <c r="A1998">
        <f t="shared" si="31"/>
        <v>1992</v>
      </c>
      <c r="B1998">
        <v>2022</v>
      </c>
      <c r="C1998" t="s">
        <v>198</v>
      </c>
      <c r="D1998" t="s">
        <v>307</v>
      </c>
      <c r="E1998" s="22">
        <v>160</v>
      </c>
      <c r="G1998" t="s">
        <v>3055</v>
      </c>
      <c r="H1998" t="s">
        <v>144</v>
      </c>
      <c r="I1998" t="s">
        <v>232</v>
      </c>
      <c r="J1998" t="s">
        <v>19</v>
      </c>
      <c r="K1998" t="s">
        <v>205</v>
      </c>
      <c r="L1998">
        <v>0</v>
      </c>
    </row>
    <row r="1999" spans="1:12" ht="14.5" hidden="1" customHeight="1" x14ac:dyDescent="0.2">
      <c r="A1999">
        <f t="shared" si="31"/>
        <v>1993</v>
      </c>
      <c r="B1999">
        <v>2022</v>
      </c>
      <c r="C1999" t="s">
        <v>198</v>
      </c>
      <c r="D1999" t="s">
        <v>189</v>
      </c>
      <c r="E1999" s="22">
        <v>130</v>
      </c>
      <c r="H1999" t="s">
        <v>144</v>
      </c>
      <c r="I1999" t="s">
        <v>299</v>
      </c>
      <c r="J1999" t="s">
        <v>124</v>
      </c>
      <c r="K1999" t="s">
        <v>183</v>
      </c>
      <c r="L1999">
        <v>1</v>
      </c>
    </row>
    <row r="2000" spans="1:12" ht="14.5" hidden="1" customHeight="1" x14ac:dyDescent="0.2">
      <c r="A2000">
        <f t="shared" si="31"/>
        <v>1994</v>
      </c>
      <c r="B2000">
        <v>2022</v>
      </c>
      <c r="C2000" t="s">
        <v>198</v>
      </c>
      <c r="D2000" t="s">
        <v>199</v>
      </c>
      <c r="E2000" s="22">
        <v>180</v>
      </c>
      <c r="H2000" t="s">
        <v>144</v>
      </c>
      <c r="I2000" t="s">
        <v>187</v>
      </c>
      <c r="J2000" t="s">
        <v>77</v>
      </c>
      <c r="K2000" t="s">
        <v>177</v>
      </c>
      <c r="L2000">
        <v>0</v>
      </c>
    </row>
    <row r="2001" spans="1:12" ht="14.5" hidden="1" customHeight="1" x14ac:dyDescent="0.2">
      <c r="A2001">
        <f t="shared" si="31"/>
        <v>1995</v>
      </c>
      <c r="B2001">
        <v>2022</v>
      </c>
      <c r="C2001" t="s">
        <v>198</v>
      </c>
      <c r="D2001" t="s">
        <v>397</v>
      </c>
      <c r="E2001" s="22">
        <v>390</v>
      </c>
      <c r="G2001" t="s">
        <v>2988</v>
      </c>
      <c r="H2001" t="s">
        <v>154</v>
      </c>
      <c r="I2001" t="s">
        <v>529</v>
      </c>
      <c r="J2001" t="s">
        <v>108</v>
      </c>
      <c r="K2001" t="s">
        <v>183</v>
      </c>
      <c r="L2001">
        <v>1</v>
      </c>
    </row>
    <row r="2002" spans="1:12" ht="14.5" hidden="1" customHeight="1" x14ac:dyDescent="0.2">
      <c r="A2002">
        <f t="shared" si="31"/>
        <v>1996</v>
      </c>
      <c r="B2002">
        <v>2022</v>
      </c>
      <c r="C2002" t="s">
        <v>202</v>
      </c>
      <c r="D2002" t="s">
        <v>285</v>
      </c>
      <c r="E2002" s="22">
        <v>660</v>
      </c>
      <c r="F2002" s="16">
        <v>0.49</v>
      </c>
      <c r="G2002" t="s">
        <v>3056</v>
      </c>
      <c r="H2002" t="s">
        <v>144</v>
      </c>
      <c r="J2002" t="s">
        <v>27</v>
      </c>
      <c r="K2002" t="s">
        <v>205</v>
      </c>
      <c r="L2002">
        <v>1</v>
      </c>
    </row>
    <row r="2003" spans="1:12" ht="14.5" hidden="1" customHeight="1" x14ac:dyDescent="0.2">
      <c r="A2003">
        <f t="shared" si="31"/>
        <v>1997</v>
      </c>
      <c r="B2003">
        <v>2022</v>
      </c>
      <c r="C2003" t="s">
        <v>202</v>
      </c>
      <c r="D2003" t="s">
        <v>189</v>
      </c>
      <c r="E2003" s="22">
        <v>160</v>
      </c>
      <c r="G2003" t="s">
        <v>993</v>
      </c>
      <c r="H2003" t="s">
        <v>144</v>
      </c>
      <c r="J2003" t="s">
        <v>105</v>
      </c>
      <c r="K2003" t="s">
        <v>214</v>
      </c>
      <c r="L2003">
        <v>1</v>
      </c>
    </row>
    <row r="2004" spans="1:12" ht="14.5" hidden="1" customHeight="1" x14ac:dyDescent="0.2">
      <c r="A2004">
        <f t="shared" si="31"/>
        <v>1998</v>
      </c>
      <c r="B2004">
        <v>2022</v>
      </c>
      <c r="C2004" t="s">
        <v>202</v>
      </c>
      <c r="D2004" t="s">
        <v>397</v>
      </c>
      <c r="E2004" s="22">
        <v>140</v>
      </c>
      <c r="H2004" t="s">
        <v>151</v>
      </c>
      <c r="I2004" t="s">
        <v>279</v>
      </c>
      <c r="J2004" t="s">
        <v>113</v>
      </c>
      <c r="K2004" t="s">
        <v>183</v>
      </c>
      <c r="L2004">
        <v>1</v>
      </c>
    </row>
    <row r="2005" spans="1:12" ht="14.5" hidden="1" customHeight="1" x14ac:dyDescent="0.2">
      <c r="A2005">
        <f t="shared" si="31"/>
        <v>1999</v>
      </c>
      <c r="B2005">
        <v>2022</v>
      </c>
      <c r="C2005" t="s">
        <v>202</v>
      </c>
      <c r="D2005" t="s">
        <v>557</v>
      </c>
      <c r="E2005" s="22">
        <v>100</v>
      </c>
      <c r="H2005" t="s">
        <v>144</v>
      </c>
      <c r="I2005" t="s">
        <v>232</v>
      </c>
      <c r="J2005" t="s">
        <v>98</v>
      </c>
      <c r="K2005" t="s">
        <v>195</v>
      </c>
      <c r="L2005">
        <v>1</v>
      </c>
    </row>
    <row r="2006" spans="1:12" ht="14.5" hidden="1" customHeight="1" x14ac:dyDescent="0.2">
      <c r="A2006">
        <f t="shared" si="31"/>
        <v>2000</v>
      </c>
      <c r="B2006">
        <v>2022</v>
      </c>
      <c r="C2006" t="s">
        <v>202</v>
      </c>
      <c r="D2006" t="s">
        <v>341</v>
      </c>
      <c r="E2006" s="22">
        <v>370</v>
      </c>
      <c r="H2006" t="s">
        <v>154</v>
      </c>
      <c r="I2006" t="s">
        <v>250</v>
      </c>
      <c r="J2006" t="s">
        <v>3057</v>
      </c>
      <c r="K2006" t="s">
        <v>177</v>
      </c>
      <c r="L2006">
        <v>1</v>
      </c>
    </row>
    <row r="2007" spans="1:12" ht="14.5" hidden="1" customHeight="1" x14ac:dyDescent="0.2">
      <c r="A2007">
        <f t="shared" si="31"/>
        <v>2001</v>
      </c>
      <c r="B2007">
        <v>2022</v>
      </c>
      <c r="C2007" t="s">
        <v>202</v>
      </c>
      <c r="D2007" t="s">
        <v>1035</v>
      </c>
      <c r="E2007" s="22">
        <v>120</v>
      </c>
      <c r="H2007" t="s">
        <v>154</v>
      </c>
      <c r="I2007" t="s">
        <v>194</v>
      </c>
      <c r="J2007" t="s">
        <v>98</v>
      </c>
      <c r="K2007" t="s">
        <v>195</v>
      </c>
      <c r="L2007">
        <v>1</v>
      </c>
    </row>
    <row r="2008" spans="1:12" ht="14.5" hidden="1" customHeight="1" x14ac:dyDescent="0.2">
      <c r="A2008">
        <f t="shared" si="31"/>
        <v>2002</v>
      </c>
      <c r="B2008">
        <v>2022</v>
      </c>
      <c r="C2008" t="s">
        <v>207</v>
      </c>
      <c r="D2008" t="s">
        <v>199</v>
      </c>
      <c r="E2008" s="22">
        <v>190</v>
      </c>
      <c r="H2008" t="s">
        <v>144</v>
      </c>
      <c r="I2008" t="s">
        <v>187</v>
      </c>
      <c r="J2008" t="s">
        <v>55</v>
      </c>
      <c r="K2008" t="s">
        <v>214</v>
      </c>
      <c r="L2008">
        <v>1</v>
      </c>
    </row>
    <row r="2009" spans="1:12" ht="14.5" hidden="1" customHeight="1" x14ac:dyDescent="0.2">
      <c r="A2009">
        <f t="shared" si="31"/>
        <v>2003</v>
      </c>
      <c r="B2009">
        <v>2022</v>
      </c>
      <c r="C2009" t="s">
        <v>207</v>
      </c>
      <c r="D2009" t="s">
        <v>449</v>
      </c>
      <c r="E2009" s="22">
        <v>250</v>
      </c>
      <c r="H2009" t="s">
        <v>155</v>
      </c>
      <c r="J2009" t="s">
        <v>100</v>
      </c>
      <c r="K2009" t="s">
        <v>214</v>
      </c>
      <c r="L2009">
        <v>1</v>
      </c>
    </row>
    <row r="2010" spans="1:12" ht="14.5" hidden="1" customHeight="1" x14ac:dyDescent="0.2">
      <c r="A2010">
        <f t="shared" si="31"/>
        <v>2004</v>
      </c>
      <c r="B2010">
        <v>2022</v>
      </c>
      <c r="C2010" t="s">
        <v>207</v>
      </c>
      <c r="D2010" t="s">
        <v>479</v>
      </c>
      <c r="E2010" s="22">
        <v>310</v>
      </c>
      <c r="G2010" t="s">
        <v>3058</v>
      </c>
      <c r="H2010" t="s">
        <v>151</v>
      </c>
      <c r="I2010" t="s">
        <v>279</v>
      </c>
      <c r="J2010" t="s">
        <v>9</v>
      </c>
      <c r="K2010" t="s">
        <v>9</v>
      </c>
      <c r="L2010">
        <v>0</v>
      </c>
    </row>
    <row r="2011" spans="1:12" ht="14.5" hidden="1" customHeight="1" x14ac:dyDescent="0.2">
      <c r="A2011">
        <f t="shared" si="31"/>
        <v>2005</v>
      </c>
      <c r="B2011">
        <v>2022</v>
      </c>
      <c r="C2011" t="s">
        <v>207</v>
      </c>
      <c r="D2011" t="s">
        <v>2982</v>
      </c>
      <c r="E2011" s="22">
        <v>380</v>
      </c>
      <c r="G2011" t="s">
        <v>1960</v>
      </c>
      <c r="H2011" t="s">
        <v>154</v>
      </c>
      <c r="I2011" t="s">
        <v>529</v>
      </c>
      <c r="J2011" t="s">
        <v>28</v>
      </c>
      <c r="K2011" t="s">
        <v>205</v>
      </c>
      <c r="L2011">
        <v>0</v>
      </c>
    </row>
    <row r="2012" spans="1:12" ht="14.5" hidden="1" customHeight="1" x14ac:dyDescent="0.2">
      <c r="A2012">
        <f t="shared" si="31"/>
        <v>2006</v>
      </c>
      <c r="B2012">
        <v>2022</v>
      </c>
      <c r="C2012" t="s">
        <v>207</v>
      </c>
      <c r="D2012" t="s">
        <v>479</v>
      </c>
      <c r="E2012" s="22">
        <v>270</v>
      </c>
      <c r="G2012" t="s">
        <v>3059</v>
      </c>
      <c r="H2012" t="s">
        <v>154</v>
      </c>
      <c r="I2012" t="s">
        <v>271</v>
      </c>
      <c r="J2012" t="s">
        <v>24</v>
      </c>
      <c r="K2012" t="s">
        <v>219</v>
      </c>
      <c r="L2012">
        <v>1</v>
      </c>
    </row>
    <row r="2013" spans="1:12" ht="14.5" hidden="1" customHeight="1" x14ac:dyDescent="0.2">
      <c r="A2013">
        <f t="shared" si="31"/>
        <v>2007</v>
      </c>
      <c r="B2013">
        <v>2022</v>
      </c>
      <c r="C2013" t="s">
        <v>207</v>
      </c>
      <c r="D2013" t="s">
        <v>199</v>
      </c>
      <c r="E2013" s="22">
        <v>360</v>
      </c>
      <c r="H2013" t="s">
        <v>144</v>
      </c>
      <c r="I2013" t="s">
        <v>187</v>
      </c>
      <c r="J2013" t="s">
        <v>65</v>
      </c>
      <c r="K2013" t="s">
        <v>214</v>
      </c>
      <c r="L2013">
        <v>1</v>
      </c>
    </row>
    <row r="2014" spans="1:12" ht="14.5" hidden="1" customHeight="1" x14ac:dyDescent="0.2">
      <c r="A2014">
        <f t="shared" si="31"/>
        <v>2008</v>
      </c>
      <c r="B2014">
        <v>2022</v>
      </c>
      <c r="C2014" t="s">
        <v>207</v>
      </c>
      <c r="D2014" t="s">
        <v>397</v>
      </c>
      <c r="E2014" s="22">
        <v>380</v>
      </c>
      <c r="G2014" t="s">
        <v>3060</v>
      </c>
      <c r="H2014" t="s">
        <v>154</v>
      </c>
      <c r="I2014" t="s">
        <v>529</v>
      </c>
      <c r="J2014" t="s">
        <v>105</v>
      </c>
      <c r="K2014" t="s">
        <v>214</v>
      </c>
      <c r="L2014">
        <v>1</v>
      </c>
    </row>
    <row r="2015" spans="1:12" ht="14.5" hidden="1" customHeight="1" x14ac:dyDescent="0.2">
      <c r="A2015">
        <f t="shared" si="31"/>
        <v>2009</v>
      </c>
      <c r="B2015">
        <v>2022</v>
      </c>
      <c r="C2015" t="s">
        <v>207</v>
      </c>
      <c r="D2015" t="s">
        <v>208</v>
      </c>
      <c r="E2015" s="22">
        <v>1100</v>
      </c>
      <c r="G2015" t="s">
        <v>2702</v>
      </c>
      <c r="H2015" t="s">
        <v>149</v>
      </c>
      <c r="I2015" t="s">
        <v>182</v>
      </c>
      <c r="J2015" t="s">
        <v>5</v>
      </c>
      <c r="K2015" t="s">
        <v>214</v>
      </c>
      <c r="L2015">
        <v>1</v>
      </c>
    </row>
    <row r="2016" spans="1:12" ht="14.5" hidden="1" customHeight="1" x14ac:dyDescent="0.2">
      <c r="A2016">
        <f t="shared" si="31"/>
        <v>2010</v>
      </c>
      <c r="B2016">
        <v>2022</v>
      </c>
      <c r="C2016" t="s">
        <v>207</v>
      </c>
      <c r="D2016" t="s">
        <v>341</v>
      </c>
      <c r="E2016" s="22">
        <v>190</v>
      </c>
      <c r="H2016" t="s">
        <v>154</v>
      </c>
      <c r="I2016" t="s">
        <v>194</v>
      </c>
      <c r="J2016" t="s">
        <v>72</v>
      </c>
      <c r="K2016" t="s">
        <v>183</v>
      </c>
      <c r="L2016">
        <v>1</v>
      </c>
    </row>
    <row r="2017" spans="1:12" ht="14.5" hidden="1" customHeight="1" x14ac:dyDescent="0.2">
      <c r="A2017">
        <f t="shared" si="31"/>
        <v>2011</v>
      </c>
      <c r="B2017">
        <v>2022</v>
      </c>
      <c r="C2017" t="s">
        <v>240</v>
      </c>
      <c r="D2017" t="s">
        <v>1035</v>
      </c>
      <c r="E2017" s="22">
        <v>140</v>
      </c>
      <c r="H2017" t="s">
        <v>144</v>
      </c>
      <c r="I2017" t="s">
        <v>197</v>
      </c>
      <c r="J2017" t="s">
        <v>123</v>
      </c>
      <c r="K2017" t="s">
        <v>219</v>
      </c>
      <c r="L2017">
        <v>1</v>
      </c>
    </row>
    <row r="2018" spans="1:12" s="17" customFormat="1" ht="14.5" hidden="1" customHeight="1" x14ac:dyDescent="0.2">
      <c r="A2018">
        <f t="shared" si="31"/>
        <v>2012</v>
      </c>
      <c r="B2018">
        <v>2022</v>
      </c>
      <c r="C2018" t="s">
        <v>240</v>
      </c>
      <c r="D2018" t="s">
        <v>557</v>
      </c>
      <c r="E2018" s="22">
        <v>300</v>
      </c>
      <c r="F2018" s="16"/>
      <c r="G2018" t="s">
        <v>3061</v>
      </c>
      <c r="H2018" t="s">
        <v>151</v>
      </c>
      <c r="I2018" t="s">
        <v>279</v>
      </c>
      <c r="J2018" t="s">
        <v>64</v>
      </c>
      <c r="K2018" t="s">
        <v>219</v>
      </c>
      <c r="L2018">
        <v>1</v>
      </c>
    </row>
    <row r="2019" spans="1:12" s="17" customFormat="1" ht="14.5" hidden="1" customHeight="1" x14ac:dyDescent="0.2">
      <c r="A2019">
        <f t="shared" si="31"/>
        <v>2013</v>
      </c>
      <c r="B2019">
        <v>2022</v>
      </c>
      <c r="C2019" t="s">
        <v>240</v>
      </c>
      <c r="D2019" t="s">
        <v>557</v>
      </c>
      <c r="E2019" s="22">
        <v>220</v>
      </c>
      <c r="F2019" s="16"/>
      <c r="G2019" t="s">
        <v>3062</v>
      </c>
      <c r="H2019" t="s">
        <v>151</v>
      </c>
      <c r="I2019" t="s">
        <v>279</v>
      </c>
      <c r="J2019" t="s">
        <v>105</v>
      </c>
      <c r="K2019" t="s">
        <v>214</v>
      </c>
      <c r="L2019">
        <v>1</v>
      </c>
    </row>
    <row r="2020" spans="1:12" s="17" customFormat="1" ht="14.5" hidden="1" customHeight="1" x14ac:dyDescent="0.2">
      <c r="A2020">
        <f t="shared" si="31"/>
        <v>2014</v>
      </c>
      <c r="B2020">
        <v>2022</v>
      </c>
      <c r="C2020" t="s">
        <v>240</v>
      </c>
      <c r="D2020" t="s">
        <v>189</v>
      </c>
      <c r="E2020" s="22">
        <v>860</v>
      </c>
      <c r="F2020" s="16"/>
      <c r="H2020" t="s">
        <v>144</v>
      </c>
      <c r="I2020" t="s">
        <v>187</v>
      </c>
      <c r="J2020" t="s">
        <v>65</v>
      </c>
      <c r="K2020" t="s">
        <v>214</v>
      </c>
      <c r="L2020">
        <v>1</v>
      </c>
    </row>
    <row r="2021" spans="1:12" ht="14.5" hidden="1" customHeight="1" x14ac:dyDescent="0.2">
      <c r="A2021">
        <f t="shared" si="31"/>
        <v>2015</v>
      </c>
      <c r="B2021">
        <v>2022</v>
      </c>
      <c r="C2021" t="s">
        <v>240</v>
      </c>
      <c r="D2021" t="s">
        <v>341</v>
      </c>
      <c r="E2021" s="22">
        <v>100</v>
      </c>
      <c r="G2021" t="s">
        <v>3063</v>
      </c>
      <c r="H2021" t="s">
        <v>146</v>
      </c>
      <c r="J2021" t="s">
        <v>102</v>
      </c>
      <c r="K2021" t="s">
        <v>219</v>
      </c>
      <c r="L2021">
        <v>1</v>
      </c>
    </row>
    <row r="2022" spans="1:12" ht="14.5" hidden="1" customHeight="1" x14ac:dyDescent="0.2">
      <c r="A2022">
        <f t="shared" si="31"/>
        <v>2016</v>
      </c>
      <c r="B2022">
        <v>2022</v>
      </c>
      <c r="C2022" t="s">
        <v>240</v>
      </c>
      <c r="D2022" t="s">
        <v>745</v>
      </c>
      <c r="E2022" s="22">
        <v>130</v>
      </c>
      <c r="G2022" t="s">
        <v>3064</v>
      </c>
      <c r="H2022" t="s">
        <v>144</v>
      </c>
      <c r="I2022" t="s">
        <v>299</v>
      </c>
      <c r="J2022" t="s">
        <v>100</v>
      </c>
      <c r="K2022" t="s">
        <v>214</v>
      </c>
      <c r="L2022">
        <v>1</v>
      </c>
    </row>
    <row r="2023" spans="1:12" ht="14.5" hidden="1" customHeight="1" x14ac:dyDescent="0.2">
      <c r="A2023">
        <f t="shared" si="31"/>
        <v>2017</v>
      </c>
      <c r="B2023">
        <v>2022</v>
      </c>
      <c r="C2023" t="s">
        <v>240</v>
      </c>
      <c r="D2023" t="s">
        <v>479</v>
      </c>
      <c r="E2023" s="22">
        <v>490</v>
      </c>
      <c r="G2023" t="s">
        <v>3065</v>
      </c>
      <c r="H2023" t="s">
        <v>154</v>
      </c>
      <c r="I2023" t="s">
        <v>529</v>
      </c>
      <c r="J2023" t="s">
        <v>9</v>
      </c>
      <c r="K2023" t="s">
        <v>9</v>
      </c>
      <c r="L2023">
        <v>0</v>
      </c>
    </row>
    <row r="2024" spans="1:12" ht="14.5" hidden="1" customHeight="1" x14ac:dyDescent="0.2">
      <c r="A2024">
        <f t="shared" si="31"/>
        <v>2018</v>
      </c>
      <c r="B2024">
        <v>2022</v>
      </c>
      <c r="C2024" t="s">
        <v>240</v>
      </c>
      <c r="D2024" t="s">
        <v>397</v>
      </c>
      <c r="E2024" s="22">
        <v>610</v>
      </c>
      <c r="G2024" t="s">
        <v>3066</v>
      </c>
      <c r="H2024" t="s">
        <v>151</v>
      </c>
      <c r="I2024" t="s">
        <v>279</v>
      </c>
      <c r="J2024" t="s">
        <v>130</v>
      </c>
      <c r="K2024" t="s">
        <v>214</v>
      </c>
      <c r="L2024">
        <v>1</v>
      </c>
    </row>
    <row r="2025" spans="1:12" ht="14.5" hidden="1" customHeight="1" x14ac:dyDescent="0.2">
      <c r="A2025">
        <f t="shared" si="31"/>
        <v>2019</v>
      </c>
      <c r="B2025" s="17">
        <v>2022</v>
      </c>
      <c r="C2025" s="17" t="s">
        <v>240</v>
      </c>
      <c r="D2025" s="17" t="s">
        <v>313</v>
      </c>
      <c r="E2025" s="24">
        <v>130</v>
      </c>
      <c r="F2025" s="18"/>
      <c r="G2025" s="17" t="s">
        <v>3067</v>
      </c>
      <c r="H2025" s="17" t="s">
        <v>149</v>
      </c>
      <c r="I2025" s="17"/>
      <c r="J2025" s="17" t="s">
        <v>53</v>
      </c>
      <c r="K2025" s="17" t="s">
        <v>183</v>
      </c>
      <c r="L2025" s="17">
        <v>1</v>
      </c>
    </row>
    <row r="2026" spans="1:12" ht="14.5" hidden="1" customHeight="1" x14ac:dyDescent="0.2">
      <c r="A2026">
        <f t="shared" si="31"/>
        <v>2020</v>
      </c>
      <c r="B2026" s="17">
        <v>2022</v>
      </c>
      <c r="C2026" s="17" t="s">
        <v>240</v>
      </c>
      <c r="D2026" s="17" t="s">
        <v>875</v>
      </c>
      <c r="E2026" s="24">
        <v>880</v>
      </c>
      <c r="F2026" s="18"/>
      <c r="G2026" s="17" t="s">
        <v>1247</v>
      </c>
      <c r="H2026" s="17" t="s">
        <v>144</v>
      </c>
      <c r="I2026" s="17" t="s">
        <v>232</v>
      </c>
      <c r="J2026" s="17" t="s">
        <v>105</v>
      </c>
      <c r="K2026" s="17" t="s">
        <v>214</v>
      </c>
      <c r="L2026" s="17">
        <v>1</v>
      </c>
    </row>
    <row r="2027" spans="1:12" ht="14.5" hidden="1" customHeight="1" x14ac:dyDescent="0.2">
      <c r="A2027">
        <f t="shared" si="31"/>
        <v>2021</v>
      </c>
      <c r="B2027" s="17">
        <v>2022</v>
      </c>
      <c r="C2027" s="17" t="s">
        <v>240</v>
      </c>
      <c r="D2027" s="17" t="s">
        <v>199</v>
      </c>
      <c r="E2027" s="24">
        <v>670</v>
      </c>
      <c r="F2027" s="18"/>
      <c r="G2027" s="17"/>
      <c r="H2027" s="17" t="s">
        <v>144</v>
      </c>
      <c r="I2027" s="17" t="s">
        <v>187</v>
      </c>
      <c r="J2027" s="17" t="s">
        <v>55</v>
      </c>
      <c r="K2027" s="17" t="s">
        <v>214</v>
      </c>
      <c r="L2027" s="17">
        <v>1</v>
      </c>
    </row>
    <row r="2028" spans="1:12" ht="14.5" hidden="1" customHeight="1" x14ac:dyDescent="0.2">
      <c r="A2028">
        <f t="shared" si="31"/>
        <v>2022</v>
      </c>
      <c r="B2028">
        <v>2022</v>
      </c>
      <c r="C2028" t="s">
        <v>212</v>
      </c>
      <c r="D2028" t="s">
        <v>3068</v>
      </c>
      <c r="E2028" s="22">
        <v>140</v>
      </c>
      <c r="H2028" t="s">
        <v>143</v>
      </c>
      <c r="J2028" t="s">
        <v>63</v>
      </c>
      <c r="K2028" t="s">
        <v>201</v>
      </c>
      <c r="L2028">
        <v>1</v>
      </c>
    </row>
    <row r="2029" spans="1:12" ht="14.5" hidden="1" customHeight="1" x14ac:dyDescent="0.2">
      <c r="A2029">
        <f t="shared" si="31"/>
        <v>2023</v>
      </c>
      <c r="B2029">
        <v>2022</v>
      </c>
      <c r="C2029" t="s">
        <v>212</v>
      </c>
      <c r="D2029" t="s">
        <v>479</v>
      </c>
      <c r="E2029" s="22">
        <v>360</v>
      </c>
      <c r="H2029" t="s">
        <v>147</v>
      </c>
      <c r="J2029" t="s">
        <v>9</v>
      </c>
      <c r="K2029" t="s">
        <v>9</v>
      </c>
      <c r="L2029">
        <v>0</v>
      </c>
    </row>
    <row r="2030" spans="1:12" ht="14.5" hidden="1" customHeight="1" x14ac:dyDescent="0.2">
      <c r="A2030">
        <f t="shared" si="31"/>
        <v>2024</v>
      </c>
      <c r="B2030">
        <v>2022</v>
      </c>
      <c r="C2030" t="s">
        <v>212</v>
      </c>
      <c r="D2030" t="s">
        <v>1035</v>
      </c>
      <c r="E2030" s="22">
        <v>1910</v>
      </c>
      <c r="H2030" t="s">
        <v>144</v>
      </c>
      <c r="I2030" t="s">
        <v>299</v>
      </c>
      <c r="J2030" t="s">
        <v>8</v>
      </c>
      <c r="K2030" t="s">
        <v>205</v>
      </c>
      <c r="L2030">
        <v>1</v>
      </c>
    </row>
    <row r="2031" spans="1:12" ht="14.5" hidden="1" customHeight="1" x14ac:dyDescent="0.2">
      <c r="A2031">
        <f t="shared" si="31"/>
        <v>2025</v>
      </c>
      <c r="B2031">
        <v>2022</v>
      </c>
      <c r="C2031" t="s">
        <v>212</v>
      </c>
      <c r="D2031" t="s">
        <v>397</v>
      </c>
      <c r="E2031" s="22">
        <v>120</v>
      </c>
      <c r="H2031" t="s">
        <v>154</v>
      </c>
      <c r="I2031" t="s">
        <v>194</v>
      </c>
      <c r="J2031" t="s">
        <v>17</v>
      </c>
      <c r="K2031" t="s">
        <v>195</v>
      </c>
      <c r="L2031">
        <v>1</v>
      </c>
    </row>
    <row r="2032" spans="1:12" ht="14.5" hidden="1" customHeight="1" x14ac:dyDescent="0.2">
      <c r="A2032">
        <f t="shared" si="31"/>
        <v>2026</v>
      </c>
      <c r="B2032">
        <v>2022</v>
      </c>
      <c r="C2032" t="s">
        <v>212</v>
      </c>
      <c r="D2032" t="s">
        <v>2434</v>
      </c>
      <c r="E2032" s="22">
        <v>280</v>
      </c>
      <c r="G2032" t="s">
        <v>3069</v>
      </c>
      <c r="H2032" t="s">
        <v>154</v>
      </c>
      <c r="I2032" t="s">
        <v>529</v>
      </c>
      <c r="J2032" t="s">
        <v>108</v>
      </c>
      <c r="K2032" t="s">
        <v>183</v>
      </c>
      <c r="L2032">
        <v>1</v>
      </c>
    </row>
    <row r="2033" spans="1:12" ht="14.5" hidden="1" customHeight="1" x14ac:dyDescent="0.2">
      <c r="A2033">
        <f t="shared" si="31"/>
        <v>2027</v>
      </c>
      <c r="B2033">
        <v>2022</v>
      </c>
      <c r="C2033" t="s">
        <v>212</v>
      </c>
      <c r="D2033" t="s">
        <v>479</v>
      </c>
      <c r="E2033" s="22">
        <v>430</v>
      </c>
      <c r="H2033" t="s">
        <v>155</v>
      </c>
      <c r="J2033" t="s">
        <v>105</v>
      </c>
      <c r="K2033" t="s">
        <v>214</v>
      </c>
      <c r="L2033">
        <v>1</v>
      </c>
    </row>
    <row r="2034" spans="1:12" ht="14.5" hidden="1" customHeight="1" x14ac:dyDescent="0.2">
      <c r="A2034">
        <f t="shared" si="31"/>
        <v>2028</v>
      </c>
      <c r="B2034">
        <v>2022</v>
      </c>
      <c r="C2034" t="s">
        <v>212</v>
      </c>
      <c r="D2034" t="s">
        <v>479</v>
      </c>
      <c r="E2034" s="22">
        <v>140</v>
      </c>
      <c r="H2034" t="s">
        <v>154</v>
      </c>
      <c r="I2034" t="s">
        <v>271</v>
      </c>
      <c r="J2034" t="s">
        <v>46</v>
      </c>
      <c r="K2034" t="s">
        <v>219</v>
      </c>
      <c r="L2034">
        <v>1</v>
      </c>
    </row>
    <row r="2035" spans="1:12" ht="14.5" hidden="1" customHeight="1" x14ac:dyDescent="0.2">
      <c r="A2035">
        <f t="shared" si="31"/>
        <v>2029</v>
      </c>
      <c r="B2035">
        <v>2022</v>
      </c>
      <c r="C2035" t="s">
        <v>212</v>
      </c>
      <c r="D2035" t="s">
        <v>479</v>
      </c>
      <c r="E2035" s="22">
        <v>100</v>
      </c>
      <c r="H2035" t="s">
        <v>144</v>
      </c>
      <c r="J2035" t="s">
        <v>46</v>
      </c>
      <c r="K2035" t="s">
        <v>219</v>
      </c>
      <c r="L2035">
        <v>1</v>
      </c>
    </row>
    <row r="2036" spans="1:12" ht="14.5" hidden="1" customHeight="1" x14ac:dyDescent="0.2">
      <c r="A2036">
        <f t="shared" si="31"/>
        <v>2030</v>
      </c>
      <c r="B2036">
        <v>2022</v>
      </c>
      <c r="C2036" t="s">
        <v>212</v>
      </c>
      <c r="D2036" t="s">
        <v>479</v>
      </c>
      <c r="E2036" s="22">
        <v>110</v>
      </c>
      <c r="H2036" t="s">
        <v>151</v>
      </c>
      <c r="I2036" t="s">
        <v>279</v>
      </c>
      <c r="J2036" t="s">
        <v>108</v>
      </c>
      <c r="K2036" t="s">
        <v>183</v>
      </c>
      <c r="L2036">
        <v>1</v>
      </c>
    </row>
    <row r="2037" spans="1:12" ht="14.5" hidden="1" customHeight="1" x14ac:dyDescent="0.2">
      <c r="A2037">
        <f t="shared" si="31"/>
        <v>2031</v>
      </c>
      <c r="B2037">
        <v>2022</v>
      </c>
      <c r="C2037" t="s">
        <v>212</v>
      </c>
      <c r="D2037" t="s">
        <v>745</v>
      </c>
      <c r="E2037" s="22">
        <v>460</v>
      </c>
      <c r="G2037" t="s">
        <v>3070</v>
      </c>
      <c r="H2037" t="s">
        <v>142</v>
      </c>
      <c r="J2037" t="s">
        <v>138</v>
      </c>
      <c r="K2037" t="s">
        <v>219</v>
      </c>
      <c r="L2037">
        <v>1</v>
      </c>
    </row>
    <row r="2038" spans="1:12" ht="14.5" hidden="1" customHeight="1" x14ac:dyDescent="0.2">
      <c r="A2038">
        <f t="shared" si="31"/>
        <v>2032</v>
      </c>
      <c r="B2038">
        <v>2022</v>
      </c>
      <c r="C2038" t="s">
        <v>212</v>
      </c>
      <c r="D2038" t="s">
        <v>1234</v>
      </c>
      <c r="E2038" s="22">
        <v>130</v>
      </c>
      <c r="H2038" t="s">
        <v>155</v>
      </c>
      <c r="J2038" t="s">
        <v>13</v>
      </c>
      <c r="K2038" t="s">
        <v>201</v>
      </c>
      <c r="L2038">
        <v>1</v>
      </c>
    </row>
    <row r="2039" spans="1:12" ht="14.5" hidden="1" customHeight="1" x14ac:dyDescent="0.2">
      <c r="A2039">
        <f t="shared" si="31"/>
        <v>2033</v>
      </c>
      <c r="B2039">
        <v>2022</v>
      </c>
      <c r="C2039" t="s">
        <v>212</v>
      </c>
      <c r="D2039" t="s">
        <v>1035</v>
      </c>
      <c r="E2039" s="22">
        <v>110</v>
      </c>
      <c r="H2039" t="s">
        <v>142</v>
      </c>
      <c r="J2039" t="s">
        <v>96</v>
      </c>
      <c r="K2039" t="s">
        <v>205</v>
      </c>
      <c r="L2039">
        <v>1</v>
      </c>
    </row>
    <row r="2040" spans="1:12" ht="14.5" hidden="1" customHeight="1" x14ac:dyDescent="0.2">
      <c r="A2040">
        <f t="shared" si="31"/>
        <v>2034</v>
      </c>
      <c r="B2040">
        <v>2022</v>
      </c>
      <c r="C2040" t="s">
        <v>212</v>
      </c>
      <c r="D2040" t="s">
        <v>175</v>
      </c>
      <c r="E2040" s="22">
        <v>310</v>
      </c>
      <c r="H2040" t="s">
        <v>149</v>
      </c>
      <c r="I2040" t="s">
        <v>182</v>
      </c>
      <c r="J2040" t="s">
        <v>72</v>
      </c>
      <c r="K2040" t="s">
        <v>183</v>
      </c>
      <c r="L2040">
        <v>1</v>
      </c>
    </row>
    <row r="2041" spans="1:12" ht="14.5" hidden="1" customHeight="1" x14ac:dyDescent="0.2">
      <c r="A2041">
        <f t="shared" si="31"/>
        <v>2035</v>
      </c>
      <c r="B2041">
        <v>2023</v>
      </c>
      <c r="C2041" t="s">
        <v>172</v>
      </c>
      <c r="D2041" t="s">
        <v>1093</v>
      </c>
      <c r="E2041" s="22">
        <v>110</v>
      </c>
      <c r="H2041" t="s">
        <v>154</v>
      </c>
      <c r="I2041" t="s">
        <v>194</v>
      </c>
      <c r="J2041" t="s">
        <v>23</v>
      </c>
      <c r="K2041" t="s">
        <v>183</v>
      </c>
      <c r="L2041">
        <v>1</v>
      </c>
    </row>
    <row r="2042" spans="1:12" ht="14.5" hidden="1" customHeight="1" x14ac:dyDescent="0.2">
      <c r="A2042">
        <f t="shared" si="31"/>
        <v>2036</v>
      </c>
      <c r="B2042">
        <v>2023</v>
      </c>
      <c r="C2042" t="s">
        <v>172</v>
      </c>
      <c r="D2042" t="s">
        <v>3071</v>
      </c>
      <c r="E2042" s="22">
        <v>500</v>
      </c>
      <c r="G2042" t="s">
        <v>3072</v>
      </c>
      <c r="H2042" t="s">
        <v>144</v>
      </c>
      <c r="I2042" t="s">
        <v>299</v>
      </c>
      <c r="J2042" t="s">
        <v>28</v>
      </c>
      <c r="K2042" t="s">
        <v>205</v>
      </c>
      <c r="L2042">
        <v>0</v>
      </c>
    </row>
    <row r="2043" spans="1:12" ht="14.5" hidden="1" customHeight="1" x14ac:dyDescent="0.2">
      <c r="A2043">
        <f t="shared" si="31"/>
        <v>2037</v>
      </c>
      <c r="B2043">
        <v>2023</v>
      </c>
      <c r="C2043" t="s">
        <v>172</v>
      </c>
      <c r="D2043" t="s">
        <v>189</v>
      </c>
      <c r="E2043" s="22">
        <v>1000</v>
      </c>
      <c r="G2043" t="s">
        <v>3073</v>
      </c>
      <c r="H2043" t="s">
        <v>144</v>
      </c>
      <c r="I2043" t="s">
        <v>187</v>
      </c>
      <c r="J2043" t="s">
        <v>62</v>
      </c>
      <c r="K2043" t="s">
        <v>214</v>
      </c>
      <c r="L2043">
        <v>1</v>
      </c>
    </row>
    <row r="2044" spans="1:12" ht="14.5" hidden="1" customHeight="1" x14ac:dyDescent="0.2">
      <c r="A2044">
        <f t="shared" si="31"/>
        <v>2038</v>
      </c>
      <c r="B2044">
        <v>2023</v>
      </c>
      <c r="C2044" t="s">
        <v>172</v>
      </c>
      <c r="D2044" t="s">
        <v>479</v>
      </c>
      <c r="E2044" s="22">
        <v>140</v>
      </c>
      <c r="H2044" t="s">
        <v>154</v>
      </c>
      <c r="I2044" t="s">
        <v>194</v>
      </c>
      <c r="J2044" t="s">
        <v>84</v>
      </c>
      <c r="K2044" t="s">
        <v>201</v>
      </c>
      <c r="L2044">
        <v>1</v>
      </c>
    </row>
    <row r="2045" spans="1:12" ht="14.5" hidden="1" customHeight="1" x14ac:dyDescent="0.2">
      <c r="A2045">
        <f t="shared" si="31"/>
        <v>2039</v>
      </c>
      <c r="B2045">
        <v>2023</v>
      </c>
      <c r="C2045" t="s">
        <v>172</v>
      </c>
      <c r="D2045" t="s">
        <v>397</v>
      </c>
      <c r="E2045" s="22">
        <v>360</v>
      </c>
      <c r="H2045" t="s">
        <v>151</v>
      </c>
      <c r="I2045" t="s">
        <v>279</v>
      </c>
      <c r="J2045" t="s">
        <v>108</v>
      </c>
      <c r="K2045" t="s">
        <v>183</v>
      </c>
      <c r="L2045">
        <v>1</v>
      </c>
    </row>
    <row r="2046" spans="1:12" ht="14.5" hidden="1" customHeight="1" x14ac:dyDescent="0.2">
      <c r="A2046">
        <f t="shared" si="31"/>
        <v>2040</v>
      </c>
      <c r="B2046">
        <v>2023</v>
      </c>
      <c r="C2046" t="s">
        <v>172</v>
      </c>
      <c r="D2046" t="s">
        <v>449</v>
      </c>
      <c r="E2046" s="22">
        <v>2210</v>
      </c>
      <c r="H2046" t="s">
        <v>154</v>
      </c>
      <c r="I2046" t="s">
        <v>529</v>
      </c>
      <c r="J2046" t="s">
        <v>123</v>
      </c>
      <c r="K2046" t="s">
        <v>219</v>
      </c>
      <c r="L2046">
        <v>1</v>
      </c>
    </row>
    <row r="2047" spans="1:12" ht="14.5" hidden="1" customHeight="1" x14ac:dyDescent="0.2">
      <c r="A2047">
        <f t="shared" si="31"/>
        <v>2041</v>
      </c>
      <c r="B2047">
        <v>2023</v>
      </c>
      <c r="C2047" t="s">
        <v>172</v>
      </c>
      <c r="D2047" t="s">
        <v>449</v>
      </c>
      <c r="E2047" s="22">
        <v>1590</v>
      </c>
      <c r="H2047" t="s">
        <v>154</v>
      </c>
      <c r="I2047" t="s">
        <v>529</v>
      </c>
      <c r="J2047" t="s">
        <v>28</v>
      </c>
      <c r="K2047" t="s">
        <v>205</v>
      </c>
      <c r="L2047">
        <v>0</v>
      </c>
    </row>
    <row r="2048" spans="1:12" ht="14.5" hidden="1" customHeight="1" x14ac:dyDescent="0.2">
      <c r="A2048">
        <f t="shared" si="31"/>
        <v>2042</v>
      </c>
      <c r="B2048">
        <v>2023</v>
      </c>
      <c r="C2048" t="s">
        <v>172</v>
      </c>
      <c r="D2048" t="s">
        <v>1035</v>
      </c>
      <c r="E2048" s="22">
        <v>350</v>
      </c>
      <c r="H2048" t="s">
        <v>155</v>
      </c>
      <c r="J2048" t="s">
        <v>105</v>
      </c>
      <c r="K2048" t="s">
        <v>214</v>
      </c>
      <c r="L2048">
        <v>1</v>
      </c>
    </row>
    <row r="2049" spans="1:12" ht="14.5" hidden="1" customHeight="1" x14ac:dyDescent="0.2">
      <c r="A2049">
        <f t="shared" si="31"/>
        <v>2043</v>
      </c>
      <c r="B2049">
        <v>2023</v>
      </c>
      <c r="C2049" t="s">
        <v>172</v>
      </c>
      <c r="D2049" t="s">
        <v>307</v>
      </c>
      <c r="E2049" s="22">
        <v>400</v>
      </c>
      <c r="H2049" t="s">
        <v>144</v>
      </c>
      <c r="J2049" t="s">
        <v>105</v>
      </c>
      <c r="K2049" t="s">
        <v>214</v>
      </c>
      <c r="L2049">
        <v>1</v>
      </c>
    </row>
    <row r="2050" spans="1:12" ht="14.5" hidden="1" customHeight="1" x14ac:dyDescent="0.2">
      <c r="A2050">
        <f t="shared" si="31"/>
        <v>2044</v>
      </c>
      <c r="B2050">
        <v>2023</v>
      </c>
      <c r="C2050" t="s">
        <v>172</v>
      </c>
      <c r="D2050" t="s">
        <v>479</v>
      </c>
      <c r="E2050" s="22">
        <v>190</v>
      </c>
      <c r="H2050" t="s">
        <v>154</v>
      </c>
      <c r="I2050" t="s">
        <v>194</v>
      </c>
      <c r="J2050" t="s">
        <v>23</v>
      </c>
      <c r="K2050" t="s">
        <v>183</v>
      </c>
      <c r="L2050">
        <v>1</v>
      </c>
    </row>
    <row r="2051" spans="1:12" ht="14.5" hidden="1" customHeight="1" x14ac:dyDescent="0.2">
      <c r="A2051">
        <f t="shared" si="31"/>
        <v>2045</v>
      </c>
      <c r="B2051">
        <v>2023</v>
      </c>
      <c r="C2051" t="s">
        <v>172</v>
      </c>
      <c r="D2051" t="s">
        <v>341</v>
      </c>
      <c r="E2051" s="22">
        <v>180</v>
      </c>
      <c r="H2051" t="s">
        <v>154</v>
      </c>
      <c r="I2051" t="s">
        <v>194</v>
      </c>
      <c r="J2051" t="s">
        <v>50</v>
      </c>
      <c r="K2051" t="s">
        <v>205</v>
      </c>
      <c r="L2051">
        <v>1</v>
      </c>
    </row>
    <row r="2052" spans="1:12" ht="14.5" hidden="1" customHeight="1" x14ac:dyDescent="0.2">
      <c r="A2052">
        <f t="shared" si="31"/>
        <v>2046</v>
      </c>
      <c r="B2052">
        <v>2023</v>
      </c>
      <c r="C2052" t="s">
        <v>172</v>
      </c>
      <c r="D2052" t="s">
        <v>449</v>
      </c>
      <c r="E2052" s="22">
        <v>440</v>
      </c>
      <c r="G2052" t="s">
        <v>3074</v>
      </c>
      <c r="H2052" t="s">
        <v>154</v>
      </c>
      <c r="I2052" t="s">
        <v>529</v>
      </c>
      <c r="J2052" t="s">
        <v>48</v>
      </c>
      <c r="K2052" t="s">
        <v>219</v>
      </c>
      <c r="L2052">
        <v>1</v>
      </c>
    </row>
    <row r="2053" spans="1:12" ht="14.5" hidden="1" customHeight="1" x14ac:dyDescent="0.2">
      <c r="A2053">
        <f t="shared" si="31"/>
        <v>2047</v>
      </c>
      <c r="B2053">
        <v>2023</v>
      </c>
      <c r="C2053" t="s">
        <v>258</v>
      </c>
      <c r="D2053" t="s">
        <v>2982</v>
      </c>
      <c r="E2053" s="22">
        <v>680</v>
      </c>
      <c r="G2053" t="s">
        <v>1960</v>
      </c>
      <c r="H2053" t="s">
        <v>154</v>
      </c>
      <c r="I2053" t="s">
        <v>529</v>
      </c>
      <c r="J2053" t="s">
        <v>77</v>
      </c>
      <c r="K2053" t="s">
        <v>177</v>
      </c>
      <c r="L2053">
        <v>0</v>
      </c>
    </row>
    <row r="2054" spans="1:12" ht="14.5" hidden="1" customHeight="1" x14ac:dyDescent="0.2">
      <c r="A2054">
        <f t="shared" si="31"/>
        <v>2048</v>
      </c>
      <c r="B2054">
        <v>2023</v>
      </c>
      <c r="C2054" t="s">
        <v>258</v>
      </c>
      <c r="D2054" t="s">
        <v>397</v>
      </c>
      <c r="E2054" s="22">
        <v>240</v>
      </c>
      <c r="G2054" t="s">
        <v>2776</v>
      </c>
      <c r="H2054" t="s">
        <v>151</v>
      </c>
      <c r="I2054" t="s">
        <v>279</v>
      </c>
      <c r="J2054" t="s">
        <v>130</v>
      </c>
      <c r="K2054" t="s">
        <v>214</v>
      </c>
      <c r="L2054">
        <v>1</v>
      </c>
    </row>
    <row r="2055" spans="1:12" ht="14.5" hidden="1" customHeight="1" x14ac:dyDescent="0.2">
      <c r="A2055">
        <f t="shared" ref="A2055:A2118" si="32">ROW()-6</f>
        <v>2049</v>
      </c>
      <c r="B2055">
        <v>2023</v>
      </c>
      <c r="C2055" t="s">
        <v>258</v>
      </c>
      <c r="D2055" t="s">
        <v>1035</v>
      </c>
      <c r="E2055" s="22">
        <v>250</v>
      </c>
      <c r="H2055" t="s">
        <v>152</v>
      </c>
      <c r="I2055" t="s">
        <v>257</v>
      </c>
      <c r="J2055" t="s">
        <v>6</v>
      </c>
      <c r="K2055" t="s">
        <v>219</v>
      </c>
      <c r="L2055">
        <v>1</v>
      </c>
    </row>
    <row r="2056" spans="1:12" ht="14.5" hidden="1" customHeight="1" x14ac:dyDescent="0.2">
      <c r="A2056">
        <f t="shared" si="32"/>
        <v>2050</v>
      </c>
      <c r="B2056">
        <v>2023</v>
      </c>
      <c r="C2056" t="s">
        <v>258</v>
      </c>
      <c r="D2056" t="s">
        <v>449</v>
      </c>
      <c r="E2056" s="22">
        <v>170</v>
      </c>
      <c r="H2056" t="s">
        <v>152</v>
      </c>
      <c r="I2056" t="s">
        <v>257</v>
      </c>
      <c r="J2056" t="s">
        <v>23</v>
      </c>
      <c r="K2056" t="s">
        <v>183</v>
      </c>
      <c r="L2056">
        <v>1</v>
      </c>
    </row>
    <row r="2057" spans="1:12" ht="14.5" hidden="1" customHeight="1" x14ac:dyDescent="0.2">
      <c r="A2057">
        <f t="shared" si="32"/>
        <v>2051</v>
      </c>
      <c r="B2057">
        <v>2023</v>
      </c>
      <c r="C2057" t="s">
        <v>258</v>
      </c>
      <c r="D2057" t="s">
        <v>175</v>
      </c>
      <c r="E2057" s="22">
        <v>170</v>
      </c>
      <c r="H2057" t="s">
        <v>153</v>
      </c>
      <c r="J2057" t="s">
        <v>23</v>
      </c>
      <c r="K2057" t="s">
        <v>183</v>
      </c>
      <c r="L2057">
        <v>1</v>
      </c>
    </row>
    <row r="2058" spans="1:12" ht="14.5" hidden="1" customHeight="1" x14ac:dyDescent="0.2">
      <c r="A2058">
        <f t="shared" si="32"/>
        <v>2052</v>
      </c>
      <c r="B2058">
        <v>2023</v>
      </c>
      <c r="C2058" t="s">
        <v>258</v>
      </c>
      <c r="D2058" t="s">
        <v>221</v>
      </c>
      <c r="E2058" s="22">
        <v>160</v>
      </c>
      <c r="H2058" t="s">
        <v>150</v>
      </c>
      <c r="I2058" t="s">
        <v>226</v>
      </c>
      <c r="J2058" t="s">
        <v>14</v>
      </c>
      <c r="K2058" t="s">
        <v>195</v>
      </c>
      <c r="L2058">
        <v>1</v>
      </c>
    </row>
    <row r="2059" spans="1:12" ht="14.5" hidden="1" customHeight="1" x14ac:dyDescent="0.2">
      <c r="A2059">
        <f t="shared" si="32"/>
        <v>2053</v>
      </c>
      <c r="B2059">
        <v>2023</v>
      </c>
      <c r="C2059" t="s">
        <v>179</v>
      </c>
      <c r="D2059" t="s">
        <v>1035</v>
      </c>
      <c r="E2059" s="22">
        <v>160</v>
      </c>
      <c r="G2059" t="s">
        <v>3075</v>
      </c>
      <c r="H2059" t="s">
        <v>144</v>
      </c>
      <c r="I2059" t="s">
        <v>197</v>
      </c>
      <c r="J2059" t="s">
        <v>23</v>
      </c>
      <c r="K2059" t="s">
        <v>183</v>
      </c>
      <c r="L2059">
        <v>1</v>
      </c>
    </row>
    <row r="2060" spans="1:12" ht="14.5" hidden="1" customHeight="1" x14ac:dyDescent="0.2">
      <c r="A2060">
        <f t="shared" si="32"/>
        <v>2054</v>
      </c>
      <c r="B2060">
        <v>2023</v>
      </c>
      <c r="C2060" t="s">
        <v>179</v>
      </c>
      <c r="D2060" t="s">
        <v>449</v>
      </c>
      <c r="E2060" s="22">
        <v>170</v>
      </c>
      <c r="H2060" t="s">
        <v>154</v>
      </c>
      <c r="J2060" t="s">
        <v>111</v>
      </c>
      <c r="K2060" t="s">
        <v>183</v>
      </c>
      <c r="L2060">
        <v>1</v>
      </c>
    </row>
    <row r="2061" spans="1:12" ht="14.5" hidden="1" customHeight="1" x14ac:dyDescent="0.2">
      <c r="A2061">
        <f t="shared" si="32"/>
        <v>2055</v>
      </c>
      <c r="B2061">
        <v>2023</v>
      </c>
      <c r="C2061" t="s">
        <v>179</v>
      </c>
      <c r="D2061" t="s">
        <v>444</v>
      </c>
      <c r="E2061" s="22">
        <v>140</v>
      </c>
      <c r="H2061" t="s">
        <v>153</v>
      </c>
      <c r="J2061" t="s">
        <v>73</v>
      </c>
      <c r="K2061" t="s">
        <v>201</v>
      </c>
      <c r="L2061">
        <v>1</v>
      </c>
    </row>
    <row r="2062" spans="1:12" ht="14.5" hidden="1" customHeight="1" x14ac:dyDescent="0.2">
      <c r="A2062">
        <f t="shared" si="32"/>
        <v>2056</v>
      </c>
      <c r="B2062">
        <v>2023</v>
      </c>
      <c r="C2062" t="s">
        <v>179</v>
      </c>
      <c r="D2062" t="s">
        <v>479</v>
      </c>
      <c r="E2062" s="22">
        <v>300</v>
      </c>
      <c r="H2062" t="s">
        <v>147</v>
      </c>
      <c r="J2062" t="s">
        <v>9</v>
      </c>
      <c r="K2062" t="s">
        <v>9</v>
      </c>
      <c r="L2062">
        <v>0</v>
      </c>
    </row>
    <row r="2063" spans="1:12" ht="14.5" hidden="1" customHeight="1" x14ac:dyDescent="0.2">
      <c r="A2063">
        <f t="shared" si="32"/>
        <v>2057</v>
      </c>
      <c r="B2063">
        <v>2023</v>
      </c>
      <c r="C2063" t="s">
        <v>179</v>
      </c>
      <c r="D2063" t="s">
        <v>2103</v>
      </c>
      <c r="E2063" s="22">
        <v>170</v>
      </c>
      <c r="G2063" t="s">
        <v>2387</v>
      </c>
      <c r="H2063" t="s">
        <v>149</v>
      </c>
      <c r="I2063" t="s">
        <v>236</v>
      </c>
      <c r="J2063" t="s">
        <v>138</v>
      </c>
      <c r="K2063" t="s">
        <v>219</v>
      </c>
      <c r="L2063">
        <v>1</v>
      </c>
    </row>
    <row r="2064" spans="1:12" ht="14.5" hidden="1" customHeight="1" x14ac:dyDescent="0.2">
      <c r="A2064">
        <f t="shared" si="32"/>
        <v>2058</v>
      </c>
      <c r="B2064">
        <v>2023</v>
      </c>
      <c r="C2064" t="s">
        <v>179</v>
      </c>
      <c r="D2064" t="s">
        <v>1289</v>
      </c>
      <c r="E2064" s="22">
        <v>200</v>
      </c>
      <c r="H2064" t="s">
        <v>151</v>
      </c>
      <c r="I2064" t="s">
        <v>279</v>
      </c>
      <c r="J2064" t="s">
        <v>108</v>
      </c>
      <c r="K2064" t="s">
        <v>183</v>
      </c>
      <c r="L2064">
        <v>1</v>
      </c>
    </row>
    <row r="2065" spans="1:12" ht="14.5" hidden="1" customHeight="1" x14ac:dyDescent="0.2">
      <c r="A2065">
        <f t="shared" si="32"/>
        <v>2059</v>
      </c>
      <c r="B2065">
        <v>2023</v>
      </c>
      <c r="C2065" t="s">
        <v>179</v>
      </c>
      <c r="D2065" s="17" t="s">
        <v>875</v>
      </c>
      <c r="E2065" s="22">
        <v>380</v>
      </c>
      <c r="H2065" t="s">
        <v>144</v>
      </c>
      <c r="I2065" t="s">
        <v>197</v>
      </c>
      <c r="J2065" t="s">
        <v>53</v>
      </c>
      <c r="K2065" t="s">
        <v>183</v>
      </c>
      <c r="L2065">
        <v>1</v>
      </c>
    </row>
    <row r="2066" spans="1:12" ht="14.5" hidden="1" customHeight="1" x14ac:dyDescent="0.2">
      <c r="A2066">
        <f t="shared" si="32"/>
        <v>2060</v>
      </c>
      <c r="B2066">
        <v>2023</v>
      </c>
      <c r="C2066" t="s">
        <v>179</v>
      </c>
      <c r="D2066" t="s">
        <v>175</v>
      </c>
      <c r="E2066" s="22">
        <v>260</v>
      </c>
      <c r="H2066" t="s">
        <v>149</v>
      </c>
      <c r="I2066" t="s">
        <v>182</v>
      </c>
      <c r="J2066" t="s">
        <v>136</v>
      </c>
      <c r="K2066" t="s">
        <v>183</v>
      </c>
      <c r="L2066">
        <v>1</v>
      </c>
    </row>
    <row r="2067" spans="1:12" ht="14.5" hidden="1" customHeight="1" x14ac:dyDescent="0.2">
      <c r="A2067">
        <f t="shared" si="32"/>
        <v>2061</v>
      </c>
      <c r="B2067">
        <v>2023</v>
      </c>
      <c r="C2067" t="s">
        <v>179</v>
      </c>
      <c r="D2067" t="s">
        <v>1035</v>
      </c>
      <c r="E2067" s="22">
        <v>520</v>
      </c>
      <c r="G2067" t="s">
        <v>3076</v>
      </c>
      <c r="H2067" t="s">
        <v>144</v>
      </c>
      <c r="I2067" t="s">
        <v>232</v>
      </c>
      <c r="J2067" t="s">
        <v>38</v>
      </c>
      <c r="K2067" t="s">
        <v>214</v>
      </c>
      <c r="L2067">
        <v>1</v>
      </c>
    </row>
    <row r="2068" spans="1:12" ht="14.5" hidden="1" customHeight="1" x14ac:dyDescent="0.2">
      <c r="A2068">
        <f t="shared" si="32"/>
        <v>2062</v>
      </c>
      <c r="B2068">
        <v>2023</v>
      </c>
      <c r="C2068" t="s">
        <v>179</v>
      </c>
      <c r="D2068" t="s">
        <v>2392</v>
      </c>
      <c r="E2068" s="22">
        <v>210</v>
      </c>
      <c r="H2068" t="s">
        <v>144</v>
      </c>
      <c r="I2068" t="s">
        <v>232</v>
      </c>
      <c r="J2068" t="s">
        <v>134</v>
      </c>
      <c r="K2068" t="s">
        <v>201</v>
      </c>
      <c r="L2068">
        <v>1</v>
      </c>
    </row>
    <row r="2069" spans="1:12" ht="14.5" hidden="1" customHeight="1" x14ac:dyDescent="0.2">
      <c r="A2069">
        <f t="shared" si="32"/>
        <v>2063</v>
      </c>
      <c r="B2069">
        <v>2023</v>
      </c>
      <c r="C2069" t="s">
        <v>179</v>
      </c>
      <c r="D2069" t="s">
        <v>703</v>
      </c>
      <c r="E2069" s="22">
        <v>290</v>
      </c>
      <c r="H2069" t="s">
        <v>144</v>
      </c>
      <c r="I2069" t="s">
        <v>299</v>
      </c>
      <c r="J2069" t="s">
        <v>77</v>
      </c>
      <c r="K2069" t="s">
        <v>177</v>
      </c>
      <c r="L2069">
        <v>0</v>
      </c>
    </row>
    <row r="2070" spans="1:12" ht="14.5" hidden="1" customHeight="1" x14ac:dyDescent="0.2">
      <c r="A2070">
        <f t="shared" si="32"/>
        <v>2064</v>
      </c>
      <c r="B2070">
        <v>2023</v>
      </c>
      <c r="C2070" t="s">
        <v>184</v>
      </c>
      <c r="D2070" t="s">
        <v>557</v>
      </c>
      <c r="E2070" s="22">
        <v>230</v>
      </c>
      <c r="H2070" t="s">
        <v>151</v>
      </c>
      <c r="I2070" t="s">
        <v>279</v>
      </c>
      <c r="J2070" t="s">
        <v>40</v>
      </c>
      <c r="K2070" t="s">
        <v>219</v>
      </c>
      <c r="L2070">
        <v>1</v>
      </c>
    </row>
    <row r="2071" spans="1:12" ht="14.5" hidden="1" customHeight="1" x14ac:dyDescent="0.2">
      <c r="A2071">
        <f t="shared" si="32"/>
        <v>2065</v>
      </c>
      <c r="B2071">
        <v>2023</v>
      </c>
      <c r="C2071" t="s">
        <v>184</v>
      </c>
      <c r="D2071" t="s">
        <v>341</v>
      </c>
      <c r="E2071" s="22">
        <v>110</v>
      </c>
      <c r="G2071" t="s">
        <v>3077</v>
      </c>
      <c r="H2071" t="s">
        <v>154</v>
      </c>
      <c r="I2071" t="s">
        <v>529</v>
      </c>
      <c r="J2071" t="s">
        <v>19</v>
      </c>
      <c r="K2071" t="s">
        <v>205</v>
      </c>
      <c r="L2071">
        <v>0</v>
      </c>
    </row>
    <row r="2072" spans="1:12" ht="14.5" hidden="1" customHeight="1" x14ac:dyDescent="0.2">
      <c r="A2072">
        <f t="shared" si="32"/>
        <v>2066</v>
      </c>
      <c r="B2072">
        <v>2023</v>
      </c>
      <c r="C2072" t="s">
        <v>184</v>
      </c>
      <c r="D2072" t="s">
        <v>2894</v>
      </c>
      <c r="E2072" s="22">
        <v>200</v>
      </c>
      <c r="H2072" t="s">
        <v>144</v>
      </c>
      <c r="I2072" t="s">
        <v>187</v>
      </c>
      <c r="J2072" t="s">
        <v>55</v>
      </c>
      <c r="K2072" t="s">
        <v>214</v>
      </c>
      <c r="L2072">
        <v>1</v>
      </c>
    </row>
    <row r="2073" spans="1:12" ht="14.5" hidden="1" customHeight="1" x14ac:dyDescent="0.2">
      <c r="A2073">
        <f t="shared" si="32"/>
        <v>2067</v>
      </c>
      <c r="B2073">
        <v>2023</v>
      </c>
      <c r="C2073" t="s">
        <v>184</v>
      </c>
      <c r="D2073" t="s">
        <v>479</v>
      </c>
      <c r="E2073" s="22">
        <v>170</v>
      </c>
      <c r="H2073" t="s">
        <v>154</v>
      </c>
      <c r="I2073" t="s">
        <v>194</v>
      </c>
      <c r="J2073" t="s">
        <v>134</v>
      </c>
      <c r="K2073" t="s">
        <v>201</v>
      </c>
      <c r="L2073">
        <v>1</v>
      </c>
    </row>
    <row r="2074" spans="1:12" ht="14.5" hidden="1" customHeight="1" x14ac:dyDescent="0.2">
      <c r="A2074">
        <f t="shared" si="32"/>
        <v>2068</v>
      </c>
      <c r="B2074">
        <v>2023</v>
      </c>
      <c r="C2074" t="s">
        <v>184</v>
      </c>
      <c r="D2074" t="s">
        <v>875</v>
      </c>
      <c r="E2074" s="22">
        <v>100</v>
      </c>
      <c r="G2074" t="s">
        <v>1247</v>
      </c>
      <c r="H2074" t="s">
        <v>144</v>
      </c>
      <c r="I2074" t="s">
        <v>232</v>
      </c>
      <c r="J2074" t="s">
        <v>38</v>
      </c>
      <c r="K2074" t="s">
        <v>214</v>
      </c>
      <c r="L2074">
        <v>1</v>
      </c>
    </row>
    <row r="2075" spans="1:12" ht="14.5" hidden="1" customHeight="1" x14ac:dyDescent="0.2">
      <c r="A2075">
        <f t="shared" si="32"/>
        <v>2069</v>
      </c>
      <c r="B2075">
        <v>2023</v>
      </c>
      <c r="C2075" t="s">
        <v>184</v>
      </c>
      <c r="D2075" t="s">
        <v>313</v>
      </c>
      <c r="E2075" s="22">
        <v>140</v>
      </c>
      <c r="H2075" t="s">
        <v>144</v>
      </c>
      <c r="I2075" t="s">
        <v>299</v>
      </c>
      <c r="J2075" t="s">
        <v>105</v>
      </c>
      <c r="K2075" t="s">
        <v>214</v>
      </c>
      <c r="L2075">
        <v>1</v>
      </c>
    </row>
    <row r="2076" spans="1:12" ht="14.5" hidden="1" customHeight="1" x14ac:dyDescent="0.2">
      <c r="A2076">
        <f t="shared" si="32"/>
        <v>2070</v>
      </c>
      <c r="B2076">
        <v>2023</v>
      </c>
      <c r="C2076" t="s">
        <v>184</v>
      </c>
      <c r="D2076" t="s">
        <v>3078</v>
      </c>
      <c r="E2076" s="22">
        <v>570</v>
      </c>
      <c r="H2076" t="s">
        <v>144</v>
      </c>
      <c r="I2076" t="s">
        <v>197</v>
      </c>
      <c r="J2076" t="s">
        <v>2901</v>
      </c>
      <c r="K2076" t="s">
        <v>219</v>
      </c>
      <c r="L2076">
        <v>1</v>
      </c>
    </row>
    <row r="2077" spans="1:12" ht="14.5" hidden="1" customHeight="1" x14ac:dyDescent="0.2">
      <c r="A2077">
        <f t="shared" si="32"/>
        <v>2071</v>
      </c>
      <c r="B2077">
        <v>2023</v>
      </c>
      <c r="C2077" t="s">
        <v>184</v>
      </c>
      <c r="D2077" t="s">
        <v>1035</v>
      </c>
      <c r="E2077" s="22">
        <v>360</v>
      </c>
      <c r="H2077" t="s">
        <v>144</v>
      </c>
      <c r="I2077" t="s">
        <v>232</v>
      </c>
      <c r="J2077" t="s">
        <v>67</v>
      </c>
      <c r="K2077" t="s">
        <v>183</v>
      </c>
      <c r="L2077">
        <v>1</v>
      </c>
    </row>
    <row r="2078" spans="1:12" ht="14.5" hidden="1" customHeight="1" x14ac:dyDescent="0.2">
      <c r="A2078">
        <f t="shared" si="32"/>
        <v>2072</v>
      </c>
      <c r="B2078">
        <v>2023</v>
      </c>
      <c r="C2078" t="s">
        <v>184</v>
      </c>
      <c r="D2078" t="s">
        <v>397</v>
      </c>
      <c r="E2078" s="22">
        <v>100</v>
      </c>
      <c r="G2078" t="s">
        <v>3079</v>
      </c>
      <c r="H2078" t="s">
        <v>152</v>
      </c>
      <c r="J2078" t="s">
        <v>72</v>
      </c>
      <c r="K2078" t="s">
        <v>183</v>
      </c>
      <c r="L2078">
        <v>1</v>
      </c>
    </row>
    <row r="2079" spans="1:12" ht="14.5" hidden="1" customHeight="1" x14ac:dyDescent="0.2">
      <c r="A2079">
        <f t="shared" si="32"/>
        <v>2073</v>
      </c>
      <c r="B2079">
        <v>2023</v>
      </c>
      <c r="C2079" t="s">
        <v>184</v>
      </c>
      <c r="D2079" t="s">
        <v>444</v>
      </c>
      <c r="E2079" s="22">
        <v>310</v>
      </c>
      <c r="H2079" t="s">
        <v>145</v>
      </c>
      <c r="J2079" t="s">
        <v>134</v>
      </c>
      <c r="K2079" t="s">
        <v>201</v>
      </c>
      <c r="L2079">
        <v>1</v>
      </c>
    </row>
    <row r="2080" spans="1:12" ht="14.5" hidden="1" customHeight="1" x14ac:dyDescent="0.2">
      <c r="A2080">
        <f t="shared" si="32"/>
        <v>2074</v>
      </c>
      <c r="B2080">
        <v>2023</v>
      </c>
      <c r="C2080" t="s">
        <v>184</v>
      </c>
      <c r="D2080" t="s">
        <v>189</v>
      </c>
      <c r="E2080" s="22">
        <v>400</v>
      </c>
      <c r="H2080" t="s">
        <v>144</v>
      </c>
      <c r="J2080" t="s">
        <v>65</v>
      </c>
      <c r="K2080" t="s">
        <v>214</v>
      </c>
      <c r="L2080">
        <v>1</v>
      </c>
    </row>
    <row r="2081" spans="1:15" ht="14.5" hidden="1" customHeight="1" x14ac:dyDescent="0.2">
      <c r="A2081">
        <f t="shared" si="32"/>
        <v>2075</v>
      </c>
      <c r="B2081">
        <v>2023</v>
      </c>
      <c r="C2081" t="s">
        <v>184</v>
      </c>
      <c r="D2081" t="s">
        <v>703</v>
      </c>
      <c r="E2081" s="22">
        <v>360</v>
      </c>
      <c r="G2081" t="s">
        <v>3080</v>
      </c>
      <c r="H2081" t="s">
        <v>150</v>
      </c>
      <c r="I2081" t="s">
        <v>226</v>
      </c>
      <c r="J2081" t="s">
        <v>128</v>
      </c>
      <c r="K2081" t="s">
        <v>201</v>
      </c>
      <c r="L2081">
        <v>1</v>
      </c>
    </row>
    <row r="2082" spans="1:15" ht="14.5" hidden="1" customHeight="1" x14ac:dyDescent="0.2">
      <c r="A2082">
        <f t="shared" si="32"/>
        <v>2076</v>
      </c>
      <c r="B2082">
        <v>2023</v>
      </c>
      <c r="C2082" t="s">
        <v>184</v>
      </c>
      <c r="D2082" t="s">
        <v>244</v>
      </c>
      <c r="E2082" s="22">
        <v>460</v>
      </c>
      <c r="G2082" t="s">
        <v>3081</v>
      </c>
      <c r="H2082" t="s">
        <v>149</v>
      </c>
      <c r="I2082" t="s">
        <v>236</v>
      </c>
      <c r="J2082" t="s">
        <v>101</v>
      </c>
      <c r="K2082" t="s">
        <v>201</v>
      </c>
      <c r="L2082">
        <v>1</v>
      </c>
    </row>
    <row r="2083" spans="1:15" ht="14.5" hidden="1" customHeight="1" x14ac:dyDescent="0.2">
      <c r="A2083">
        <f t="shared" si="32"/>
        <v>2077</v>
      </c>
      <c r="B2083">
        <v>2023</v>
      </c>
      <c r="C2083" t="s">
        <v>225</v>
      </c>
      <c r="D2083" t="s">
        <v>557</v>
      </c>
      <c r="E2083" s="22">
        <v>330</v>
      </c>
      <c r="G2083" t="s">
        <v>2584</v>
      </c>
      <c r="H2083" t="s">
        <v>151</v>
      </c>
      <c r="I2083" t="s">
        <v>279</v>
      </c>
      <c r="J2083" t="s">
        <v>105</v>
      </c>
      <c r="K2083" t="s">
        <v>214</v>
      </c>
      <c r="L2083">
        <v>1</v>
      </c>
    </row>
    <row r="2084" spans="1:15" s="41" customFormat="1" ht="14.5" hidden="1" customHeight="1" x14ac:dyDescent="0.2">
      <c r="A2084">
        <f t="shared" si="32"/>
        <v>2078</v>
      </c>
      <c r="B2084">
        <v>2023</v>
      </c>
      <c r="C2084" t="s">
        <v>225</v>
      </c>
      <c r="D2084" t="s">
        <v>479</v>
      </c>
      <c r="E2084" s="22">
        <v>200</v>
      </c>
      <c r="F2084" s="16"/>
      <c r="H2084" t="s">
        <v>154</v>
      </c>
      <c r="I2084" t="s">
        <v>271</v>
      </c>
      <c r="J2084" t="s">
        <v>23</v>
      </c>
      <c r="K2084" t="s">
        <v>183</v>
      </c>
      <c r="L2084">
        <v>1</v>
      </c>
      <c r="O2084" s="43"/>
    </row>
    <row r="2085" spans="1:15" ht="14.5" hidden="1" customHeight="1" x14ac:dyDescent="0.2">
      <c r="A2085">
        <f t="shared" si="32"/>
        <v>2079</v>
      </c>
      <c r="B2085">
        <v>2023</v>
      </c>
      <c r="C2085" t="s">
        <v>225</v>
      </c>
      <c r="D2085" t="s">
        <v>2907</v>
      </c>
      <c r="E2085" s="22">
        <v>130</v>
      </c>
      <c r="H2085" t="s">
        <v>144</v>
      </c>
      <c r="I2085" t="s">
        <v>197</v>
      </c>
      <c r="J2085" t="s">
        <v>3082</v>
      </c>
      <c r="K2085" t="s">
        <v>201</v>
      </c>
      <c r="L2085">
        <v>1</v>
      </c>
    </row>
    <row r="2086" spans="1:15" ht="14.5" hidden="1" customHeight="1" x14ac:dyDescent="0.2">
      <c r="A2086">
        <f t="shared" si="32"/>
        <v>2080</v>
      </c>
      <c r="B2086">
        <v>2023</v>
      </c>
      <c r="C2086" t="s">
        <v>225</v>
      </c>
      <c r="D2086" t="s">
        <v>449</v>
      </c>
      <c r="E2086" s="22">
        <v>990</v>
      </c>
      <c r="H2086" t="s">
        <v>151</v>
      </c>
      <c r="I2086" t="s">
        <v>279</v>
      </c>
      <c r="J2086" t="s">
        <v>130</v>
      </c>
      <c r="K2086" t="s">
        <v>214</v>
      </c>
      <c r="L2086">
        <v>1</v>
      </c>
    </row>
    <row r="2087" spans="1:15" ht="14.5" hidden="1" customHeight="1" x14ac:dyDescent="0.2">
      <c r="A2087">
        <f t="shared" si="32"/>
        <v>2081</v>
      </c>
      <c r="B2087">
        <v>2023</v>
      </c>
      <c r="C2087" t="s">
        <v>225</v>
      </c>
      <c r="D2087" t="s">
        <v>397</v>
      </c>
      <c r="E2087" s="22">
        <v>220</v>
      </c>
      <c r="G2087" t="s">
        <v>3083</v>
      </c>
      <c r="H2087" t="s">
        <v>154</v>
      </c>
      <c r="I2087" t="s">
        <v>194</v>
      </c>
      <c r="J2087" t="s">
        <v>112</v>
      </c>
      <c r="K2087" t="s">
        <v>219</v>
      </c>
      <c r="L2087">
        <v>1</v>
      </c>
    </row>
    <row r="2088" spans="1:15" ht="14.5" hidden="1" customHeight="1" x14ac:dyDescent="0.2">
      <c r="A2088">
        <f t="shared" si="32"/>
        <v>2082</v>
      </c>
      <c r="B2088">
        <v>2023</v>
      </c>
      <c r="C2088" t="s">
        <v>225</v>
      </c>
      <c r="D2088" t="s">
        <v>185</v>
      </c>
      <c r="E2088" s="22">
        <v>260</v>
      </c>
      <c r="G2088" t="s">
        <v>2002</v>
      </c>
      <c r="H2088" t="s">
        <v>144</v>
      </c>
      <c r="I2088" t="s">
        <v>187</v>
      </c>
      <c r="J2088" t="s">
        <v>105</v>
      </c>
      <c r="K2088" t="s">
        <v>214</v>
      </c>
      <c r="L2088">
        <v>1</v>
      </c>
    </row>
    <row r="2089" spans="1:15" ht="14.5" hidden="1" customHeight="1" x14ac:dyDescent="0.2">
      <c r="A2089">
        <f t="shared" si="32"/>
        <v>2083</v>
      </c>
      <c r="B2089">
        <v>2023</v>
      </c>
      <c r="C2089" t="s">
        <v>225</v>
      </c>
      <c r="D2089" t="s">
        <v>479</v>
      </c>
      <c r="E2089" s="22">
        <v>160</v>
      </c>
      <c r="H2089" t="s">
        <v>154</v>
      </c>
      <c r="I2089" t="s">
        <v>271</v>
      </c>
      <c r="J2089" t="s">
        <v>5</v>
      </c>
      <c r="K2089" t="s">
        <v>214</v>
      </c>
      <c r="L2089">
        <v>1</v>
      </c>
    </row>
    <row r="2090" spans="1:15" ht="14.5" hidden="1" customHeight="1" x14ac:dyDescent="0.2">
      <c r="A2090">
        <f t="shared" si="32"/>
        <v>2084</v>
      </c>
      <c r="B2090">
        <v>2023</v>
      </c>
      <c r="C2090" t="s">
        <v>225</v>
      </c>
      <c r="D2090" t="s">
        <v>199</v>
      </c>
      <c r="E2090" s="22">
        <v>1510</v>
      </c>
      <c r="G2090" t="s">
        <v>2002</v>
      </c>
      <c r="H2090" t="s">
        <v>144</v>
      </c>
      <c r="J2090" t="s">
        <v>105</v>
      </c>
      <c r="K2090" t="s">
        <v>214</v>
      </c>
      <c r="L2090">
        <v>1</v>
      </c>
    </row>
    <row r="2091" spans="1:15" ht="14.5" hidden="1" customHeight="1" x14ac:dyDescent="0.2">
      <c r="A2091">
        <f t="shared" si="32"/>
        <v>2085</v>
      </c>
      <c r="B2091">
        <v>2023</v>
      </c>
      <c r="C2091" t="s">
        <v>225</v>
      </c>
      <c r="D2091" t="s">
        <v>479</v>
      </c>
      <c r="E2091" s="22">
        <v>940</v>
      </c>
      <c r="H2091" t="s">
        <v>148</v>
      </c>
      <c r="J2091" t="s">
        <v>105</v>
      </c>
      <c r="K2091" t="s">
        <v>214</v>
      </c>
      <c r="L2091">
        <v>1</v>
      </c>
    </row>
    <row r="2092" spans="1:15" ht="14.5" hidden="1" customHeight="1" x14ac:dyDescent="0.2">
      <c r="A2092">
        <f t="shared" si="32"/>
        <v>2086</v>
      </c>
      <c r="B2092">
        <v>2023</v>
      </c>
      <c r="C2092" t="s">
        <v>225</v>
      </c>
      <c r="D2092" t="s">
        <v>449</v>
      </c>
      <c r="E2092" s="22">
        <v>140</v>
      </c>
      <c r="H2092" t="s">
        <v>154</v>
      </c>
      <c r="I2092" t="s">
        <v>194</v>
      </c>
      <c r="J2092" t="s">
        <v>108</v>
      </c>
      <c r="K2092" t="s">
        <v>183</v>
      </c>
      <c r="L2092">
        <v>1</v>
      </c>
    </row>
    <row r="2093" spans="1:15" ht="14.5" hidden="1" customHeight="1" x14ac:dyDescent="0.2">
      <c r="A2093">
        <f t="shared" si="32"/>
        <v>2087</v>
      </c>
      <c r="B2093">
        <v>2023</v>
      </c>
      <c r="C2093" t="s">
        <v>188</v>
      </c>
      <c r="D2093" t="s">
        <v>479</v>
      </c>
      <c r="E2093" s="22">
        <v>230</v>
      </c>
      <c r="H2093" t="s">
        <v>154</v>
      </c>
      <c r="I2093" t="s">
        <v>194</v>
      </c>
      <c r="J2093" t="s">
        <v>23</v>
      </c>
      <c r="K2093" t="s">
        <v>183</v>
      </c>
      <c r="L2093">
        <v>1</v>
      </c>
    </row>
    <row r="2094" spans="1:15" ht="14.5" hidden="1" customHeight="1" x14ac:dyDescent="0.2">
      <c r="A2094">
        <f t="shared" si="32"/>
        <v>2088</v>
      </c>
      <c r="B2094">
        <v>2023</v>
      </c>
      <c r="C2094" t="s">
        <v>188</v>
      </c>
      <c r="D2094" t="s">
        <v>189</v>
      </c>
      <c r="E2094" s="22">
        <v>720</v>
      </c>
      <c r="G2094" t="s">
        <v>3084</v>
      </c>
      <c r="H2094" t="s">
        <v>144</v>
      </c>
      <c r="I2094" t="s">
        <v>187</v>
      </c>
      <c r="J2094" t="s">
        <v>105</v>
      </c>
      <c r="K2094" t="s">
        <v>214</v>
      </c>
      <c r="L2094">
        <v>1</v>
      </c>
    </row>
    <row r="2095" spans="1:15" ht="14.5" hidden="1" customHeight="1" x14ac:dyDescent="0.2">
      <c r="A2095">
        <f t="shared" si="32"/>
        <v>2089</v>
      </c>
      <c r="B2095">
        <v>2023</v>
      </c>
      <c r="C2095" t="s">
        <v>188</v>
      </c>
      <c r="D2095" t="s">
        <v>875</v>
      </c>
      <c r="E2095" s="22">
        <v>270</v>
      </c>
      <c r="H2095" t="s">
        <v>144</v>
      </c>
      <c r="I2095" t="s">
        <v>197</v>
      </c>
      <c r="J2095" t="s">
        <v>17</v>
      </c>
      <c r="K2095" t="s">
        <v>195</v>
      </c>
      <c r="L2095">
        <v>1</v>
      </c>
    </row>
    <row r="2096" spans="1:15" ht="14.5" hidden="1" customHeight="1" x14ac:dyDescent="0.2">
      <c r="A2096">
        <f t="shared" si="32"/>
        <v>2090</v>
      </c>
      <c r="B2096">
        <v>2023</v>
      </c>
      <c r="C2096" t="s">
        <v>188</v>
      </c>
      <c r="D2096" t="s">
        <v>557</v>
      </c>
      <c r="E2096" s="22">
        <v>280</v>
      </c>
      <c r="G2096" t="s">
        <v>2914</v>
      </c>
      <c r="H2096" t="s">
        <v>151</v>
      </c>
      <c r="I2096" t="s">
        <v>279</v>
      </c>
      <c r="J2096" t="s">
        <v>52</v>
      </c>
      <c r="K2096" t="s">
        <v>201</v>
      </c>
      <c r="L2096">
        <v>0</v>
      </c>
    </row>
    <row r="2097" spans="1:12" ht="14.5" hidden="1" customHeight="1" x14ac:dyDescent="0.2">
      <c r="A2097">
        <f t="shared" si="32"/>
        <v>2091</v>
      </c>
      <c r="B2097">
        <v>2023</v>
      </c>
      <c r="C2097" t="s">
        <v>188</v>
      </c>
      <c r="D2097" t="s">
        <v>1035</v>
      </c>
      <c r="E2097" s="22">
        <v>400</v>
      </c>
      <c r="G2097" t="s">
        <v>2002</v>
      </c>
      <c r="H2097" t="s">
        <v>154</v>
      </c>
      <c r="I2097" t="s">
        <v>271</v>
      </c>
      <c r="J2097" t="s">
        <v>105</v>
      </c>
      <c r="K2097" t="s">
        <v>214</v>
      </c>
      <c r="L2097">
        <v>1</v>
      </c>
    </row>
    <row r="2098" spans="1:12" ht="14.5" hidden="1" customHeight="1" x14ac:dyDescent="0.2">
      <c r="A2098">
        <f t="shared" si="32"/>
        <v>2092</v>
      </c>
      <c r="B2098">
        <v>2023</v>
      </c>
      <c r="C2098" t="s">
        <v>188</v>
      </c>
      <c r="D2098" t="s">
        <v>1035</v>
      </c>
      <c r="E2098" s="22">
        <v>160</v>
      </c>
      <c r="H2098" t="s">
        <v>154</v>
      </c>
      <c r="I2098" t="s">
        <v>194</v>
      </c>
      <c r="J2098" t="s">
        <v>98</v>
      </c>
      <c r="K2098" t="s">
        <v>195</v>
      </c>
      <c r="L2098">
        <v>1</v>
      </c>
    </row>
    <row r="2099" spans="1:12" ht="14.5" hidden="1" customHeight="1" x14ac:dyDescent="0.2">
      <c r="A2099">
        <f t="shared" si="32"/>
        <v>2093</v>
      </c>
      <c r="B2099">
        <v>2023</v>
      </c>
      <c r="C2099" t="s">
        <v>188</v>
      </c>
      <c r="D2099" t="s">
        <v>479</v>
      </c>
      <c r="E2099" s="22">
        <v>270</v>
      </c>
      <c r="H2099" t="s">
        <v>154</v>
      </c>
      <c r="I2099" t="s">
        <v>194</v>
      </c>
      <c r="J2099" t="s">
        <v>89</v>
      </c>
      <c r="K2099" t="s">
        <v>219</v>
      </c>
      <c r="L2099">
        <v>1</v>
      </c>
    </row>
    <row r="2100" spans="1:12" ht="14.5" hidden="1" customHeight="1" x14ac:dyDescent="0.2">
      <c r="A2100">
        <f t="shared" si="32"/>
        <v>2094</v>
      </c>
      <c r="B2100">
        <v>2023</v>
      </c>
      <c r="C2100" t="s">
        <v>188</v>
      </c>
      <c r="D2100" t="s">
        <v>745</v>
      </c>
      <c r="E2100" s="22">
        <v>610</v>
      </c>
      <c r="G2100" t="s">
        <v>3085</v>
      </c>
      <c r="H2100" t="s">
        <v>143</v>
      </c>
      <c r="J2100" t="s">
        <v>101</v>
      </c>
      <c r="K2100" t="s">
        <v>201</v>
      </c>
      <c r="L2100">
        <v>1</v>
      </c>
    </row>
    <row r="2101" spans="1:12" ht="14.5" hidden="1" customHeight="1" x14ac:dyDescent="0.2">
      <c r="A2101">
        <f t="shared" si="32"/>
        <v>2095</v>
      </c>
      <c r="B2101">
        <v>2023</v>
      </c>
      <c r="C2101" t="s">
        <v>188</v>
      </c>
      <c r="D2101" t="s">
        <v>199</v>
      </c>
      <c r="E2101" s="22">
        <v>150</v>
      </c>
      <c r="H2101" t="s">
        <v>144</v>
      </c>
      <c r="I2101" t="s">
        <v>187</v>
      </c>
      <c r="J2101" t="s">
        <v>132</v>
      </c>
      <c r="K2101" t="s">
        <v>219</v>
      </c>
      <c r="L2101">
        <v>1</v>
      </c>
    </row>
    <row r="2102" spans="1:12" ht="14.5" hidden="1" customHeight="1" x14ac:dyDescent="0.2">
      <c r="A2102">
        <f t="shared" si="32"/>
        <v>2096</v>
      </c>
      <c r="B2102">
        <v>2023</v>
      </c>
      <c r="C2102" t="s">
        <v>188</v>
      </c>
      <c r="D2102" t="s">
        <v>199</v>
      </c>
      <c r="E2102" s="22">
        <v>610</v>
      </c>
      <c r="H2102" t="s">
        <v>144</v>
      </c>
      <c r="I2102" t="s">
        <v>187</v>
      </c>
      <c r="J2102" t="s">
        <v>123</v>
      </c>
      <c r="K2102" t="s">
        <v>219</v>
      </c>
      <c r="L2102">
        <v>1</v>
      </c>
    </row>
    <row r="2103" spans="1:12" ht="14.5" hidden="1" customHeight="1" x14ac:dyDescent="0.2">
      <c r="A2103">
        <f t="shared" si="32"/>
        <v>2097</v>
      </c>
      <c r="B2103">
        <v>2023</v>
      </c>
      <c r="C2103" t="s">
        <v>188</v>
      </c>
      <c r="D2103" t="s">
        <v>444</v>
      </c>
      <c r="E2103" s="22">
        <v>180</v>
      </c>
      <c r="F2103" s="16">
        <v>0.6</v>
      </c>
      <c r="H2103" t="s">
        <v>144</v>
      </c>
      <c r="I2103" t="s">
        <v>197</v>
      </c>
      <c r="J2103" t="s">
        <v>53</v>
      </c>
      <c r="K2103" t="s">
        <v>183</v>
      </c>
      <c r="L2103">
        <v>1</v>
      </c>
    </row>
    <row r="2104" spans="1:12" ht="14.5" hidden="1" customHeight="1" x14ac:dyDescent="0.2">
      <c r="A2104">
        <f t="shared" si="32"/>
        <v>2098</v>
      </c>
      <c r="B2104">
        <v>2023</v>
      </c>
      <c r="C2104" t="s">
        <v>188</v>
      </c>
      <c r="D2104" t="s">
        <v>875</v>
      </c>
      <c r="E2104" s="22">
        <v>330</v>
      </c>
      <c r="G2104" t="s">
        <v>2659</v>
      </c>
      <c r="H2104" t="s">
        <v>144</v>
      </c>
      <c r="I2104" t="s">
        <v>232</v>
      </c>
      <c r="J2104" t="s">
        <v>92</v>
      </c>
      <c r="K2104" t="s">
        <v>214</v>
      </c>
      <c r="L2104">
        <v>1</v>
      </c>
    </row>
    <row r="2105" spans="1:12" ht="14.5" hidden="1" customHeight="1" x14ac:dyDescent="0.2">
      <c r="A2105">
        <f t="shared" si="32"/>
        <v>2099</v>
      </c>
      <c r="B2105">
        <v>2023</v>
      </c>
      <c r="C2105" t="s">
        <v>188</v>
      </c>
      <c r="D2105" t="s">
        <v>336</v>
      </c>
      <c r="E2105" s="22">
        <v>170</v>
      </c>
      <c r="G2105" t="s">
        <v>2776</v>
      </c>
      <c r="H2105" t="s">
        <v>151</v>
      </c>
      <c r="I2105" t="s">
        <v>279</v>
      </c>
      <c r="J2105" t="s">
        <v>130</v>
      </c>
      <c r="K2105" t="s">
        <v>214</v>
      </c>
      <c r="L2105">
        <v>1</v>
      </c>
    </row>
    <row r="2106" spans="1:12" ht="14.5" hidden="1" customHeight="1" x14ac:dyDescent="0.2">
      <c r="A2106">
        <f t="shared" si="32"/>
        <v>2100</v>
      </c>
      <c r="B2106">
        <v>2023</v>
      </c>
      <c r="C2106" t="s">
        <v>188</v>
      </c>
      <c r="D2106" t="s">
        <v>444</v>
      </c>
      <c r="E2106" s="22">
        <v>260</v>
      </c>
      <c r="G2106" t="s">
        <v>3086</v>
      </c>
      <c r="H2106" t="s">
        <v>144</v>
      </c>
      <c r="I2106" t="s">
        <v>232</v>
      </c>
      <c r="J2106" t="s">
        <v>134</v>
      </c>
      <c r="K2106" t="s">
        <v>201</v>
      </c>
      <c r="L2106">
        <v>1</v>
      </c>
    </row>
    <row r="2107" spans="1:12" ht="14.5" hidden="1" customHeight="1" x14ac:dyDescent="0.2">
      <c r="A2107">
        <f t="shared" si="32"/>
        <v>2101</v>
      </c>
      <c r="B2107">
        <v>2023</v>
      </c>
      <c r="C2107" t="s">
        <v>191</v>
      </c>
      <c r="D2107" t="s">
        <v>557</v>
      </c>
      <c r="E2107" s="22">
        <v>290</v>
      </c>
      <c r="G2107" t="s">
        <v>3087</v>
      </c>
      <c r="H2107" t="s">
        <v>151</v>
      </c>
      <c r="I2107" t="s">
        <v>279</v>
      </c>
      <c r="J2107" t="s">
        <v>40</v>
      </c>
      <c r="K2107" t="s">
        <v>219</v>
      </c>
      <c r="L2107">
        <v>1</v>
      </c>
    </row>
    <row r="2108" spans="1:12" ht="14.5" hidden="1" customHeight="1" x14ac:dyDescent="0.2">
      <c r="A2108">
        <f t="shared" si="32"/>
        <v>2102</v>
      </c>
      <c r="B2108">
        <v>2023</v>
      </c>
      <c r="C2108" t="s">
        <v>191</v>
      </c>
      <c r="D2108" t="s">
        <v>2103</v>
      </c>
      <c r="E2108" s="22">
        <v>120</v>
      </c>
      <c r="G2108" t="s">
        <v>3088</v>
      </c>
      <c r="H2108" t="s">
        <v>149</v>
      </c>
      <c r="I2108" t="s">
        <v>236</v>
      </c>
      <c r="J2108" t="s">
        <v>138</v>
      </c>
      <c r="K2108" t="s">
        <v>219</v>
      </c>
      <c r="L2108">
        <v>1</v>
      </c>
    </row>
    <row r="2109" spans="1:12" ht="14.5" hidden="1" customHeight="1" x14ac:dyDescent="0.2">
      <c r="A2109">
        <f t="shared" si="32"/>
        <v>2103</v>
      </c>
      <c r="B2109">
        <v>2023</v>
      </c>
      <c r="C2109" t="s">
        <v>191</v>
      </c>
      <c r="D2109" t="s">
        <v>2329</v>
      </c>
      <c r="E2109" s="22">
        <v>190</v>
      </c>
      <c r="G2109" t="s">
        <v>326</v>
      </c>
      <c r="H2109" t="s">
        <v>144</v>
      </c>
      <c r="I2109" t="s">
        <v>187</v>
      </c>
      <c r="J2109" t="s">
        <v>55</v>
      </c>
      <c r="K2109" t="s">
        <v>214</v>
      </c>
      <c r="L2109">
        <v>1</v>
      </c>
    </row>
    <row r="2110" spans="1:12" ht="14.5" hidden="1" customHeight="1" x14ac:dyDescent="0.2">
      <c r="A2110">
        <f t="shared" si="32"/>
        <v>2104</v>
      </c>
      <c r="B2110">
        <v>2023</v>
      </c>
      <c r="C2110" t="s">
        <v>191</v>
      </c>
      <c r="D2110" t="s">
        <v>444</v>
      </c>
      <c r="E2110" s="22">
        <v>600</v>
      </c>
      <c r="G2110" t="s">
        <v>3089</v>
      </c>
      <c r="H2110" t="s">
        <v>144</v>
      </c>
      <c r="I2110" t="s">
        <v>299</v>
      </c>
      <c r="J2110" t="s">
        <v>63</v>
      </c>
      <c r="K2110" t="s">
        <v>201</v>
      </c>
      <c r="L2110">
        <v>1</v>
      </c>
    </row>
    <row r="2111" spans="1:12" ht="14.5" hidden="1" customHeight="1" x14ac:dyDescent="0.2">
      <c r="A2111">
        <f t="shared" si="32"/>
        <v>2105</v>
      </c>
      <c r="B2111">
        <v>2023</v>
      </c>
      <c r="C2111" t="s">
        <v>191</v>
      </c>
      <c r="D2111" t="s">
        <v>3090</v>
      </c>
      <c r="E2111" s="22">
        <v>160</v>
      </c>
      <c r="G2111" t="s">
        <v>3091</v>
      </c>
      <c r="H2111" t="s">
        <v>151</v>
      </c>
      <c r="I2111" t="s">
        <v>279</v>
      </c>
      <c r="J2111" t="s">
        <v>40</v>
      </c>
      <c r="K2111" t="s">
        <v>219</v>
      </c>
      <c r="L2111">
        <v>1</v>
      </c>
    </row>
    <row r="2112" spans="1:12" ht="14.5" hidden="1" customHeight="1" x14ac:dyDescent="0.2">
      <c r="A2112">
        <f t="shared" si="32"/>
        <v>2106</v>
      </c>
      <c r="B2112">
        <v>2023</v>
      </c>
      <c r="C2112" t="s">
        <v>191</v>
      </c>
      <c r="D2112" t="s">
        <v>479</v>
      </c>
      <c r="E2112" s="22">
        <v>160</v>
      </c>
      <c r="H2112" t="s">
        <v>154</v>
      </c>
      <c r="I2112" t="s">
        <v>529</v>
      </c>
      <c r="J2112" t="s">
        <v>9</v>
      </c>
      <c r="K2112" t="s">
        <v>9</v>
      </c>
      <c r="L2112">
        <v>0</v>
      </c>
    </row>
    <row r="2113" spans="1:12" ht="14.5" hidden="1" customHeight="1" x14ac:dyDescent="0.2">
      <c r="A2113">
        <f t="shared" si="32"/>
        <v>2107</v>
      </c>
      <c r="B2113">
        <v>2023</v>
      </c>
      <c r="C2113" t="s">
        <v>191</v>
      </c>
      <c r="D2113" t="s">
        <v>875</v>
      </c>
      <c r="E2113" s="22">
        <v>230</v>
      </c>
      <c r="H2113" t="s">
        <v>144</v>
      </c>
      <c r="I2113" t="s">
        <v>232</v>
      </c>
      <c r="J2113" t="s">
        <v>59</v>
      </c>
      <c r="K2113" t="s">
        <v>219</v>
      </c>
      <c r="L2113">
        <v>1</v>
      </c>
    </row>
    <row r="2114" spans="1:12" ht="14.5" hidden="1" customHeight="1" x14ac:dyDescent="0.2">
      <c r="A2114">
        <f t="shared" si="32"/>
        <v>2108</v>
      </c>
      <c r="B2114">
        <v>2023</v>
      </c>
      <c r="C2114" t="s">
        <v>191</v>
      </c>
      <c r="D2114" t="s">
        <v>341</v>
      </c>
      <c r="E2114" s="22">
        <v>210</v>
      </c>
      <c r="H2114" t="s">
        <v>154</v>
      </c>
      <c r="I2114" t="s">
        <v>194</v>
      </c>
      <c r="J2114" t="s">
        <v>123</v>
      </c>
      <c r="K2114" t="s">
        <v>219</v>
      </c>
      <c r="L2114">
        <v>1</v>
      </c>
    </row>
    <row r="2115" spans="1:12" ht="14.5" hidden="1" customHeight="1" x14ac:dyDescent="0.2">
      <c r="A2115">
        <f t="shared" si="32"/>
        <v>2109</v>
      </c>
      <c r="B2115">
        <v>2023</v>
      </c>
      <c r="C2115" t="s">
        <v>191</v>
      </c>
      <c r="D2115" t="s">
        <v>875</v>
      </c>
      <c r="E2115" s="22">
        <v>230</v>
      </c>
      <c r="G2115" t="s">
        <v>1247</v>
      </c>
      <c r="H2115" t="s">
        <v>144</v>
      </c>
      <c r="I2115" t="s">
        <v>232</v>
      </c>
      <c r="J2115" t="s">
        <v>134</v>
      </c>
      <c r="K2115" t="s">
        <v>201</v>
      </c>
      <c r="L2115">
        <v>1</v>
      </c>
    </row>
    <row r="2116" spans="1:12" ht="14.5" hidden="1" customHeight="1" x14ac:dyDescent="0.2">
      <c r="A2116">
        <f t="shared" si="32"/>
        <v>2110</v>
      </c>
      <c r="B2116">
        <v>2023</v>
      </c>
      <c r="C2116" t="s">
        <v>191</v>
      </c>
      <c r="D2116" t="s">
        <v>557</v>
      </c>
      <c r="E2116" s="22">
        <v>280</v>
      </c>
      <c r="G2116" t="s">
        <v>3092</v>
      </c>
      <c r="H2116" t="s">
        <v>151</v>
      </c>
      <c r="I2116" t="s">
        <v>279</v>
      </c>
      <c r="J2116" t="s">
        <v>40</v>
      </c>
      <c r="K2116" t="s">
        <v>219</v>
      </c>
      <c r="L2116">
        <v>1</v>
      </c>
    </row>
    <row r="2117" spans="1:12" ht="14.5" hidden="1" customHeight="1" x14ac:dyDescent="0.2">
      <c r="A2117">
        <f t="shared" si="32"/>
        <v>2111</v>
      </c>
      <c r="B2117">
        <v>2023</v>
      </c>
      <c r="C2117" t="s">
        <v>191</v>
      </c>
      <c r="D2117" t="s">
        <v>1035</v>
      </c>
      <c r="E2117" s="22">
        <v>1080</v>
      </c>
      <c r="G2117" t="s">
        <v>2037</v>
      </c>
      <c r="H2117" t="s">
        <v>144</v>
      </c>
      <c r="I2117" t="s">
        <v>197</v>
      </c>
      <c r="J2117" t="s">
        <v>67</v>
      </c>
      <c r="K2117" t="s">
        <v>183</v>
      </c>
      <c r="L2117">
        <v>1</v>
      </c>
    </row>
    <row r="2118" spans="1:12" ht="14.5" hidden="1" customHeight="1" x14ac:dyDescent="0.2">
      <c r="A2118">
        <f t="shared" si="32"/>
        <v>2112</v>
      </c>
      <c r="B2118">
        <v>2023</v>
      </c>
      <c r="C2118" t="s">
        <v>191</v>
      </c>
      <c r="D2118" t="s">
        <v>3093</v>
      </c>
      <c r="E2118" s="22">
        <v>160</v>
      </c>
      <c r="H2118" t="s">
        <v>154</v>
      </c>
      <c r="I2118" t="s">
        <v>194</v>
      </c>
      <c r="J2118" t="s">
        <v>95</v>
      </c>
      <c r="K2118" t="s">
        <v>183</v>
      </c>
      <c r="L2118">
        <v>1</v>
      </c>
    </row>
    <row r="2119" spans="1:12" ht="14.5" hidden="1" customHeight="1" x14ac:dyDescent="0.2">
      <c r="A2119">
        <f t="shared" ref="A2119:A2182" si="33">ROW()-6</f>
        <v>2113</v>
      </c>
      <c r="B2119">
        <v>2023</v>
      </c>
      <c r="C2119" t="s">
        <v>198</v>
      </c>
      <c r="D2119" t="s">
        <v>199</v>
      </c>
      <c r="E2119" s="22">
        <v>100</v>
      </c>
      <c r="H2119" t="s">
        <v>144</v>
      </c>
      <c r="I2119" t="s">
        <v>187</v>
      </c>
      <c r="J2119" t="s">
        <v>55</v>
      </c>
      <c r="K2119" t="s">
        <v>214</v>
      </c>
      <c r="L2119">
        <v>1</v>
      </c>
    </row>
    <row r="2120" spans="1:12" ht="14.5" hidden="1" customHeight="1" x14ac:dyDescent="0.2">
      <c r="A2120">
        <f t="shared" si="33"/>
        <v>2114</v>
      </c>
      <c r="B2120">
        <v>2023</v>
      </c>
      <c r="C2120" t="s">
        <v>198</v>
      </c>
      <c r="D2120" t="s">
        <v>557</v>
      </c>
      <c r="E2120" s="22">
        <v>220</v>
      </c>
      <c r="G2120" t="s">
        <v>3094</v>
      </c>
      <c r="H2120" t="s">
        <v>151</v>
      </c>
      <c r="I2120" t="s">
        <v>279</v>
      </c>
      <c r="J2120" t="s">
        <v>55</v>
      </c>
      <c r="K2120" t="s">
        <v>214</v>
      </c>
      <c r="L2120">
        <v>1</v>
      </c>
    </row>
    <row r="2121" spans="1:12" ht="14.5" hidden="1" customHeight="1" x14ac:dyDescent="0.2">
      <c r="A2121">
        <f t="shared" si="33"/>
        <v>2115</v>
      </c>
      <c r="B2121">
        <v>2023</v>
      </c>
      <c r="C2121" t="s">
        <v>198</v>
      </c>
      <c r="D2121" t="s">
        <v>479</v>
      </c>
      <c r="E2121" s="22">
        <v>110</v>
      </c>
      <c r="G2121" t="s">
        <v>3095</v>
      </c>
      <c r="H2121" t="s">
        <v>154</v>
      </c>
      <c r="I2121" t="s">
        <v>194</v>
      </c>
      <c r="J2121" t="s">
        <v>112</v>
      </c>
      <c r="K2121" t="s">
        <v>219</v>
      </c>
      <c r="L2121">
        <v>1</v>
      </c>
    </row>
    <row r="2122" spans="1:12" ht="14.5" hidden="1" customHeight="1" x14ac:dyDescent="0.2">
      <c r="A2122">
        <f t="shared" si="33"/>
        <v>2116</v>
      </c>
      <c r="B2122">
        <v>2023</v>
      </c>
      <c r="C2122" t="s">
        <v>198</v>
      </c>
      <c r="D2122" t="s">
        <v>444</v>
      </c>
      <c r="E2122" s="22">
        <v>440</v>
      </c>
      <c r="H2122" t="s">
        <v>144</v>
      </c>
      <c r="I2122" t="s">
        <v>299</v>
      </c>
      <c r="J2122" t="s">
        <v>89</v>
      </c>
      <c r="K2122" t="s">
        <v>219</v>
      </c>
      <c r="L2122">
        <v>1</v>
      </c>
    </row>
    <row r="2123" spans="1:12" ht="14.5" hidden="1" customHeight="1" x14ac:dyDescent="0.2">
      <c r="A2123">
        <f t="shared" si="33"/>
        <v>2117</v>
      </c>
      <c r="B2123">
        <v>2023</v>
      </c>
      <c r="C2123" t="s">
        <v>198</v>
      </c>
      <c r="D2123" t="s">
        <v>175</v>
      </c>
      <c r="E2123" s="22">
        <v>110</v>
      </c>
      <c r="G2123" t="s">
        <v>3096</v>
      </c>
      <c r="H2123" t="s">
        <v>149</v>
      </c>
      <c r="I2123" t="s">
        <v>182</v>
      </c>
      <c r="J2123" t="s">
        <v>53</v>
      </c>
      <c r="K2123" t="s">
        <v>183</v>
      </c>
      <c r="L2123">
        <v>1</v>
      </c>
    </row>
    <row r="2124" spans="1:12" ht="14.5" hidden="1" customHeight="1" x14ac:dyDescent="0.2">
      <c r="A2124">
        <f t="shared" si="33"/>
        <v>2118</v>
      </c>
      <c r="B2124">
        <v>2023</v>
      </c>
      <c r="C2124" t="s">
        <v>198</v>
      </c>
      <c r="D2124" t="s">
        <v>875</v>
      </c>
      <c r="E2124" s="22">
        <v>220</v>
      </c>
      <c r="H2124" t="s">
        <v>144</v>
      </c>
      <c r="I2124" t="s">
        <v>232</v>
      </c>
      <c r="J2124" t="s">
        <v>134</v>
      </c>
      <c r="K2124" t="s">
        <v>201</v>
      </c>
      <c r="L2124">
        <v>1</v>
      </c>
    </row>
    <row r="2125" spans="1:12" ht="14.5" hidden="1" customHeight="1" x14ac:dyDescent="0.2">
      <c r="A2125">
        <f t="shared" si="33"/>
        <v>2119</v>
      </c>
      <c r="B2125">
        <v>2023</v>
      </c>
      <c r="C2125" t="s">
        <v>198</v>
      </c>
      <c r="D2125" t="s">
        <v>3097</v>
      </c>
      <c r="E2125" s="22">
        <v>370</v>
      </c>
      <c r="G2125" t="s">
        <v>3098</v>
      </c>
      <c r="H2125" t="s">
        <v>144</v>
      </c>
      <c r="I2125" t="s">
        <v>273</v>
      </c>
      <c r="J2125" t="s">
        <v>78</v>
      </c>
      <c r="K2125" t="s">
        <v>183</v>
      </c>
      <c r="L2125">
        <v>1</v>
      </c>
    </row>
    <row r="2126" spans="1:12" ht="14.5" hidden="1" customHeight="1" x14ac:dyDescent="0.2">
      <c r="A2126">
        <f t="shared" si="33"/>
        <v>2120</v>
      </c>
      <c r="B2126">
        <v>2023</v>
      </c>
      <c r="C2126" t="s">
        <v>198</v>
      </c>
      <c r="D2126" t="s">
        <v>449</v>
      </c>
      <c r="E2126" s="22">
        <v>910</v>
      </c>
      <c r="H2126" t="s">
        <v>154</v>
      </c>
      <c r="I2126" t="s">
        <v>529</v>
      </c>
      <c r="J2126" t="s">
        <v>89</v>
      </c>
      <c r="K2126" t="s">
        <v>219</v>
      </c>
      <c r="L2126">
        <v>1</v>
      </c>
    </row>
    <row r="2127" spans="1:12" ht="14.5" hidden="1" customHeight="1" x14ac:dyDescent="0.2">
      <c r="A2127">
        <f t="shared" si="33"/>
        <v>2121</v>
      </c>
      <c r="B2127">
        <v>2023</v>
      </c>
      <c r="C2127" t="s">
        <v>202</v>
      </c>
      <c r="D2127" t="s">
        <v>2940</v>
      </c>
      <c r="E2127" s="22">
        <v>220</v>
      </c>
      <c r="G2127" t="s">
        <v>993</v>
      </c>
      <c r="H2127" t="s">
        <v>144</v>
      </c>
      <c r="J2127" t="s">
        <v>100</v>
      </c>
      <c r="K2127" t="s">
        <v>214</v>
      </c>
      <c r="L2127">
        <v>1</v>
      </c>
    </row>
    <row r="2128" spans="1:12" ht="14.5" hidden="1" customHeight="1" x14ac:dyDescent="0.2">
      <c r="A2128">
        <f t="shared" si="33"/>
        <v>2122</v>
      </c>
      <c r="B2128">
        <v>2023</v>
      </c>
      <c r="C2128" t="s">
        <v>202</v>
      </c>
      <c r="D2128" t="s">
        <v>185</v>
      </c>
      <c r="E2128" s="22">
        <v>640</v>
      </c>
      <c r="H2128" t="s">
        <v>144</v>
      </c>
      <c r="I2128" t="s">
        <v>187</v>
      </c>
      <c r="J2128" t="s">
        <v>91</v>
      </c>
      <c r="K2128" t="s">
        <v>195</v>
      </c>
      <c r="L2128">
        <v>0</v>
      </c>
    </row>
    <row r="2129" spans="1:12" ht="14.5" hidden="1" customHeight="1" x14ac:dyDescent="0.2">
      <c r="A2129">
        <f t="shared" si="33"/>
        <v>2123</v>
      </c>
      <c r="B2129">
        <v>2023</v>
      </c>
      <c r="C2129" t="s">
        <v>202</v>
      </c>
      <c r="D2129" t="s">
        <v>1035</v>
      </c>
      <c r="E2129" s="22">
        <v>230</v>
      </c>
      <c r="H2129" t="s">
        <v>154</v>
      </c>
      <c r="I2129" t="s">
        <v>194</v>
      </c>
      <c r="J2129" t="s">
        <v>98</v>
      </c>
      <c r="K2129" t="s">
        <v>195</v>
      </c>
      <c r="L2129">
        <v>1</v>
      </c>
    </row>
    <row r="2130" spans="1:12" ht="14.5" hidden="1" customHeight="1" x14ac:dyDescent="0.2">
      <c r="A2130">
        <f t="shared" si="33"/>
        <v>2124</v>
      </c>
      <c r="B2130">
        <v>2023</v>
      </c>
      <c r="C2130" t="s">
        <v>202</v>
      </c>
      <c r="D2130" t="s">
        <v>1035</v>
      </c>
      <c r="E2130" s="22">
        <v>220</v>
      </c>
      <c r="H2130" t="s">
        <v>154</v>
      </c>
      <c r="I2130" t="s">
        <v>529</v>
      </c>
      <c r="J2130" t="s">
        <v>106</v>
      </c>
      <c r="K2130" t="s">
        <v>195</v>
      </c>
      <c r="L2130">
        <v>1</v>
      </c>
    </row>
    <row r="2131" spans="1:12" ht="14.5" hidden="1" customHeight="1" x14ac:dyDescent="0.2">
      <c r="A2131">
        <f t="shared" si="33"/>
        <v>2125</v>
      </c>
      <c r="B2131">
        <v>2023</v>
      </c>
      <c r="C2131" t="s">
        <v>202</v>
      </c>
      <c r="D2131" t="s">
        <v>479</v>
      </c>
      <c r="E2131" s="22">
        <v>110</v>
      </c>
      <c r="H2131" t="s">
        <v>142</v>
      </c>
      <c r="J2131" t="s">
        <v>123</v>
      </c>
      <c r="K2131" t="s">
        <v>219</v>
      </c>
      <c r="L2131">
        <v>1</v>
      </c>
    </row>
    <row r="2132" spans="1:12" ht="14.5" hidden="1" customHeight="1" x14ac:dyDescent="0.2">
      <c r="A2132">
        <f t="shared" si="33"/>
        <v>2126</v>
      </c>
      <c r="B2132">
        <v>2023</v>
      </c>
      <c r="C2132" t="s">
        <v>202</v>
      </c>
      <c r="D2132" t="s">
        <v>479</v>
      </c>
      <c r="E2132" s="22">
        <v>840</v>
      </c>
      <c r="H2132" t="s">
        <v>154</v>
      </c>
      <c r="I2132" t="s">
        <v>194</v>
      </c>
      <c r="J2132" t="s">
        <v>9</v>
      </c>
      <c r="K2132" t="s">
        <v>9</v>
      </c>
      <c r="L2132">
        <v>0</v>
      </c>
    </row>
    <row r="2133" spans="1:12" ht="14.5" hidden="1" customHeight="1" x14ac:dyDescent="0.2">
      <c r="A2133">
        <f t="shared" si="33"/>
        <v>2127</v>
      </c>
      <c r="B2133">
        <v>2023</v>
      </c>
      <c r="C2133" t="s">
        <v>202</v>
      </c>
      <c r="D2133" t="s">
        <v>449</v>
      </c>
      <c r="E2133" s="22">
        <v>150</v>
      </c>
      <c r="H2133" t="s">
        <v>151</v>
      </c>
      <c r="I2133" t="s">
        <v>279</v>
      </c>
      <c r="J2133" t="s">
        <v>132</v>
      </c>
      <c r="K2133" t="s">
        <v>219</v>
      </c>
      <c r="L2133">
        <v>1</v>
      </c>
    </row>
    <row r="2134" spans="1:12" ht="14.5" hidden="1" customHeight="1" x14ac:dyDescent="0.2">
      <c r="A2134">
        <f t="shared" si="33"/>
        <v>2128</v>
      </c>
      <c r="B2134">
        <v>2023</v>
      </c>
      <c r="C2134" t="s">
        <v>202</v>
      </c>
      <c r="D2134" t="s">
        <v>175</v>
      </c>
      <c r="E2134" s="22">
        <v>100</v>
      </c>
      <c r="G2134" t="s">
        <v>3099</v>
      </c>
      <c r="H2134" t="s">
        <v>149</v>
      </c>
      <c r="I2134" t="s">
        <v>182</v>
      </c>
      <c r="J2134" t="s">
        <v>13</v>
      </c>
      <c r="K2134" t="s">
        <v>201</v>
      </c>
      <c r="L2134">
        <v>1</v>
      </c>
    </row>
    <row r="2135" spans="1:12" ht="14.5" hidden="1" customHeight="1" x14ac:dyDescent="0.2">
      <c r="A2135">
        <f t="shared" si="33"/>
        <v>2129</v>
      </c>
      <c r="B2135">
        <v>2023</v>
      </c>
      <c r="C2135" t="s">
        <v>202</v>
      </c>
      <c r="D2135" t="s">
        <v>479</v>
      </c>
      <c r="E2135" s="22">
        <v>540</v>
      </c>
      <c r="H2135" t="s">
        <v>147</v>
      </c>
      <c r="J2135" t="s">
        <v>9</v>
      </c>
      <c r="K2135" t="s">
        <v>9</v>
      </c>
      <c r="L2135">
        <v>0</v>
      </c>
    </row>
    <row r="2136" spans="1:12" ht="14.5" hidden="1" customHeight="1" x14ac:dyDescent="0.2">
      <c r="A2136">
        <f t="shared" si="33"/>
        <v>2130</v>
      </c>
      <c r="B2136">
        <v>2023</v>
      </c>
      <c r="C2136" t="s">
        <v>202</v>
      </c>
      <c r="D2136" t="s">
        <v>199</v>
      </c>
      <c r="E2136" s="22">
        <v>330</v>
      </c>
      <c r="H2136" t="s">
        <v>144</v>
      </c>
      <c r="I2136" t="s">
        <v>187</v>
      </c>
      <c r="J2136" t="s">
        <v>130</v>
      </c>
      <c r="K2136" t="s">
        <v>214</v>
      </c>
      <c r="L2136">
        <v>1</v>
      </c>
    </row>
    <row r="2137" spans="1:12" ht="14.5" hidden="1" customHeight="1" x14ac:dyDescent="0.2">
      <c r="A2137">
        <f t="shared" si="33"/>
        <v>2131</v>
      </c>
      <c r="B2137">
        <v>2023</v>
      </c>
      <c r="C2137" t="s">
        <v>202</v>
      </c>
      <c r="D2137" t="s">
        <v>479</v>
      </c>
      <c r="E2137" s="22">
        <v>660</v>
      </c>
      <c r="H2137" t="s">
        <v>154</v>
      </c>
      <c r="I2137" t="s">
        <v>194</v>
      </c>
      <c r="J2137" t="s">
        <v>2554</v>
      </c>
      <c r="K2137" t="s">
        <v>219</v>
      </c>
      <c r="L2137">
        <v>1</v>
      </c>
    </row>
    <row r="2138" spans="1:12" ht="14.5" hidden="1" customHeight="1" x14ac:dyDescent="0.2">
      <c r="A2138">
        <f t="shared" si="33"/>
        <v>2132</v>
      </c>
      <c r="B2138">
        <v>2023</v>
      </c>
      <c r="C2138" t="s">
        <v>202</v>
      </c>
      <c r="D2138" t="s">
        <v>479</v>
      </c>
      <c r="E2138" s="22">
        <v>470</v>
      </c>
      <c r="H2138" t="s">
        <v>154</v>
      </c>
      <c r="I2138" t="s">
        <v>194</v>
      </c>
      <c r="J2138" t="s">
        <v>2445</v>
      </c>
      <c r="K2138" t="s">
        <v>177</v>
      </c>
      <c r="L2138">
        <v>1</v>
      </c>
    </row>
    <row r="2139" spans="1:12" ht="14.5" hidden="1" customHeight="1" x14ac:dyDescent="0.2">
      <c r="A2139">
        <f t="shared" si="33"/>
        <v>2133</v>
      </c>
      <c r="B2139">
        <v>2023</v>
      </c>
      <c r="C2139" t="s">
        <v>207</v>
      </c>
      <c r="D2139" t="s">
        <v>449</v>
      </c>
      <c r="E2139" s="22">
        <v>170</v>
      </c>
      <c r="H2139" t="s">
        <v>150</v>
      </c>
      <c r="I2139" t="s">
        <v>744</v>
      </c>
      <c r="J2139" t="s">
        <v>40</v>
      </c>
      <c r="K2139" t="s">
        <v>219</v>
      </c>
      <c r="L2139">
        <v>1</v>
      </c>
    </row>
    <row r="2140" spans="1:12" ht="14.5" hidden="1" customHeight="1" x14ac:dyDescent="0.2">
      <c r="A2140">
        <f t="shared" si="33"/>
        <v>2134</v>
      </c>
      <c r="B2140">
        <v>2023</v>
      </c>
      <c r="C2140" t="s">
        <v>207</v>
      </c>
      <c r="D2140" t="s">
        <v>185</v>
      </c>
      <c r="E2140" s="22">
        <v>120</v>
      </c>
      <c r="H2140" t="s">
        <v>144</v>
      </c>
      <c r="I2140" t="s">
        <v>187</v>
      </c>
      <c r="J2140" t="s">
        <v>77</v>
      </c>
      <c r="K2140" t="s">
        <v>177</v>
      </c>
      <c r="L2140">
        <v>0</v>
      </c>
    </row>
    <row r="2141" spans="1:12" ht="14.5" hidden="1" customHeight="1" x14ac:dyDescent="0.2">
      <c r="A2141">
        <f t="shared" si="33"/>
        <v>2135</v>
      </c>
      <c r="B2141">
        <v>2023</v>
      </c>
      <c r="C2141" t="s">
        <v>207</v>
      </c>
      <c r="D2141" t="s">
        <v>189</v>
      </c>
      <c r="E2141" s="22">
        <v>160</v>
      </c>
      <c r="G2141" t="s">
        <v>3100</v>
      </c>
      <c r="H2141" t="s">
        <v>144</v>
      </c>
      <c r="I2141" t="s">
        <v>187</v>
      </c>
      <c r="J2141" t="s">
        <v>77</v>
      </c>
      <c r="K2141" t="s">
        <v>177</v>
      </c>
      <c r="L2141">
        <v>0</v>
      </c>
    </row>
    <row r="2142" spans="1:12" ht="14.5" hidden="1" customHeight="1" x14ac:dyDescent="0.2">
      <c r="A2142">
        <f t="shared" si="33"/>
        <v>2136</v>
      </c>
      <c r="B2142">
        <v>2023</v>
      </c>
      <c r="C2142" t="s">
        <v>207</v>
      </c>
      <c r="D2142" t="s">
        <v>479</v>
      </c>
      <c r="E2142" s="22">
        <v>700</v>
      </c>
      <c r="H2142" t="s">
        <v>154</v>
      </c>
      <c r="I2142" t="s">
        <v>529</v>
      </c>
      <c r="J2142" t="s">
        <v>108</v>
      </c>
      <c r="K2142" t="s">
        <v>183</v>
      </c>
      <c r="L2142">
        <v>1</v>
      </c>
    </row>
    <row r="2143" spans="1:12" ht="14.5" hidden="1" customHeight="1" x14ac:dyDescent="0.2">
      <c r="A2143">
        <f t="shared" si="33"/>
        <v>2137</v>
      </c>
      <c r="B2143">
        <v>2023</v>
      </c>
      <c r="C2143" t="s">
        <v>207</v>
      </c>
      <c r="D2143" t="s">
        <v>2434</v>
      </c>
      <c r="E2143" s="22">
        <v>460</v>
      </c>
      <c r="H2143" t="s">
        <v>154</v>
      </c>
      <c r="I2143" t="s">
        <v>250</v>
      </c>
      <c r="J2143" t="s">
        <v>108</v>
      </c>
      <c r="K2143" t="s">
        <v>183</v>
      </c>
      <c r="L2143">
        <v>1</v>
      </c>
    </row>
    <row r="2144" spans="1:12" ht="14.5" hidden="1" customHeight="1" x14ac:dyDescent="0.2">
      <c r="A2144">
        <f t="shared" si="33"/>
        <v>2138</v>
      </c>
      <c r="B2144">
        <v>2023</v>
      </c>
      <c r="C2144" t="s">
        <v>207</v>
      </c>
      <c r="D2144" t="s">
        <v>3101</v>
      </c>
      <c r="E2144" s="22">
        <v>380</v>
      </c>
      <c r="H2144" t="s">
        <v>144</v>
      </c>
      <c r="I2144" t="s">
        <v>299</v>
      </c>
      <c r="J2144" t="s">
        <v>63</v>
      </c>
      <c r="K2144" t="s">
        <v>201</v>
      </c>
      <c r="L2144">
        <v>1</v>
      </c>
    </row>
    <row r="2145" spans="1:12" ht="14.5" hidden="1" customHeight="1" x14ac:dyDescent="0.2">
      <c r="A2145">
        <f t="shared" si="33"/>
        <v>2139</v>
      </c>
      <c r="B2145">
        <v>2023</v>
      </c>
      <c r="C2145" t="s">
        <v>207</v>
      </c>
      <c r="D2145" t="s">
        <v>1035</v>
      </c>
      <c r="E2145" s="22">
        <v>150</v>
      </c>
      <c r="G2145" t="s">
        <v>2387</v>
      </c>
      <c r="H2145" t="s">
        <v>149</v>
      </c>
      <c r="I2145" t="s">
        <v>182</v>
      </c>
      <c r="J2145" t="s">
        <v>68</v>
      </c>
      <c r="K2145" t="s">
        <v>219</v>
      </c>
      <c r="L2145">
        <v>1</v>
      </c>
    </row>
    <row r="2146" spans="1:12" ht="14.5" hidden="1" customHeight="1" x14ac:dyDescent="0.2">
      <c r="A2146">
        <f t="shared" si="33"/>
        <v>2140</v>
      </c>
      <c r="B2146">
        <v>2023</v>
      </c>
      <c r="C2146" t="s">
        <v>207</v>
      </c>
      <c r="D2146" t="s">
        <v>1035</v>
      </c>
      <c r="E2146" s="22">
        <v>410</v>
      </c>
      <c r="G2146" t="s">
        <v>1247</v>
      </c>
      <c r="H2146" t="s">
        <v>155</v>
      </c>
      <c r="J2146" t="s">
        <v>130</v>
      </c>
      <c r="K2146" t="s">
        <v>214</v>
      </c>
      <c r="L2146">
        <v>1</v>
      </c>
    </row>
    <row r="2147" spans="1:12" ht="14.5" hidden="1" customHeight="1" x14ac:dyDescent="0.2">
      <c r="A2147">
        <f t="shared" si="33"/>
        <v>2141</v>
      </c>
      <c r="B2147">
        <v>2023</v>
      </c>
      <c r="C2147" t="s">
        <v>207</v>
      </c>
      <c r="D2147" t="s">
        <v>1035</v>
      </c>
      <c r="E2147" s="22">
        <v>560</v>
      </c>
      <c r="G2147" t="s">
        <v>3086</v>
      </c>
      <c r="H2147" t="s">
        <v>144</v>
      </c>
      <c r="I2147" t="s">
        <v>232</v>
      </c>
      <c r="J2147" t="s">
        <v>134</v>
      </c>
      <c r="K2147" t="s">
        <v>201</v>
      </c>
      <c r="L2147">
        <v>1</v>
      </c>
    </row>
    <row r="2148" spans="1:12" ht="14.5" hidden="1" customHeight="1" x14ac:dyDescent="0.2">
      <c r="A2148">
        <f t="shared" si="33"/>
        <v>2142</v>
      </c>
      <c r="B2148">
        <v>2023</v>
      </c>
      <c r="C2148" t="s">
        <v>207</v>
      </c>
      <c r="D2148" t="s">
        <v>199</v>
      </c>
      <c r="E2148" s="22">
        <v>300</v>
      </c>
      <c r="H2148" t="s">
        <v>144</v>
      </c>
      <c r="I2148" t="s">
        <v>187</v>
      </c>
      <c r="J2148" t="s">
        <v>130</v>
      </c>
      <c r="K2148" t="s">
        <v>214</v>
      </c>
      <c r="L2148">
        <v>1</v>
      </c>
    </row>
    <row r="2149" spans="1:12" ht="14.5" hidden="1" customHeight="1" x14ac:dyDescent="0.2">
      <c r="A2149">
        <f t="shared" si="33"/>
        <v>2143</v>
      </c>
      <c r="B2149">
        <v>2023</v>
      </c>
      <c r="C2149" t="s">
        <v>207</v>
      </c>
      <c r="D2149" t="s">
        <v>1035</v>
      </c>
      <c r="E2149" s="22">
        <v>230</v>
      </c>
      <c r="G2149" t="s">
        <v>3102</v>
      </c>
      <c r="H2149" t="s">
        <v>144</v>
      </c>
      <c r="I2149" t="s">
        <v>197</v>
      </c>
      <c r="J2149" t="s">
        <v>28</v>
      </c>
      <c r="K2149" t="s">
        <v>205</v>
      </c>
      <c r="L2149">
        <v>0</v>
      </c>
    </row>
    <row r="2150" spans="1:12" ht="14.5" hidden="1" customHeight="1" x14ac:dyDescent="0.2">
      <c r="A2150">
        <f t="shared" si="33"/>
        <v>2144</v>
      </c>
      <c r="B2150">
        <v>2023</v>
      </c>
      <c r="C2150" t="s">
        <v>207</v>
      </c>
      <c r="D2150" t="s">
        <v>341</v>
      </c>
      <c r="E2150" s="22">
        <v>270</v>
      </c>
      <c r="H2150" t="s">
        <v>154</v>
      </c>
      <c r="I2150" t="s">
        <v>529</v>
      </c>
      <c r="J2150" t="s">
        <v>124</v>
      </c>
      <c r="K2150" t="s">
        <v>183</v>
      </c>
      <c r="L2150">
        <v>1</v>
      </c>
    </row>
    <row r="2151" spans="1:12" ht="14.5" hidden="1" customHeight="1" x14ac:dyDescent="0.2">
      <c r="A2151">
        <f t="shared" si="33"/>
        <v>2145</v>
      </c>
      <c r="B2151">
        <v>2023</v>
      </c>
      <c r="C2151" t="s">
        <v>207</v>
      </c>
      <c r="D2151" t="s">
        <v>397</v>
      </c>
      <c r="E2151" s="22">
        <v>140</v>
      </c>
      <c r="H2151" t="s">
        <v>154</v>
      </c>
      <c r="I2151" t="s">
        <v>194</v>
      </c>
      <c r="J2151" t="s">
        <v>13</v>
      </c>
      <c r="K2151" t="s">
        <v>201</v>
      </c>
      <c r="L2151">
        <v>1</v>
      </c>
    </row>
    <row r="2152" spans="1:12" ht="14.5" hidden="1" customHeight="1" x14ac:dyDescent="0.2">
      <c r="A2152">
        <f t="shared" si="33"/>
        <v>2146</v>
      </c>
      <c r="B2152">
        <v>2023</v>
      </c>
      <c r="C2152" t="s">
        <v>207</v>
      </c>
      <c r="D2152" t="s">
        <v>444</v>
      </c>
      <c r="E2152" s="22">
        <v>130</v>
      </c>
      <c r="H2152" t="s">
        <v>154</v>
      </c>
      <c r="I2152" t="s">
        <v>194</v>
      </c>
      <c r="J2152" t="s">
        <v>76</v>
      </c>
      <c r="K2152" t="s">
        <v>219</v>
      </c>
      <c r="L2152">
        <v>0</v>
      </c>
    </row>
    <row r="2153" spans="1:12" ht="14.5" hidden="1" customHeight="1" x14ac:dyDescent="0.2">
      <c r="A2153">
        <f t="shared" si="33"/>
        <v>2147</v>
      </c>
      <c r="B2153">
        <v>2023</v>
      </c>
      <c r="C2153" t="s">
        <v>240</v>
      </c>
      <c r="D2153" t="s">
        <v>875</v>
      </c>
      <c r="E2153" s="22">
        <v>1120</v>
      </c>
      <c r="H2153" t="s">
        <v>151</v>
      </c>
      <c r="I2153" t="s">
        <v>279</v>
      </c>
      <c r="J2153" t="s">
        <v>65</v>
      </c>
      <c r="K2153" t="s">
        <v>214</v>
      </c>
      <c r="L2153">
        <v>1</v>
      </c>
    </row>
    <row r="2154" spans="1:12" ht="14.5" hidden="1" customHeight="1" x14ac:dyDescent="0.2">
      <c r="A2154">
        <f t="shared" si="33"/>
        <v>2148</v>
      </c>
      <c r="B2154">
        <v>2023</v>
      </c>
      <c r="C2154" t="s">
        <v>240</v>
      </c>
      <c r="D2154" t="s">
        <v>2103</v>
      </c>
      <c r="E2154" s="22">
        <v>100</v>
      </c>
      <c r="G2154" t="s">
        <v>1812</v>
      </c>
      <c r="H2154" t="s">
        <v>149</v>
      </c>
      <c r="J2154" t="s">
        <v>34</v>
      </c>
      <c r="K2154" t="s">
        <v>219</v>
      </c>
      <c r="L2154">
        <v>1</v>
      </c>
    </row>
    <row r="2155" spans="1:12" ht="14.5" hidden="1" customHeight="1" x14ac:dyDescent="0.2">
      <c r="A2155">
        <f t="shared" si="33"/>
        <v>2149</v>
      </c>
      <c r="B2155">
        <v>2023</v>
      </c>
      <c r="C2155" t="s">
        <v>240</v>
      </c>
      <c r="D2155" t="s">
        <v>557</v>
      </c>
      <c r="E2155" s="22">
        <v>600</v>
      </c>
      <c r="G2155" t="s">
        <v>3103</v>
      </c>
      <c r="H2155" t="s">
        <v>151</v>
      </c>
      <c r="I2155" t="s">
        <v>279</v>
      </c>
      <c r="J2155" t="s">
        <v>89</v>
      </c>
      <c r="K2155" t="s">
        <v>219</v>
      </c>
      <c r="L2155">
        <v>1</v>
      </c>
    </row>
    <row r="2156" spans="1:12" ht="14.5" hidden="1" customHeight="1" x14ac:dyDescent="0.2">
      <c r="A2156">
        <f t="shared" si="33"/>
        <v>2150</v>
      </c>
      <c r="B2156">
        <v>2023</v>
      </c>
      <c r="C2156" t="s">
        <v>240</v>
      </c>
      <c r="D2156" t="s">
        <v>479</v>
      </c>
      <c r="E2156" s="22">
        <v>760</v>
      </c>
      <c r="H2156" t="s">
        <v>154</v>
      </c>
      <c r="I2156" t="s">
        <v>529</v>
      </c>
      <c r="J2156" t="s">
        <v>72</v>
      </c>
      <c r="K2156" t="s">
        <v>183</v>
      </c>
      <c r="L2156">
        <v>1</v>
      </c>
    </row>
    <row r="2157" spans="1:12" hidden="1" x14ac:dyDescent="0.2">
      <c r="A2157">
        <f t="shared" si="33"/>
        <v>2151</v>
      </c>
      <c r="B2157">
        <v>2023</v>
      </c>
      <c r="C2157" t="s">
        <v>240</v>
      </c>
      <c r="D2157" t="s">
        <v>2228</v>
      </c>
      <c r="E2157" s="22">
        <v>560</v>
      </c>
      <c r="H2157" t="s">
        <v>154</v>
      </c>
      <c r="I2157" t="s">
        <v>194</v>
      </c>
      <c r="J2157" t="s">
        <v>106</v>
      </c>
      <c r="K2157" t="s">
        <v>195</v>
      </c>
      <c r="L2157">
        <v>1</v>
      </c>
    </row>
    <row r="2158" spans="1:12" ht="14.5" hidden="1" customHeight="1" x14ac:dyDescent="0.2">
      <c r="A2158">
        <f t="shared" si="33"/>
        <v>2152</v>
      </c>
      <c r="B2158">
        <v>2023</v>
      </c>
      <c r="C2158" t="s">
        <v>240</v>
      </c>
      <c r="D2158" t="s">
        <v>1035</v>
      </c>
      <c r="E2158" s="22">
        <v>280</v>
      </c>
      <c r="H2158" t="s">
        <v>144</v>
      </c>
      <c r="I2158" t="s">
        <v>197</v>
      </c>
      <c r="J2158" t="s">
        <v>93</v>
      </c>
      <c r="K2158" t="s">
        <v>201</v>
      </c>
      <c r="L2158">
        <v>1</v>
      </c>
    </row>
    <row r="2159" spans="1:12" ht="14.5" hidden="1" customHeight="1" x14ac:dyDescent="0.2">
      <c r="A2159">
        <f t="shared" si="33"/>
        <v>2153</v>
      </c>
      <c r="B2159">
        <v>2023</v>
      </c>
      <c r="C2159" t="s">
        <v>240</v>
      </c>
      <c r="D2159" t="s">
        <v>875</v>
      </c>
      <c r="E2159" s="22">
        <v>380</v>
      </c>
      <c r="H2159" t="s">
        <v>144</v>
      </c>
      <c r="I2159" t="s">
        <v>232</v>
      </c>
      <c r="J2159" t="s">
        <v>77</v>
      </c>
      <c r="K2159" t="s">
        <v>177</v>
      </c>
      <c r="L2159">
        <v>0</v>
      </c>
    </row>
    <row r="2160" spans="1:12" ht="14.5" hidden="1" customHeight="1" x14ac:dyDescent="0.2">
      <c r="A2160">
        <f t="shared" si="33"/>
        <v>2154</v>
      </c>
      <c r="B2160">
        <v>2023</v>
      </c>
      <c r="C2160" t="s">
        <v>212</v>
      </c>
      <c r="D2160" t="s">
        <v>557</v>
      </c>
      <c r="E2160" s="22">
        <v>230</v>
      </c>
      <c r="G2160" t="s">
        <v>2270</v>
      </c>
      <c r="H2160" t="s">
        <v>151</v>
      </c>
      <c r="I2160" t="s">
        <v>279</v>
      </c>
      <c r="J2160" t="s">
        <v>15</v>
      </c>
      <c r="K2160" t="s">
        <v>195</v>
      </c>
      <c r="L2160">
        <v>0</v>
      </c>
    </row>
    <row r="2161" spans="1:12" ht="14.5" hidden="1" customHeight="1" x14ac:dyDescent="0.2">
      <c r="A2161">
        <f t="shared" si="33"/>
        <v>2155</v>
      </c>
      <c r="B2161">
        <v>2023</v>
      </c>
      <c r="C2161" t="s">
        <v>212</v>
      </c>
      <c r="D2161" t="s">
        <v>2667</v>
      </c>
      <c r="E2161" s="22">
        <v>270</v>
      </c>
      <c r="G2161" t="s">
        <v>3104</v>
      </c>
      <c r="H2161" t="s">
        <v>144</v>
      </c>
      <c r="I2161" t="s">
        <v>299</v>
      </c>
      <c r="J2161" t="s">
        <v>89</v>
      </c>
      <c r="K2161" t="s">
        <v>219</v>
      </c>
      <c r="L2161">
        <v>1</v>
      </c>
    </row>
    <row r="2162" spans="1:12" ht="14.5" hidden="1" customHeight="1" x14ac:dyDescent="0.2">
      <c r="A2162">
        <f t="shared" si="33"/>
        <v>2156</v>
      </c>
      <c r="B2162">
        <v>2023</v>
      </c>
      <c r="C2162" t="s">
        <v>212</v>
      </c>
      <c r="D2162" t="s">
        <v>1035</v>
      </c>
      <c r="E2162" s="22">
        <v>830</v>
      </c>
      <c r="H2162" t="s">
        <v>154</v>
      </c>
      <c r="I2162" t="s">
        <v>529</v>
      </c>
      <c r="J2162" t="s">
        <v>34</v>
      </c>
      <c r="K2162" t="s">
        <v>219</v>
      </c>
      <c r="L2162">
        <v>1</v>
      </c>
    </row>
    <row r="2163" spans="1:12" ht="14.5" hidden="1" customHeight="1" x14ac:dyDescent="0.2">
      <c r="A2163">
        <f t="shared" si="33"/>
        <v>2157</v>
      </c>
      <c r="B2163">
        <v>2023</v>
      </c>
      <c r="C2163" t="s">
        <v>212</v>
      </c>
      <c r="D2163" t="s">
        <v>397</v>
      </c>
      <c r="E2163" s="22">
        <v>330</v>
      </c>
      <c r="H2163" t="s">
        <v>144</v>
      </c>
      <c r="I2163" t="s">
        <v>232</v>
      </c>
      <c r="J2163" t="s">
        <v>5</v>
      </c>
      <c r="K2163" t="s">
        <v>214</v>
      </c>
      <c r="L2163">
        <v>1</v>
      </c>
    </row>
    <row r="2164" spans="1:12" ht="14.5" hidden="1" customHeight="1" x14ac:dyDescent="0.2">
      <c r="A2164">
        <f t="shared" si="33"/>
        <v>2158</v>
      </c>
      <c r="B2164">
        <v>2023</v>
      </c>
      <c r="C2164" t="s">
        <v>212</v>
      </c>
      <c r="D2164" t="s">
        <v>1035</v>
      </c>
      <c r="E2164" s="22">
        <v>240</v>
      </c>
      <c r="H2164" t="s">
        <v>144</v>
      </c>
      <c r="I2164" t="s">
        <v>197</v>
      </c>
      <c r="J2164" t="s">
        <v>53</v>
      </c>
      <c r="K2164" t="s">
        <v>183</v>
      </c>
      <c r="L2164">
        <v>1</v>
      </c>
    </row>
    <row r="2165" spans="1:12" ht="14.5" hidden="1" customHeight="1" x14ac:dyDescent="0.2">
      <c r="A2165">
        <f t="shared" si="33"/>
        <v>2159</v>
      </c>
      <c r="B2165">
        <v>2023</v>
      </c>
      <c r="C2165" t="s">
        <v>212</v>
      </c>
      <c r="D2165" t="s">
        <v>397</v>
      </c>
      <c r="E2165" s="22">
        <v>840</v>
      </c>
      <c r="H2165" t="s">
        <v>154</v>
      </c>
      <c r="I2165" t="s">
        <v>194</v>
      </c>
      <c r="J2165" t="s">
        <v>106</v>
      </c>
      <c r="K2165" t="s">
        <v>195</v>
      </c>
      <c r="L2165">
        <v>1</v>
      </c>
    </row>
    <row r="2166" spans="1:12" ht="14.5" hidden="1" customHeight="1" x14ac:dyDescent="0.2">
      <c r="A2166">
        <f t="shared" si="33"/>
        <v>2160</v>
      </c>
      <c r="B2166">
        <v>2023</v>
      </c>
      <c r="C2166" t="s">
        <v>212</v>
      </c>
      <c r="D2166" t="s">
        <v>479</v>
      </c>
      <c r="E2166" s="22">
        <v>120</v>
      </c>
      <c r="H2166" t="s">
        <v>154</v>
      </c>
      <c r="I2166" t="s">
        <v>194</v>
      </c>
      <c r="J2166" t="s">
        <v>50</v>
      </c>
      <c r="K2166" t="s">
        <v>205</v>
      </c>
      <c r="L2166">
        <v>1</v>
      </c>
    </row>
    <row r="2167" spans="1:12" ht="14.5" hidden="1" customHeight="1" x14ac:dyDescent="0.2">
      <c r="A2167">
        <f t="shared" si="33"/>
        <v>2161</v>
      </c>
      <c r="B2167">
        <v>2023</v>
      </c>
      <c r="C2167" t="s">
        <v>212</v>
      </c>
      <c r="D2167" t="s">
        <v>479</v>
      </c>
      <c r="E2167" s="22">
        <v>120</v>
      </c>
      <c r="H2167" t="s">
        <v>144</v>
      </c>
      <c r="I2167" t="s">
        <v>299</v>
      </c>
      <c r="J2167" t="s">
        <v>72</v>
      </c>
      <c r="K2167" t="s">
        <v>183</v>
      </c>
      <c r="L2167">
        <v>1</v>
      </c>
    </row>
    <row r="2168" spans="1:12" ht="14.5" hidden="1" customHeight="1" x14ac:dyDescent="0.2">
      <c r="A2168">
        <f t="shared" si="33"/>
        <v>2162</v>
      </c>
      <c r="B2168">
        <v>2023</v>
      </c>
      <c r="C2168" t="s">
        <v>212</v>
      </c>
      <c r="D2168" t="s">
        <v>1035</v>
      </c>
      <c r="E2168" s="22">
        <v>110</v>
      </c>
      <c r="H2168" t="s">
        <v>149</v>
      </c>
      <c r="I2168" t="s">
        <v>238</v>
      </c>
      <c r="J2168" t="s">
        <v>48</v>
      </c>
      <c r="K2168" t="s">
        <v>219</v>
      </c>
      <c r="L2168">
        <v>1</v>
      </c>
    </row>
    <row r="2169" spans="1:12" ht="14.5" hidden="1" customHeight="1" x14ac:dyDescent="0.2">
      <c r="A2169">
        <f t="shared" si="33"/>
        <v>2163</v>
      </c>
      <c r="B2169">
        <v>2023</v>
      </c>
      <c r="C2169" t="s">
        <v>212</v>
      </c>
      <c r="D2169" t="s">
        <v>1035</v>
      </c>
      <c r="E2169" s="22">
        <v>410</v>
      </c>
      <c r="G2169" t="s">
        <v>1247</v>
      </c>
      <c r="H2169" t="s">
        <v>144</v>
      </c>
      <c r="I2169" t="s">
        <v>232</v>
      </c>
      <c r="J2169" t="s">
        <v>105</v>
      </c>
      <c r="K2169" t="s">
        <v>214</v>
      </c>
      <c r="L2169">
        <v>1</v>
      </c>
    </row>
    <row r="2170" spans="1:12" ht="14.5" hidden="1" customHeight="1" x14ac:dyDescent="0.2">
      <c r="A2170">
        <f t="shared" si="33"/>
        <v>2164</v>
      </c>
      <c r="B2170">
        <v>2023</v>
      </c>
      <c r="C2170" t="s">
        <v>212</v>
      </c>
      <c r="D2170" t="s">
        <v>745</v>
      </c>
      <c r="E2170" s="22">
        <v>200</v>
      </c>
      <c r="G2170" t="s">
        <v>625</v>
      </c>
      <c r="H2170" t="s">
        <v>143</v>
      </c>
      <c r="J2170" t="s">
        <v>105</v>
      </c>
      <c r="K2170" t="s">
        <v>214</v>
      </c>
      <c r="L2170">
        <v>1</v>
      </c>
    </row>
    <row r="2171" spans="1:12" ht="14.5" hidden="1" customHeight="1" x14ac:dyDescent="0.2">
      <c r="A2171">
        <f t="shared" si="33"/>
        <v>2165</v>
      </c>
      <c r="B2171">
        <v>2023</v>
      </c>
      <c r="C2171" t="s">
        <v>212</v>
      </c>
      <c r="D2171" t="s">
        <v>557</v>
      </c>
      <c r="E2171" s="22">
        <v>590</v>
      </c>
      <c r="G2171" t="s">
        <v>2405</v>
      </c>
      <c r="H2171" t="s">
        <v>151</v>
      </c>
      <c r="I2171" t="s">
        <v>279</v>
      </c>
      <c r="J2171" t="s">
        <v>89</v>
      </c>
      <c r="K2171" t="s">
        <v>219</v>
      </c>
      <c r="L2171">
        <v>1</v>
      </c>
    </row>
    <row r="2172" spans="1:12" ht="14.5" hidden="1" customHeight="1" x14ac:dyDescent="0.2">
      <c r="A2172">
        <f t="shared" si="33"/>
        <v>2166</v>
      </c>
      <c r="B2172">
        <v>2023</v>
      </c>
      <c r="C2172" t="s">
        <v>212</v>
      </c>
      <c r="D2172" t="s">
        <v>199</v>
      </c>
      <c r="E2172" s="22">
        <v>460</v>
      </c>
      <c r="F2172" s="16">
        <v>0.3</v>
      </c>
      <c r="G2172" t="s">
        <v>2300</v>
      </c>
      <c r="H2172" t="s">
        <v>143</v>
      </c>
      <c r="J2172" t="s">
        <v>5</v>
      </c>
      <c r="K2172" t="s">
        <v>214</v>
      </c>
      <c r="L2172">
        <v>1</v>
      </c>
    </row>
    <row r="2173" spans="1:12" ht="14.5" hidden="1" customHeight="1" x14ac:dyDescent="0.2">
      <c r="A2173">
        <f t="shared" si="33"/>
        <v>2167</v>
      </c>
      <c r="B2173">
        <v>2023</v>
      </c>
      <c r="C2173" t="s">
        <v>212</v>
      </c>
      <c r="D2173" t="s">
        <v>745</v>
      </c>
      <c r="E2173" s="22">
        <v>620</v>
      </c>
      <c r="G2173" t="s">
        <v>3105</v>
      </c>
      <c r="H2173" t="s">
        <v>142</v>
      </c>
      <c r="J2173" t="s">
        <v>53</v>
      </c>
      <c r="K2173" t="s">
        <v>183</v>
      </c>
      <c r="L2173">
        <v>1</v>
      </c>
    </row>
    <row r="2174" spans="1:12" ht="14.5" hidden="1" customHeight="1" x14ac:dyDescent="0.2">
      <c r="A2174">
        <f t="shared" si="33"/>
        <v>2168</v>
      </c>
      <c r="B2174">
        <v>2023</v>
      </c>
      <c r="C2174" t="s">
        <v>212</v>
      </c>
      <c r="D2174" t="s">
        <v>175</v>
      </c>
      <c r="E2174" s="22">
        <v>190</v>
      </c>
      <c r="H2174" t="s">
        <v>151</v>
      </c>
      <c r="J2174" t="s">
        <v>23</v>
      </c>
      <c r="K2174" t="s">
        <v>183</v>
      </c>
      <c r="L2174">
        <v>1</v>
      </c>
    </row>
    <row r="2175" spans="1:12" ht="14.5" hidden="1" customHeight="1" x14ac:dyDescent="0.2">
      <c r="A2175">
        <f t="shared" si="33"/>
        <v>2169</v>
      </c>
      <c r="B2175">
        <v>2023</v>
      </c>
      <c r="C2175" t="s">
        <v>212</v>
      </c>
      <c r="D2175" t="s">
        <v>397</v>
      </c>
      <c r="E2175" s="22">
        <v>120</v>
      </c>
      <c r="H2175" t="s">
        <v>144</v>
      </c>
      <c r="I2175" t="s">
        <v>299</v>
      </c>
      <c r="J2175" t="s">
        <v>95</v>
      </c>
      <c r="K2175" t="s">
        <v>183</v>
      </c>
      <c r="L2175">
        <v>1</v>
      </c>
    </row>
    <row r="2176" spans="1:12" ht="14.5" hidden="1" customHeight="1" x14ac:dyDescent="0.2">
      <c r="A2176">
        <f t="shared" si="33"/>
        <v>2170</v>
      </c>
      <c r="B2176">
        <v>2023</v>
      </c>
      <c r="C2176" t="s">
        <v>212</v>
      </c>
      <c r="D2176" t="s">
        <v>2625</v>
      </c>
      <c r="E2176" s="22">
        <v>950</v>
      </c>
      <c r="H2176" t="s">
        <v>144</v>
      </c>
      <c r="I2176" t="s">
        <v>299</v>
      </c>
      <c r="J2176" t="s">
        <v>134</v>
      </c>
      <c r="K2176" t="s">
        <v>201</v>
      </c>
      <c r="L2176">
        <v>1</v>
      </c>
    </row>
    <row r="2177" spans="1:12" ht="14.5" hidden="1" customHeight="1" x14ac:dyDescent="0.2">
      <c r="A2177">
        <f t="shared" si="33"/>
        <v>2171</v>
      </c>
      <c r="B2177">
        <v>2023</v>
      </c>
      <c r="C2177" t="s">
        <v>212</v>
      </c>
      <c r="D2177" t="s">
        <v>745</v>
      </c>
      <c r="E2177" s="22">
        <v>370</v>
      </c>
      <c r="G2177" t="s">
        <v>3106</v>
      </c>
      <c r="H2177" t="s">
        <v>142</v>
      </c>
      <c r="J2177" t="s">
        <v>101</v>
      </c>
      <c r="K2177" t="s">
        <v>201</v>
      </c>
      <c r="L2177">
        <v>1</v>
      </c>
    </row>
    <row r="2178" spans="1:12" ht="14.5" hidden="1" customHeight="1" x14ac:dyDescent="0.2">
      <c r="A2178">
        <f t="shared" si="33"/>
        <v>2172</v>
      </c>
      <c r="B2178" s="54">
        <v>2024</v>
      </c>
      <c r="C2178" t="s">
        <v>172</v>
      </c>
      <c r="D2178" t="s">
        <v>444</v>
      </c>
      <c r="E2178" s="22">
        <v>350</v>
      </c>
      <c r="G2178" t="s">
        <v>3107</v>
      </c>
      <c r="H2178" t="s">
        <v>143</v>
      </c>
      <c r="J2178" t="s">
        <v>63</v>
      </c>
      <c r="K2178" t="s">
        <v>201</v>
      </c>
      <c r="L2178">
        <v>1</v>
      </c>
    </row>
    <row r="2179" spans="1:12" ht="14.5" hidden="1" customHeight="1" x14ac:dyDescent="0.2">
      <c r="A2179">
        <f t="shared" si="33"/>
        <v>2173</v>
      </c>
      <c r="B2179" s="54">
        <v>2024</v>
      </c>
      <c r="C2179" t="s">
        <v>172</v>
      </c>
      <c r="D2179" t="s">
        <v>479</v>
      </c>
      <c r="E2179" s="22">
        <v>100</v>
      </c>
      <c r="H2179" t="s">
        <v>154</v>
      </c>
      <c r="I2179" t="s">
        <v>529</v>
      </c>
      <c r="J2179" t="s">
        <v>72</v>
      </c>
      <c r="K2179" t="s">
        <v>183</v>
      </c>
      <c r="L2179">
        <v>1</v>
      </c>
    </row>
    <row r="2180" spans="1:12" ht="14.5" hidden="1" customHeight="1" x14ac:dyDescent="0.2">
      <c r="A2180">
        <f t="shared" si="33"/>
        <v>2174</v>
      </c>
      <c r="B2180" s="54">
        <v>2024</v>
      </c>
      <c r="C2180" t="s">
        <v>172</v>
      </c>
      <c r="D2180" t="s">
        <v>3108</v>
      </c>
      <c r="E2180" s="22">
        <v>540</v>
      </c>
      <c r="H2180" t="s">
        <v>144</v>
      </c>
      <c r="I2180" t="s">
        <v>232</v>
      </c>
      <c r="J2180" t="s">
        <v>5</v>
      </c>
      <c r="K2180" t="s">
        <v>214</v>
      </c>
      <c r="L2180">
        <v>1</v>
      </c>
    </row>
    <row r="2181" spans="1:12" ht="14.5" hidden="1" customHeight="1" x14ac:dyDescent="0.2">
      <c r="A2181">
        <f t="shared" si="33"/>
        <v>2175</v>
      </c>
      <c r="B2181" s="54">
        <v>2024</v>
      </c>
      <c r="C2181" t="s">
        <v>172</v>
      </c>
      <c r="D2181" t="s">
        <v>1356</v>
      </c>
      <c r="E2181" s="22">
        <v>100</v>
      </c>
      <c r="H2181" t="s">
        <v>154</v>
      </c>
      <c r="I2181" t="s">
        <v>194</v>
      </c>
      <c r="J2181" t="s">
        <v>64</v>
      </c>
      <c r="K2181" t="s">
        <v>219</v>
      </c>
      <c r="L2181">
        <v>1</v>
      </c>
    </row>
    <row r="2182" spans="1:12" ht="14.5" hidden="1" customHeight="1" x14ac:dyDescent="0.2">
      <c r="A2182">
        <f t="shared" si="33"/>
        <v>2176</v>
      </c>
      <c r="B2182" s="54">
        <v>2024</v>
      </c>
      <c r="C2182" t="s">
        <v>172</v>
      </c>
      <c r="D2182" t="s">
        <v>449</v>
      </c>
      <c r="E2182" s="22">
        <v>1320</v>
      </c>
      <c r="G2182" t="s">
        <v>3109</v>
      </c>
      <c r="H2182" t="s">
        <v>154</v>
      </c>
      <c r="I2182" t="s">
        <v>529</v>
      </c>
      <c r="J2182" t="s">
        <v>5</v>
      </c>
      <c r="K2182" t="s">
        <v>214</v>
      </c>
      <c r="L2182">
        <v>1</v>
      </c>
    </row>
    <row r="2183" spans="1:12" ht="14.5" hidden="1" customHeight="1" x14ac:dyDescent="0.2">
      <c r="A2183">
        <f t="shared" ref="A2183:A2246" si="34">ROW()-6</f>
        <v>2177</v>
      </c>
      <c r="B2183" s="54">
        <v>2024</v>
      </c>
      <c r="C2183" t="s">
        <v>172</v>
      </c>
      <c r="D2183" t="s">
        <v>189</v>
      </c>
      <c r="E2183" s="22">
        <v>1160</v>
      </c>
      <c r="F2183" s="16">
        <v>0.35</v>
      </c>
      <c r="G2183" t="s">
        <v>2002</v>
      </c>
      <c r="H2183" t="s">
        <v>144</v>
      </c>
      <c r="I2183" t="s">
        <v>299</v>
      </c>
      <c r="J2183" t="s">
        <v>105</v>
      </c>
      <c r="K2183" t="s">
        <v>214</v>
      </c>
      <c r="L2183">
        <v>1</v>
      </c>
    </row>
    <row r="2184" spans="1:12" ht="14.5" hidden="1" customHeight="1" x14ac:dyDescent="0.2">
      <c r="A2184">
        <f t="shared" si="34"/>
        <v>2178</v>
      </c>
      <c r="B2184" s="54">
        <v>2024</v>
      </c>
      <c r="C2184" t="s">
        <v>172</v>
      </c>
      <c r="D2184" t="s">
        <v>185</v>
      </c>
      <c r="E2184" s="22">
        <v>130</v>
      </c>
      <c r="H2184" t="s">
        <v>144</v>
      </c>
      <c r="I2184" t="s">
        <v>187</v>
      </c>
      <c r="J2184" t="s">
        <v>53</v>
      </c>
      <c r="K2184" t="s">
        <v>183</v>
      </c>
      <c r="L2184">
        <v>1</v>
      </c>
    </row>
    <row r="2185" spans="1:12" ht="14.5" hidden="1" customHeight="1" x14ac:dyDescent="0.2">
      <c r="A2185">
        <f t="shared" si="34"/>
        <v>2179</v>
      </c>
      <c r="B2185" s="54">
        <v>2024</v>
      </c>
      <c r="C2185" t="s">
        <v>172</v>
      </c>
      <c r="D2185" t="s">
        <v>479</v>
      </c>
      <c r="E2185" s="22">
        <v>160</v>
      </c>
      <c r="H2185" t="s">
        <v>154</v>
      </c>
      <c r="I2185" t="s">
        <v>271</v>
      </c>
      <c r="J2185" t="s">
        <v>72</v>
      </c>
      <c r="K2185" t="s">
        <v>183</v>
      </c>
      <c r="L2185">
        <v>1</v>
      </c>
    </row>
    <row r="2186" spans="1:12" ht="14.5" hidden="1" customHeight="1" x14ac:dyDescent="0.2">
      <c r="A2186">
        <f t="shared" si="34"/>
        <v>2180</v>
      </c>
      <c r="B2186" s="54">
        <v>2024</v>
      </c>
      <c r="C2186" t="s">
        <v>258</v>
      </c>
      <c r="D2186" t="s">
        <v>703</v>
      </c>
      <c r="E2186" s="22">
        <v>300</v>
      </c>
      <c r="G2186" t="s">
        <v>3110</v>
      </c>
      <c r="H2186" t="s">
        <v>144</v>
      </c>
      <c r="I2186" t="s">
        <v>232</v>
      </c>
      <c r="J2186" t="s">
        <v>128</v>
      </c>
      <c r="K2186" t="s">
        <v>201</v>
      </c>
      <c r="L2186">
        <v>1</v>
      </c>
    </row>
    <row r="2187" spans="1:12" ht="14.5" hidden="1" customHeight="1" x14ac:dyDescent="0.2">
      <c r="A2187">
        <f t="shared" si="34"/>
        <v>2181</v>
      </c>
      <c r="B2187" s="54">
        <v>2024</v>
      </c>
      <c r="C2187" t="s">
        <v>258</v>
      </c>
      <c r="D2187" t="s">
        <v>3111</v>
      </c>
      <c r="E2187" s="22">
        <v>270</v>
      </c>
      <c r="H2187" t="s">
        <v>148</v>
      </c>
      <c r="J2187" t="s">
        <v>123</v>
      </c>
      <c r="K2187" t="s">
        <v>219</v>
      </c>
      <c r="L2187">
        <v>1</v>
      </c>
    </row>
    <row r="2188" spans="1:12" ht="14.5" hidden="1" customHeight="1" x14ac:dyDescent="0.2">
      <c r="A2188">
        <f t="shared" si="34"/>
        <v>2182</v>
      </c>
      <c r="B2188" s="54">
        <v>2024</v>
      </c>
      <c r="C2188" t="s">
        <v>258</v>
      </c>
      <c r="D2188" t="s">
        <v>3112</v>
      </c>
      <c r="E2188" s="22">
        <v>170</v>
      </c>
      <c r="F2188" s="16">
        <v>0.7</v>
      </c>
      <c r="G2188" t="s">
        <v>3113</v>
      </c>
      <c r="H2188" t="s">
        <v>154</v>
      </c>
      <c r="I2188" t="s">
        <v>194</v>
      </c>
      <c r="J2188" t="s">
        <v>97</v>
      </c>
      <c r="K2188" t="s">
        <v>183</v>
      </c>
      <c r="L2188">
        <v>1</v>
      </c>
    </row>
    <row r="2189" spans="1:12" ht="14.5" hidden="1" customHeight="1" x14ac:dyDescent="0.2">
      <c r="A2189">
        <f t="shared" si="34"/>
        <v>2183</v>
      </c>
      <c r="B2189" s="54">
        <v>2024</v>
      </c>
      <c r="C2189" t="s">
        <v>258</v>
      </c>
      <c r="D2189" t="s">
        <v>557</v>
      </c>
      <c r="E2189" s="22">
        <v>270</v>
      </c>
      <c r="H2189" t="s">
        <v>151</v>
      </c>
      <c r="I2189" t="s">
        <v>279</v>
      </c>
      <c r="J2189" t="s">
        <v>105</v>
      </c>
      <c r="K2189" t="s">
        <v>214</v>
      </c>
      <c r="L2189">
        <v>1</v>
      </c>
    </row>
    <row r="2190" spans="1:12" ht="14.5" hidden="1" customHeight="1" x14ac:dyDescent="0.2">
      <c r="A2190">
        <f t="shared" si="34"/>
        <v>2184</v>
      </c>
      <c r="B2190" s="54">
        <v>2024</v>
      </c>
      <c r="C2190" t="s">
        <v>258</v>
      </c>
      <c r="D2190" t="s">
        <v>745</v>
      </c>
      <c r="E2190" s="22">
        <v>260</v>
      </c>
      <c r="H2190" t="s">
        <v>150</v>
      </c>
      <c r="I2190" t="s">
        <v>292</v>
      </c>
      <c r="J2190" t="s">
        <v>13</v>
      </c>
      <c r="K2190" t="s">
        <v>201</v>
      </c>
      <c r="L2190">
        <v>1</v>
      </c>
    </row>
    <row r="2191" spans="1:12" ht="14.5" hidden="1" customHeight="1" x14ac:dyDescent="0.2">
      <c r="A2191">
        <f t="shared" si="34"/>
        <v>2185</v>
      </c>
      <c r="B2191" s="54">
        <v>2024</v>
      </c>
      <c r="C2191" t="s">
        <v>258</v>
      </c>
      <c r="D2191" t="s">
        <v>1035</v>
      </c>
      <c r="E2191" s="22">
        <v>140</v>
      </c>
      <c r="H2191" t="s">
        <v>144</v>
      </c>
      <c r="I2191" t="s">
        <v>197</v>
      </c>
      <c r="J2191" t="s">
        <v>3114</v>
      </c>
      <c r="K2191" t="s">
        <v>219</v>
      </c>
      <c r="L2191">
        <v>0</v>
      </c>
    </row>
    <row r="2192" spans="1:12" ht="14.5" hidden="1" customHeight="1" x14ac:dyDescent="0.2">
      <c r="A2192">
        <f t="shared" si="34"/>
        <v>2186</v>
      </c>
      <c r="B2192" s="54">
        <v>2024</v>
      </c>
      <c r="C2192" t="s">
        <v>258</v>
      </c>
      <c r="D2192" t="s">
        <v>336</v>
      </c>
      <c r="E2192" s="22">
        <v>3480</v>
      </c>
      <c r="H2192" t="s">
        <v>144</v>
      </c>
      <c r="J2192" t="s">
        <v>93</v>
      </c>
      <c r="K2192" t="s">
        <v>201</v>
      </c>
      <c r="L2192">
        <v>1</v>
      </c>
    </row>
    <row r="2193" spans="1:12" ht="14.5" hidden="1" customHeight="1" x14ac:dyDescent="0.2">
      <c r="A2193">
        <f t="shared" si="34"/>
        <v>2187</v>
      </c>
      <c r="B2193" s="54">
        <v>2024</v>
      </c>
      <c r="C2193" t="s">
        <v>258</v>
      </c>
      <c r="D2193" t="s">
        <v>341</v>
      </c>
      <c r="E2193" s="22">
        <v>140</v>
      </c>
      <c r="H2193" t="s">
        <v>153</v>
      </c>
      <c r="J2193" t="s">
        <v>2449</v>
      </c>
      <c r="K2193" t="s">
        <v>183</v>
      </c>
      <c r="L2193">
        <v>1</v>
      </c>
    </row>
    <row r="2194" spans="1:12" ht="14.5" hidden="1" customHeight="1" x14ac:dyDescent="0.2">
      <c r="A2194">
        <f t="shared" si="34"/>
        <v>2188</v>
      </c>
      <c r="B2194" s="54">
        <v>2024</v>
      </c>
      <c r="C2194" t="s">
        <v>258</v>
      </c>
      <c r="D2194" t="s">
        <v>1035</v>
      </c>
      <c r="E2194" s="22">
        <v>230</v>
      </c>
      <c r="H2194" t="s">
        <v>145</v>
      </c>
      <c r="J2194" t="s">
        <v>106</v>
      </c>
      <c r="K2194" t="s">
        <v>195</v>
      </c>
      <c r="L2194">
        <v>1</v>
      </c>
    </row>
    <row r="2195" spans="1:12" ht="14.5" hidden="1" customHeight="1" x14ac:dyDescent="0.2">
      <c r="A2195">
        <f t="shared" si="34"/>
        <v>2189</v>
      </c>
      <c r="B2195" s="54">
        <v>2024</v>
      </c>
      <c r="C2195" t="s">
        <v>258</v>
      </c>
      <c r="D2195" t="s">
        <v>3115</v>
      </c>
      <c r="E2195" s="22">
        <v>350</v>
      </c>
      <c r="F2195" s="16">
        <v>1</v>
      </c>
      <c r="H2195" t="s">
        <v>149</v>
      </c>
      <c r="J2195" t="s">
        <v>16</v>
      </c>
      <c r="K2195" t="s">
        <v>205</v>
      </c>
      <c r="L2195">
        <v>1</v>
      </c>
    </row>
    <row r="2196" spans="1:12" ht="14.5" hidden="1" customHeight="1" x14ac:dyDescent="0.2">
      <c r="A2196">
        <f t="shared" si="34"/>
        <v>2190</v>
      </c>
      <c r="B2196" s="54">
        <v>2024</v>
      </c>
      <c r="C2196" t="s">
        <v>258</v>
      </c>
      <c r="D2196" t="s">
        <v>745</v>
      </c>
      <c r="E2196" s="22">
        <v>5770</v>
      </c>
      <c r="H2196" t="s">
        <v>144</v>
      </c>
      <c r="I2196" t="s">
        <v>187</v>
      </c>
      <c r="J2196" t="s">
        <v>6</v>
      </c>
      <c r="K2196" t="s">
        <v>219</v>
      </c>
      <c r="L2196">
        <v>1</v>
      </c>
    </row>
    <row r="2197" spans="1:12" ht="14.5" hidden="1" customHeight="1" x14ac:dyDescent="0.2">
      <c r="A2197">
        <f t="shared" si="34"/>
        <v>2191</v>
      </c>
      <c r="B2197" s="54">
        <v>2024</v>
      </c>
      <c r="C2197" t="s">
        <v>258</v>
      </c>
      <c r="D2197" t="s">
        <v>875</v>
      </c>
      <c r="E2197" s="22">
        <v>130</v>
      </c>
      <c r="H2197" t="s">
        <v>151</v>
      </c>
      <c r="I2197" t="s">
        <v>279</v>
      </c>
      <c r="J2197" t="s">
        <v>105</v>
      </c>
      <c r="K2197" t="s">
        <v>214</v>
      </c>
      <c r="L2197">
        <v>1</v>
      </c>
    </row>
    <row r="2198" spans="1:12" ht="14.5" hidden="1" customHeight="1" x14ac:dyDescent="0.2">
      <c r="A2198">
        <f t="shared" si="34"/>
        <v>2192</v>
      </c>
      <c r="B2198" s="54">
        <v>2024</v>
      </c>
      <c r="C2198" t="s">
        <v>179</v>
      </c>
      <c r="D2198" t="s">
        <v>2092</v>
      </c>
      <c r="E2198" s="22">
        <v>200</v>
      </c>
      <c r="H2198" t="s">
        <v>154</v>
      </c>
      <c r="I2198" t="s">
        <v>194</v>
      </c>
      <c r="J2198" t="s">
        <v>127</v>
      </c>
      <c r="K2198" t="s">
        <v>214</v>
      </c>
      <c r="L2198">
        <v>1</v>
      </c>
    </row>
    <row r="2199" spans="1:12" ht="14.5" hidden="1" customHeight="1" x14ac:dyDescent="0.2">
      <c r="A2199">
        <f t="shared" si="34"/>
        <v>2193</v>
      </c>
      <c r="B2199" s="54">
        <v>2024</v>
      </c>
      <c r="C2199" t="s">
        <v>179</v>
      </c>
      <c r="D2199" t="s">
        <v>479</v>
      </c>
      <c r="E2199" s="22">
        <v>2060</v>
      </c>
      <c r="H2199" t="s">
        <v>151</v>
      </c>
      <c r="I2199" t="s">
        <v>279</v>
      </c>
      <c r="J2199" t="s">
        <v>105</v>
      </c>
      <c r="K2199" t="s">
        <v>214</v>
      </c>
      <c r="L2199">
        <v>1</v>
      </c>
    </row>
    <row r="2200" spans="1:12" ht="14.5" hidden="1" customHeight="1" x14ac:dyDescent="0.2">
      <c r="A2200">
        <f t="shared" si="34"/>
        <v>2194</v>
      </c>
      <c r="B2200" s="54">
        <v>2024</v>
      </c>
      <c r="C2200" t="s">
        <v>179</v>
      </c>
      <c r="D2200" t="s">
        <v>479</v>
      </c>
      <c r="E2200" s="22">
        <v>340</v>
      </c>
      <c r="H2200" t="s">
        <v>145</v>
      </c>
      <c r="J2200" t="s">
        <v>64</v>
      </c>
      <c r="K2200" t="s">
        <v>219</v>
      </c>
      <c r="L2200">
        <v>1</v>
      </c>
    </row>
    <row r="2201" spans="1:12" ht="14.5" hidden="1" customHeight="1" x14ac:dyDescent="0.2">
      <c r="A2201">
        <f t="shared" si="34"/>
        <v>2195</v>
      </c>
      <c r="B2201" s="54">
        <v>2024</v>
      </c>
      <c r="C2201" t="s">
        <v>179</v>
      </c>
      <c r="D2201" t="s">
        <v>341</v>
      </c>
      <c r="E2201" s="22">
        <v>110</v>
      </c>
      <c r="H2201" t="s">
        <v>145</v>
      </c>
      <c r="J2201" t="s">
        <v>123</v>
      </c>
      <c r="K2201" t="s">
        <v>219</v>
      </c>
      <c r="L2201">
        <v>1</v>
      </c>
    </row>
    <row r="2202" spans="1:12" ht="14.5" hidden="1" customHeight="1" x14ac:dyDescent="0.2">
      <c r="A2202">
        <f t="shared" si="34"/>
        <v>2196</v>
      </c>
      <c r="B2202" s="54">
        <v>2024</v>
      </c>
      <c r="C2202" t="s">
        <v>179</v>
      </c>
      <c r="D2202" t="s">
        <v>745</v>
      </c>
      <c r="E2202" s="22">
        <v>280</v>
      </c>
      <c r="H2202" t="s">
        <v>151</v>
      </c>
      <c r="I2202" t="s">
        <v>279</v>
      </c>
      <c r="J2202" t="s">
        <v>130</v>
      </c>
      <c r="K2202" t="s">
        <v>214</v>
      </c>
      <c r="L2202">
        <v>1</v>
      </c>
    </row>
    <row r="2203" spans="1:12" ht="14.5" hidden="1" customHeight="1" x14ac:dyDescent="0.2">
      <c r="A2203">
        <f t="shared" si="34"/>
        <v>2197</v>
      </c>
      <c r="B2203" s="54">
        <v>2024</v>
      </c>
      <c r="C2203" t="s">
        <v>179</v>
      </c>
      <c r="D2203" t="s">
        <v>745</v>
      </c>
      <c r="E2203" s="22">
        <v>140</v>
      </c>
      <c r="H2203" t="s">
        <v>143</v>
      </c>
      <c r="J2203" t="s">
        <v>101</v>
      </c>
      <c r="K2203" t="s">
        <v>201</v>
      </c>
      <c r="L2203">
        <v>1</v>
      </c>
    </row>
    <row r="2204" spans="1:12" ht="14.5" hidden="1" customHeight="1" x14ac:dyDescent="0.2">
      <c r="A2204">
        <f t="shared" si="34"/>
        <v>2198</v>
      </c>
      <c r="B2204" s="54">
        <v>2024</v>
      </c>
      <c r="C2204" t="s">
        <v>179</v>
      </c>
      <c r="D2204" t="s">
        <v>557</v>
      </c>
      <c r="E2204" s="22">
        <v>100</v>
      </c>
      <c r="H2204" t="s">
        <v>151</v>
      </c>
      <c r="I2204" t="s">
        <v>279</v>
      </c>
      <c r="J2204" t="s">
        <v>55</v>
      </c>
      <c r="K2204" t="s">
        <v>214</v>
      </c>
      <c r="L2204">
        <v>1</v>
      </c>
    </row>
    <row r="2205" spans="1:12" ht="14.5" hidden="1" customHeight="1" x14ac:dyDescent="0.2">
      <c r="A2205">
        <f t="shared" si="34"/>
        <v>2199</v>
      </c>
      <c r="B2205" s="54">
        <v>2024</v>
      </c>
      <c r="C2205" t="s">
        <v>179</v>
      </c>
      <c r="D2205" t="s">
        <v>1035</v>
      </c>
      <c r="E2205" s="22">
        <v>270</v>
      </c>
      <c r="H2205" t="s">
        <v>144</v>
      </c>
      <c r="I2205" t="s">
        <v>299</v>
      </c>
      <c r="J2205" t="s">
        <v>105</v>
      </c>
      <c r="K2205" t="s">
        <v>214</v>
      </c>
      <c r="L2205">
        <v>1</v>
      </c>
    </row>
    <row r="2206" spans="1:12" ht="14.5" hidden="1" customHeight="1" x14ac:dyDescent="0.2">
      <c r="A2206">
        <f t="shared" si="34"/>
        <v>2200</v>
      </c>
      <c r="B2206" s="54">
        <v>2024</v>
      </c>
      <c r="C2206" t="s">
        <v>179</v>
      </c>
      <c r="D2206" t="s">
        <v>3116</v>
      </c>
      <c r="E2206" s="22">
        <v>490</v>
      </c>
      <c r="H2206" t="s">
        <v>150</v>
      </c>
      <c r="I2206" t="s">
        <v>744</v>
      </c>
      <c r="J2206" t="s">
        <v>96</v>
      </c>
      <c r="K2206" t="s">
        <v>205</v>
      </c>
      <c r="L2206">
        <v>1</v>
      </c>
    </row>
    <row r="2207" spans="1:12" ht="14.5" hidden="1" customHeight="1" x14ac:dyDescent="0.2">
      <c r="A2207">
        <f t="shared" si="34"/>
        <v>2201</v>
      </c>
      <c r="B2207" s="54">
        <v>2024</v>
      </c>
      <c r="C2207" t="s">
        <v>179</v>
      </c>
      <c r="D2207" t="s">
        <v>175</v>
      </c>
      <c r="E2207" s="22">
        <v>340</v>
      </c>
      <c r="G2207" t="s">
        <v>3117</v>
      </c>
      <c r="H2207" t="s">
        <v>149</v>
      </c>
      <c r="I2207" t="s">
        <v>182</v>
      </c>
      <c r="J2207" t="s">
        <v>53</v>
      </c>
      <c r="K2207" t="s">
        <v>183</v>
      </c>
      <c r="L2207">
        <v>1</v>
      </c>
    </row>
    <row r="2208" spans="1:12" ht="14.5" hidden="1" customHeight="1" x14ac:dyDescent="0.2">
      <c r="A2208">
        <f t="shared" si="34"/>
        <v>2202</v>
      </c>
      <c r="B2208" s="54">
        <v>2024</v>
      </c>
      <c r="C2208" t="s">
        <v>179</v>
      </c>
      <c r="D2208" t="s">
        <v>2983</v>
      </c>
      <c r="E2208" s="22">
        <v>110</v>
      </c>
      <c r="H2208" t="s">
        <v>154</v>
      </c>
      <c r="I2208" t="s">
        <v>194</v>
      </c>
      <c r="J2208" t="s">
        <v>64</v>
      </c>
      <c r="K2208" t="s">
        <v>219</v>
      </c>
      <c r="L2208">
        <v>1</v>
      </c>
    </row>
    <row r="2209" spans="1:12" ht="14.5" hidden="1" customHeight="1" x14ac:dyDescent="0.2">
      <c r="A2209">
        <f t="shared" si="34"/>
        <v>2203</v>
      </c>
      <c r="B2209" s="54">
        <v>2024</v>
      </c>
      <c r="C2209" t="s">
        <v>179</v>
      </c>
      <c r="D2209" t="s">
        <v>1035</v>
      </c>
      <c r="E2209" s="22">
        <v>230</v>
      </c>
      <c r="H2209" t="s">
        <v>144</v>
      </c>
      <c r="I2209" t="s">
        <v>232</v>
      </c>
      <c r="J2209" t="s">
        <v>5</v>
      </c>
      <c r="K2209" t="s">
        <v>214</v>
      </c>
      <c r="L2209">
        <v>1</v>
      </c>
    </row>
    <row r="2210" spans="1:12" ht="14.5" hidden="1" customHeight="1" x14ac:dyDescent="0.2">
      <c r="A2210">
        <f t="shared" si="34"/>
        <v>2204</v>
      </c>
      <c r="B2210" s="54">
        <v>2024</v>
      </c>
      <c r="C2210" t="s">
        <v>179</v>
      </c>
      <c r="D2210" t="s">
        <v>3118</v>
      </c>
      <c r="E2210" s="22">
        <v>220</v>
      </c>
      <c r="G2210" t="s">
        <v>3119</v>
      </c>
      <c r="H2210" t="s">
        <v>144</v>
      </c>
      <c r="I2210" t="s">
        <v>232</v>
      </c>
      <c r="J2210" t="s">
        <v>134</v>
      </c>
      <c r="K2210" t="s">
        <v>201</v>
      </c>
      <c r="L2210">
        <v>1</v>
      </c>
    </row>
    <row r="2211" spans="1:12" ht="14.5" hidden="1" customHeight="1" x14ac:dyDescent="0.2">
      <c r="A2211">
        <f t="shared" si="34"/>
        <v>2205</v>
      </c>
      <c r="B2211" s="54">
        <v>2024</v>
      </c>
      <c r="C2211" t="s">
        <v>184</v>
      </c>
      <c r="D2211" t="s">
        <v>199</v>
      </c>
      <c r="E2211" s="22">
        <v>1410</v>
      </c>
      <c r="G2211" t="s">
        <v>2002</v>
      </c>
      <c r="H2211" t="s">
        <v>144</v>
      </c>
      <c r="I2211" t="s">
        <v>299</v>
      </c>
      <c r="J2211" t="s">
        <v>105</v>
      </c>
      <c r="K2211" t="s">
        <v>214</v>
      </c>
      <c r="L2211">
        <v>1</v>
      </c>
    </row>
    <row r="2212" spans="1:12" ht="14.5" hidden="1" customHeight="1" x14ac:dyDescent="0.2">
      <c r="A2212">
        <f t="shared" si="34"/>
        <v>2206</v>
      </c>
      <c r="B2212" s="54">
        <v>2024</v>
      </c>
      <c r="C2212" t="s">
        <v>184</v>
      </c>
      <c r="D2212" t="s">
        <v>397</v>
      </c>
      <c r="E2212" s="22">
        <v>360</v>
      </c>
      <c r="G2212" t="s">
        <v>2776</v>
      </c>
      <c r="H2212" t="s">
        <v>151</v>
      </c>
      <c r="I2212" t="s">
        <v>279</v>
      </c>
      <c r="J2212" t="s">
        <v>130</v>
      </c>
      <c r="K2212" t="s">
        <v>214</v>
      </c>
      <c r="L2212">
        <v>1</v>
      </c>
    </row>
    <row r="2213" spans="1:12" ht="14.5" hidden="1" customHeight="1" x14ac:dyDescent="0.2">
      <c r="A2213">
        <f t="shared" si="34"/>
        <v>2207</v>
      </c>
      <c r="B2213" s="54">
        <v>2024</v>
      </c>
      <c r="C2213" t="s">
        <v>184</v>
      </c>
      <c r="D2213" t="s">
        <v>449</v>
      </c>
      <c r="E2213" s="22">
        <v>180</v>
      </c>
      <c r="H2213" t="s">
        <v>147</v>
      </c>
      <c r="J2213" t="s">
        <v>27</v>
      </c>
      <c r="K2213" t="s">
        <v>205</v>
      </c>
      <c r="L2213">
        <v>1</v>
      </c>
    </row>
    <row r="2214" spans="1:12" ht="14.5" hidden="1" customHeight="1" x14ac:dyDescent="0.2">
      <c r="A2214">
        <f t="shared" si="34"/>
        <v>2208</v>
      </c>
      <c r="B2214" s="54">
        <v>2024</v>
      </c>
      <c r="C2214" t="s">
        <v>184</v>
      </c>
      <c r="D2214" t="s">
        <v>189</v>
      </c>
      <c r="E2214" s="22">
        <v>280</v>
      </c>
      <c r="H2214" t="s">
        <v>154</v>
      </c>
      <c r="J2214" t="s">
        <v>26</v>
      </c>
      <c r="K2214" t="s">
        <v>219</v>
      </c>
      <c r="L2214">
        <v>1</v>
      </c>
    </row>
    <row r="2215" spans="1:12" ht="14.5" hidden="1" customHeight="1" x14ac:dyDescent="0.2">
      <c r="A2215">
        <f t="shared" si="34"/>
        <v>2209</v>
      </c>
      <c r="B2215" s="54">
        <v>2024</v>
      </c>
      <c r="C2215" t="s">
        <v>184</v>
      </c>
      <c r="D2215" t="s">
        <v>405</v>
      </c>
      <c r="E2215" s="22">
        <v>200</v>
      </c>
      <c r="G2215" t="s">
        <v>3120</v>
      </c>
      <c r="H2215" t="s">
        <v>149</v>
      </c>
      <c r="I2215" t="s">
        <v>182</v>
      </c>
      <c r="J2215" t="s">
        <v>52</v>
      </c>
      <c r="K2215" t="s">
        <v>201</v>
      </c>
      <c r="L2215">
        <v>0</v>
      </c>
    </row>
    <row r="2216" spans="1:12" ht="14.5" hidden="1" customHeight="1" x14ac:dyDescent="0.2">
      <c r="A2216">
        <f t="shared" si="34"/>
        <v>2210</v>
      </c>
      <c r="B2216" s="54">
        <v>2024</v>
      </c>
      <c r="C2216" t="s">
        <v>184</v>
      </c>
      <c r="D2216" t="s">
        <v>745</v>
      </c>
      <c r="E2216" s="22">
        <v>1100</v>
      </c>
      <c r="G2216" t="s">
        <v>3121</v>
      </c>
      <c r="H2216" t="s">
        <v>142</v>
      </c>
      <c r="J2216" t="s">
        <v>38</v>
      </c>
      <c r="K2216" t="s">
        <v>214</v>
      </c>
      <c r="L2216">
        <v>1</v>
      </c>
    </row>
    <row r="2217" spans="1:12" ht="14.5" hidden="1" customHeight="1" x14ac:dyDescent="0.2">
      <c r="A2217">
        <f t="shared" si="34"/>
        <v>2211</v>
      </c>
      <c r="B2217" s="54">
        <v>2024</v>
      </c>
      <c r="C2217" t="s">
        <v>184</v>
      </c>
      <c r="D2217" t="s">
        <v>1035</v>
      </c>
      <c r="E2217" s="22">
        <v>110</v>
      </c>
      <c r="H2217" t="s">
        <v>154</v>
      </c>
      <c r="I2217" t="s">
        <v>194</v>
      </c>
      <c r="J2217" t="s">
        <v>98</v>
      </c>
      <c r="K2217" t="s">
        <v>195</v>
      </c>
      <c r="L2217">
        <v>1</v>
      </c>
    </row>
    <row r="2218" spans="1:12" ht="14.5" hidden="1" customHeight="1" x14ac:dyDescent="0.2">
      <c r="A2218">
        <f t="shared" si="34"/>
        <v>2212</v>
      </c>
      <c r="B2218" s="54">
        <v>2024</v>
      </c>
      <c r="C2218" t="s">
        <v>184</v>
      </c>
      <c r="D2218" t="s">
        <v>189</v>
      </c>
      <c r="E2218" s="22">
        <v>160</v>
      </c>
      <c r="G2218" t="s">
        <v>3122</v>
      </c>
      <c r="H2218" t="s">
        <v>144</v>
      </c>
      <c r="I2218" t="s">
        <v>299</v>
      </c>
      <c r="J2218" t="s">
        <v>105</v>
      </c>
      <c r="K2218" t="s">
        <v>214</v>
      </c>
      <c r="L2218">
        <v>1</v>
      </c>
    </row>
    <row r="2219" spans="1:12" ht="14.5" hidden="1" customHeight="1" x14ac:dyDescent="0.2">
      <c r="A2219">
        <f t="shared" si="34"/>
        <v>2213</v>
      </c>
      <c r="B2219" s="54">
        <v>2024</v>
      </c>
      <c r="C2219" t="s">
        <v>184</v>
      </c>
      <c r="D2219" t="s">
        <v>1035</v>
      </c>
      <c r="E2219" s="22">
        <v>490</v>
      </c>
      <c r="H2219" t="s">
        <v>144</v>
      </c>
      <c r="I2219" t="s">
        <v>197</v>
      </c>
      <c r="J2219" t="s">
        <v>97</v>
      </c>
      <c r="K2219" t="s">
        <v>183</v>
      </c>
      <c r="L2219">
        <v>1</v>
      </c>
    </row>
    <row r="2220" spans="1:12" ht="14.5" hidden="1" customHeight="1" x14ac:dyDescent="0.2">
      <c r="A2220">
        <f t="shared" si="34"/>
        <v>2214</v>
      </c>
      <c r="B2220" s="54">
        <v>2024</v>
      </c>
      <c r="C2220" t="s">
        <v>184</v>
      </c>
      <c r="D2220" t="s">
        <v>1035</v>
      </c>
      <c r="E2220" s="22">
        <v>260</v>
      </c>
      <c r="G2220" t="s">
        <v>3123</v>
      </c>
      <c r="H2220" t="s">
        <v>144</v>
      </c>
      <c r="I2220" t="s">
        <v>232</v>
      </c>
      <c r="J2220" t="s">
        <v>72</v>
      </c>
      <c r="K2220" t="s">
        <v>183</v>
      </c>
      <c r="L2220">
        <v>1</v>
      </c>
    </row>
    <row r="2221" spans="1:12" ht="14.5" hidden="1" customHeight="1" x14ac:dyDescent="0.2">
      <c r="A2221">
        <f t="shared" si="34"/>
        <v>2215</v>
      </c>
      <c r="B2221" s="54">
        <v>2024</v>
      </c>
      <c r="C2221" t="s">
        <v>184</v>
      </c>
      <c r="D2221" t="s">
        <v>1035</v>
      </c>
      <c r="E2221" s="22">
        <v>1460</v>
      </c>
      <c r="H2221" t="s">
        <v>144</v>
      </c>
      <c r="I2221" t="s">
        <v>299</v>
      </c>
      <c r="J2221" t="s">
        <v>105</v>
      </c>
      <c r="K2221" t="s">
        <v>214</v>
      </c>
      <c r="L2221">
        <v>1</v>
      </c>
    </row>
    <row r="2222" spans="1:12" ht="14.5" hidden="1" customHeight="1" x14ac:dyDescent="0.2">
      <c r="A2222">
        <f t="shared" si="34"/>
        <v>2216</v>
      </c>
      <c r="B2222" s="54">
        <v>2024</v>
      </c>
      <c r="C2222" t="s">
        <v>184</v>
      </c>
      <c r="D2222" t="s">
        <v>397</v>
      </c>
      <c r="E2222" s="22">
        <v>110</v>
      </c>
      <c r="H2222" t="s">
        <v>154</v>
      </c>
      <c r="I2222" t="s">
        <v>194</v>
      </c>
      <c r="J2222" t="s">
        <v>13</v>
      </c>
      <c r="K2222" t="s">
        <v>201</v>
      </c>
      <c r="L2222">
        <v>1</v>
      </c>
    </row>
    <row r="2223" spans="1:12" ht="14.5" hidden="1" customHeight="1" x14ac:dyDescent="0.2">
      <c r="A2223">
        <f t="shared" si="34"/>
        <v>2217</v>
      </c>
      <c r="B2223" s="54">
        <v>2024</v>
      </c>
      <c r="C2223" t="s">
        <v>184</v>
      </c>
      <c r="D2223" t="s">
        <v>397</v>
      </c>
      <c r="E2223" s="22">
        <v>250</v>
      </c>
      <c r="G2223" t="s">
        <v>3124</v>
      </c>
      <c r="H2223" t="s">
        <v>151</v>
      </c>
      <c r="I2223" t="s">
        <v>279</v>
      </c>
      <c r="J2223" t="s">
        <v>38</v>
      </c>
      <c r="K2223" t="s">
        <v>214</v>
      </c>
      <c r="L2223">
        <v>1</v>
      </c>
    </row>
    <row r="2224" spans="1:12" ht="14.5" hidden="1" customHeight="1" x14ac:dyDescent="0.2">
      <c r="A2224">
        <f t="shared" si="34"/>
        <v>2218</v>
      </c>
      <c r="B2224" s="54">
        <v>2024</v>
      </c>
      <c r="C2224" t="s">
        <v>184</v>
      </c>
      <c r="D2224" t="s">
        <v>1035</v>
      </c>
      <c r="E2224" s="22">
        <v>760</v>
      </c>
      <c r="H2224" t="s">
        <v>144</v>
      </c>
      <c r="I2224" t="s">
        <v>299</v>
      </c>
      <c r="J2224" t="s">
        <v>134</v>
      </c>
      <c r="K2224" t="s">
        <v>201</v>
      </c>
      <c r="L2224">
        <v>1</v>
      </c>
    </row>
    <row r="2225" spans="1:12" ht="14.5" hidden="1" customHeight="1" x14ac:dyDescent="0.2">
      <c r="A2225">
        <f t="shared" si="34"/>
        <v>2219</v>
      </c>
      <c r="B2225" s="54">
        <v>2024</v>
      </c>
      <c r="C2225" t="s">
        <v>225</v>
      </c>
      <c r="D2225" t="s">
        <v>2392</v>
      </c>
      <c r="E2225" s="22">
        <v>130</v>
      </c>
      <c r="H2225" t="s">
        <v>144</v>
      </c>
      <c r="I2225" t="s">
        <v>232</v>
      </c>
      <c r="J2225" t="s">
        <v>83</v>
      </c>
      <c r="K2225" t="s">
        <v>219</v>
      </c>
      <c r="L2225">
        <v>1</v>
      </c>
    </row>
    <row r="2226" spans="1:12" ht="14.5" hidden="1" customHeight="1" x14ac:dyDescent="0.2">
      <c r="A2226">
        <f t="shared" si="34"/>
        <v>2220</v>
      </c>
      <c r="B2226" s="54">
        <v>2024</v>
      </c>
      <c r="C2226" t="s">
        <v>225</v>
      </c>
      <c r="D2226" t="s">
        <v>2157</v>
      </c>
      <c r="E2226" s="22">
        <v>120</v>
      </c>
      <c r="H2226" t="s">
        <v>144</v>
      </c>
      <c r="I2226" t="s">
        <v>197</v>
      </c>
      <c r="J2226" t="s">
        <v>72</v>
      </c>
      <c r="K2226" t="s">
        <v>183</v>
      </c>
      <c r="L2226">
        <v>1</v>
      </c>
    </row>
    <row r="2227" spans="1:12" ht="14.5" hidden="1" customHeight="1" x14ac:dyDescent="0.2">
      <c r="A2227">
        <f t="shared" si="34"/>
        <v>2221</v>
      </c>
      <c r="B2227" s="54">
        <v>2024</v>
      </c>
      <c r="C2227" t="s">
        <v>225</v>
      </c>
      <c r="D2227" t="s">
        <v>2434</v>
      </c>
      <c r="E2227" s="22">
        <v>270</v>
      </c>
      <c r="H2227" t="s">
        <v>154</v>
      </c>
      <c r="I2227" t="s">
        <v>529</v>
      </c>
      <c r="J2227" t="s">
        <v>108</v>
      </c>
      <c r="K2227" t="s">
        <v>183</v>
      </c>
      <c r="L2227">
        <v>1</v>
      </c>
    </row>
    <row r="2228" spans="1:12" ht="14.5" hidden="1" customHeight="1" x14ac:dyDescent="0.2">
      <c r="A2228">
        <f t="shared" si="34"/>
        <v>2222</v>
      </c>
      <c r="B2228" s="54">
        <v>2024</v>
      </c>
      <c r="C2228" t="s">
        <v>225</v>
      </c>
      <c r="D2228" t="s">
        <v>479</v>
      </c>
      <c r="E2228" s="22">
        <v>360</v>
      </c>
      <c r="H2228" t="s">
        <v>154</v>
      </c>
      <c r="I2228" t="s">
        <v>529</v>
      </c>
      <c r="J2228" t="s">
        <v>9</v>
      </c>
      <c r="K2228" t="s">
        <v>9</v>
      </c>
      <c r="L2228">
        <v>0</v>
      </c>
    </row>
    <row r="2229" spans="1:12" ht="14.5" hidden="1" customHeight="1" x14ac:dyDescent="0.2">
      <c r="A2229">
        <f t="shared" si="34"/>
        <v>2223</v>
      </c>
      <c r="B2229" s="54">
        <v>2024</v>
      </c>
      <c r="C2229" t="s">
        <v>225</v>
      </c>
      <c r="D2229" t="s">
        <v>479</v>
      </c>
      <c r="E2229" s="22">
        <v>160</v>
      </c>
      <c r="G2229" t="s">
        <v>3125</v>
      </c>
      <c r="H2229" t="s">
        <v>155</v>
      </c>
      <c r="J2229" t="s">
        <v>9</v>
      </c>
      <c r="K2229" t="s">
        <v>9</v>
      </c>
      <c r="L2229">
        <v>0</v>
      </c>
    </row>
    <row r="2230" spans="1:12" ht="14.5" hidden="1" customHeight="1" x14ac:dyDescent="0.2">
      <c r="A2230">
        <f t="shared" si="34"/>
        <v>2224</v>
      </c>
      <c r="B2230" s="54">
        <v>2024</v>
      </c>
      <c r="C2230" t="s">
        <v>225</v>
      </c>
      <c r="D2230" t="s">
        <v>3126</v>
      </c>
      <c r="E2230" s="22">
        <v>140</v>
      </c>
      <c r="G2230" t="s">
        <v>3127</v>
      </c>
      <c r="H2230" t="s">
        <v>144</v>
      </c>
      <c r="I2230" t="s">
        <v>232</v>
      </c>
      <c r="J2230" t="s">
        <v>9</v>
      </c>
      <c r="K2230" t="s">
        <v>9</v>
      </c>
      <c r="L2230">
        <v>0</v>
      </c>
    </row>
    <row r="2231" spans="1:12" ht="14.5" hidden="1" customHeight="1" x14ac:dyDescent="0.2">
      <c r="A2231">
        <f t="shared" si="34"/>
        <v>2225</v>
      </c>
      <c r="B2231" s="54">
        <v>2024</v>
      </c>
      <c r="C2231" t="s">
        <v>225</v>
      </c>
      <c r="D2231" t="s">
        <v>1035</v>
      </c>
      <c r="E2231" s="22">
        <v>380</v>
      </c>
      <c r="H2231" t="s">
        <v>153</v>
      </c>
      <c r="J2231" t="s">
        <v>55</v>
      </c>
      <c r="K2231" t="s">
        <v>214</v>
      </c>
      <c r="L2231">
        <v>1</v>
      </c>
    </row>
    <row r="2232" spans="1:12" ht="14.5" hidden="1" customHeight="1" x14ac:dyDescent="0.2">
      <c r="A2232">
        <f t="shared" si="34"/>
        <v>2226</v>
      </c>
      <c r="B2232" s="54">
        <v>2024</v>
      </c>
      <c r="C2232" t="s">
        <v>225</v>
      </c>
      <c r="D2232" t="s">
        <v>1035</v>
      </c>
      <c r="E2232" s="22">
        <v>240</v>
      </c>
      <c r="H2232" t="s">
        <v>144</v>
      </c>
      <c r="I2232" t="s">
        <v>232</v>
      </c>
      <c r="J2232" t="s">
        <v>136</v>
      </c>
      <c r="K2232" t="s">
        <v>183</v>
      </c>
      <c r="L2232">
        <v>1</v>
      </c>
    </row>
    <row r="2233" spans="1:12" ht="14.5" hidden="1" customHeight="1" x14ac:dyDescent="0.2">
      <c r="A2233">
        <f t="shared" si="34"/>
        <v>2227</v>
      </c>
      <c r="B2233" s="54">
        <v>2024</v>
      </c>
      <c r="C2233" t="s">
        <v>225</v>
      </c>
      <c r="D2233" t="s">
        <v>189</v>
      </c>
      <c r="E2233" s="22">
        <v>140</v>
      </c>
      <c r="H2233" t="s">
        <v>155</v>
      </c>
      <c r="J2233" t="s">
        <v>40</v>
      </c>
      <c r="K2233" t="s">
        <v>219</v>
      </c>
      <c r="L2233">
        <v>1</v>
      </c>
    </row>
    <row r="2234" spans="1:12" ht="14.5" hidden="1" customHeight="1" x14ac:dyDescent="0.2">
      <c r="A2234">
        <f t="shared" si="34"/>
        <v>2228</v>
      </c>
      <c r="B2234" s="54">
        <v>2024</v>
      </c>
      <c r="C2234" t="s">
        <v>225</v>
      </c>
      <c r="D2234" t="s">
        <v>341</v>
      </c>
      <c r="E2234" s="22">
        <v>1140</v>
      </c>
      <c r="H2234" t="s">
        <v>145</v>
      </c>
      <c r="J2234" t="s">
        <v>105</v>
      </c>
      <c r="K2234" t="s">
        <v>214</v>
      </c>
      <c r="L2234">
        <v>1</v>
      </c>
    </row>
    <row r="2235" spans="1:12" ht="14.5" hidden="1" customHeight="1" x14ac:dyDescent="0.2">
      <c r="A2235">
        <f t="shared" si="34"/>
        <v>2229</v>
      </c>
      <c r="B2235" s="54">
        <v>2024</v>
      </c>
      <c r="C2235" t="s">
        <v>225</v>
      </c>
      <c r="D2235" t="s">
        <v>479</v>
      </c>
      <c r="E2235" s="22">
        <v>1840</v>
      </c>
      <c r="H2235" t="s">
        <v>154</v>
      </c>
      <c r="I2235" t="s">
        <v>529</v>
      </c>
      <c r="J2235" t="s">
        <v>72</v>
      </c>
      <c r="K2235" t="s">
        <v>183</v>
      </c>
      <c r="L2235">
        <v>1</v>
      </c>
    </row>
    <row r="2236" spans="1:12" ht="14.5" hidden="1" customHeight="1" x14ac:dyDescent="0.2">
      <c r="A2236">
        <f t="shared" si="34"/>
        <v>2230</v>
      </c>
      <c r="B2236" s="54">
        <v>2024</v>
      </c>
      <c r="C2236" t="s">
        <v>225</v>
      </c>
      <c r="D2236" t="s">
        <v>745</v>
      </c>
      <c r="E2236" s="22">
        <v>280</v>
      </c>
      <c r="G2236" t="s">
        <v>3128</v>
      </c>
      <c r="H2236" t="s">
        <v>143</v>
      </c>
      <c r="J2236" t="s">
        <v>53</v>
      </c>
      <c r="K2236" t="s">
        <v>183</v>
      </c>
      <c r="L2236">
        <v>1</v>
      </c>
    </row>
    <row r="2237" spans="1:12" ht="14.5" hidden="1" customHeight="1" x14ac:dyDescent="0.2">
      <c r="A2237">
        <f t="shared" si="34"/>
        <v>2231</v>
      </c>
      <c r="B2237" s="54">
        <v>2024</v>
      </c>
      <c r="C2237" t="s">
        <v>225</v>
      </c>
      <c r="D2237" t="s">
        <v>745</v>
      </c>
      <c r="E2237" s="22">
        <v>190</v>
      </c>
      <c r="H2237" t="s">
        <v>149</v>
      </c>
      <c r="J2237" t="s">
        <v>92</v>
      </c>
      <c r="K2237" t="s">
        <v>214</v>
      </c>
      <c r="L2237">
        <v>1</v>
      </c>
    </row>
    <row r="2238" spans="1:12" ht="14.5" hidden="1" customHeight="1" x14ac:dyDescent="0.2">
      <c r="A2238">
        <f t="shared" si="34"/>
        <v>2232</v>
      </c>
      <c r="B2238" s="54">
        <v>2024</v>
      </c>
      <c r="C2238" t="s">
        <v>225</v>
      </c>
      <c r="D2238" t="s">
        <v>745</v>
      </c>
      <c r="E2238" s="22">
        <v>190</v>
      </c>
      <c r="G2238" t="s">
        <v>3129</v>
      </c>
      <c r="H2238" t="s">
        <v>144</v>
      </c>
      <c r="I2238" t="s">
        <v>232</v>
      </c>
      <c r="J2238" t="s">
        <v>92</v>
      </c>
      <c r="K2238" t="s">
        <v>214</v>
      </c>
      <c r="L2238">
        <v>1</v>
      </c>
    </row>
    <row r="2239" spans="1:12" ht="14.5" hidden="1" customHeight="1" x14ac:dyDescent="0.2">
      <c r="A2239">
        <f t="shared" si="34"/>
        <v>2233</v>
      </c>
      <c r="B2239" s="54">
        <v>2024</v>
      </c>
      <c r="C2239" t="s">
        <v>225</v>
      </c>
      <c r="D2239" t="s">
        <v>2960</v>
      </c>
      <c r="E2239" s="22">
        <v>110</v>
      </c>
      <c r="H2239" t="s">
        <v>154</v>
      </c>
      <c r="I2239" t="s">
        <v>529</v>
      </c>
      <c r="J2239" t="s">
        <v>48</v>
      </c>
      <c r="K2239" t="s">
        <v>219</v>
      </c>
      <c r="L2239">
        <v>1</v>
      </c>
    </row>
    <row r="2240" spans="1:12" ht="14.5" hidden="1" customHeight="1" x14ac:dyDescent="0.2">
      <c r="A2240">
        <f t="shared" si="34"/>
        <v>2234</v>
      </c>
      <c r="B2240" s="54">
        <v>2024</v>
      </c>
      <c r="C2240" t="s">
        <v>225</v>
      </c>
      <c r="D2240" t="s">
        <v>3130</v>
      </c>
      <c r="E2240" s="22">
        <v>240</v>
      </c>
      <c r="G2240" t="s">
        <v>2298</v>
      </c>
      <c r="H2240" t="s">
        <v>144</v>
      </c>
      <c r="I2240" t="s">
        <v>232</v>
      </c>
      <c r="J2240" t="s">
        <v>112</v>
      </c>
      <c r="K2240" t="s">
        <v>219</v>
      </c>
      <c r="L2240">
        <v>1</v>
      </c>
    </row>
    <row r="2241" spans="1:12" ht="14.5" hidden="1" customHeight="1" x14ac:dyDescent="0.2">
      <c r="A2241">
        <f t="shared" si="34"/>
        <v>2235</v>
      </c>
      <c r="B2241" s="54">
        <v>2024</v>
      </c>
      <c r="C2241" t="s">
        <v>188</v>
      </c>
      <c r="D2241" t="s">
        <v>397</v>
      </c>
      <c r="E2241" s="22">
        <v>300</v>
      </c>
      <c r="H2241" t="s">
        <v>154</v>
      </c>
      <c r="I2241" t="s">
        <v>194</v>
      </c>
      <c r="J2241" t="s">
        <v>65</v>
      </c>
      <c r="K2241" t="s">
        <v>214</v>
      </c>
      <c r="L2241">
        <v>1</v>
      </c>
    </row>
    <row r="2242" spans="1:12" ht="14.5" hidden="1" customHeight="1" x14ac:dyDescent="0.2">
      <c r="A2242">
        <f t="shared" si="34"/>
        <v>2236</v>
      </c>
      <c r="B2242" s="54">
        <v>2024</v>
      </c>
      <c r="C2242" t="s">
        <v>188</v>
      </c>
      <c r="D2242" t="s">
        <v>1035</v>
      </c>
      <c r="E2242" s="22">
        <v>260</v>
      </c>
      <c r="H2242" t="s">
        <v>151</v>
      </c>
      <c r="I2242" t="s">
        <v>279</v>
      </c>
      <c r="J2242" t="s">
        <v>65</v>
      </c>
      <c r="K2242" t="s">
        <v>214</v>
      </c>
      <c r="L2242">
        <v>1</v>
      </c>
    </row>
    <row r="2243" spans="1:12" ht="14.5" hidden="1" customHeight="1" x14ac:dyDescent="0.2">
      <c r="A2243">
        <f t="shared" si="34"/>
        <v>2237</v>
      </c>
      <c r="B2243" s="54">
        <v>2024</v>
      </c>
      <c r="C2243" t="s">
        <v>188</v>
      </c>
      <c r="D2243" t="s">
        <v>189</v>
      </c>
      <c r="E2243" s="22">
        <v>1070</v>
      </c>
      <c r="G2243" t="s">
        <v>2002</v>
      </c>
      <c r="H2243" t="s">
        <v>144</v>
      </c>
      <c r="I2243" t="s">
        <v>299</v>
      </c>
      <c r="J2243" t="s">
        <v>105</v>
      </c>
      <c r="K2243" t="s">
        <v>214</v>
      </c>
      <c r="L2243">
        <v>1</v>
      </c>
    </row>
    <row r="2244" spans="1:12" ht="14.5" hidden="1" customHeight="1" x14ac:dyDescent="0.2">
      <c r="A2244">
        <f t="shared" si="34"/>
        <v>2238</v>
      </c>
      <c r="B2244" s="54">
        <v>2024</v>
      </c>
      <c r="C2244" t="s">
        <v>188</v>
      </c>
      <c r="D2244" t="s">
        <v>875</v>
      </c>
      <c r="E2244" s="22">
        <v>790</v>
      </c>
      <c r="G2244" t="s">
        <v>2298</v>
      </c>
      <c r="H2244" t="s">
        <v>144</v>
      </c>
      <c r="I2244" t="s">
        <v>299</v>
      </c>
      <c r="J2244" t="s">
        <v>105</v>
      </c>
      <c r="K2244" t="s">
        <v>214</v>
      </c>
      <c r="L2244">
        <v>1</v>
      </c>
    </row>
    <row r="2245" spans="1:12" ht="14.5" hidden="1" customHeight="1" x14ac:dyDescent="0.2">
      <c r="A2245">
        <f t="shared" si="34"/>
        <v>2239</v>
      </c>
      <c r="B2245" s="54">
        <v>2024</v>
      </c>
      <c r="C2245" t="s">
        <v>188</v>
      </c>
      <c r="D2245" t="s">
        <v>479</v>
      </c>
      <c r="E2245" s="22">
        <v>190</v>
      </c>
      <c r="H2245" t="s">
        <v>154</v>
      </c>
      <c r="I2245" t="s">
        <v>271</v>
      </c>
      <c r="J2245" t="s">
        <v>124</v>
      </c>
      <c r="K2245" t="s">
        <v>183</v>
      </c>
      <c r="L2245">
        <v>1</v>
      </c>
    </row>
    <row r="2246" spans="1:12" ht="14.5" hidden="1" customHeight="1" x14ac:dyDescent="0.2">
      <c r="A2246">
        <f t="shared" si="34"/>
        <v>2240</v>
      </c>
      <c r="B2246" s="54">
        <v>2024</v>
      </c>
      <c r="C2246" t="s">
        <v>188</v>
      </c>
      <c r="D2246" t="s">
        <v>479</v>
      </c>
      <c r="E2246" s="22">
        <v>310</v>
      </c>
      <c r="H2246" t="s">
        <v>154</v>
      </c>
      <c r="I2246" t="s">
        <v>529</v>
      </c>
      <c r="J2246" t="s">
        <v>9</v>
      </c>
      <c r="K2246" t="s">
        <v>9</v>
      </c>
      <c r="L2246">
        <v>0</v>
      </c>
    </row>
    <row r="2247" spans="1:12" ht="14.5" hidden="1" customHeight="1" x14ac:dyDescent="0.2">
      <c r="A2247">
        <f t="shared" ref="A2247:A2310" si="35">ROW()-6</f>
        <v>2241</v>
      </c>
      <c r="B2247" s="54">
        <v>2024</v>
      </c>
      <c r="C2247" t="s">
        <v>188</v>
      </c>
      <c r="D2247" t="s">
        <v>199</v>
      </c>
      <c r="E2247" s="22">
        <v>100</v>
      </c>
      <c r="H2247" t="s">
        <v>144</v>
      </c>
      <c r="I2247" t="s">
        <v>187</v>
      </c>
      <c r="J2247" t="s">
        <v>100</v>
      </c>
      <c r="K2247" t="s">
        <v>214</v>
      </c>
      <c r="L2247">
        <v>1</v>
      </c>
    </row>
    <row r="2248" spans="1:12" ht="14.5" hidden="1" customHeight="1" x14ac:dyDescent="0.2">
      <c r="A2248">
        <f t="shared" si="35"/>
        <v>2242</v>
      </c>
      <c r="B2248" s="54">
        <v>2024</v>
      </c>
      <c r="C2248" t="s">
        <v>188</v>
      </c>
      <c r="D2248" t="s">
        <v>2983</v>
      </c>
      <c r="E2248" s="22">
        <v>170</v>
      </c>
      <c r="H2248" t="s">
        <v>154</v>
      </c>
      <c r="I2248" t="s">
        <v>194</v>
      </c>
      <c r="J2248" t="s">
        <v>132</v>
      </c>
      <c r="K2248" t="s">
        <v>219</v>
      </c>
      <c r="L2248">
        <v>1</v>
      </c>
    </row>
    <row r="2249" spans="1:12" ht="14.5" hidden="1" customHeight="1" x14ac:dyDescent="0.2">
      <c r="A2249">
        <f t="shared" si="35"/>
        <v>2243</v>
      </c>
      <c r="B2249" s="54">
        <v>2024</v>
      </c>
      <c r="C2249" t="s">
        <v>188</v>
      </c>
      <c r="D2249" t="s">
        <v>1035</v>
      </c>
      <c r="E2249" s="22">
        <v>140</v>
      </c>
      <c r="H2249" t="s">
        <v>144</v>
      </c>
      <c r="I2249" t="s">
        <v>232</v>
      </c>
      <c r="J2249" t="s">
        <v>63</v>
      </c>
      <c r="K2249" t="s">
        <v>201</v>
      </c>
      <c r="L2249">
        <v>1</v>
      </c>
    </row>
    <row r="2250" spans="1:12" ht="14.5" hidden="1" customHeight="1" x14ac:dyDescent="0.2">
      <c r="A2250">
        <f t="shared" si="35"/>
        <v>2244</v>
      </c>
      <c r="B2250" s="54">
        <v>2024</v>
      </c>
      <c r="C2250" t="s">
        <v>188</v>
      </c>
      <c r="D2250" t="s">
        <v>199</v>
      </c>
      <c r="E2250" s="22">
        <v>850</v>
      </c>
      <c r="H2250" t="s">
        <v>144</v>
      </c>
      <c r="I2250" t="s">
        <v>187</v>
      </c>
      <c r="J2250" t="s">
        <v>65</v>
      </c>
      <c r="K2250" t="s">
        <v>214</v>
      </c>
      <c r="L2250">
        <v>1</v>
      </c>
    </row>
    <row r="2251" spans="1:12" ht="14.5" hidden="1" customHeight="1" x14ac:dyDescent="0.2">
      <c r="A2251">
        <f t="shared" si="35"/>
        <v>2245</v>
      </c>
      <c r="B2251" s="54">
        <v>2024</v>
      </c>
      <c r="C2251" t="s">
        <v>188</v>
      </c>
      <c r="D2251" t="s">
        <v>2281</v>
      </c>
      <c r="E2251" s="22">
        <v>310</v>
      </c>
      <c r="H2251" t="s">
        <v>154</v>
      </c>
      <c r="I2251" t="s">
        <v>194</v>
      </c>
      <c r="J2251" t="s">
        <v>34</v>
      </c>
      <c r="K2251" t="s">
        <v>219</v>
      </c>
      <c r="L2251">
        <v>1</v>
      </c>
    </row>
    <row r="2252" spans="1:12" ht="14.5" hidden="1" customHeight="1" x14ac:dyDescent="0.2">
      <c r="A2252">
        <f t="shared" si="35"/>
        <v>2246</v>
      </c>
      <c r="B2252" s="54">
        <v>2024</v>
      </c>
      <c r="C2252" t="s">
        <v>188</v>
      </c>
      <c r="D2252" t="s">
        <v>875</v>
      </c>
      <c r="E2252" s="22">
        <v>110</v>
      </c>
      <c r="H2252" t="s">
        <v>144</v>
      </c>
      <c r="I2252" t="s">
        <v>232</v>
      </c>
      <c r="J2252" t="s">
        <v>134</v>
      </c>
      <c r="K2252" t="s">
        <v>201</v>
      </c>
      <c r="L2252">
        <v>1</v>
      </c>
    </row>
    <row r="2253" spans="1:12" ht="14.5" hidden="1" customHeight="1" x14ac:dyDescent="0.2">
      <c r="A2253">
        <f t="shared" si="35"/>
        <v>2247</v>
      </c>
      <c r="B2253" s="54">
        <v>2024</v>
      </c>
      <c r="C2253" t="s">
        <v>191</v>
      </c>
      <c r="D2253" t="s">
        <v>185</v>
      </c>
      <c r="E2253" s="22">
        <v>520</v>
      </c>
      <c r="G2253" t="s">
        <v>2148</v>
      </c>
      <c r="H2253" t="s">
        <v>144</v>
      </c>
      <c r="I2253" t="s">
        <v>299</v>
      </c>
      <c r="J2253" t="s">
        <v>82</v>
      </c>
      <c r="K2253" t="s">
        <v>183</v>
      </c>
      <c r="L2253">
        <v>1</v>
      </c>
    </row>
    <row r="2254" spans="1:12" ht="14.5" hidden="1" customHeight="1" x14ac:dyDescent="0.2">
      <c r="A2254">
        <f t="shared" si="35"/>
        <v>2248</v>
      </c>
      <c r="B2254" s="54">
        <v>2024</v>
      </c>
      <c r="C2254" t="s">
        <v>191</v>
      </c>
      <c r="D2254" t="s">
        <v>199</v>
      </c>
      <c r="E2254" s="22">
        <v>400</v>
      </c>
      <c r="H2254" t="s">
        <v>144</v>
      </c>
      <c r="I2254" t="s">
        <v>187</v>
      </c>
      <c r="J2254" t="s">
        <v>130</v>
      </c>
      <c r="K2254" t="s">
        <v>214</v>
      </c>
      <c r="L2254">
        <v>1</v>
      </c>
    </row>
    <row r="2255" spans="1:12" ht="14.5" hidden="1" customHeight="1" x14ac:dyDescent="0.2">
      <c r="A2255">
        <f t="shared" si="35"/>
        <v>2249</v>
      </c>
      <c r="B2255" s="54">
        <v>2024</v>
      </c>
      <c r="C2255" t="s">
        <v>191</v>
      </c>
      <c r="D2255" t="s">
        <v>444</v>
      </c>
      <c r="E2255" s="22">
        <v>310</v>
      </c>
      <c r="H2255" t="s">
        <v>151</v>
      </c>
      <c r="I2255" t="s">
        <v>279</v>
      </c>
      <c r="J2255" t="s">
        <v>3131</v>
      </c>
      <c r="K2255" t="s">
        <v>214</v>
      </c>
      <c r="L2255">
        <v>1</v>
      </c>
    </row>
    <row r="2256" spans="1:12" ht="14.5" hidden="1" customHeight="1" x14ac:dyDescent="0.2">
      <c r="A2256">
        <f t="shared" si="35"/>
        <v>2250</v>
      </c>
      <c r="B2256" s="54">
        <v>2024</v>
      </c>
      <c r="C2256" t="s">
        <v>191</v>
      </c>
      <c r="D2256" t="s">
        <v>1035</v>
      </c>
      <c r="E2256" s="22">
        <v>190</v>
      </c>
      <c r="H2256" t="s">
        <v>154</v>
      </c>
      <c r="I2256" t="s">
        <v>194</v>
      </c>
      <c r="J2256" t="s">
        <v>98</v>
      </c>
      <c r="K2256" t="s">
        <v>195</v>
      </c>
      <c r="L2256">
        <v>1</v>
      </c>
    </row>
    <row r="2257" spans="1:12" ht="14.5" hidden="1" customHeight="1" x14ac:dyDescent="0.2">
      <c r="A2257">
        <f t="shared" si="35"/>
        <v>2251</v>
      </c>
      <c r="B2257" s="54">
        <v>2024</v>
      </c>
      <c r="C2257" t="s">
        <v>191</v>
      </c>
      <c r="D2257" t="s">
        <v>1035</v>
      </c>
      <c r="E2257" s="22">
        <v>370</v>
      </c>
      <c r="H2257" t="s">
        <v>144</v>
      </c>
      <c r="I2257" t="s">
        <v>232</v>
      </c>
      <c r="J2257" t="s">
        <v>112</v>
      </c>
      <c r="K2257" t="s">
        <v>219</v>
      </c>
      <c r="L2257">
        <v>1</v>
      </c>
    </row>
    <row r="2258" spans="1:12" ht="14.5" hidden="1" customHeight="1" x14ac:dyDescent="0.2">
      <c r="A2258">
        <f t="shared" si="35"/>
        <v>2252</v>
      </c>
      <c r="B2258" s="54">
        <v>2024</v>
      </c>
      <c r="C2258" t="s">
        <v>191</v>
      </c>
      <c r="D2258" t="s">
        <v>1035</v>
      </c>
      <c r="E2258" s="22">
        <v>150</v>
      </c>
      <c r="H2258" t="s">
        <v>151</v>
      </c>
      <c r="I2258" t="s">
        <v>279</v>
      </c>
      <c r="J2258" t="s">
        <v>74</v>
      </c>
      <c r="K2258" t="s">
        <v>219</v>
      </c>
      <c r="L2258">
        <v>1</v>
      </c>
    </row>
    <row r="2259" spans="1:12" ht="14.5" hidden="1" customHeight="1" x14ac:dyDescent="0.2">
      <c r="A2259">
        <f t="shared" si="35"/>
        <v>2253</v>
      </c>
      <c r="B2259" s="54">
        <v>2024</v>
      </c>
      <c r="C2259" t="s">
        <v>191</v>
      </c>
      <c r="D2259" t="s">
        <v>421</v>
      </c>
      <c r="E2259" s="22">
        <v>290</v>
      </c>
      <c r="H2259" t="s">
        <v>151</v>
      </c>
      <c r="I2259" t="s">
        <v>279</v>
      </c>
      <c r="J2259" t="s">
        <v>65</v>
      </c>
      <c r="K2259" t="s">
        <v>214</v>
      </c>
      <c r="L2259">
        <v>1</v>
      </c>
    </row>
    <row r="2260" spans="1:12" ht="14.5" hidden="1" customHeight="1" x14ac:dyDescent="0.2">
      <c r="A2260">
        <f t="shared" si="35"/>
        <v>2254</v>
      </c>
      <c r="B2260" s="54">
        <v>2024</v>
      </c>
      <c r="C2260" t="s">
        <v>191</v>
      </c>
      <c r="D2260" t="s">
        <v>745</v>
      </c>
      <c r="E2260" s="22">
        <v>270</v>
      </c>
      <c r="G2260" t="s">
        <v>3132</v>
      </c>
      <c r="H2260" t="s">
        <v>143</v>
      </c>
      <c r="J2260" t="s">
        <v>105</v>
      </c>
      <c r="K2260" t="s">
        <v>214</v>
      </c>
      <c r="L2260">
        <v>1</v>
      </c>
    </row>
    <row r="2261" spans="1:12" ht="14.5" hidden="1" customHeight="1" x14ac:dyDescent="0.2">
      <c r="A2261">
        <f t="shared" si="35"/>
        <v>2255</v>
      </c>
      <c r="B2261" s="54">
        <v>2024</v>
      </c>
      <c r="C2261" t="s">
        <v>191</v>
      </c>
      <c r="D2261" t="s">
        <v>483</v>
      </c>
      <c r="E2261" s="22">
        <v>310</v>
      </c>
      <c r="G2261" t="s">
        <v>3133</v>
      </c>
      <c r="H2261" t="s">
        <v>144</v>
      </c>
      <c r="I2261" t="s">
        <v>273</v>
      </c>
      <c r="J2261" t="s">
        <v>78</v>
      </c>
      <c r="K2261" t="s">
        <v>183</v>
      </c>
      <c r="L2261">
        <v>1</v>
      </c>
    </row>
    <row r="2262" spans="1:12" ht="14.5" hidden="1" customHeight="1" x14ac:dyDescent="0.2">
      <c r="A2262">
        <f t="shared" si="35"/>
        <v>2256</v>
      </c>
      <c r="B2262" s="54">
        <v>2024</v>
      </c>
      <c r="C2262" t="s">
        <v>191</v>
      </c>
      <c r="D2262" t="s">
        <v>185</v>
      </c>
      <c r="E2262" s="22">
        <v>590</v>
      </c>
      <c r="H2262" t="s">
        <v>144</v>
      </c>
      <c r="I2262" t="s">
        <v>187</v>
      </c>
      <c r="J2262" t="s">
        <v>100</v>
      </c>
      <c r="K2262" t="s">
        <v>214</v>
      </c>
      <c r="L2262">
        <v>1</v>
      </c>
    </row>
    <row r="2263" spans="1:12" ht="14.5" hidden="1" customHeight="1" x14ac:dyDescent="0.2">
      <c r="A2263">
        <f t="shared" si="35"/>
        <v>2257</v>
      </c>
      <c r="B2263" s="54">
        <v>2024</v>
      </c>
      <c r="C2263" t="s">
        <v>191</v>
      </c>
      <c r="D2263" t="s">
        <v>1035</v>
      </c>
      <c r="E2263" s="22">
        <v>200</v>
      </c>
      <c r="G2263" t="s">
        <v>2194</v>
      </c>
      <c r="H2263" t="s">
        <v>149</v>
      </c>
      <c r="J2263" t="s">
        <v>53</v>
      </c>
      <c r="K2263" t="s">
        <v>183</v>
      </c>
      <c r="L2263">
        <v>1</v>
      </c>
    </row>
    <row r="2264" spans="1:12" ht="14.5" hidden="1" customHeight="1" x14ac:dyDescent="0.2">
      <c r="A2264">
        <f t="shared" si="35"/>
        <v>2258</v>
      </c>
      <c r="B2264" s="54">
        <v>2024</v>
      </c>
      <c r="C2264" t="s">
        <v>191</v>
      </c>
      <c r="D2264" t="s">
        <v>1292</v>
      </c>
      <c r="E2264" s="22">
        <v>760</v>
      </c>
      <c r="G2264" t="s">
        <v>2943</v>
      </c>
      <c r="H2264" t="s">
        <v>151</v>
      </c>
      <c r="I2264" t="s">
        <v>279</v>
      </c>
      <c r="J2264" t="s">
        <v>130</v>
      </c>
      <c r="K2264" t="s">
        <v>214</v>
      </c>
      <c r="L2264">
        <v>1</v>
      </c>
    </row>
    <row r="2265" spans="1:12" ht="14.5" hidden="1" customHeight="1" x14ac:dyDescent="0.2">
      <c r="A2265">
        <f t="shared" si="35"/>
        <v>2259</v>
      </c>
      <c r="B2265" s="54">
        <v>2024</v>
      </c>
      <c r="C2265" t="s">
        <v>191</v>
      </c>
      <c r="D2265" t="s">
        <v>3134</v>
      </c>
      <c r="E2265" s="22">
        <v>140</v>
      </c>
      <c r="H2265" t="s">
        <v>154</v>
      </c>
      <c r="I2265" t="s">
        <v>194</v>
      </c>
      <c r="J2265" t="s">
        <v>59</v>
      </c>
      <c r="K2265" t="s">
        <v>219</v>
      </c>
      <c r="L2265">
        <v>1</v>
      </c>
    </row>
    <row r="2266" spans="1:12" ht="14.5" hidden="1" customHeight="1" x14ac:dyDescent="0.2">
      <c r="A2266">
        <f t="shared" si="35"/>
        <v>2260</v>
      </c>
      <c r="B2266" s="54">
        <v>2024</v>
      </c>
      <c r="C2266" t="s">
        <v>191</v>
      </c>
      <c r="D2266" t="s">
        <v>596</v>
      </c>
      <c r="E2266" s="22">
        <v>190</v>
      </c>
      <c r="G2266" t="s">
        <v>3135</v>
      </c>
      <c r="H2266" t="s">
        <v>144</v>
      </c>
      <c r="I2266" t="s">
        <v>232</v>
      </c>
      <c r="J2266" t="s">
        <v>112</v>
      </c>
      <c r="K2266" t="s">
        <v>219</v>
      </c>
      <c r="L2266">
        <v>1</v>
      </c>
    </row>
    <row r="2267" spans="1:12" ht="14.5" hidden="1" customHeight="1" x14ac:dyDescent="0.2">
      <c r="A2267">
        <f t="shared" si="35"/>
        <v>2261</v>
      </c>
      <c r="B2267" s="54">
        <v>2024</v>
      </c>
      <c r="C2267" t="s">
        <v>191</v>
      </c>
      <c r="D2267" t="s">
        <v>444</v>
      </c>
      <c r="E2267" s="22">
        <v>490</v>
      </c>
      <c r="H2267" t="s">
        <v>154</v>
      </c>
      <c r="I2267" t="s">
        <v>250</v>
      </c>
      <c r="J2267" t="s">
        <v>87</v>
      </c>
      <c r="K2267" t="s">
        <v>205</v>
      </c>
      <c r="L2267">
        <v>1</v>
      </c>
    </row>
    <row r="2268" spans="1:12" ht="14.5" hidden="1" customHeight="1" x14ac:dyDescent="0.2">
      <c r="A2268">
        <f t="shared" si="35"/>
        <v>2262</v>
      </c>
      <c r="B2268" s="54">
        <v>2024</v>
      </c>
      <c r="C2268" t="s">
        <v>191</v>
      </c>
      <c r="D2268" t="s">
        <v>185</v>
      </c>
      <c r="E2268" s="22">
        <v>900</v>
      </c>
      <c r="G2268" t="s">
        <v>3136</v>
      </c>
      <c r="H2268" t="s">
        <v>144</v>
      </c>
      <c r="I2268" t="s">
        <v>187</v>
      </c>
      <c r="J2268" t="s">
        <v>100</v>
      </c>
      <c r="K2268" t="s">
        <v>214</v>
      </c>
      <c r="L2268">
        <v>1</v>
      </c>
    </row>
    <row r="2269" spans="1:12" ht="14.5" hidden="1" customHeight="1" x14ac:dyDescent="0.2">
      <c r="A2269">
        <f t="shared" si="35"/>
        <v>2263</v>
      </c>
      <c r="B2269" s="54">
        <v>2024</v>
      </c>
      <c r="C2269" t="s">
        <v>191</v>
      </c>
      <c r="D2269" t="s">
        <v>341</v>
      </c>
      <c r="E2269" s="22">
        <v>160</v>
      </c>
      <c r="H2269" t="s">
        <v>154</v>
      </c>
      <c r="I2269" t="s">
        <v>194</v>
      </c>
      <c r="J2269" t="s">
        <v>34</v>
      </c>
      <c r="K2269" t="s">
        <v>219</v>
      </c>
      <c r="L2269">
        <v>1</v>
      </c>
    </row>
    <row r="2270" spans="1:12" ht="14.5" hidden="1" customHeight="1" x14ac:dyDescent="0.2">
      <c r="A2270">
        <f t="shared" si="35"/>
        <v>2264</v>
      </c>
      <c r="B2270" s="54">
        <v>2024</v>
      </c>
      <c r="C2270" t="s">
        <v>198</v>
      </c>
      <c r="D2270" t="s">
        <v>244</v>
      </c>
      <c r="E2270" s="22">
        <v>430</v>
      </c>
      <c r="G2270" t="s">
        <v>3137</v>
      </c>
      <c r="H2270" t="s">
        <v>149</v>
      </c>
      <c r="I2270" t="s">
        <v>236</v>
      </c>
      <c r="J2270" t="s">
        <v>53</v>
      </c>
      <c r="K2270" t="s">
        <v>183</v>
      </c>
      <c r="L2270">
        <v>1</v>
      </c>
    </row>
    <row r="2271" spans="1:12" ht="14.5" hidden="1" customHeight="1" x14ac:dyDescent="0.2">
      <c r="A2271">
        <f t="shared" si="35"/>
        <v>2265</v>
      </c>
      <c r="B2271" s="54">
        <v>2024</v>
      </c>
      <c r="C2271" t="s">
        <v>198</v>
      </c>
      <c r="D2271" t="s">
        <v>1035</v>
      </c>
      <c r="E2271" s="22">
        <v>600</v>
      </c>
      <c r="H2271" t="s">
        <v>154</v>
      </c>
      <c r="I2271" t="s">
        <v>529</v>
      </c>
      <c r="J2271" t="s">
        <v>108</v>
      </c>
      <c r="K2271" t="s">
        <v>183</v>
      </c>
      <c r="L2271">
        <v>1</v>
      </c>
    </row>
    <row r="2272" spans="1:12" ht="14.5" hidden="1" customHeight="1" x14ac:dyDescent="0.2">
      <c r="A2272">
        <f t="shared" si="35"/>
        <v>2266</v>
      </c>
      <c r="B2272" s="54">
        <v>2024</v>
      </c>
      <c r="C2272" t="s">
        <v>198</v>
      </c>
      <c r="D2272" t="s">
        <v>875</v>
      </c>
      <c r="E2272" s="22">
        <v>970</v>
      </c>
      <c r="G2272" t="s">
        <v>3138</v>
      </c>
      <c r="H2272" t="s">
        <v>144</v>
      </c>
      <c r="I2272" t="s">
        <v>232</v>
      </c>
      <c r="J2272" t="s">
        <v>105</v>
      </c>
      <c r="K2272" t="s">
        <v>214</v>
      </c>
      <c r="L2272">
        <v>1</v>
      </c>
    </row>
    <row r="2273" spans="1:12" ht="14.5" hidden="1" customHeight="1" x14ac:dyDescent="0.2">
      <c r="A2273">
        <f t="shared" si="35"/>
        <v>2267</v>
      </c>
      <c r="B2273" s="54">
        <v>2024</v>
      </c>
      <c r="C2273" t="s">
        <v>198</v>
      </c>
      <c r="D2273" t="s">
        <v>199</v>
      </c>
      <c r="E2273" s="22">
        <v>210</v>
      </c>
      <c r="G2273" t="s">
        <v>2300</v>
      </c>
      <c r="H2273" t="s">
        <v>144</v>
      </c>
      <c r="I2273" t="s">
        <v>299</v>
      </c>
      <c r="J2273" t="s">
        <v>5</v>
      </c>
      <c r="K2273" t="s">
        <v>214</v>
      </c>
      <c r="L2273">
        <v>1</v>
      </c>
    </row>
    <row r="2274" spans="1:12" ht="14.5" hidden="1" customHeight="1" x14ac:dyDescent="0.2">
      <c r="A2274">
        <f t="shared" si="35"/>
        <v>2268</v>
      </c>
      <c r="B2274" s="54">
        <v>2024</v>
      </c>
      <c r="C2274" t="s">
        <v>198</v>
      </c>
      <c r="D2274" t="s">
        <v>189</v>
      </c>
      <c r="E2274" s="22">
        <v>140</v>
      </c>
      <c r="H2274" t="s">
        <v>144</v>
      </c>
      <c r="I2274" t="s">
        <v>187</v>
      </c>
      <c r="J2274" t="s">
        <v>55</v>
      </c>
      <c r="K2274" t="s">
        <v>214</v>
      </c>
      <c r="L2274">
        <v>1</v>
      </c>
    </row>
    <row r="2275" spans="1:12" ht="14.5" hidden="1" customHeight="1" x14ac:dyDescent="0.2">
      <c r="A2275">
        <f t="shared" si="35"/>
        <v>2269</v>
      </c>
      <c r="B2275" s="54">
        <v>2024</v>
      </c>
      <c r="C2275" t="s">
        <v>198</v>
      </c>
      <c r="D2275" t="s">
        <v>3139</v>
      </c>
      <c r="E2275" s="22">
        <v>150</v>
      </c>
      <c r="G2275" t="s">
        <v>3140</v>
      </c>
      <c r="H2275" t="s">
        <v>144</v>
      </c>
      <c r="I2275" t="s">
        <v>273</v>
      </c>
      <c r="J2275" t="s">
        <v>53</v>
      </c>
      <c r="K2275" t="s">
        <v>183</v>
      </c>
      <c r="L2275">
        <v>1</v>
      </c>
    </row>
    <row r="2276" spans="1:12" ht="14.5" hidden="1" customHeight="1" x14ac:dyDescent="0.2">
      <c r="A2276">
        <f t="shared" si="35"/>
        <v>2270</v>
      </c>
      <c r="B2276" s="54">
        <v>2024</v>
      </c>
      <c r="C2276" t="s">
        <v>198</v>
      </c>
      <c r="D2276" t="s">
        <v>397</v>
      </c>
      <c r="E2276" s="22">
        <v>1040</v>
      </c>
      <c r="G2276" t="s">
        <v>3138</v>
      </c>
      <c r="H2276" t="s">
        <v>151</v>
      </c>
      <c r="I2276" t="s">
        <v>279</v>
      </c>
      <c r="J2276" t="s">
        <v>105</v>
      </c>
      <c r="K2276" t="s">
        <v>214</v>
      </c>
      <c r="L2276">
        <v>1</v>
      </c>
    </row>
    <row r="2277" spans="1:12" ht="14.5" hidden="1" customHeight="1" x14ac:dyDescent="0.2">
      <c r="A2277">
        <f t="shared" si="35"/>
        <v>2271</v>
      </c>
      <c r="B2277" s="54">
        <v>2024</v>
      </c>
      <c r="C2277" t="s">
        <v>198</v>
      </c>
      <c r="D2277" t="s">
        <v>479</v>
      </c>
      <c r="E2277" s="22">
        <v>560</v>
      </c>
      <c r="G2277" t="s">
        <v>2513</v>
      </c>
      <c r="H2277" t="s">
        <v>154</v>
      </c>
      <c r="I2277" t="s">
        <v>271</v>
      </c>
      <c r="J2277" t="s">
        <v>2462</v>
      </c>
      <c r="K2277" t="s">
        <v>219</v>
      </c>
      <c r="L2277">
        <v>1</v>
      </c>
    </row>
    <row r="2278" spans="1:12" ht="14.5" hidden="1" customHeight="1" x14ac:dyDescent="0.2">
      <c r="A2278">
        <f t="shared" si="35"/>
        <v>2272</v>
      </c>
      <c r="B2278" s="54">
        <v>2024</v>
      </c>
      <c r="C2278" t="s">
        <v>198</v>
      </c>
      <c r="D2278" t="s">
        <v>1035</v>
      </c>
      <c r="E2278" s="22">
        <v>100</v>
      </c>
      <c r="H2278" t="s">
        <v>151</v>
      </c>
      <c r="I2278" t="s">
        <v>279</v>
      </c>
      <c r="J2278" t="s">
        <v>106</v>
      </c>
      <c r="K2278" t="s">
        <v>195</v>
      </c>
      <c r="L2278">
        <v>1</v>
      </c>
    </row>
    <row r="2279" spans="1:12" ht="14.5" hidden="1" customHeight="1" x14ac:dyDescent="0.2">
      <c r="A2279">
        <f t="shared" si="35"/>
        <v>2273</v>
      </c>
      <c r="B2279" s="54">
        <v>2024</v>
      </c>
      <c r="C2279" t="s">
        <v>198</v>
      </c>
      <c r="D2279" t="s">
        <v>875</v>
      </c>
      <c r="E2279" s="22">
        <v>230</v>
      </c>
      <c r="H2279" t="s">
        <v>144</v>
      </c>
      <c r="I2279" t="s">
        <v>232</v>
      </c>
      <c r="J2279" t="s">
        <v>134</v>
      </c>
      <c r="K2279" t="s">
        <v>201</v>
      </c>
      <c r="L2279">
        <v>1</v>
      </c>
    </row>
    <row r="2280" spans="1:12" ht="14.5" hidden="1" customHeight="1" x14ac:dyDescent="0.2">
      <c r="A2280">
        <f t="shared" si="35"/>
        <v>2274</v>
      </c>
      <c r="B2280" s="54">
        <v>2024</v>
      </c>
      <c r="C2280" t="s">
        <v>198</v>
      </c>
      <c r="D2280" t="s">
        <v>557</v>
      </c>
      <c r="E2280" s="22">
        <v>210</v>
      </c>
      <c r="H2280" t="s">
        <v>151</v>
      </c>
      <c r="I2280" t="s">
        <v>279</v>
      </c>
      <c r="J2280" t="s">
        <v>77</v>
      </c>
      <c r="K2280" t="s">
        <v>177</v>
      </c>
      <c r="L2280">
        <v>0</v>
      </c>
    </row>
    <row r="2281" spans="1:12" ht="14.5" hidden="1" customHeight="1" x14ac:dyDescent="0.2">
      <c r="A2281">
        <f t="shared" si="35"/>
        <v>2275</v>
      </c>
      <c r="B2281" s="54">
        <v>2024</v>
      </c>
      <c r="C2281" t="s">
        <v>202</v>
      </c>
      <c r="D2281" t="s">
        <v>189</v>
      </c>
      <c r="E2281" s="22">
        <v>880</v>
      </c>
      <c r="F2281" s="16">
        <v>0.5</v>
      </c>
      <c r="G2281" t="s">
        <v>3141</v>
      </c>
      <c r="H2281" t="s">
        <v>143</v>
      </c>
      <c r="J2281" t="s">
        <v>63</v>
      </c>
      <c r="K2281" t="s">
        <v>201</v>
      </c>
      <c r="L2281">
        <v>1</v>
      </c>
    </row>
    <row r="2282" spans="1:12" ht="14.5" hidden="1" customHeight="1" x14ac:dyDescent="0.2">
      <c r="A2282">
        <f t="shared" si="35"/>
        <v>2276</v>
      </c>
      <c r="B2282" s="54">
        <v>2024</v>
      </c>
      <c r="C2282" t="s">
        <v>202</v>
      </c>
      <c r="D2282" t="s">
        <v>1035</v>
      </c>
      <c r="E2282" s="22">
        <v>430</v>
      </c>
      <c r="G2282" t="s">
        <v>2427</v>
      </c>
      <c r="H2282" t="s">
        <v>144</v>
      </c>
      <c r="I2282" t="s">
        <v>299</v>
      </c>
      <c r="J2282" t="s">
        <v>72</v>
      </c>
      <c r="K2282" t="s">
        <v>183</v>
      </c>
      <c r="L2282">
        <v>1</v>
      </c>
    </row>
    <row r="2283" spans="1:12" ht="14.5" hidden="1" customHeight="1" x14ac:dyDescent="0.2">
      <c r="A2283">
        <f t="shared" si="35"/>
        <v>2277</v>
      </c>
      <c r="B2283" s="54">
        <v>2024</v>
      </c>
      <c r="C2283" t="s">
        <v>202</v>
      </c>
      <c r="D2283" t="s">
        <v>1035</v>
      </c>
      <c r="E2283" s="22">
        <v>220</v>
      </c>
      <c r="H2283" t="s">
        <v>144</v>
      </c>
      <c r="I2283" t="s">
        <v>232</v>
      </c>
      <c r="J2283" t="s">
        <v>112</v>
      </c>
      <c r="K2283" t="s">
        <v>219</v>
      </c>
      <c r="L2283">
        <v>1</v>
      </c>
    </row>
    <row r="2284" spans="1:12" ht="14.5" hidden="1" customHeight="1" x14ac:dyDescent="0.2">
      <c r="A2284">
        <f t="shared" si="35"/>
        <v>2278</v>
      </c>
      <c r="B2284" s="54">
        <v>2024</v>
      </c>
      <c r="C2284" t="s">
        <v>202</v>
      </c>
      <c r="D2284" t="s">
        <v>3026</v>
      </c>
      <c r="E2284" s="22">
        <v>320</v>
      </c>
      <c r="H2284" t="s">
        <v>144</v>
      </c>
      <c r="I2284" t="s">
        <v>299</v>
      </c>
      <c r="J2284" t="s">
        <v>3131</v>
      </c>
      <c r="K2284" t="s">
        <v>214</v>
      </c>
      <c r="L2284">
        <v>1</v>
      </c>
    </row>
    <row r="2285" spans="1:12" ht="14.5" hidden="1" customHeight="1" x14ac:dyDescent="0.2">
      <c r="A2285">
        <f t="shared" si="35"/>
        <v>2279</v>
      </c>
      <c r="B2285" s="54">
        <v>2024</v>
      </c>
      <c r="C2285" t="s">
        <v>202</v>
      </c>
      <c r="D2285" t="s">
        <v>479</v>
      </c>
      <c r="E2285" s="22">
        <v>220</v>
      </c>
      <c r="H2285" t="s">
        <v>154</v>
      </c>
      <c r="I2285" t="s">
        <v>529</v>
      </c>
      <c r="J2285" t="s">
        <v>9</v>
      </c>
      <c r="K2285" t="s">
        <v>9</v>
      </c>
      <c r="L2285">
        <v>0</v>
      </c>
    </row>
    <row r="2286" spans="1:12" ht="14.5" hidden="1" customHeight="1" x14ac:dyDescent="0.2">
      <c r="A2286">
        <f t="shared" si="35"/>
        <v>2280</v>
      </c>
      <c r="B2286" s="54">
        <v>2024</v>
      </c>
      <c r="C2286" t="s">
        <v>202</v>
      </c>
      <c r="D2286" t="s">
        <v>199</v>
      </c>
      <c r="E2286" s="22">
        <v>480</v>
      </c>
      <c r="H2286" t="s">
        <v>144</v>
      </c>
      <c r="I2286" t="s">
        <v>187</v>
      </c>
      <c r="J2286" t="s">
        <v>130</v>
      </c>
      <c r="K2286" t="s">
        <v>214</v>
      </c>
      <c r="L2286">
        <v>1</v>
      </c>
    </row>
    <row r="2287" spans="1:12" ht="14.5" hidden="1" customHeight="1" x14ac:dyDescent="0.2">
      <c r="A2287">
        <f t="shared" si="35"/>
        <v>2281</v>
      </c>
      <c r="B2287" s="54">
        <v>2024</v>
      </c>
      <c r="C2287" t="s">
        <v>202</v>
      </c>
      <c r="D2287" t="s">
        <v>2157</v>
      </c>
      <c r="E2287" s="22">
        <v>100</v>
      </c>
      <c r="H2287" t="s">
        <v>151</v>
      </c>
      <c r="I2287" t="s">
        <v>279</v>
      </c>
      <c r="J2287" t="s">
        <v>130</v>
      </c>
      <c r="K2287" t="s">
        <v>214</v>
      </c>
      <c r="L2287">
        <v>1</v>
      </c>
    </row>
    <row r="2288" spans="1:12" ht="14.5" hidden="1" customHeight="1" x14ac:dyDescent="0.2">
      <c r="A2288">
        <f t="shared" si="35"/>
        <v>2282</v>
      </c>
      <c r="B2288" s="54">
        <v>2024</v>
      </c>
      <c r="C2288" t="s">
        <v>202</v>
      </c>
      <c r="D2288" t="s">
        <v>336</v>
      </c>
      <c r="E2288" s="22">
        <v>130</v>
      </c>
      <c r="F2288" s="16">
        <v>0.65</v>
      </c>
      <c r="G2288" t="s">
        <v>3142</v>
      </c>
      <c r="H2288" t="s">
        <v>144</v>
      </c>
      <c r="I2288" t="s">
        <v>187</v>
      </c>
      <c r="J2288" t="s">
        <v>92</v>
      </c>
      <c r="K2288" t="s">
        <v>214</v>
      </c>
      <c r="L2288">
        <v>1</v>
      </c>
    </row>
    <row r="2289" spans="1:12" ht="14.5" hidden="1" customHeight="1" x14ac:dyDescent="0.2">
      <c r="A2289">
        <f t="shared" si="35"/>
        <v>2283</v>
      </c>
      <c r="B2289" s="54">
        <v>2024</v>
      </c>
      <c r="C2289" t="s">
        <v>207</v>
      </c>
      <c r="D2289" t="s">
        <v>189</v>
      </c>
      <c r="E2289" s="22">
        <v>890</v>
      </c>
      <c r="F2289" s="16">
        <v>0.4</v>
      </c>
      <c r="G2289" t="s">
        <v>3141</v>
      </c>
      <c r="H2289" t="s">
        <v>144</v>
      </c>
      <c r="I2289" t="s">
        <v>299</v>
      </c>
      <c r="J2289" t="s">
        <v>105</v>
      </c>
      <c r="K2289" t="s">
        <v>214</v>
      </c>
      <c r="L2289">
        <v>1</v>
      </c>
    </row>
    <row r="2290" spans="1:12" hidden="1" x14ac:dyDescent="0.2">
      <c r="A2290">
        <f t="shared" si="35"/>
        <v>2284</v>
      </c>
      <c r="B2290" s="54">
        <v>2024</v>
      </c>
      <c r="C2290" t="s">
        <v>207</v>
      </c>
      <c r="D2290" t="s">
        <v>2228</v>
      </c>
      <c r="E2290" s="22">
        <v>150</v>
      </c>
      <c r="H2290" t="s">
        <v>154</v>
      </c>
      <c r="I2290" t="s">
        <v>529</v>
      </c>
      <c r="J2290" t="s">
        <v>106</v>
      </c>
      <c r="K2290" t="s">
        <v>195</v>
      </c>
      <c r="L2290">
        <v>1</v>
      </c>
    </row>
    <row r="2291" spans="1:12" ht="14.5" hidden="1" customHeight="1" x14ac:dyDescent="0.2">
      <c r="A2291">
        <f t="shared" si="35"/>
        <v>2285</v>
      </c>
      <c r="B2291" s="54">
        <v>2024</v>
      </c>
      <c r="C2291" t="s">
        <v>207</v>
      </c>
      <c r="D2291" t="s">
        <v>2157</v>
      </c>
      <c r="E2291" s="22">
        <v>480</v>
      </c>
      <c r="H2291" t="s">
        <v>148</v>
      </c>
      <c r="J2291" t="s">
        <v>66</v>
      </c>
      <c r="K2291" t="s">
        <v>201</v>
      </c>
      <c r="L2291">
        <v>1</v>
      </c>
    </row>
    <row r="2292" spans="1:12" ht="14.5" hidden="1" customHeight="1" x14ac:dyDescent="0.2">
      <c r="A2292">
        <f t="shared" si="35"/>
        <v>2286</v>
      </c>
      <c r="B2292" s="54">
        <v>2024</v>
      </c>
      <c r="C2292" t="s">
        <v>207</v>
      </c>
      <c r="D2292" t="s">
        <v>479</v>
      </c>
      <c r="E2292" s="22">
        <v>540</v>
      </c>
      <c r="H2292" t="s">
        <v>154</v>
      </c>
      <c r="I2292" t="s">
        <v>194</v>
      </c>
      <c r="J2292" t="s">
        <v>24</v>
      </c>
      <c r="K2292" t="s">
        <v>219</v>
      </c>
      <c r="L2292">
        <v>1</v>
      </c>
    </row>
    <row r="2293" spans="1:12" ht="14.5" hidden="1" customHeight="1" x14ac:dyDescent="0.2">
      <c r="A2293">
        <f t="shared" si="35"/>
        <v>2287</v>
      </c>
      <c r="B2293" s="54">
        <v>2024</v>
      </c>
      <c r="C2293" t="s">
        <v>207</v>
      </c>
      <c r="D2293" t="s">
        <v>397</v>
      </c>
      <c r="E2293" s="22">
        <v>410</v>
      </c>
      <c r="G2293" t="s">
        <v>3143</v>
      </c>
      <c r="H2293" t="s">
        <v>151</v>
      </c>
      <c r="I2293" t="s">
        <v>279</v>
      </c>
      <c r="J2293" t="s">
        <v>130</v>
      </c>
      <c r="K2293" t="s">
        <v>214</v>
      </c>
      <c r="L2293">
        <v>1</v>
      </c>
    </row>
    <row r="2294" spans="1:12" ht="14.5" hidden="1" customHeight="1" x14ac:dyDescent="0.2">
      <c r="A2294">
        <f t="shared" si="35"/>
        <v>2288</v>
      </c>
      <c r="B2294" s="54">
        <v>2024</v>
      </c>
      <c r="C2294" t="s">
        <v>207</v>
      </c>
      <c r="D2294" t="s">
        <v>3144</v>
      </c>
      <c r="E2294" s="22">
        <v>180</v>
      </c>
      <c r="G2294" t="s">
        <v>2430</v>
      </c>
      <c r="H2294" t="s">
        <v>144</v>
      </c>
      <c r="I2294" t="s">
        <v>299</v>
      </c>
      <c r="J2294" t="s">
        <v>53</v>
      </c>
      <c r="K2294" t="s">
        <v>183</v>
      </c>
      <c r="L2294">
        <v>1</v>
      </c>
    </row>
    <row r="2295" spans="1:12" ht="14.5" hidden="1" customHeight="1" x14ac:dyDescent="0.2">
      <c r="A2295">
        <f t="shared" si="35"/>
        <v>2289</v>
      </c>
      <c r="B2295" s="54">
        <v>2024</v>
      </c>
      <c r="C2295" t="s">
        <v>207</v>
      </c>
      <c r="D2295" t="s">
        <v>3145</v>
      </c>
      <c r="E2295" s="22">
        <v>230</v>
      </c>
      <c r="G2295" t="s">
        <v>2990</v>
      </c>
      <c r="H2295" t="s">
        <v>144</v>
      </c>
      <c r="I2295" t="s">
        <v>232</v>
      </c>
      <c r="J2295" t="s">
        <v>136</v>
      </c>
      <c r="K2295" t="s">
        <v>183</v>
      </c>
      <c r="L2295">
        <v>1</v>
      </c>
    </row>
    <row r="2296" spans="1:12" ht="14.5" hidden="1" customHeight="1" x14ac:dyDescent="0.2">
      <c r="A2296">
        <f t="shared" si="35"/>
        <v>2290</v>
      </c>
      <c r="B2296" s="54">
        <v>2024</v>
      </c>
      <c r="C2296" t="s">
        <v>207</v>
      </c>
      <c r="D2296" t="s">
        <v>479</v>
      </c>
      <c r="E2296" s="22">
        <v>140</v>
      </c>
      <c r="H2296" t="s">
        <v>144</v>
      </c>
      <c r="I2296" t="s">
        <v>232</v>
      </c>
      <c r="J2296" t="s">
        <v>87</v>
      </c>
      <c r="K2296" t="s">
        <v>205</v>
      </c>
      <c r="L2296">
        <v>1</v>
      </c>
    </row>
    <row r="2297" spans="1:12" ht="14.5" hidden="1" customHeight="1" x14ac:dyDescent="0.2">
      <c r="A2297">
        <f t="shared" si="35"/>
        <v>2291</v>
      </c>
      <c r="B2297" s="54">
        <v>2024</v>
      </c>
      <c r="C2297" t="s">
        <v>207</v>
      </c>
      <c r="D2297" t="s">
        <v>1035</v>
      </c>
      <c r="E2297" s="22">
        <v>280</v>
      </c>
      <c r="G2297" t="s">
        <v>3146</v>
      </c>
      <c r="H2297" t="s">
        <v>144</v>
      </c>
      <c r="I2297" t="s">
        <v>299</v>
      </c>
      <c r="J2297" t="s">
        <v>108</v>
      </c>
      <c r="K2297" t="s">
        <v>183</v>
      </c>
      <c r="L2297">
        <v>1</v>
      </c>
    </row>
    <row r="2298" spans="1:12" ht="14.5" hidden="1" customHeight="1" x14ac:dyDescent="0.2">
      <c r="A2298">
        <f t="shared" si="35"/>
        <v>2292</v>
      </c>
      <c r="B2298" s="54">
        <v>2024</v>
      </c>
      <c r="C2298" t="s">
        <v>207</v>
      </c>
      <c r="D2298" t="s">
        <v>449</v>
      </c>
      <c r="E2298" s="22">
        <v>210</v>
      </c>
      <c r="H2298" t="s">
        <v>154</v>
      </c>
      <c r="I2298" t="s">
        <v>194</v>
      </c>
      <c r="J2298" t="s">
        <v>98</v>
      </c>
      <c r="K2298" t="s">
        <v>195</v>
      </c>
      <c r="L2298">
        <v>1</v>
      </c>
    </row>
    <row r="2299" spans="1:12" ht="14.5" hidden="1" customHeight="1" x14ac:dyDescent="0.2">
      <c r="A2299">
        <f t="shared" si="35"/>
        <v>2293</v>
      </c>
      <c r="B2299" s="54">
        <v>2024</v>
      </c>
      <c r="C2299" t="s">
        <v>240</v>
      </c>
      <c r="D2299" t="s">
        <v>199</v>
      </c>
      <c r="E2299" s="22">
        <v>490</v>
      </c>
      <c r="H2299" t="s">
        <v>144</v>
      </c>
      <c r="J2299" t="s">
        <v>130</v>
      </c>
      <c r="K2299" t="s">
        <v>214</v>
      </c>
      <c r="L2299">
        <v>1</v>
      </c>
    </row>
    <row r="2300" spans="1:12" ht="14.5" hidden="1" customHeight="1" x14ac:dyDescent="0.2">
      <c r="A2300">
        <f t="shared" si="35"/>
        <v>2294</v>
      </c>
      <c r="B2300" s="54">
        <v>2024</v>
      </c>
      <c r="C2300" t="s">
        <v>240</v>
      </c>
      <c r="D2300" t="s">
        <v>557</v>
      </c>
      <c r="E2300" s="22">
        <v>350</v>
      </c>
      <c r="G2300" t="s">
        <v>3147</v>
      </c>
      <c r="H2300" t="s">
        <v>144</v>
      </c>
      <c r="I2300" t="s">
        <v>232</v>
      </c>
      <c r="J2300" t="s">
        <v>55</v>
      </c>
      <c r="K2300" t="s">
        <v>214</v>
      </c>
      <c r="L2300">
        <v>1</v>
      </c>
    </row>
    <row r="2301" spans="1:12" ht="14.5" hidden="1" customHeight="1" x14ac:dyDescent="0.2">
      <c r="A2301">
        <f t="shared" si="35"/>
        <v>2295</v>
      </c>
      <c r="B2301" s="54">
        <v>2024</v>
      </c>
      <c r="C2301" t="s">
        <v>240</v>
      </c>
      <c r="D2301" t="s">
        <v>449</v>
      </c>
      <c r="E2301" s="22">
        <v>130</v>
      </c>
      <c r="H2301" t="s">
        <v>154</v>
      </c>
      <c r="I2301" t="s">
        <v>194</v>
      </c>
      <c r="J2301" t="s">
        <v>96</v>
      </c>
      <c r="K2301" t="s">
        <v>205</v>
      </c>
      <c r="L2301">
        <v>1</v>
      </c>
    </row>
    <row r="2302" spans="1:12" ht="14.5" hidden="1" customHeight="1" x14ac:dyDescent="0.2">
      <c r="A2302">
        <f t="shared" si="35"/>
        <v>2296</v>
      </c>
      <c r="B2302" s="54">
        <v>2024</v>
      </c>
      <c r="C2302" t="s">
        <v>240</v>
      </c>
      <c r="D2302" t="s">
        <v>1035</v>
      </c>
      <c r="E2302" s="22">
        <v>100</v>
      </c>
      <c r="G2302" t="s">
        <v>1247</v>
      </c>
      <c r="H2302" t="s">
        <v>144</v>
      </c>
      <c r="I2302" t="s">
        <v>232</v>
      </c>
      <c r="J2302" t="s">
        <v>134</v>
      </c>
      <c r="K2302" t="s">
        <v>201</v>
      </c>
      <c r="L2302">
        <v>1</v>
      </c>
    </row>
    <row r="2303" spans="1:12" ht="14.5" hidden="1" customHeight="1" x14ac:dyDescent="0.2">
      <c r="A2303">
        <f t="shared" si="35"/>
        <v>2297</v>
      </c>
      <c r="B2303" s="54">
        <v>2024</v>
      </c>
      <c r="C2303" t="s">
        <v>240</v>
      </c>
      <c r="D2303" t="s">
        <v>397</v>
      </c>
      <c r="E2303" s="22">
        <v>100</v>
      </c>
      <c r="G2303" t="s">
        <v>3148</v>
      </c>
      <c r="H2303" t="s">
        <v>152</v>
      </c>
      <c r="J2303" t="s">
        <v>72</v>
      </c>
      <c r="K2303" t="s">
        <v>183</v>
      </c>
      <c r="L2303">
        <v>1</v>
      </c>
    </row>
    <row r="2304" spans="1:12" ht="14.5" hidden="1" customHeight="1" x14ac:dyDescent="0.2">
      <c r="A2304">
        <f t="shared" si="35"/>
        <v>2298</v>
      </c>
      <c r="B2304" s="54">
        <v>2024</v>
      </c>
      <c r="C2304" t="s">
        <v>240</v>
      </c>
      <c r="D2304" t="s">
        <v>745</v>
      </c>
      <c r="E2304" s="22">
        <v>410</v>
      </c>
      <c r="G2304" t="s">
        <v>3149</v>
      </c>
      <c r="H2304" t="s">
        <v>143</v>
      </c>
      <c r="J2304" t="s">
        <v>136</v>
      </c>
      <c r="K2304" t="s">
        <v>183</v>
      </c>
      <c r="L2304">
        <v>1</v>
      </c>
    </row>
    <row r="2305" spans="1:12" ht="14.5" hidden="1" customHeight="1" x14ac:dyDescent="0.2">
      <c r="A2305">
        <f t="shared" si="35"/>
        <v>2299</v>
      </c>
      <c r="B2305" s="54">
        <v>2024</v>
      </c>
      <c r="C2305" t="s">
        <v>240</v>
      </c>
      <c r="D2305" t="s">
        <v>397</v>
      </c>
      <c r="E2305" s="22">
        <v>130</v>
      </c>
      <c r="G2305" t="s">
        <v>2430</v>
      </c>
      <c r="H2305" t="s">
        <v>144</v>
      </c>
      <c r="I2305" t="s">
        <v>299</v>
      </c>
      <c r="J2305" t="s">
        <v>53</v>
      </c>
      <c r="K2305" t="s">
        <v>183</v>
      </c>
      <c r="L2305">
        <v>1</v>
      </c>
    </row>
    <row r="2306" spans="1:12" ht="14.5" hidden="1" customHeight="1" x14ac:dyDescent="0.2">
      <c r="A2306">
        <f t="shared" si="35"/>
        <v>2300</v>
      </c>
      <c r="B2306" s="54">
        <v>2024</v>
      </c>
      <c r="C2306" t="s">
        <v>240</v>
      </c>
      <c r="D2306" t="s">
        <v>189</v>
      </c>
      <c r="E2306" s="22">
        <v>220</v>
      </c>
      <c r="G2306" t="s">
        <v>2689</v>
      </c>
      <c r="H2306" t="s">
        <v>143</v>
      </c>
      <c r="J2306" t="s">
        <v>130</v>
      </c>
      <c r="K2306" t="s">
        <v>214</v>
      </c>
      <c r="L2306">
        <v>1</v>
      </c>
    </row>
    <row r="2307" spans="1:12" ht="14.5" hidden="1" customHeight="1" x14ac:dyDescent="0.2">
      <c r="A2307">
        <f t="shared" si="35"/>
        <v>2301</v>
      </c>
      <c r="B2307" s="54">
        <v>2024</v>
      </c>
      <c r="C2307" t="s">
        <v>212</v>
      </c>
      <c r="D2307" t="s">
        <v>2982</v>
      </c>
      <c r="E2307" s="22">
        <v>320</v>
      </c>
      <c r="H2307" t="s">
        <v>154</v>
      </c>
      <c r="I2307" t="s">
        <v>529</v>
      </c>
      <c r="J2307" t="s">
        <v>80</v>
      </c>
      <c r="K2307" t="s">
        <v>214</v>
      </c>
      <c r="L2307">
        <v>1</v>
      </c>
    </row>
    <row r="2308" spans="1:12" ht="14.5" hidden="1" customHeight="1" x14ac:dyDescent="0.2">
      <c r="A2308">
        <f t="shared" si="35"/>
        <v>2302</v>
      </c>
      <c r="B2308" s="54">
        <v>2024</v>
      </c>
      <c r="C2308" t="s">
        <v>212</v>
      </c>
      <c r="D2308" t="s">
        <v>875</v>
      </c>
      <c r="E2308" s="22">
        <v>600</v>
      </c>
      <c r="G2308" t="s">
        <v>3076</v>
      </c>
      <c r="H2308" t="s">
        <v>144</v>
      </c>
      <c r="I2308" t="s">
        <v>232</v>
      </c>
      <c r="J2308" t="s">
        <v>38</v>
      </c>
      <c r="K2308" t="s">
        <v>214</v>
      </c>
      <c r="L2308">
        <v>1</v>
      </c>
    </row>
    <row r="2309" spans="1:12" ht="14.5" hidden="1" customHeight="1" x14ac:dyDescent="0.2">
      <c r="A2309">
        <f t="shared" si="35"/>
        <v>2303</v>
      </c>
      <c r="B2309" s="54">
        <v>2024</v>
      </c>
      <c r="C2309" t="s">
        <v>212</v>
      </c>
      <c r="D2309" t="s">
        <v>189</v>
      </c>
      <c r="E2309" s="22">
        <v>140</v>
      </c>
      <c r="H2309" t="s">
        <v>144</v>
      </c>
      <c r="I2309" t="s">
        <v>299</v>
      </c>
      <c r="J2309" t="s">
        <v>130</v>
      </c>
      <c r="K2309" t="s">
        <v>214</v>
      </c>
      <c r="L2309">
        <v>1</v>
      </c>
    </row>
    <row r="2310" spans="1:12" ht="14.5" hidden="1" customHeight="1" x14ac:dyDescent="0.2">
      <c r="A2310">
        <f t="shared" si="35"/>
        <v>2304</v>
      </c>
      <c r="B2310" s="54">
        <v>2024</v>
      </c>
      <c r="C2310" t="s">
        <v>212</v>
      </c>
      <c r="D2310" t="s">
        <v>1035</v>
      </c>
      <c r="E2310" s="22">
        <v>790</v>
      </c>
      <c r="H2310" t="s">
        <v>154</v>
      </c>
      <c r="I2310" t="s">
        <v>529</v>
      </c>
      <c r="J2310" t="s">
        <v>106</v>
      </c>
      <c r="K2310" t="s">
        <v>195</v>
      </c>
      <c r="L2310">
        <v>1</v>
      </c>
    </row>
    <row r="2311" spans="1:12" ht="14.5" hidden="1" customHeight="1" x14ac:dyDescent="0.2">
      <c r="A2311">
        <f t="shared" ref="A2311:A2374" si="36">ROW()-6</f>
        <v>2305</v>
      </c>
      <c r="B2311" s="54">
        <v>2024</v>
      </c>
      <c r="C2311" t="s">
        <v>212</v>
      </c>
      <c r="D2311" t="s">
        <v>3150</v>
      </c>
      <c r="E2311" s="22">
        <v>150</v>
      </c>
      <c r="G2311" t="s">
        <v>3140</v>
      </c>
      <c r="H2311" t="s">
        <v>154</v>
      </c>
      <c r="I2311" t="s">
        <v>194</v>
      </c>
      <c r="J2311" t="s">
        <v>53</v>
      </c>
      <c r="K2311" t="s">
        <v>183</v>
      </c>
      <c r="L2311">
        <v>1</v>
      </c>
    </row>
    <row r="2312" spans="1:12" ht="14.5" hidden="1" customHeight="1" x14ac:dyDescent="0.2">
      <c r="A2312">
        <f t="shared" si="36"/>
        <v>2306</v>
      </c>
      <c r="B2312" s="54">
        <v>2024</v>
      </c>
      <c r="C2312" t="s">
        <v>212</v>
      </c>
      <c r="D2312" t="s">
        <v>397</v>
      </c>
      <c r="E2312" s="22">
        <v>120</v>
      </c>
      <c r="G2312" t="s">
        <v>3151</v>
      </c>
      <c r="H2312" t="s">
        <v>151</v>
      </c>
      <c r="I2312" t="s">
        <v>279</v>
      </c>
      <c r="J2312" t="s">
        <v>132</v>
      </c>
      <c r="K2312" t="s">
        <v>219</v>
      </c>
      <c r="L2312">
        <v>1</v>
      </c>
    </row>
    <row r="2313" spans="1:12" hidden="1" x14ac:dyDescent="0.2">
      <c r="A2313">
        <f t="shared" si="36"/>
        <v>2307</v>
      </c>
      <c r="B2313" s="54">
        <v>2024</v>
      </c>
      <c r="C2313" t="s">
        <v>212</v>
      </c>
      <c r="D2313" t="s">
        <v>3026</v>
      </c>
      <c r="E2313" s="22">
        <v>920</v>
      </c>
      <c r="H2313" t="s">
        <v>144</v>
      </c>
      <c r="I2313" t="s">
        <v>187</v>
      </c>
      <c r="J2313" t="s">
        <v>130</v>
      </c>
      <c r="K2313" t="s">
        <v>214</v>
      </c>
      <c r="L2313">
        <v>1</v>
      </c>
    </row>
    <row r="2314" spans="1:12" hidden="1" x14ac:dyDescent="0.2">
      <c r="A2314">
        <f t="shared" si="36"/>
        <v>2308</v>
      </c>
      <c r="B2314" s="54">
        <v>2024</v>
      </c>
      <c r="C2314" t="s">
        <v>212</v>
      </c>
      <c r="D2314" t="s">
        <v>1035</v>
      </c>
      <c r="E2314" s="22">
        <v>130</v>
      </c>
      <c r="H2314" t="s">
        <v>155</v>
      </c>
      <c r="J2314" t="s">
        <v>77</v>
      </c>
      <c r="K2314" t="s">
        <v>177</v>
      </c>
      <c r="L2314">
        <v>0</v>
      </c>
    </row>
    <row r="2315" spans="1:12" hidden="1" x14ac:dyDescent="0.2">
      <c r="A2315">
        <f t="shared" si="36"/>
        <v>2309</v>
      </c>
      <c r="B2315" s="54">
        <v>2024</v>
      </c>
      <c r="C2315" t="s">
        <v>212</v>
      </c>
      <c r="D2315" t="s">
        <v>1035</v>
      </c>
      <c r="E2315" s="22">
        <v>100</v>
      </c>
      <c r="H2315" t="s">
        <v>142</v>
      </c>
      <c r="J2315" t="s">
        <v>24</v>
      </c>
      <c r="K2315" t="s">
        <v>219</v>
      </c>
      <c r="L2315">
        <v>1</v>
      </c>
    </row>
    <row r="2316" spans="1:12" hidden="1" x14ac:dyDescent="0.2">
      <c r="A2316">
        <f t="shared" si="36"/>
        <v>2310</v>
      </c>
      <c r="B2316" s="54">
        <v>2024</v>
      </c>
      <c r="C2316" t="s">
        <v>212</v>
      </c>
      <c r="D2316" t="s">
        <v>479</v>
      </c>
      <c r="E2316" s="22">
        <v>130</v>
      </c>
      <c r="H2316" t="s">
        <v>154</v>
      </c>
      <c r="I2316" t="s">
        <v>194</v>
      </c>
      <c r="J2316" t="s">
        <v>48</v>
      </c>
      <c r="K2316" t="s">
        <v>219</v>
      </c>
      <c r="L2316">
        <v>1</v>
      </c>
    </row>
    <row r="2317" spans="1:12" hidden="1" x14ac:dyDescent="0.2">
      <c r="A2317">
        <f t="shared" si="36"/>
        <v>2311</v>
      </c>
      <c r="B2317" s="54">
        <v>2024</v>
      </c>
      <c r="C2317" t="s">
        <v>212</v>
      </c>
      <c r="D2317" t="s">
        <v>399</v>
      </c>
      <c r="E2317" s="22">
        <v>260</v>
      </c>
      <c r="G2317" t="s">
        <v>3152</v>
      </c>
      <c r="H2317" t="s">
        <v>144</v>
      </c>
      <c r="I2317" t="s">
        <v>232</v>
      </c>
      <c r="J2317" t="s">
        <v>72</v>
      </c>
      <c r="K2317" t="s">
        <v>183</v>
      </c>
      <c r="L2317">
        <v>1</v>
      </c>
    </row>
    <row r="2318" spans="1:12" hidden="1" x14ac:dyDescent="0.2">
      <c r="A2318">
        <f t="shared" si="36"/>
        <v>2312</v>
      </c>
      <c r="B2318" s="54">
        <v>2025</v>
      </c>
      <c r="C2318" t="s">
        <v>172</v>
      </c>
      <c r="D2318" t="s">
        <v>397</v>
      </c>
      <c r="E2318" s="22">
        <v>220</v>
      </c>
      <c r="H2318" t="s">
        <v>154</v>
      </c>
      <c r="I2318" t="s">
        <v>194</v>
      </c>
      <c r="J2318" t="s">
        <v>130</v>
      </c>
      <c r="K2318" t="s">
        <v>214</v>
      </c>
      <c r="L2318">
        <v>1</v>
      </c>
    </row>
    <row r="2319" spans="1:12" hidden="1" x14ac:dyDescent="0.2">
      <c r="A2319">
        <f t="shared" si="36"/>
        <v>2313</v>
      </c>
      <c r="B2319" s="54">
        <v>2025</v>
      </c>
      <c r="C2319" t="s">
        <v>172</v>
      </c>
      <c r="D2319" t="s">
        <v>520</v>
      </c>
      <c r="E2319" s="22">
        <v>1840</v>
      </c>
      <c r="G2319" t="s">
        <v>3138</v>
      </c>
      <c r="H2319" t="s">
        <v>152</v>
      </c>
      <c r="J2319" t="s">
        <v>105</v>
      </c>
      <c r="K2319" t="s">
        <v>214</v>
      </c>
      <c r="L2319">
        <v>1</v>
      </c>
    </row>
    <row r="2320" spans="1:12" hidden="1" x14ac:dyDescent="0.2">
      <c r="A2320">
        <f t="shared" si="36"/>
        <v>2314</v>
      </c>
      <c r="B2320" s="54">
        <v>2025</v>
      </c>
      <c r="C2320" t="s">
        <v>172</v>
      </c>
      <c r="D2320" t="s">
        <v>3153</v>
      </c>
      <c r="E2320" s="22">
        <v>180</v>
      </c>
      <c r="G2320" t="s">
        <v>3154</v>
      </c>
      <c r="H2320" t="s">
        <v>142</v>
      </c>
      <c r="J2320" t="s">
        <v>124</v>
      </c>
      <c r="K2320" t="s">
        <v>183</v>
      </c>
      <c r="L2320">
        <v>1</v>
      </c>
    </row>
    <row r="2321" spans="1:12" hidden="1" x14ac:dyDescent="0.2">
      <c r="A2321">
        <f t="shared" si="36"/>
        <v>2315</v>
      </c>
      <c r="B2321" s="54">
        <v>2025</v>
      </c>
      <c r="C2321" t="s">
        <v>172</v>
      </c>
      <c r="D2321" t="s">
        <v>1289</v>
      </c>
      <c r="E2321" s="22">
        <v>240</v>
      </c>
      <c r="G2321" t="s">
        <v>3155</v>
      </c>
      <c r="H2321" t="s">
        <v>151</v>
      </c>
      <c r="I2321" t="s">
        <v>279</v>
      </c>
      <c r="J2321" t="s">
        <v>108</v>
      </c>
      <c r="K2321" t="s">
        <v>183</v>
      </c>
      <c r="L2321">
        <v>1</v>
      </c>
    </row>
    <row r="2322" spans="1:12" hidden="1" x14ac:dyDescent="0.2">
      <c r="A2322">
        <f t="shared" si="36"/>
        <v>2316</v>
      </c>
      <c r="B2322" s="54">
        <v>2025</v>
      </c>
      <c r="C2322" t="s">
        <v>172</v>
      </c>
      <c r="D2322" t="s">
        <v>2157</v>
      </c>
      <c r="E2322" s="22">
        <v>100</v>
      </c>
      <c r="H2322" t="s">
        <v>154</v>
      </c>
      <c r="I2322" t="s">
        <v>194</v>
      </c>
      <c r="J2322" t="s">
        <v>122</v>
      </c>
      <c r="K2322" t="s">
        <v>201</v>
      </c>
      <c r="L2322">
        <v>1</v>
      </c>
    </row>
    <row r="2323" spans="1:12" hidden="1" x14ac:dyDescent="0.2">
      <c r="A2323">
        <f t="shared" si="36"/>
        <v>2317</v>
      </c>
      <c r="B2323" s="54">
        <v>2025</v>
      </c>
      <c r="C2323" t="s">
        <v>172</v>
      </c>
      <c r="D2323" t="s">
        <v>1035</v>
      </c>
      <c r="E2323" s="22">
        <v>240</v>
      </c>
      <c r="G2323" t="s">
        <v>1247</v>
      </c>
      <c r="H2323" t="s">
        <v>144</v>
      </c>
      <c r="I2323" t="s">
        <v>232</v>
      </c>
      <c r="J2323" t="s">
        <v>11</v>
      </c>
      <c r="K2323" t="s">
        <v>201</v>
      </c>
      <c r="L2323">
        <v>1</v>
      </c>
    </row>
    <row r="2324" spans="1:12" hidden="1" x14ac:dyDescent="0.2">
      <c r="A2324">
        <f t="shared" si="36"/>
        <v>2318</v>
      </c>
      <c r="B2324" s="54">
        <v>2025</v>
      </c>
      <c r="C2324" t="s">
        <v>172</v>
      </c>
      <c r="D2324" t="s">
        <v>1035</v>
      </c>
      <c r="E2324" s="22">
        <v>210</v>
      </c>
      <c r="G2324" t="s">
        <v>3156</v>
      </c>
      <c r="H2324" t="s">
        <v>144</v>
      </c>
      <c r="I2324" t="s">
        <v>232</v>
      </c>
      <c r="J2324" t="s">
        <v>112</v>
      </c>
      <c r="K2324" t="s">
        <v>219</v>
      </c>
      <c r="L2324">
        <v>1</v>
      </c>
    </row>
    <row r="2325" spans="1:12" hidden="1" x14ac:dyDescent="0.2">
      <c r="A2325">
        <f t="shared" si="36"/>
        <v>2319</v>
      </c>
      <c r="B2325" s="54">
        <v>2025</v>
      </c>
      <c r="C2325" t="s">
        <v>172</v>
      </c>
      <c r="D2325" t="s">
        <v>1035</v>
      </c>
      <c r="E2325" s="22">
        <v>150</v>
      </c>
      <c r="G2325" t="s">
        <v>3157</v>
      </c>
      <c r="H2325" t="s">
        <v>144</v>
      </c>
      <c r="I2325" t="s">
        <v>197</v>
      </c>
      <c r="J2325" t="s">
        <v>67</v>
      </c>
      <c r="K2325" t="s">
        <v>183</v>
      </c>
      <c r="L2325">
        <v>1</v>
      </c>
    </row>
    <row r="2326" spans="1:12" hidden="1" x14ac:dyDescent="0.2">
      <c r="A2326">
        <f t="shared" si="36"/>
        <v>2320</v>
      </c>
      <c r="B2326" s="54">
        <v>2025</v>
      </c>
      <c r="C2326" t="s">
        <v>172</v>
      </c>
      <c r="D2326" t="s">
        <v>1035</v>
      </c>
      <c r="E2326" s="22">
        <v>820</v>
      </c>
      <c r="G2326" t="s">
        <v>1247</v>
      </c>
      <c r="H2326" t="s">
        <v>144</v>
      </c>
      <c r="I2326" t="s">
        <v>232</v>
      </c>
      <c r="J2326" t="s">
        <v>38</v>
      </c>
      <c r="K2326" t="s">
        <v>214</v>
      </c>
      <c r="L2326">
        <v>1</v>
      </c>
    </row>
    <row r="2327" spans="1:12" hidden="1" x14ac:dyDescent="0.2">
      <c r="A2327">
        <f t="shared" si="36"/>
        <v>2321</v>
      </c>
      <c r="B2327" s="54">
        <v>2025</v>
      </c>
      <c r="C2327" t="s">
        <v>172</v>
      </c>
      <c r="D2327" t="s">
        <v>3158</v>
      </c>
      <c r="E2327" s="22">
        <v>700</v>
      </c>
      <c r="H2327" t="s">
        <v>144</v>
      </c>
      <c r="I2327" t="s">
        <v>232</v>
      </c>
      <c r="J2327" t="s">
        <v>97</v>
      </c>
      <c r="K2327" t="s">
        <v>183</v>
      </c>
      <c r="L2327">
        <v>1</v>
      </c>
    </row>
    <row r="2328" spans="1:12" hidden="1" x14ac:dyDescent="0.2">
      <c r="A2328">
        <f t="shared" si="36"/>
        <v>2322</v>
      </c>
      <c r="B2328" s="54">
        <v>2025</v>
      </c>
      <c r="C2328" t="s">
        <v>172</v>
      </c>
      <c r="D2328" t="s">
        <v>875</v>
      </c>
      <c r="E2328" s="22">
        <v>240</v>
      </c>
      <c r="G2328" t="s">
        <v>3159</v>
      </c>
      <c r="H2328" t="s">
        <v>144</v>
      </c>
      <c r="I2328" t="s">
        <v>232</v>
      </c>
      <c r="J2328" t="s">
        <v>67</v>
      </c>
      <c r="K2328" t="s">
        <v>183</v>
      </c>
      <c r="L2328">
        <v>1</v>
      </c>
    </row>
    <row r="2329" spans="1:12" hidden="1" x14ac:dyDescent="0.2">
      <c r="A2329">
        <f t="shared" si="36"/>
        <v>2323</v>
      </c>
      <c r="B2329" s="54">
        <v>2025</v>
      </c>
      <c r="C2329" t="s">
        <v>172</v>
      </c>
      <c r="D2329" t="s">
        <v>3160</v>
      </c>
      <c r="E2329" s="22">
        <v>140</v>
      </c>
      <c r="H2329" t="s">
        <v>154</v>
      </c>
      <c r="I2329" t="s">
        <v>194</v>
      </c>
      <c r="J2329" t="s">
        <v>34</v>
      </c>
      <c r="K2329" t="s">
        <v>219</v>
      </c>
      <c r="L2329">
        <v>1</v>
      </c>
    </row>
    <row r="2330" spans="1:12" hidden="1" x14ac:dyDescent="0.2">
      <c r="A2330">
        <f t="shared" si="36"/>
        <v>2324</v>
      </c>
      <c r="B2330" s="54">
        <v>2025</v>
      </c>
      <c r="C2330" t="s">
        <v>172</v>
      </c>
      <c r="D2330" t="s">
        <v>479</v>
      </c>
      <c r="E2330" s="22">
        <v>280</v>
      </c>
      <c r="H2330" t="s">
        <v>154</v>
      </c>
      <c r="I2330" t="s">
        <v>529</v>
      </c>
      <c r="J2330" t="s">
        <v>72</v>
      </c>
      <c r="K2330" t="s">
        <v>183</v>
      </c>
      <c r="L2330">
        <v>1</v>
      </c>
    </row>
    <row r="2331" spans="1:12" hidden="1" x14ac:dyDescent="0.2">
      <c r="A2331">
        <f t="shared" si="36"/>
        <v>2325</v>
      </c>
      <c r="B2331" s="54">
        <v>2025</v>
      </c>
      <c r="C2331" t="s">
        <v>172</v>
      </c>
      <c r="D2331" t="s">
        <v>479</v>
      </c>
      <c r="E2331" s="22">
        <v>200</v>
      </c>
      <c r="H2331" t="s">
        <v>151</v>
      </c>
      <c r="I2331" t="s">
        <v>279</v>
      </c>
      <c r="J2331" t="s">
        <v>105</v>
      </c>
      <c r="K2331" t="s">
        <v>214</v>
      </c>
      <c r="L2331">
        <v>1</v>
      </c>
    </row>
    <row r="2332" spans="1:12" hidden="1" x14ac:dyDescent="0.2">
      <c r="A2332">
        <f t="shared" si="36"/>
        <v>2326</v>
      </c>
      <c r="B2332" s="54">
        <v>2025</v>
      </c>
      <c r="C2332" t="s">
        <v>258</v>
      </c>
      <c r="D2332" t="s">
        <v>2103</v>
      </c>
      <c r="E2332" s="22">
        <v>590</v>
      </c>
      <c r="H2332" t="s">
        <v>149</v>
      </c>
      <c r="I2332" t="s">
        <v>236</v>
      </c>
      <c r="J2332" t="s">
        <v>34</v>
      </c>
      <c r="K2332" t="s">
        <v>219</v>
      </c>
      <c r="L2332">
        <v>1</v>
      </c>
    </row>
    <row r="2333" spans="1:12" hidden="1" x14ac:dyDescent="0.2">
      <c r="A2333">
        <f t="shared" si="36"/>
        <v>2327</v>
      </c>
      <c r="B2333" s="54">
        <v>2025</v>
      </c>
      <c r="C2333" t="s">
        <v>258</v>
      </c>
      <c r="D2333" t="s">
        <v>1057</v>
      </c>
      <c r="E2333" s="22">
        <v>150</v>
      </c>
      <c r="G2333" t="s">
        <v>3161</v>
      </c>
      <c r="H2333" t="s">
        <v>144</v>
      </c>
      <c r="I2333" t="s">
        <v>232</v>
      </c>
      <c r="J2333" t="s">
        <v>9</v>
      </c>
      <c r="K2333" t="s">
        <v>9</v>
      </c>
      <c r="L2333">
        <v>0</v>
      </c>
    </row>
    <row r="2334" spans="1:12" hidden="1" x14ac:dyDescent="0.2">
      <c r="A2334">
        <f t="shared" si="36"/>
        <v>2328</v>
      </c>
      <c r="B2334" s="54">
        <v>2025</v>
      </c>
      <c r="C2334" t="s">
        <v>258</v>
      </c>
      <c r="D2334" t="s">
        <v>479</v>
      </c>
      <c r="E2334" s="22">
        <v>110</v>
      </c>
      <c r="G2334" t="s">
        <v>2948</v>
      </c>
      <c r="H2334" t="s">
        <v>154</v>
      </c>
      <c r="I2334" t="s">
        <v>271</v>
      </c>
      <c r="J2334" t="s">
        <v>37</v>
      </c>
      <c r="K2334" t="s">
        <v>205</v>
      </c>
      <c r="L2334">
        <v>1</v>
      </c>
    </row>
    <row r="2335" spans="1:12" hidden="1" x14ac:dyDescent="0.2">
      <c r="A2335">
        <f t="shared" si="36"/>
        <v>2329</v>
      </c>
      <c r="B2335" s="54">
        <v>2025</v>
      </c>
      <c r="C2335" t="s">
        <v>258</v>
      </c>
      <c r="D2335" t="s">
        <v>479</v>
      </c>
      <c r="E2335" s="22">
        <v>300</v>
      </c>
      <c r="H2335" t="s">
        <v>151</v>
      </c>
      <c r="I2335" t="s">
        <v>279</v>
      </c>
      <c r="J2335" t="s">
        <v>65</v>
      </c>
      <c r="K2335" t="s">
        <v>214</v>
      </c>
      <c r="L2335">
        <v>1</v>
      </c>
    </row>
    <row r="2336" spans="1:12" hidden="1" x14ac:dyDescent="0.2">
      <c r="A2336">
        <f t="shared" si="36"/>
        <v>2330</v>
      </c>
      <c r="B2336" s="54">
        <v>2025</v>
      </c>
      <c r="C2336" t="s">
        <v>258</v>
      </c>
      <c r="D2336" t="s">
        <v>199</v>
      </c>
      <c r="E2336" s="22">
        <v>100</v>
      </c>
      <c r="G2336" t="s">
        <v>3162</v>
      </c>
      <c r="H2336" t="s">
        <v>144</v>
      </c>
      <c r="I2336" t="s">
        <v>299</v>
      </c>
      <c r="J2336" t="s">
        <v>5</v>
      </c>
      <c r="K2336" t="s">
        <v>214</v>
      </c>
      <c r="L2336">
        <v>1</v>
      </c>
    </row>
    <row r="2337" spans="1:12" hidden="1" x14ac:dyDescent="0.2">
      <c r="A2337">
        <f t="shared" si="36"/>
        <v>2331</v>
      </c>
      <c r="B2337" s="54">
        <v>2025</v>
      </c>
      <c r="C2337" t="s">
        <v>258</v>
      </c>
      <c r="D2337" t="s">
        <v>745</v>
      </c>
      <c r="E2337" s="22">
        <v>250</v>
      </c>
      <c r="G2337" t="s">
        <v>2633</v>
      </c>
      <c r="H2337" t="s">
        <v>143</v>
      </c>
      <c r="J2337" t="s">
        <v>136</v>
      </c>
      <c r="K2337" t="s">
        <v>183</v>
      </c>
      <c r="L2337">
        <v>1</v>
      </c>
    </row>
    <row r="2338" spans="1:12" hidden="1" x14ac:dyDescent="0.2">
      <c r="A2338">
        <f t="shared" si="36"/>
        <v>2332</v>
      </c>
      <c r="B2338" s="54">
        <v>2025</v>
      </c>
      <c r="C2338" t="s">
        <v>258</v>
      </c>
      <c r="D2338" t="s">
        <v>2157</v>
      </c>
      <c r="E2338" s="22">
        <v>330</v>
      </c>
      <c r="H2338" t="s">
        <v>155</v>
      </c>
      <c r="J2338" t="s">
        <v>13</v>
      </c>
      <c r="K2338" t="s">
        <v>201</v>
      </c>
      <c r="L2338">
        <v>1</v>
      </c>
    </row>
    <row r="2339" spans="1:12" hidden="1" x14ac:dyDescent="0.2">
      <c r="A2339">
        <f t="shared" si="36"/>
        <v>2333</v>
      </c>
      <c r="B2339" s="54">
        <v>2025</v>
      </c>
      <c r="C2339" t="s">
        <v>258</v>
      </c>
      <c r="D2339" t="s">
        <v>875</v>
      </c>
      <c r="E2339" s="22">
        <v>300</v>
      </c>
      <c r="H2339" t="s">
        <v>144</v>
      </c>
      <c r="I2339" t="s">
        <v>299</v>
      </c>
      <c r="J2339" t="s">
        <v>80</v>
      </c>
      <c r="K2339" t="s">
        <v>214</v>
      </c>
      <c r="L2339">
        <v>1</v>
      </c>
    </row>
    <row r="2340" spans="1:12" hidden="1" x14ac:dyDescent="0.2">
      <c r="A2340">
        <f t="shared" si="36"/>
        <v>2334</v>
      </c>
      <c r="B2340" s="54">
        <v>2025</v>
      </c>
      <c r="C2340" t="s">
        <v>258</v>
      </c>
      <c r="D2340" t="s">
        <v>1035</v>
      </c>
      <c r="E2340" s="22">
        <v>740</v>
      </c>
      <c r="G2340" t="s">
        <v>3163</v>
      </c>
      <c r="H2340" t="s">
        <v>144</v>
      </c>
      <c r="I2340" t="s">
        <v>232</v>
      </c>
      <c r="J2340" t="s">
        <v>130</v>
      </c>
      <c r="K2340" t="s">
        <v>214</v>
      </c>
      <c r="L2340">
        <v>1</v>
      </c>
    </row>
    <row r="2341" spans="1:12" ht="14.5" hidden="1" customHeight="1" x14ac:dyDescent="0.2">
      <c r="A2341">
        <f t="shared" si="36"/>
        <v>2335</v>
      </c>
      <c r="B2341" s="54">
        <v>2025</v>
      </c>
      <c r="C2341" t="s">
        <v>258</v>
      </c>
      <c r="D2341" t="s">
        <v>479</v>
      </c>
      <c r="E2341" s="22">
        <v>2240</v>
      </c>
      <c r="F2341" s="16">
        <v>0.6</v>
      </c>
      <c r="G2341" t="s">
        <v>3164</v>
      </c>
      <c r="H2341" t="s">
        <v>154</v>
      </c>
      <c r="I2341" t="s">
        <v>529</v>
      </c>
      <c r="J2341" t="s">
        <v>9</v>
      </c>
      <c r="K2341" t="s">
        <v>9</v>
      </c>
      <c r="L2341">
        <v>0</v>
      </c>
    </row>
    <row r="2342" spans="1:12" ht="14.5" hidden="1" customHeight="1" x14ac:dyDescent="0.2">
      <c r="A2342">
        <f t="shared" si="36"/>
        <v>2336</v>
      </c>
      <c r="B2342" s="54">
        <v>2025</v>
      </c>
      <c r="C2342" t="s">
        <v>258</v>
      </c>
      <c r="D2342" t="s">
        <v>341</v>
      </c>
      <c r="E2342" s="22">
        <v>190</v>
      </c>
      <c r="H2342" t="s">
        <v>154</v>
      </c>
      <c r="I2342" t="s">
        <v>194</v>
      </c>
      <c r="J2342" t="s">
        <v>17</v>
      </c>
      <c r="K2342" t="s">
        <v>195</v>
      </c>
      <c r="L2342">
        <v>1</v>
      </c>
    </row>
    <row r="2343" spans="1:12" hidden="1" x14ac:dyDescent="0.2">
      <c r="A2343">
        <f t="shared" si="36"/>
        <v>2337</v>
      </c>
      <c r="B2343" s="54">
        <v>2025</v>
      </c>
      <c r="C2343" t="s">
        <v>179</v>
      </c>
      <c r="D2343" t="s">
        <v>875</v>
      </c>
      <c r="E2343" s="22">
        <v>560</v>
      </c>
      <c r="H2343" t="s">
        <v>151</v>
      </c>
      <c r="I2343" t="s">
        <v>279</v>
      </c>
      <c r="J2343" t="s">
        <v>65</v>
      </c>
      <c r="K2343" t="s">
        <v>214</v>
      </c>
      <c r="L2343">
        <v>1</v>
      </c>
    </row>
    <row r="2344" spans="1:12" hidden="1" x14ac:dyDescent="0.2">
      <c r="A2344">
        <f t="shared" si="36"/>
        <v>2338</v>
      </c>
      <c r="B2344" s="54">
        <v>2025</v>
      </c>
      <c r="C2344" t="s">
        <v>179</v>
      </c>
      <c r="D2344" t="s">
        <v>875</v>
      </c>
      <c r="E2344" s="22">
        <v>390</v>
      </c>
      <c r="H2344" t="s">
        <v>155</v>
      </c>
      <c r="J2344" t="s">
        <v>64</v>
      </c>
      <c r="K2344" t="s">
        <v>219</v>
      </c>
      <c r="L2344">
        <v>1</v>
      </c>
    </row>
    <row r="2345" spans="1:12" hidden="1" x14ac:dyDescent="0.2">
      <c r="A2345">
        <f t="shared" si="36"/>
        <v>2339</v>
      </c>
      <c r="B2345" s="54">
        <v>2025</v>
      </c>
      <c r="C2345" t="s">
        <v>179</v>
      </c>
      <c r="D2345" t="s">
        <v>189</v>
      </c>
      <c r="E2345" s="22">
        <v>360</v>
      </c>
      <c r="G2345" t="s">
        <v>2422</v>
      </c>
      <c r="H2345" t="s">
        <v>142</v>
      </c>
      <c r="J2345" t="s">
        <v>105</v>
      </c>
      <c r="K2345" t="s">
        <v>214</v>
      </c>
      <c r="L2345">
        <v>1</v>
      </c>
    </row>
    <row r="2346" spans="1:12" hidden="1" x14ac:dyDescent="0.2">
      <c r="A2346">
        <f t="shared" si="36"/>
        <v>2340</v>
      </c>
      <c r="B2346" s="54">
        <v>2025</v>
      </c>
      <c r="C2346" t="s">
        <v>179</v>
      </c>
      <c r="D2346" t="s">
        <v>3165</v>
      </c>
      <c r="E2346" s="22">
        <v>500</v>
      </c>
      <c r="H2346" t="s">
        <v>144</v>
      </c>
      <c r="I2346" t="s">
        <v>232</v>
      </c>
      <c r="J2346" t="s">
        <v>55</v>
      </c>
      <c r="K2346" t="s">
        <v>214</v>
      </c>
      <c r="L2346">
        <v>1</v>
      </c>
    </row>
    <row r="2347" spans="1:12" hidden="1" x14ac:dyDescent="0.2">
      <c r="A2347">
        <f t="shared" si="36"/>
        <v>2341</v>
      </c>
      <c r="B2347" s="54">
        <v>2025</v>
      </c>
      <c r="C2347" t="s">
        <v>179</v>
      </c>
      <c r="D2347" t="s">
        <v>1035</v>
      </c>
      <c r="E2347" s="22">
        <v>220</v>
      </c>
      <c r="H2347" t="s">
        <v>144</v>
      </c>
      <c r="I2347" t="s">
        <v>299</v>
      </c>
      <c r="J2347" t="s">
        <v>100</v>
      </c>
      <c r="K2347" t="s">
        <v>214</v>
      </c>
      <c r="L2347">
        <v>1</v>
      </c>
    </row>
    <row r="2348" spans="1:12" hidden="1" x14ac:dyDescent="0.2">
      <c r="A2348">
        <f t="shared" si="36"/>
        <v>2342</v>
      </c>
      <c r="B2348" s="54">
        <v>2025</v>
      </c>
      <c r="C2348" t="s">
        <v>179</v>
      </c>
      <c r="D2348" t="s">
        <v>1035</v>
      </c>
      <c r="E2348" s="22">
        <v>150</v>
      </c>
      <c r="H2348" t="s">
        <v>155</v>
      </c>
      <c r="J2348" t="s">
        <v>6</v>
      </c>
      <c r="K2348" t="s">
        <v>219</v>
      </c>
      <c r="L2348">
        <v>1</v>
      </c>
    </row>
    <row r="2349" spans="1:12" hidden="1" x14ac:dyDescent="0.2">
      <c r="A2349">
        <f t="shared" si="36"/>
        <v>2343</v>
      </c>
      <c r="B2349" s="54">
        <v>2025</v>
      </c>
      <c r="C2349" t="s">
        <v>179</v>
      </c>
      <c r="D2349" t="s">
        <v>1035</v>
      </c>
      <c r="E2349" s="22">
        <v>310</v>
      </c>
      <c r="G2349" t="s">
        <v>3166</v>
      </c>
      <c r="H2349" t="s">
        <v>144</v>
      </c>
      <c r="I2349" t="s">
        <v>299</v>
      </c>
      <c r="J2349" t="s">
        <v>105</v>
      </c>
      <c r="K2349" t="s">
        <v>214</v>
      </c>
      <c r="L2349">
        <v>1</v>
      </c>
    </row>
    <row r="2350" spans="1:12" hidden="1" x14ac:dyDescent="0.2">
      <c r="A2350">
        <f t="shared" si="36"/>
        <v>2344</v>
      </c>
      <c r="B2350" s="54">
        <v>2025</v>
      </c>
      <c r="C2350" t="s">
        <v>179</v>
      </c>
      <c r="D2350" t="s">
        <v>175</v>
      </c>
      <c r="E2350" s="22">
        <v>150</v>
      </c>
      <c r="H2350" t="s">
        <v>153</v>
      </c>
      <c r="J2350" t="s">
        <v>108</v>
      </c>
      <c r="K2350" t="s">
        <v>183</v>
      </c>
      <c r="L2350">
        <v>1</v>
      </c>
    </row>
    <row r="2351" spans="1:12" hidden="1" x14ac:dyDescent="0.2">
      <c r="A2351">
        <f t="shared" si="36"/>
        <v>2345</v>
      </c>
      <c r="B2351" s="54">
        <v>2025</v>
      </c>
      <c r="C2351" t="s">
        <v>179</v>
      </c>
      <c r="D2351" t="s">
        <v>745</v>
      </c>
      <c r="E2351" s="22">
        <v>140</v>
      </c>
      <c r="G2351" t="s">
        <v>3167</v>
      </c>
      <c r="H2351" t="s">
        <v>142</v>
      </c>
      <c r="J2351" t="s">
        <v>6</v>
      </c>
      <c r="K2351" t="s">
        <v>219</v>
      </c>
      <c r="L2351">
        <v>1</v>
      </c>
    </row>
    <row r="2352" spans="1:12" hidden="1" x14ac:dyDescent="0.2">
      <c r="A2352">
        <f t="shared" si="36"/>
        <v>2346</v>
      </c>
      <c r="B2352" s="54">
        <v>2025</v>
      </c>
      <c r="C2352" t="s">
        <v>184</v>
      </c>
      <c r="D2352" t="s">
        <v>875</v>
      </c>
      <c r="E2352" s="22">
        <v>230</v>
      </c>
      <c r="H2352" t="s">
        <v>144</v>
      </c>
      <c r="I2352" t="s">
        <v>232</v>
      </c>
      <c r="J2352" t="s">
        <v>23</v>
      </c>
      <c r="K2352" t="s">
        <v>183</v>
      </c>
      <c r="L2352">
        <v>1</v>
      </c>
    </row>
    <row r="2353" spans="1:12" hidden="1" x14ac:dyDescent="0.2">
      <c r="A2353">
        <f t="shared" si="36"/>
        <v>2347</v>
      </c>
      <c r="B2353" s="54">
        <v>2025</v>
      </c>
      <c r="C2353" t="s">
        <v>184</v>
      </c>
      <c r="D2353" t="s">
        <v>397</v>
      </c>
      <c r="E2353" s="22">
        <v>460</v>
      </c>
      <c r="G2353" t="s">
        <v>3138</v>
      </c>
      <c r="H2353" t="s">
        <v>145</v>
      </c>
      <c r="J2353" t="s">
        <v>105</v>
      </c>
      <c r="K2353" t="s">
        <v>214</v>
      </c>
      <c r="L2353">
        <v>1</v>
      </c>
    </row>
    <row r="2354" spans="1:12" hidden="1" x14ac:dyDescent="0.2">
      <c r="A2354">
        <f t="shared" si="36"/>
        <v>2348</v>
      </c>
      <c r="B2354" s="54">
        <v>2025</v>
      </c>
      <c r="C2354" t="s">
        <v>184</v>
      </c>
      <c r="D2354" t="s">
        <v>1289</v>
      </c>
      <c r="E2354" s="22">
        <v>100</v>
      </c>
      <c r="H2354" t="s">
        <v>151</v>
      </c>
      <c r="I2354" t="s">
        <v>279</v>
      </c>
      <c r="J2354" t="s">
        <v>108</v>
      </c>
      <c r="K2354" t="s">
        <v>183</v>
      </c>
      <c r="L2354">
        <v>1</v>
      </c>
    </row>
    <row r="2355" spans="1:12" hidden="1" x14ac:dyDescent="0.2">
      <c r="A2355">
        <f t="shared" si="36"/>
        <v>2349</v>
      </c>
      <c r="B2355" s="54">
        <v>2025</v>
      </c>
      <c r="C2355" t="s">
        <v>184</v>
      </c>
      <c r="D2355" t="s">
        <v>444</v>
      </c>
      <c r="E2355" s="22">
        <v>330</v>
      </c>
      <c r="H2355" t="s">
        <v>155</v>
      </c>
      <c r="J2355" t="s">
        <v>89</v>
      </c>
      <c r="K2355" t="s">
        <v>219</v>
      </c>
      <c r="L2355">
        <v>1</v>
      </c>
    </row>
    <row r="2356" spans="1:12" hidden="1" x14ac:dyDescent="0.2">
      <c r="A2356">
        <f t="shared" si="36"/>
        <v>2350</v>
      </c>
      <c r="B2356" s="54">
        <v>2025</v>
      </c>
      <c r="C2356" t="s">
        <v>184</v>
      </c>
      <c r="D2356" t="s">
        <v>449</v>
      </c>
      <c r="E2356" s="22">
        <v>210</v>
      </c>
      <c r="H2356" t="s">
        <v>154</v>
      </c>
      <c r="I2356" t="s">
        <v>529</v>
      </c>
      <c r="J2356" t="s">
        <v>66</v>
      </c>
      <c r="K2356" t="s">
        <v>201</v>
      </c>
      <c r="L2356">
        <v>1</v>
      </c>
    </row>
    <row r="2357" spans="1:12" hidden="1" x14ac:dyDescent="0.2">
      <c r="A2357">
        <f t="shared" si="36"/>
        <v>2351</v>
      </c>
      <c r="B2357" s="54">
        <v>2025</v>
      </c>
      <c r="C2357" t="s">
        <v>184</v>
      </c>
      <c r="D2357" t="s">
        <v>1035</v>
      </c>
      <c r="E2357" s="22">
        <v>260</v>
      </c>
      <c r="H2357" t="s">
        <v>155</v>
      </c>
      <c r="J2357" t="s">
        <v>50</v>
      </c>
      <c r="K2357" t="s">
        <v>205</v>
      </c>
      <c r="L2357">
        <v>1</v>
      </c>
    </row>
    <row r="2358" spans="1:12" hidden="1" x14ac:dyDescent="0.2">
      <c r="A2358">
        <f t="shared" si="36"/>
        <v>2352</v>
      </c>
      <c r="B2358" s="54">
        <v>2025</v>
      </c>
      <c r="C2358" t="s">
        <v>184</v>
      </c>
      <c r="D2358" t="s">
        <v>479</v>
      </c>
      <c r="E2358" s="22">
        <v>200</v>
      </c>
      <c r="H2358" t="s">
        <v>145</v>
      </c>
      <c r="J2358" t="s">
        <v>9</v>
      </c>
      <c r="K2358" t="s">
        <v>9</v>
      </c>
      <c r="L2358">
        <v>0</v>
      </c>
    </row>
    <row r="2359" spans="1:12" hidden="1" x14ac:dyDescent="0.2">
      <c r="A2359">
        <f t="shared" si="36"/>
        <v>2353</v>
      </c>
      <c r="B2359" s="54">
        <v>2025</v>
      </c>
      <c r="C2359" t="s">
        <v>184</v>
      </c>
      <c r="D2359" t="s">
        <v>189</v>
      </c>
      <c r="E2359" s="22">
        <v>1010</v>
      </c>
      <c r="F2359" s="16">
        <v>0.49</v>
      </c>
      <c r="G2359" t="s">
        <v>3141</v>
      </c>
      <c r="H2359" t="s">
        <v>144</v>
      </c>
      <c r="I2359" t="s">
        <v>187</v>
      </c>
      <c r="J2359" t="s">
        <v>5</v>
      </c>
      <c r="K2359" t="s">
        <v>214</v>
      </c>
      <c r="L2359">
        <v>1</v>
      </c>
    </row>
    <row r="2360" spans="1:12" hidden="1" x14ac:dyDescent="0.2">
      <c r="A2360">
        <f t="shared" si="36"/>
        <v>2354</v>
      </c>
      <c r="B2360" s="54">
        <v>2025</v>
      </c>
      <c r="C2360" t="s">
        <v>184</v>
      </c>
      <c r="D2360" t="s">
        <v>397</v>
      </c>
      <c r="E2360" s="22">
        <v>370</v>
      </c>
      <c r="H2360" t="s">
        <v>147</v>
      </c>
      <c r="J2360" t="s">
        <v>55</v>
      </c>
      <c r="K2360" t="s">
        <v>214</v>
      </c>
      <c r="L2360">
        <v>1</v>
      </c>
    </row>
    <row r="2361" spans="1:12" hidden="1" x14ac:dyDescent="0.2">
      <c r="A2361">
        <f t="shared" si="36"/>
        <v>2355</v>
      </c>
      <c r="B2361" s="54">
        <v>2025</v>
      </c>
      <c r="C2361" t="s">
        <v>184</v>
      </c>
      <c r="D2361" t="s">
        <v>449</v>
      </c>
      <c r="E2361" s="22">
        <v>1130</v>
      </c>
      <c r="G2361" t="s">
        <v>3138</v>
      </c>
      <c r="H2361" t="s">
        <v>150</v>
      </c>
      <c r="I2361" t="s">
        <v>744</v>
      </c>
      <c r="J2361" t="s">
        <v>105</v>
      </c>
      <c r="K2361" t="s">
        <v>214</v>
      </c>
      <c r="L2361">
        <v>1</v>
      </c>
    </row>
    <row r="2362" spans="1:12" hidden="1" x14ac:dyDescent="0.2">
      <c r="A2362">
        <f t="shared" si="36"/>
        <v>2356</v>
      </c>
      <c r="B2362" s="54">
        <v>2025</v>
      </c>
      <c r="C2362" t="s">
        <v>184</v>
      </c>
      <c r="D2362" t="s">
        <v>479</v>
      </c>
      <c r="E2362" s="22">
        <v>450</v>
      </c>
      <c r="F2362" s="16">
        <v>0.88</v>
      </c>
      <c r="H2362" t="s">
        <v>154</v>
      </c>
      <c r="I2362" t="s">
        <v>271</v>
      </c>
      <c r="J2362" t="s">
        <v>23</v>
      </c>
      <c r="K2362" t="s">
        <v>183</v>
      </c>
      <c r="L2362">
        <v>1</v>
      </c>
    </row>
    <row r="2363" spans="1:12" hidden="1" x14ac:dyDescent="0.2">
      <c r="A2363">
        <f t="shared" si="36"/>
        <v>2357</v>
      </c>
      <c r="B2363" s="54">
        <v>2025</v>
      </c>
      <c r="C2363" t="s">
        <v>184</v>
      </c>
      <c r="D2363" t="s">
        <v>397</v>
      </c>
      <c r="E2363" s="22">
        <v>160</v>
      </c>
      <c r="G2363" t="s">
        <v>1523</v>
      </c>
      <c r="H2363" t="s">
        <v>151</v>
      </c>
      <c r="I2363" t="s">
        <v>279</v>
      </c>
      <c r="J2363" t="s">
        <v>53</v>
      </c>
      <c r="K2363" t="s">
        <v>183</v>
      </c>
      <c r="L2363">
        <v>1</v>
      </c>
    </row>
    <row r="2364" spans="1:12" hidden="1" x14ac:dyDescent="0.2">
      <c r="A2364">
        <f t="shared" si="36"/>
        <v>2358</v>
      </c>
      <c r="B2364" s="54">
        <v>2025</v>
      </c>
      <c r="C2364" t="s">
        <v>184</v>
      </c>
      <c r="D2364" t="s">
        <v>175</v>
      </c>
      <c r="E2364" s="22">
        <v>280</v>
      </c>
      <c r="G2364" t="s">
        <v>3168</v>
      </c>
      <c r="H2364" t="s">
        <v>149</v>
      </c>
      <c r="I2364" t="s">
        <v>182</v>
      </c>
      <c r="J2364" t="s">
        <v>63</v>
      </c>
      <c r="K2364" t="s">
        <v>201</v>
      </c>
      <c r="L2364">
        <v>1</v>
      </c>
    </row>
    <row r="2365" spans="1:12" hidden="1" x14ac:dyDescent="0.2">
      <c r="A2365">
        <f t="shared" si="36"/>
        <v>2359</v>
      </c>
      <c r="B2365" s="54">
        <v>2025</v>
      </c>
      <c r="C2365" t="s">
        <v>225</v>
      </c>
      <c r="D2365" t="s">
        <v>479</v>
      </c>
      <c r="E2365" s="22">
        <v>280</v>
      </c>
      <c r="H2365" t="s">
        <v>154</v>
      </c>
      <c r="I2365" t="s">
        <v>194</v>
      </c>
      <c r="J2365" t="s">
        <v>60</v>
      </c>
      <c r="K2365" t="s">
        <v>177</v>
      </c>
      <c r="L2365">
        <v>1</v>
      </c>
    </row>
    <row r="2366" spans="1:12" hidden="1" x14ac:dyDescent="0.2">
      <c r="A2366">
        <f t="shared" si="36"/>
        <v>2360</v>
      </c>
      <c r="B2366" s="54">
        <v>2025</v>
      </c>
      <c r="C2366" t="s">
        <v>225</v>
      </c>
      <c r="D2366" t="s">
        <v>479</v>
      </c>
      <c r="E2366" s="22">
        <v>180</v>
      </c>
      <c r="H2366" t="s">
        <v>154</v>
      </c>
      <c r="I2366" t="s">
        <v>194</v>
      </c>
      <c r="J2366" t="s">
        <v>30</v>
      </c>
      <c r="K2366" t="s">
        <v>195</v>
      </c>
      <c r="L2366">
        <v>1</v>
      </c>
    </row>
    <row r="2367" spans="1:12" hidden="1" x14ac:dyDescent="0.2">
      <c r="A2367">
        <f t="shared" si="36"/>
        <v>2361</v>
      </c>
      <c r="B2367" s="54">
        <v>2025</v>
      </c>
      <c r="C2367" t="s">
        <v>225</v>
      </c>
      <c r="D2367" t="s">
        <v>479</v>
      </c>
      <c r="E2367" s="22">
        <v>1460</v>
      </c>
      <c r="H2367" t="s">
        <v>154</v>
      </c>
      <c r="I2367" t="s">
        <v>250</v>
      </c>
      <c r="J2367" t="s">
        <v>108</v>
      </c>
      <c r="K2367" t="s">
        <v>183</v>
      </c>
      <c r="L2367">
        <v>1</v>
      </c>
    </row>
    <row r="2368" spans="1:12" hidden="1" x14ac:dyDescent="0.2">
      <c r="A2368">
        <f t="shared" si="36"/>
        <v>2362</v>
      </c>
      <c r="B2368" s="54">
        <v>2025</v>
      </c>
      <c r="C2368" t="s">
        <v>225</v>
      </c>
      <c r="D2368" t="s">
        <v>479</v>
      </c>
      <c r="E2368" s="22">
        <v>110</v>
      </c>
      <c r="H2368" t="s">
        <v>154</v>
      </c>
      <c r="I2368" t="s">
        <v>194</v>
      </c>
      <c r="J2368" t="s">
        <v>63</v>
      </c>
      <c r="K2368" t="s">
        <v>201</v>
      </c>
      <c r="L2368">
        <v>1</v>
      </c>
    </row>
    <row r="2369" spans="1:12" hidden="1" x14ac:dyDescent="0.2">
      <c r="A2369">
        <f t="shared" si="36"/>
        <v>2363</v>
      </c>
      <c r="B2369" s="54">
        <v>2025</v>
      </c>
      <c r="C2369" t="s">
        <v>225</v>
      </c>
      <c r="D2369" t="s">
        <v>199</v>
      </c>
      <c r="E2369" s="22">
        <v>1600</v>
      </c>
      <c r="G2369" t="s">
        <v>325</v>
      </c>
      <c r="H2369" t="s">
        <v>144</v>
      </c>
      <c r="I2369" t="s">
        <v>299</v>
      </c>
      <c r="J2369" t="s">
        <v>55</v>
      </c>
      <c r="K2369" t="s">
        <v>214</v>
      </c>
      <c r="L2369">
        <v>1</v>
      </c>
    </row>
    <row r="2370" spans="1:12" hidden="1" x14ac:dyDescent="0.2">
      <c r="A2370">
        <f t="shared" si="36"/>
        <v>2364</v>
      </c>
      <c r="B2370" s="54">
        <v>2025</v>
      </c>
      <c r="C2370" t="s">
        <v>225</v>
      </c>
      <c r="D2370" t="s">
        <v>705</v>
      </c>
      <c r="E2370" s="22">
        <v>160</v>
      </c>
      <c r="H2370" t="s">
        <v>151</v>
      </c>
      <c r="I2370" t="s">
        <v>279</v>
      </c>
      <c r="J2370" t="s">
        <v>2462</v>
      </c>
      <c r="K2370" t="s">
        <v>219</v>
      </c>
      <c r="L2370">
        <v>1</v>
      </c>
    </row>
    <row r="2371" spans="1:12" hidden="1" x14ac:dyDescent="0.2">
      <c r="A2371">
        <f t="shared" si="36"/>
        <v>2365</v>
      </c>
      <c r="B2371" s="54">
        <v>2025</v>
      </c>
      <c r="C2371" t="s">
        <v>225</v>
      </c>
      <c r="D2371" t="s">
        <v>449</v>
      </c>
      <c r="E2371" s="22">
        <v>250</v>
      </c>
      <c r="H2371" t="s">
        <v>154</v>
      </c>
      <c r="I2371" t="s">
        <v>529</v>
      </c>
      <c r="J2371" t="s">
        <v>78</v>
      </c>
      <c r="K2371" t="s">
        <v>183</v>
      </c>
      <c r="L2371">
        <v>1</v>
      </c>
    </row>
    <row r="2372" spans="1:12" hidden="1" x14ac:dyDescent="0.2">
      <c r="A2372">
        <f t="shared" si="36"/>
        <v>2366</v>
      </c>
      <c r="B2372" s="54">
        <v>2025</v>
      </c>
      <c r="C2372" t="s">
        <v>225</v>
      </c>
      <c r="D2372" t="s">
        <v>557</v>
      </c>
      <c r="E2372" s="22">
        <v>170</v>
      </c>
      <c r="H2372" t="s">
        <v>142</v>
      </c>
      <c r="J2372" t="s">
        <v>134</v>
      </c>
      <c r="K2372" t="s">
        <v>201</v>
      </c>
      <c r="L2372">
        <v>1</v>
      </c>
    </row>
    <row r="2373" spans="1:12" hidden="1" x14ac:dyDescent="0.2">
      <c r="A2373">
        <f t="shared" si="36"/>
        <v>2367</v>
      </c>
      <c r="B2373" s="54">
        <v>2025</v>
      </c>
      <c r="C2373" t="s">
        <v>225</v>
      </c>
      <c r="D2373" t="s">
        <v>745</v>
      </c>
      <c r="E2373" s="22">
        <v>500</v>
      </c>
      <c r="G2373" t="s">
        <v>3105</v>
      </c>
      <c r="H2373" t="s">
        <v>143</v>
      </c>
      <c r="J2373" t="s">
        <v>53</v>
      </c>
      <c r="K2373" t="s">
        <v>183</v>
      </c>
      <c r="L2373">
        <v>1</v>
      </c>
    </row>
    <row r="2374" spans="1:12" hidden="1" x14ac:dyDescent="0.2">
      <c r="A2374">
        <f t="shared" si="36"/>
        <v>2368</v>
      </c>
      <c r="B2374" s="54">
        <v>2025</v>
      </c>
      <c r="C2374" t="s">
        <v>225</v>
      </c>
      <c r="D2374" t="s">
        <v>1035</v>
      </c>
      <c r="E2374" s="22">
        <v>200</v>
      </c>
      <c r="H2374" t="s">
        <v>144</v>
      </c>
      <c r="I2374" t="s">
        <v>232</v>
      </c>
      <c r="J2374" t="s">
        <v>138</v>
      </c>
      <c r="K2374" t="s">
        <v>219</v>
      </c>
      <c r="L2374">
        <v>1</v>
      </c>
    </row>
    <row r="2375" spans="1:12" hidden="1" x14ac:dyDescent="0.2">
      <c r="A2375">
        <f t="shared" ref="A2375:A2438" si="37">ROW()-6</f>
        <v>2369</v>
      </c>
      <c r="B2375" s="54">
        <v>2025</v>
      </c>
      <c r="C2375" t="s">
        <v>225</v>
      </c>
      <c r="D2375" t="s">
        <v>3169</v>
      </c>
      <c r="E2375" s="22">
        <v>100</v>
      </c>
      <c r="H2375" t="s">
        <v>151</v>
      </c>
      <c r="I2375" t="s">
        <v>279</v>
      </c>
      <c r="J2375" t="s">
        <v>2462</v>
      </c>
      <c r="K2375" t="s">
        <v>219</v>
      </c>
      <c r="L2375">
        <v>1</v>
      </c>
    </row>
    <row r="2376" spans="1:12" hidden="1" x14ac:dyDescent="0.2">
      <c r="A2376">
        <f t="shared" si="37"/>
        <v>2370</v>
      </c>
      <c r="B2376" s="54">
        <v>2025</v>
      </c>
      <c r="C2376" t="s">
        <v>225</v>
      </c>
      <c r="D2376" t="s">
        <v>3170</v>
      </c>
      <c r="E2376" s="22">
        <v>430</v>
      </c>
      <c r="G2376" t="s">
        <v>2097</v>
      </c>
      <c r="H2376" t="s">
        <v>154</v>
      </c>
      <c r="I2376" t="s">
        <v>194</v>
      </c>
      <c r="J2376" t="s">
        <v>136</v>
      </c>
      <c r="K2376" t="s">
        <v>183</v>
      </c>
      <c r="L2376">
        <v>1</v>
      </c>
    </row>
    <row r="2377" spans="1:12" hidden="1" x14ac:dyDescent="0.2">
      <c r="A2377">
        <f t="shared" si="37"/>
        <v>2371</v>
      </c>
      <c r="B2377" s="54">
        <v>2025</v>
      </c>
      <c r="C2377" t="s">
        <v>225</v>
      </c>
      <c r="D2377" t="s">
        <v>397</v>
      </c>
      <c r="E2377" s="22">
        <v>130</v>
      </c>
      <c r="G2377" t="s">
        <v>3171</v>
      </c>
      <c r="H2377" t="s">
        <v>151</v>
      </c>
      <c r="I2377" t="s">
        <v>279</v>
      </c>
      <c r="J2377" t="s">
        <v>72</v>
      </c>
      <c r="K2377" t="s">
        <v>183</v>
      </c>
      <c r="L2377">
        <v>1</v>
      </c>
    </row>
    <row r="2378" spans="1:12" hidden="1" x14ac:dyDescent="0.2">
      <c r="A2378">
        <f t="shared" si="37"/>
        <v>2372</v>
      </c>
      <c r="B2378" s="54">
        <v>2025</v>
      </c>
      <c r="C2378" t="s">
        <v>188</v>
      </c>
      <c r="D2378" t="s">
        <v>479</v>
      </c>
      <c r="E2378" s="22">
        <v>310</v>
      </c>
      <c r="H2378" t="s">
        <v>154</v>
      </c>
      <c r="I2378" t="s">
        <v>529</v>
      </c>
      <c r="J2378" t="s">
        <v>72</v>
      </c>
      <c r="K2378" t="s">
        <v>183</v>
      </c>
      <c r="L2378">
        <v>1</v>
      </c>
    </row>
    <row r="2379" spans="1:12" hidden="1" x14ac:dyDescent="0.2">
      <c r="A2379">
        <f t="shared" si="37"/>
        <v>2373</v>
      </c>
      <c r="B2379" s="54">
        <v>2025</v>
      </c>
      <c r="C2379" t="s">
        <v>188</v>
      </c>
      <c r="D2379" t="s">
        <v>1110</v>
      </c>
      <c r="E2379" s="22">
        <v>280</v>
      </c>
      <c r="H2379" t="s">
        <v>151</v>
      </c>
      <c r="I2379" t="s">
        <v>279</v>
      </c>
      <c r="J2379" t="s">
        <v>105</v>
      </c>
      <c r="K2379" t="s">
        <v>214</v>
      </c>
      <c r="L2379">
        <v>1</v>
      </c>
    </row>
    <row r="2380" spans="1:12" hidden="1" x14ac:dyDescent="0.2">
      <c r="A2380">
        <f t="shared" si="37"/>
        <v>2374</v>
      </c>
      <c r="B2380" s="54">
        <v>2025</v>
      </c>
      <c r="C2380" t="s">
        <v>188</v>
      </c>
      <c r="D2380" t="s">
        <v>397</v>
      </c>
      <c r="E2380" s="22">
        <v>640</v>
      </c>
      <c r="H2380" t="s">
        <v>142</v>
      </c>
      <c r="J2380" t="s">
        <v>38</v>
      </c>
      <c r="K2380" t="s">
        <v>214</v>
      </c>
      <c r="L2380">
        <v>1</v>
      </c>
    </row>
    <row r="2381" spans="1:12" hidden="1" x14ac:dyDescent="0.2">
      <c r="A2381">
        <f t="shared" si="37"/>
        <v>2375</v>
      </c>
      <c r="B2381" s="54">
        <v>2025</v>
      </c>
      <c r="C2381" t="s">
        <v>188</v>
      </c>
      <c r="D2381" t="s">
        <v>341</v>
      </c>
      <c r="E2381" s="22">
        <v>140</v>
      </c>
      <c r="H2381" t="s">
        <v>154</v>
      </c>
      <c r="I2381" t="s">
        <v>529</v>
      </c>
      <c r="J2381" t="s">
        <v>80</v>
      </c>
      <c r="K2381" t="s">
        <v>214</v>
      </c>
      <c r="L2381">
        <v>1</v>
      </c>
    </row>
    <row r="2382" spans="1:12" hidden="1" x14ac:dyDescent="0.2">
      <c r="A2382">
        <f t="shared" si="37"/>
        <v>2376</v>
      </c>
      <c r="B2382" s="54">
        <v>2025</v>
      </c>
      <c r="C2382" t="s">
        <v>188</v>
      </c>
      <c r="D2382" t="s">
        <v>875</v>
      </c>
      <c r="E2382" s="22">
        <v>120</v>
      </c>
      <c r="H2382" t="s">
        <v>144</v>
      </c>
      <c r="I2382" t="s">
        <v>232</v>
      </c>
      <c r="J2382" t="s">
        <v>38</v>
      </c>
      <c r="K2382" t="s">
        <v>214</v>
      </c>
      <c r="L2382">
        <v>1</v>
      </c>
    </row>
    <row r="2383" spans="1:12" hidden="1" x14ac:dyDescent="0.2">
      <c r="A2383">
        <f t="shared" si="37"/>
        <v>2377</v>
      </c>
      <c r="B2383" s="54">
        <v>2025</v>
      </c>
      <c r="C2383" t="s">
        <v>188</v>
      </c>
      <c r="D2383" t="s">
        <v>199</v>
      </c>
      <c r="E2383" s="22">
        <v>290</v>
      </c>
      <c r="H2383" t="s">
        <v>144</v>
      </c>
      <c r="J2383" t="s">
        <v>55</v>
      </c>
      <c r="K2383" t="s">
        <v>214</v>
      </c>
      <c r="L2383">
        <v>1</v>
      </c>
    </row>
    <row r="2384" spans="1:12" hidden="1" x14ac:dyDescent="0.2">
      <c r="A2384">
        <f t="shared" si="37"/>
        <v>2378</v>
      </c>
      <c r="B2384" s="54">
        <v>2025</v>
      </c>
      <c r="C2384" t="s">
        <v>188</v>
      </c>
      <c r="D2384" t="s">
        <v>875</v>
      </c>
      <c r="E2384" s="22">
        <v>160</v>
      </c>
      <c r="G2384" t="s">
        <v>3172</v>
      </c>
      <c r="H2384" t="s">
        <v>144</v>
      </c>
      <c r="I2384" t="s">
        <v>232</v>
      </c>
      <c r="J2384" t="s">
        <v>112</v>
      </c>
      <c r="K2384" t="s">
        <v>219</v>
      </c>
      <c r="L2384">
        <v>1</v>
      </c>
    </row>
    <row r="2385" spans="1:12" hidden="1" x14ac:dyDescent="0.2">
      <c r="A2385">
        <f t="shared" si="37"/>
        <v>2379</v>
      </c>
      <c r="B2385" s="54">
        <v>2025</v>
      </c>
      <c r="C2385" t="s">
        <v>188</v>
      </c>
      <c r="D2385" t="s">
        <v>397</v>
      </c>
      <c r="E2385" s="22">
        <v>300</v>
      </c>
      <c r="H2385" t="s">
        <v>154</v>
      </c>
      <c r="I2385" t="s">
        <v>194</v>
      </c>
      <c r="J2385" t="s">
        <v>134</v>
      </c>
      <c r="K2385" t="s">
        <v>201</v>
      </c>
      <c r="L2385">
        <v>1</v>
      </c>
    </row>
    <row r="2386" spans="1:12" hidden="1" x14ac:dyDescent="0.2">
      <c r="A2386">
        <f t="shared" si="37"/>
        <v>2380</v>
      </c>
      <c r="B2386" s="54">
        <v>2025</v>
      </c>
      <c r="C2386" t="s">
        <v>188</v>
      </c>
      <c r="D2386" t="s">
        <v>1035</v>
      </c>
      <c r="E2386" s="22">
        <v>250</v>
      </c>
      <c r="H2386" t="s">
        <v>154</v>
      </c>
      <c r="I2386" t="s">
        <v>529</v>
      </c>
      <c r="J2386" t="s">
        <v>66</v>
      </c>
      <c r="K2386" t="s">
        <v>201</v>
      </c>
      <c r="L2386">
        <v>1</v>
      </c>
    </row>
    <row r="2387" spans="1:12" hidden="1" x14ac:dyDescent="0.2">
      <c r="A2387">
        <f t="shared" si="37"/>
        <v>2381</v>
      </c>
      <c r="B2387" s="54">
        <v>2025</v>
      </c>
      <c r="C2387" t="s">
        <v>188</v>
      </c>
      <c r="D2387" t="s">
        <v>199</v>
      </c>
      <c r="E2387" s="22">
        <v>510</v>
      </c>
      <c r="H2387" t="s">
        <v>144</v>
      </c>
      <c r="I2387" t="s">
        <v>299</v>
      </c>
      <c r="J2387" t="s">
        <v>130</v>
      </c>
      <c r="K2387" t="s">
        <v>214</v>
      </c>
      <c r="L2387">
        <v>1</v>
      </c>
    </row>
    <row r="2388" spans="1:12" hidden="1" x14ac:dyDescent="0.2">
      <c r="A2388">
        <f t="shared" si="37"/>
        <v>2382</v>
      </c>
      <c r="B2388" s="54">
        <v>2025</v>
      </c>
      <c r="C2388" t="s">
        <v>188</v>
      </c>
      <c r="D2388" t="s">
        <v>1035</v>
      </c>
      <c r="E2388" s="22">
        <v>220</v>
      </c>
      <c r="G2388" t="s">
        <v>3173</v>
      </c>
      <c r="H2388" t="s">
        <v>144</v>
      </c>
      <c r="I2388" t="s">
        <v>232</v>
      </c>
      <c r="J2388" t="s">
        <v>112</v>
      </c>
      <c r="K2388" t="s">
        <v>219</v>
      </c>
      <c r="L2388">
        <v>1</v>
      </c>
    </row>
    <row r="2389" spans="1:12" hidden="1" x14ac:dyDescent="0.2">
      <c r="A2389">
        <f t="shared" si="37"/>
        <v>2383</v>
      </c>
      <c r="B2389" s="54">
        <v>2025</v>
      </c>
      <c r="C2389" t="s">
        <v>191</v>
      </c>
      <c r="D2389" t="s">
        <v>449</v>
      </c>
      <c r="E2389" s="22">
        <v>530</v>
      </c>
      <c r="H2389" t="s">
        <v>154</v>
      </c>
      <c r="I2389" t="s">
        <v>529</v>
      </c>
      <c r="J2389" t="s">
        <v>66</v>
      </c>
      <c r="K2389" t="s">
        <v>201</v>
      </c>
      <c r="L2389">
        <v>1</v>
      </c>
    </row>
    <row r="2390" spans="1:12" hidden="1" x14ac:dyDescent="0.2">
      <c r="A2390">
        <f t="shared" si="37"/>
        <v>2384</v>
      </c>
      <c r="B2390" s="54">
        <v>2025</v>
      </c>
      <c r="C2390" t="s">
        <v>191</v>
      </c>
      <c r="D2390" t="s">
        <v>341</v>
      </c>
      <c r="E2390" s="22">
        <v>740</v>
      </c>
      <c r="H2390" t="s">
        <v>154</v>
      </c>
      <c r="I2390" t="s">
        <v>529</v>
      </c>
      <c r="J2390" t="s">
        <v>66</v>
      </c>
      <c r="K2390" t="s">
        <v>201</v>
      </c>
      <c r="L2390">
        <v>1</v>
      </c>
    </row>
    <row r="2391" spans="1:12" hidden="1" x14ac:dyDescent="0.2">
      <c r="A2391">
        <f t="shared" si="37"/>
        <v>2385</v>
      </c>
      <c r="B2391" s="54">
        <v>2025</v>
      </c>
      <c r="C2391" t="s">
        <v>191</v>
      </c>
      <c r="D2391" t="s">
        <v>2228</v>
      </c>
      <c r="E2391" s="22">
        <v>410</v>
      </c>
      <c r="H2391" t="s">
        <v>154</v>
      </c>
      <c r="I2391" t="s">
        <v>529</v>
      </c>
      <c r="J2391" t="s">
        <v>80</v>
      </c>
      <c r="K2391" t="s">
        <v>214</v>
      </c>
      <c r="L2391">
        <v>1</v>
      </c>
    </row>
    <row r="2392" spans="1:12" hidden="1" x14ac:dyDescent="0.2">
      <c r="A2392">
        <f t="shared" si="37"/>
        <v>2386</v>
      </c>
      <c r="B2392" s="54">
        <v>2025</v>
      </c>
      <c r="C2392" t="s">
        <v>191</v>
      </c>
      <c r="D2392" t="s">
        <v>397</v>
      </c>
      <c r="E2392" s="22">
        <v>270</v>
      </c>
      <c r="H2392" t="s">
        <v>154</v>
      </c>
      <c r="I2392" t="s">
        <v>194</v>
      </c>
      <c r="J2392" t="s">
        <v>130</v>
      </c>
      <c r="K2392" t="s">
        <v>214</v>
      </c>
      <c r="L2392">
        <v>1</v>
      </c>
    </row>
    <row r="2393" spans="1:12" hidden="1" x14ac:dyDescent="0.2">
      <c r="A2393">
        <f t="shared" si="37"/>
        <v>2387</v>
      </c>
      <c r="B2393" s="54">
        <v>2025</v>
      </c>
      <c r="C2393" t="s">
        <v>191</v>
      </c>
      <c r="D2393" t="s">
        <v>479</v>
      </c>
      <c r="E2393" s="22">
        <v>100</v>
      </c>
      <c r="H2393" t="s">
        <v>155</v>
      </c>
      <c r="J2393" t="s">
        <v>97</v>
      </c>
      <c r="K2393" t="s">
        <v>183</v>
      </c>
      <c r="L2393">
        <v>1</v>
      </c>
    </row>
    <row r="2394" spans="1:12" hidden="1" x14ac:dyDescent="0.2">
      <c r="A2394">
        <f t="shared" si="37"/>
        <v>2388</v>
      </c>
      <c r="B2394" s="54">
        <v>2025</v>
      </c>
      <c r="C2394" t="s">
        <v>191</v>
      </c>
      <c r="D2394" t="s">
        <v>444</v>
      </c>
      <c r="E2394" s="22">
        <v>190</v>
      </c>
      <c r="H2394" t="s">
        <v>143</v>
      </c>
      <c r="J2394" t="s">
        <v>63</v>
      </c>
      <c r="K2394" t="s">
        <v>201</v>
      </c>
      <c r="L2394">
        <v>1</v>
      </c>
    </row>
    <row r="2395" spans="1:12" hidden="1" x14ac:dyDescent="0.2">
      <c r="A2395">
        <f t="shared" si="37"/>
        <v>2389</v>
      </c>
      <c r="B2395" s="54">
        <v>2025</v>
      </c>
      <c r="C2395" t="s">
        <v>191</v>
      </c>
      <c r="D2395" t="s">
        <v>705</v>
      </c>
      <c r="E2395" s="22">
        <v>160</v>
      </c>
      <c r="H2395" t="s">
        <v>151</v>
      </c>
      <c r="I2395" t="s">
        <v>279</v>
      </c>
      <c r="J2395" t="s">
        <v>2462</v>
      </c>
      <c r="K2395" t="s">
        <v>219</v>
      </c>
      <c r="L2395">
        <v>1</v>
      </c>
    </row>
    <row r="2396" spans="1:12" hidden="1" x14ac:dyDescent="0.2">
      <c r="A2396">
        <f t="shared" si="37"/>
        <v>2390</v>
      </c>
      <c r="B2396" s="54">
        <v>2025</v>
      </c>
      <c r="C2396" t="s">
        <v>191</v>
      </c>
      <c r="D2396" t="s">
        <v>2637</v>
      </c>
      <c r="E2396" s="22">
        <v>680</v>
      </c>
      <c r="H2396" t="s">
        <v>144</v>
      </c>
      <c r="I2396" t="s">
        <v>299</v>
      </c>
      <c r="J2396" t="s">
        <v>23</v>
      </c>
      <c r="K2396" t="s">
        <v>183</v>
      </c>
      <c r="L2396">
        <v>1</v>
      </c>
    </row>
    <row r="2397" spans="1:12" hidden="1" x14ac:dyDescent="0.2">
      <c r="A2397">
        <f t="shared" si="37"/>
        <v>2391</v>
      </c>
      <c r="B2397" s="54">
        <v>2025</v>
      </c>
      <c r="C2397" t="s">
        <v>191</v>
      </c>
      <c r="D2397" t="s">
        <v>1035</v>
      </c>
      <c r="E2397" s="22">
        <v>110</v>
      </c>
      <c r="H2397" t="s">
        <v>151</v>
      </c>
      <c r="I2397" t="s">
        <v>279</v>
      </c>
      <c r="J2397" t="s">
        <v>55</v>
      </c>
      <c r="K2397" t="s">
        <v>214</v>
      </c>
      <c r="L2397">
        <v>1</v>
      </c>
    </row>
    <row r="2398" spans="1:12" hidden="1" x14ac:dyDescent="0.2">
      <c r="A2398">
        <f t="shared" si="37"/>
        <v>2392</v>
      </c>
      <c r="B2398" s="54">
        <v>2025</v>
      </c>
      <c r="C2398" t="s">
        <v>191</v>
      </c>
      <c r="D2398" t="s">
        <v>1035</v>
      </c>
      <c r="E2398" s="22">
        <v>430</v>
      </c>
      <c r="H2398" t="s">
        <v>144</v>
      </c>
      <c r="I2398" t="s">
        <v>232</v>
      </c>
      <c r="J2398" t="s">
        <v>105</v>
      </c>
      <c r="K2398" t="s">
        <v>214</v>
      </c>
      <c r="L2398">
        <v>1</v>
      </c>
    </row>
    <row r="2399" spans="1:12" hidden="1" x14ac:dyDescent="0.2">
      <c r="A2399">
        <f t="shared" si="37"/>
        <v>2393</v>
      </c>
      <c r="B2399" s="54">
        <v>2025</v>
      </c>
      <c r="C2399" t="s">
        <v>191</v>
      </c>
      <c r="D2399" t="s">
        <v>1035</v>
      </c>
      <c r="E2399" s="22">
        <v>230</v>
      </c>
      <c r="H2399" t="s">
        <v>144</v>
      </c>
      <c r="I2399" t="s">
        <v>232</v>
      </c>
      <c r="J2399" t="s">
        <v>105</v>
      </c>
      <c r="K2399" t="s">
        <v>214</v>
      </c>
      <c r="L2399">
        <v>1</v>
      </c>
    </row>
    <row r="2400" spans="1:12" hidden="1" x14ac:dyDescent="0.2">
      <c r="A2400">
        <f t="shared" si="37"/>
        <v>2394</v>
      </c>
      <c r="B2400" s="54">
        <v>2025</v>
      </c>
      <c r="C2400" t="s">
        <v>191</v>
      </c>
      <c r="D2400" t="s">
        <v>1035</v>
      </c>
      <c r="E2400" s="22">
        <v>120</v>
      </c>
      <c r="H2400" t="s">
        <v>154</v>
      </c>
      <c r="I2400" t="s">
        <v>529</v>
      </c>
      <c r="J2400" t="s">
        <v>19</v>
      </c>
      <c r="K2400" t="s">
        <v>205</v>
      </c>
      <c r="L2400">
        <v>0</v>
      </c>
    </row>
    <row r="2401" spans="1:12" hidden="1" x14ac:dyDescent="0.2">
      <c r="A2401">
        <f t="shared" si="37"/>
        <v>2395</v>
      </c>
      <c r="B2401" s="54">
        <v>2025</v>
      </c>
      <c r="C2401" t="s">
        <v>191</v>
      </c>
      <c r="D2401" t="s">
        <v>1035</v>
      </c>
      <c r="E2401" s="22">
        <v>140</v>
      </c>
      <c r="G2401" t="s">
        <v>2097</v>
      </c>
      <c r="H2401" t="s">
        <v>153</v>
      </c>
      <c r="J2401" t="s">
        <v>136</v>
      </c>
      <c r="K2401" t="s">
        <v>183</v>
      </c>
      <c r="L2401">
        <v>1</v>
      </c>
    </row>
    <row r="2402" spans="1:12" hidden="1" x14ac:dyDescent="0.2">
      <c r="A2402">
        <f t="shared" si="37"/>
        <v>2396</v>
      </c>
      <c r="B2402" s="54">
        <v>2025</v>
      </c>
      <c r="C2402" t="s">
        <v>198</v>
      </c>
      <c r="D2402" t="s">
        <v>341</v>
      </c>
      <c r="E2402" s="22">
        <v>1410</v>
      </c>
      <c r="H2402" t="s">
        <v>154</v>
      </c>
      <c r="I2402" t="s">
        <v>529</v>
      </c>
      <c r="J2402" t="s">
        <v>123</v>
      </c>
      <c r="K2402" t="s">
        <v>219</v>
      </c>
      <c r="L2402">
        <v>1</v>
      </c>
    </row>
    <row r="2403" spans="1:12" hidden="1" x14ac:dyDescent="0.2">
      <c r="A2403">
        <f t="shared" si="37"/>
        <v>2397</v>
      </c>
      <c r="B2403" s="54">
        <v>2025</v>
      </c>
      <c r="C2403" t="s">
        <v>198</v>
      </c>
      <c r="D2403" t="s">
        <v>341</v>
      </c>
      <c r="E2403" s="22">
        <v>180</v>
      </c>
      <c r="G2403" t="s">
        <v>3174</v>
      </c>
      <c r="H2403" t="s">
        <v>151</v>
      </c>
      <c r="I2403" t="s">
        <v>279</v>
      </c>
      <c r="J2403" t="s">
        <v>130</v>
      </c>
      <c r="K2403" t="s">
        <v>214</v>
      </c>
      <c r="L2403">
        <v>1</v>
      </c>
    </row>
    <row r="2404" spans="1:12" hidden="1" x14ac:dyDescent="0.2">
      <c r="A2404">
        <f t="shared" si="37"/>
        <v>2398</v>
      </c>
      <c r="B2404" s="54">
        <v>2025</v>
      </c>
      <c r="C2404" t="s">
        <v>198</v>
      </c>
      <c r="D2404" t="s">
        <v>557</v>
      </c>
      <c r="E2404" s="22">
        <v>310</v>
      </c>
      <c r="G2404" t="s">
        <v>3175</v>
      </c>
      <c r="H2404" t="s">
        <v>151</v>
      </c>
      <c r="I2404" t="s">
        <v>279</v>
      </c>
      <c r="J2404" t="s">
        <v>105</v>
      </c>
      <c r="K2404" t="s">
        <v>214</v>
      </c>
      <c r="L2404">
        <v>1</v>
      </c>
    </row>
    <row r="2405" spans="1:12" hidden="1" x14ac:dyDescent="0.2">
      <c r="A2405">
        <f t="shared" si="37"/>
        <v>2399</v>
      </c>
      <c r="B2405" s="54">
        <v>2025</v>
      </c>
      <c r="C2405" t="s">
        <v>198</v>
      </c>
      <c r="D2405" t="s">
        <v>3176</v>
      </c>
      <c r="E2405" s="22">
        <v>440</v>
      </c>
      <c r="H2405" t="s">
        <v>154</v>
      </c>
      <c r="I2405" t="s">
        <v>194</v>
      </c>
      <c r="J2405" t="s">
        <v>40</v>
      </c>
      <c r="K2405" t="s">
        <v>219</v>
      </c>
      <c r="L2405">
        <v>1</v>
      </c>
    </row>
    <row r="2406" spans="1:12" hidden="1" x14ac:dyDescent="0.2">
      <c r="A2406">
        <f t="shared" si="37"/>
        <v>2400</v>
      </c>
      <c r="B2406" s="54">
        <v>2025</v>
      </c>
      <c r="C2406" t="s">
        <v>198</v>
      </c>
      <c r="D2406" t="s">
        <v>875</v>
      </c>
      <c r="E2406" s="22">
        <v>670</v>
      </c>
      <c r="G2406" t="s">
        <v>3086</v>
      </c>
      <c r="H2406" t="s">
        <v>144</v>
      </c>
      <c r="I2406" t="s">
        <v>232</v>
      </c>
      <c r="J2406" t="s">
        <v>11</v>
      </c>
      <c r="K2406" t="s">
        <v>201</v>
      </c>
      <c r="L2406">
        <v>1</v>
      </c>
    </row>
    <row r="2407" spans="1:12" hidden="1" x14ac:dyDescent="0.2">
      <c r="A2407">
        <f t="shared" si="37"/>
        <v>2401</v>
      </c>
      <c r="B2407" s="54">
        <v>2025</v>
      </c>
      <c r="C2407" t="s">
        <v>198</v>
      </c>
      <c r="D2407" t="s">
        <v>399</v>
      </c>
      <c r="E2407" s="22">
        <v>780</v>
      </c>
      <c r="G2407" t="s">
        <v>3086</v>
      </c>
      <c r="H2407" t="s">
        <v>144</v>
      </c>
      <c r="I2407" t="s">
        <v>232</v>
      </c>
      <c r="J2407" t="s">
        <v>105</v>
      </c>
      <c r="K2407" t="s">
        <v>214</v>
      </c>
      <c r="L2407">
        <v>1</v>
      </c>
    </row>
    <row r="2408" spans="1:12" hidden="1" x14ac:dyDescent="0.2">
      <c r="A2408">
        <f t="shared" si="37"/>
        <v>2402</v>
      </c>
      <c r="B2408" s="54">
        <v>2025</v>
      </c>
      <c r="C2408" t="s">
        <v>198</v>
      </c>
      <c r="D2408" t="s">
        <v>3177</v>
      </c>
      <c r="E2408" s="22">
        <v>350</v>
      </c>
      <c r="G2408" t="s">
        <v>3178</v>
      </c>
      <c r="H2408" t="s">
        <v>144</v>
      </c>
      <c r="I2408" t="s">
        <v>187</v>
      </c>
      <c r="J2408" t="s">
        <v>55</v>
      </c>
      <c r="K2408" t="s">
        <v>214</v>
      </c>
      <c r="L2408">
        <v>1</v>
      </c>
    </row>
    <row r="2409" spans="1:12" hidden="1" x14ac:dyDescent="0.2">
      <c r="A2409">
        <f t="shared" si="37"/>
        <v>2403</v>
      </c>
      <c r="B2409" s="54">
        <v>2025</v>
      </c>
      <c r="C2409" t="s">
        <v>198</v>
      </c>
      <c r="D2409" t="s">
        <v>479</v>
      </c>
      <c r="E2409" s="22">
        <v>400</v>
      </c>
      <c r="H2409" t="s">
        <v>154</v>
      </c>
      <c r="I2409" t="s">
        <v>194</v>
      </c>
      <c r="J2409" t="s">
        <v>66</v>
      </c>
      <c r="K2409" t="s">
        <v>201</v>
      </c>
      <c r="L2409">
        <v>1</v>
      </c>
    </row>
    <row r="2410" spans="1:12" hidden="1" x14ac:dyDescent="0.2">
      <c r="A2410">
        <f t="shared" si="37"/>
        <v>2404</v>
      </c>
      <c r="B2410" s="54">
        <v>2025</v>
      </c>
      <c r="C2410" t="s">
        <v>198</v>
      </c>
      <c r="D2410" t="s">
        <v>444</v>
      </c>
      <c r="E2410" s="22">
        <v>120</v>
      </c>
      <c r="G2410" t="s">
        <v>3179</v>
      </c>
      <c r="H2410" t="s">
        <v>144</v>
      </c>
      <c r="I2410" t="s">
        <v>232</v>
      </c>
      <c r="J2410" t="s">
        <v>40</v>
      </c>
      <c r="K2410" t="s">
        <v>219</v>
      </c>
      <c r="L2410">
        <v>1</v>
      </c>
    </row>
    <row r="2411" spans="1:12" hidden="1" x14ac:dyDescent="0.2">
      <c r="A2411">
        <f t="shared" si="37"/>
        <v>2405</v>
      </c>
      <c r="B2411" s="54">
        <v>2025</v>
      </c>
      <c r="C2411" t="s">
        <v>198</v>
      </c>
      <c r="D2411" t="s">
        <v>1035</v>
      </c>
      <c r="E2411" s="22">
        <v>290</v>
      </c>
      <c r="H2411" t="s">
        <v>155</v>
      </c>
      <c r="J2411" t="s">
        <v>112</v>
      </c>
      <c r="K2411" t="s">
        <v>219</v>
      </c>
      <c r="L2411">
        <v>1</v>
      </c>
    </row>
    <row r="2412" spans="1:12" hidden="1" x14ac:dyDescent="0.2">
      <c r="A2412">
        <f t="shared" si="37"/>
        <v>2406</v>
      </c>
      <c r="B2412" s="54">
        <v>2025</v>
      </c>
      <c r="C2412" t="s">
        <v>198</v>
      </c>
      <c r="D2412" t="s">
        <v>267</v>
      </c>
      <c r="E2412" s="22">
        <v>140</v>
      </c>
      <c r="F2412" s="16">
        <v>0.47</v>
      </c>
      <c r="H2412" t="s">
        <v>149</v>
      </c>
      <c r="I2412" t="s">
        <v>182</v>
      </c>
      <c r="J2412" t="s">
        <v>48</v>
      </c>
      <c r="K2412" t="s">
        <v>219</v>
      </c>
      <c r="L2412">
        <v>1</v>
      </c>
    </row>
    <row r="2413" spans="1:12" hidden="1" x14ac:dyDescent="0.2">
      <c r="A2413">
        <f t="shared" si="37"/>
        <v>2407</v>
      </c>
      <c r="B2413" s="54">
        <v>2025</v>
      </c>
      <c r="C2413" t="s">
        <v>198</v>
      </c>
      <c r="D2413" t="s">
        <v>1035</v>
      </c>
      <c r="E2413" s="22">
        <v>170</v>
      </c>
      <c r="G2413" t="s">
        <v>1785</v>
      </c>
      <c r="H2413" t="s">
        <v>144</v>
      </c>
      <c r="I2413" t="s">
        <v>232</v>
      </c>
      <c r="J2413" t="s">
        <v>28</v>
      </c>
      <c r="K2413" t="s">
        <v>205</v>
      </c>
      <c r="L2413">
        <v>0</v>
      </c>
    </row>
    <row r="2414" spans="1:12" hidden="1" x14ac:dyDescent="0.2">
      <c r="A2414">
        <f t="shared" si="37"/>
        <v>2408</v>
      </c>
      <c r="B2414" s="54">
        <v>2025</v>
      </c>
      <c r="C2414" t="s">
        <v>198</v>
      </c>
      <c r="D2414" t="s">
        <v>449</v>
      </c>
      <c r="E2414" s="22">
        <v>470</v>
      </c>
      <c r="H2414" t="s">
        <v>154</v>
      </c>
      <c r="I2414" t="s">
        <v>529</v>
      </c>
      <c r="J2414" t="s">
        <v>27</v>
      </c>
      <c r="K2414" t="s">
        <v>205</v>
      </c>
      <c r="L2414">
        <v>1</v>
      </c>
    </row>
    <row r="2415" spans="1:12" hidden="1" x14ac:dyDescent="0.2">
      <c r="A2415">
        <f t="shared" si="37"/>
        <v>2409</v>
      </c>
      <c r="B2415" s="54">
        <v>2025</v>
      </c>
      <c r="C2415" t="s">
        <v>198</v>
      </c>
      <c r="D2415" t="s">
        <v>745</v>
      </c>
      <c r="E2415" s="22">
        <v>120</v>
      </c>
      <c r="H2415" t="s">
        <v>143</v>
      </c>
      <c r="J2415" t="s">
        <v>38</v>
      </c>
      <c r="K2415" t="s">
        <v>214</v>
      </c>
      <c r="L2415">
        <v>1</v>
      </c>
    </row>
    <row r="2416" spans="1:12" hidden="1" x14ac:dyDescent="0.2">
      <c r="A2416">
        <f t="shared" si="37"/>
        <v>2410</v>
      </c>
      <c r="B2416" s="54">
        <v>2025</v>
      </c>
      <c r="C2416" t="s">
        <v>202</v>
      </c>
      <c r="D2416" t="s">
        <v>2015</v>
      </c>
      <c r="E2416" s="22">
        <v>390</v>
      </c>
      <c r="H2416" t="s">
        <v>154</v>
      </c>
      <c r="I2416" t="s">
        <v>194</v>
      </c>
      <c r="J2416" t="s">
        <v>24</v>
      </c>
      <c r="K2416" t="s">
        <v>219</v>
      </c>
      <c r="L2416">
        <v>1</v>
      </c>
    </row>
    <row r="2417" spans="1:12" hidden="1" x14ac:dyDescent="0.2">
      <c r="A2417">
        <f t="shared" si="37"/>
        <v>2411</v>
      </c>
      <c r="B2417" s="54">
        <v>2025</v>
      </c>
      <c r="C2417" t="s">
        <v>202</v>
      </c>
      <c r="D2417" t="s">
        <v>875</v>
      </c>
      <c r="E2417" s="22">
        <v>1310</v>
      </c>
      <c r="H2417" t="s">
        <v>155</v>
      </c>
      <c r="J2417" t="s">
        <v>63</v>
      </c>
      <c r="K2417" t="s">
        <v>201</v>
      </c>
      <c r="L2417">
        <v>1</v>
      </c>
    </row>
    <row r="2418" spans="1:12" hidden="1" x14ac:dyDescent="0.2">
      <c r="A2418">
        <f t="shared" si="37"/>
        <v>2412</v>
      </c>
      <c r="B2418" s="54">
        <v>2025</v>
      </c>
      <c r="C2418" t="s">
        <v>202</v>
      </c>
      <c r="D2418" t="s">
        <v>479</v>
      </c>
      <c r="E2418" s="22">
        <v>1530</v>
      </c>
      <c r="H2418" t="s">
        <v>145</v>
      </c>
      <c r="J2418" t="s">
        <v>105</v>
      </c>
      <c r="K2418" t="s">
        <v>214</v>
      </c>
      <c r="L2418">
        <v>1</v>
      </c>
    </row>
    <row r="2419" spans="1:12" hidden="1" x14ac:dyDescent="0.2">
      <c r="A2419">
        <f t="shared" si="37"/>
        <v>2413</v>
      </c>
      <c r="B2419" s="54">
        <v>2025</v>
      </c>
      <c r="C2419" t="s">
        <v>202</v>
      </c>
      <c r="D2419" t="s">
        <v>2228</v>
      </c>
      <c r="E2419" s="22">
        <v>130</v>
      </c>
      <c r="H2419" t="s">
        <v>150</v>
      </c>
      <c r="I2419" t="s">
        <v>744</v>
      </c>
      <c r="J2419" t="s">
        <v>67</v>
      </c>
      <c r="K2419" t="s">
        <v>183</v>
      </c>
      <c r="L2419">
        <v>1</v>
      </c>
    </row>
    <row r="2420" spans="1:12" hidden="1" x14ac:dyDescent="0.2">
      <c r="A2420">
        <f t="shared" si="37"/>
        <v>2414</v>
      </c>
      <c r="B2420" s="54">
        <v>2025</v>
      </c>
      <c r="C2420" t="s">
        <v>202</v>
      </c>
      <c r="D2420" t="s">
        <v>3180</v>
      </c>
      <c r="E2420" s="22">
        <v>290</v>
      </c>
      <c r="H2420" t="s">
        <v>155</v>
      </c>
      <c r="J2420" t="s">
        <v>13</v>
      </c>
      <c r="K2420" t="s">
        <v>201</v>
      </c>
      <c r="L2420">
        <v>1</v>
      </c>
    </row>
    <row r="2421" spans="1:12" hidden="1" x14ac:dyDescent="0.2">
      <c r="A2421">
        <f t="shared" si="37"/>
        <v>2415</v>
      </c>
      <c r="B2421" s="54">
        <v>2025</v>
      </c>
      <c r="C2421" t="s">
        <v>202</v>
      </c>
      <c r="D2421" t="s">
        <v>189</v>
      </c>
      <c r="E2421" s="22">
        <v>360</v>
      </c>
      <c r="G2421" t="s">
        <v>325</v>
      </c>
      <c r="H2421" t="s">
        <v>144</v>
      </c>
      <c r="I2421" t="s">
        <v>299</v>
      </c>
      <c r="J2421" t="s">
        <v>55</v>
      </c>
      <c r="K2421" t="s">
        <v>214</v>
      </c>
      <c r="L2421">
        <v>1</v>
      </c>
    </row>
    <row r="2422" spans="1:12" hidden="1" x14ac:dyDescent="0.2">
      <c r="A2422">
        <f t="shared" si="37"/>
        <v>2416</v>
      </c>
      <c r="B2422" s="54">
        <v>2025</v>
      </c>
      <c r="C2422" t="s">
        <v>202</v>
      </c>
      <c r="D2422" t="s">
        <v>221</v>
      </c>
      <c r="E2422" s="22">
        <v>220</v>
      </c>
      <c r="G2422" t="s">
        <v>3181</v>
      </c>
      <c r="H2422" t="s">
        <v>151</v>
      </c>
      <c r="I2422" t="s">
        <v>279</v>
      </c>
      <c r="J2422" t="s">
        <v>130</v>
      </c>
      <c r="K2422" t="s">
        <v>214</v>
      </c>
      <c r="L2422">
        <v>1</v>
      </c>
    </row>
    <row r="2423" spans="1:12" hidden="1" x14ac:dyDescent="0.2">
      <c r="A2423">
        <f t="shared" si="37"/>
        <v>2417</v>
      </c>
      <c r="B2423" s="54">
        <v>2025</v>
      </c>
      <c r="C2423" t="s">
        <v>202</v>
      </c>
      <c r="D2423" t="s">
        <v>1035</v>
      </c>
      <c r="E2423" s="22">
        <v>150</v>
      </c>
      <c r="H2423" t="s">
        <v>144</v>
      </c>
      <c r="I2423" t="s">
        <v>299</v>
      </c>
      <c r="J2423" t="s">
        <v>93</v>
      </c>
      <c r="K2423" t="s">
        <v>201</v>
      </c>
      <c r="L2423">
        <v>1</v>
      </c>
    </row>
    <row r="2424" spans="1:12" hidden="1" x14ac:dyDescent="0.2">
      <c r="A2424">
        <f t="shared" si="37"/>
        <v>2418</v>
      </c>
      <c r="B2424" s="54">
        <v>2025</v>
      </c>
      <c r="C2424" t="s">
        <v>202</v>
      </c>
      <c r="D2424" t="s">
        <v>3182</v>
      </c>
      <c r="E2424" s="22">
        <v>310</v>
      </c>
      <c r="H2424" t="s">
        <v>154</v>
      </c>
      <c r="I2424" t="s">
        <v>194</v>
      </c>
      <c r="J2424" t="s">
        <v>136</v>
      </c>
      <c r="K2424" t="s">
        <v>183</v>
      </c>
      <c r="L2424">
        <v>1</v>
      </c>
    </row>
    <row r="2425" spans="1:12" hidden="1" x14ac:dyDescent="0.2">
      <c r="A2425">
        <f t="shared" si="37"/>
        <v>2419</v>
      </c>
      <c r="B2425" s="54">
        <v>2025</v>
      </c>
      <c r="C2425" t="s">
        <v>202</v>
      </c>
      <c r="D2425" t="s">
        <v>1035</v>
      </c>
      <c r="E2425" s="22">
        <v>330</v>
      </c>
      <c r="H2425" t="s">
        <v>144</v>
      </c>
      <c r="I2425" t="s">
        <v>232</v>
      </c>
      <c r="J2425" t="s">
        <v>136</v>
      </c>
      <c r="K2425" t="s">
        <v>183</v>
      </c>
      <c r="L2425">
        <v>1</v>
      </c>
    </row>
    <row r="2426" spans="1:12" hidden="1" x14ac:dyDescent="0.2">
      <c r="A2426">
        <f t="shared" si="37"/>
        <v>2420</v>
      </c>
      <c r="B2426" s="54">
        <v>2025</v>
      </c>
      <c r="C2426" t="s">
        <v>202</v>
      </c>
      <c r="D2426" t="s">
        <v>745</v>
      </c>
      <c r="E2426" s="22">
        <v>200</v>
      </c>
      <c r="H2426" t="s">
        <v>142</v>
      </c>
      <c r="J2426" t="s">
        <v>138</v>
      </c>
      <c r="K2426" t="s">
        <v>219</v>
      </c>
      <c r="L2426">
        <v>1</v>
      </c>
    </row>
    <row r="2427" spans="1:12" hidden="1" x14ac:dyDescent="0.2">
      <c r="A2427">
        <f t="shared" si="37"/>
        <v>2421</v>
      </c>
      <c r="B2427" s="54">
        <v>2025</v>
      </c>
      <c r="C2427" t="s">
        <v>202</v>
      </c>
      <c r="D2427" t="s">
        <v>221</v>
      </c>
      <c r="E2427" s="22">
        <v>250</v>
      </c>
      <c r="H2427" t="s">
        <v>154</v>
      </c>
      <c r="I2427" t="s">
        <v>194</v>
      </c>
      <c r="J2427" t="s">
        <v>134</v>
      </c>
      <c r="K2427" t="s">
        <v>201</v>
      </c>
      <c r="L2427">
        <v>1</v>
      </c>
    </row>
    <row r="2428" spans="1:12" hidden="1" x14ac:dyDescent="0.2">
      <c r="A2428">
        <f t="shared" si="37"/>
        <v>2422</v>
      </c>
      <c r="B2428" s="54">
        <v>2025</v>
      </c>
      <c r="C2428" t="s">
        <v>202</v>
      </c>
      <c r="D2428" t="s">
        <v>2228</v>
      </c>
      <c r="E2428" s="22">
        <v>240</v>
      </c>
      <c r="H2428" t="s">
        <v>151</v>
      </c>
      <c r="I2428" t="s">
        <v>279</v>
      </c>
      <c r="J2428" t="s">
        <v>72</v>
      </c>
      <c r="K2428" t="s">
        <v>183</v>
      </c>
      <c r="L2428">
        <v>1</v>
      </c>
    </row>
    <row r="2429" spans="1:12" hidden="1" x14ac:dyDescent="0.2">
      <c r="A2429">
        <f t="shared" si="37"/>
        <v>2423</v>
      </c>
      <c r="B2429" s="54">
        <v>2025</v>
      </c>
      <c r="C2429" t="s">
        <v>202</v>
      </c>
      <c r="D2429" t="s">
        <v>1292</v>
      </c>
      <c r="E2429" s="22">
        <v>100</v>
      </c>
      <c r="H2429" t="s">
        <v>144</v>
      </c>
      <c r="I2429" t="s">
        <v>299</v>
      </c>
      <c r="J2429" t="s">
        <v>105</v>
      </c>
      <c r="K2429" t="s">
        <v>214</v>
      </c>
      <c r="L2429">
        <v>1</v>
      </c>
    </row>
    <row r="2430" spans="1:12" hidden="1" x14ac:dyDescent="0.2">
      <c r="A2430">
        <f t="shared" si="37"/>
        <v>2424</v>
      </c>
      <c r="B2430" s="54">
        <v>2025</v>
      </c>
      <c r="C2430" t="s">
        <v>207</v>
      </c>
      <c r="D2430" t="s">
        <v>185</v>
      </c>
      <c r="E2430" s="22">
        <v>4000</v>
      </c>
      <c r="H2430" t="s">
        <v>144</v>
      </c>
      <c r="I2430" t="s">
        <v>187</v>
      </c>
      <c r="J2430" t="s">
        <v>100</v>
      </c>
      <c r="K2430" t="s">
        <v>214</v>
      </c>
      <c r="L2430">
        <v>1</v>
      </c>
    </row>
    <row r="2431" spans="1:12" hidden="1" x14ac:dyDescent="0.2">
      <c r="A2431">
        <f t="shared" si="37"/>
        <v>2425</v>
      </c>
      <c r="B2431" s="54">
        <v>2025</v>
      </c>
      <c r="C2431" t="s">
        <v>207</v>
      </c>
      <c r="D2431" t="s">
        <v>3183</v>
      </c>
      <c r="E2431" s="22">
        <v>170</v>
      </c>
      <c r="G2431" t="s">
        <v>3184</v>
      </c>
      <c r="H2431" t="s">
        <v>145</v>
      </c>
      <c r="J2431" t="s">
        <v>105</v>
      </c>
      <c r="K2431" t="s">
        <v>214</v>
      </c>
      <c r="L2431">
        <v>1</v>
      </c>
    </row>
    <row r="2432" spans="1:12" hidden="1" x14ac:dyDescent="0.2">
      <c r="A2432">
        <f t="shared" si="37"/>
        <v>2426</v>
      </c>
      <c r="B2432" s="54">
        <v>2025</v>
      </c>
      <c r="C2432" t="s">
        <v>207</v>
      </c>
      <c r="D2432" t="s">
        <v>341</v>
      </c>
      <c r="E2432" s="22">
        <v>110</v>
      </c>
      <c r="G2432" t="s">
        <v>3185</v>
      </c>
      <c r="H2432" t="s">
        <v>154</v>
      </c>
      <c r="I2432" t="s">
        <v>529</v>
      </c>
      <c r="J2432" t="s">
        <v>108</v>
      </c>
      <c r="K2432" t="s">
        <v>183</v>
      </c>
      <c r="L2432">
        <v>1</v>
      </c>
    </row>
    <row r="2433" spans="1:12" hidden="1" x14ac:dyDescent="0.2">
      <c r="A2433">
        <f t="shared" si="37"/>
        <v>2427</v>
      </c>
      <c r="B2433" s="54">
        <v>2025</v>
      </c>
      <c r="C2433" t="s">
        <v>207</v>
      </c>
      <c r="D2433" t="s">
        <v>1035</v>
      </c>
      <c r="E2433" s="22">
        <v>330</v>
      </c>
      <c r="G2433" t="s">
        <v>3186</v>
      </c>
      <c r="H2433" t="s">
        <v>144</v>
      </c>
      <c r="I2433" t="s">
        <v>232</v>
      </c>
      <c r="J2433" t="s">
        <v>94</v>
      </c>
      <c r="K2433" t="s">
        <v>177</v>
      </c>
      <c r="L2433">
        <v>0</v>
      </c>
    </row>
    <row r="2434" spans="1:12" hidden="1" x14ac:dyDescent="0.2">
      <c r="A2434">
        <f t="shared" si="37"/>
        <v>2428</v>
      </c>
      <c r="B2434" s="54">
        <v>2025</v>
      </c>
      <c r="C2434" t="s">
        <v>207</v>
      </c>
      <c r="D2434" t="s">
        <v>1035</v>
      </c>
      <c r="E2434" s="22">
        <v>150</v>
      </c>
      <c r="G2434" t="s">
        <v>1247</v>
      </c>
      <c r="H2434" t="s">
        <v>144</v>
      </c>
      <c r="I2434" t="s">
        <v>232</v>
      </c>
      <c r="J2434" t="s">
        <v>134</v>
      </c>
      <c r="K2434" t="s">
        <v>201</v>
      </c>
      <c r="L2434">
        <v>1</v>
      </c>
    </row>
    <row r="2435" spans="1:12" hidden="1" x14ac:dyDescent="0.2">
      <c r="A2435">
        <f t="shared" si="37"/>
        <v>2429</v>
      </c>
      <c r="B2435" s="54">
        <v>2025</v>
      </c>
      <c r="C2435" t="s">
        <v>207</v>
      </c>
      <c r="D2435" t="s">
        <v>244</v>
      </c>
      <c r="E2435" s="22">
        <v>570</v>
      </c>
      <c r="G2435" t="s">
        <v>3187</v>
      </c>
      <c r="H2435" t="s">
        <v>149</v>
      </c>
      <c r="I2435" t="s">
        <v>238</v>
      </c>
      <c r="J2435" t="s">
        <v>136</v>
      </c>
      <c r="K2435" t="s">
        <v>183</v>
      </c>
      <c r="L2435">
        <v>1</v>
      </c>
    </row>
    <row r="2436" spans="1:12" hidden="1" x14ac:dyDescent="0.2">
      <c r="A2436">
        <f t="shared" si="37"/>
        <v>2430</v>
      </c>
      <c r="B2436" s="54">
        <v>2025</v>
      </c>
      <c r="C2436" t="s">
        <v>240</v>
      </c>
      <c r="D2436" t="s">
        <v>341</v>
      </c>
      <c r="E2436" s="22">
        <v>750</v>
      </c>
      <c r="H2436" t="s">
        <v>154</v>
      </c>
      <c r="I2436" t="s">
        <v>529</v>
      </c>
      <c r="J2436" t="s">
        <v>3188</v>
      </c>
      <c r="K2436" t="s">
        <v>219</v>
      </c>
      <c r="L2436">
        <v>1</v>
      </c>
    </row>
    <row r="2437" spans="1:12" hidden="1" x14ac:dyDescent="0.2">
      <c r="A2437">
        <f t="shared" si="37"/>
        <v>2431</v>
      </c>
      <c r="B2437" s="54">
        <v>2025</v>
      </c>
      <c r="C2437" t="s">
        <v>240</v>
      </c>
      <c r="D2437" t="s">
        <v>185</v>
      </c>
      <c r="E2437" s="22">
        <v>200</v>
      </c>
      <c r="G2437" t="s">
        <v>2672</v>
      </c>
      <c r="H2437" t="s">
        <v>144</v>
      </c>
      <c r="I2437" t="s">
        <v>187</v>
      </c>
      <c r="J2437" t="s">
        <v>124</v>
      </c>
      <c r="K2437" t="s">
        <v>183</v>
      </c>
      <c r="L2437">
        <v>1</v>
      </c>
    </row>
    <row r="2438" spans="1:12" hidden="1" x14ac:dyDescent="0.2">
      <c r="A2438">
        <f t="shared" si="37"/>
        <v>2432</v>
      </c>
      <c r="B2438" s="54">
        <v>2025</v>
      </c>
      <c r="C2438" t="s">
        <v>240</v>
      </c>
      <c r="D2438" t="s">
        <v>745</v>
      </c>
      <c r="E2438" s="22">
        <v>130</v>
      </c>
      <c r="H2438" t="s">
        <v>143</v>
      </c>
      <c r="J2438" t="s">
        <v>38</v>
      </c>
      <c r="K2438" t="s">
        <v>214</v>
      </c>
      <c r="L2438">
        <v>1</v>
      </c>
    </row>
    <row r="2439" spans="1:12" hidden="1" x14ac:dyDescent="0.2">
      <c r="A2439">
        <f t="shared" ref="A2439:A2458" si="38">ROW()-6</f>
        <v>2433</v>
      </c>
      <c r="B2439" s="54">
        <v>2025</v>
      </c>
      <c r="C2439" t="s">
        <v>240</v>
      </c>
      <c r="D2439" t="s">
        <v>875</v>
      </c>
      <c r="E2439" s="22">
        <v>830</v>
      </c>
      <c r="H2439" t="s">
        <v>144</v>
      </c>
      <c r="I2439" t="s">
        <v>232</v>
      </c>
      <c r="J2439" t="s">
        <v>105</v>
      </c>
      <c r="K2439" t="s">
        <v>214</v>
      </c>
      <c r="L2439">
        <v>1</v>
      </c>
    </row>
    <row r="2440" spans="1:12" hidden="1" x14ac:dyDescent="0.2">
      <c r="A2440">
        <f t="shared" si="38"/>
        <v>2434</v>
      </c>
      <c r="B2440" s="54">
        <v>2025</v>
      </c>
      <c r="C2440" t="s">
        <v>240</v>
      </c>
      <c r="D2440" t="s">
        <v>875</v>
      </c>
      <c r="E2440" s="22">
        <v>640</v>
      </c>
      <c r="H2440" t="s">
        <v>144</v>
      </c>
      <c r="I2440" t="s">
        <v>232</v>
      </c>
      <c r="J2440" t="s">
        <v>105</v>
      </c>
      <c r="K2440" t="s">
        <v>214</v>
      </c>
      <c r="L2440">
        <v>1</v>
      </c>
    </row>
    <row r="2441" spans="1:12" hidden="1" x14ac:dyDescent="0.2">
      <c r="A2441">
        <f t="shared" si="38"/>
        <v>2435</v>
      </c>
      <c r="B2441" s="54">
        <v>2025</v>
      </c>
      <c r="C2441" t="s">
        <v>240</v>
      </c>
      <c r="D2441" t="s">
        <v>397</v>
      </c>
      <c r="E2441" s="22">
        <v>750</v>
      </c>
      <c r="H2441" t="s">
        <v>151</v>
      </c>
      <c r="I2441" t="s">
        <v>279</v>
      </c>
      <c r="J2441" t="s">
        <v>105</v>
      </c>
      <c r="K2441" t="s">
        <v>214</v>
      </c>
      <c r="L2441">
        <v>1</v>
      </c>
    </row>
    <row r="2442" spans="1:12" hidden="1" x14ac:dyDescent="0.2">
      <c r="A2442">
        <f t="shared" si="38"/>
        <v>2436</v>
      </c>
      <c r="B2442" s="54">
        <v>2025</v>
      </c>
      <c r="C2442" t="s">
        <v>240</v>
      </c>
      <c r="D2442" t="s">
        <v>397</v>
      </c>
      <c r="E2442" s="22">
        <v>270</v>
      </c>
      <c r="G2442" t="s">
        <v>3189</v>
      </c>
      <c r="H2442" t="s">
        <v>151</v>
      </c>
      <c r="I2442" t="s">
        <v>279</v>
      </c>
      <c r="J2442" t="s">
        <v>130</v>
      </c>
      <c r="K2442" t="s">
        <v>214</v>
      </c>
      <c r="L2442">
        <v>1</v>
      </c>
    </row>
    <row r="2443" spans="1:12" hidden="1" x14ac:dyDescent="0.2">
      <c r="A2443">
        <f t="shared" si="38"/>
        <v>2437</v>
      </c>
      <c r="B2443" s="54">
        <v>2025</v>
      </c>
      <c r="C2443" t="s">
        <v>240</v>
      </c>
      <c r="D2443" t="s">
        <v>337</v>
      </c>
      <c r="E2443" s="22">
        <v>110</v>
      </c>
      <c r="H2443" t="s">
        <v>144</v>
      </c>
      <c r="I2443" t="s">
        <v>299</v>
      </c>
      <c r="J2443" t="s">
        <v>63</v>
      </c>
      <c r="K2443" t="s">
        <v>201</v>
      </c>
      <c r="L2443">
        <v>1</v>
      </c>
    </row>
    <row r="2444" spans="1:12" hidden="1" x14ac:dyDescent="0.2">
      <c r="A2444">
        <f t="shared" si="38"/>
        <v>2438</v>
      </c>
      <c r="B2444" s="54">
        <v>2025</v>
      </c>
      <c r="C2444" t="s">
        <v>240</v>
      </c>
      <c r="D2444" t="s">
        <v>875</v>
      </c>
      <c r="E2444" s="22">
        <v>810</v>
      </c>
      <c r="G2444" t="s">
        <v>325</v>
      </c>
      <c r="H2444" t="s">
        <v>144</v>
      </c>
      <c r="I2444" t="s">
        <v>232</v>
      </c>
      <c r="J2444" t="s">
        <v>55</v>
      </c>
      <c r="K2444" t="s">
        <v>214</v>
      </c>
      <c r="L2444">
        <v>1</v>
      </c>
    </row>
    <row r="2445" spans="1:12" hidden="1" x14ac:dyDescent="0.2">
      <c r="A2445">
        <f t="shared" si="38"/>
        <v>2439</v>
      </c>
      <c r="B2445" s="54">
        <v>2025</v>
      </c>
      <c r="C2445" t="s">
        <v>240</v>
      </c>
      <c r="D2445" t="s">
        <v>745</v>
      </c>
      <c r="E2445" s="22">
        <v>140</v>
      </c>
      <c r="G2445" t="s">
        <v>3190</v>
      </c>
      <c r="H2445" t="s">
        <v>142</v>
      </c>
      <c r="J2445" t="s">
        <v>53</v>
      </c>
      <c r="K2445" t="s">
        <v>183</v>
      </c>
      <c r="L2445">
        <v>1</v>
      </c>
    </row>
    <row r="2446" spans="1:12" hidden="1" x14ac:dyDescent="0.2">
      <c r="A2446">
        <f t="shared" si="38"/>
        <v>2440</v>
      </c>
      <c r="B2446" s="54">
        <v>2025</v>
      </c>
      <c r="C2446" t="s">
        <v>240</v>
      </c>
      <c r="D2446" t="s">
        <v>2157</v>
      </c>
      <c r="E2446" s="22">
        <v>320</v>
      </c>
      <c r="H2446" t="s">
        <v>154</v>
      </c>
      <c r="I2446" t="s">
        <v>194</v>
      </c>
      <c r="J2446" t="s">
        <v>97</v>
      </c>
      <c r="K2446" t="s">
        <v>183</v>
      </c>
      <c r="L2446">
        <v>1</v>
      </c>
    </row>
    <row r="2447" spans="1:12" hidden="1" x14ac:dyDescent="0.2">
      <c r="A2447">
        <f t="shared" si="38"/>
        <v>2441</v>
      </c>
      <c r="B2447" s="54">
        <v>2025</v>
      </c>
      <c r="C2447" t="s">
        <v>240</v>
      </c>
      <c r="D2447" t="s">
        <v>2547</v>
      </c>
      <c r="E2447" s="22">
        <v>290</v>
      </c>
      <c r="H2447" t="s">
        <v>154</v>
      </c>
      <c r="I2447" t="s">
        <v>194</v>
      </c>
      <c r="J2447" t="s">
        <v>97</v>
      </c>
      <c r="K2447" t="s">
        <v>183</v>
      </c>
      <c r="L2447">
        <v>1</v>
      </c>
    </row>
    <row r="2448" spans="1:12" hidden="1" x14ac:dyDescent="0.2">
      <c r="A2448">
        <f t="shared" si="38"/>
        <v>2442</v>
      </c>
      <c r="B2448" s="54">
        <v>2025</v>
      </c>
      <c r="C2448" t="s">
        <v>212</v>
      </c>
      <c r="D2448" t="s">
        <v>875</v>
      </c>
      <c r="E2448" s="22">
        <v>300</v>
      </c>
      <c r="G2448" t="s">
        <v>3191</v>
      </c>
      <c r="H2448" t="s">
        <v>144</v>
      </c>
      <c r="I2448" t="s">
        <v>232</v>
      </c>
      <c r="J2448" t="s">
        <v>92</v>
      </c>
      <c r="K2448" t="s">
        <v>214</v>
      </c>
      <c r="L2448">
        <v>1</v>
      </c>
    </row>
    <row r="2449" spans="1:12" hidden="1" x14ac:dyDescent="0.2">
      <c r="A2449">
        <f t="shared" si="38"/>
        <v>2443</v>
      </c>
      <c r="B2449" s="54">
        <v>2025</v>
      </c>
      <c r="C2449" t="s">
        <v>212</v>
      </c>
      <c r="D2449" t="s">
        <v>1035</v>
      </c>
      <c r="E2449" s="22">
        <v>160</v>
      </c>
      <c r="G2449" t="s">
        <v>3192</v>
      </c>
      <c r="H2449" t="s">
        <v>144</v>
      </c>
      <c r="I2449" t="s">
        <v>232</v>
      </c>
      <c r="J2449" t="s">
        <v>97</v>
      </c>
      <c r="K2449" t="s">
        <v>183</v>
      </c>
      <c r="L2449">
        <v>1</v>
      </c>
    </row>
    <row r="2450" spans="1:12" hidden="1" x14ac:dyDescent="0.2">
      <c r="A2450">
        <f t="shared" si="38"/>
        <v>2444</v>
      </c>
      <c r="B2450" s="54">
        <v>2025</v>
      </c>
      <c r="C2450" t="s">
        <v>212</v>
      </c>
      <c r="D2450" t="s">
        <v>3026</v>
      </c>
      <c r="E2450" s="22">
        <v>100</v>
      </c>
      <c r="H2450" t="s">
        <v>144</v>
      </c>
      <c r="I2450" t="s">
        <v>299</v>
      </c>
      <c r="J2450" t="s">
        <v>21</v>
      </c>
      <c r="K2450" t="s">
        <v>183</v>
      </c>
      <c r="L2450">
        <v>1</v>
      </c>
    </row>
    <row r="2451" spans="1:12" hidden="1" x14ac:dyDescent="0.2">
      <c r="A2451">
        <f t="shared" si="38"/>
        <v>2445</v>
      </c>
      <c r="B2451" s="54">
        <v>2025</v>
      </c>
      <c r="C2451" t="s">
        <v>212</v>
      </c>
      <c r="D2451" t="s">
        <v>1035</v>
      </c>
      <c r="E2451" s="22">
        <v>120</v>
      </c>
      <c r="G2451" t="s">
        <v>2151</v>
      </c>
      <c r="H2451" t="s">
        <v>144</v>
      </c>
      <c r="I2451" t="s">
        <v>232</v>
      </c>
      <c r="J2451" t="s">
        <v>97</v>
      </c>
      <c r="K2451" t="s">
        <v>183</v>
      </c>
      <c r="L2451">
        <v>1</v>
      </c>
    </row>
    <row r="2452" spans="1:12" hidden="1" x14ac:dyDescent="0.2">
      <c r="A2452">
        <f t="shared" si="38"/>
        <v>2446</v>
      </c>
      <c r="B2452" s="54">
        <v>2025</v>
      </c>
      <c r="C2452" t="s">
        <v>212</v>
      </c>
      <c r="D2452" t="s">
        <v>557</v>
      </c>
      <c r="E2452" s="22">
        <v>250</v>
      </c>
      <c r="G2452" t="s">
        <v>3193</v>
      </c>
      <c r="H2452" t="s">
        <v>151</v>
      </c>
      <c r="I2452" t="s">
        <v>279</v>
      </c>
      <c r="J2452" t="s">
        <v>64</v>
      </c>
      <c r="K2452" t="s">
        <v>219</v>
      </c>
      <c r="L2452">
        <v>1</v>
      </c>
    </row>
    <row r="2453" spans="1:12" hidden="1" x14ac:dyDescent="0.2">
      <c r="A2453">
        <f t="shared" si="38"/>
        <v>2447</v>
      </c>
      <c r="B2453" s="54">
        <v>2025</v>
      </c>
      <c r="C2453" t="s">
        <v>212</v>
      </c>
      <c r="D2453" t="s">
        <v>596</v>
      </c>
      <c r="E2453" s="22">
        <v>310</v>
      </c>
      <c r="H2453" t="s">
        <v>144</v>
      </c>
      <c r="I2453" t="s">
        <v>232</v>
      </c>
      <c r="J2453" t="s">
        <v>92</v>
      </c>
      <c r="K2453" t="s">
        <v>214</v>
      </c>
      <c r="L2453">
        <v>1</v>
      </c>
    </row>
    <row r="2454" spans="1:12" hidden="1" x14ac:dyDescent="0.2">
      <c r="A2454">
        <f t="shared" si="38"/>
        <v>2448</v>
      </c>
      <c r="B2454" s="54">
        <v>2025</v>
      </c>
      <c r="C2454" t="s">
        <v>212</v>
      </c>
      <c r="D2454" t="s">
        <v>875</v>
      </c>
      <c r="E2454" s="22">
        <v>360</v>
      </c>
      <c r="H2454" t="s">
        <v>144</v>
      </c>
      <c r="I2454" t="s">
        <v>197</v>
      </c>
      <c r="J2454" t="s">
        <v>34</v>
      </c>
      <c r="K2454" t="s">
        <v>219</v>
      </c>
      <c r="L2454">
        <v>1</v>
      </c>
    </row>
    <row r="2455" spans="1:12" hidden="1" x14ac:dyDescent="0.2">
      <c r="A2455">
        <f t="shared" si="38"/>
        <v>2449</v>
      </c>
      <c r="B2455" s="54">
        <v>2025</v>
      </c>
      <c r="C2455" t="s">
        <v>212</v>
      </c>
      <c r="D2455" t="s">
        <v>189</v>
      </c>
      <c r="E2455" s="22">
        <v>440</v>
      </c>
      <c r="G2455" t="s">
        <v>2300</v>
      </c>
      <c r="H2455" t="s">
        <v>143</v>
      </c>
      <c r="J2455" t="s">
        <v>5</v>
      </c>
      <c r="K2455" t="s">
        <v>214</v>
      </c>
      <c r="L2455">
        <v>1</v>
      </c>
    </row>
    <row r="2456" spans="1:12" hidden="1" x14ac:dyDescent="0.2">
      <c r="A2456">
        <f t="shared" si="38"/>
        <v>2450</v>
      </c>
      <c r="B2456" s="54">
        <v>2025</v>
      </c>
      <c r="C2456" t="s">
        <v>212</v>
      </c>
      <c r="D2456" t="s">
        <v>875</v>
      </c>
      <c r="E2456" s="22">
        <v>300</v>
      </c>
      <c r="H2456" t="s">
        <v>144</v>
      </c>
      <c r="I2456" t="s">
        <v>232</v>
      </c>
      <c r="J2456" t="s">
        <v>105</v>
      </c>
      <c r="K2456" t="s">
        <v>214</v>
      </c>
      <c r="L2456">
        <v>1</v>
      </c>
    </row>
    <row r="2457" spans="1:12" hidden="1" x14ac:dyDescent="0.2">
      <c r="A2457">
        <f t="shared" si="38"/>
        <v>2451</v>
      </c>
      <c r="B2457" s="54">
        <v>2025</v>
      </c>
      <c r="C2457" t="s">
        <v>212</v>
      </c>
      <c r="D2457" t="s">
        <v>1035</v>
      </c>
      <c r="E2457" s="22">
        <v>190</v>
      </c>
      <c r="H2457" t="s">
        <v>147</v>
      </c>
      <c r="J2457" t="s">
        <v>96</v>
      </c>
      <c r="K2457" t="s">
        <v>205</v>
      </c>
      <c r="L2457">
        <v>1</v>
      </c>
    </row>
    <row r="2458" spans="1:12" hidden="1" x14ac:dyDescent="0.2">
      <c r="A2458">
        <f t="shared" si="38"/>
        <v>2452</v>
      </c>
      <c r="B2458" s="54">
        <v>2025</v>
      </c>
      <c r="C2458" t="s">
        <v>212</v>
      </c>
      <c r="D2458" t="s">
        <v>175</v>
      </c>
      <c r="E2458" s="22">
        <v>110</v>
      </c>
      <c r="G2458" t="s">
        <v>2114</v>
      </c>
      <c r="H2458" t="s">
        <v>149</v>
      </c>
      <c r="I2458" t="s">
        <v>182</v>
      </c>
      <c r="J2458" t="s">
        <v>19</v>
      </c>
      <c r="K2458" t="s">
        <v>205</v>
      </c>
      <c r="L2458">
        <v>0</v>
      </c>
    </row>
    <row r="2459" spans="1:12" hidden="1" x14ac:dyDescent="0.2"/>
    <row r="2460" spans="1:12" hidden="1" x14ac:dyDescent="0.2"/>
    <row r="2461" spans="1:12" hidden="1" x14ac:dyDescent="0.2"/>
    <row r="2462" spans="1:12" hidden="1" x14ac:dyDescent="0.2"/>
    <row r="2463" spans="1:12" hidden="1" x14ac:dyDescent="0.2"/>
    <row r="2464" spans="1:12" hidden="1" x14ac:dyDescent="0.2"/>
    <row r="2465" hidden="1" x14ac:dyDescent="0.2"/>
    <row r="2466" hidden="1" x14ac:dyDescent="0.2"/>
    <row r="2467" hidden="1" x14ac:dyDescent="0.2"/>
    <row r="2468" hidden="1" x14ac:dyDescent="0.2"/>
    <row r="2469" hidden="1" x14ac:dyDescent="0.2"/>
    <row r="2470" hidden="1" x14ac:dyDescent="0.2"/>
    <row r="2471" hidden="1" x14ac:dyDescent="0.2"/>
    <row r="2472" hidden="1" x14ac:dyDescent="0.2"/>
    <row r="2473" hidden="1" x14ac:dyDescent="0.2"/>
    <row r="2474" hidden="1" x14ac:dyDescent="0.2"/>
    <row r="2475" hidden="1" x14ac:dyDescent="0.2"/>
    <row r="2476" hidden="1" x14ac:dyDescent="0.2"/>
    <row r="2477" hidden="1" x14ac:dyDescent="0.2"/>
    <row r="2478" hidden="1" x14ac:dyDescent="0.2"/>
    <row r="2479" hidden="1" x14ac:dyDescent="0.2"/>
    <row r="2480" hidden="1" x14ac:dyDescent="0.2"/>
    <row r="2481" hidden="1" x14ac:dyDescent="0.2"/>
    <row r="2482" hidden="1" x14ac:dyDescent="0.2"/>
    <row r="2483" hidden="1" x14ac:dyDescent="0.2"/>
    <row r="2484" hidden="1" x14ac:dyDescent="0.2"/>
    <row r="2485" hidden="1" x14ac:dyDescent="0.2"/>
    <row r="2486" hidden="1" x14ac:dyDescent="0.2"/>
    <row r="2487" hidden="1" x14ac:dyDescent="0.2"/>
    <row r="2488" hidden="1" x14ac:dyDescent="0.2"/>
    <row r="2489" hidden="1" x14ac:dyDescent="0.2"/>
    <row r="2490" hidden="1" x14ac:dyDescent="0.2"/>
    <row r="2491" hidden="1" x14ac:dyDescent="0.2"/>
    <row r="2492" hidden="1" x14ac:dyDescent="0.2"/>
    <row r="2493" hidden="1" x14ac:dyDescent="0.2"/>
    <row r="2494" hidden="1" x14ac:dyDescent="0.2"/>
    <row r="2495" hidden="1" x14ac:dyDescent="0.2"/>
    <row r="2496" hidden="1" x14ac:dyDescent="0.2"/>
    <row r="2497" hidden="1" x14ac:dyDescent="0.2"/>
    <row r="2498" hidden="1" x14ac:dyDescent="0.2"/>
    <row r="2499" hidden="1" x14ac:dyDescent="0.2"/>
    <row r="2500" hidden="1" x14ac:dyDescent="0.2"/>
    <row r="2501" hidden="1" x14ac:dyDescent="0.2"/>
  </sheetData>
  <autoFilter ref="A6:L2501" xr:uid="{00000000-0009-0000-0000-000001000000}">
    <filterColumn colId="9">
      <filters>
        <filter val="Afghanistan"/>
      </filters>
    </filterColumn>
    <sortState xmlns:xlrd2="http://schemas.microsoft.com/office/spreadsheetml/2017/richdata2" ref="A7:L2157">
      <sortCondition ref="A6:A2157"/>
    </sortState>
  </autoFilter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048574"/>
  <sheetViews>
    <sheetView zoomScaleNormal="100"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8.83203125" style="56" customWidth="1"/>
    <col min="2" max="2" width="7.1640625" style="56" customWidth="1"/>
    <col min="3" max="3" width="11.5" style="56" customWidth="1"/>
    <col min="4" max="4" width="68.5" style="56" customWidth="1"/>
    <col min="5" max="5" width="13.5" style="35" customWidth="1"/>
    <col min="6" max="6" width="21.5" style="56" customWidth="1"/>
    <col min="7" max="8" width="12.83203125" style="56" customWidth="1"/>
    <col min="9" max="9" width="17.83203125" style="56" customWidth="1"/>
    <col min="10" max="10" width="29.1640625" style="56" customWidth="1"/>
    <col min="11" max="11" width="15.5" style="58" customWidth="1"/>
    <col min="12" max="12" width="15.5" style="59" customWidth="1"/>
    <col min="13" max="15" width="8.83203125" style="56" customWidth="1"/>
    <col min="16" max="16384" width="8.83203125" style="56"/>
  </cols>
  <sheetData>
    <row r="1" spans="1:12" s="5" customFormat="1" ht="12.75" customHeight="1" x14ac:dyDescent="0.15">
      <c r="B1" s="1" t="s">
        <v>157</v>
      </c>
      <c r="E1" s="29"/>
      <c r="K1" s="50"/>
      <c r="L1" s="55"/>
    </row>
    <row r="2" spans="1:12" s="5" customFormat="1" ht="12.75" customHeight="1" x14ac:dyDescent="0.15">
      <c r="B2" s="1" t="s">
        <v>158</v>
      </c>
      <c r="E2" s="29"/>
      <c r="K2" s="50"/>
      <c r="L2" s="55"/>
    </row>
    <row r="3" spans="1:12" s="5" customFormat="1" ht="12.75" customHeight="1" x14ac:dyDescent="0.15">
      <c r="B3" s="1"/>
      <c r="E3" s="29"/>
      <c r="K3" s="50"/>
      <c r="L3" s="55"/>
    </row>
    <row r="4" spans="1:12" s="5" customFormat="1" ht="12.75" customHeight="1" x14ac:dyDescent="0.15">
      <c r="B4" s="1" t="s">
        <v>3194</v>
      </c>
      <c r="C4" s="1"/>
      <c r="D4" s="1"/>
      <c r="E4" s="30"/>
      <c r="F4" s="53"/>
      <c r="G4" s="2"/>
      <c r="H4" s="2"/>
      <c r="I4" s="2"/>
      <c r="J4" s="2"/>
      <c r="K4" s="50"/>
      <c r="L4" s="55"/>
    </row>
    <row r="5" spans="1:12" ht="12.75" customHeight="1" x14ac:dyDescent="0.2">
      <c r="B5" s="57"/>
      <c r="C5" s="57"/>
      <c r="D5" s="57"/>
      <c r="F5" s="57"/>
      <c r="G5" s="57"/>
      <c r="H5" s="57"/>
      <c r="I5" s="57"/>
      <c r="J5" s="52"/>
    </row>
    <row r="6" spans="1:12" s="5" customFormat="1" ht="25.5" customHeight="1" x14ac:dyDescent="0.15">
      <c r="B6" s="71" t="s">
        <v>160</v>
      </c>
      <c r="C6" s="3" t="s">
        <v>161</v>
      </c>
      <c r="D6" s="12" t="s">
        <v>3195</v>
      </c>
      <c r="E6" s="31" t="s">
        <v>163</v>
      </c>
      <c r="F6" s="1" t="s">
        <v>165</v>
      </c>
      <c r="G6" s="3" t="s">
        <v>166</v>
      </c>
      <c r="H6" s="3" t="s">
        <v>167</v>
      </c>
      <c r="I6" s="3" t="s">
        <v>168</v>
      </c>
      <c r="J6" s="3" t="s">
        <v>169</v>
      </c>
      <c r="K6" s="12" t="s">
        <v>171</v>
      </c>
      <c r="L6" s="74" t="s">
        <v>170</v>
      </c>
    </row>
    <row r="7" spans="1:12" s="57" customFormat="1" x14ac:dyDescent="0.2">
      <c r="A7" s="52">
        <f t="shared" ref="A7:A70" si="0">ROW()-6</f>
        <v>1</v>
      </c>
      <c r="B7" s="52">
        <v>2005</v>
      </c>
      <c r="C7" s="52" t="s">
        <v>191</v>
      </c>
      <c r="D7" s="52" t="s">
        <v>185</v>
      </c>
      <c r="E7" s="34">
        <v>18000</v>
      </c>
      <c r="F7" s="52" t="s">
        <v>3196</v>
      </c>
      <c r="G7" s="52" t="s">
        <v>144</v>
      </c>
      <c r="H7" s="52"/>
      <c r="I7" s="52" t="s">
        <v>131</v>
      </c>
      <c r="J7" s="52" t="s">
        <v>131</v>
      </c>
      <c r="K7" s="69"/>
      <c r="L7" s="75"/>
    </row>
    <row r="8" spans="1:12" s="57" customFormat="1" ht="15" customHeight="1" x14ac:dyDescent="0.2">
      <c r="A8" s="52">
        <f t="shared" si="0"/>
        <v>2</v>
      </c>
      <c r="B8" s="52">
        <v>2006</v>
      </c>
      <c r="C8" s="52" t="s">
        <v>191</v>
      </c>
      <c r="D8" s="52" t="s">
        <v>255</v>
      </c>
      <c r="E8" s="34">
        <v>5300</v>
      </c>
      <c r="F8" s="52" t="s">
        <v>256</v>
      </c>
      <c r="G8" s="52" t="s">
        <v>152</v>
      </c>
      <c r="H8" s="52" t="s">
        <v>257</v>
      </c>
      <c r="I8" s="52" t="s">
        <v>69</v>
      </c>
      <c r="J8" s="52" t="s">
        <v>195</v>
      </c>
      <c r="K8" s="69"/>
      <c r="L8" s="75"/>
    </row>
    <row r="9" spans="1:12" s="57" customFormat="1" ht="15" customHeight="1" x14ac:dyDescent="0.2">
      <c r="A9" s="52">
        <f t="shared" si="0"/>
        <v>3</v>
      </c>
      <c r="B9" s="52">
        <v>2006</v>
      </c>
      <c r="C9" s="52" t="s">
        <v>191</v>
      </c>
      <c r="D9" s="52" t="s">
        <v>199</v>
      </c>
      <c r="E9" s="34">
        <v>2500</v>
      </c>
      <c r="F9" s="52" t="s">
        <v>228</v>
      </c>
      <c r="G9" s="52" t="s">
        <v>144</v>
      </c>
      <c r="H9" s="52" t="s">
        <v>299</v>
      </c>
      <c r="I9" s="52" t="s">
        <v>101</v>
      </c>
      <c r="J9" s="52" t="s">
        <v>201</v>
      </c>
      <c r="K9" s="69"/>
      <c r="L9" s="75"/>
    </row>
    <row r="10" spans="1:12" s="57" customFormat="1" ht="15" customHeight="1" x14ac:dyDescent="0.2">
      <c r="A10" s="52">
        <f t="shared" si="0"/>
        <v>4</v>
      </c>
      <c r="B10" s="52">
        <v>2006</v>
      </c>
      <c r="C10" s="52" t="s">
        <v>191</v>
      </c>
      <c r="D10" s="52" t="s">
        <v>199</v>
      </c>
      <c r="E10" s="34">
        <v>1390</v>
      </c>
      <c r="F10" s="52" t="s">
        <v>3197</v>
      </c>
      <c r="G10" s="52" t="s">
        <v>144</v>
      </c>
      <c r="H10" s="52" t="s">
        <v>299</v>
      </c>
      <c r="I10" s="52" t="s">
        <v>63</v>
      </c>
      <c r="J10" s="52" t="s">
        <v>201</v>
      </c>
      <c r="K10" s="69"/>
      <c r="L10" s="75"/>
    </row>
    <row r="11" spans="1:12" s="57" customFormat="1" ht="15" customHeight="1" x14ac:dyDescent="0.2">
      <c r="A11" s="52">
        <f t="shared" si="0"/>
        <v>5</v>
      </c>
      <c r="B11" s="52">
        <v>2006</v>
      </c>
      <c r="C11" s="52" t="s">
        <v>191</v>
      </c>
      <c r="D11" s="52" t="s">
        <v>269</v>
      </c>
      <c r="E11" s="34">
        <v>140</v>
      </c>
      <c r="F11" s="52" t="s">
        <v>3198</v>
      </c>
      <c r="G11" s="52" t="s">
        <v>154</v>
      </c>
      <c r="H11" s="52" t="s">
        <v>271</v>
      </c>
      <c r="I11" s="52" t="s">
        <v>85</v>
      </c>
      <c r="J11" s="52" t="s">
        <v>195</v>
      </c>
      <c r="K11" s="69"/>
      <c r="L11" s="75"/>
    </row>
    <row r="12" spans="1:12" s="57" customFormat="1" ht="15" customHeight="1" x14ac:dyDescent="0.2">
      <c r="A12" s="52">
        <f t="shared" si="0"/>
        <v>6</v>
      </c>
      <c r="B12" s="52">
        <v>2006</v>
      </c>
      <c r="C12" s="52" t="s">
        <v>202</v>
      </c>
      <c r="D12" s="52" t="s">
        <v>185</v>
      </c>
      <c r="E12" s="34">
        <v>16000</v>
      </c>
      <c r="F12" s="52"/>
      <c r="G12" s="52" t="s">
        <v>144</v>
      </c>
      <c r="H12" s="52" t="s">
        <v>299</v>
      </c>
      <c r="I12" s="52" t="s">
        <v>54</v>
      </c>
      <c r="J12" s="52" t="s">
        <v>201</v>
      </c>
      <c r="K12" s="69" t="s">
        <v>178</v>
      </c>
      <c r="L12" s="75"/>
    </row>
    <row r="13" spans="1:12" s="57" customFormat="1" ht="15" customHeight="1" x14ac:dyDescent="0.2">
      <c r="A13" s="52">
        <f t="shared" si="0"/>
        <v>7</v>
      </c>
      <c r="B13" s="52">
        <v>2006</v>
      </c>
      <c r="C13" s="52" t="s">
        <v>207</v>
      </c>
      <c r="D13" s="56" t="s">
        <v>285</v>
      </c>
      <c r="E13" s="34">
        <v>190</v>
      </c>
      <c r="F13" s="52"/>
      <c r="G13" s="52" t="s">
        <v>144</v>
      </c>
      <c r="H13" s="52" t="s">
        <v>197</v>
      </c>
      <c r="I13" s="52" t="s">
        <v>23</v>
      </c>
      <c r="J13" s="52" t="s">
        <v>183</v>
      </c>
      <c r="K13" s="69"/>
      <c r="L13" s="75"/>
    </row>
    <row r="14" spans="1:12" s="57" customFormat="1" ht="15" customHeight="1" x14ac:dyDescent="0.2">
      <c r="A14" s="52">
        <f t="shared" si="0"/>
        <v>8</v>
      </c>
      <c r="B14" s="52">
        <v>2006</v>
      </c>
      <c r="C14" s="52" t="s">
        <v>240</v>
      </c>
      <c r="D14" s="52" t="s">
        <v>449</v>
      </c>
      <c r="E14" s="34">
        <v>7450</v>
      </c>
      <c r="F14" s="52"/>
      <c r="G14" s="52" t="s">
        <v>154</v>
      </c>
      <c r="H14" s="52" t="s">
        <v>529</v>
      </c>
      <c r="I14" s="52" t="s">
        <v>89</v>
      </c>
      <c r="J14" s="52" t="s">
        <v>219</v>
      </c>
      <c r="K14" s="69"/>
      <c r="L14" s="75"/>
    </row>
    <row r="15" spans="1:12" s="57" customFormat="1" ht="15" customHeight="1" x14ac:dyDescent="0.2">
      <c r="A15" s="52">
        <f t="shared" si="0"/>
        <v>9</v>
      </c>
      <c r="B15" s="52">
        <v>2006</v>
      </c>
      <c r="C15" s="52" t="s">
        <v>240</v>
      </c>
      <c r="D15" s="52" t="s">
        <v>267</v>
      </c>
      <c r="E15" s="34">
        <v>790</v>
      </c>
      <c r="F15" s="52" t="s">
        <v>3199</v>
      </c>
      <c r="G15" s="52" t="s">
        <v>149</v>
      </c>
      <c r="H15" s="52" t="s">
        <v>238</v>
      </c>
      <c r="I15" s="52" t="s">
        <v>136</v>
      </c>
      <c r="J15" s="52" t="s">
        <v>183</v>
      </c>
      <c r="K15" s="69" t="s">
        <v>178</v>
      </c>
      <c r="L15" s="75"/>
    </row>
    <row r="16" spans="1:12" s="57" customFormat="1" ht="15" customHeight="1" x14ac:dyDescent="0.2">
      <c r="A16" s="52">
        <f t="shared" si="0"/>
        <v>10</v>
      </c>
      <c r="B16" s="52">
        <v>2006</v>
      </c>
      <c r="C16" s="52" t="s">
        <v>212</v>
      </c>
      <c r="D16" s="52" t="s">
        <v>305</v>
      </c>
      <c r="E16" s="34">
        <v>1000</v>
      </c>
      <c r="F16" s="52" t="s">
        <v>3200</v>
      </c>
      <c r="G16" s="52" t="s">
        <v>149</v>
      </c>
      <c r="H16" s="52" t="s">
        <v>182</v>
      </c>
      <c r="I16" s="52" t="s">
        <v>97</v>
      </c>
      <c r="J16" s="52" t="s">
        <v>183</v>
      </c>
      <c r="K16" s="69" t="s">
        <v>178</v>
      </c>
      <c r="L16" s="75"/>
    </row>
    <row r="17" spans="1:13" s="57" customFormat="1" ht="15" customHeight="1" x14ac:dyDescent="0.2">
      <c r="A17" s="52">
        <f t="shared" si="0"/>
        <v>11</v>
      </c>
      <c r="B17" s="52">
        <v>2007</v>
      </c>
      <c r="C17" s="52" t="s">
        <v>172</v>
      </c>
      <c r="D17" s="52" t="s">
        <v>175</v>
      </c>
      <c r="E17" s="34">
        <v>500</v>
      </c>
      <c r="F17" s="52"/>
      <c r="G17" s="52" t="s">
        <v>149</v>
      </c>
      <c r="H17" s="52"/>
      <c r="I17" s="52" t="s">
        <v>31</v>
      </c>
      <c r="J17" s="52" t="s">
        <v>177</v>
      </c>
      <c r="K17" s="69"/>
      <c r="L17" s="75"/>
    </row>
    <row r="18" spans="1:13" s="57" customFormat="1" ht="15" customHeight="1" x14ac:dyDescent="0.2">
      <c r="A18" s="52">
        <f t="shared" si="0"/>
        <v>12</v>
      </c>
      <c r="B18" s="52">
        <v>2007</v>
      </c>
      <c r="C18" s="52" t="s">
        <v>179</v>
      </c>
      <c r="D18" s="52" t="s">
        <v>189</v>
      </c>
      <c r="E18" s="34">
        <v>3400</v>
      </c>
      <c r="F18" s="52" t="s">
        <v>227</v>
      </c>
      <c r="G18" s="52" t="s">
        <v>144</v>
      </c>
      <c r="H18" s="52" t="s">
        <v>187</v>
      </c>
      <c r="I18" s="52" t="s">
        <v>6</v>
      </c>
      <c r="J18" s="52" t="s">
        <v>219</v>
      </c>
      <c r="K18" s="69" t="s">
        <v>178</v>
      </c>
      <c r="L18" s="75"/>
    </row>
    <row r="19" spans="1:13" s="52" customFormat="1" ht="15" customHeight="1" x14ac:dyDescent="0.2">
      <c r="A19" s="52">
        <f t="shared" si="0"/>
        <v>13</v>
      </c>
      <c r="B19" s="52">
        <v>2007</v>
      </c>
      <c r="C19" s="52" t="s">
        <v>184</v>
      </c>
      <c r="D19" s="52" t="s">
        <v>189</v>
      </c>
      <c r="E19" s="34">
        <v>110</v>
      </c>
      <c r="F19" s="52" t="s">
        <v>3201</v>
      </c>
      <c r="G19" s="52" t="s">
        <v>144</v>
      </c>
      <c r="H19" s="52" t="s">
        <v>187</v>
      </c>
      <c r="I19" s="52" t="s">
        <v>134</v>
      </c>
      <c r="J19" s="52" t="s">
        <v>201</v>
      </c>
      <c r="K19" s="69"/>
      <c r="L19" s="75"/>
    </row>
    <row r="20" spans="1:13" s="57" customFormat="1" ht="15" customHeight="1" x14ac:dyDescent="0.2">
      <c r="A20" s="52">
        <f t="shared" si="0"/>
        <v>14</v>
      </c>
      <c r="B20" s="52">
        <v>2007</v>
      </c>
      <c r="C20" s="52" t="s">
        <v>184</v>
      </c>
      <c r="D20" s="52" t="s">
        <v>2402</v>
      </c>
      <c r="E20" s="34">
        <v>1440</v>
      </c>
      <c r="F20" s="52"/>
      <c r="G20" s="52" t="s">
        <v>144</v>
      </c>
      <c r="H20" s="52" t="s">
        <v>197</v>
      </c>
      <c r="I20" s="52" t="s">
        <v>89</v>
      </c>
      <c r="J20" s="52" t="s">
        <v>219</v>
      </c>
      <c r="K20" s="69"/>
      <c r="L20" s="75"/>
      <c r="M20" s="56"/>
    </row>
    <row r="21" spans="1:13" s="52" customFormat="1" ht="15" customHeight="1" x14ac:dyDescent="0.2">
      <c r="A21" s="52">
        <f t="shared" si="0"/>
        <v>15</v>
      </c>
      <c r="B21" s="52">
        <v>2007</v>
      </c>
      <c r="C21" s="52" t="s">
        <v>184</v>
      </c>
      <c r="D21" s="52" t="s">
        <v>477</v>
      </c>
      <c r="E21" s="34">
        <v>1000</v>
      </c>
      <c r="G21" s="52" t="s">
        <v>148</v>
      </c>
      <c r="I21" s="52" t="s">
        <v>136</v>
      </c>
      <c r="J21" s="52" t="s">
        <v>183</v>
      </c>
      <c r="K21" s="69"/>
      <c r="L21" s="75"/>
    </row>
    <row r="22" spans="1:13" s="57" customFormat="1" ht="15" customHeight="1" x14ac:dyDescent="0.2">
      <c r="A22" s="52">
        <f t="shared" si="0"/>
        <v>16</v>
      </c>
      <c r="B22" s="52">
        <v>2007</v>
      </c>
      <c r="C22" s="52" t="s">
        <v>225</v>
      </c>
      <c r="D22" s="52" t="s">
        <v>1852</v>
      </c>
      <c r="E22" s="34">
        <v>300</v>
      </c>
      <c r="F22" s="52" t="s">
        <v>3202</v>
      </c>
      <c r="G22" s="52" t="s">
        <v>152</v>
      </c>
      <c r="H22" s="52"/>
      <c r="I22" s="52" t="s">
        <v>42</v>
      </c>
      <c r="J22" s="52" t="s">
        <v>195</v>
      </c>
      <c r="K22" s="69"/>
      <c r="L22" s="75"/>
    </row>
    <row r="23" spans="1:13" s="57" customFormat="1" ht="15" customHeight="1" x14ac:dyDescent="0.2">
      <c r="A23" s="52">
        <f t="shared" si="0"/>
        <v>17</v>
      </c>
      <c r="B23" s="52">
        <v>2007</v>
      </c>
      <c r="C23" s="52" t="s">
        <v>188</v>
      </c>
      <c r="D23" s="52" t="s">
        <v>185</v>
      </c>
      <c r="E23" s="34">
        <v>370</v>
      </c>
      <c r="F23" s="52" t="s">
        <v>367</v>
      </c>
      <c r="G23" s="52" t="s">
        <v>144</v>
      </c>
      <c r="H23" s="52" t="s">
        <v>299</v>
      </c>
      <c r="I23" s="52" t="s">
        <v>53</v>
      </c>
      <c r="J23" s="52" t="s">
        <v>183</v>
      </c>
      <c r="K23" s="69"/>
      <c r="L23" s="75"/>
    </row>
    <row r="24" spans="1:13" s="57" customFormat="1" ht="15" customHeight="1" x14ac:dyDescent="0.2">
      <c r="A24" s="52">
        <f t="shared" si="0"/>
        <v>18</v>
      </c>
      <c r="B24" s="52">
        <v>2007</v>
      </c>
      <c r="C24" s="52" t="s">
        <v>202</v>
      </c>
      <c r="D24" s="52" t="s">
        <v>3203</v>
      </c>
      <c r="E24" s="34">
        <v>4130</v>
      </c>
      <c r="F24" s="52"/>
      <c r="G24" s="52" t="s">
        <v>142</v>
      </c>
      <c r="H24" s="52"/>
      <c r="I24" s="52" t="s">
        <v>97</v>
      </c>
      <c r="J24" s="52" t="s">
        <v>183</v>
      </c>
      <c r="K24" s="69" t="s">
        <v>178</v>
      </c>
      <c r="L24" s="75"/>
    </row>
    <row r="25" spans="1:13" s="57" customFormat="1" ht="15" customHeight="1" x14ac:dyDescent="0.2">
      <c r="A25" s="52">
        <f t="shared" si="0"/>
        <v>19</v>
      </c>
      <c r="B25" s="52">
        <v>2007</v>
      </c>
      <c r="C25" s="52" t="s">
        <v>202</v>
      </c>
      <c r="D25" s="52" t="s">
        <v>3204</v>
      </c>
      <c r="E25" s="34">
        <v>300</v>
      </c>
      <c r="F25" s="52"/>
      <c r="G25" s="52" t="s">
        <v>154</v>
      </c>
      <c r="H25" s="52" t="s">
        <v>194</v>
      </c>
      <c r="I25" s="52" t="s">
        <v>77</v>
      </c>
      <c r="J25" s="52" t="s">
        <v>177</v>
      </c>
      <c r="K25" s="69" t="s">
        <v>178</v>
      </c>
      <c r="L25" s="75"/>
    </row>
    <row r="26" spans="1:13" s="57" customFormat="1" ht="15" customHeight="1" x14ac:dyDescent="0.2">
      <c r="A26" s="52">
        <f t="shared" si="0"/>
        <v>20</v>
      </c>
      <c r="B26" s="52">
        <v>2007</v>
      </c>
      <c r="C26" s="52" t="s">
        <v>207</v>
      </c>
      <c r="D26" s="52" t="s">
        <v>241</v>
      </c>
      <c r="E26" s="34">
        <v>980</v>
      </c>
      <c r="F26" s="52" t="s">
        <v>274</v>
      </c>
      <c r="G26" s="52" t="s">
        <v>146</v>
      </c>
      <c r="H26" s="52" t="s">
        <v>275</v>
      </c>
      <c r="I26" s="52" t="s">
        <v>20</v>
      </c>
      <c r="J26" s="52" t="s">
        <v>195</v>
      </c>
      <c r="K26" s="69"/>
      <c r="L26" s="75"/>
    </row>
    <row r="27" spans="1:13" s="57" customFormat="1" ht="15" customHeight="1" x14ac:dyDescent="0.2">
      <c r="A27" s="52">
        <f t="shared" si="0"/>
        <v>21</v>
      </c>
      <c r="B27" s="52">
        <v>2007</v>
      </c>
      <c r="C27" s="52" t="s">
        <v>240</v>
      </c>
      <c r="D27" s="52" t="s">
        <v>3205</v>
      </c>
      <c r="E27" s="34">
        <v>1750</v>
      </c>
      <c r="F27" s="52" t="s">
        <v>3206</v>
      </c>
      <c r="G27" s="52" t="s">
        <v>144</v>
      </c>
      <c r="H27" s="52" t="s">
        <v>232</v>
      </c>
      <c r="I27" s="52" t="s">
        <v>108</v>
      </c>
      <c r="J27" s="52" t="s">
        <v>183</v>
      </c>
      <c r="K27" s="69"/>
      <c r="L27" s="75"/>
    </row>
    <row r="28" spans="1:13" s="57" customFormat="1" ht="15" customHeight="1" x14ac:dyDescent="0.2">
      <c r="A28" s="52">
        <f t="shared" si="0"/>
        <v>22</v>
      </c>
      <c r="B28" s="52">
        <v>2007</v>
      </c>
      <c r="C28" s="52" t="s">
        <v>240</v>
      </c>
      <c r="D28" s="52" t="s">
        <v>289</v>
      </c>
      <c r="E28" s="34">
        <v>2520</v>
      </c>
      <c r="F28" s="52"/>
      <c r="G28" s="52" t="s">
        <v>149</v>
      </c>
      <c r="H28" s="52" t="s">
        <v>236</v>
      </c>
      <c r="I28" s="52" t="s">
        <v>4</v>
      </c>
      <c r="J28" s="52" t="s">
        <v>201</v>
      </c>
      <c r="K28" s="69" t="s">
        <v>178</v>
      </c>
      <c r="L28" s="75"/>
    </row>
    <row r="29" spans="1:13" s="57" customFormat="1" ht="15" customHeight="1" x14ac:dyDescent="0.2">
      <c r="A29" s="52">
        <f t="shared" si="0"/>
        <v>23</v>
      </c>
      <c r="B29" s="52">
        <v>2007</v>
      </c>
      <c r="C29" s="52" t="s">
        <v>212</v>
      </c>
      <c r="D29" s="52" t="s">
        <v>210</v>
      </c>
      <c r="E29" s="34">
        <v>1310</v>
      </c>
      <c r="F29" s="52" t="s">
        <v>3207</v>
      </c>
      <c r="G29" s="52" t="s">
        <v>142</v>
      </c>
      <c r="H29" s="52"/>
      <c r="I29" s="52" t="s">
        <v>9</v>
      </c>
      <c r="J29" s="52" t="s">
        <v>9</v>
      </c>
      <c r="K29" s="69"/>
      <c r="L29" s="75"/>
    </row>
    <row r="30" spans="1:13" s="57" customFormat="1" ht="15" customHeight="1" x14ac:dyDescent="0.2">
      <c r="A30" s="52">
        <f t="shared" si="0"/>
        <v>24</v>
      </c>
      <c r="B30" s="52">
        <v>2008</v>
      </c>
      <c r="C30" s="52" t="s">
        <v>172</v>
      </c>
      <c r="D30" s="52" t="s">
        <v>241</v>
      </c>
      <c r="E30" s="34">
        <v>2000</v>
      </c>
      <c r="F30" s="52" t="s">
        <v>3208</v>
      </c>
      <c r="G30" s="52" t="s">
        <v>146</v>
      </c>
      <c r="H30" s="52" t="s">
        <v>275</v>
      </c>
      <c r="I30" s="52" t="s">
        <v>131</v>
      </c>
      <c r="J30" s="52" t="s">
        <v>131</v>
      </c>
      <c r="K30" s="69"/>
      <c r="L30" s="75"/>
    </row>
    <row r="31" spans="1:13" s="57" customFormat="1" ht="15" customHeight="1" x14ac:dyDescent="0.2">
      <c r="A31" s="52">
        <f t="shared" si="0"/>
        <v>25</v>
      </c>
      <c r="B31" s="52">
        <v>2008</v>
      </c>
      <c r="C31" s="52" t="s">
        <v>258</v>
      </c>
      <c r="D31" s="52" t="s">
        <v>543</v>
      </c>
      <c r="E31" s="34">
        <v>300</v>
      </c>
      <c r="F31" s="52"/>
      <c r="G31" s="52" t="s">
        <v>152</v>
      </c>
      <c r="H31" s="52" t="s">
        <v>257</v>
      </c>
      <c r="I31" s="52" t="s">
        <v>97</v>
      </c>
      <c r="J31" s="52" t="s">
        <v>183</v>
      </c>
      <c r="K31" s="69"/>
      <c r="L31" s="75"/>
    </row>
    <row r="32" spans="1:13" s="57" customFormat="1" ht="15" customHeight="1" x14ac:dyDescent="0.2">
      <c r="A32" s="52">
        <f t="shared" si="0"/>
        <v>26</v>
      </c>
      <c r="B32" s="52">
        <v>2008</v>
      </c>
      <c r="C32" s="52" t="s">
        <v>179</v>
      </c>
      <c r="D32" s="52" t="s">
        <v>530</v>
      </c>
      <c r="E32" s="34">
        <v>600</v>
      </c>
      <c r="F32" s="52" t="s">
        <v>3209</v>
      </c>
      <c r="G32" s="52" t="s">
        <v>152</v>
      </c>
      <c r="H32" s="52" t="s">
        <v>257</v>
      </c>
      <c r="I32" s="52" t="s">
        <v>131</v>
      </c>
      <c r="J32" s="52" t="s">
        <v>131</v>
      </c>
      <c r="K32" s="69"/>
      <c r="L32" s="75"/>
    </row>
    <row r="33" spans="1:12" s="57" customFormat="1" ht="15" customHeight="1" x14ac:dyDescent="0.2">
      <c r="A33" s="52">
        <f t="shared" si="0"/>
        <v>27</v>
      </c>
      <c r="B33" s="52">
        <v>2008</v>
      </c>
      <c r="C33" s="52" t="s">
        <v>179</v>
      </c>
      <c r="D33" s="52" t="s">
        <v>221</v>
      </c>
      <c r="E33" s="34">
        <v>1000</v>
      </c>
      <c r="F33" s="52" t="s">
        <v>3210</v>
      </c>
      <c r="G33" s="52" t="s">
        <v>146</v>
      </c>
      <c r="H33" s="52" t="s">
        <v>253</v>
      </c>
      <c r="I33" s="52" t="s">
        <v>131</v>
      </c>
      <c r="J33" s="52" t="s">
        <v>131</v>
      </c>
      <c r="K33" s="69"/>
      <c r="L33" s="75"/>
    </row>
    <row r="34" spans="1:12" s="57" customFormat="1" ht="15" customHeight="1" x14ac:dyDescent="0.2">
      <c r="A34" s="52">
        <f t="shared" si="0"/>
        <v>28</v>
      </c>
      <c r="B34" s="52">
        <v>2008</v>
      </c>
      <c r="C34" s="52" t="s">
        <v>184</v>
      </c>
      <c r="D34" s="52" t="s">
        <v>3211</v>
      </c>
      <c r="E34" s="34">
        <v>300</v>
      </c>
      <c r="F34" s="52" t="s">
        <v>3212</v>
      </c>
      <c r="G34" s="52" t="s">
        <v>152</v>
      </c>
      <c r="H34" s="52"/>
      <c r="I34" s="52" t="s">
        <v>131</v>
      </c>
      <c r="J34" s="52" t="s">
        <v>131</v>
      </c>
      <c r="K34" s="69"/>
      <c r="L34" s="75"/>
    </row>
    <row r="35" spans="1:12" s="57" customFormat="1" ht="15" customHeight="1" x14ac:dyDescent="0.2">
      <c r="A35" s="52">
        <f t="shared" si="0"/>
        <v>29</v>
      </c>
      <c r="B35" s="52">
        <v>2008</v>
      </c>
      <c r="C35" s="52" t="s">
        <v>184</v>
      </c>
      <c r="D35" s="52" t="s">
        <v>359</v>
      </c>
      <c r="E35" s="34">
        <v>360</v>
      </c>
      <c r="F35" s="52" t="s">
        <v>3213</v>
      </c>
      <c r="G35" s="52" t="s">
        <v>149</v>
      </c>
      <c r="H35" s="52" t="s">
        <v>182</v>
      </c>
      <c r="I35" s="52" t="s">
        <v>9</v>
      </c>
      <c r="J35" s="52" t="s">
        <v>9</v>
      </c>
      <c r="K35" s="69"/>
      <c r="L35" s="75"/>
    </row>
    <row r="36" spans="1:12" s="57" customFormat="1" ht="15" customHeight="1" x14ac:dyDescent="0.2">
      <c r="A36" s="52">
        <f t="shared" si="0"/>
        <v>30</v>
      </c>
      <c r="B36" s="52">
        <v>2008</v>
      </c>
      <c r="C36" s="52" t="s">
        <v>202</v>
      </c>
      <c r="D36" s="52" t="s">
        <v>300</v>
      </c>
      <c r="E36" s="34">
        <v>100</v>
      </c>
      <c r="F36" s="52" t="s">
        <v>333</v>
      </c>
      <c r="G36" s="52" t="s">
        <v>146</v>
      </c>
      <c r="H36" s="52" t="s">
        <v>275</v>
      </c>
      <c r="I36" s="52" t="s">
        <v>131</v>
      </c>
      <c r="J36" s="52" t="s">
        <v>131</v>
      </c>
      <c r="K36" s="69"/>
      <c r="L36" s="75"/>
    </row>
    <row r="37" spans="1:12" s="57" customFormat="1" ht="15" customHeight="1" x14ac:dyDescent="0.2">
      <c r="A37" s="52">
        <f t="shared" si="0"/>
        <v>31</v>
      </c>
      <c r="B37" s="52">
        <v>2008</v>
      </c>
      <c r="C37" s="52" t="s">
        <v>202</v>
      </c>
      <c r="D37" s="52" t="s">
        <v>241</v>
      </c>
      <c r="E37" s="34">
        <v>13900</v>
      </c>
      <c r="F37" s="52" t="s">
        <v>3214</v>
      </c>
      <c r="G37" s="52" t="s">
        <v>146</v>
      </c>
      <c r="H37" s="52" t="s">
        <v>275</v>
      </c>
      <c r="I37" s="52" t="s">
        <v>45</v>
      </c>
      <c r="J37" s="52" t="s">
        <v>195</v>
      </c>
      <c r="K37" s="69"/>
      <c r="L37" s="75"/>
    </row>
    <row r="38" spans="1:12" s="57" customFormat="1" ht="16" customHeight="1" x14ac:dyDescent="0.2">
      <c r="A38" s="52">
        <f t="shared" si="0"/>
        <v>32</v>
      </c>
      <c r="B38" s="52">
        <v>2008</v>
      </c>
      <c r="C38" s="52" t="s">
        <v>202</v>
      </c>
      <c r="D38" s="52" t="s">
        <v>175</v>
      </c>
      <c r="E38" s="34">
        <v>1450</v>
      </c>
      <c r="F38" s="52" t="s">
        <v>3215</v>
      </c>
      <c r="G38" s="52" t="s">
        <v>149</v>
      </c>
      <c r="H38" s="52" t="s">
        <v>236</v>
      </c>
      <c r="I38" s="52" t="s">
        <v>27</v>
      </c>
      <c r="J38" s="52" t="s">
        <v>205</v>
      </c>
      <c r="K38" s="69"/>
      <c r="L38" s="75"/>
    </row>
    <row r="39" spans="1:12" s="57" customFormat="1" ht="15" customHeight="1" x14ac:dyDescent="0.2">
      <c r="A39" s="52">
        <f t="shared" si="0"/>
        <v>33</v>
      </c>
      <c r="B39" s="52">
        <v>2008</v>
      </c>
      <c r="C39" s="52" t="s">
        <v>202</v>
      </c>
      <c r="D39" s="52" t="s">
        <v>286</v>
      </c>
      <c r="E39" s="34">
        <v>3000</v>
      </c>
      <c r="F39" s="52" t="s">
        <v>287</v>
      </c>
      <c r="G39" s="52" t="s">
        <v>146</v>
      </c>
      <c r="H39" s="52"/>
      <c r="I39" s="52" t="s">
        <v>15</v>
      </c>
      <c r="J39" s="52" t="s">
        <v>195</v>
      </c>
      <c r="K39" s="69"/>
      <c r="L39" s="75"/>
    </row>
    <row r="40" spans="1:12" s="57" customFormat="1" ht="15" customHeight="1" x14ac:dyDescent="0.2">
      <c r="A40" s="52">
        <f t="shared" si="0"/>
        <v>34</v>
      </c>
      <c r="B40" s="52">
        <v>2008</v>
      </c>
      <c r="C40" s="52" t="s">
        <v>202</v>
      </c>
      <c r="D40" s="52" t="s">
        <v>696</v>
      </c>
      <c r="E40" s="34">
        <v>1210</v>
      </c>
      <c r="F40" s="52" t="s">
        <v>3216</v>
      </c>
      <c r="G40" s="52" t="s">
        <v>144</v>
      </c>
      <c r="H40" s="52" t="s">
        <v>273</v>
      </c>
      <c r="I40" s="52" t="s">
        <v>9</v>
      </c>
      <c r="J40" s="52" t="s">
        <v>9</v>
      </c>
      <c r="K40" s="69" t="s">
        <v>178</v>
      </c>
      <c r="L40" s="75"/>
    </row>
    <row r="41" spans="1:12" s="57" customFormat="1" ht="15" customHeight="1" x14ac:dyDescent="0.2">
      <c r="A41" s="52">
        <f t="shared" si="0"/>
        <v>35</v>
      </c>
      <c r="B41" s="52">
        <v>2008</v>
      </c>
      <c r="C41" s="52" t="s">
        <v>240</v>
      </c>
      <c r="D41" s="52" t="s">
        <v>286</v>
      </c>
      <c r="E41" s="34">
        <v>2360</v>
      </c>
      <c r="F41" s="52" t="s">
        <v>287</v>
      </c>
      <c r="G41" s="52" t="s">
        <v>146</v>
      </c>
      <c r="H41" s="52" t="s">
        <v>3217</v>
      </c>
      <c r="I41" s="52" t="s">
        <v>15</v>
      </c>
      <c r="J41" s="52" t="s">
        <v>195</v>
      </c>
      <c r="K41" s="69"/>
      <c r="L41" s="75"/>
    </row>
    <row r="42" spans="1:12" s="57" customFormat="1" ht="15" customHeight="1" x14ac:dyDescent="0.2">
      <c r="A42" s="52">
        <f t="shared" si="0"/>
        <v>36</v>
      </c>
      <c r="B42" s="52">
        <v>2008</v>
      </c>
      <c r="C42" s="52" t="s">
        <v>212</v>
      </c>
      <c r="D42" s="52" t="s">
        <v>815</v>
      </c>
      <c r="E42" s="34">
        <v>2570</v>
      </c>
      <c r="F42" s="52" t="s">
        <v>2405</v>
      </c>
      <c r="G42" s="52" t="s">
        <v>151</v>
      </c>
      <c r="H42" s="52" t="s">
        <v>279</v>
      </c>
      <c r="I42" s="52" t="s">
        <v>89</v>
      </c>
      <c r="J42" s="52" t="s">
        <v>219</v>
      </c>
      <c r="K42" s="69"/>
      <c r="L42" s="75"/>
    </row>
    <row r="43" spans="1:12" s="57" customFormat="1" ht="15" customHeight="1" x14ac:dyDescent="0.2">
      <c r="A43" s="52">
        <f t="shared" si="0"/>
        <v>37</v>
      </c>
      <c r="B43" s="52">
        <v>2009</v>
      </c>
      <c r="C43" s="52" t="s">
        <v>172</v>
      </c>
      <c r="D43" s="52" t="s">
        <v>559</v>
      </c>
      <c r="E43" s="34">
        <v>1400</v>
      </c>
      <c r="F43" s="52"/>
      <c r="G43" s="52" t="s">
        <v>149</v>
      </c>
      <c r="H43" s="52" t="s">
        <v>236</v>
      </c>
      <c r="I43" s="52" t="s">
        <v>96</v>
      </c>
      <c r="J43" s="52" t="s">
        <v>205</v>
      </c>
      <c r="K43" s="69" t="s">
        <v>178</v>
      </c>
      <c r="L43" s="75"/>
    </row>
    <row r="44" spans="1:12" s="57" customFormat="1" ht="15" customHeight="1" x14ac:dyDescent="0.2">
      <c r="A44" s="52">
        <f t="shared" si="0"/>
        <v>38</v>
      </c>
      <c r="B44" s="52">
        <v>2009</v>
      </c>
      <c r="C44" s="52" t="s">
        <v>172</v>
      </c>
      <c r="D44" s="52" t="s">
        <v>405</v>
      </c>
      <c r="E44" s="34">
        <v>2880</v>
      </c>
      <c r="F44" s="52" t="s">
        <v>3218</v>
      </c>
      <c r="G44" s="52" t="s">
        <v>149</v>
      </c>
      <c r="H44" s="52" t="s">
        <v>182</v>
      </c>
      <c r="I44" s="52" t="s">
        <v>19</v>
      </c>
      <c r="J44" s="52" t="s">
        <v>205</v>
      </c>
      <c r="K44" s="69" t="s">
        <v>178</v>
      </c>
      <c r="L44" s="75"/>
    </row>
    <row r="45" spans="1:12" s="57" customFormat="1" ht="15" customHeight="1" x14ac:dyDescent="0.2">
      <c r="A45" s="52">
        <f t="shared" si="0"/>
        <v>39</v>
      </c>
      <c r="B45" s="52">
        <v>2009</v>
      </c>
      <c r="C45" s="52" t="s">
        <v>172</v>
      </c>
      <c r="D45" s="52" t="s">
        <v>416</v>
      </c>
      <c r="E45" s="34">
        <v>520</v>
      </c>
      <c r="F45" s="76"/>
      <c r="G45" s="52" t="s">
        <v>154</v>
      </c>
      <c r="H45" s="52" t="s">
        <v>194</v>
      </c>
      <c r="I45" s="52" t="s">
        <v>113</v>
      </c>
      <c r="J45" s="52" t="s">
        <v>183</v>
      </c>
      <c r="K45" s="69"/>
      <c r="L45" s="75"/>
    </row>
    <row r="46" spans="1:12" s="57" customFormat="1" ht="15" customHeight="1" x14ac:dyDescent="0.2">
      <c r="A46" s="52">
        <f t="shared" si="0"/>
        <v>40</v>
      </c>
      <c r="B46" s="52">
        <v>2009</v>
      </c>
      <c r="C46" s="52" t="s">
        <v>258</v>
      </c>
      <c r="D46" s="52" t="s">
        <v>175</v>
      </c>
      <c r="E46" s="34">
        <v>350</v>
      </c>
      <c r="F46" s="52" t="s">
        <v>375</v>
      </c>
      <c r="G46" s="52" t="s">
        <v>149</v>
      </c>
      <c r="H46" s="52"/>
      <c r="I46" s="52" t="s">
        <v>9</v>
      </c>
      <c r="J46" s="52" t="s">
        <v>9</v>
      </c>
      <c r="K46" s="69"/>
      <c r="L46" s="75"/>
    </row>
    <row r="47" spans="1:12" s="57" customFormat="1" ht="15" customHeight="1" x14ac:dyDescent="0.2">
      <c r="A47" s="52">
        <f t="shared" si="0"/>
        <v>41</v>
      </c>
      <c r="B47" s="52">
        <v>2009</v>
      </c>
      <c r="C47" s="52" t="s">
        <v>179</v>
      </c>
      <c r="D47" s="52" t="s">
        <v>2392</v>
      </c>
      <c r="E47" s="34">
        <v>520</v>
      </c>
      <c r="F47" s="52"/>
      <c r="G47" s="52" t="s">
        <v>144</v>
      </c>
      <c r="H47" s="52" t="s">
        <v>299</v>
      </c>
      <c r="I47" s="52" t="s">
        <v>93</v>
      </c>
      <c r="J47" s="52" t="s">
        <v>201</v>
      </c>
      <c r="K47" s="69"/>
      <c r="L47" s="75"/>
    </row>
    <row r="48" spans="1:12" s="57" customFormat="1" ht="15" customHeight="1" x14ac:dyDescent="0.2">
      <c r="A48" s="52">
        <f t="shared" si="0"/>
        <v>42</v>
      </c>
      <c r="B48" s="52">
        <v>2009</v>
      </c>
      <c r="C48" s="52" t="s">
        <v>179</v>
      </c>
      <c r="D48" s="52" t="s">
        <v>3219</v>
      </c>
      <c r="E48" s="34">
        <v>520</v>
      </c>
      <c r="F48" s="52" t="s">
        <v>3220</v>
      </c>
      <c r="G48" s="52" t="s">
        <v>151</v>
      </c>
      <c r="H48" s="52" t="s">
        <v>224</v>
      </c>
      <c r="I48" s="52" t="s">
        <v>61</v>
      </c>
      <c r="J48" s="52" t="s">
        <v>183</v>
      </c>
      <c r="K48" s="69"/>
      <c r="L48" s="75"/>
    </row>
    <row r="49" spans="1:12" s="57" customFormat="1" ht="15" customHeight="1" x14ac:dyDescent="0.2">
      <c r="A49" s="52">
        <f t="shared" si="0"/>
        <v>43</v>
      </c>
      <c r="B49" s="52">
        <v>2009</v>
      </c>
      <c r="C49" s="52" t="s">
        <v>184</v>
      </c>
      <c r="D49" s="52" t="s">
        <v>588</v>
      </c>
      <c r="E49" s="34">
        <v>1480</v>
      </c>
      <c r="F49" s="52" t="s">
        <v>3221</v>
      </c>
      <c r="G49" s="52" t="s">
        <v>142</v>
      </c>
      <c r="H49" s="52"/>
      <c r="I49" s="52" t="s">
        <v>9</v>
      </c>
      <c r="J49" s="52" t="s">
        <v>9</v>
      </c>
      <c r="K49" s="69"/>
      <c r="L49" s="75"/>
    </row>
    <row r="50" spans="1:12" s="57" customFormat="1" ht="15" customHeight="1" x14ac:dyDescent="0.2">
      <c r="A50" s="52">
        <f t="shared" si="0"/>
        <v>44</v>
      </c>
      <c r="B50" s="52">
        <v>2009</v>
      </c>
      <c r="C50" s="52" t="s">
        <v>184</v>
      </c>
      <c r="D50" s="52" t="s">
        <v>208</v>
      </c>
      <c r="E50" s="34">
        <v>1500</v>
      </c>
      <c r="F50" s="52"/>
      <c r="G50" s="52" t="s">
        <v>149</v>
      </c>
      <c r="H50" s="52" t="s">
        <v>182</v>
      </c>
      <c r="I50" s="52" t="s">
        <v>52</v>
      </c>
      <c r="J50" s="52" t="s">
        <v>201</v>
      </c>
      <c r="K50" s="69"/>
      <c r="L50" s="75"/>
    </row>
    <row r="51" spans="1:12" s="57" customFormat="1" ht="15" customHeight="1" x14ac:dyDescent="0.2">
      <c r="A51" s="52">
        <f t="shared" si="0"/>
        <v>45</v>
      </c>
      <c r="B51" s="52">
        <v>2009</v>
      </c>
      <c r="C51" s="52" t="s">
        <v>188</v>
      </c>
      <c r="D51" s="52" t="s">
        <v>267</v>
      </c>
      <c r="E51" s="34">
        <v>19500</v>
      </c>
      <c r="F51" s="52" t="s">
        <v>315</v>
      </c>
      <c r="G51" s="52" t="s">
        <v>149</v>
      </c>
      <c r="H51" s="52" t="s">
        <v>238</v>
      </c>
      <c r="I51" s="52" t="s">
        <v>9</v>
      </c>
      <c r="J51" s="52" t="s">
        <v>9</v>
      </c>
      <c r="K51" s="69"/>
      <c r="L51" s="75"/>
    </row>
    <row r="52" spans="1:12" s="57" customFormat="1" ht="15" customHeight="1" x14ac:dyDescent="0.2">
      <c r="A52" s="52">
        <f t="shared" si="0"/>
        <v>46</v>
      </c>
      <c r="B52" s="52">
        <v>2009</v>
      </c>
      <c r="C52" s="52" t="s">
        <v>198</v>
      </c>
      <c r="D52" s="56" t="s">
        <v>245</v>
      </c>
      <c r="E52" s="34">
        <v>3000</v>
      </c>
      <c r="F52" s="52"/>
      <c r="G52" s="52" t="s">
        <v>149</v>
      </c>
      <c r="H52" s="52"/>
      <c r="I52" s="52" t="s">
        <v>34</v>
      </c>
      <c r="J52" s="52" t="s">
        <v>219</v>
      </c>
      <c r="K52" s="69"/>
      <c r="L52" s="75"/>
    </row>
    <row r="53" spans="1:12" s="57" customFormat="1" ht="15" customHeight="1" x14ac:dyDescent="0.2">
      <c r="A53" s="52">
        <f t="shared" si="0"/>
        <v>47</v>
      </c>
      <c r="B53" s="52">
        <v>2009</v>
      </c>
      <c r="C53" s="52" t="s">
        <v>202</v>
      </c>
      <c r="D53" s="52" t="s">
        <v>199</v>
      </c>
      <c r="E53" s="34">
        <v>460</v>
      </c>
      <c r="F53" s="52" t="s">
        <v>3222</v>
      </c>
      <c r="G53" s="52" t="s">
        <v>144</v>
      </c>
      <c r="H53" s="52" t="s">
        <v>187</v>
      </c>
      <c r="I53" s="52" t="s">
        <v>2421</v>
      </c>
      <c r="J53" s="52" t="s">
        <v>214</v>
      </c>
      <c r="K53" s="69"/>
      <c r="L53" s="75"/>
    </row>
    <row r="54" spans="1:12" s="57" customFormat="1" ht="15" customHeight="1" x14ac:dyDescent="0.2">
      <c r="A54" s="52">
        <f t="shared" si="0"/>
        <v>48</v>
      </c>
      <c r="B54" s="52">
        <v>2009</v>
      </c>
      <c r="C54" s="52" t="s">
        <v>202</v>
      </c>
      <c r="D54" s="52" t="s">
        <v>807</v>
      </c>
      <c r="E54" s="34">
        <v>1300</v>
      </c>
      <c r="F54" s="52" t="s">
        <v>782</v>
      </c>
      <c r="G54" s="52" t="s">
        <v>144</v>
      </c>
      <c r="H54" s="52" t="s">
        <v>187</v>
      </c>
      <c r="I54" s="52" t="s">
        <v>6</v>
      </c>
      <c r="J54" s="52" t="s">
        <v>219</v>
      </c>
      <c r="K54" s="69"/>
      <c r="L54" s="75"/>
    </row>
    <row r="55" spans="1:12" s="52" customFormat="1" ht="15" customHeight="1" x14ac:dyDescent="0.2">
      <c r="A55" s="52">
        <f t="shared" si="0"/>
        <v>49</v>
      </c>
      <c r="B55" s="52">
        <v>2009</v>
      </c>
      <c r="C55" s="52" t="s">
        <v>202</v>
      </c>
      <c r="D55" s="52" t="s">
        <v>244</v>
      </c>
      <c r="E55" s="34">
        <v>220</v>
      </c>
      <c r="F55" s="52" t="s">
        <v>3223</v>
      </c>
      <c r="G55" s="52" t="s">
        <v>149</v>
      </c>
      <c r="I55" s="52" t="s">
        <v>9</v>
      </c>
      <c r="J55" s="52" t="s">
        <v>9</v>
      </c>
      <c r="K55" s="69"/>
      <c r="L55" s="75"/>
    </row>
    <row r="56" spans="1:12" s="52" customFormat="1" ht="15" customHeight="1" x14ac:dyDescent="0.2">
      <c r="A56" s="52">
        <f t="shared" si="0"/>
        <v>50</v>
      </c>
      <c r="B56" s="52">
        <v>2009</v>
      </c>
      <c r="C56" s="52" t="s">
        <v>207</v>
      </c>
      <c r="D56" t="s">
        <v>397</v>
      </c>
      <c r="E56" s="34">
        <v>180</v>
      </c>
      <c r="G56" s="52" t="s">
        <v>154</v>
      </c>
      <c r="H56" s="52" t="s">
        <v>250</v>
      </c>
      <c r="I56" s="52" t="s">
        <v>100</v>
      </c>
      <c r="J56" s="52" t="s">
        <v>214</v>
      </c>
      <c r="K56" s="69"/>
      <c r="L56" s="75"/>
    </row>
    <row r="57" spans="1:12" s="57" customFormat="1" ht="15" customHeight="1" x14ac:dyDescent="0.2">
      <c r="A57" s="52">
        <f t="shared" si="0"/>
        <v>51</v>
      </c>
      <c r="B57" s="52">
        <v>2009</v>
      </c>
      <c r="C57" s="52" t="s">
        <v>240</v>
      </c>
      <c r="D57" s="52" t="s">
        <v>3224</v>
      </c>
      <c r="E57" s="34">
        <v>120</v>
      </c>
      <c r="F57" s="52" t="s">
        <v>3225</v>
      </c>
      <c r="G57" s="52" t="s">
        <v>146</v>
      </c>
      <c r="H57" s="52" t="s">
        <v>275</v>
      </c>
      <c r="I57" s="52" t="s">
        <v>131</v>
      </c>
      <c r="J57" s="52" t="s">
        <v>131</v>
      </c>
      <c r="K57" s="69"/>
      <c r="L57" s="75"/>
    </row>
    <row r="58" spans="1:12" s="57" customFormat="1" ht="15" customHeight="1" x14ac:dyDescent="0.2">
      <c r="A58" s="52">
        <f t="shared" si="0"/>
        <v>52</v>
      </c>
      <c r="B58" s="52">
        <v>2009</v>
      </c>
      <c r="C58" s="52" t="s">
        <v>240</v>
      </c>
      <c r="D58" s="52" t="s">
        <v>3226</v>
      </c>
      <c r="E58" s="34">
        <v>900</v>
      </c>
      <c r="F58" s="52" t="s">
        <v>3227</v>
      </c>
      <c r="G58" s="52" t="s">
        <v>144</v>
      </c>
      <c r="H58" s="52" t="s">
        <v>232</v>
      </c>
      <c r="I58" s="52" t="s">
        <v>131</v>
      </c>
      <c r="J58" s="52" t="s">
        <v>131</v>
      </c>
      <c r="K58" s="69" t="s">
        <v>178</v>
      </c>
      <c r="L58" s="75"/>
    </row>
    <row r="59" spans="1:12" s="57" customFormat="1" ht="15" customHeight="1" x14ac:dyDescent="0.2">
      <c r="A59" s="52">
        <f t="shared" si="0"/>
        <v>53</v>
      </c>
      <c r="B59" s="52">
        <v>2009</v>
      </c>
      <c r="C59" s="52" t="s">
        <v>212</v>
      </c>
      <c r="D59" s="52" t="s">
        <v>221</v>
      </c>
      <c r="E59" s="34">
        <v>140</v>
      </c>
      <c r="F59" s="52" t="s">
        <v>700</v>
      </c>
      <c r="G59" s="52" t="s">
        <v>149</v>
      </c>
      <c r="H59" s="52" t="s">
        <v>182</v>
      </c>
      <c r="I59" s="52" t="s">
        <v>19</v>
      </c>
      <c r="J59" s="52" t="s">
        <v>205</v>
      </c>
      <c r="K59" s="69"/>
      <c r="L59" s="75"/>
    </row>
    <row r="60" spans="1:12" s="57" customFormat="1" ht="15" customHeight="1" x14ac:dyDescent="0.2">
      <c r="A60" s="52">
        <f t="shared" si="0"/>
        <v>54</v>
      </c>
      <c r="B60" s="52">
        <v>2009</v>
      </c>
      <c r="C60" s="52" t="s">
        <v>212</v>
      </c>
      <c r="D60" s="52" t="s">
        <v>2464</v>
      </c>
      <c r="E60" s="34">
        <v>330</v>
      </c>
      <c r="F60" s="52"/>
      <c r="G60" s="52" t="s">
        <v>145</v>
      </c>
      <c r="H60" s="52"/>
      <c r="I60" s="52" t="s">
        <v>5</v>
      </c>
      <c r="J60" s="52" t="s">
        <v>214</v>
      </c>
      <c r="K60" s="69"/>
      <c r="L60" s="75"/>
    </row>
    <row r="61" spans="1:12" s="57" customFormat="1" ht="15" customHeight="1" x14ac:dyDescent="0.2">
      <c r="A61" s="52">
        <f t="shared" si="0"/>
        <v>55</v>
      </c>
      <c r="B61" s="52">
        <v>2010</v>
      </c>
      <c r="C61" s="52" t="s">
        <v>172</v>
      </c>
      <c r="D61" s="52" t="s">
        <v>474</v>
      </c>
      <c r="E61" s="34">
        <v>1200</v>
      </c>
      <c r="F61" s="52" t="s">
        <v>542</v>
      </c>
      <c r="G61" s="52" t="s">
        <v>142</v>
      </c>
      <c r="H61" s="52"/>
      <c r="I61" s="52" t="s">
        <v>29</v>
      </c>
      <c r="J61" s="52" t="s">
        <v>219</v>
      </c>
      <c r="K61" s="69"/>
      <c r="L61" s="75"/>
    </row>
    <row r="62" spans="1:12" s="57" customFormat="1" ht="15" customHeight="1" x14ac:dyDescent="0.2">
      <c r="A62" s="52">
        <f t="shared" si="0"/>
        <v>56</v>
      </c>
      <c r="B62" s="52">
        <v>2010</v>
      </c>
      <c r="C62" s="52" t="s">
        <v>258</v>
      </c>
      <c r="D62" s="52" t="s">
        <v>3228</v>
      </c>
      <c r="E62" s="34">
        <v>150</v>
      </c>
      <c r="F62" s="52" t="s">
        <v>3229</v>
      </c>
      <c r="G62" s="52" t="s">
        <v>154</v>
      </c>
      <c r="H62" s="52" t="s">
        <v>194</v>
      </c>
      <c r="I62" s="52" t="s">
        <v>131</v>
      </c>
      <c r="J62" s="52" t="s">
        <v>131</v>
      </c>
      <c r="K62" s="69"/>
      <c r="L62" s="75"/>
    </row>
    <row r="63" spans="1:12" s="52" customFormat="1" ht="15" customHeight="1" x14ac:dyDescent="0.2">
      <c r="A63" s="52">
        <f t="shared" si="0"/>
        <v>57</v>
      </c>
      <c r="B63" s="52">
        <v>2010</v>
      </c>
      <c r="C63" s="52" t="s">
        <v>179</v>
      </c>
      <c r="D63" s="52" t="s">
        <v>3230</v>
      </c>
      <c r="E63" s="34">
        <v>870</v>
      </c>
      <c r="G63" s="52" t="s">
        <v>149</v>
      </c>
      <c r="H63" s="52" t="s">
        <v>182</v>
      </c>
      <c r="I63" s="52" t="s">
        <v>90</v>
      </c>
      <c r="J63" s="52" t="s">
        <v>183</v>
      </c>
      <c r="K63" s="69"/>
      <c r="L63" s="75"/>
    </row>
    <row r="64" spans="1:12" s="52" customFormat="1" ht="15" customHeight="1" x14ac:dyDescent="0.2">
      <c r="A64" s="52">
        <f t="shared" si="0"/>
        <v>58</v>
      </c>
      <c r="B64" s="52">
        <v>2010</v>
      </c>
      <c r="C64" s="52" t="s">
        <v>225</v>
      </c>
      <c r="D64" s="52" t="s">
        <v>577</v>
      </c>
      <c r="E64" s="34">
        <v>910</v>
      </c>
      <c r="G64" s="52" t="s">
        <v>150</v>
      </c>
      <c r="H64" s="52" t="s">
        <v>556</v>
      </c>
      <c r="I64" s="52" t="s">
        <v>135</v>
      </c>
      <c r="J64" s="52" t="s">
        <v>205</v>
      </c>
      <c r="K64" s="69" t="s">
        <v>178</v>
      </c>
      <c r="L64" s="75"/>
    </row>
    <row r="65" spans="1:12" s="52" customFormat="1" ht="15" customHeight="1" x14ac:dyDescent="0.2">
      <c r="A65" s="52">
        <f t="shared" si="0"/>
        <v>59</v>
      </c>
      <c r="B65" s="52">
        <v>2010</v>
      </c>
      <c r="C65" s="52" t="s">
        <v>225</v>
      </c>
      <c r="D65" s="52" t="s">
        <v>263</v>
      </c>
      <c r="E65" s="34">
        <v>550</v>
      </c>
      <c r="F65" s="52" t="s">
        <v>3231</v>
      </c>
      <c r="G65" s="52" t="s">
        <v>144</v>
      </c>
      <c r="H65" s="52" t="s">
        <v>187</v>
      </c>
      <c r="I65" s="52" t="s">
        <v>25</v>
      </c>
      <c r="J65" s="52" t="s">
        <v>177</v>
      </c>
      <c r="K65" s="69"/>
      <c r="L65" s="75"/>
    </row>
    <row r="66" spans="1:12" s="52" customFormat="1" ht="15" customHeight="1" x14ac:dyDescent="0.2">
      <c r="A66" s="52">
        <f t="shared" si="0"/>
        <v>60</v>
      </c>
      <c r="B66" s="52">
        <v>2010</v>
      </c>
      <c r="C66" s="52" t="s">
        <v>188</v>
      </c>
      <c r="D66" s="52" t="s">
        <v>307</v>
      </c>
      <c r="E66" s="34">
        <v>1200</v>
      </c>
      <c r="F66" s="52" t="s">
        <v>3232</v>
      </c>
      <c r="G66" s="52" t="s">
        <v>149</v>
      </c>
      <c r="H66" s="52" t="s">
        <v>236</v>
      </c>
      <c r="I66" s="52" t="s">
        <v>27</v>
      </c>
      <c r="J66" s="52" t="s">
        <v>205</v>
      </c>
      <c r="K66" s="69" t="s">
        <v>178</v>
      </c>
      <c r="L66" s="75"/>
    </row>
    <row r="67" spans="1:12" s="52" customFormat="1" ht="15" customHeight="1" x14ac:dyDescent="0.2">
      <c r="A67" s="52">
        <f t="shared" si="0"/>
        <v>61</v>
      </c>
      <c r="B67" s="52">
        <v>2010</v>
      </c>
      <c r="C67" s="52" t="s">
        <v>191</v>
      </c>
      <c r="D67" s="52" t="s">
        <v>267</v>
      </c>
      <c r="E67" s="34">
        <v>1350</v>
      </c>
      <c r="F67" s="52" t="s">
        <v>315</v>
      </c>
      <c r="G67" s="52" t="s">
        <v>149</v>
      </c>
      <c r="H67" s="52" t="s">
        <v>182</v>
      </c>
      <c r="I67" s="52" t="s">
        <v>48</v>
      </c>
      <c r="J67" s="52" t="s">
        <v>219</v>
      </c>
      <c r="K67" s="69" t="s">
        <v>178</v>
      </c>
      <c r="L67" s="75"/>
    </row>
    <row r="68" spans="1:12" s="52" customFormat="1" ht="15" customHeight="1" x14ac:dyDescent="0.2">
      <c r="A68" s="52">
        <f t="shared" si="0"/>
        <v>62</v>
      </c>
      <c r="B68" s="52">
        <v>2010</v>
      </c>
      <c r="C68" s="52" t="s">
        <v>191</v>
      </c>
      <c r="D68" s="52" t="s">
        <v>559</v>
      </c>
      <c r="E68" s="34">
        <v>500</v>
      </c>
      <c r="F68" s="52" t="s">
        <v>3233</v>
      </c>
      <c r="G68" s="52" t="s">
        <v>149</v>
      </c>
      <c r="I68" s="52" t="s">
        <v>97</v>
      </c>
      <c r="J68" s="52" t="s">
        <v>183</v>
      </c>
      <c r="K68" s="69"/>
      <c r="L68" s="75"/>
    </row>
    <row r="69" spans="1:12" s="52" customFormat="1" ht="15" customHeight="1" x14ac:dyDescent="0.2">
      <c r="A69" s="52">
        <f t="shared" si="0"/>
        <v>63</v>
      </c>
      <c r="B69" s="52">
        <v>2010</v>
      </c>
      <c r="C69" s="52" t="s">
        <v>191</v>
      </c>
      <c r="D69" s="52" t="s">
        <v>530</v>
      </c>
      <c r="E69" s="34">
        <v>480</v>
      </c>
      <c r="F69" s="52" t="s">
        <v>3234</v>
      </c>
      <c r="G69" s="52" t="s">
        <v>152</v>
      </c>
      <c r="H69" s="52" t="s">
        <v>257</v>
      </c>
      <c r="I69" s="52" t="s">
        <v>131</v>
      </c>
      <c r="J69" s="52" t="s">
        <v>131</v>
      </c>
      <c r="K69" s="69"/>
      <c r="L69" s="75"/>
    </row>
    <row r="70" spans="1:12" s="52" customFormat="1" ht="15" customHeight="1" x14ac:dyDescent="0.2">
      <c r="A70" s="52">
        <f t="shared" si="0"/>
        <v>64</v>
      </c>
      <c r="B70" s="52">
        <v>2010</v>
      </c>
      <c r="C70" s="52" t="s">
        <v>191</v>
      </c>
      <c r="D70" s="52" t="s">
        <v>267</v>
      </c>
      <c r="E70" s="34">
        <v>2200</v>
      </c>
      <c r="G70" s="52" t="s">
        <v>149</v>
      </c>
      <c r="H70" s="52" t="s">
        <v>238</v>
      </c>
      <c r="I70" s="52" t="s">
        <v>9</v>
      </c>
      <c r="J70" s="52" t="s">
        <v>9</v>
      </c>
      <c r="K70" s="69"/>
      <c r="L70" s="75"/>
    </row>
    <row r="71" spans="1:12" s="52" customFormat="1" ht="15" customHeight="1" x14ac:dyDescent="0.2">
      <c r="A71" s="52">
        <f t="shared" ref="A71:A134" si="1">ROW()-6</f>
        <v>65</v>
      </c>
      <c r="B71" s="52">
        <v>2010</v>
      </c>
      <c r="C71" s="52" t="s">
        <v>198</v>
      </c>
      <c r="D71" s="52" t="s">
        <v>449</v>
      </c>
      <c r="E71" s="34">
        <v>790</v>
      </c>
      <c r="G71" s="52" t="s">
        <v>154</v>
      </c>
      <c r="H71" s="52" t="s">
        <v>529</v>
      </c>
      <c r="I71" s="52" t="s">
        <v>6</v>
      </c>
      <c r="J71" s="52" t="s">
        <v>219</v>
      </c>
      <c r="K71" s="69"/>
      <c r="L71" s="75"/>
    </row>
    <row r="72" spans="1:12" s="52" customFormat="1" ht="15" customHeight="1" x14ac:dyDescent="0.2">
      <c r="A72" s="52">
        <f t="shared" si="1"/>
        <v>66</v>
      </c>
      <c r="B72" s="52">
        <v>2010</v>
      </c>
      <c r="C72" s="52" t="s">
        <v>198</v>
      </c>
      <c r="D72" s="52" t="s">
        <v>530</v>
      </c>
      <c r="E72" s="34">
        <v>1300</v>
      </c>
      <c r="F72" s="52" t="s">
        <v>3235</v>
      </c>
      <c r="G72" s="52" t="s">
        <v>152</v>
      </c>
      <c r="H72" s="52" t="s">
        <v>257</v>
      </c>
      <c r="I72" s="52" t="s">
        <v>131</v>
      </c>
      <c r="J72" s="52" t="s">
        <v>131</v>
      </c>
      <c r="K72" s="69"/>
      <c r="L72" s="75"/>
    </row>
    <row r="73" spans="1:12" s="52" customFormat="1" ht="15" customHeight="1" x14ac:dyDescent="0.2">
      <c r="A73" s="52">
        <f t="shared" si="1"/>
        <v>67</v>
      </c>
      <c r="B73" s="52">
        <v>2010</v>
      </c>
      <c r="C73" s="52" t="s">
        <v>202</v>
      </c>
      <c r="D73" s="52" t="s">
        <v>180</v>
      </c>
      <c r="E73" s="34">
        <v>370</v>
      </c>
      <c r="F73" s="52" t="s">
        <v>3236</v>
      </c>
      <c r="G73" s="52" t="s">
        <v>149</v>
      </c>
      <c r="H73" s="52" t="s">
        <v>182</v>
      </c>
      <c r="I73" s="52" t="s">
        <v>9</v>
      </c>
      <c r="J73" s="52" t="s">
        <v>9</v>
      </c>
      <c r="K73" s="69"/>
      <c r="L73" s="75"/>
    </row>
    <row r="74" spans="1:12" s="52" customFormat="1" ht="15" customHeight="1" x14ac:dyDescent="0.2">
      <c r="A74" s="52">
        <f t="shared" si="1"/>
        <v>68</v>
      </c>
      <c r="B74" s="52">
        <v>2010</v>
      </c>
      <c r="C74" s="52" t="s">
        <v>202</v>
      </c>
      <c r="D74" s="52" t="s">
        <v>263</v>
      </c>
      <c r="E74" s="34">
        <v>360</v>
      </c>
      <c r="F74" s="52" t="s">
        <v>3237</v>
      </c>
      <c r="G74" s="52" t="s">
        <v>149</v>
      </c>
      <c r="I74" s="52" t="s">
        <v>53</v>
      </c>
      <c r="J74" s="52" t="s">
        <v>183</v>
      </c>
      <c r="K74" s="69"/>
      <c r="L74" s="75"/>
    </row>
    <row r="75" spans="1:12" s="52" customFormat="1" ht="15" customHeight="1" x14ac:dyDescent="0.2">
      <c r="A75" s="52">
        <f t="shared" si="1"/>
        <v>69</v>
      </c>
      <c r="B75" s="52">
        <v>2010</v>
      </c>
      <c r="C75" s="52" t="s">
        <v>202</v>
      </c>
      <c r="D75" s="52" t="s">
        <v>559</v>
      </c>
      <c r="E75" s="34">
        <v>280</v>
      </c>
      <c r="F75" s="52" t="s">
        <v>3238</v>
      </c>
      <c r="G75" s="52" t="s">
        <v>149</v>
      </c>
      <c r="I75" s="52" t="s">
        <v>29</v>
      </c>
      <c r="J75" s="52" t="s">
        <v>219</v>
      </c>
      <c r="K75" s="69"/>
      <c r="L75" s="75"/>
    </row>
    <row r="76" spans="1:12" s="52" customFormat="1" ht="15" customHeight="1" x14ac:dyDescent="0.2">
      <c r="A76" s="52">
        <f t="shared" si="1"/>
        <v>70</v>
      </c>
      <c r="B76" s="52">
        <v>2010</v>
      </c>
      <c r="C76" s="52" t="s">
        <v>207</v>
      </c>
      <c r="D76" s="52" t="s">
        <v>373</v>
      </c>
      <c r="E76" s="34">
        <v>380</v>
      </c>
      <c r="F76" s="52" t="s">
        <v>3239</v>
      </c>
      <c r="G76" s="52" t="s">
        <v>154</v>
      </c>
      <c r="H76" s="52" t="s">
        <v>271</v>
      </c>
      <c r="I76" s="52" t="s">
        <v>91</v>
      </c>
      <c r="J76" s="52" t="s">
        <v>195</v>
      </c>
      <c r="K76" s="69"/>
      <c r="L76" s="75"/>
    </row>
    <row r="77" spans="1:12" s="52" customFormat="1" ht="15" customHeight="1" x14ac:dyDescent="0.2">
      <c r="A77" s="52">
        <f t="shared" si="1"/>
        <v>71</v>
      </c>
      <c r="B77" s="52">
        <v>2010</v>
      </c>
      <c r="C77" s="52" t="s">
        <v>207</v>
      </c>
      <c r="D77" s="52" t="s">
        <v>360</v>
      </c>
      <c r="E77" s="34">
        <v>800</v>
      </c>
      <c r="F77" s="52" t="s">
        <v>3240</v>
      </c>
      <c r="G77" s="52" t="s">
        <v>144</v>
      </c>
      <c r="H77" s="52" t="s">
        <v>273</v>
      </c>
      <c r="I77" s="52" t="s">
        <v>81</v>
      </c>
      <c r="J77" s="52" t="s">
        <v>219</v>
      </c>
      <c r="K77" s="69"/>
      <c r="L77" s="75"/>
    </row>
    <row r="78" spans="1:12" s="52" customFormat="1" ht="15" customHeight="1" x14ac:dyDescent="0.2">
      <c r="A78" s="52">
        <f t="shared" si="1"/>
        <v>72</v>
      </c>
      <c r="B78" s="52">
        <v>2010</v>
      </c>
      <c r="C78" s="52" t="s">
        <v>207</v>
      </c>
      <c r="D78" s="52" t="s">
        <v>449</v>
      </c>
      <c r="E78" s="34">
        <v>620</v>
      </c>
      <c r="G78" s="52" t="s">
        <v>154</v>
      </c>
      <c r="H78" s="52" t="s">
        <v>529</v>
      </c>
      <c r="I78" s="52" t="s">
        <v>105</v>
      </c>
      <c r="J78" s="52" t="s">
        <v>214</v>
      </c>
      <c r="K78" s="69"/>
      <c r="L78" s="75"/>
    </row>
    <row r="79" spans="1:12" s="52" customFormat="1" ht="15" customHeight="1" x14ac:dyDescent="0.2">
      <c r="A79" s="52">
        <f t="shared" si="1"/>
        <v>73</v>
      </c>
      <c r="B79" s="52">
        <v>2010</v>
      </c>
      <c r="C79" s="52" t="s">
        <v>240</v>
      </c>
      <c r="D79" s="52" t="s">
        <v>3241</v>
      </c>
      <c r="E79" s="34">
        <v>5000</v>
      </c>
      <c r="F79" s="52" t="s">
        <v>3242</v>
      </c>
      <c r="G79" s="52" t="s">
        <v>152</v>
      </c>
      <c r="H79" s="52" t="s">
        <v>257</v>
      </c>
      <c r="I79" s="52" t="s">
        <v>131</v>
      </c>
      <c r="J79" s="52" t="s">
        <v>131</v>
      </c>
      <c r="K79" s="69"/>
      <c r="L79" s="75"/>
    </row>
    <row r="80" spans="1:12" s="52" customFormat="1" ht="15" customHeight="1" x14ac:dyDescent="0.2">
      <c r="A80" s="52">
        <f t="shared" si="1"/>
        <v>74</v>
      </c>
      <c r="B80" s="52">
        <v>2010</v>
      </c>
      <c r="C80" s="52" t="s">
        <v>212</v>
      </c>
      <c r="D80" s="52" t="s">
        <v>336</v>
      </c>
      <c r="E80" s="34">
        <v>350</v>
      </c>
      <c r="G80" s="52" t="s">
        <v>144</v>
      </c>
      <c r="I80" s="52" t="s">
        <v>2684</v>
      </c>
      <c r="J80" s="52" t="s">
        <v>183</v>
      </c>
      <c r="K80" s="69"/>
      <c r="L80" s="75"/>
    </row>
    <row r="81" spans="1:12" s="52" customFormat="1" ht="15" customHeight="1" x14ac:dyDescent="0.2">
      <c r="A81" s="52">
        <f t="shared" si="1"/>
        <v>75</v>
      </c>
      <c r="B81" s="52">
        <v>2010</v>
      </c>
      <c r="C81" s="52" t="s">
        <v>212</v>
      </c>
      <c r="D81" s="52" t="s">
        <v>444</v>
      </c>
      <c r="E81" s="34">
        <v>1430</v>
      </c>
      <c r="G81" s="52" t="s">
        <v>142</v>
      </c>
      <c r="I81" s="52" t="s">
        <v>135</v>
      </c>
      <c r="J81" s="52" t="s">
        <v>205</v>
      </c>
      <c r="K81" s="69"/>
      <c r="L81" s="75"/>
    </row>
    <row r="82" spans="1:12" s="52" customFormat="1" ht="15" customHeight="1" x14ac:dyDescent="0.2">
      <c r="A82" s="52">
        <f t="shared" si="1"/>
        <v>76</v>
      </c>
      <c r="B82" s="52">
        <v>2011</v>
      </c>
      <c r="C82" s="52" t="s">
        <v>179</v>
      </c>
      <c r="D82" s="52" t="s">
        <v>196</v>
      </c>
      <c r="E82" s="34">
        <v>1800</v>
      </c>
      <c r="G82" s="52" t="s">
        <v>151</v>
      </c>
      <c r="H82" s="52" t="s">
        <v>279</v>
      </c>
      <c r="I82" s="52" t="s">
        <v>2421</v>
      </c>
      <c r="J82" s="52" t="s">
        <v>214</v>
      </c>
      <c r="K82" s="69"/>
      <c r="L82" s="75"/>
    </row>
    <row r="83" spans="1:12" s="52" customFormat="1" ht="15" customHeight="1" x14ac:dyDescent="0.2">
      <c r="A83" s="52">
        <f t="shared" si="1"/>
        <v>77</v>
      </c>
      <c r="B83" s="52">
        <v>2011</v>
      </c>
      <c r="C83" s="52" t="s">
        <v>179</v>
      </c>
      <c r="D83" s="52" t="s">
        <v>479</v>
      </c>
      <c r="E83" s="34">
        <v>1910</v>
      </c>
      <c r="G83" s="52" t="s">
        <v>151</v>
      </c>
      <c r="H83" s="52" t="s">
        <v>279</v>
      </c>
      <c r="I83" s="52" t="s">
        <v>2421</v>
      </c>
      <c r="J83" s="52" t="s">
        <v>214</v>
      </c>
      <c r="K83" s="69"/>
      <c r="L83" s="75"/>
    </row>
    <row r="84" spans="1:12" s="52" customFormat="1" ht="15" customHeight="1" x14ac:dyDescent="0.2">
      <c r="A84" s="52">
        <f t="shared" si="1"/>
        <v>78</v>
      </c>
      <c r="B84" s="52">
        <v>2011</v>
      </c>
      <c r="C84" s="52" t="s">
        <v>179</v>
      </c>
      <c r="D84" s="52" t="s">
        <v>2402</v>
      </c>
      <c r="E84" s="34">
        <v>840</v>
      </c>
      <c r="G84" s="52" t="s">
        <v>151</v>
      </c>
      <c r="H84" s="52" t="s">
        <v>279</v>
      </c>
      <c r="I84" s="52" t="s">
        <v>2421</v>
      </c>
      <c r="J84" s="52" t="s">
        <v>214</v>
      </c>
      <c r="K84" s="69"/>
      <c r="L84" s="75"/>
    </row>
    <row r="85" spans="1:12" s="52" customFormat="1" ht="15" customHeight="1" x14ac:dyDescent="0.2">
      <c r="A85" s="52">
        <f t="shared" si="1"/>
        <v>79</v>
      </c>
      <c r="B85" s="52">
        <v>2011</v>
      </c>
      <c r="C85" s="52" t="s">
        <v>179</v>
      </c>
      <c r="D85" s="52" t="s">
        <v>449</v>
      </c>
      <c r="E85" s="34">
        <v>3550</v>
      </c>
      <c r="G85" s="52" t="s">
        <v>154</v>
      </c>
      <c r="H85" s="52" t="s">
        <v>529</v>
      </c>
      <c r="I85" s="52" t="s">
        <v>2421</v>
      </c>
      <c r="J85" s="52" t="s">
        <v>214</v>
      </c>
      <c r="K85" s="69"/>
      <c r="L85" s="75"/>
    </row>
    <row r="86" spans="1:12" s="52" customFormat="1" ht="15" customHeight="1" x14ac:dyDescent="0.2">
      <c r="A86" s="52">
        <f t="shared" si="1"/>
        <v>80</v>
      </c>
      <c r="B86" s="52">
        <v>2011</v>
      </c>
      <c r="C86" s="52" t="s">
        <v>179</v>
      </c>
      <c r="D86" s="52" t="s">
        <v>180</v>
      </c>
      <c r="E86" s="34">
        <v>820</v>
      </c>
      <c r="G86" s="52" t="s">
        <v>151</v>
      </c>
      <c r="H86" s="52" t="s">
        <v>279</v>
      </c>
      <c r="I86" s="52" t="s">
        <v>2421</v>
      </c>
      <c r="J86" s="52" t="s">
        <v>214</v>
      </c>
      <c r="K86" s="69"/>
      <c r="L86" s="75"/>
    </row>
    <row r="87" spans="1:12" s="52" customFormat="1" ht="15" customHeight="1" x14ac:dyDescent="0.2">
      <c r="A87" s="52">
        <f t="shared" si="1"/>
        <v>81</v>
      </c>
      <c r="B87" s="52">
        <v>2011</v>
      </c>
      <c r="C87" s="52" t="s">
        <v>179</v>
      </c>
      <c r="D87" t="s">
        <v>397</v>
      </c>
      <c r="E87" s="34">
        <v>2680</v>
      </c>
      <c r="G87" s="52" t="s">
        <v>151</v>
      </c>
      <c r="H87" s="52" t="s">
        <v>279</v>
      </c>
      <c r="I87" s="52" t="s">
        <v>2421</v>
      </c>
      <c r="J87" s="52" t="s">
        <v>214</v>
      </c>
      <c r="K87" s="69"/>
      <c r="L87" s="75"/>
    </row>
    <row r="88" spans="1:12" s="52" customFormat="1" ht="15" customHeight="1" x14ac:dyDescent="0.2">
      <c r="A88" s="52">
        <f t="shared" si="1"/>
        <v>82</v>
      </c>
      <c r="B88" s="52">
        <v>2011</v>
      </c>
      <c r="C88" s="52" t="s">
        <v>179</v>
      </c>
      <c r="D88" s="52" t="s">
        <v>444</v>
      </c>
      <c r="E88" s="34">
        <v>600</v>
      </c>
      <c r="G88" s="52" t="s">
        <v>151</v>
      </c>
      <c r="H88" s="52" t="s">
        <v>279</v>
      </c>
      <c r="I88" s="52" t="s">
        <v>2421</v>
      </c>
      <c r="J88" s="52" t="s">
        <v>214</v>
      </c>
      <c r="K88" s="69"/>
      <c r="L88" s="75"/>
    </row>
    <row r="89" spans="1:12" s="52" customFormat="1" ht="15" customHeight="1" x14ac:dyDescent="0.2">
      <c r="A89" s="52">
        <f t="shared" si="1"/>
        <v>83</v>
      </c>
      <c r="B89" s="52">
        <v>2011</v>
      </c>
      <c r="C89" s="52" t="s">
        <v>225</v>
      </c>
      <c r="D89" s="52" t="s">
        <v>3243</v>
      </c>
      <c r="E89" s="34">
        <v>170</v>
      </c>
      <c r="F89" s="52" t="s">
        <v>3244</v>
      </c>
      <c r="G89" s="52" t="s">
        <v>154</v>
      </c>
      <c r="H89" s="52" t="s">
        <v>194</v>
      </c>
      <c r="I89" s="52" t="s">
        <v>118</v>
      </c>
      <c r="J89" s="52" t="s">
        <v>195</v>
      </c>
      <c r="K89" s="69"/>
      <c r="L89" s="75"/>
    </row>
    <row r="90" spans="1:12" s="52" customFormat="1" ht="15" customHeight="1" x14ac:dyDescent="0.2">
      <c r="A90" s="52">
        <f t="shared" si="1"/>
        <v>84</v>
      </c>
      <c r="B90" s="52">
        <v>2011</v>
      </c>
      <c r="C90" s="52" t="s">
        <v>188</v>
      </c>
      <c r="D90" s="52" t="s">
        <v>199</v>
      </c>
      <c r="E90" s="34">
        <v>5390</v>
      </c>
      <c r="F90" s="52" t="s">
        <v>204</v>
      </c>
      <c r="G90" s="52" t="s">
        <v>144</v>
      </c>
      <c r="H90" s="52" t="s">
        <v>299</v>
      </c>
      <c r="I90" s="52" t="s">
        <v>25</v>
      </c>
      <c r="J90" s="52" t="s">
        <v>177</v>
      </c>
      <c r="K90" s="69"/>
      <c r="L90" s="75"/>
    </row>
    <row r="91" spans="1:12" s="52" customFormat="1" ht="15" customHeight="1" x14ac:dyDescent="0.2">
      <c r="A91" s="52">
        <f t="shared" si="1"/>
        <v>85</v>
      </c>
      <c r="B91" s="52">
        <v>2011</v>
      </c>
      <c r="C91" s="52" t="s">
        <v>188</v>
      </c>
      <c r="D91" s="52" t="s">
        <v>3245</v>
      </c>
      <c r="E91" s="34">
        <v>400</v>
      </c>
      <c r="F91" s="52" t="s">
        <v>3246</v>
      </c>
      <c r="G91" s="52" t="s">
        <v>149</v>
      </c>
      <c r="I91" s="52" t="s">
        <v>9</v>
      </c>
      <c r="J91" s="52" t="s">
        <v>9</v>
      </c>
      <c r="K91" s="69"/>
      <c r="L91" s="75"/>
    </row>
    <row r="92" spans="1:12" s="52" customFormat="1" ht="15" customHeight="1" x14ac:dyDescent="0.2">
      <c r="A92" s="52">
        <f t="shared" si="1"/>
        <v>86</v>
      </c>
      <c r="B92" s="52">
        <v>2011</v>
      </c>
      <c r="C92" s="52" t="s">
        <v>188</v>
      </c>
      <c r="D92" s="52" t="s">
        <v>341</v>
      </c>
      <c r="E92" s="34">
        <v>450</v>
      </c>
      <c r="F92" s="52" t="s">
        <v>3247</v>
      </c>
      <c r="G92" s="52" t="s">
        <v>154</v>
      </c>
      <c r="H92" s="52" t="s">
        <v>194</v>
      </c>
      <c r="I92" s="52" t="s">
        <v>98</v>
      </c>
      <c r="J92" s="52" t="s">
        <v>195</v>
      </c>
      <c r="K92" s="69"/>
      <c r="L92" s="75"/>
    </row>
    <row r="93" spans="1:12" s="52" customFormat="1" ht="15" customHeight="1" x14ac:dyDescent="0.2">
      <c r="A93" s="52">
        <f t="shared" si="1"/>
        <v>87</v>
      </c>
      <c r="B93" s="52">
        <v>2011</v>
      </c>
      <c r="C93" s="52" t="s">
        <v>188</v>
      </c>
      <c r="D93" s="52" t="s">
        <v>208</v>
      </c>
      <c r="E93" s="34">
        <v>1990</v>
      </c>
      <c r="G93" s="52" t="s">
        <v>149</v>
      </c>
      <c r="H93" s="52" t="s">
        <v>182</v>
      </c>
      <c r="I93" s="52" t="s">
        <v>9</v>
      </c>
      <c r="J93" s="52" t="s">
        <v>9</v>
      </c>
      <c r="K93" s="69" t="s">
        <v>178</v>
      </c>
      <c r="L93" s="75"/>
    </row>
    <row r="94" spans="1:12" s="52" customFormat="1" ht="15" customHeight="1" x14ac:dyDescent="0.2">
      <c r="A94" s="52">
        <f t="shared" si="1"/>
        <v>88</v>
      </c>
      <c r="B94" s="52">
        <v>2011</v>
      </c>
      <c r="C94" s="52" t="s">
        <v>191</v>
      </c>
      <c r="D94" s="52" t="s">
        <v>3248</v>
      </c>
      <c r="E94" s="34">
        <v>170</v>
      </c>
      <c r="F94" s="52" t="s">
        <v>3249</v>
      </c>
      <c r="G94" s="52" t="s">
        <v>149</v>
      </c>
      <c r="H94" s="52" t="s">
        <v>182</v>
      </c>
      <c r="I94" s="52" t="s">
        <v>9</v>
      </c>
      <c r="J94" s="52" t="s">
        <v>9</v>
      </c>
      <c r="K94" s="69"/>
      <c r="L94" s="75"/>
    </row>
    <row r="95" spans="1:12" s="52" customFormat="1" ht="15" customHeight="1" x14ac:dyDescent="0.2">
      <c r="A95" s="52">
        <f t="shared" si="1"/>
        <v>89</v>
      </c>
      <c r="B95" s="52">
        <v>2011</v>
      </c>
      <c r="C95" s="52" t="s">
        <v>202</v>
      </c>
      <c r="D95" s="52" t="s">
        <v>692</v>
      </c>
      <c r="E95" s="34">
        <v>3600</v>
      </c>
      <c r="F95" s="52" t="s">
        <v>3250</v>
      </c>
      <c r="G95" s="52" t="s">
        <v>144</v>
      </c>
      <c r="H95" s="52" t="s">
        <v>197</v>
      </c>
      <c r="I95" s="52" t="s">
        <v>82</v>
      </c>
      <c r="J95" s="52" t="s">
        <v>183</v>
      </c>
      <c r="K95" s="69"/>
      <c r="L95" s="75"/>
    </row>
    <row r="96" spans="1:12" s="52" customFormat="1" ht="15" customHeight="1" x14ac:dyDescent="0.2">
      <c r="A96" s="52">
        <f t="shared" si="1"/>
        <v>90</v>
      </c>
      <c r="B96" s="52">
        <v>2011</v>
      </c>
      <c r="C96" s="52" t="s">
        <v>202</v>
      </c>
      <c r="D96" s="52" t="s">
        <v>196</v>
      </c>
      <c r="E96" s="34">
        <v>560</v>
      </c>
      <c r="G96" s="52" t="s">
        <v>144</v>
      </c>
      <c r="H96" s="52" t="s">
        <v>197</v>
      </c>
      <c r="I96" s="52" t="s">
        <v>40</v>
      </c>
      <c r="J96" s="52" t="s">
        <v>219</v>
      </c>
      <c r="K96" s="69"/>
      <c r="L96" s="75"/>
    </row>
    <row r="97" spans="1:12" s="52" customFormat="1" ht="15" customHeight="1" x14ac:dyDescent="0.2">
      <c r="A97" s="52">
        <f t="shared" si="1"/>
        <v>91</v>
      </c>
      <c r="B97" s="52">
        <v>2011</v>
      </c>
      <c r="C97" s="52" t="s">
        <v>207</v>
      </c>
      <c r="D97" s="52" t="s">
        <v>3248</v>
      </c>
      <c r="E97" s="34">
        <v>170</v>
      </c>
      <c r="F97" s="52" t="s">
        <v>3251</v>
      </c>
      <c r="G97" s="52" t="s">
        <v>149</v>
      </c>
      <c r="H97" s="52" t="s">
        <v>182</v>
      </c>
      <c r="I97" s="52" t="s">
        <v>131</v>
      </c>
      <c r="J97" s="52" t="s">
        <v>131</v>
      </c>
      <c r="K97" s="69" t="s">
        <v>178</v>
      </c>
      <c r="L97" s="75"/>
    </row>
    <row r="98" spans="1:12" s="52" customFormat="1" ht="15" customHeight="1" x14ac:dyDescent="0.2">
      <c r="A98" s="52">
        <f t="shared" si="1"/>
        <v>92</v>
      </c>
      <c r="B98" s="52">
        <v>2011</v>
      </c>
      <c r="C98" s="52" t="s">
        <v>207</v>
      </c>
      <c r="D98" s="52" t="s">
        <v>456</v>
      </c>
      <c r="E98" s="34">
        <v>150</v>
      </c>
      <c r="F98" s="52" t="s">
        <v>3252</v>
      </c>
      <c r="G98" s="52" t="s">
        <v>149</v>
      </c>
      <c r="I98" s="52" t="s">
        <v>9</v>
      </c>
      <c r="J98" s="52" t="s">
        <v>9</v>
      </c>
      <c r="K98" s="69"/>
      <c r="L98" s="75"/>
    </row>
    <row r="99" spans="1:12" s="52" customFormat="1" ht="15" customHeight="1" x14ac:dyDescent="0.2">
      <c r="A99" s="52">
        <f t="shared" si="1"/>
        <v>93</v>
      </c>
      <c r="B99" s="52">
        <v>2011</v>
      </c>
      <c r="C99" s="52" t="s">
        <v>207</v>
      </c>
      <c r="D99" s="52" t="s">
        <v>421</v>
      </c>
      <c r="E99" s="34">
        <v>500</v>
      </c>
      <c r="G99" s="52" t="s">
        <v>153</v>
      </c>
      <c r="I99" s="52" t="s">
        <v>115</v>
      </c>
      <c r="J99" s="52" t="s">
        <v>201</v>
      </c>
      <c r="K99" s="69" t="s">
        <v>178</v>
      </c>
      <c r="L99" s="75"/>
    </row>
    <row r="100" spans="1:12" s="52" customFormat="1" ht="15" customHeight="1" x14ac:dyDescent="0.2">
      <c r="A100" s="52">
        <f t="shared" si="1"/>
        <v>94</v>
      </c>
      <c r="B100" s="52">
        <v>2011</v>
      </c>
      <c r="C100" s="52" t="s">
        <v>207</v>
      </c>
      <c r="D100" s="52" t="s">
        <v>341</v>
      </c>
      <c r="E100" s="34">
        <v>320</v>
      </c>
      <c r="G100" s="52" t="s">
        <v>154</v>
      </c>
      <c r="H100" s="52" t="s">
        <v>529</v>
      </c>
      <c r="I100" s="52" t="s">
        <v>136</v>
      </c>
      <c r="J100" s="52" t="s">
        <v>183</v>
      </c>
      <c r="K100" s="69"/>
      <c r="L100" s="75"/>
    </row>
    <row r="101" spans="1:12" s="52" customFormat="1" ht="15" customHeight="1" x14ac:dyDescent="0.2">
      <c r="A101" s="52">
        <f t="shared" si="1"/>
        <v>95</v>
      </c>
      <c r="B101" s="52">
        <v>2011</v>
      </c>
      <c r="C101" s="52" t="s">
        <v>240</v>
      </c>
      <c r="D101" s="52" t="s">
        <v>185</v>
      </c>
      <c r="E101" s="34">
        <v>7100</v>
      </c>
      <c r="F101" s="52" t="s">
        <v>326</v>
      </c>
      <c r="G101" s="52" t="s">
        <v>144</v>
      </c>
      <c r="I101" s="52" t="s">
        <v>8</v>
      </c>
      <c r="J101" s="52" t="s">
        <v>205</v>
      </c>
      <c r="K101" s="69"/>
      <c r="L101" s="75"/>
    </row>
    <row r="102" spans="1:12" s="52" customFormat="1" ht="15" customHeight="1" x14ac:dyDescent="0.2">
      <c r="A102" s="52">
        <f t="shared" si="1"/>
        <v>96</v>
      </c>
      <c r="B102" s="52">
        <v>2011</v>
      </c>
      <c r="C102" s="52" t="s">
        <v>240</v>
      </c>
      <c r="D102" s="52" t="s">
        <v>3253</v>
      </c>
      <c r="E102" s="34">
        <v>200</v>
      </c>
      <c r="G102" s="52" t="s">
        <v>153</v>
      </c>
      <c r="I102" s="52" t="s">
        <v>3254</v>
      </c>
      <c r="J102" s="52" t="s">
        <v>195</v>
      </c>
      <c r="K102" s="69" t="s">
        <v>178</v>
      </c>
      <c r="L102" s="75"/>
    </row>
    <row r="103" spans="1:12" s="52" customFormat="1" ht="15" customHeight="1" x14ac:dyDescent="0.2">
      <c r="A103" s="52">
        <f t="shared" si="1"/>
        <v>97</v>
      </c>
      <c r="B103" s="52">
        <v>2011</v>
      </c>
      <c r="C103" s="52" t="s">
        <v>212</v>
      </c>
      <c r="D103" s="52" t="s">
        <v>3255</v>
      </c>
      <c r="E103" s="34">
        <v>140</v>
      </c>
      <c r="F103" s="52" t="s">
        <v>476</v>
      </c>
      <c r="G103" s="52" t="s">
        <v>154</v>
      </c>
      <c r="H103" s="52" t="s">
        <v>194</v>
      </c>
      <c r="I103" s="52" t="s">
        <v>118</v>
      </c>
      <c r="J103" s="52" t="s">
        <v>195</v>
      </c>
      <c r="K103" s="69"/>
      <c r="L103" s="75"/>
    </row>
    <row r="104" spans="1:12" s="52" customFormat="1" ht="15" customHeight="1" x14ac:dyDescent="0.2">
      <c r="A104" s="52">
        <f t="shared" si="1"/>
        <v>98</v>
      </c>
      <c r="B104" s="52">
        <v>2011</v>
      </c>
      <c r="C104" s="52" t="s">
        <v>212</v>
      </c>
      <c r="D104" s="52" t="s">
        <v>373</v>
      </c>
      <c r="E104" s="34">
        <v>440</v>
      </c>
      <c r="F104" s="52" t="s">
        <v>3256</v>
      </c>
      <c r="G104" s="52" t="s">
        <v>153</v>
      </c>
      <c r="I104" s="52" t="s">
        <v>114</v>
      </c>
      <c r="J104" s="52" t="s">
        <v>195</v>
      </c>
      <c r="K104" s="69"/>
      <c r="L104" s="75"/>
    </row>
    <row r="105" spans="1:12" s="52" customFormat="1" ht="15" customHeight="1" x14ac:dyDescent="0.2">
      <c r="A105" s="52">
        <f t="shared" si="1"/>
        <v>99</v>
      </c>
      <c r="B105" s="52">
        <v>2011</v>
      </c>
      <c r="C105" s="52" t="s">
        <v>212</v>
      </c>
      <c r="D105" s="52" t="s">
        <v>444</v>
      </c>
      <c r="E105" s="34">
        <v>1300</v>
      </c>
      <c r="G105" s="52" t="s">
        <v>144</v>
      </c>
      <c r="H105" s="52" t="s">
        <v>299</v>
      </c>
      <c r="I105" s="52" t="s">
        <v>55</v>
      </c>
      <c r="J105" s="52" t="s">
        <v>214</v>
      </c>
      <c r="K105" s="69"/>
      <c r="L105" s="75"/>
    </row>
    <row r="106" spans="1:12" s="52" customFormat="1" ht="15" customHeight="1" x14ac:dyDescent="0.2">
      <c r="A106" s="52">
        <f t="shared" si="1"/>
        <v>100</v>
      </c>
      <c r="B106" s="52">
        <v>2012</v>
      </c>
      <c r="C106" s="52" t="s">
        <v>172</v>
      </c>
      <c r="D106" s="52" t="s">
        <v>3257</v>
      </c>
      <c r="E106" s="34">
        <v>560</v>
      </c>
      <c r="G106" s="52" t="s">
        <v>154</v>
      </c>
      <c r="H106" s="52" t="s">
        <v>194</v>
      </c>
      <c r="I106" s="52" t="s">
        <v>5</v>
      </c>
      <c r="J106" s="52" t="s">
        <v>214</v>
      </c>
      <c r="K106" s="69" t="s">
        <v>178</v>
      </c>
      <c r="L106" s="75"/>
    </row>
    <row r="107" spans="1:12" s="52" customFormat="1" ht="15" customHeight="1" x14ac:dyDescent="0.2">
      <c r="A107" s="52">
        <f t="shared" si="1"/>
        <v>101</v>
      </c>
      <c r="B107" s="52">
        <v>2012</v>
      </c>
      <c r="C107" s="52" t="s">
        <v>172</v>
      </c>
      <c r="D107" s="52" t="s">
        <v>3258</v>
      </c>
      <c r="E107" s="34">
        <v>170</v>
      </c>
      <c r="G107" s="52" t="s">
        <v>149</v>
      </c>
      <c r="H107" s="52" t="s">
        <v>182</v>
      </c>
      <c r="I107" s="52" t="s">
        <v>136</v>
      </c>
      <c r="J107" s="52" t="s">
        <v>183</v>
      </c>
      <c r="K107" s="69"/>
      <c r="L107" s="75"/>
    </row>
    <row r="108" spans="1:12" s="52" customFormat="1" ht="15" customHeight="1" x14ac:dyDescent="0.2">
      <c r="A108" s="52">
        <f t="shared" si="1"/>
        <v>102</v>
      </c>
      <c r="B108" s="52">
        <v>2012</v>
      </c>
      <c r="C108" s="52" t="s">
        <v>172</v>
      </c>
      <c r="D108" s="52" t="s">
        <v>456</v>
      </c>
      <c r="E108" s="34">
        <v>130</v>
      </c>
      <c r="G108" s="52" t="s">
        <v>149</v>
      </c>
      <c r="I108" s="52" t="s">
        <v>9</v>
      </c>
      <c r="J108" s="52" t="s">
        <v>9</v>
      </c>
      <c r="K108" s="69" t="s">
        <v>178</v>
      </c>
      <c r="L108" s="75"/>
    </row>
    <row r="109" spans="1:12" s="52" customFormat="1" ht="15" customHeight="1" x14ac:dyDescent="0.2">
      <c r="A109" s="52">
        <f t="shared" si="1"/>
        <v>103</v>
      </c>
      <c r="B109" s="52">
        <v>2012</v>
      </c>
      <c r="C109" s="52" t="s">
        <v>258</v>
      </c>
      <c r="D109" s="52" t="s">
        <v>444</v>
      </c>
      <c r="E109" s="34">
        <v>3000</v>
      </c>
      <c r="G109" s="52" t="s">
        <v>149</v>
      </c>
      <c r="H109" s="52" t="s">
        <v>182</v>
      </c>
      <c r="I109" s="52" t="s">
        <v>43</v>
      </c>
      <c r="J109" s="52" t="s">
        <v>219</v>
      </c>
      <c r="K109" s="69" t="s">
        <v>178</v>
      </c>
      <c r="L109" s="75"/>
    </row>
    <row r="110" spans="1:12" s="52" customFormat="1" ht="15" customHeight="1" x14ac:dyDescent="0.2">
      <c r="A110" s="52">
        <f t="shared" si="1"/>
        <v>104</v>
      </c>
      <c r="B110" s="52">
        <v>2012</v>
      </c>
      <c r="C110" s="52" t="s">
        <v>179</v>
      </c>
      <c r="D110" s="52" t="s">
        <v>444</v>
      </c>
      <c r="E110" s="34">
        <v>510</v>
      </c>
      <c r="G110" s="52" t="s">
        <v>154</v>
      </c>
      <c r="H110" s="52" t="s">
        <v>529</v>
      </c>
      <c r="I110" s="52" t="s">
        <v>97</v>
      </c>
      <c r="J110" s="52" t="s">
        <v>183</v>
      </c>
      <c r="K110" s="69"/>
      <c r="L110" s="75"/>
    </row>
    <row r="111" spans="1:12" s="52" customFormat="1" ht="15" customHeight="1" x14ac:dyDescent="0.2">
      <c r="A111" s="52">
        <f t="shared" si="1"/>
        <v>105</v>
      </c>
      <c r="B111" s="52">
        <v>2012</v>
      </c>
      <c r="C111" s="52" t="s">
        <v>184</v>
      </c>
      <c r="D111" s="52" t="s">
        <v>196</v>
      </c>
      <c r="E111" s="34">
        <v>2000</v>
      </c>
      <c r="G111" s="52" t="s">
        <v>144</v>
      </c>
      <c r="H111" s="52" t="s">
        <v>197</v>
      </c>
      <c r="I111" s="52" t="s">
        <v>54</v>
      </c>
      <c r="J111" s="52" t="s">
        <v>201</v>
      </c>
      <c r="K111" s="69"/>
      <c r="L111" s="75"/>
    </row>
    <row r="112" spans="1:12" s="52" customFormat="1" ht="15" customHeight="1" x14ac:dyDescent="0.2">
      <c r="A112" s="52">
        <f t="shared" si="1"/>
        <v>106</v>
      </c>
      <c r="B112" s="52">
        <v>2012</v>
      </c>
      <c r="C112" s="52" t="s">
        <v>184</v>
      </c>
      <c r="D112" s="52" t="s">
        <v>444</v>
      </c>
      <c r="E112" s="34">
        <v>690</v>
      </c>
      <c r="F112" s="52" t="s">
        <v>3259</v>
      </c>
      <c r="G112" s="52" t="s">
        <v>144</v>
      </c>
      <c r="H112" s="52" t="s">
        <v>273</v>
      </c>
      <c r="I112" s="52" t="s">
        <v>9</v>
      </c>
      <c r="J112" s="52" t="s">
        <v>9</v>
      </c>
      <c r="K112" s="69"/>
      <c r="L112" s="75"/>
    </row>
    <row r="113" spans="1:12" s="52" customFormat="1" ht="15" customHeight="1" x14ac:dyDescent="0.2">
      <c r="A113" s="52">
        <f t="shared" si="1"/>
        <v>107</v>
      </c>
      <c r="B113" s="52">
        <v>2012</v>
      </c>
      <c r="C113" s="52" t="s">
        <v>225</v>
      </c>
      <c r="D113" s="52" t="s">
        <v>199</v>
      </c>
      <c r="E113" s="34">
        <v>470</v>
      </c>
      <c r="F113" s="52" t="s">
        <v>3260</v>
      </c>
      <c r="G113" s="52" t="s">
        <v>144</v>
      </c>
      <c r="H113" s="52" t="s">
        <v>299</v>
      </c>
      <c r="I113" s="52" t="s">
        <v>9</v>
      </c>
      <c r="J113" s="52" t="s">
        <v>9</v>
      </c>
      <c r="K113" s="69"/>
      <c r="L113" s="75"/>
    </row>
    <row r="114" spans="1:12" s="52" customFormat="1" ht="15" customHeight="1" x14ac:dyDescent="0.2">
      <c r="A114" s="52">
        <f t="shared" si="1"/>
        <v>108</v>
      </c>
      <c r="B114" s="52">
        <v>2012</v>
      </c>
      <c r="C114" s="52" t="s">
        <v>188</v>
      </c>
      <c r="D114" s="52" t="s">
        <v>3261</v>
      </c>
      <c r="E114" s="34">
        <v>190</v>
      </c>
      <c r="G114" s="52" t="s">
        <v>144</v>
      </c>
      <c r="H114" s="52" t="s">
        <v>232</v>
      </c>
      <c r="I114" s="52" t="s">
        <v>22</v>
      </c>
      <c r="J114" s="52" t="s">
        <v>195</v>
      </c>
      <c r="K114" s="69" t="s">
        <v>178</v>
      </c>
      <c r="L114" s="75"/>
    </row>
    <row r="115" spans="1:12" s="52" customFormat="1" ht="15" customHeight="1" x14ac:dyDescent="0.2">
      <c r="A115" s="52">
        <f t="shared" si="1"/>
        <v>109</v>
      </c>
      <c r="B115" s="52">
        <v>2012</v>
      </c>
      <c r="C115" s="52" t="s">
        <v>188</v>
      </c>
      <c r="D115" s="52" t="s">
        <v>479</v>
      </c>
      <c r="E115" s="34">
        <v>140</v>
      </c>
      <c r="G115" s="52" t="s">
        <v>154</v>
      </c>
      <c r="H115" s="52" t="s">
        <v>250</v>
      </c>
      <c r="I115" s="52" t="s">
        <v>50</v>
      </c>
      <c r="J115" s="52" t="s">
        <v>205</v>
      </c>
      <c r="K115" s="69"/>
      <c r="L115" s="75"/>
    </row>
    <row r="116" spans="1:12" s="52" customFormat="1" ht="15" customHeight="1" x14ac:dyDescent="0.2">
      <c r="A116" s="52">
        <f t="shared" si="1"/>
        <v>110</v>
      </c>
      <c r="B116" s="52">
        <v>2012</v>
      </c>
      <c r="C116" s="52" t="s">
        <v>191</v>
      </c>
      <c r="D116" s="52" t="s">
        <v>1035</v>
      </c>
      <c r="E116" s="34">
        <v>100</v>
      </c>
      <c r="G116" s="52" t="s">
        <v>144</v>
      </c>
      <c r="H116" s="52" t="s">
        <v>197</v>
      </c>
      <c r="I116" s="52" t="s">
        <v>18</v>
      </c>
      <c r="J116" s="52" t="s">
        <v>219</v>
      </c>
      <c r="K116" s="69"/>
      <c r="L116" s="75"/>
    </row>
    <row r="117" spans="1:12" s="52" customFormat="1" ht="15" customHeight="1" x14ac:dyDescent="0.2">
      <c r="A117" s="52">
        <f t="shared" si="1"/>
        <v>111</v>
      </c>
      <c r="B117" s="52">
        <v>2012</v>
      </c>
      <c r="C117" s="52" t="s">
        <v>191</v>
      </c>
      <c r="D117" s="52" t="s">
        <v>199</v>
      </c>
      <c r="E117" s="34">
        <v>4700</v>
      </c>
      <c r="F117" s="52" t="s">
        <v>3262</v>
      </c>
      <c r="G117" s="52" t="s">
        <v>144</v>
      </c>
      <c r="H117" s="52" t="s">
        <v>299</v>
      </c>
      <c r="I117" s="52" t="s">
        <v>54</v>
      </c>
      <c r="J117" s="52" t="s">
        <v>201</v>
      </c>
      <c r="K117" s="69" t="s">
        <v>178</v>
      </c>
      <c r="L117" s="75"/>
    </row>
    <row r="118" spans="1:12" s="52" customFormat="1" ht="15" customHeight="1" x14ac:dyDescent="0.2">
      <c r="A118" s="52">
        <f t="shared" si="1"/>
        <v>112</v>
      </c>
      <c r="B118" s="52">
        <v>2012</v>
      </c>
      <c r="C118" s="52" t="s">
        <v>191</v>
      </c>
      <c r="D118" s="52" t="s">
        <v>3263</v>
      </c>
      <c r="E118" s="34">
        <v>880</v>
      </c>
      <c r="F118" s="52" t="s">
        <v>315</v>
      </c>
      <c r="G118" s="52" t="s">
        <v>144</v>
      </c>
      <c r="H118" s="52" t="s">
        <v>273</v>
      </c>
      <c r="I118" s="52" t="s">
        <v>78</v>
      </c>
      <c r="J118" s="52" t="s">
        <v>183</v>
      </c>
      <c r="K118" s="69"/>
      <c r="L118" s="75"/>
    </row>
    <row r="119" spans="1:12" s="52" customFormat="1" ht="15" customHeight="1" x14ac:dyDescent="0.2">
      <c r="A119" s="52">
        <f t="shared" si="1"/>
        <v>113</v>
      </c>
      <c r="B119" s="52">
        <v>2012</v>
      </c>
      <c r="C119" s="52" t="s">
        <v>191</v>
      </c>
      <c r="D119" s="52" t="s">
        <v>473</v>
      </c>
      <c r="E119" s="34">
        <v>840</v>
      </c>
      <c r="G119" s="52" t="s">
        <v>143</v>
      </c>
      <c r="I119" s="52" t="s">
        <v>8</v>
      </c>
      <c r="J119" s="52" t="s">
        <v>205</v>
      </c>
      <c r="K119" s="69"/>
      <c r="L119" s="75"/>
    </row>
    <row r="120" spans="1:12" s="52" customFormat="1" ht="15" customHeight="1" x14ac:dyDescent="0.2">
      <c r="A120" s="52">
        <f t="shared" si="1"/>
        <v>114</v>
      </c>
      <c r="B120" s="52">
        <v>2012</v>
      </c>
      <c r="C120" s="52" t="s">
        <v>198</v>
      </c>
      <c r="D120" s="52" t="s">
        <v>3264</v>
      </c>
      <c r="E120" s="34">
        <v>680</v>
      </c>
      <c r="G120" s="52" t="s">
        <v>149</v>
      </c>
      <c r="I120" s="52" t="s">
        <v>138</v>
      </c>
      <c r="J120" s="52" t="s">
        <v>219</v>
      </c>
      <c r="K120" s="69" t="s">
        <v>178</v>
      </c>
      <c r="L120" s="75"/>
    </row>
    <row r="121" spans="1:12" s="52" customFormat="1" ht="15" customHeight="1" x14ac:dyDescent="0.2">
      <c r="A121" s="52">
        <f t="shared" si="1"/>
        <v>115</v>
      </c>
      <c r="B121" s="52">
        <v>2012</v>
      </c>
      <c r="C121" s="52" t="s">
        <v>198</v>
      </c>
      <c r="D121" s="52" t="s">
        <v>246</v>
      </c>
      <c r="E121" s="34">
        <v>1200</v>
      </c>
      <c r="G121" s="52" t="s">
        <v>144</v>
      </c>
      <c r="H121" s="52" t="s">
        <v>197</v>
      </c>
      <c r="I121" s="52" t="s">
        <v>84</v>
      </c>
      <c r="J121" s="52" t="s">
        <v>201</v>
      </c>
      <c r="K121" s="69"/>
      <c r="L121" s="75"/>
    </row>
    <row r="122" spans="1:12" s="52" customFormat="1" ht="15" customHeight="1" x14ac:dyDescent="0.2">
      <c r="A122" s="52">
        <f t="shared" si="1"/>
        <v>116</v>
      </c>
      <c r="B122" s="52">
        <v>2012</v>
      </c>
      <c r="C122" s="52" t="s">
        <v>202</v>
      </c>
      <c r="D122" s="52" t="s">
        <v>267</v>
      </c>
      <c r="E122" s="34">
        <v>930</v>
      </c>
      <c r="F122" s="52" t="s">
        <v>3098</v>
      </c>
      <c r="G122" s="52" t="s">
        <v>144</v>
      </c>
      <c r="H122" s="52" t="s">
        <v>273</v>
      </c>
      <c r="I122" s="52" t="s">
        <v>78</v>
      </c>
      <c r="J122" s="52" t="s">
        <v>183</v>
      </c>
      <c r="K122" s="69"/>
      <c r="L122" s="75"/>
    </row>
    <row r="123" spans="1:12" s="52" customFormat="1" ht="15" customHeight="1" x14ac:dyDescent="0.2">
      <c r="A123" s="52">
        <f t="shared" si="1"/>
        <v>117</v>
      </c>
      <c r="B123" s="52">
        <v>2012</v>
      </c>
      <c r="C123" s="52" t="s">
        <v>202</v>
      </c>
      <c r="D123" s="52" t="s">
        <v>267</v>
      </c>
      <c r="E123" s="34">
        <v>310</v>
      </c>
      <c r="F123" s="52" t="s">
        <v>3265</v>
      </c>
      <c r="G123" s="52" t="s">
        <v>144</v>
      </c>
      <c r="H123" s="52" t="s">
        <v>273</v>
      </c>
      <c r="I123" s="52" t="s">
        <v>78</v>
      </c>
      <c r="J123" s="52" t="s">
        <v>183</v>
      </c>
      <c r="K123" s="69"/>
      <c r="L123" s="75"/>
    </row>
    <row r="124" spans="1:12" s="52" customFormat="1" ht="15" customHeight="1" x14ac:dyDescent="0.2">
      <c r="A124" s="52">
        <f t="shared" si="1"/>
        <v>118</v>
      </c>
      <c r="B124" s="52">
        <v>2012</v>
      </c>
      <c r="C124" s="52" t="s">
        <v>207</v>
      </c>
      <c r="D124" s="52" t="s">
        <v>3266</v>
      </c>
      <c r="E124" s="34">
        <v>1790</v>
      </c>
      <c r="F124" s="52" t="s">
        <v>3267</v>
      </c>
      <c r="G124" s="52" t="s">
        <v>154</v>
      </c>
      <c r="H124" s="52" t="s">
        <v>250</v>
      </c>
      <c r="I124" s="52" t="s">
        <v>131</v>
      </c>
      <c r="J124" s="52" t="s">
        <v>131</v>
      </c>
      <c r="K124" s="69"/>
      <c r="L124" s="75"/>
    </row>
    <row r="125" spans="1:12" s="52" customFormat="1" ht="15" customHeight="1" x14ac:dyDescent="0.2">
      <c r="A125" s="52">
        <f t="shared" si="1"/>
        <v>119</v>
      </c>
      <c r="B125" s="52">
        <v>2012</v>
      </c>
      <c r="C125" s="52" t="s">
        <v>207</v>
      </c>
      <c r="D125" s="52" t="s">
        <v>875</v>
      </c>
      <c r="E125" s="34">
        <v>400</v>
      </c>
      <c r="G125" s="52" t="s">
        <v>154</v>
      </c>
      <c r="H125" s="52" t="s">
        <v>194</v>
      </c>
      <c r="I125" s="52" t="s">
        <v>93</v>
      </c>
      <c r="J125" s="52" t="s">
        <v>201</v>
      </c>
      <c r="K125" s="69"/>
      <c r="L125" s="75"/>
    </row>
    <row r="126" spans="1:12" s="52" customFormat="1" ht="15" customHeight="1" x14ac:dyDescent="0.2">
      <c r="A126" s="52">
        <f t="shared" si="1"/>
        <v>120</v>
      </c>
      <c r="B126" s="52">
        <v>2012</v>
      </c>
      <c r="C126" s="52" t="s">
        <v>207</v>
      </c>
      <c r="D126" s="52" t="s">
        <v>444</v>
      </c>
      <c r="E126" s="34">
        <v>420</v>
      </c>
      <c r="G126" s="52" t="s">
        <v>154</v>
      </c>
      <c r="H126" s="52" t="s">
        <v>529</v>
      </c>
      <c r="I126" s="52" t="s">
        <v>97</v>
      </c>
      <c r="J126" s="52" t="s">
        <v>183</v>
      </c>
      <c r="K126" s="69"/>
      <c r="L126" s="75"/>
    </row>
    <row r="127" spans="1:12" s="52" customFormat="1" ht="15" customHeight="1" x14ac:dyDescent="0.2">
      <c r="A127" s="52">
        <f t="shared" si="1"/>
        <v>121</v>
      </c>
      <c r="B127" s="52">
        <v>2012</v>
      </c>
      <c r="C127" s="52" t="s">
        <v>207</v>
      </c>
      <c r="D127" s="52" t="s">
        <v>585</v>
      </c>
      <c r="E127" s="34">
        <v>390</v>
      </c>
      <c r="G127" s="52" t="s">
        <v>154</v>
      </c>
      <c r="H127" s="52" t="s">
        <v>194</v>
      </c>
      <c r="I127" s="52" t="s">
        <v>19</v>
      </c>
      <c r="J127" s="52" t="s">
        <v>205</v>
      </c>
      <c r="K127" s="69" t="s">
        <v>178</v>
      </c>
      <c r="L127" s="75"/>
    </row>
    <row r="128" spans="1:12" s="52" customFormat="1" ht="15" customHeight="1" x14ac:dyDescent="0.2">
      <c r="A128" s="52">
        <f t="shared" si="1"/>
        <v>122</v>
      </c>
      <c r="B128" s="52">
        <v>2012</v>
      </c>
      <c r="C128" s="52" t="s">
        <v>240</v>
      </c>
      <c r="D128" s="52" t="s">
        <v>479</v>
      </c>
      <c r="E128" s="34">
        <v>300</v>
      </c>
      <c r="G128" s="52" t="s">
        <v>154</v>
      </c>
      <c r="H128" s="52" t="s">
        <v>271</v>
      </c>
      <c r="I128" s="52" t="s">
        <v>20</v>
      </c>
      <c r="J128" s="52" t="s">
        <v>195</v>
      </c>
      <c r="K128" s="69"/>
      <c r="L128" s="75"/>
    </row>
    <row r="129" spans="1:12" s="52" customFormat="1" ht="15" customHeight="1" x14ac:dyDescent="0.2">
      <c r="A129" s="52">
        <f t="shared" si="1"/>
        <v>123</v>
      </c>
      <c r="B129" s="52">
        <v>2012</v>
      </c>
      <c r="C129" s="52" t="s">
        <v>212</v>
      </c>
      <c r="D129" s="52" t="s">
        <v>175</v>
      </c>
      <c r="E129" s="34">
        <v>680</v>
      </c>
      <c r="G129" s="52" t="s">
        <v>149</v>
      </c>
      <c r="I129" s="52" t="s">
        <v>9</v>
      </c>
      <c r="J129" s="52" t="s">
        <v>9</v>
      </c>
      <c r="K129" s="69" t="s">
        <v>178</v>
      </c>
      <c r="L129" s="75"/>
    </row>
    <row r="130" spans="1:12" s="52" customFormat="1" ht="15" customHeight="1" x14ac:dyDescent="0.2">
      <c r="A130" s="52">
        <f t="shared" si="1"/>
        <v>124</v>
      </c>
      <c r="B130" s="52">
        <v>2013</v>
      </c>
      <c r="C130" s="52" t="s">
        <v>172</v>
      </c>
      <c r="D130" s="52" t="s">
        <v>456</v>
      </c>
      <c r="E130" s="34">
        <v>1180</v>
      </c>
      <c r="F130" s="52" t="s">
        <v>3268</v>
      </c>
      <c r="G130" s="52" t="s">
        <v>149</v>
      </c>
      <c r="H130" s="52" t="s">
        <v>182</v>
      </c>
      <c r="I130" s="52" t="s">
        <v>9</v>
      </c>
      <c r="J130" s="52" t="s">
        <v>9</v>
      </c>
      <c r="K130" s="69"/>
      <c r="L130" s="75"/>
    </row>
    <row r="131" spans="1:12" s="52" customFormat="1" ht="15" customHeight="1" x14ac:dyDescent="0.2">
      <c r="A131" s="52">
        <f t="shared" si="1"/>
        <v>125</v>
      </c>
      <c r="B131" s="52">
        <v>2013</v>
      </c>
      <c r="C131" s="52" t="s">
        <v>172</v>
      </c>
      <c r="D131" s="52" t="s">
        <v>278</v>
      </c>
      <c r="E131" s="34">
        <v>490</v>
      </c>
      <c r="F131" s="52" t="s">
        <v>3269</v>
      </c>
      <c r="G131" s="52" t="s">
        <v>144</v>
      </c>
      <c r="H131" s="52" t="s">
        <v>232</v>
      </c>
      <c r="I131" s="52" t="s">
        <v>131</v>
      </c>
      <c r="J131" s="52" t="s">
        <v>131</v>
      </c>
      <c r="K131" s="69"/>
      <c r="L131" s="75"/>
    </row>
    <row r="132" spans="1:12" s="52" customFormat="1" ht="15" customHeight="1" x14ac:dyDescent="0.2">
      <c r="A132" s="52">
        <f t="shared" si="1"/>
        <v>126</v>
      </c>
      <c r="B132" s="52">
        <v>2013</v>
      </c>
      <c r="C132" s="52" t="s">
        <v>184</v>
      </c>
      <c r="D132" s="52" t="s">
        <v>255</v>
      </c>
      <c r="E132" s="34">
        <v>600</v>
      </c>
      <c r="F132" s="52" t="s">
        <v>3270</v>
      </c>
      <c r="G132" s="52" t="s">
        <v>152</v>
      </c>
      <c r="H132" s="52" t="s">
        <v>257</v>
      </c>
      <c r="I132" s="52" t="s">
        <v>121</v>
      </c>
      <c r="J132" s="52" t="s">
        <v>183</v>
      </c>
      <c r="K132" s="69"/>
      <c r="L132" s="75"/>
    </row>
    <row r="133" spans="1:12" s="52" customFormat="1" ht="15" customHeight="1" x14ac:dyDescent="0.2">
      <c r="A133" s="52">
        <f t="shared" si="1"/>
        <v>127</v>
      </c>
      <c r="B133" s="52">
        <v>2013</v>
      </c>
      <c r="C133" s="52" t="s">
        <v>225</v>
      </c>
      <c r="D133" s="56" t="s">
        <v>245</v>
      </c>
      <c r="E133" s="34">
        <v>1000</v>
      </c>
      <c r="G133" s="52" t="s">
        <v>149</v>
      </c>
      <c r="I133" s="52" t="s">
        <v>34</v>
      </c>
      <c r="J133" s="52" t="s">
        <v>219</v>
      </c>
      <c r="K133" s="69"/>
      <c r="L133" s="75"/>
    </row>
    <row r="134" spans="1:12" s="52" customFormat="1" ht="15" customHeight="1" x14ac:dyDescent="0.2">
      <c r="A134" s="52">
        <f t="shared" si="1"/>
        <v>128</v>
      </c>
      <c r="B134" s="52">
        <v>2013</v>
      </c>
      <c r="C134" s="52" t="s">
        <v>225</v>
      </c>
      <c r="D134" s="52" t="s">
        <v>554</v>
      </c>
      <c r="E134" s="34">
        <v>740</v>
      </c>
      <c r="F134" s="52" t="s">
        <v>772</v>
      </c>
      <c r="G134" s="52" t="s">
        <v>153</v>
      </c>
      <c r="I134" s="52" t="s">
        <v>42</v>
      </c>
      <c r="J134" s="52" t="s">
        <v>195</v>
      </c>
      <c r="K134" s="69"/>
      <c r="L134" s="75"/>
    </row>
    <row r="135" spans="1:12" s="52" customFormat="1" ht="15.75" customHeight="1" x14ac:dyDescent="0.2">
      <c r="A135" s="52">
        <f t="shared" ref="A135:A198" si="2">ROW()-6</f>
        <v>129</v>
      </c>
      <c r="B135" s="52">
        <v>2013</v>
      </c>
      <c r="C135" s="52" t="s">
        <v>188</v>
      </c>
      <c r="D135" s="52" t="s">
        <v>199</v>
      </c>
      <c r="E135" s="34">
        <v>650</v>
      </c>
      <c r="F135" s="52" t="s">
        <v>3271</v>
      </c>
      <c r="G135" s="52" t="s">
        <v>144</v>
      </c>
      <c r="H135" s="52" t="s">
        <v>187</v>
      </c>
      <c r="I135" s="52" t="s">
        <v>2445</v>
      </c>
      <c r="J135" s="52" t="s">
        <v>177</v>
      </c>
      <c r="K135" s="69"/>
      <c r="L135" s="75"/>
    </row>
    <row r="136" spans="1:12" s="52" customFormat="1" ht="15" customHeight="1" x14ac:dyDescent="0.2">
      <c r="A136" s="52">
        <f t="shared" si="2"/>
        <v>130</v>
      </c>
      <c r="B136" s="52">
        <v>2013</v>
      </c>
      <c r="C136" s="52" t="s">
        <v>191</v>
      </c>
      <c r="D136" s="52" t="s">
        <v>483</v>
      </c>
      <c r="E136" s="34">
        <v>310</v>
      </c>
      <c r="G136" s="52" t="s">
        <v>149</v>
      </c>
      <c r="H136" s="52" t="s">
        <v>236</v>
      </c>
      <c r="I136" s="52" t="s">
        <v>82</v>
      </c>
      <c r="J136" s="52" t="s">
        <v>183</v>
      </c>
      <c r="K136" s="69"/>
      <c r="L136" s="75"/>
    </row>
    <row r="137" spans="1:12" s="52" customFormat="1" ht="15" customHeight="1" x14ac:dyDescent="0.2">
      <c r="A137" s="52">
        <f t="shared" si="2"/>
        <v>131</v>
      </c>
      <c r="B137" s="52">
        <v>2013</v>
      </c>
      <c r="C137" s="52" t="s">
        <v>191</v>
      </c>
      <c r="D137" s="52" t="s">
        <v>341</v>
      </c>
      <c r="E137" s="34">
        <v>300</v>
      </c>
      <c r="G137" s="52" t="s">
        <v>154</v>
      </c>
      <c r="H137" s="52" t="s">
        <v>250</v>
      </c>
      <c r="I137" s="52" t="s">
        <v>107</v>
      </c>
      <c r="J137" s="52" t="s">
        <v>219</v>
      </c>
      <c r="K137" s="69"/>
      <c r="L137" s="75"/>
    </row>
    <row r="138" spans="1:12" s="52" customFormat="1" ht="15" customHeight="1" x14ac:dyDescent="0.2">
      <c r="A138" s="52">
        <f t="shared" si="2"/>
        <v>132</v>
      </c>
      <c r="B138" s="52">
        <v>2013</v>
      </c>
      <c r="C138" s="52" t="s">
        <v>198</v>
      </c>
      <c r="D138" s="52" t="s">
        <v>3272</v>
      </c>
      <c r="E138" s="34">
        <v>4230</v>
      </c>
      <c r="F138" s="52" t="s">
        <v>3273</v>
      </c>
      <c r="G138" s="52" t="s">
        <v>154</v>
      </c>
      <c r="H138" s="52" t="s">
        <v>250</v>
      </c>
      <c r="I138" s="52" t="s">
        <v>131</v>
      </c>
      <c r="J138" s="52" t="s">
        <v>131</v>
      </c>
      <c r="K138" s="69"/>
      <c r="L138" s="75"/>
    </row>
    <row r="139" spans="1:12" s="52" customFormat="1" ht="15" customHeight="1" x14ac:dyDescent="0.2">
      <c r="A139" s="52">
        <f t="shared" si="2"/>
        <v>133</v>
      </c>
      <c r="B139" s="52">
        <v>2013</v>
      </c>
      <c r="C139" s="52" t="s">
        <v>198</v>
      </c>
      <c r="D139" s="52" t="s">
        <v>199</v>
      </c>
      <c r="E139" s="34">
        <v>1770</v>
      </c>
      <c r="G139" s="52" t="s">
        <v>144</v>
      </c>
      <c r="I139" s="52" t="s">
        <v>120</v>
      </c>
      <c r="J139" s="52" t="s">
        <v>214</v>
      </c>
      <c r="K139" s="69"/>
      <c r="L139" s="75"/>
    </row>
    <row r="140" spans="1:12" s="52" customFormat="1" ht="15" customHeight="1" x14ac:dyDescent="0.2">
      <c r="A140" s="52">
        <f t="shared" si="2"/>
        <v>134</v>
      </c>
      <c r="B140" s="52">
        <v>2013</v>
      </c>
      <c r="C140" s="52" t="s">
        <v>198</v>
      </c>
      <c r="D140" s="52" t="s">
        <v>189</v>
      </c>
      <c r="E140" s="34">
        <v>2000</v>
      </c>
      <c r="G140" s="52" t="s">
        <v>144</v>
      </c>
      <c r="H140" s="52" t="s">
        <v>187</v>
      </c>
      <c r="I140" s="52" t="s">
        <v>120</v>
      </c>
      <c r="J140" s="52" t="s">
        <v>214</v>
      </c>
      <c r="K140" s="69"/>
      <c r="L140" s="75"/>
    </row>
    <row r="141" spans="1:12" s="52" customFormat="1" ht="15" customHeight="1" x14ac:dyDescent="0.2">
      <c r="A141" s="52">
        <f t="shared" si="2"/>
        <v>135</v>
      </c>
      <c r="B141" s="52">
        <v>2013</v>
      </c>
      <c r="C141" s="52" t="s">
        <v>198</v>
      </c>
      <c r="D141" s="52" t="s">
        <v>208</v>
      </c>
      <c r="E141" s="34">
        <v>100</v>
      </c>
      <c r="G141" s="52" t="s">
        <v>149</v>
      </c>
      <c r="H141" s="52" t="s">
        <v>182</v>
      </c>
      <c r="I141" s="52" t="s">
        <v>9</v>
      </c>
      <c r="J141" s="52" t="s">
        <v>9</v>
      </c>
      <c r="K141" s="69"/>
      <c r="L141" s="75"/>
    </row>
    <row r="142" spans="1:12" s="52" customFormat="1" ht="15" customHeight="1" x14ac:dyDescent="0.2">
      <c r="A142" s="52">
        <f t="shared" si="2"/>
        <v>136</v>
      </c>
      <c r="B142" s="52">
        <v>2013</v>
      </c>
      <c r="C142" s="52" t="s">
        <v>202</v>
      </c>
      <c r="D142" s="52" t="s">
        <v>189</v>
      </c>
      <c r="E142" s="34">
        <v>100</v>
      </c>
      <c r="G142" s="52" t="s">
        <v>144</v>
      </c>
      <c r="H142" s="52" t="s">
        <v>299</v>
      </c>
      <c r="I142" s="52" t="s">
        <v>13</v>
      </c>
      <c r="J142" s="52" t="s">
        <v>201</v>
      </c>
      <c r="K142" s="69" t="s">
        <v>178</v>
      </c>
      <c r="L142" s="75"/>
    </row>
    <row r="143" spans="1:12" s="52" customFormat="1" ht="15" customHeight="1" x14ac:dyDescent="0.2">
      <c r="A143" s="52">
        <f t="shared" si="2"/>
        <v>137</v>
      </c>
      <c r="B143" s="52">
        <v>2013</v>
      </c>
      <c r="C143" s="52" t="s">
        <v>202</v>
      </c>
      <c r="D143" s="52" t="s">
        <v>3274</v>
      </c>
      <c r="E143" s="34">
        <v>130</v>
      </c>
      <c r="F143" s="52" t="s">
        <v>3275</v>
      </c>
      <c r="G143" s="52" t="s">
        <v>149</v>
      </c>
      <c r="H143" s="52" t="s">
        <v>236</v>
      </c>
      <c r="I143" s="52" t="s">
        <v>9</v>
      </c>
      <c r="J143" s="52" t="s">
        <v>9</v>
      </c>
      <c r="K143" s="69"/>
      <c r="L143" s="75"/>
    </row>
    <row r="144" spans="1:12" s="52" customFormat="1" ht="15" customHeight="1" x14ac:dyDescent="0.2">
      <c r="A144" s="52">
        <f t="shared" si="2"/>
        <v>138</v>
      </c>
      <c r="B144" s="52">
        <v>2013</v>
      </c>
      <c r="C144" s="52" t="s">
        <v>240</v>
      </c>
      <c r="D144" s="52" t="s">
        <v>199</v>
      </c>
      <c r="E144" s="34">
        <v>220</v>
      </c>
      <c r="G144" s="52" t="s">
        <v>144</v>
      </c>
      <c r="H144" s="52" t="s">
        <v>187</v>
      </c>
      <c r="I144" s="52" t="s">
        <v>88</v>
      </c>
      <c r="J144" s="52" t="s">
        <v>219</v>
      </c>
      <c r="K144" s="69"/>
      <c r="L144" s="75">
        <v>1</v>
      </c>
    </row>
    <row r="145" spans="1:12" s="52" customFormat="1" ht="15" customHeight="1" x14ac:dyDescent="0.2">
      <c r="A145" s="52">
        <f t="shared" si="2"/>
        <v>139</v>
      </c>
      <c r="B145" s="52">
        <v>2013</v>
      </c>
      <c r="C145" s="52" t="s">
        <v>212</v>
      </c>
      <c r="D145" s="52" t="s">
        <v>2635</v>
      </c>
      <c r="E145" s="34">
        <v>990</v>
      </c>
      <c r="G145" s="52" t="s">
        <v>154</v>
      </c>
      <c r="H145" s="52" t="s">
        <v>529</v>
      </c>
      <c r="I145" s="52" t="s">
        <v>40</v>
      </c>
      <c r="J145" s="52" t="s">
        <v>219</v>
      </c>
      <c r="K145" s="69"/>
      <c r="L145" s="75">
        <v>1</v>
      </c>
    </row>
    <row r="146" spans="1:12" s="52" customFormat="1" ht="15" customHeight="1" x14ac:dyDescent="0.2">
      <c r="A146" s="52">
        <f t="shared" si="2"/>
        <v>140</v>
      </c>
      <c r="B146" s="52">
        <v>2013</v>
      </c>
      <c r="C146" s="52" t="s">
        <v>212</v>
      </c>
      <c r="D146" s="52" t="s">
        <v>479</v>
      </c>
      <c r="E146" s="34">
        <v>470</v>
      </c>
      <c r="G146" s="52" t="s">
        <v>154</v>
      </c>
      <c r="H146" s="52" t="s">
        <v>194</v>
      </c>
      <c r="I146" s="52" t="s">
        <v>2445</v>
      </c>
      <c r="J146" s="52" t="s">
        <v>177</v>
      </c>
      <c r="K146" s="69"/>
      <c r="L146" s="75">
        <v>1</v>
      </c>
    </row>
    <row r="147" spans="1:12" s="52" customFormat="1" ht="15" customHeight="1" x14ac:dyDescent="0.2">
      <c r="A147" s="52">
        <f t="shared" si="2"/>
        <v>141</v>
      </c>
      <c r="B147" s="52">
        <v>2014</v>
      </c>
      <c r="C147" s="52" t="s">
        <v>172</v>
      </c>
      <c r="D147" s="52" t="s">
        <v>189</v>
      </c>
      <c r="E147" s="34">
        <v>400</v>
      </c>
      <c r="G147" s="52" t="s">
        <v>144</v>
      </c>
      <c r="H147" s="52" t="s">
        <v>187</v>
      </c>
      <c r="I147" s="52" t="s">
        <v>43</v>
      </c>
      <c r="J147" s="52" t="s">
        <v>219</v>
      </c>
      <c r="K147" s="69"/>
      <c r="L147" s="75">
        <v>1</v>
      </c>
    </row>
    <row r="148" spans="1:12" s="52" customFormat="1" ht="15" customHeight="1" x14ac:dyDescent="0.2">
      <c r="A148" s="52">
        <f t="shared" si="2"/>
        <v>142</v>
      </c>
      <c r="B148" s="52">
        <v>2014</v>
      </c>
      <c r="C148" s="52" t="s">
        <v>172</v>
      </c>
      <c r="D148" s="52" t="s">
        <v>221</v>
      </c>
      <c r="E148" s="34">
        <v>6900</v>
      </c>
      <c r="G148" s="52" t="s">
        <v>149</v>
      </c>
      <c r="H148" s="52" t="s">
        <v>182</v>
      </c>
      <c r="I148" s="52" t="s">
        <v>9</v>
      </c>
      <c r="J148" s="52" t="s">
        <v>9</v>
      </c>
      <c r="K148" s="69" t="s">
        <v>178</v>
      </c>
      <c r="L148" s="75">
        <v>0</v>
      </c>
    </row>
    <row r="149" spans="1:12" s="52" customFormat="1" ht="15" customHeight="1" x14ac:dyDescent="0.2">
      <c r="A149" s="52">
        <f t="shared" si="2"/>
        <v>143</v>
      </c>
      <c r="B149" s="52">
        <v>2014</v>
      </c>
      <c r="C149" s="52" t="s">
        <v>258</v>
      </c>
      <c r="D149" s="52" t="s">
        <v>410</v>
      </c>
      <c r="E149" s="34">
        <v>300</v>
      </c>
      <c r="G149" s="52" t="s">
        <v>154</v>
      </c>
      <c r="H149" s="52" t="s">
        <v>194</v>
      </c>
      <c r="I149" s="52" t="s">
        <v>124</v>
      </c>
      <c r="J149" s="52" t="s">
        <v>183</v>
      </c>
      <c r="K149" s="69" t="s">
        <v>178</v>
      </c>
      <c r="L149" s="75">
        <v>1</v>
      </c>
    </row>
    <row r="150" spans="1:12" s="52" customFormat="1" ht="15" customHeight="1" x14ac:dyDescent="0.2">
      <c r="A150" s="52">
        <f t="shared" si="2"/>
        <v>144</v>
      </c>
      <c r="B150" s="52">
        <v>2014</v>
      </c>
      <c r="C150" s="52" t="s">
        <v>179</v>
      </c>
      <c r="D150" s="52" t="s">
        <v>189</v>
      </c>
      <c r="E150" s="34">
        <v>1600</v>
      </c>
      <c r="F150" s="52" t="s">
        <v>3276</v>
      </c>
      <c r="G150" s="52" t="s">
        <v>144</v>
      </c>
      <c r="H150" s="52" t="s">
        <v>273</v>
      </c>
      <c r="I150" s="52" t="s">
        <v>131</v>
      </c>
      <c r="J150" s="52" t="s">
        <v>131</v>
      </c>
      <c r="K150" s="69"/>
      <c r="L150" s="75">
        <v>0</v>
      </c>
    </row>
    <row r="151" spans="1:12" s="52" customFormat="1" ht="15" customHeight="1" x14ac:dyDescent="0.2">
      <c r="A151" s="52">
        <f t="shared" si="2"/>
        <v>145</v>
      </c>
      <c r="B151" s="52">
        <v>2014</v>
      </c>
      <c r="C151" s="52" t="s">
        <v>179</v>
      </c>
      <c r="D151" s="52" t="s">
        <v>479</v>
      </c>
      <c r="E151" s="34">
        <v>490</v>
      </c>
      <c r="G151" s="52" t="s">
        <v>148</v>
      </c>
      <c r="I151" s="52" t="s">
        <v>126</v>
      </c>
      <c r="J151" s="52" t="s">
        <v>205</v>
      </c>
      <c r="K151" s="69"/>
      <c r="L151" s="75">
        <v>1</v>
      </c>
    </row>
    <row r="152" spans="1:12" s="52" customFormat="1" ht="15" customHeight="1" x14ac:dyDescent="0.2">
      <c r="A152" s="52">
        <f t="shared" si="2"/>
        <v>146</v>
      </c>
      <c r="B152" s="52">
        <v>2014</v>
      </c>
      <c r="C152" s="52" t="s">
        <v>184</v>
      </c>
      <c r="D152" s="52" t="s">
        <v>199</v>
      </c>
      <c r="E152" s="34">
        <v>2500</v>
      </c>
      <c r="G152" s="52" t="s">
        <v>144</v>
      </c>
      <c r="H152" s="52" t="s">
        <v>187</v>
      </c>
      <c r="I152" s="52" t="s">
        <v>54</v>
      </c>
      <c r="J152" s="52" t="s">
        <v>201</v>
      </c>
      <c r="K152" s="69"/>
      <c r="L152" s="75">
        <v>1</v>
      </c>
    </row>
    <row r="153" spans="1:12" s="52" customFormat="1" ht="15" customHeight="1" x14ac:dyDescent="0.2">
      <c r="A153" s="52">
        <f t="shared" si="2"/>
        <v>147</v>
      </c>
      <c r="B153" s="52">
        <v>2014</v>
      </c>
      <c r="C153" s="52" t="s">
        <v>184</v>
      </c>
      <c r="D153" s="52" t="s">
        <v>307</v>
      </c>
      <c r="E153" s="34">
        <v>1460</v>
      </c>
      <c r="G153" s="52" t="s">
        <v>144</v>
      </c>
      <c r="I153" s="52" t="s">
        <v>40</v>
      </c>
      <c r="J153" s="52" t="s">
        <v>219</v>
      </c>
      <c r="K153" s="69"/>
      <c r="L153" s="75">
        <v>1</v>
      </c>
    </row>
    <row r="154" spans="1:12" s="52" customFormat="1" ht="15" customHeight="1" x14ac:dyDescent="0.2">
      <c r="A154" s="52">
        <f t="shared" si="2"/>
        <v>148</v>
      </c>
      <c r="B154" s="52">
        <v>2014</v>
      </c>
      <c r="C154" s="52" t="s">
        <v>225</v>
      </c>
      <c r="D154" s="52" t="s">
        <v>180</v>
      </c>
      <c r="E154" s="34">
        <v>890</v>
      </c>
      <c r="F154" s="52" t="s">
        <v>2586</v>
      </c>
      <c r="G154" s="52" t="s">
        <v>149</v>
      </c>
      <c r="H154" s="52" t="s">
        <v>182</v>
      </c>
      <c r="I154" s="52" t="s">
        <v>136</v>
      </c>
      <c r="J154" s="52" t="s">
        <v>183</v>
      </c>
      <c r="K154" s="69"/>
      <c r="L154" s="75">
        <v>1</v>
      </c>
    </row>
    <row r="155" spans="1:12" s="52" customFormat="1" ht="15" customHeight="1" x14ac:dyDescent="0.2">
      <c r="A155" s="52">
        <f t="shared" si="2"/>
        <v>149</v>
      </c>
      <c r="B155" s="52">
        <v>2014</v>
      </c>
      <c r="C155" s="52" t="s">
        <v>225</v>
      </c>
      <c r="D155" s="52" t="s">
        <v>3277</v>
      </c>
      <c r="E155" s="34">
        <v>420</v>
      </c>
      <c r="F155" s="52" t="s">
        <v>3278</v>
      </c>
      <c r="G155" s="52" t="s">
        <v>146</v>
      </c>
      <c r="I155" s="52" t="s">
        <v>57</v>
      </c>
      <c r="J155" s="52" t="s">
        <v>195</v>
      </c>
      <c r="K155" s="69"/>
      <c r="L155" s="75">
        <v>0</v>
      </c>
    </row>
    <row r="156" spans="1:12" s="52" customFormat="1" ht="15" customHeight="1" x14ac:dyDescent="0.2">
      <c r="A156" s="52">
        <f t="shared" si="2"/>
        <v>150</v>
      </c>
      <c r="B156" s="52">
        <v>2014</v>
      </c>
      <c r="C156" s="52" t="s">
        <v>188</v>
      </c>
      <c r="D156" s="52" t="s">
        <v>444</v>
      </c>
      <c r="E156" s="34">
        <v>1260</v>
      </c>
      <c r="G156" s="52" t="s">
        <v>144</v>
      </c>
      <c r="H156" s="52" t="s">
        <v>273</v>
      </c>
      <c r="I156" s="52" t="s">
        <v>139</v>
      </c>
      <c r="J156" s="52" t="s">
        <v>219</v>
      </c>
      <c r="K156" s="69"/>
      <c r="L156" s="75">
        <v>1</v>
      </c>
    </row>
    <row r="157" spans="1:12" s="52" customFormat="1" ht="15" customHeight="1" x14ac:dyDescent="0.2">
      <c r="A157" s="52">
        <f t="shared" si="2"/>
        <v>151</v>
      </c>
      <c r="B157" s="52">
        <v>2014</v>
      </c>
      <c r="C157" s="52" t="s">
        <v>188</v>
      </c>
      <c r="D157" s="52" t="s">
        <v>444</v>
      </c>
      <c r="E157" s="34">
        <v>290</v>
      </c>
      <c r="G157" s="52" t="s">
        <v>144</v>
      </c>
      <c r="H157" s="52" t="s">
        <v>273</v>
      </c>
      <c r="I157" s="52" t="s">
        <v>55</v>
      </c>
      <c r="J157" s="52" t="s">
        <v>214</v>
      </c>
      <c r="K157" s="69"/>
      <c r="L157" s="75">
        <v>1</v>
      </c>
    </row>
    <row r="158" spans="1:12" s="52" customFormat="1" ht="15" customHeight="1" x14ac:dyDescent="0.2">
      <c r="A158" s="52">
        <f t="shared" si="2"/>
        <v>152</v>
      </c>
      <c r="B158" s="52">
        <v>2014</v>
      </c>
      <c r="C158" s="52" t="s">
        <v>188</v>
      </c>
      <c r="D158" s="52" t="s">
        <v>3279</v>
      </c>
      <c r="E158" s="34">
        <v>400</v>
      </c>
      <c r="G158" s="52" t="s">
        <v>144</v>
      </c>
      <c r="H158" s="52" t="s">
        <v>197</v>
      </c>
      <c r="I158" s="52" t="s">
        <v>139</v>
      </c>
      <c r="J158" s="52" t="s">
        <v>219</v>
      </c>
      <c r="K158" s="69"/>
      <c r="L158" s="75">
        <v>1</v>
      </c>
    </row>
    <row r="159" spans="1:12" s="52" customFormat="1" ht="15" customHeight="1" x14ac:dyDescent="0.2">
      <c r="A159" s="52">
        <f t="shared" si="2"/>
        <v>153</v>
      </c>
      <c r="B159" s="52">
        <v>2014</v>
      </c>
      <c r="C159" s="52" t="s">
        <v>191</v>
      </c>
      <c r="D159" s="52" t="s">
        <v>199</v>
      </c>
      <c r="E159" s="34">
        <v>260</v>
      </c>
      <c r="G159" s="52" t="s">
        <v>144</v>
      </c>
      <c r="H159" s="52" t="s">
        <v>187</v>
      </c>
      <c r="I159" s="52" t="s">
        <v>2554</v>
      </c>
      <c r="J159" s="52" t="s">
        <v>219</v>
      </c>
      <c r="K159" s="69"/>
      <c r="L159" s="75">
        <v>1</v>
      </c>
    </row>
    <row r="160" spans="1:12" s="52" customFormat="1" ht="15" customHeight="1" x14ac:dyDescent="0.2">
      <c r="A160" s="52">
        <f t="shared" si="2"/>
        <v>154</v>
      </c>
      <c r="B160" s="52">
        <v>2014</v>
      </c>
      <c r="C160" s="52" t="s">
        <v>191</v>
      </c>
      <c r="D160" s="52" t="s">
        <v>543</v>
      </c>
      <c r="E160" s="34">
        <v>210</v>
      </c>
      <c r="F160" s="52" t="s">
        <v>3280</v>
      </c>
      <c r="G160" s="52" t="s">
        <v>152</v>
      </c>
      <c r="I160" s="52" t="s">
        <v>138</v>
      </c>
      <c r="J160" s="52" t="s">
        <v>219</v>
      </c>
      <c r="K160" s="69"/>
      <c r="L160" s="75">
        <v>1</v>
      </c>
    </row>
    <row r="161" spans="1:12" s="52" customFormat="1" ht="15" customHeight="1" x14ac:dyDescent="0.2">
      <c r="A161" s="52">
        <f t="shared" si="2"/>
        <v>155</v>
      </c>
      <c r="B161" s="52">
        <v>2014</v>
      </c>
      <c r="C161" s="52" t="s">
        <v>198</v>
      </c>
      <c r="D161" s="52" t="s">
        <v>189</v>
      </c>
      <c r="E161" s="34">
        <v>1850</v>
      </c>
      <c r="F161" s="52" t="s">
        <v>2475</v>
      </c>
      <c r="G161" s="52" t="s">
        <v>143</v>
      </c>
      <c r="I161" s="52" t="s">
        <v>63</v>
      </c>
      <c r="J161" s="52" t="s">
        <v>201</v>
      </c>
      <c r="K161" s="69"/>
      <c r="L161" s="75">
        <v>1</v>
      </c>
    </row>
    <row r="162" spans="1:12" s="52" customFormat="1" ht="15" customHeight="1" x14ac:dyDescent="0.2">
      <c r="A162" s="52">
        <f t="shared" si="2"/>
        <v>156</v>
      </c>
      <c r="B162" s="52">
        <v>2014</v>
      </c>
      <c r="C162" s="52" t="s">
        <v>198</v>
      </c>
      <c r="D162" s="52" t="s">
        <v>341</v>
      </c>
      <c r="E162" s="34">
        <v>760</v>
      </c>
      <c r="G162" s="52" t="s">
        <v>154</v>
      </c>
      <c r="H162" s="52" t="s">
        <v>529</v>
      </c>
      <c r="I162" s="52" t="s">
        <v>82</v>
      </c>
      <c r="J162" s="52" t="s">
        <v>183</v>
      </c>
      <c r="K162" s="69"/>
      <c r="L162" s="75">
        <v>1</v>
      </c>
    </row>
    <row r="163" spans="1:12" s="52" customFormat="1" ht="15" customHeight="1" x14ac:dyDescent="0.2">
      <c r="A163" s="52">
        <f t="shared" si="2"/>
        <v>157</v>
      </c>
      <c r="B163" s="52">
        <v>2014</v>
      </c>
      <c r="C163" s="52" t="s">
        <v>198</v>
      </c>
      <c r="D163" s="52" t="s">
        <v>1097</v>
      </c>
      <c r="E163" s="34">
        <v>270</v>
      </c>
      <c r="G163" s="52" t="s">
        <v>144</v>
      </c>
      <c r="H163" s="52" t="s">
        <v>197</v>
      </c>
      <c r="I163" s="52" t="s">
        <v>136</v>
      </c>
      <c r="J163" s="52" t="s">
        <v>183</v>
      </c>
      <c r="K163" s="69"/>
      <c r="L163" s="75">
        <v>1</v>
      </c>
    </row>
    <row r="164" spans="1:12" s="52" customFormat="1" ht="15" customHeight="1" x14ac:dyDescent="0.2">
      <c r="A164" s="52">
        <f t="shared" si="2"/>
        <v>158</v>
      </c>
      <c r="B164" s="52">
        <v>2014</v>
      </c>
      <c r="C164" s="52" t="s">
        <v>202</v>
      </c>
      <c r="D164" s="52" t="s">
        <v>3281</v>
      </c>
      <c r="E164" s="34">
        <v>990</v>
      </c>
      <c r="F164" s="52" t="s">
        <v>450</v>
      </c>
      <c r="G164" s="52" t="s">
        <v>149</v>
      </c>
      <c r="H164" s="52" t="s">
        <v>182</v>
      </c>
      <c r="I164" s="52" t="s">
        <v>107</v>
      </c>
      <c r="J164" s="52" t="s">
        <v>219</v>
      </c>
      <c r="K164" s="69"/>
      <c r="L164" s="75">
        <v>1</v>
      </c>
    </row>
    <row r="165" spans="1:12" s="52" customFormat="1" ht="15" customHeight="1" x14ac:dyDescent="0.2">
      <c r="A165" s="52">
        <f t="shared" si="2"/>
        <v>159</v>
      </c>
      <c r="B165" s="52">
        <v>2014</v>
      </c>
      <c r="C165" s="52" t="s">
        <v>202</v>
      </c>
      <c r="D165" s="52" t="s">
        <v>554</v>
      </c>
      <c r="E165" s="34">
        <v>1200</v>
      </c>
      <c r="G165" s="52" t="s">
        <v>153</v>
      </c>
      <c r="I165" s="52" t="s">
        <v>47</v>
      </c>
      <c r="J165" s="52" t="s">
        <v>195</v>
      </c>
      <c r="K165" s="69" t="s">
        <v>178</v>
      </c>
      <c r="L165" s="75">
        <v>1</v>
      </c>
    </row>
    <row r="166" spans="1:12" s="52" customFormat="1" ht="15" customHeight="1" x14ac:dyDescent="0.2">
      <c r="A166" s="52">
        <f t="shared" si="2"/>
        <v>160</v>
      </c>
      <c r="B166" s="52">
        <v>2014</v>
      </c>
      <c r="C166" s="52" t="s">
        <v>202</v>
      </c>
      <c r="D166" s="52" t="s">
        <v>414</v>
      </c>
      <c r="E166" s="34">
        <v>180</v>
      </c>
      <c r="G166" s="52" t="s">
        <v>154</v>
      </c>
      <c r="H166" s="52" t="s">
        <v>194</v>
      </c>
      <c r="I166" s="52" t="s">
        <v>52</v>
      </c>
      <c r="J166" s="52" t="s">
        <v>201</v>
      </c>
      <c r="K166" s="69" t="s">
        <v>178</v>
      </c>
      <c r="L166" s="75">
        <v>0</v>
      </c>
    </row>
    <row r="167" spans="1:12" s="52" customFormat="1" x14ac:dyDescent="0.2">
      <c r="A167" s="52">
        <f t="shared" si="2"/>
        <v>161</v>
      </c>
      <c r="B167" s="52">
        <v>2014</v>
      </c>
      <c r="C167" s="52" t="s">
        <v>207</v>
      </c>
      <c r="D167" s="52" t="s">
        <v>199</v>
      </c>
      <c r="E167" s="34">
        <v>400</v>
      </c>
      <c r="G167" s="52" t="s">
        <v>144</v>
      </c>
      <c r="H167" s="52" t="s">
        <v>187</v>
      </c>
      <c r="I167" s="52" t="s">
        <v>26</v>
      </c>
      <c r="J167" s="52" t="s">
        <v>219</v>
      </c>
      <c r="K167" s="69"/>
      <c r="L167" s="75">
        <v>1</v>
      </c>
    </row>
    <row r="168" spans="1:12" s="52" customFormat="1" ht="15" customHeight="1" x14ac:dyDescent="0.2">
      <c r="A168" s="52">
        <f t="shared" si="2"/>
        <v>162</v>
      </c>
      <c r="B168" s="52">
        <v>2014</v>
      </c>
      <c r="C168" s="52" t="s">
        <v>207</v>
      </c>
      <c r="D168" s="52" t="s">
        <v>692</v>
      </c>
      <c r="E168" s="34">
        <v>110</v>
      </c>
      <c r="G168" s="52" t="s">
        <v>144</v>
      </c>
      <c r="H168" s="52" t="s">
        <v>273</v>
      </c>
      <c r="I168" s="52" t="s">
        <v>53</v>
      </c>
      <c r="J168" s="52" t="s">
        <v>183</v>
      </c>
      <c r="K168" s="69"/>
      <c r="L168" s="75">
        <v>1</v>
      </c>
    </row>
    <row r="169" spans="1:12" s="52" customFormat="1" ht="15" customHeight="1" x14ac:dyDescent="0.2">
      <c r="A169" s="52">
        <f t="shared" si="2"/>
        <v>163</v>
      </c>
      <c r="B169" s="52">
        <v>2014</v>
      </c>
      <c r="C169" s="52" t="s">
        <v>207</v>
      </c>
      <c r="D169" s="52" t="s">
        <v>399</v>
      </c>
      <c r="E169" s="34">
        <v>930</v>
      </c>
      <c r="G169" s="52" t="s">
        <v>144</v>
      </c>
      <c r="H169" s="52" t="s">
        <v>273</v>
      </c>
      <c r="I169" s="52" t="s">
        <v>98</v>
      </c>
      <c r="J169" s="52" t="s">
        <v>195</v>
      </c>
      <c r="K169" s="69"/>
      <c r="L169" s="75">
        <v>1</v>
      </c>
    </row>
    <row r="170" spans="1:12" s="52" customFormat="1" ht="15" customHeight="1" x14ac:dyDescent="0.2">
      <c r="A170" s="52">
        <f t="shared" si="2"/>
        <v>164</v>
      </c>
      <c r="B170" s="52">
        <v>2014</v>
      </c>
      <c r="C170" s="52" t="s">
        <v>212</v>
      </c>
      <c r="D170" s="52" t="s">
        <v>3282</v>
      </c>
      <c r="E170" s="34">
        <v>590</v>
      </c>
      <c r="F170" s="52" t="s">
        <v>3283</v>
      </c>
      <c r="G170" s="52" t="s">
        <v>144</v>
      </c>
      <c r="H170" s="52" t="s">
        <v>273</v>
      </c>
      <c r="I170" s="52" t="s">
        <v>52</v>
      </c>
      <c r="J170" s="52" t="s">
        <v>201</v>
      </c>
      <c r="K170" s="69" t="s">
        <v>178</v>
      </c>
      <c r="L170" s="75">
        <v>0</v>
      </c>
    </row>
    <row r="171" spans="1:12" s="52" customFormat="1" ht="15" customHeight="1" x14ac:dyDescent="0.2">
      <c r="A171" s="52">
        <f t="shared" si="2"/>
        <v>165</v>
      </c>
      <c r="B171" s="52">
        <v>2014</v>
      </c>
      <c r="C171" s="52" t="s">
        <v>212</v>
      </c>
      <c r="D171" s="52" t="s">
        <v>543</v>
      </c>
      <c r="E171" s="34">
        <v>800</v>
      </c>
      <c r="F171" s="52" t="s">
        <v>3284</v>
      </c>
      <c r="G171" s="52" t="s">
        <v>152</v>
      </c>
      <c r="H171" s="52" t="s">
        <v>257</v>
      </c>
      <c r="I171" s="52" t="s">
        <v>40</v>
      </c>
      <c r="J171" s="52" t="s">
        <v>219</v>
      </c>
      <c r="K171" s="69"/>
      <c r="L171" s="75">
        <v>1</v>
      </c>
    </row>
    <row r="172" spans="1:12" s="52" customFormat="1" ht="15" customHeight="1" x14ac:dyDescent="0.2">
      <c r="A172" s="52">
        <f t="shared" si="2"/>
        <v>166</v>
      </c>
      <c r="B172" s="52">
        <v>2014</v>
      </c>
      <c r="C172" s="52" t="s">
        <v>212</v>
      </c>
      <c r="D172" s="52" t="s">
        <v>661</v>
      </c>
      <c r="E172" s="34">
        <v>340</v>
      </c>
      <c r="G172" s="52" t="s">
        <v>145</v>
      </c>
      <c r="I172" s="52" t="s">
        <v>131</v>
      </c>
      <c r="J172" s="52" t="s">
        <v>131</v>
      </c>
      <c r="K172" s="69"/>
      <c r="L172" s="75">
        <v>0</v>
      </c>
    </row>
    <row r="173" spans="1:12" s="52" customFormat="1" ht="15" customHeight="1" x14ac:dyDescent="0.2">
      <c r="A173" s="52">
        <f t="shared" si="2"/>
        <v>167</v>
      </c>
      <c r="B173" s="52">
        <v>2015</v>
      </c>
      <c r="C173" s="52" t="s">
        <v>172</v>
      </c>
      <c r="D173" s="52" t="s">
        <v>3285</v>
      </c>
      <c r="E173" s="34">
        <v>180</v>
      </c>
      <c r="G173" s="52" t="s">
        <v>150</v>
      </c>
      <c r="I173" s="52" t="s">
        <v>77</v>
      </c>
      <c r="J173" s="52" t="s">
        <v>177</v>
      </c>
      <c r="K173" s="69" t="s">
        <v>178</v>
      </c>
      <c r="L173" s="75">
        <v>0</v>
      </c>
    </row>
    <row r="174" spans="1:12" s="52" customFormat="1" ht="15" customHeight="1" x14ac:dyDescent="0.2">
      <c r="A174" s="52">
        <f t="shared" si="2"/>
        <v>168</v>
      </c>
      <c r="B174" s="52">
        <v>2015</v>
      </c>
      <c r="C174" s="52" t="s">
        <v>172</v>
      </c>
      <c r="D174" s="52" t="s">
        <v>479</v>
      </c>
      <c r="E174" s="34">
        <v>1500</v>
      </c>
      <c r="G174" s="52" t="s">
        <v>154</v>
      </c>
      <c r="H174" s="52" t="s">
        <v>529</v>
      </c>
      <c r="I174" s="52" t="s">
        <v>53</v>
      </c>
      <c r="J174" s="52" t="s">
        <v>183</v>
      </c>
      <c r="K174" s="69"/>
      <c r="L174" s="75">
        <v>1</v>
      </c>
    </row>
    <row r="175" spans="1:12" s="52" customFormat="1" ht="15" customHeight="1" x14ac:dyDescent="0.2">
      <c r="A175" s="52">
        <f t="shared" si="2"/>
        <v>169</v>
      </c>
      <c r="B175" s="52">
        <v>2015</v>
      </c>
      <c r="C175" s="52" t="s">
        <v>172</v>
      </c>
      <c r="D175" s="52" t="s">
        <v>3286</v>
      </c>
      <c r="E175" s="34">
        <v>2330</v>
      </c>
      <c r="G175" s="52" t="s">
        <v>144</v>
      </c>
      <c r="H175" s="52" t="s">
        <v>197</v>
      </c>
      <c r="I175" s="52" t="s">
        <v>93</v>
      </c>
      <c r="J175" s="52" t="s">
        <v>201</v>
      </c>
      <c r="K175" s="69"/>
      <c r="L175" s="75">
        <v>1</v>
      </c>
    </row>
    <row r="176" spans="1:12" s="52" customFormat="1" ht="15" customHeight="1" x14ac:dyDescent="0.2">
      <c r="A176" s="52">
        <f t="shared" si="2"/>
        <v>170</v>
      </c>
      <c r="B176" s="52">
        <v>2015</v>
      </c>
      <c r="C176" s="52" t="s">
        <v>172</v>
      </c>
      <c r="D176" s="52" t="s">
        <v>341</v>
      </c>
      <c r="E176" s="34">
        <v>7500</v>
      </c>
      <c r="G176" s="52" t="s">
        <v>154</v>
      </c>
      <c r="H176" s="52" t="s">
        <v>529</v>
      </c>
      <c r="I176" s="52" t="s">
        <v>135</v>
      </c>
      <c r="J176" s="52" t="s">
        <v>205</v>
      </c>
      <c r="K176" s="69"/>
      <c r="L176" s="75">
        <v>1</v>
      </c>
    </row>
    <row r="177" spans="1:12" s="52" customFormat="1" ht="15" customHeight="1" x14ac:dyDescent="0.2">
      <c r="A177" s="52">
        <f t="shared" si="2"/>
        <v>171</v>
      </c>
      <c r="B177" s="52">
        <v>2015</v>
      </c>
      <c r="C177" s="52" t="s">
        <v>258</v>
      </c>
      <c r="D177" s="52" t="s">
        <v>189</v>
      </c>
      <c r="E177" s="34">
        <v>1200</v>
      </c>
      <c r="F177" s="52" t="s">
        <v>3287</v>
      </c>
      <c r="G177" s="52" t="s">
        <v>144</v>
      </c>
      <c r="H177" s="52" t="s">
        <v>187</v>
      </c>
      <c r="I177" s="52" t="s">
        <v>101</v>
      </c>
      <c r="J177" s="52" t="s">
        <v>201</v>
      </c>
      <c r="K177" s="69"/>
      <c r="L177" s="75">
        <v>1</v>
      </c>
    </row>
    <row r="178" spans="1:12" s="52" customFormat="1" ht="15" customHeight="1" x14ac:dyDescent="0.2">
      <c r="A178" s="52">
        <f t="shared" si="2"/>
        <v>172</v>
      </c>
      <c r="B178" s="52">
        <v>2015</v>
      </c>
      <c r="C178" s="52" t="s">
        <v>258</v>
      </c>
      <c r="D178" s="52" t="s">
        <v>3288</v>
      </c>
      <c r="E178" s="34">
        <v>250</v>
      </c>
      <c r="G178" s="52" t="s">
        <v>154</v>
      </c>
      <c r="H178" s="52" t="s">
        <v>529</v>
      </c>
      <c r="I178" s="52" t="s">
        <v>16</v>
      </c>
      <c r="J178" s="52" t="s">
        <v>205</v>
      </c>
      <c r="K178" s="69"/>
      <c r="L178" s="75">
        <v>1</v>
      </c>
    </row>
    <row r="179" spans="1:12" s="52" customFormat="1" ht="15" customHeight="1" x14ac:dyDescent="0.2">
      <c r="A179" s="52">
        <f t="shared" si="2"/>
        <v>173</v>
      </c>
      <c r="B179" s="52">
        <v>2015</v>
      </c>
      <c r="C179" s="52" t="s">
        <v>258</v>
      </c>
      <c r="D179" s="52" t="s">
        <v>449</v>
      </c>
      <c r="E179" s="34">
        <v>3700</v>
      </c>
      <c r="G179" s="52" t="s">
        <v>154</v>
      </c>
      <c r="H179" s="52" t="s">
        <v>529</v>
      </c>
      <c r="I179" s="52" t="s">
        <v>77</v>
      </c>
      <c r="J179" s="52" t="s">
        <v>177</v>
      </c>
      <c r="K179" s="69"/>
      <c r="L179" s="75">
        <v>0</v>
      </c>
    </row>
    <row r="180" spans="1:12" s="52" customFormat="1" ht="15" customHeight="1" x14ac:dyDescent="0.2">
      <c r="A180" s="52">
        <f t="shared" si="2"/>
        <v>174</v>
      </c>
      <c r="B180" s="52">
        <v>2015</v>
      </c>
      <c r="C180" s="52" t="s">
        <v>258</v>
      </c>
      <c r="D180" s="52" t="s">
        <v>336</v>
      </c>
      <c r="E180" s="34">
        <v>190</v>
      </c>
      <c r="G180" s="52" t="s">
        <v>149</v>
      </c>
      <c r="I180" s="52" t="s">
        <v>88</v>
      </c>
      <c r="J180" s="52" t="s">
        <v>219</v>
      </c>
      <c r="K180" s="69" t="s">
        <v>178</v>
      </c>
      <c r="L180" s="75">
        <v>1</v>
      </c>
    </row>
    <row r="181" spans="1:12" s="52" customFormat="1" ht="15" customHeight="1" x14ac:dyDescent="0.2">
      <c r="A181" s="52">
        <f t="shared" si="2"/>
        <v>175</v>
      </c>
      <c r="B181" s="52">
        <v>2015</v>
      </c>
      <c r="C181" s="52" t="s">
        <v>179</v>
      </c>
      <c r="D181" s="52" t="s">
        <v>479</v>
      </c>
      <c r="E181" s="34">
        <v>1430</v>
      </c>
      <c r="G181" s="52" t="s">
        <v>154</v>
      </c>
      <c r="H181" s="52" t="s">
        <v>271</v>
      </c>
      <c r="I181" s="52" t="s">
        <v>115</v>
      </c>
      <c r="J181" s="52" t="s">
        <v>201</v>
      </c>
      <c r="K181" s="69" t="s">
        <v>178</v>
      </c>
      <c r="L181" s="75">
        <v>1</v>
      </c>
    </row>
    <row r="182" spans="1:12" s="52" customFormat="1" ht="15" customHeight="1" x14ac:dyDescent="0.2">
      <c r="A182" s="52">
        <f t="shared" si="2"/>
        <v>176</v>
      </c>
      <c r="B182" s="52">
        <v>2015</v>
      </c>
      <c r="C182" s="52" t="s">
        <v>179</v>
      </c>
      <c r="D182" s="52" t="s">
        <v>185</v>
      </c>
      <c r="E182" s="34">
        <v>830</v>
      </c>
      <c r="F182" s="52" t="s">
        <v>736</v>
      </c>
      <c r="G182" s="52" t="s">
        <v>144</v>
      </c>
      <c r="H182" s="52" t="s">
        <v>187</v>
      </c>
      <c r="I182" s="52" t="s">
        <v>25</v>
      </c>
      <c r="J182" s="52" t="s">
        <v>177</v>
      </c>
      <c r="K182" s="69"/>
      <c r="L182" s="75">
        <v>0</v>
      </c>
    </row>
    <row r="183" spans="1:12" s="52" customFormat="1" ht="15" customHeight="1" x14ac:dyDescent="0.2">
      <c r="A183" s="52">
        <f t="shared" si="2"/>
        <v>177</v>
      </c>
      <c r="B183" s="52">
        <v>2015</v>
      </c>
      <c r="C183" s="52" t="s">
        <v>184</v>
      </c>
      <c r="D183" s="52" t="s">
        <v>670</v>
      </c>
      <c r="E183" s="34">
        <v>1000</v>
      </c>
      <c r="G183" s="52" t="s">
        <v>144</v>
      </c>
      <c r="H183" s="52" t="s">
        <v>232</v>
      </c>
      <c r="I183" s="52" t="s">
        <v>46</v>
      </c>
      <c r="J183" s="52" t="s">
        <v>219</v>
      </c>
      <c r="K183" s="69" t="s">
        <v>178</v>
      </c>
      <c r="L183" s="75">
        <v>1</v>
      </c>
    </row>
    <row r="184" spans="1:12" s="52" customFormat="1" ht="15" customHeight="1" x14ac:dyDescent="0.2">
      <c r="A184" s="52">
        <f t="shared" si="2"/>
        <v>178</v>
      </c>
      <c r="B184" s="52">
        <v>2015</v>
      </c>
      <c r="C184" s="52" t="s">
        <v>225</v>
      </c>
      <c r="D184" s="52" t="s">
        <v>1035</v>
      </c>
      <c r="E184" s="34">
        <v>630</v>
      </c>
      <c r="G184" s="52" t="s">
        <v>144</v>
      </c>
      <c r="H184" s="52" t="s">
        <v>197</v>
      </c>
      <c r="I184" s="52" t="s">
        <v>44</v>
      </c>
      <c r="J184" s="52" t="s">
        <v>201</v>
      </c>
      <c r="K184" s="69"/>
      <c r="L184" s="75">
        <v>1</v>
      </c>
    </row>
    <row r="185" spans="1:12" s="52" customFormat="1" ht="15" customHeight="1" x14ac:dyDescent="0.2">
      <c r="A185" s="52">
        <f t="shared" si="2"/>
        <v>179</v>
      </c>
      <c r="B185" s="52">
        <v>2015</v>
      </c>
      <c r="C185" s="52" t="s">
        <v>188</v>
      </c>
      <c r="D185" t="s">
        <v>397</v>
      </c>
      <c r="E185" s="34">
        <v>3500</v>
      </c>
      <c r="F185" s="52" t="s">
        <v>3289</v>
      </c>
      <c r="G185" s="52" t="s">
        <v>153</v>
      </c>
      <c r="I185" s="52" t="s">
        <v>12</v>
      </c>
      <c r="J185" s="52" t="s">
        <v>177</v>
      </c>
      <c r="K185" s="69" t="s">
        <v>178</v>
      </c>
      <c r="L185" s="75">
        <v>0</v>
      </c>
    </row>
    <row r="186" spans="1:12" s="52" customFormat="1" ht="15" customHeight="1" x14ac:dyDescent="0.2">
      <c r="A186" s="52">
        <f t="shared" si="2"/>
        <v>180</v>
      </c>
      <c r="B186" s="52">
        <v>2015</v>
      </c>
      <c r="C186" s="52" t="s">
        <v>188</v>
      </c>
      <c r="D186" s="52" t="s">
        <v>444</v>
      </c>
      <c r="E186" s="34">
        <v>380</v>
      </c>
      <c r="G186" s="52" t="s">
        <v>144</v>
      </c>
      <c r="I186" s="52" t="s">
        <v>128</v>
      </c>
      <c r="J186" s="52" t="s">
        <v>201</v>
      </c>
      <c r="K186" s="69"/>
      <c r="L186" s="75">
        <v>1</v>
      </c>
    </row>
    <row r="187" spans="1:12" s="52" customFormat="1" ht="15" customHeight="1" x14ac:dyDescent="0.2">
      <c r="A187" s="52">
        <f t="shared" si="2"/>
        <v>181</v>
      </c>
      <c r="B187" s="52">
        <v>2015</v>
      </c>
      <c r="C187" s="52" t="s">
        <v>188</v>
      </c>
      <c r="D187" s="52" t="s">
        <v>189</v>
      </c>
      <c r="E187" s="34">
        <v>850</v>
      </c>
      <c r="G187" s="52" t="s">
        <v>144</v>
      </c>
      <c r="H187" s="52" t="s">
        <v>187</v>
      </c>
      <c r="I187" s="52" t="s">
        <v>53</v>
      </c>
      <c r="J187" s="52" t="s">
        <v>183</v>
      </c>
      <c r="K187" s="69" t="s">
        <v>178</v>
      </c>
      <c r="L187" s="75">
        <v>1</v>
      </c>
    </row>
    <row r="188" spans="1:12" s="52" customFormat="1" ht="15" customHeight="1" x14ac:dyDescent="0.2">
      <c r="A188" s="52">
        <f t="shared" si="2"/>
        <v>182</v>
      </c>
      <c r="B188" s="52">
        <v>2015</v>
      </c>
      <c r="C188" s="52" t="s">
        <v>202</v>
      </c>
      <c r="D188" s="52" t="s">
        <v>263</v>
      </c>
      <c r="E188" s="34">
        <v>1400</v>
      </c>
      <c r="F188" s="52" t="s">
        <v>966</v>
      </c>
      <c r="G188" s="52" t="s">
        <v>146</v>
      </c>
      <c r="H188" s="52" t="s">
        <v>253</v>
      </c>
      <c r="I188" s="52" t="s">
        <v>131</v>
      </c>
      <c r="J188" s="52" t="s">
        <v>131</v>
      </c>
      <c r="K188" s="69"/>
      <c r="L188" s="75">
        <v>0</v>
      </c>
    </row>
    <row r="189" spans="1:12" s="52" customFormat="1" ht="15" customHeight="1" x14ac:dyDescent="0.2">
      <c r="A189" s="52">
        <f t="shared" si="2"/>
        <v>183</v>
      </c>
      <c r="B189" s="52">
        <v>2015</v>
      </c>
      <c r="C189" s="52" t="s">
        <v>202</v>
      </c>
      <c r="D189" s="52" t="s">
        <v>283</v>
      </c>
      <c r="E189" s="34">
        <v>610</v>
      </c>
      <c r="F189" s="52" t="s">
        <v>3290</v>
      </c>
      <c r="G189" s="52" t="s">
        <v>146</v>
      </c>
      <c r="I189" s="52" t="s">
        <v>121</v>
      </c>
      <c r="J189" s="52" t="s">
        <v>183</v>
      </c>
      <c r="K189" s="69"/>
      <c r="L189" s="75">
        <v>0</v>
      </c>
    </row>
    <row r="190" spans="1:12" s="52" customFormat="1" ht="15" customHeight="1" x14ac:dyDescent="0.2">
      <c r="A190" s="52">
        <f t="shared" si="2"/>
        <v>184</v>
      </c>
      <c r="B190" s="52">
        <v>2015</v>
      </c>
      <c r="C190" s="52" t="s">
        <v>202</v>
      </c>
      <c r="D190" s="52" t="s">
        <v>221</v>
      </c>
      <c r="E190" s="34">
        <v>1800</v>
      </c>
      <c r="F190" s="52" t="s">
        <v>3291</v>
      </c>
      <c r="G190" s="52" t="s">
        <v>146</v>
      </c>
      <c r="H190" s="52" t="s">
        <v>253</v>
      </c>
      <c r="I190" s="52" t="s">
        <v>20</v>
      </c>
      <c r="J190" s="52" t="s">
        <v>195</v>
      </c>
      <c r="K190" s="69"/>
      <c r="L190" s="75">
        <v>0</v>
      </c>
    </row>
    <row r="191" spans="1:12" s="52" customFormat="1" ht="15" customHeight="1" x14ac:dyDescent="0.2">
      <c r="A191" s="52">
        <f t="shared" si="2"/>
        <v>185</v>
      </c>
      <c r="B191" s="52">
        <v>2015</v>
      </c>
      <c r="C191" s="52" t="s">
        <v>207</v>
      </c>
      <c r="D191" t="s">
        <v>397</v>
      </c>
      <c r="E191" s="34">
        <v>680</v>
      </c>
      <c r="G191" s="52" t="s">
        <v>154</v>
      </c>
      <c r="H191" s="52" t="s">
        <v>194</v>
      </c>
      <c r="I191" s="52" t="s">
        <v>29</v>
      </c>
      <c r="J191" s="52" t="s">
        <v>219</v>
      </c>
      <c r="K191" s="69"/>
      <c r="L191" s="75">
        <v>1</v>
      </c>
    </row>
    <row r="192" spans="1:12" s="52" customFormat="1" ht="15" customHeight="1" x14ac:dyDescent="0.2">
      <c r="A192" s="52">
        <f t="shared" si="2"/>
        <v>186</v>
      </c>
      <c r="B192" s="52">
        <v>2015</v>
      </c>
      <c r="C192" s="52" t="s">
        <v>240</v>
      </c>
      <c r="D192" s="52" t="s">
        <v>263</v>
      </c>
      <c r="E192" s="34">
        <v>250</v>
      </c>
      <c r="F192" s="52" t="s">
        <v>3292</v>
      </c>
      <c r="G192" s="52" t="s">
        <v>144</v>
      </c>
      <c r="H192" s="52" t="s">
        <v>273</v>
      </c>
      <c r="I192" s="52" t="s">
        <v>78</v>
      </c>
      <c r="J192" s="52" t="s">
        <v>183</v>
      </c>
      <c r="K192" s="69"/>
      <c r="L192" s="75">
        <v>1</v>
      </c>
    </row>
    <row r="193" spans="1:12" s="52" customFormat="1" ht="15" customHeight="1" x14ac:dyDescent="0.2">
      <c r="A193" s="52">
        <f t="shared" si="2"/>
        <v>187</v>
      </c>
      <c r="B193" s="52">
        <v>2015</v>
      </c>
      <c r="C193" s="52" t="s">
        <v>240</v>
      </c>
      <c r="D193" s="52" t="s">
        <v>3293</v>
      </c>
      <c r="E193" s="34">
        <v>110</v>
      </c>
      <c r="G193" s="52" t="s">
        <v>154</v>
      </c>
      <c r="H193" s="52" t="s">
        <v>194</v>
      </c>
      <c r="I193" s="52" t="s">
        <v>4</v>
      </c>
      <c r="J193" s="52" t="s">
        <v>201</v>
      </c>
      <c r="K193" s="69"/>
      <c r="L193" s="75">
        <v>1</v>
      </c>
    </row>
    <row r="194" spans="1:12" s="52" customFormat="1" ht="15" customHeight="1" x14ac:dyDescent="0.2">
      <c r="A194" s="52">
        <f t="shared" si="2"/>
        <v>188</v>
      </c>
      <c r="B194" s="52">
        <v>2015</v>
      </c>
      <c r="C194" s="52" t="s">
        <v>212</v>
      </c>
      <c r="D194" s="52" t="s">
        <v>554</v>
      </c>
      <c r="E194" s="34">
        <v>740</v>
      </c>
      <c r="F194" s="52" t="s">
        <v>3294</v>
      </c>
      <c r="G194" s="52" t="s">
        <v>146</v>
      </c>
      <c r="H194" s="52" t="s">
        <v>275</v>
      </c>
      <c r="I194" s="52" t="s">
        <v>45</v>
      </c>
      <c r="J194" s="52" t="s">
        <v>195</v>
      </c>
      <c r="K194" s="69"/>
      <c r="L194" s="75">
        <v>0</v>
      </c>
    </row>
    <row r="195" spans="1:12" s="52" customFormat="1" ht="15" customHeight="1" x14ac:dyDescent="0.2">
      <c r="A195" s="52">
        <f t="shared" si="2"/>
        <v>189</v>
      </c>
      <c r="B195" s="52">
        <v>2015</v>
      </c>
      <c r="C195" s="52" t="s">
        <v>212</v>
      </c>
      <c r="D195" s="52" t="s">
        <v>263</v>
      </c>
      <c r="E195" s="34">
        <v>320</v>
      </c>
      <c r="F195" s="52" t="s">
        <v>945</v>
      </c>
      <c r="G195" s="52" t="s">
        <v>144</v>
      </c>
      <c r="H195" s="52" t="s">
        <v>187</v>
      </c>
      <c r="I195" s="52" t="s">
        <v>25</v>
      </c>
      <c r="J195" s="52" t="s">
        <v>177</v>
      </c>
      <c r="K195" s="69"/>
      <c r="L195" s="75">
        <v>0</v>
      </c>
    </row>
    <row r="196" spans="1:12" s="52" customFormat="1" ht="15" customHeight="1" x14ac:dyDescent="0.2">
      <c r="A196" s="52">
        <f t="shared" si="2"/>
        <v>190</v>
      </c>
      <c r="B196" s="52">
        <v>2015</v>
      </c>
      <c r="C196" s="52" t="s">
        <v>212</v>
      </c>
      <c r="D196" s="52" t="s">
        <v>3295</v>
      </c>
      <c r="E196" s="34">
        <v>590</v>
      </c>
      <c r="F196" s="52" t="s">
        <v>3278</v>
      </c>
      <c r="G196" s="52" t="s">
        <v>146</v>
      </c>
      <c r="I196" s="52" t="s">
        <v>57</v>
      </c>
      <c r="J196" s="52" t="s">
        <v>195</v>
      </c>
      <c r="K196" s="69"/>
      <c r="L196" s="75">
        <v>0</v>
      </c>
    </row>
    <row r="197" spans="1:12" s="52" customFormat="1" ht="15" customHeight="1" x14ac:dyDescent="0.2">
      <c r="A197" s="52">
        <f t="shared" si="2"/>
        <v>191</v>
      </c>
      <c r="B197" s="52">
        <v>2015</v>
      </c>
      <c r="C197" s="52" t="s">
        <v>212</v>
      </c>
      <c r="D197" s="52" t="s">
        <v>3296</v>
      </c>
      <c r="E197" s="34">
        <v>540</v>
      </c>
      <c r="F197" s="52" t="s">
        <v>3297</v>
      </c>
      <c r="G197" s="52" t="s">
        <v>144</v>
      </c>
      <c r="H197" s="52" t="s">
        <v>273</v>
      </c>
      <c r="I197" s="52" t="s">
        <v>139</v>
      </c>
      <c r="J197" s="52" t="s">
        <v>219</v>
      </c>
      <c r="K197" s="69" t="s">
        <v>178</v>
      </c>
      <c r="L197" s="75">
        <v>1</v>
      </c>
    </row>
    <row r="198" spans="1:12" s="52" customFormat="1" ht="15" customHeight="1" x14ac:dyDescent="0.2">
      <c r="A198" s="52">
        <f t="shared" si="2"/>
        <v>192</v>
      </c>
      <c r="B198" s="52">
        <v>2015</v>
      </c>
      <c r="C198" s="52" t="s">
        <v>212</v>
      </c>
      <c r="D198" s="52" t="s">
        <v>875</v>
      </c>
      <c r="E198" s="34">
        <v>200</v>
      </c>
      <c r="G198" s="52" t="s">
        <v>152</v>
      </c>
      <c r="I198" s="52" t="s">
        <v>37</v>
      </c>
      <c r="J198" s="52" t="s">
        <v>205</v>
      </c>
      <c r="K198" s="69"/>
      <c r="L198" s="75">
        <v>1</v>
      </c>
    </row>
    <row r="199" spans="1:12" s="52" customFormat="1" ht="15" customHeight="1" x14ac:dyDescent="0.2">
      <c r="A199" s="52">
        <f t="shared" ref="A199:A262" si="3">ROW()-6</f>
        <v>193</v>
      </c>
      <c r="B199" s="52">
        <v>2015</v>
      </c>
      <c r="C199" s="52" t="s">
        <v>212</v>
      </c>
      <c r="D199" s="52" t="s">
        <v>661</v>
      </c>
      <c r="E199" s="34">
        <v>560</v>
      </c>
      <c r="G199" s="52" t="s">
        <v>145</v>
      </c>
      <c r="I199" s="52" t="s">
        <v>131</v>
      </c>
      <c r="J199" s="52" t="s">
        <v>131</v>
      </c>
      <c r="K199" s="69"/>
      <c r="L199" s="75">
        <v>0</v>
      </c>
    </row>
    <row r="200" spans="1:12" s="52" customFormat="1" ht="15" customHeight="1" x14ac:dyDescent="0.2">
      <c r="A200" s="52">
        <f t="shared" si="3"/>
        <v>194</v>
      </c>
      <c r="B200" s="52">
        <v>2016</v>
      </c>
      <c r="C200" s="52" t="s">
        <v>172</v>
      </c>
      <c r="D200" s="52" t="s">
        <v>280</v>
      </c>
      <c r="E200" s="34">
        <v>1090</v>
      </c>
      <c r="F200" s="52" t="s">
        <v>3249</v>
      </c>
      <c r="G200" s="52" t="s">
        <v>149</v>
      </c>
      <c r="I200" s="52" t="s">
        <v>9</v>
      </c>
      <c r="J200" s="52" t="s">
        <v>9</v>
      </c>
      <c r="K200" s="69"/>
      <c r="L200" s="75">
        <v>0</v>
      </c>
    </row>
    <row r="201" spans="1:12" s="52" customFormat="1" ht="15" customHeight="1" x14ac:dyDescent="0.2">
      <c r="A201" s="52">
        <f t="shared" si="3"/>
        <v>195</v>
      </c>
      <c r="B201" s="52">
        <v>2016</v>
      </c>
      <c r="C201" s="52" t="s">
        <v>172</v>
      </c>
      <c r="D201" s="52" t="s">
        <v>3298</v>
      </c>
      <c r="E201" s="34">
        <v>2800</v>
      </c>
      <c r="F201" s="52" t="s">
        <v>1983</v>
      </c>
      <c r="G201" s="52" t="s">
        <v>152</v>
      </c>
      <c r="I201" s="52" t="s">
        <v>131</v>
      </c>
      <c r="J201" s="52" t="s">
        <v>131</v>
      </c>
      <c r="K201" s="69"/>
      <c r="L201" s="75">
        <v>0</v>
      </c>
    </row>
    <row r="202" spans="1:12" s="52" customFormat="1" ht="15" customHeight="1" x14ac:dyDescent="0.2">
      <c r="A202" s="52">
        <f t="shared" si="3"/>
        <v>196</v>
      </c>
      <c r="B202" s="52">
        <v>2016</v>
      </c>
      <c r="C202" s="52" t="s">
        <v>172</v>
      </c>
      <c r="D202" s="52" t="s">
        <v>3299</v>
      </c>
      <c r="E202" s="34">
        <v>710</v>
      </c>
      <c r="F202" s="52" t="s">
        <v>3300</v>
      </c>
      <c r="G202" s="52" t="s">
        <v>144</v>
      </c>
      <c r="H202" s="52" t="s">
        <v>232</v>
      </c>
      <c r="I202" s="52" t="s">
        <v>20</v>
      </c>
      <c r="J202" s="52" t="s">
        <v>195</v>
      </c>
      <c r="K202" s="69" t="s">
        <v>178</v>
      </c>
      <c r="L202" s="75">
        <v>0</v>
      </c>
    </row>
    <row r="203" spans="1:12" s="52" customFormat="1" ht="15" customHeight="1" x14ac:dyDescent="0.2">
      <c r="A203" s="52">
        <f t="shared" si="3"/>
        <v>197</v>
      </c>
      <c r="B203" s="52">
        <v>2016</v>
      </c>
      <c r="C203" s="52" t="s">
        <v>258</v>
      </c>
      <c r="D203" s="52" t="s">
        <v>1270</v>
      </c>
      <c r="E203" s="34">
        <v>3780</v>
      </c>
      <c r="F203" s="52" t="s">
        <v>3301</v>
      </c>
      <c r="G203" s="52" t="s">
        <v>152</v>
      </c>
      <c r="I203" s="52" t="s">
        <v>131</v>
      </c>
      <c r="J203" s="52" t="s">
        <v>131</v>
      </c>
      <c r="K203" s="69"/>
      <c r="L203" s="75">
        <v>0</v>
      </c>
    </row>
    <row r="204" spans="1:12" s="52" customFormat="1" ht="15" customHeight="1" x14ac:dyDescent="0.2">
      <c r="A204" s="52">
        <f t="shared" si="3"/>
        <v>198</v>
      </c>
      <c r="B204" s="52">
        <v>2016</v>
      </c>
      <c r="C204" s="52" t="s">
        <v>258</v>
      </c>
      <c r="D204" s="52" t="s">
        <v>421</v>
      </c>
      <c r="E204" s="34">
        <v>650</v>
      </c>
      <c r="G204" s="52" t="s">
        <v>154</v>
      </c>
      <c r="H204" s="52" t="s">
        <v>250</v>
      </c>
      <c r="I204" s="52" t="s">
        <v>64</v>
      </c>
      <c r="J204" s="52" t="s">
        <v>219</v>
      </c>
      <c r="K204" s="69"/>
      <c r="L204" s="75">
        <v>1</v>
      </c>
    </row>
    <row r="205" spans="1:12" s="52" customFormat="1" ht="15" customHeight="1" x14ac:dyDescent="0.2">
      <c r="A205" s="52">
        <f t="shared" si="3"/>
        <v>199</v>
      </c>
      <c r="B205" s="52">
        <v>2016</v>
      </c>
      <c r="C205" s="52" t="s">
        <v>258</v>
      </c>
      <c r="D205" s="52" t="s">
        <v>1035</v>
      </c>
      <c r="E205" s="34">
        <v>310</v>
      </c>
      <c r="G205" s="52" t="s">
        <v>154</v>
      </c>
      <c r="H205" s="52" t="s">
        <v>194</v>
      </c>
      <c r="I205" s="52" t="s">
        <v>13</v>
      </c>
      <c r="J205" s="52" t="s">
        <v>201</v>
      </c>
      <c r="K205" s="69"/>
      <c r="L205" s="75">
        <v>1</v>
      </c>
    </row>
    <row r="206" spans="1:12" s="52" customFormat="1" ht="15" customHeight="1" x14ac:dyDescent="0.2">
      <c r="A206" s="52">
        <f t="shared" si="3"/>
        <v>200</v>
      </c>
      <c r="B206" s="52">
        <v>2016</v>
      </c>
      <c r="C206" s="52" t="s">
        <v>179</v>
      </c>
      <c r="D206" s="52" t="s">
        <v>554</v>
      </c>
      <c r="E206" s="34">
        <v>460</v>
      </c>
      <c r="F206" s="52" t="s">
        <v>3302</v>
      </c>
      <c r="G206" s="52" t="s">
        <v>146</v>
      </c>
      <c r="I206" s="52" t="s">
        <v>57</v>
      </c>
      <c r="J206" s="52" t="s">
        <v>195</v>
      </c>
      <c r="K206" s="69"/>
      <c r="L206" s="75">
        <v>0</v>
      </c>
    </row>
    <row r="207" spans="1:12" s="52" customFormat="1" ht="15" customHeight="1" x14ac:dyDescent="0.2">
      <c r="A207" s="52">
        <f t="shared" si="3"/>
        <v>201</v>
      </c>
      <c r="B207" s="52">
        <v>2016</v>
      </c>
      <c r="C207" s="52" t="s">
        <v>184</v>
      </c>
      <c r="D207" s="52" t="s">
        <v>1270</v>
      </c>
      <c r="E207" s="34">
        <v>1700</v>
      </c>
      <c r="F207" s="52" t="s">
        <v>3303</v>
      </c>
      <c r="G207" s="52" t="s">
        <v>152</v>
      </c>
      <c r="I207" s="52" t="s">
        <v>121</v>
      </c>
      <c r="J207" s="52" t="s">
        <v>183</v>
      </c>
      <c r="K207" s="69"/>
      <c r="L207" s="75">
        <v>0</v>
      </c>
    </row>
    <row r="208" spans="1:12" s="52" customFormat="1" ht="15" customHeight="1" x14ac:dyDescent="0.2">
      <c r="A208" s="52">
        <f t="shared" si="3"/>
        <v>202</v>
      </c>
      <c r="B208" s="52">
        <v>2016</v>
      </c>
      <c r="C208" s="52" t="s">
        <v>184</v>
      </c>
      <c r="D208" s="52" t="s">
        <v>653</v>
      </c>
      <c r="E208" s="34">
        <v>230</v>
      </c>
      <c r="F208" s="52" t="s">
        <v>3304</v>
      </c>
      <c r="G208" s="52" t="s">
        <v>142</v>
      </c>
      <c r="I208" s="52" t="s">
        <v>9</v>
      </c>
      <c r="J208" s="52" t="s">
        <v>9</v>
      </c>
      <c r="K208" s="69"/>
      <c r="L208" s="75">
        <v>0</v>
      </c>
    </row>
    <row r="209" spans="1:12" s="52" customFormat="1" ht="15" customHeight="1" x14ac:dyDescent="0.2">
      <c r="A209" s="52">
        <f t="shared" si="3"/>
        <v>203</v>
      </c>
      <c r="B209" s="52">
        <v>2016</v>
      </c>
      <c r="C209" s="52" t="s">
        <v>184</v>
      </c>
      <c r="D209" s="52" t="s">
        <v>3305</v>
      </c>
      <c r="E209" s="34">
        <v>290</v>
      </c>
      <c r="G209" s="52" t="s">
        <v>151</v>
      </c>
      <c r="H209" s="52" t="s">
        <v>224</v>
      </c>
      <c r="I209" s="52" t="s">
        <v>20</v>
      </c>
      <c r="J209" s="52" t="s">
        <v>195</v>
      </c>
      <c r="K209" s="69" t="s">
        <v>178</v>
      </c>
      <c r="L209" s="75">
        <v>0</v>
      </c>
    </row>
    <row r="210" spans="1:12" s="52" customFormat="1" ht="15" customHeight="1" x14ac:dyDescent="0.2">
      <c r="A210" s="52">
        <f t="shared" si="3"/>
        <v>204</v>
      </c>
      <c r="B210" s="52">
        <v>2016</v>
      </c>
      <c r="C210" s="52" t="s">
        <v>225</v>
      </c>
      <c r="D210" s="52" t="s">
        <v>3306</v>
      </c>
      <c r="E210" s="34">
        <v>1800</v>
      </c>
      <c r="F210" s="52" t="s">
        <v>3307</v>
      </c>
      <c r="G210" s="52" t="s">
        <v>149</v>
      </c>
      <c r="H210" s="52" t="s">
        <v>236</v>
      </c>
      <c r="I210" s="52" t="s">
        <v>95</v>
      </c>
      <c r="J210" s="52" t="s">
        <v>183</v>
      </c>
      <c r="K210" s="69" t="s">
        <v>178</v>
      </c>
      <c r="L210" s="75">
        <v>1</v>
      </c>
    </row>
    <row r="211" spans="1:12" s="52" customFormat="1" ht="15" customHeight="1" x14ac:dyDescent="0.2">
      <c r="A211" s="52">
        <f t="shared" si="3"/>
        <v>205</v>
      </c>
      <c r="B211" s="52">
        <v>2016</v>
      </c>
      <c r="C211" s="52" t="s">
        <v>225</v>
      </c>
      <c r="D211" s="52" t="s">
        <v>331</v>
      </c>
      <c r="E211" s="34">
        <v>3400</v>
      </c>
      <c r="F211" s="52" t="s">
        <v>3308</v>
      </c>
      <c r="G211" s="52" t="s">
        <v>151</v>
      </c>
      <c r="H211" s="52" t="s">
        <v>279</v>
      </c>
      <c r="I211" s="52" t="s">
        <v>131</v>
      </c>
      <c r="J211" s="52" t="s">
        <v>131</v>
      </c>
      <c r="K211" s="69"/>
      <c r="L211" s="75">
        <v>0</v>
      </c>
    </row>
    <row r="212" spans="1:12" s="52" customFormat="1" ht="15" customHeight="1" x14ac:dyDescent="0.2">
      <c r="A212" s="52">
        <f t="shared" si="3"/>
        <v>206</v>
      </c>
      <c r="B212" s="52">
        <v>2016</v>
      </c>
      <c r="C212" s="52" t="s">
        <v>225</v>
      </c>
      <c r="D212" s="52" t="s">
        <v>3309</v>
      </c>
      <c r="E212" s="34">
        <v>660</v>
      </c>
      <c r="F212" s="52" t="s">
        <v>3310</v>
      </c>
      <c r="G212" s="52" t="s">
        <v>145</v>
      </c>
      <c r="I212" s="52" t="s">
        <v>20</v>
      </c>
      <c r="J212" s="52" t="s">
        <v>195</v>
      </c>
      <c r="K212" s="69"/>
      <c r="L212" s="75">
        <v>0</v>
      </c>
    </row>
    <row r="213" spans="1:12" s="52" customFormat="1" ht="15" customHeight="1" x14ac:dyDescent="0.2">
      <c r="A213" s="52">
        <f t="shared" si="3"/>
        <v>207</v>
      </c>
      <c r="B213" s="52">
        <v>2016</v>
      </c>
      <c r="C213" s="52" t="s">
        <v>225</v>
      </c>
      <c r="D213" s="52" t="s">
        <v>479</v>
      </c>
      <c r="E213" s="34">
        <v>470</v>
      </c>
      <c r="F213" s="52" t="s">
        <v>3311</v>
      </c>
      <c r="G213" s="52" t="s">
        <v>144</v>
      </c>
      <c r="H213" s="52" t="s">
        <v>232</v>
      </c>
      <c r="I213" s="52" t="s">
        <v>20</v>
      </c>
      <c r="J213" s="52" t="s">
        <v>195</v>
      </c>
      <c r="K213" s="69"/>
      <c r="L213" s="75">
        <v>0</v>
      </c>
    </row>
    <row r="214" spans="1:12" s="52" customFormat="1" ht="15" customHeight="1" x14ac:dyDescent="0.2">
      <c r="A214" s="52">
        <f t="shared" si="3"/>
        <v>208</v>
      </c>
      <c r="B214" s="52">
        <v>2016</v>
      </c>
      <c r="C214" s="52" t="s">
        <v>188</v>
      </c>
      <c r="D214" s="52" t="s">
        <v>189</v>
      </c>
      <c r="E214" s="34">
        <v>1500</v>
      </c>
      <c r="F214" s="52" t="s">
        <v>492</v>
      </c>
      <c r="G214" s="52" t="s">
        <v>144</v>
      </c>
      <c r="H214" s="52" t="s">
        <v>187</v>
      </c>
      <c r="I214" s="52" t="s">
        <v>20</v>
      </c>
      <c r="J214" s="52" t="s">
        <v>195</v>
      </c>
      <c r="K214" s="69"/>
      <c r="L214" s="75">
        <v>0</v>
      </c>
    </row>
    <row r="215" spans="1:12" s="52" customFormat="1" ht="15" customHeight="1" x14ac:dyDescent="0.2">
      <c r="A215" s="52">
        <f t="shared" si="3"/>
        <v>209</v>
      </c>
      <c r="B215" s="52">
        <v>2016</v>
      </c>
      <c r="C215" s="52" t="s">
        <v>188</v>
      </c>
      <c r="D215" s="52" t="s">
        <v>3312</v>
      </c>
      <c r="E215" s="34">
        <v>120</v>
      </c>
      <c r="F215" s="52" t="s">
        <v>3313</v>
      </c>
      <c r="G215" s="52" t="s">
        <v>152</v>
      </c>
      <c r="I215" s="52" t="s">
        <v>121</v>
      </c>
      <c r="J215" s="52" t="s">
        <v>183</v>
      </c>
      <c r="K215" s="69"/>
      <c r="L215" s="75">
        <v>0</v>
      </c>
    </row>
    <row r="216" spans="1:12" s="52" customFormat="1" ht="15" customHeight="1" x14ac:dyDescent="0.2">
      <c r="A216" s="52">
        <f t="shared" si="3"/>
        <v>210</v>
      </c>
      <c r="B216" s="52">
        <v>2016</v>
      </c>
      <c r="C216" s="52" t="s">
        <v>191</v>
      </c>
      <c r="D216" s="52" t="s">
        <v>1314</v>
      </c>
      <c r="E216" s="34">
        <v>620</v>
      </c>
      <c r="F216" s="52" t="s">
        <v>1315</v>
      </c>
      <c r="G216" s="52" t="s">
        <v>152</v>
      </c>
      <c r="H216" s="52" t="s">
        <v>257</v>
      </c>
      <c r="I216" s="52" t="s">
        <v>91</v>
      </c>
      <c r="J216" s="52" t="s">
        <v>195</v>
      </c>
      <c r="K216" s="69"/>
      <c r="L216" s="75">
        <v>0</v>
      </c>
    </row>
    <row r="217" spans="1:12" s="52" customFormat="1" ht="15" customHeight="1" x14ac:dyDescent="0.2">
      <c r="A217" s="52">
        <f t="shared" si="3"/>
        <v>211</v>
      </c>
      <c r="B217" s="52">
        <v>2016</v>
      </c>
      <c r="C217" s="52" t="s">
        <v>198</v>
      </c>
      <c r="D217" s="52" t="s">
        <v>307</v>
      </c>
      <c r="E217" s="34">
        <v>7600</v>
      </c>
      <c r="F217" s="52" t="s">
        <v>3314</v>
      </c>
      <c r="G217" s="52" t="s">
        <v>144</v>
      </c>
      <c r="I217" s="52" t="s">
        <v>9</v>
      </c>
      <c r="J217" s="52" t="s">
        <v>9</v>
      </c>
      <c r="K217" s="69"/>
      <c r="L217" s="75">
        <v>0</v>
      </c>
    </row>
    <row r="218" spans="1:12" s="52" customFormat="1" ht="15" customHeight="1" x14ac:dyDescent="0.2">
      <c r="A218" s="52">
        <f t="shared" si="3"/>
        <v>212</v>
      </c>
      <c r="B218" s="52">
        <v>2016</v>
      </c>
      <c r="C218" s="52" t="s">
        <v>198</v>
      </c>
      <c r="D218" s="52" t="s">
        <v>221</v>
      </c>
      <c r="E218" s="34">
        <v>380</v>
      </c>
      <c r="F218" s="52" t="s">
        <v>3315</v>
      </c>
      <c r="G218" s="52" t="s">
        <v>146</v>
      </c>
      <c r="H218" s="52" t="s">
        <v>275</v>
      </c>
      <c r="I218" s="52" t="s">
        <v>121</v>
      </c>
      <c r="J218" s="52" t="s">
        <v>183</v>
      </c>
      <c r="K218" s="69"/>
      <c r="L218" s="75">
        <v>0</v>
      </c>
    </row>
    <row r="219" spans="1:12" s="52" customFormat="1" ht="15" customHeight="1" x14ac:dyDescent="0.2">
      <c r="A219" s="52">
        <f t="shared" si="3"/>
        <v>213</v>
      </c>
      <c r="B219" s="52">
        <v>2016</v>
      </c>
      <c r="C219" s="52" t="s">
        <v>198</v>
      </c>
      <c r="D219" s="52" t="s">
        <v>3316</v>
      </c>
      <c r="E219" s="34">
        <v>230</v>
      </c>
      <c r="F219" s="52" t="s">
        <v>3317</v>
      </c>
      <c r="G219" s="52" t="s">
        <v>152</v>
      </c>
      <c r="I219" s="52" t="s">
        <v>131</v>
      </c>
      <c r="J219" s="52" t="s">
        <v>131</v>
      </c>
      <c r="K219" s="69"/>
      <c r="L219" s="75">
        <v>0</v>
      </c>
    </row>
    <row r="220" spans="1:12" s="52" customFormat="1" ht="15" customHeight="1" x14ac:dyDescent="0.2">
      <c r="A220" s="52">
        <f t="shared" si="3"/>
        <v>214</v>
      </c>
      <c r="B220" s="52">
        <v>2016</v>
      </c>
      <c r="C220" s="52" t="s">
        <v>198</v>
      </c>
      <c r="D220" s="52" t="s">
        <v>449</v>
      </c>
      <c r="E220" s="34">
        <v>1850</v>
      </c>
      <c r="G220" s="52" t="s">
        <v>154</v>
      </c>
      <c r="H220" s="52" t="s">
        <v>529</v>
      </c>
      <c r="I220" s="52" t="s">
        <v>89</v>
      </c>
      <c r="J220" s="52" t="s">
        <v>219</v>
      </c>
      <c r="K220" s="69"/>
      <c r="L220" s="75">
        <v>1</v>
      </c>
    </row>
    <row r="221" spans="1:12" s="52" customFormat="1" ht="15" customHeight="1" x14ac:dyDescent="0.2">
      <c r="A221" s="52">
        <f t="shared" si="3"/>
        <v>215</v>
      </c>
      <c r="B221" s="52">
        <v>2016</v>
      </c>
      <c r="C221" s="52" t="s">
        <v>202</v>
      </c>
      <c r="D221" s="52" t="s">
        <v>3318</v>
      </c>
      <c r="E221" s="34">
        <v>100</v>
      </c>
      <c r="F221" s="52" t="s">
        <v>3319</v>
      </c>
      <c r="G221" s="52" t="s">
        <v>142</v>
      </c>
      <c r="I221" s="52" t="s">
        <v>9</v>
      </c>
      <c r="J221" s="52" t="s">
        <v>9</v>
      </c>
      <c r="K221" s="69"/>
      <c r="L221" s="75">
        <v>0</v>
      </c>
    </row>
    <row r="222" spans="1:12" s="52" customFormat="1" ht="15" customHeight="1" x14ac:dyDescent="0.2">
      <c r="A222" s="52">
        <f t="shared" si="3"/>
        <v>216</v>
      </c>
      <c r="B222" s="52">
        <v>2016</v>
      </c>
      <c r="C222" s="52" t="s">
        <v>202</v>
      </c>
      <c r="D222" s="52" t="s">
        <v>1446</v>
      </c>
      <c r="E222" s="34">
        <v>1280</v>
      </c>
      <c r="F222" s="52" t="s">
        <v>1447</v>
      </c>
      <c r="G222" s="52" t="s">
        <v>150</v>
      </c>
      <c r="H222" s="52" t="s">
        <v>3320</v>
      </c>
      <c r="I222" s="52" t="s">
        <v>131</v>
      </c>
      <c r="J222" s="52" t="s">
        <v>131</v>
      </c>
      <c r="K222" s="69"/>
      <c r="L222" s="75">
        <v>0</v>
      </c>
    </row>
    <row r="223" spans="1:12" s="52" customFormat="1" ht="15" customHeight="1" x14ac:dyDescent="0.2">
      <c r="A223" s="52">
        <f t="shared" si="3"/>
        <v>217</v>
      </c>
      <c r="B223" s="52">
        <v>2016</v>
      </c>
      <c r="C223" s="52" t="s">
        <v>207</v>
      </c>
      <c r="D223" s="52" t="s">
        <v>3321</v>
      </c>
      <c r="E223" s="34">
        <v>780</v>
      </c>
      <c r="F223" s="52" t="s">
        <v>264</v>
      </c>
      <c r="G223" s="52" t="s">
        <v>153</v>
      </c>
      <c r="I223" s="52" t="s">
        <v>131</v>
      </c>
      <c r="J223" s="52" t="s">
        <v>131</v>
      </c>
      <c r="K223" s="69"/>
      <c r="L223" s="75">
        <v>0</v>
      </c>
    </row>
    <row r="224" spans="1:12" s="52" customFormat="1" ht="15" customHeight="1" x14ac:dyDescent="0.2">
      <c r="A224" s="52">
        <f t="shared" si="3"/>
        <v>218</v>
      </c>
      <c r="B224" s="52">
        <v>2016</v>
      </c>
      <c r="C224" s="52" t="s">
        <v>207</v>
      </c>
      <c r="D224" s="52" t="s">
        <v>1356</v>
      </c>
      <c r="E224" s="34">
        <v>100</v>
      </c>
      <c r="G224" s="52" t="s">
        <v>154</v>
      </c>
      <c r="H224" s="52" t="s">
        <v>194</v>
      </c>
      <c r="I224" s="52" t="s">
        <v>64</v>
      </c>
      <c r="J224" s="52" t="s">
        <v>3322</v>
      </c>
      <c r="K224" s="69"/>
      <c r="L224" s="75">
        <v>1</v>
      </c>
    </row>
    <row r="225" spans="1:12" s="52" customFormat="1" ht="15" customHeight="1" x14ac:dyDescent="0.2">
      <c r="A225" s="52">
        <f t="shared" si="3"/>
        <v>219</v>
      </c>
      <c r="B225" s="52">
        <v>2016</v>
      </c>
      <c r="C225" s="52" t="s">
        <v>207</v>
      </c>
      <c r="D225" s="52" t="s">
        <v>3323</v>
      </c>
      <c r="E225" s="34">
        <v>740</v>
      </c>
      <c r="F225" s="52" t="s">
        <v>3324</v>
      </c>
      <c r="G225" s="52" t="s">
        <v>152</v>
      </c>
      <c r="I225" s="52" t="s">
        <v>45</v>
      </c>
      <c r="J225" s="52" t="s">
        <v>195</v>
      </c>
      <c r="K225" s="69"/>
      <c r="L225" s="75">
        <v>0</v>
      </c>
    </row>
    <row r="226" spans="1:12" s="52" customFormat="1" ht="15" customHeight="1" x14ac:dyDescent="0.2">
      <c r="A226" s="52">
        <f t="shared" si="3"/>
        <v>220</v>
      </c>
      <c r="B226" s="52">
        <v>2016</v>
      </c>
      <c r="C226" s="52" t="s">
        <v>207</v>
      </c>
      <c r="D226" s="52" t="s">
        <v>307</v>
      </c>
      <c r="E226" s="34">
        <v>930</v>
      </c>
      <c r="F226" s="52" t="s">
        <v>3325</v>
      </c>
      <c r="G226" s="52" t="s">
        <v>155</v>
      </c>
      <c r="I226" s="52" t="s">
        <v>15</v>
      </c>
      <c r="J226" s="52" t="s">
        <v>195</v>
      </c>
      <c r="K226" s="69"/>
      <c r="L226" s="75">
        <v>0</v>
      </c>
    </row>
    <row r="227" spans="1:12" s="52" customFormat="1" ht="15" customHeight="1" x14ac:dyDescent="0.2">
      <c r="A227" s="52">
        <f t="shared" si="3"/>
        <v>221</v>
      </c>
      <c r="B227" s="52">
        <v>2016</v>
      </c>
      <c r="C227" s="52" t="s">
        <v>240</v>
      </c>
      <c r="D227" s="52" t="s">
        <v>1270</v>
      </c>
      <c r="E227" s="34">
        <v>370</v>
      </c>
      <c r="F227" s="52" t="s">
        <v>3326</v>
      </c>
      <c r="G227" s="52" t="s">
        <v>152</v>
      </c>
      <c r="I227" s="52" t="s">
        <v>121</v>
      </c>
      <c r="J227" s="52" t="s">
        <v>183</v>
      </c>
      <c r="K227" s="69"/>
      <c r="L227" s="75">
        <v>0</v>
      </c>
    </row>
    <row r="228" spans="1:12" s="52" customFormat="1" ht="15" customHeight="1" x14ac:dyDescent="0.2">
      <c r="A228" s="52">
        <f t="shared" si="3"/>
        <v>222</v>
      </c>
      <c r="B228" s="52">
        <v>2016</v>
      </c>
      <c r="C228" s="52" t="s">
        <v>240</v>
      </c>
      <c r="D228" s="52" t="s">
        <v>913</v>
      </c>
      <c r="E228" s="34">
        <v>1000</v>
      </c>
      <c r="G228" s="52" t="s">
        <v>154</v>
      </c>
      <c r="H228" s="52" t="s">
        <v>194</v>
      </c>
      <c r="I228" s="52" t="s">
        <v>131</v>
      </c>
      <c r="J228" s="52" t="s">
        <v>131</v>
      </c>
      <c r="K228" s="69" t="s">
        <v>178</v>
      </c>
      <c r="L228" s="75">
        <v>0</v>
      </c>
    </row>
    <row r="229" spans="1:12" s="52" customFormat="1" ht="15" customHeight="1" x14ac:dyDescent="0.2">
      <c r="A229" s="52">
        <f t="shared" si="3"/>
        <v>223</v>
      </c>
      <c r="B229" s="52">
        <v>2016</v>
      </c>
      <c r="C229" s="52" t="s">
        <v>212</v>
      </c>
      <c r="D229" s="52" t="s">
        <v>3327</v>
      </c>
      <c r="E229" s="34">
        <v>350</v>
      </c>
      <c r="F229" s="52" t="s">
        <v>3328</v>
      </c>
      <c r="G229" s="52" t="s">
        <v>145</v>
      </c>
      <c r="I229" s="52" t="s">
        <v>131</v>
      </c>
      <c r="J229" s="52" t="s">
        <v>131</v>
      </c>
      <c r="K229" s="69"/>
      <c r="L229" s="75">
        <v>0</v>
      </c>
    </row>
    <row r="230" spans="1:12" s="52" customFormat="1" ht="15" customHeight="1" x14ac:dyDescent="0.2">
      <c r="A230" s="52">
        <f t="shared" si="3"/>
        <v>224</v>
      </c>
      <c r="B230" s="52">
        <v>2016</v>
      </c>
      <c r="C230" s="52" t="s">
        <v>212</v>
      </c>
      <c r="D230" s="52" t="s">
        <v>175</v>
      </c>
      <c r="E230" s="34">
        <v>550</v>
      </c>
      <c r="F230" s="52" t="s">
        <v>3329</v>
      </c>
      <c r="G230" s="52" t="s">
        <v>151</v>
      </c>
      <c r="H230" s="52" t="s">
        <v>279</v>
      </c>
      <c r="I230" s="52" t="s">
        <v>131</v>
      </c>
      <c r="J230" s="52" t="s">
        <v>131</v>
      </c>
      <c r="K230" s="69"/>
      <c r="L230" s="75">
        <v>0</v>
      </c>
    </row>
    <row r="231" spans="1:12" s="52" customFormat="1" ht="15" customHeight="1" x14ac:dyDescent="0.2">
      <c r="A231" s="52">
        <f t="shared" si="3"/>
        <v>225</v>
      </c>
      <c r="B231" s="52">
        <v>2016</v>
      </c>
      <c r="C231" s="52" t="s">
        <v>212</v>
      </c>
      <c r="D231" s="52" t="s">
        <v>389</v>
      </c>
      <c r="E231" s="34">
        <v>1290</v>
      </c>
      <c r="G231" s="52" t="s">
        <v>144</v>
      </c>
      <c r="H231" s="52" t="s">
        <v>273</v>
      </c>
      <c r="I231" s="52" t="s">
        <v>9</v>
      </c>
      <c r="J231" s="52" t="s">
        <v>9</v>
      </c>
      <c r="K231" s="69"/>
      <c r="L231" s="75">
        <v>0</v>
      </c>
    </row>
    <row r="232" spans="1:12" s="52" customFormat="1" ht="15" customHeight="1" x14ac:dyDescent="0.2">
      <c r="A232" s="52">
        <f t="shared" si="3"/>
        <v>226</v>
      </c>
      <c r="B232" s="52">
        <v>2017</v>
      </c>
      <c r="C232" s="52" t="s">
        <v>172</v>
      </c>
      <c r="D232" s="52" t="s">
        <v>1270</v>
      </c>
      <c r="E232" s="34">
        <v>600</v>
      </c>
      <c r="F232" s="52" t="s">
        <v>3330</v>
      </c>
      <c r="G232" s="52" t="s">
        <v>152</v>
      </c>
      <c r="I232" s="52" t="s">
        <v>121</v>
      </c>
      <c r="J232" s="52" t="s">
        <v>183</v>
      </c>
      <c r="K232" s="69"/>
      <c r="L232" s="75">
        <v>0</v>
      </c>
    </row>
    <row r="233" spans="1:12" s="52" customFormat="1" ht="15" customHeight="1" x14ac:dyDescent="0.2">
      <c r="A233" s="52">
        <f t="shared" si="3"/>
        <v>227</v>
      </c>
      <c r="B233" s="52">
        <v>2017</v>
      </c>
      <c r="C233" s="52" t="s">
        <v>172</v>
      </c>
      <c r="D233" s="52" t="s">
        <v>373</v>
      </c>
      <c r="E233" s="34">
        <v>180</v>
      </c>
      <c r="F233" s="52" t="s">
        <v>3331</v>
      </c>
      <c r="G233" s="52" t="s">
        <v>146</v>
      </c>
      <c r="H233" s="52" t="s">
        <v>253</v>
      </c>
      <c r="I233" s="52" t="s">
        <v>131</v>
      </c>
      <c r="J233" s="52" t="s">
        <v>131</v>
      </c>
      <c r="K233" s="69"/>
      <c r="L233" s="75">
        <v>0</v>
      </c>
    </row>
    <row r="234" spans="1:12" s="52" customFormat="1" ht="15" customHeight="1" x14ac:dyDescent="0.2">
      <c r="A234" s="52">
        <f t="shared" si="3"/>
        <v>228</v>
      </c>
      <c r="B234" s="52">
        <v>2017</v>
      </c>
      <c r="C234" s="52" t="s">
        <v>258</v>
      </c>
      <c r="D234" s="52" t="s">
        <v>221</v>
      </c>
      <c r="E234" s="34">
        <v>800</v>
      </c>
      <c r="G234" s="52" t="s">
        <v>149</v>
      </c>
      <c r="H234" s="52" t="s">
        <v>182</v>
      </c>
      <c r="I234" s="52" t="s">
        <v>9</v>
      </c>
      <c r="J234" s="52" t="s">
        <v>9</v>
      </c>
      <c r="K234" s="69" t="s">
        <v>178</v>
      </c>
      <c r="L234" s="75">
        <v>0</v>
      </c>
    </row>
    <row r="235" spans="1:12" s="52" customFormat="1" ht="15" customHeight="1" x14ac:dyDescent="0.2">
      <c r="A235" s="52">
        <f t="shared" si="3"/>
        <v>229</v>
      </c>
      <c r="B235" s="52">
        <v>2017</v>
      </c>
      <c r="C235" s="52" t="s">
        <v>179</v>
      </c>
      <c r="D235" s="52" t="s">
        <v>1471</v>
      </c>
      <c r="E235" s="34">
        <v>280</v>
      </c>
      <c r="F235" s="52" t="s">
        <v>1472</v>
      </c>
      <c r="G235" s="52" t="s">
        <v>145</v>
      </c>
      <c r="I235" s="52" t="s">
        <v>58</v>
      </c>
      <c r="J235" s="52" t="s">
        <v>195</v>
      </c>
      <c r="K235" s="69"/>
      <c r="L235" s="75">
        <v>0</v>
      </c>
    </row>
    <row r="236" spans="1:12" s="52" customFormat="1" ht="15" customHeight="1" x14ac:dyDescent="0.2">
      <c r="A236" s="52">
        <f t="shared" si="3"/>
        <v>230</v>
      </c>
      <c r="B236" s="52">
        <v>2017</v>
      </c>
      <c r="C236" s="52" t="s">
        <v>179</v>
      </c>
      <c r="D236" s="52" t="s">
        <v>661</v>
      </c>
      <c r="E236" s="34">
        <v>1000</v>
      </c>
      <c r="F236" s="52" t="s">
        <v>3332</v>
      </c>
      <c r="G236" s="52" t="s">
        <v>145</v>
      </c>
      <c r="I236" s="52" t="s">
        <v>131</v>
      </c>
      <c r="J236" s="52" t="s">
        <v>131</v>
      </c>
      <c r="K236" s="69"/>
      <c r="L236" s="75">
        <v>0</v>
      </c>
    </row>
    <row r="237" spans="1:12" s="52" customFormat="1" ht="15" customHeight="1" x14ac:dyDescent="0.2">
      <c r="A237" s="52">
        <f t="shared" si="3"/>
        <v>231</v>
      </c>
      <c r="B237" s="52">
        <v>2017</v>
      </c>
      <c r="C237" s="52" t="s">
        <v>179</v>
      </c>
      <c r="D237" t="s">
        <v>1066</v>
      </c>
      <c r="E237" s="34">
        <v>280</v>
      </c>
      <c r="F237" s="52" t="s">
        <v>3333</v>
      </c>
      <c r="G237" s="52" t="s">
        <v>146</v>
      </c>
      <c r="I237" s="52" t="s">
        <v>131</v>
      </c>
      <c r="J237" s="52" t="s">
        <v>131</v>
      </c>
      <c r="K237" s="69"/>
      <c r="L237" s="75">
        <v>0</v>
      </c>
    </row>
    <row r="238" spans="1:12" s="52" customFormat="1" ht="15" customHeight="1" x14ac:dyDescent="0.2">
      <c r="A238" s="52">
        <f t="shared" si="3"/>
        <v>232</v>
      </c>
      <c r="B238" s="52">
        <v>2017</v>
      </c>
      <c r="C238" s="52" t="s">
        <v>184</v>
      </c>
      <c r="D238" s="52" t="s">
        <v>913</v>
      </c>
      <c r="E238" s="34">
        <v>2000</v>
      </c>
      <c r="F238" s="52" t="s">
        <v>3334</v>
      </c>
      <c r="G238" s="52" t="s">
        <v>150</v>
      </c>
      <c r="H238" s="52" t="s">
        <v>556</v>
      </c>
      <c r="I238" s="52" t="s">
        <v>131</v>
      </c>
      <c r="J238" s="52" t="s">
        <v>131</v>
      </c>
      <c r="K238" s="69"/>
      <c r="L238" s="75">
        <v>0</v>
      </c>
    </row>
    <row r="239" spans="1:12" s="52" customFormat="1" ht="15" customHeight="1" x14ac:dyDescent="0.2">
      <c r="A239" s="52">
        <f t="shared" si="3"/>
        <v>233</v>
      </c>
      <c r="B239" s="52">
        <v>2017</v>
      </c>
      <c r="C239" s="52" t="s">
        <v>184</v>
      </c>
      <c r="D239" s="52" t="s">
        <v>962</v>
      </c>
      <c r="E239" s="34">
        <v>1570</v>
      </c>
      <c r="F239" s="52" t="s">
        <v>3335</v>
      </c>
      <c r="G239" s="52" t="s">
        <v>146</v>
      </c>
      <c r="H239" s="52" t="s">
        <v>3217</v>
      </c>
      <c r="I239" s="52" t="s">
        <v>131</v>
      </c>
      <c r="J239" s="52" t="s">
        <v>131</v>
      </c>
      <c r="K239" s="69"/>
      <c r="L239" s="75">
        <v>0</v>
      </c>
    </row>
    <row r="240" spans="1:12" s="52" customFormat="1" ht="15" customHeight="1" x14ac:dyDescent="0.2">
      <c r="A240" s="52">
        <f t="shared" si="3"/>
        <v>234</v>
      </c>
      <c r="B240" s="52">
        <v>2017</v>
      </c>
      <c r="C240" s="52" t="s">
        <v>184</v>
      </c>
      <c r="D240" s="52" t="s">
        <v>3336</v>
      </c>
      <c r="E240" s="34">
        <v>1300</v>
      </c>
      <c r="F240" s="52" t="s">
        <v>3337</v>
      </c>
      <c r="G240" s="52" t="s">
        <v>154</v>
      </c>
      <c r="H240" s="52" t="s">
        <v>194</v>
      </c>
      <c r="I240" s="52" t="s">
        <v>72</v>
      </c>
      <c r="J240" s="52" t="s">
        <v>183</v>
      </c>
      <c r="K240" s="69"/>
      <c r="L240" s="75">
        <v>1</v>
      </c>
    </row>
    <row r="241" spans="1:12" s="52" customFormat="1" ht="15" customHeight="1" x14ac:dyDescent="0.2">
      <c r="A241" s="52">
        <f t="shared" si="3"/>
        <v>235</v>
      </c>
      <c r="B241" s="52">
        <v>2017</v>
      </c>
      <c r="C241" s="52" t="s">
        <v>225</v>
      </c>
      <c r="D241" s="52" t="s">
        <v>341</v>
      </c>
      <c r="E241" s="34">
        <v>710</v>
      </c>
      <c r="F241" s="52" t="s">
        <v>3338</v>
      </c>
      <c r="G241" s="52" t="s">
        <v>151</v>
      </c>
      <c r="H241" s="52" t="s">
        <v>224</v>
      </c>
      <c r="I241" s="52" t="s">
        <v>72</v>
      </c>
      <c r="J241" s="52" t="s">
        <v>183</v>
      </c>
      <c r="K241" s="69" t="s">
        <v>178</v>
      </c>
      <c r="L241" s="75">
        <v>1</v>
      </c>
    </row>
    <row r="242" spans="1:12" s="52" customFormat="1" ht="15" customHeight="1" x14ac:dyDescent="0.2">
      <c r="A242" s="52">
        <f t="shared" si="3"/>
        <v>236</v>
      </c>
      <c r="B242" s="52">
        <v>2017</v>
      </c>
      <c r="C242" s="52" t="s">
        <v>225</v>
      </c>
      <c r="D242" s="52" t="s">
        <v>1270</v>
      </c>
      <c r="E242" s="34">
        <v>200</v>
      </c>
      <c r="F242" s="52" t="s">
        <v>3339</v>
      </c>
      <c r="G242" s="52" t="s">
        <v>147</v>
      </c>
      <c r="I242" s="52" t="s">
        <v>113</v>
      </c>
      <c r="J242" s="52" t="s">
        <v>183</v>
      </c>
      <c r="K242" s="69"/>
      <c r="L242" s="75">
        <v>1</v>
      </c>
    </row>
    <row r="243" spans="1:12" s="52" customFormat="1" ht="15" customHeight="1" x14ac:dyDescent="0.2">
      <c r="A243" s="52">
        <f t="shared" si="3"/>
        <v>237</v>
      </c>
      <c r="B243" s="52">
        <v>2017</v>
      </c>
      <c r="C243" s="52" t="s">
        <v>225</v>
      </c>
      <c r="D243" s="52" t="s">
        <v>189</v>
      </c>
      <c r="E243" s="34">
        <v>190</v>
      </c>
      <c r="G243" s="52" t="s">
        <v>155</v>
      </c>
      <c r="I243" s="52" t="s">
        <v>105</v>
      </c>
      <c r="J243" s="52" t="s">
        <v>214</v>
      </c>
      <c r="K243" s="69"/>
      <c r="L243" s="75">
        <v>1</v>
      </c>
    </row>
    <row r="244" spans="1:12" s="52" customFormat="1" ht="15" customHeight="1" x14ac:dyDescent="0.2">
      <c r="A244" s="52">
        <f t="shared" si="3"/>
        <v>238</v>
      </c>
      <c r="B244" s="52">
        <v>2017</v>
      </c>
      <c r="C244" s="52" t="s">
        <v>225</v>
      </c>
      <c r="D244" s="52" t="s">
        <v>189</v>
      </c>
      <c r="E244" s="34">
        <v>120</v>
      </c>
      <c r="G244" s="52" t="s">
        <v>142</v>
      </c>
      <c r="I244" s="52" t="s">
        <v>105</v>
      </c>
      <c r="J244" s="52" t="s">
        <v>214</v>
      </c>
      <c r="K244" s="69"/>
      <c r="L244" s="75">
        <v>1</v>
      </c>
    </row>
    <row r="245" spans="1:12" s="52" customFormat="1" ht="15" customHeight="1" x14ac:dyDescent="0.2">
      <c r="A245" s="52">
        <f t="shared" si="3"/>
        <v>239</v>
      </c>
      <c r="B245" s="52">
        <v>2017</v>
      </c>
      <c r="C245" s="52" t="s">
        <v>225</v>
      </c>
      <c r="D245" s="52" t="s">
        <v>479</v>
      </c>
      <c r="E245" s="34">
        <v>680</v>
      </c>
      <c r="G245" s="52" t="s">
        <v>154</v>
      </c>
      <c r="H245" s="52" t="s">
        <v>250</v>
      </c>
      <c r="I245" s="52" t="s">
        <v>116</v>
      </c>
      <c r="J245" s="52" t="s">
        <v>214</v>
      </c>
      <c r="K245" s="69"/>
      <c r="L245" s="75">
        <v>1</v>
      </c>
    </row>
    <row r="246" spans="1:12" s="52" customFormat="1" ht="15" customHeight="1" x14ac:dyDescent="0.2">
      <c r="A246" s="52">
        <f t="shared" si="3"/>
        <v>240</v>
      </c>
      <c r="B246" s="52">
        <v>2017</v>
      </c>
      <c r="C246" s="52" t="s">
        <v>188</v>
      </c>
      <c r="D246" s="52" t="s">
        <v>3340</v>
      </c>
      <c r="E246" s="34">
        <v>560</v>
      </c>
      <c r="F246" s="52" t="s">
        <v>3302</v>
      </c>
      <c r="G246" s="52" t="s">
        <v>146</v>
      </c>
      <c r="I246" s="52" t="s">
        <v>57</v>
      </c>
      <c r="J246" s="52" t="s">
        <v>195</v>
      </c>
      <c r="K246" s="69"/>
      <c r="L246" s="75">
        <v>0</v>
      </c>
    </row>
    <row r="247" spans="1:12" s="52" customFormat="1" ht="15" customHeight="1" x14ac:dyDescent="0.2">
      <c r="A247" s="52">
        <f t="shared" si="3"/>
        <v>241</v>
      </c>
      <c r="B247" s="52">
        <v>2017</v>
      </c>
      <c r="C247" s="52" t="s">
        <v>188</v>
      </c>
      <c r="D247" s="52" t="s">
        <v>399</v>
      </c>
      <c r="E247" s="34">
        <v>1770</v>
      </c>
      <c r="F247" s="52" t="s">
        <v>2962</v>
      </c>
      <c r="G247" s="52" t="s">
        <v>144</v>
      </c>
      <c r="I247" s="52" t="s">
        <v>93</v>
      </c>
      <c r="J247" s="52" t="s">
        <v>201</v>
      </c>
      <c r="K247" s="69"/>
      <c r="L247" s="75">
        <v>1</v>
      </c>
    </row>
    <row r="248" spans="1:12" s="52" customFormat="1" ht="15" customHeight="1" x14ac:dyDescent="0.2">
      <c r="A248" s="52">
        <f t="shared" si="3"/>
        <v>242</v>
      </c>
      <c r="B248" s="52">
        <v>2017</v>
      </c>
      <c r="C248" s="52" t="s">
        <v>191</v>
      </c>
      <c r="D248" s="52" t="s">
        <v>373</v>
      </c>
      <c r="E248" s="34">
        <v>420</v>
      </c>
      <c r="F248" s="52" t="s">
        <v>3341</v>
      </c>
      <c r="G248" s="52" t="s">
        <v>154</v>
      </c>
      <c r="H248" s="52" t="s">
        <v>250</v>
      </c>
      <c r="I248" s="52" t="s">
        <v>131</v>
      </c>
      <c r="J248" s="52" t="s">
        <v>131</v>
      </c>
      <c r="K248" s="69"/>
      <c r="L248" s="75">
        <v>0</v>
      </c>
    </row>
    <row r="249" spans="1:12" s="52" customFormat="1" ht="15" customHeight="1" x14ac:dyDescent="0.2">
      <c r="A249" s="52">
        <f t="shared" si="3"/>
        <v>243</v>
      </c>
      <c r="B249" s="52">
        <v>2017</v>
      </c>
      <c r="C249" s="52" t="s">
        <v>191</v>
      </c>
      <c r="D249" s="52" t="s">
        <v>837</v>
      </c>
      <c r="E249" s="34">
        <v>2700</v>
      </c>
      <c r="F249" s="52" t="s">
        <v>3342</v>
      </c>
      <c r="G249" s="52" t="s">
        <v>146</v>
      </c>
      <c r="I249" s="52" t="s">
        <v>131</v>
      </c>
      <c r="J249" s="52" t="s">
        <v>131</v>
      </c>
      <c r="K249" s="69"/>
      <c r="L249" s="75">
        <v>0</v>
      </c>
    </row>
    <row r="250" spans="1:12" s="52" customFormat="1" ht="15" customHeight="1" x14ac:dyDescent="0.2">
      <c r="A250" s="52">
        <f t="shared" si="3"/>
        <v>244</v>
      </c>
      <c r="B250" s="52">
        <v>2017</v>
      </c>
      <c r="C250" s="52" t="s">
        <v>198</v>
      </c>
      <c r="D250" s="52" t="s">
        <v>3343</v>
      </c>
      <c r="E250" s="34">
        <v>590</v>
      </c>
      <c r="F250" s="52" t="s">
        <v>3344</v>
      </c>
      <c r="G250" s="52" t="s">
        <v>151</v>
      </c>
      <c r="H250" s="52" t="s">
        <v>279</v>
      </c>
      <c r="I250" s="52" t="s">
        <v>58</v>
      </c>
      <c r="J250" s="52" t="s">
        <v>195</v>
      </c>
      <c r="K250" s="69"/>
      <c r="L250" s="75">
        <v>0</v>
      </c>
    </row>
    <row r="251" spans="1:12" s="52" customFormat="1" ht="15" customHeight="1" x14ac:dyDescent="0.2">
      <c r="A251" s="52">
        <f t="shared" si="3"/>
        <v>245</v>
      </c>
      <c r="B251" s="52">
        <v>2017</v>
      </c>
      <c r="C251" s="52" t="s">
        <v>198</v>
      </c>
      <c r="D251" s="52" t="s">
        <v>3345</v>
      </c>
      <c r="E251" s="34">
        <v>290</v>
      </c>
      <c r="F251" s="52" t="s">
        <v>3346</v>
      </c>
      <c r="G251" s="52" t="s">
        <v>152</v>
      </c>
      <c r="I251" s="52" t="s">
        <v>57</v>
      </c>
      <c r="J251" s="52" t="s">
        <v>195</v>
      </c>
      <c r="K251" s="69"/>
      <c r="L251" s="75">
        <v>0</v>
      </c>
    </row>
    <row r="252" spans="1:12" s="52" customFormat="1" ht="15" customHeight="1" x14ac:dyDescent="0.2">
      <c r="A252" s="52">
        <f t="shared" si="3"/>
        <v>246</v>
      </c>
      <c r="B252" s="52">
        <v>2017</v>
      </c>
      <c r="C252" s="52" t="s">
        <v>198</v>
      </c>
      <c r="D252" s="52" t="s">
        <v>554</v>
      </c>
      <c r="E252" s="34">
        <v>220</v>
      </c>
      <c r="F252" s="52" t="s">
        <v>3347</v>
      </c>
      <c r="G252" s="52" t="s">
        <v>147</v>
      </c>
      <c r="I252" s="52" t="s">
        <v>52</v>
      </c>
      <c r="J252" s="52" t="s">
        <v>201</v>
      </c>
      <c r="K252" s="69"/>
      <c r="L252" s="75">
        <v>0</v>
      </c>
    </row>
    <row r="253" spans="1:12" s="52" customFormat="1" ht="15" customHeight="1" x14ac:dyDescent="0.2">
      <c r="A253" s="52">
        <f t="shared" si="3"/>
        <v>247</v>
      </c>
      <c r="B253" s="52">
        <v>2017</v>
      </c>
      <c r="C253" s="52" t="s">
        <v>202</v>
      </c>
      <c r="D253" s="52" t="s">
        <v>1577</v>
      </c>
      <c r="E253" s="34">
        <v>1300</v>
      </c>
      <c r="F253" s="52" t="s">
        <v>3348</v>
      </c>
      <c r="G253" s="52" t="s">
        <v>152</v>
      </c>
      <c r="I253" s="52" t="s">
        <v>131</v>
      </c>
      <c r="J253" s="52" t="s">
        <v>131</v>
      </c>
      <c r="K253" s="69"/>
      <c r="L253" s="75">
        <v>0</v>
      </c>
    </row>
    <row r="254" spans="1:12" s="52" customFormat="1" ht="15" customHeight="1" x14ac:dyDescent="0.2">
      <c r="A254" s="52">
        <f t="shared" si="3"/>
        <v>248</v>
      </c>
      <c r="B254" s="52">
        <v>2017</v>
      </c>
      <c r="C254" s="52" t="s">
        <v>202</v>
      </c>
      <c r="D254" s="52" t="s">
        <v>3349</v>
      </c>
      <c r="E254" s="34">
        <v>170</v>
      </c>
      <c r="F254" s="52" t="s">
        <v>3350</v>
      </c>
      <c r="G254" s="52" t="s">
        <v>152</v>
      </c>
      <c r="I254" s="52" t="s">
        <v>85</v>
      </c>
      <c r="J254" s="52" t="s">
        <v>195</v>
      </c>
      <c r="K254" s="69"/>
      <c r="L254" s="75">
        <v>0</v>
      </c>
    </row>
    <row r="255" spans="1:12" s="52" customFormat="1" ht="15" customHeight="1" x14ac:dyDescent="0.2">
      <c r="A255" s="52">
        <f t="shared" si="3"/>
        <v>249</v>
      </c>
      <c r="B255" s="52">
        <v>2017</v>
      </c>
      <c r="C255" s="52" t="s">
        <v>202</v>
      </c>
      <c r="D255" s="52" t="s">
        <v>3351</v>
      </c>
      <c r="E255" s="34">
        <v>420</v>
      </c>
      <c r="F255" s="52" t="s">
        <v>3352</v>
      </c>
      <c r="G255" s="52" t="s">
        <v>150</v>
      </c>
      <c r="I255" s="52" t="s">
        <v>131</v>
      </c>
      <c r="J255" s="52" t="s">
        <v>131</v>
      </c>
      <c r="K255" s="69"/>
      <c r="L255" s="75">
        <v>0</v>
      </c>
    </row>
    <row r="256" spans="1:12" s="52" customFormat="1" ht="15" customHeight="1" x14ac:dyDescent="0.2">
      <c r="A256" s="52">
        <f t="shared" si="3"/>
        <v>250</v>
      </c>
      <c r="B256" s="52">
        <v>2017</v>
      </c>
      <c r="C256" s="52" t="s">
        <v>207</v>
      </c>
      <c r="D256" s="52" t="s">
        <v>449</v>
      </c>
      <c r="E256" s="34">
        <v>1060</v>
      </c>
      <c r="G256" s="52" t="s">
        <v>154</v>
      </c>
      <c r="H256" s="52" t="s">
        <v>194</v>
      </c>
      <c r="I256" s="52" t="s">
        <v>13</v>
      </c>
      <c r="J256" s="52" t="s">
        <v>201</v>
      </c>
      <c r="K256" s="69"/>
      <c r="L256" s="75">
        <v>1</v>
      </c>
    </row>
    <row r="257" spans="1:12" s="52" customFormat="1" ht="15" customHeight="1" x14ac:dyDescent="0.2">
      <c r="A257" s="52">
        <f t="shared" si="3"/>
        <v>251</v>
      </c>
      <c r="B257" s="52">
        <v>2017</v>
      </c>
      <c r="C257" s="52" t="s">
        <v>207</v>
      </c>
      <c r="D257" s="52" t="s">
        <v>1356</v>
      </c>
      <c r="E257" s="34">
        <v>130</v>
      </c>
      <c r="G257" s="52" t="s">
        <v>142</v>
      </c>
      <c r="I257" s="52" t="s">
        <v>29</v>
      </c>
      <c r="J257" s="52" t="s">
        <v>219</v>
      </c>
      <c r="K257" s="69"/>
      <c r="L257" s="75">
        <v>1</v>
      </c>
    </row>
    <row r="258" spans="1:12" s="52" customFormat="1" ht="15" customHeight="1" x14ac:dyDescent="0.2">
      <c r="A258" s="52">
        <f t="shared" si="3"/>
        <v>252</v>
      </c>
      <c r="B258" s="52">
        <v>2017</v>
      </c>
      <c r="C258" s="52" t="s">
        <v>240</v>
      </c>
      <c r="D258" s="52" t="s">
        <v>373</v>
      </c>
      <c r="E258" s="34">
        <v>300</v>
      </c>
      <c r="F258" s="52" t="s">
        <v>3353</v>
      </c>
      <c r="G258" s="52" t="s">
        <v>148</v>
      </c>
      <c r="I258" s="52" t="s">
        <v>9</v>
      </c>
      <c r="J258" s="52" t="s">
        <v>9</v>
      </c>
      <c r="K258" s="69"/>
      <c r="L258" s="75">
        <v>0</v>
      </c>
    </row>
    <row r="259" spans="1:12" s="52" customFormat="1" ht="15" customHeight="1" x14ac:dyDescent="0.2">
      <c r="A259" s="52">
        <f t="shared" si="3"/>
        <v>253</v>
      </c>
      <c r="B259" s="52">
        <v>2017</v>
      </c>
      <c r="C259" s="52" t="s">
        <v>240</v>
      </c>
      <c r="D259" s="52" t="s">
        <v>982</v>
      </c>
      <c r="E259" s="34">
        <v>450</v>
      </c>
      <c r="G259" s="52" t="s">
        <v>151</v>
      </c>
      <c r="H259" s="52" t="s">
        <v>279</v>
      </c>
      <c r="I259" s="52" t="s">
        <v>25</v>
      </c>
      <c r="J259" s="52" t="s">
        <v>177</v>
      </c>
      <c r="K259" s="69" t="s">
        <v>178</v>
      </c>
      <c r="L259" s="75">
        <v>0</v>
      </c>
    </row>
    <row r="260" spans="1:12" s="52" customFormat="1" ht="15" customHeight="1" x14ac:dyDescent="0.2">
      <c r="A260" s="52">
        <f t="shared" si="3"/>
        <v>254</v>
      </c>
      <c r="B260" s="52">
        <v>2017</v>
      </c>
      <c r="C260" s="52" t="s">
        <v>240</v>
      </c>
      <c r="D260" s="52" t="s">
        <v>3354</v>
      </c>
      <c r="E260" s="34">
        <v>210</v>
      </c>
      <c r="F260" s="52" t="s">
        <v>3355</v>
      </c>
      <c r="G260" s="52" t="s">
        <v>154</v>
      </c>
      <c r="H260" s="52" t="s">
        <v>194</v>
      </c>
      <c r="I260" s="52" t="s">
        <v>19</v>
      </c>
      <c r="J260" s="52" t="s">
        <v>205</v>
      </c>
      <c r="K260" s="69" t="s">
        <v>178</v>
      </c>
      <c r="L260" s="75">
        <v>0</v>
      </c>
    </row>
    <row r="261" spans="1:12" s="52" customFormat="1" ht="15" customHeight="1" x14ac:dyDescent="0.2">
      <c r="A261" s="52">
        <f t="shared" si="3"/>
        <v>255</v>
      </c>
      <c r="B261" s="52">
        <v>2017</v>
      </c>
      <c r="C261" s="52" t="s">
        <v>240</v>
      </c>
      <c r="D261" s="52" t="s">
        <v>1575</v>
      </c>
      <c r="E261" s="34">
        <v>2330</v>
      </c>
      <c r="F261" s="52" t="s">
        <v>3356</v>
      </c>
      <c r="G261" s="52" t="s">
        <v>149</v>
      </c>
      <c r="H261" s="52" t="s">
        <v>238</v>
      </c>
      <c r="I261" s="52" t="s">
        <v>131</v>
      </c>
      <c r="J261" s="52" t="s">
        <v>131</v>
      </c>
      <c r="K261" s="69"/>
      <c r="L261" s="75">
        <v>0</v>
      </c>
    </row>
    <row r="262" spans="1:12" s="52" customFormat="1" ht="15" customHeight="1" x14ac:dyDescent="0.2">
      <c r="A262" s="52">
        <f t="shared" si="3"/>
        <v>256</v>
      </c>
      <c r="B262" s="52">
        <v>2017</v>
      </c>
      <c r="C262" s="52" t="s">
        <v>212</v>
      </c>
      <c r="D262" s="52" t="s">
        <v>373</v>
      </c>
      <c r="E262" s="34">
        <v>460</v>
      </c>
      <c r="F262" s="52" t="s">
        <v>3357</v>
      </c>
      <c r="G262" s="52" t="s">
        <v>146</v>
      </c>
      <c r="I262" s="52" t="s">
        <v>86</v>
      </c>
      <c r="J262" s="52" t="s">
        <v>183</v>
      </c>
      <c r="K262" s="69"/>
      <c r="L262" s="75">
        <v>1</v>
      </c>
    </row>
    <row r="263" spans="1:12" s="52" customFormat="1" ht="15" customHeight="1" x14ac:dyDescent="0.2">
      <c r="A263" s="52">
        <f t="shared" ref="A263:A326" si="4">ROW()-6</f>
        <v>257</v>
      </c>
      <c r="B263" s="52">
        <v>2018</v>
      </c>
      <c r="C263" s="52" t="s">
        <v>172</v>
      </c>
      <c r="D263" s="52" t="s">
        <v>479</v>
      </c>
      <c r="E263" s="34">
        <v>2060</v>
      </c>
      <c r="G263" s="52" t="s">
        <v>154</v>
      </c>
      <c r="H263" s="52" t="s">
        <v>194</v>
      </c>
      <c r="I263" s="52" t="s">
        <v>13</v>
      </c>
      <c r="J263" s="52" t="s">
        <v>201</v>
      </c>
      <c r="K263" s="69"/>
      <c r="L263" s="75">
        <v>1</v>
      </c>
    </row>
    <row r="264" spans="1:12" s="52" customFormat="1" ht="15" customHeight="1" x14ac:dyDescent="0.2">
      <c r="A264" s="52">
        <f t="shared" si="4"/>
        <v>258</v>
      </c>
      <c r="B264" s="52">
        <v>2018</v>
      </c>
      <c r="C264" s="52" t="s">
        <v>172</v>
      </c>
      <c r="D264" s="52" t="s">
        <v>661</v>
      </c>
      <c r="E264" s="34">
        <v>290</v>
      </c>
      <c r="G264" s="52" t="s">
        <v>151</v>
      </c>
      <c r="H264" s="52" t="s">
        <v>224</v>
      </c>
      <c r="I264" s="52" t="s">
        <v>9</v>
      </c>
      <c r="J264" s="52" t="s">
        <v>9</v>
      </c>
      <c r="K264" s="69" t="s">
        <v>178</v>
      </c>
      <c r="L264" s="75">
        <v>0</v>
      </c>
    </row>
    <row r="265" spans="1:12" s="52" customFormat="1" ht="15" customHeight="1" x14ac:dyDescent="0.2">
      <c r="A265" s="52">
        <f t="shared" si="4"/>
        <v>259</v>
      </c>
      <c r="B265" s="52">
        <v>2018</v>
      </c>
      <c r="C265" s="52" t="s">
        <v>172</v>
      </c>
      <c r="D265" s="52" t="s">
        <v>554</v>
      </c>
      <c r="E265" s="34">
        <v>890</v>
      </c>
      <c r="F265" s="52" t="s">
        <v>660</v>
      </c>
      <c r="G265" s="52" t="s">
        <v>149</v>
      </c>
      <c r="I265" s="52" t="s">
        <v>101</v>
      </c>
      <c r="J265" s="52" t="s">
        <v>201</v>
      </c>
      <c r="K265" s="69"/>
      <c r="L265" s="75">
        <v>1</v>
      </c>
    </row>
    <row r="266" spans="1:12" s="52" customFormat="1" ht="15" customHeight="1" x14ac:dyDescent="0.2">
      <c r="A266" s="52">
        <f t="shared" si="4"/>
        <v>260</v>
      </c>
      <c r="B266" s="52">
        <v>2018</v>
      </c>
      <c r="C266" s="52" t="s">
        <v>172</v>
      </c>
      <c r="D266" s="52" t="s">
        <v>822</v>
      </c>
      <c r="E266" s="34">
        <v>1810</v>
      </c>
      <c r="F266" s="52" t="s">
        <v>3358</v>
      </c>
      <c r="G266" s="52" t="s">
        <v>146</v>
      </c>
      <c r="I266" s="52" t="s">
        <v>131</v>
      </c>
      <c r="J266" s="52" t="s">
        <v>131</v>
      </c>
      <c r="K266" s="69"/>
      <c r="L266" s="75">
        <v>0</v>
      </c>
    </row>
    <row r="267" spans="1:12" s="52" customFormat="1" ht="15" customHeight="1" x14ac:dyDescent="0.2">
      <c r="A267" s="52">
        <f t="shared" si="4"/>
        <v>261</v>
      </c>
      <c r="B267" s="52">
        <v>2018</v>
      </c>
      <c r="C267" s="52" t="s">
        <v>258</v>
      </c>
      <c r="D267" s="52" t="s">
        <v>3359</v>
      </c>
      <c r="E267" s="34">
        <v>580</v>
      </c>
      <c r="F267" s="52" t="s">
        <v>3360</v>
      </c>
      <c r="G267" s="52" t="s">
        <v>152</v>
      </c>
      <c r="I267" s="52" t="s">
        <v>131</v>
      </c>
      <c r="J267" s="52" t="s">
        <v>131</v>
      </c>
      <c r="K267" s="69"/>
      <c r="L267" s="75">
        <v>0</v>
      </c>
    </row>
    <row r="268" spans="1:12" s="52" customFormat="1" ht="15" customHeight="1" x14ac:dyDescent="0.2">
      <c r="A268" s="52">
        <f t="shared" si="4"/>
        <v>262</v>
      </c>
      <c r="B268" s="52">
        <v>2018</v>
      </c>
      <c r="C268" s="52" t="s">
        <v>258</v>
      </c>
      <c r="D268" s="52" t="s">
        <v>698</v>
      </c>
      <c r="E268" s="34">
        <v>690</v>
      </c>
      <c r="F268" s="52" t="s">
        <v>3361</v>
      </c>
      <c r="G268" s="52" t="s">
        <v>150</v>
      </c>
      <c r="H268" s="52" t="s">
        <v>292</v>
      </c>
      <c r="I268" s="52" t="s">
        <v>119</v>
      </c>
      <c r="J268" s="52" t="s">
        <v>195</v>
      </c>
      <c r="K268" s="69"/>
      <c r="L268" s="75">
        <v>0</v>
      </c>
    </row>
    <row r="269" spans="1:12" s="52" customFormat="1" ht="15" customHeight="1" x14ac:dyDescent="0.2">
      <c r="A269" s="52">
        <f t="shared" si="4"/>
        <v>263</v>
      </c>
      <c r="B269" s="52">
        <v>2018</v>
      </c>
      <c r="C269" s="52" t="s">
        <v>258</v>
      </c>
      <c r="D269" s="52" t="s">
        <v>3362</v>
      </c>
      <c r="E269" s="34">
        <v>320</v>
      </c>
      <c r="F269" s="52" t="s">
        <v>3363</v>
      </c>
      <c r="G269" s="52" t="s">
        <v>151</v>
      </c>
      <c r="H269" s="52" t="s">
        <v>279</v>
      </c>
      <c r="I269" s="52" t="s">
        <v>76</v>
      </c>
      <c r="J269" s="52" t="s">
        <v>219</v>
      </c>
      <c r="K269" s="69"/>
      <c r="L269" s="75"/>
    </row>
    <row r="270" spans="1:12" s="52" customFormat="1" ht="15" customHeight="1" x14ac:dyDescent="0.2">
      <c r="A270" s="52">
        <f t="shared" si="4"/>
        <v>264</v>
      </c>
      <c r="B270" s="52">
        <v>2018</v>
      </c>
      <c r="C270" s="52" t="s">
        <v>179</v>
      </c>
      <c r="D270" t="s">
        <v>1066</v>
      </c>
      <c r="E270" s="34">
        <v>910</v>
      </c>
      <c r="F270" s="52" t="s">
        <v>1067</v>
      </c>
      <c r="G270" s="52" t="s">
        <v>146</v>
      </c>
      <c r="H270" s="52" t="s">
        <v>253</v>
      </c>
      <c r="I270" s="52" t="s">
        <v>33</v>
      </c>
      <c r="J270" s="52" t="s">
        <v>195</v>
      </c>
      <c r="K270" s="69"/>
      <c r="L270" s="75">
        <v>1</v>
      </c>
    </row>
    <row r="271" spans="1:12" s="52" customFormat="1" ht="15" customHeight="1" x14ac:dyDescent="0.2">
      <c r="A271" s="52">
        <f t="shared" si="4"/>
        <v>265</v>
      </c>
      <c r="B271" s="52">
        <v>2018</v>
      </c>
      <c r="C271" s="52" t="s">
        <v>179</v>
      </c>
      <c r="D271" s="52" t="s">
        <v>2468</v>
      </c>
      <c r="E271" s="34">
        <v>1100</v>
      </c>
      <c r="G271" s="52" t="s">
        <v>144</v>
      </c>
      <c r="H271" s="52" t="s">
        <v>232</v>
      </c>
      <c r="I271" s="52" t="s">
        <v>41</v>
      </c>
      <c r="J271" s="52" t="s">
        <v>195</v>
      </c>
      <c r="K271" s="69" t="s">
        <v>178</v>
      </c>
      <c r="L271" s="75">
        <v>0</v>
      </c>
    </row>
    <row r="272" spans="1:12" s="52" customFormat="1" ht="15" customHeight="1" x14ac:dyDescent="0.2">
      <c r="A272" s="52">
        <f t="shared" si="4"/>
        <v>266</v>
      </c>
      <c r="B272" s="52">
        <v>2018</v>
      </c>
      <c r="C272" s="52" t="s">
        <v>179</v>
      </c>
      <c r="D272" s="52" t="s">
        <v>1035</v>
      </c>
      <c r="E272" s="34">
        <v>390</v>
      </c>
      <c r="F272" s="52" t="s">
        <v>3364</v>
      </c>
      <c r="G272" s="52" t="s">
        <v>144</v>
      </c>
      <c r="H272" s="52" t="s">
        <v>197</v>
      </c>
      <c r="I272" s="52" t="s">
        <v>77</v>
      </c>
      <c r="J272" s="52" t="s">
        <v>177</v>
      </c>
      <c r="K272" s="69"/>
      <c r="L272" s="75">
        <v>0</v>
      </c>
    </row>
    <row r="273" spans="1:12" s="52" customFormat="1" ht="15" customHeight="1" x14ac:dyDescent="0.2">
      <c r="A273" s="52">
        <f t="shared" si="4"/>
        <v>267</v>
      </c>
      <c r="B273" s="52">
        <v>2018</v>
      </c>
      <c r="C273" s="52" t="s">
        <v>225</v>
      </c>
      <c r="D273" t="s">
        <v>1066</v>
      </c>
      <c r="E273" s="34">
        <v>9180</v>
      </c>
      <c r="F273" s="52" t="s">
        <v>228</v>
      </c>
      <c r="G273" s="52" t="s">
        <v>144</v>
      </c>
      <c r="H273" s="52" t="s">
        <v>187</v>
      </c>
      <c r="I273" s="52" t="s">
        <v>101</v>
      </c>
      <c r="J273" s="52" t="s">
        <v>201</v>
      </c>
      <c r="K273" s="69"/>
      <c r="L273" s="75">
        <v>1</v>
      </c>
    </row>
    <row r="274" spans="1:12" s="52" customFormat="1" ht="15" customHeight="1" x14ac:dyDescent="0.2">
      <c r="A274" s="52">
        <f t="shared" si="4"/>
        <v>268</v>
      </c>
      <c r="B274" s="52">
        <v>2018</v>
      </c>
      <c r="C274" s="52" t="s">
        <v>225</v>
      </c>
      <c r="D274" t="s">
        <v>1066</v>
      </c>
      <c r="E274" s="34">
        <v>500</v>
      </c>
      <c r="F274" s="52" t="s">
        <v>506</v>
      </c>
      <c r="G274" s="52" t="s">
        <v>144</v>
      </c>
      <c r="I274" s="52" t="s">
        <v>101</v>
      </c>
      <c r="J274" s="52" t="s">
        <v>201</v>
      </c>
      <c r="K274" s="69"/>
      <c r="L274" s="75">
        <v>1</v>
      </c>
    </row>
    <row r="275" spans="1:12" s="52" customFormat="1" ht="15" customHeight="1" x14ac:dyDescent="0.2">
      <c r="A275" s="52">
        <f t="shared" si="4"/>
        <v>269</v>
      </c>
      <c r="B275" s="52">
        <v>2018</v>
      </c>
      <c r="C275" s="52" t="s">
        <v>225</v>
      </c>
      <c r="D275" s="52" t="s">
        <v>479</v>
      </c>
      <c r="E275" s="34">
        <v>1170</v>
      </c>
      <c r="F275" s="52" t="s">
        <v>3365</v>
      </c>
      <c r="G275" s="52" t="s">
        <v>151</v>
      </c>
      <c r="H275" s="52" t="s">
        <v>279</v>
      </c>
      <c r="I275" s="52" t="s">
        <v>25</v>
      </c>
      <c r="J275" s="52" t="s">
        <v>177</v>
      </c>
      <c r="K275" s="69"/>
      <c r="L275" s="75">
        <v>0</v>
      </c>
    </row>
    <row r="276" spans="1:12" s="52" customFormat="1" ht="15" customHeight="1" x14ac:dyDescent="0.2">
      <c r="A276" s="52">
        <f t="shared" si="4"/>
        <v>270</v>
      </c>
      <c r="B276" s="52">
        <v>2018</v>
      </c>
      <c r="C276" s="52" t="s">
        <v>225</v>
      </c>
      <c r="D276" s="52" t="s">
        <v>1382</v>
      </c>
      <c r="E276" s="34">
        <v>100</v>
      </c>
      <c r="G276" s="52" t="s">
        <v>144</v>
      </c>
      <c r="H276" s="52" t="s">
        <v>299</v>
      </c>
      <c r="I276" s="52" t="s">
        <v>25</v>
      </c>
      <c r="J276" s="52" t="s">
        <v>177</v>
      </c>
      <c r="K276" s="69"/>
      <c r="L276" s="75">
        <v>0</v>
      </c>
    </row>
    <row r="277" spans="1:12" s="52" customFormat="1" ht="15" customHeight="1" x14ac:dyDescent="0.2">
      <c r="A277" s="52">
        <f t="shared" si="4"/>
        <v>271</v>
      </c>
      <c r="B277" s="52">
        <v>2018</v>
      </c>
      <c r="C277" s="52" t="s">
        <v>188</v>
      </c>
      <c r="D277" s="52" t="s">
        <v>199</v>
      </c>
      <c r="E277" s="34">
        <v>2470</v>
      </c>
      <c r="G277" s="52" t="s">
        <v>144</v>
      </c>
      <c r="H277" s="52" t="s">
        <v>299</v>
      </c>
      <c r="I277" s="52" t="s">
        <v>72</v>
      </c>
      <c r="J277" s="52" t="s">
        <v>183</v>
      </c>
      <c r="K277" s="69"/>
      <c r="L277" s="75">
        <v>1</v>
      </c>
    </row>
    <row r="278" spans="1:12" s="52" customFormat="1" ht="15" customHeight="1" x14ac:dyDescent="0.2">
      <c r="A278" s="52">
        <f t="shared" si="4"/>
        <v>272</v>
      </c>
      <c r="B278" s="52">
        <v>2018</v>
      </c>
      <c r="C278" s="52" t="s">
        <v>188</v>
      </c>
      <c r="D278" s="52" t="s">
        <v>3298</v>
      </c>
      <c r="E278" s="34">
        <v>1000</v>
      </c>
      <c r="F278" s="52" t="s">
        <v>1735</v>
      </c>
      <c r="G278" s="52" t="s">
        <v>154</v>
      </c>
      <c r="H278" s="52" t="s">
        <v>194</v>
      </c>
      <c r="I278" s="52" t="s">
        <v>61</v>
      </c>
      <c r="J278" s="52" t="s">
        <v>183</v>
      </c>
      <c r="K278" s="69"/>
      <c r="L278" s="75">
        <v>0</v>
      </c>
    </row>
    <row r="279" spans="1:12" s="52" customFormat="1" ht="15" customHeight="1" x14ac:dyDescent="0.2">
      <c r="A279" s="52">
        <f t="shared" si="4"/>
        <v>273</v>
      </c>
      <c r="B279" s="52">
        <v>2018</v>
      </c>
      <c r="C279" s="52" t="s">
        <v>188</v>
      </c>
      <c r="D279" t="s">
        <v>1066</v>
      </c>
      <c r="E279" s="34">
        <v>350</v>
      </c>
      <c r="F279" s="52" t="s">
        <v>3366</v>
      </c>
      <c r="G279" s="52" t="s">
        <v>144</v>
      </c>
      <c r="H279" s="52" t="s">
        <v>187</v>
      </c>
      <c r="I279" s="52" t="s">
        <v>2571</v>
      </c>
      <c r="J279" s="52" t="s">
        <v>195</v>
      </c>
      <c r="K279" s="69"/>
      <c r="L279" s="75">
        <v>1</v>
      </c>
    </row>
    <row r="280" spans="1:12" s="52" customFormat="1" ht="15" customHeight="1" x14ac:dyDescent="0.2">
      <c r="A280" s="52">
        <f t="shared" si="4"/>
        <v>274</v>
      </c>
      <c r="B280" s="52">
        <v>2018</v>
      </c>
      <c r="C280" s="52" t="s">
        <v>188</v>
      </c>
      <c r="D280" s="52" t="s">
        <v>244</v>
      </c>
      <c r="E280" s="34">
        <v>260</v>
      </c>
      <c r="G280" s="52" t="s">
        <v>149</v>
      </c>
      <c r="H280" s="52" t="s">
        <v>236</v>
      </c>
      <c r="I280" s="52" t="s">
        <v>34</v>
      </c>
      <c r="J280" s="52" t="s">
        <v>219</v>
      </c>
      <c r="K280" s="69"/>
      <c r="L280" s="75">
        <v>1</v>
      </c>
    </row>
    <row r="281" spans="1:12" s="52" customFormat="1" ht="15" customHeight="1" x14ac:dyDescent="0.2">
      <c r="A281" s="52">
        <f t="shared" si="4"/>
        <v>275</v>
      </c>
      <c r="B281" s="52">
        <v>2018</v>
      </c>
      <c r="C281" s="52" t="s">
        <v>191</v>
      </c>
      <c r="D281" s="52" t="s">
        <v>3224</v>
      </c>
      <c r="E281" s="34">
        <v>630</v>
      </c>
      <c r="F281" s="52" t="s">
        <v>3302</v>
      </c>
      <c r="G281" s="52" t="s">
        <v>146</v>
      </c>
      <c r="I281" s="52" t="s">
        <v>57</v>
      </c>
      <c r="J281" s="52" t="s">
        <v>195</v>
      </c>
      <c r="K281" s="69"/>
      <c r="L281" s="75">
        <v>0</v>
      </c>
    </row>
    <row r="282" spans="1:12" s="52" customFormat="1" ht="15" customHeight="1" x14ac:dyDescent="0.2">
      <c r="A282" s="52">
        <f t="shared" si="4"/>
        <v>276</v>
      </c>
      <c r="B282" s="52">
        <v>2018</v>
      </c>
      <c r="C282" s="52" t="s">
        <v>198</v>
      </c>
      <c r="D282" s="52" t="s">
        <v>373</v>
      </c>
      <c r="E282" s="34">
        <v>270</v>
      </c>
      <c r="F282" s="52" t="s">
        <v>1118</v>
      </c>
      <c r="G282" s="52" t="s">
        <v>154</v>
      </c>
      <c r="H282" s="52" t="s">
        <v>250</v>
      </c>
      <c r="I282" s="52" t="s">
        <v>56</v>
      </c>
      <c r="J282" s="52" t="s">
        <v>195</v>
      </c>
      <c r="K282" s="69"/>
      <c r="L282" s="75">
        <v>0</v>
      </c>
    </row>
    <row r="283" spans="1:12" s="52" customFormat="1" ht="15" customHeight="1" x14ac:dyDescent="0.2">
      <c r="A283" s="52">
        <f t="shared" si="4"/>
        <v>277</v>
      </c>
      <c r="B283" s="52">
        <v>2018</v>
      </c>
      <c r="C283" s="52" t="s">
        <v>198</v>
      </c>
      <c r="D283" s="52" t="s">
        <v>895</v>
      </c>
      <c r="E283" s="34">
        <v>640</v>
      </c>
      <c r="G283" s="52" t="s">
        <v>150</v>
      </c>
      <c r="H283" s="52" t="s">
        <v>556</v>
      </c>
      <c r="I283" s="52" t="s">
        <v>20</v>
      </c>
      <c r="J283" s="52" t="s">
        <v>195</v>
      </c>
      <c r="K283" s="69"/>
      <c r="L283" s="75">
        <v>0</v>
      </c>
    </row>
    <row r="284" spans="1:12" s="52" customFormat="1" ht="15" customHeight="1" x14ac:dyDescent="0.2">
      <c r="A284" s="52">
        <f t="shared" si="4"/>
        <v>278</v>
      </c>
      <c r="B284" s="52">
        <v>2018</v>
      </c>
      <c r="C284" s="52" t="s">
        <v>198</v>
      </c>
      <c r="D284" s="52" t="s">
        <v>3367</v>
      </c>
      <c r="E284" s="34">
        <v>230</v>
      </c>
      <c r="G284" s="52" t="s">
        <v>144</v>
      </c>
      <c r="H284" s="52" t="s">
        <v>232</v>
      </c>
      <c r="I284" s="52" t="s">
        <v>131</v>
      </c>
      <c r="J284" s="52" t="s">
        <v>131</v>
      </c>
      <c r="K284" s="69"/>
      <c r="L284" s="75">
        <v>0</v>
      </c>
    </row>
    <row r="285" spans="1:12" s="52" customFormat="1" ht="15" customHeight="1" x14ac:dyDescent="0.2">
      <c r="A285" s="52">
        <f t="shared" si="4"/>
        <v>279</v>
      </c>
      <c r="B285" s="52">
        <v>2018</v>
      </c>
      <c r="C285" s="52" t="s">
        <v>207</v>
      </c>
      <c r="D285" s="52" t="s">
        <v>414</v>
      </c>
      <c r="E285" s="34">
        <v>230</v>
      </c>
      <c r="F285" s="52" t="s">
        <v>1158</v>
      </c>
      <c r="G285" s="52" t="s">
        <v>154</v>
      </c>
      <c r="H285" s="52" t="s">
        <v>194</v>
      </c>
      <c r="I285" s="52" t="s">
        <v>45</v>
      </c>
      <c r="J285" s="52" t="s">
        <v>195</v>
      </c>
      <c r="K285" s="69"/>
      <c r="L285" s="75">
        <v>0</v>
      </c>
    </row>
    <row r="286" spans="1:12" s="52" customFormat="1" ht="15" customHeight="1" x14ac:dyDescent="0.2">
      <c r="A286" s="52">
        <f t="shared" si="4"/>
        <v>280</v>
      </c>
      <c r="B286" s="52">
        <v>2018</v>
      </c>
      <c r="C286" s="52" t="s">
        <v>207</v>
      </c>
      <c r="D286" t="s">
        <v>397</v>
      </c>
      <c r="E286" s="34">
        <v>150</v>
      </c>
      <c r="G286" s="52" t="s">
        <v>151</v>
      </c>
      <c r="H286" s="52" t="s">
        <v>279</v>
      </c>
      <c r="I286" s="52" t="s">
        <v>82</v>
      </c>
      <c r="J286" s="52" t="s">
        <v>183</v>
      </c>
      <c r="K286" s="69"/>
      <c r="L286" s="75">
        <v>1</v>
      </c>
    </row>
    <row r="287" spans="1:12" s="52" customFormat="1" ht="15" customHeight="1" x14ac:dyDescent="0.2">
      <c r="A287" s="52">
        <f t="shared" si="4"/>
        <v>281</v>
      </c>
      <c r="B287" s="52">
        <v>2018</v>
      </c>
      <c r="C287" s="52" t="s">
        <v>212</v>
      </c>
      <c r="D287" s="52" t="s">
        <v>1250</v>
      </c>
      <c r="E287" s="34">
        <v>200</v>
      </c>
      <c r="F287" s="52" t="s">
        <v>3368</v>
      </c>
      <c r="G287" s="52" t="s">
        <v>152</v>
      </c>
      <c r="H287" s="52" t="s">
        <v>257</v>
      </c>
      <c r="I287" s="52" t="s">
        <v>131</v>
      </c>
      <c r="J287" s="52" t="s">
        <v>131</v>
      </c>
      <c r="K287" s="69"/>
      <c r="L287" s="75">
        <v>0</v>
      </c>
    </row>
    <row r="288" spans="1:12" ht="15" customHeight="1" x14ac:dyDescent="0.2">
      <c r="A288" s="52">
        <f t="shared" si="4"/>
        <v>282</v>
      </c>
      <c r="B288" s="56">
        <v>2018</v>
      </c>
      <c r="C288" s="56" t="s">
        <v>212</v>
      </c>
      <c r="D288" s="56" t="s">
        <v>3362</v>
      </c>
      <c r="E288" s="35">
        <v>710</v>
      </c>
      <c r="G288" s="56" t="s">
        <v>154</v>
      </c>
      <c r="H288" s="56" t="s">
        <v>194</v>
      </c>
      <c r="I288" s="56" t="s">
        <v>64</v>
      </c>
      <c r="J288" s="56" t="s">
        <v>219</v>
      </c>
      <c r="L288" s="59">
        <v>1</v>
      </c>
    </row>
    <row r="289" spans="1:12" ht="15" customHeight="1" x14ac:dyDescent="0.2">
      <c r="A289" s="52">
        <f t="shared" si="4"/>
        <v>283</v>
      </c>
      <c r="B289" s="52">
        <v>2018</v>
      </c>
      <c r="C289" s="52" t="s">
        <v>212</v>
      </c>
      <c r="D289" s="52" t="s">
        <v>661</v>
      </c>
      <c r="E289" s="35">
        <v>490</v>
      </c>
      <c r="F289" s="52" t="s">
        <v>3369</v>
      </c>
      <c r="G289" s="52" t="s">
        <v>145</v>
      </c>
      <c r="I289" s="52" t="s">
        <v>131</v>
      </c>
      <c r="J289" s="52" t="s">
        <v>131</v>
      </c>
      <c r="L289" s="75">
        <v>0</v>
      </c>
    </row>
    <row r="290" spans="1:12" ht="15" customHeight="1" x14ac:dyDescent="0.2">
      <c r="A290" s="52">
        <f t="shared" si="4"/>
        <v>284</v>
      </c>
      <c r="B290" s="52">
        <v>2018</v>
      </c>
      <c r="C290" s="52" t="s">
        <v>212</v>
      </c>
      <c r="D290" s="52" t="s">
        <v>705</v>
      </c>
      <c r="E290" s="35">
        <v>1060</v>
      </c>
      <c r="F290" s="52" t="s">
        <v>3370</v>
      </c>
      <c r="G290" s="52" t="s">
        <v>151</v>
      </c>
      <c r="H290" s="56" t="s">
        <v>224</v>
      </c>
      <c r="I290" s="52" t="s">
        <v>20</v>
      </c>
      <c r="J290" s="52" t="s">
        <v>195</v>
      </c>
      <c r="L290" s="75"/>
    </row>
    <row r="291" spans="1:12" ht="15" customHeight="1" x14ac:dyDescent="0.2">
      <c r="A291" s="52">
        <f t="shared" si="4"/>
        <v>285</v>
      </c>
      <c r="B291" s="56">
        <v>2019</v>
      </c>
      <c r="C291" s="56" t="s">
        <v>258</v>
      </c>
      <c r="D291" s="56" t="s">
        <v>554</v>
      </c>
      <c r="E291" s="35">
        <v>100</v>
      </c>
      <c r="F291" s="52" t="s">
        <v>938</v>
      </c>
      <c r="G291" s="56" t="s">
        <v>150</v>
      </c>
      <c r="H291" s="56" t="s">
        <v>556</v>
      </c>
      <c r="I291" s="56" t="s">
        <v>45</v>
      </c>
      <c r="J291" s="56" t="s">
        <v>195</v>
      </c>
      <c r="L291" s="59">
        <v>0</v>
      </c>
    </row>
    <row r="292" spans="1:12" ht="15" customHeight="1" x14ac:dyDescent="0.2">
      <c r="A292" s="52">
        <f t="shared" si="4"/>
        <v>286</v>
      </c>
      <c r="B292" s="56">
        <v>2019</v>
      </c>
      <c r="C292" s="56" t="s">
        <v>258</v>
      </c>
      <c r="D292" s="56" t="s">
        <v>694</v>
      </c>
      <c r="E292" s="35">
        <v>120</v>
      </c>
      <c r="F292" s="52" t="s">
        <v>695</v>
      </c>
      <c r="G292" s="56" t="s">
        <v>149</v>
      </c>
      <c r="I292" s="56" t="s">
        <v>9</v>
      </c>
      <c r="J292" s="56" t="s">
        <v>9</v>
      </c>
      <c r="L292" s="59">
        <v>0</v>
      </c>
    </row>
    <row r="293" spans="1:12" ht="15" customHeight="1" x14ac:dyDescent="0.2">
      <c r="A293" s="52">
        <f t="shared" si="4"/>
        <v>287</v>
      </c>
      <c r="B293" s="56">
        <v>2019</v>
      </c>
      <c r="C293" s="56" t="s">
        <v>179</v>
      </c>
      <c r="D293" s="56" t="s">
        <v>3371</v>
      </c>
      <c r="E293" s="35">
        <v>150</v>
      </c>
      <c r="F293" s="56" t="s">
        <v>3372</v>
      </c>
      <c r="G293" s="56" t="s">
        <v>145</v>
      </c>
      <c r="I293" s="56" t="s">
        <v>131</v>
      </c>
      <c r="J293" s="56" t="s">
        <v>131</v>
      </c>
      <c r="L293" s="59">
        <v>0</v>
      </c>
    </row>
    <row r="294" spans="1:12" ht="15" customHeight="1" x14ac:dyDescent="0.2">
      <c r="A294" s="52">
        <f t="shared" si="4"/>
        <v>288</v>
      </c>
      <c r="B294" s="56">
        <v>2019</v>
      </c>
      <c r="C294" s="56" t="s">
        <v>179</v>
      </c>
      <c r="D294" s="56" t="s">
        <v>3373</v>
      </c>
      <c r="E294" s="35">
        <v>210</v>
      </c>
      <c r="F294" s="52" t="s">
        <v>1706</v>
      </c>
      <c r="G294" s="56" t="s">
        <v>154</v>
      </c>
      <c r="H294" s="56" t="s">
        <v>194</v>
      </c>
      <c r="I294" s="56" t="s">
        <v>131</v>
      </c>
      <c r="J294" s="56" t="s">
        <v>131</v>
      </c>
      <c r="L294" s="59">
        <v>0</v>
      </c>
    </row>
    <row r="295" spans="1:12" ht="15" customHeight="1" x14ac:dyDescent="0.2">
      <c r="A295" s="52">
        <f t="shared" si="4"/>
        <v>289</v>
      </c>
      <c r="B295" s="56">
        <v>2019</v>
      </c>
      <c r="C295" s="56" t="s">
        <v>184</v>
      </c>
      <c r="D295" s="56" t="s">
        <v>3374</v>
      </c>
      <c r="E295" s="35">
        <v>120</v>
      </c>
      <c r="F295" s="52" t="s">
        <v>3375</v>
      </c>
      <c r="G295" s="56" t="s">
        <v>147</v>
      </c>
      <c r="I295" s="56" t="s">
        <v>131</v>
      </c>
      <c r="J295" s="56" t="s">
        <v>131</v>
      </c>
      <c r="L295" s="59">
        <v>0</v>
      </c>
    </row>
    <row r="296" spans="1:12" ht="15" customHeight="1" x14ac:dyDescent="0.2">
      <c r="A296" s="52">
        <f t="shared" si="4"/>
        <v>290</v>
      </c>
      <c r="B296" s="56">
        <v>2019</v>
      </c>
      <c r="C296" s="56" t="s">
        <v>225</v>
      </c>
      <c r="D296" s="56" t="s">
        <v>2660</v>
      </c>
      <c r="E296" s="35">
        <v>1380</v>
      </c>
      <c r="F296" s="52" t="s">
        <v>3376</v>
      </c>
      <c r="G296" s="56" t="s">
        <v>151</v>
      </c>
      <c r="H296" s="56" t="s">
        <v>279</v>
      </c>
      <c r="I296" s="56" t="s">
        <v>67</v>
      </c>
      <c r="J296" s="56" t="s">
        <v>183</v>
      </c>
      <c r="L296" s="59">
        <v>1</v>
      </c>
    </row>
    <row r="297" spans="1:12" x14ac:dyDescent="0.2">
      <c r="A297" s="52">
        <f t="shared" si="4"/>
        <v>291</v>
      </c>
      <c r="B297" s="56">
        <v>2019</v>
      </c>
      <c r="C297" s="56" t="s">
        <v>191</v>
      </c>
      <c r="D297" s="56" t="s">
        <v>3377</v>
      </c>
      <c r="E297" s="35">
        <v>4400</v>
      </c>
      <c r="F297" s="56" t="s">
        <v>1335</v>
      </c>
      <c r="G297" s="56" t="s">
        <v>145</v>
      </c>
      <c r="I297" s="56" t="s">
        <v>57</v>
      </c>
      <c r="J297" s="56" t="s">
        <v>195</v>
      </c>
      <c r="L297" s="75">
        <v>0</v>
      </c>
    </row>
    <row r="298" spans="1:12" x14ac:dyDescent="0.2">
      <c r="A298" s="52">
        <f t="shared" si="4"/>
        <v>292</v>
      </c>
      <c r="B298" s="56">
        <v>2019</v>
      </c>
      <c r="C298" s="56" t="s">
        <v>191</v>
      </c>
      <c r="D298" s="56" t="s">
        <v>3378</v>
      </c>
      <c r="E298" s="35">
        <v>250</v>
      </c>
      <c r="G298" s="56" t="s">
        <v>154</v>
      </c>
      <c r="H298" s="56" t="s">
        <v>271</v>
      </c>
      <c r="I298" s="56" t="s">
        <v>3008</v>
      </c>
      <c r="J298" s="56" t="s">
        <v>205</v>
      </c>
      <c r="K298" s="58" t="s">
        <v>178</v>
      </c>
      <c r="L298" s="59">
        <v>1</v>
      </c>
    </row>
    <row r="299" spans="1:12" x14ac:dyDescent="0.2">
      <c r="A299" s="52">
        <f t="shared" si="4"/>
        <v>293</v>
      </c>
      <c r="B299" s="56">
        <v>2019</v>
      </c>
      <c r="C299" s="56" t="s">
        <v>191</v>
      </c>
      <c r="D299" s="56" t="s">
        <v>1035</v>
      </c>
      <c r="E299" s="35">
        <v>980</v>
      </c>
      <c r="G299" s="56" t="s">
        <v>144</v>
      </c>
      <c r="H299" s="56" t="s">
        <v>273</v>
      </c>
      <c r="I299" s="56" t="s">
        <v>64</v>
      </c>
      <c r="J299" s="56" t="s">
        <v>219</v>
      </c>
      <c r="L299" s="59">
        <v>1</v>
      </c>
    </row>
    <row r="300" spans="1:12" x14ac:dyDescent="0.2">
      <c r="A300" s="52">
        <f t="shared" si="4"/>
        <v>294</v>
      </c>
      <c r="B300" s="56">
        <v>2019</v>
      </c>
      <c r="C300" s="56" t="s">
        <v>191</v>
      </c>
      <c r="D300" s="52" t="s">
        <v>818</v>
      </c>
      <c r="E300" s="35">
        <v>240</v>
      </c>
      <c r="G300" s="56" t="s">
        <v>144</v>
      </c>
      <c r="I300" s="56" t="s">
        <v>72</v>
      </c>
      <c r="J300" s="56" t="s">
        <v>183</v>
      </c>
      <c r="L300" s="59">
        <v>1</v>
      </c>
    </row>
    <row r="301" spans="1:12" x14ac:dyDescent="0.2">
      <c r="A301" s="52">
        <f t="shared" si="4"/>
        <v>295</v>
      </c>
      <c r="B301" s="56">
        <v>2019</v>
      </c>
      <c r="C301" s="56" t="s">
        <v>198</v>
      </c>
      <c r="D301" s="56" t="s">
        <v>341</v>
      </c>
      <c r="E301" s="35">
        <v>350</v>
      </c>
      <c r="G301" s="56" t="s">
        <v>154</v>
      </c>
      <c r="H301" s="56" t="s">
        <v>529</v>
      </c>
      <c r="I301" s="56" t="s">
        <v>63</v>
      </c>
      <c r="J301" s="56" t="s">
        <v>201</v>
      </c>
      <c r="L301" s="59">
        <v>1</v>
      </c>
    </row>
    <row r="302" spans="1:12" x14ac:dyDescent="0.2">
      <c r="A302" s="52">
        <f t="shared" si="4"/>
        <v>296</v>
      </c>
      <c r="B302" s="56">
        <v>2019</v>
      </c>
      <c r="C302" s="56" t="s">
        <v>198</v>
      </c>
      <c r="D302" s="56" t="s">
        <v>185</v>
      </c>
      <c r="E302" s="35">
        <v>450</v>
      </c>
      <c r="F302" s="56" t="s">
        <v>3379</v>
      </c>
      <c r="G302" s="56" t="s">
        <v>144</v>
      </c>
      <c r="H302" s="56" t="s">
        <v>187</v>
      </c>
      <c r="I302" s="56" t="s">
        <v>132</v>
      </c>
      <c r="J302" s="56" t="s">
        <v>219</v>
      </c>
      <c r="L302" s="59">
        <v>1</v>
      </c>
    </row>
    <row r="303" spans="1:12" x14ac:dyDescent="0.2">
      <c r="A303" s="52">
        <f t="shared" si="4"/>
        <v>297</v>
      </c>
      <c r="B303" s="56">
        <v>2019</v>
      </c>
      <c r="C303" s="56" t="s">
        <v>198</v>
      </c>
      <c r="D303" s="17" t="s">
        <v>550</v>
      </c>
      <c r="E303" s="24">
        <v>230</v>
      </c>
      <c r="F303" s="37"/>
      <c r="G303" s="17" t="s">
        <v>149</v>
      </c>
      <c r="H303" s="17" t="s">
        <v>182</v>
      </c>
      <c r="I303" s="17" t="s">
        <v>107</v>
      </c>
      <c r="J303" s="17" t="s">
        <v>219</v>
      </c>
      <c r="K303" s="17"/>
      <c r="L303" s="59">
        <v>1</v>
      </c>
    </row>
    <row r="304" spans="1:12" x14ac:dyDescent="0.2">
      <c r="A304" s="52">
        <f t="shared" si="4"/>
        <v>298</v>
      </c>
      <c r="B304" s="56">
        <v>2019</v>
      </c>
      <c r="C304" s="56" t="s">
        <v>202</v>
      </c>
      <c r="D304" s="56" t="s">
        <v>554</v>
      </c>
      <c r="E304" s="35">
        <v>140</v>
      </c>
      <c r="F304" s="56" t="s">
        <v>3380</v>
      </c>
      <c r="G304" s="56" t="s">
        <v>153</v>
      </c>
      <c r="I304" s="56" t="s">
        <v>20</v>
      </c>
      <c r="J304" s="56" t="s">
        <v>195</v>
      </c>
      <c r="L304" s="59">
        <v>0</v>
      </c>
    </row>
    <row r="305" spans="1:12" x14ac:dyDescent="0.2">
      <c r="A305" s="52">
        <f t="shared" si="4"/>
        <v>299</v>
      </c>
      <c r="B305" s="56">
        <v>2019</v>
      </c>
      <c r="C305" s="56" t="s">
        <v>202</v>
      </c>
      <c r="D305" s="56" t="s">
        <v>943</v>
      </c>
      <c r="E305" s="35">
        <v>1280</v>
      </c>
      <c r="F305" s="56" t="s">
        <v>2298</v>
      </c>
      <c r="G305" s="56" t="s">
        <v>144</v>
      </c>
      <c r="I305" s="56" t="s">
        <v>20</v>
      </c>
      <c r="J305" s="56" t="s">
        <v>195</v>
      </c>
      <c r="K305" s="58" t="s">
        <v>178</v>
      </c>
      <c r="L305" s="59">
        <v>0</v>
      </c>
    </row>
    <row r="306" spans="1:12" x14ac:dyDescent="0.2">
      <c r="A306" s="52">
        <f t="shared" si="4"/>
        <v>300</v>
      </c>
      <c r="B306" s="56">
        <v>2019</v>
      </c>
      <c r="C306" s="56" t="s">
        <v>202</v>
      </c>
      <c r="D306" s="56" t="s">
        <v>3381</v>
      </c>
      <c r="E306" s="35">
        <v>550</v>
      </c>
      <c r="G306" s="56" t="s">
        <v>142</v>
      </c>
      <c r="I306" s="56" t="s">
        <v>40</v>
      </c>
      <c r="J306" s="56" t="s">
        <v>219</v>
      </c>
      <c r="L306" s="59">
        <v>1</v>
      </c>
    </row>
    <row r="307" spans="1:12" x14ac:dyDescent="0.2">
      <c r="A307" s="52">
        <f t="shared" si="4"/>
        <v>301</v>
      </c>
      <c r="B307" s="56">
        <v>2019</v>
      </c>
      <c r="C307" s="56" t="s">
        <v>207</v>
      </c>
      <c r="D307" s="52" t="s">
        <v>199</v>
      </c>
      <c r="E307" s="35">
        <v>730</v>
      </c>
      <c r="G307" s="56" t="s">
        <v>144</v>
      </c>
      <c r="H307" s="56" t="s">
        <v>299</v>
      </c>
      <c r="I307" s="56" t="s">
        <v>54</v>
      </c>
      <c r="J307" s="56" t="s">
        <v>201</v>
      </c>
      <c r="K307" s="58" t="s">
        <v>178</v>
      </c>
      <c r="L307" s="59">
        <v>1</v>
      </c>
    </row>
    <row r="308" spans="1:12" x14ac:dyDescent="0.2">
      <c r="A308" s="52">
        <f t="shared" si="4"/>
        <v>302</v>
      </c>
      <c r="B308" s="56">
        <v>2019</v>
      </c>
      <c r="C308" s="56" t="s">
        <v>207</v>
      </c>
      <c r="D308" s="56" t="s">
        <v>2660</v>
      </c>
      <c r="E308" s="35">
        <v>290</v>
      </c>
      <c r="F308" s="56" t="s">
        <v>3382</v>
      </c>
      <c r="G308" s="56" t="s">
        <v>151</v>
      </c>
      <c r="H308" s="56" t="s">
        <v>279</v>
      </c>
      <c r="I308" s="56" t="s">
        <v>23</v>
      </c>
      <c r="J308" s="56" t="s">
        <v>183</v>
      </c>
      <c r="L308" s="59">
        <v>1</v>
      </c>
    </row>
    <row r="309" spans="1:12" x14ac:dyDescent="0.2">
      <c r="A309" s="52">
        <f t="shared" si="4"/>
        <v>303</v>
      </c>
      <c r="B309" s="56">
        <v>2019</v>
      </c>
      <c r="C309" s="56" t="s">
        <v>207</v>
      </c>
      <c r="D309" s="56" t="s">
        <v>283</v>
      </c>
      <c r="E309" s="35">
        <v>180</v>
      </c>
      <c r="F309" s="56" t="s">
        <v>284</v>
      </c>
      <c r="G309" s="56" t="s">
        <v>146</v>
      </c>
      <c r="H309" s="56" t="s">
        <v>275</v>
      </c>
      <c r="I309" s="56" t="s">
        <v>20</v>
      </c>
      <c r="J309" s="56" t="s">
        <v>195</v>
      </c>
      <c r="L309" s="59">
        <v>0</v>
      </c>
    </row>
    <row r="310" spans="1:12" x14ac:dyDescent="0.2">
      <c r="A310" s="52">
        <f t="shared" si="4"/>
        <v>304</v>
      </c>
      <c r="B310" s="56">
        <v>2019</v>
      </c>
      <c r="C310" s="56" t="s">
        <v>240</v>
      </c>
      <c r="D310" s="56" t="s">
        <v>444</v>
      </c>
      <c r="E310" s="35">
        <v>1180</v>
      </c>
      <c r="G310" s="56" t="s">
        <v>144</v>
      </c>
      <c r="H310" s="56" t="s">
        <v>187</v>
      </c>
      <c r="I310" s="56" t="s">
        <v>55</v>
      </c>
      <c r="J310" s="56" t="s">
        <v>214</v>
      </c>
      <c r="L310" s="59">
        <v>1</v>
      </c>
    </row>
    <row r="311" spans="1:12" x14ac:dyDescent="0.2">
      <c r="A311" s="52">
        <f t="shared" si="4"/>
        <v>305</v>
      </c>
      <c r="B311" s="56">
        <v>2019</v>
      </c>
      <c r="C311" s="56" t="s">
        <v>240</v>
      </c>
      <c r="D311" s="56" t="s">
        <v>2389</v>
      </c>
      <c r="E311" s="35">
        <v>330</v>
      </c>
      <c r="G311" s="56" t="s">
        <v>154</v>
      </c>
      <c r="H311" s="56" t="s">
        <v>250</v>
      </c>
      <c r="I311" s="56" t="s">
        <v>34</v>
      </c>
      <c r="J311" s="17" t="s">
        <v>219</v>
      </c>
      <c r="L311" s="59">
        <v>1</v>
      </c>
    </row>
    <row r="312" spans="1:12" x14ac:dyDescent="0.2">
      <c r="A312" s="52">
        <f t="shared" si="4"/>
        <v>306</v>
      </c>
      <c r="B312" s="56">
        <v>2019</v>
      </c>
      <c r="C312" s="56" t="s">
        <v>212</v>
      </c>
      <c r="D312" s="56" t="s">
        <v>399</v>
      </c>
      <c r="E312" s="35">
        <v>140</v>
      </c>
      <c r="F312" s="56" t="s">
        <v>3383</v>
      </c>
      <c r="G312" s="56" t="s">
        <v>144</v>
      </c>
      <c r="H312" s="56" t="s">
        <v>273</v>
      </c>
      <c r="I312" s="56" t="s">
        <v>52</v>
      </c>
      <c r="J312" s="56" t="s">
        <v>201</v>
      </c>
      <c r="L312" s="59">
        <v>0</v>
      </c>
    </row>
    <row r="313" spans="1:12" x14ac:dyDescent="0.2">
      <c r="A313" s="52">
        <f t="shared" si="4"/>
        <v>307</v>
      </c>
      <c r="B313" s="56">
        <v>2019</v>
      </c>
      <c r="C313" s="56" t="s">
        <v>212</v>
      </c>
      <c r="D313" s="56" t="s">
        <v>3384</v>
      </c>
      <c r="E313" s="35">
        <v>100</v>
      </c>
      <c r="F313" s="56" t="s">
        <v>3385</v>
      </c>
      <c r="G313" s="56" t="s">
        <v>152</v>
      </c>
      <c r="I313" s="56" t="s">
        <v>45</v>
      </c>
      <c r="J313" s="56" t="s">
        <v>195</v>
      </c>
      <c r="L313" s="59">
        <v>0</v>
      </c>
    </row>
    <row r="314" spans="1:12" x14ac:dyDescent="0.2">
      <c r="A314" s="52">
        <f t="shared" si="4"/>
        <v>308</v>
      </c>
      <c r="B314" s="56">
        <v>2020</v>
      </c>
      <c r="C314" s="56" t="s">
        <v>172</v>
      </c>
      <c r="D314" s="56" t="s">
        <v>1633</v>
      </c>
      <c r="E314" s="35">
        <v>230</v>
      </c>
      <c r="F314" s="56" t="s">
        <v>1634</v>
      </c>
      <c r="G314" s="56" t="s">
        <v>147</v>
      </c>
      <c r="I314" s="56" t="s">
        <v>9</v>
      </c>
      <c r="J314" s="56" t="s">
        <v>9</v>
      </c>
      <c r="L314" s="59">
        <v>0</v>
      </c>
    </row>
    <row r="315" spans="1:12" x14ac:dyDescent="0.2">
      <c r="A315" s="52">
        <f t="shared" si="4"/>
        <v>309</v>
      </c>
      <c r="B315" s="56">
        <v>2020</v>
      </c>
      <c r="C315" s="56" t="s">
        <v>172</v>
      </c>
      <c r="D315" s="56" t="s">
        <v>479</v>
      </c>
      <c r="E315" s="35">
        <v>680</v>
      </c>
      <c r="G315" s="56" t="s">
        <v>154</v>
      </c>
      <c r="H315" s="56" t="s">
        <v>271</v>
      </c>
      <c r="I315" s="56" t="s">
        <v>104</v>
      </c>
      <c r="J315" s="17" t="s">
        <v>219</v>
      </c>
      <c r="L315" s="59">
        <v>1</v>
      </c>
    </row>
    <row r="316" spans="1:12" x14ac:dyDescent="0.2">
      <c r="A316" s="52">
        <f t="shared" si="4"/>
        <v>310</v>
      </c>
      <c r="B316" s="56">
        <v>2020</v>
      </c>
      <c r="C316" s="56" t="s">
        <v>258</v>
      </c>
      <c r="D316" s="56" t="s">
        <v>454</v>
      </c>
      <c r="E316" s="35">
        <v>100</v>
      </c>
      <c r="F316" s="56" t="s">
        <v>1562</v>
      </c>
      <c r="G316" s="56" t="s">
        <v>152</v>
      </c>
      <c r="H316" s="56" t="s">
        <v>257</v>
      </c>
      <c r="I316" s="56" t="s">
        <v>131</v>
      </c>
      <c r="J316" s="56" t="s">
        <v>131</v>
      </c>
      <c r="L316" s="59">
        <v>0</v>
      </c>
    </row>
    <row r="317" spans="1:12" x14ac:dyDescent="0.2">
      <c r="A317" s="52">
        <f t="shared" si="4"/>
        <v>311</v>
      </c>
      <c r="B317" s="56">
        <v>2020</v>
      </c>
      <c r="C317" s="56" t="s">
        <v>179</v>
      </c>
      <c r="D317" s="56" t="s">
        <v>3386</v>
      </c>
      <c r="E317" s="35">
        <v>1800</v>
      </c>
      <c r="G317" s="56" t="s">
        <v>150</v>
      </c>
      <c r="H317" s="56" t="s">
        <v>226</v>
      </c>
      <c r="I317" s="56" t="s">
        <v>131</v>
      </c>
      <c r="J317" s="56" t="s">
        <v>131</v>
      </c>
      <c r="K317" s="58" t="s">
        <v>178</v>
      </c>
      <c r="L317" s="59">
        <v>0</v>
      </c>
    </row>
    <row r="318" spans="1:12" x14ac:dyDescent="0.2">
      <c r="A318" s="52">
        <f t="shared" si="4"/>
        <v>312</v>
      </c>
      <c r="B318" s="56">
        <v>2020</v>
      </c>
      <c r="C318" s="56" t="s">
        <v>179</v>
      </c>
      <c r="D318" s="56" t="s">
        <v>698</v>
      </c>
      <c r="E318" s="35">
        <v>410</v>
      </c>
      <c r="G318" s="56" t="s">
        <v>150</v>
      </c>
      <c r="H318" s="56" t="s">
        <v>292</v>
      </c>
      <c r="I318" s="56" t="s">
        <v>131</v>
      </c>
      <c r="J318" s="56" t="s">
        <v>131</v>
      </c>
      <c r="K318" s="58" t="s">
        <v>178</v>
      </c>
      <c r="L318" s="59">
        <v>0</v>
      </c>
    </row>
    <row r="319" spans="1:12" x14ac:dyDescent="0.2">
      <c r="A319" s="52">
        <f t="shared" si="4"/>
        <v>313</v>
      </c>
      <c r="B319" s="56">
        <v>2020</v>
      </c>
      <c r="C319" s="56" t="s">
        <v>179</v>
      </c>
      <c r="D319" s="52" t="s">
        <v>837</v>
      </c>
      <c r="E319" s="35">
        <v>1260</v>
      </c>
      <c r="G319" s="56" t="s">
        <v>151</v>
      </c>
      <c r="H319" s="56" t="s">
        <v>224</v>
      </c>
      <c r="I319" s="56" t="s">
        <v>131</v>
      </c>
      <c r="J319" s="56" t="s">
        <v>131</v>
      </c>
      <c r="K319" s="58" t="s">
        <v>178</v>
      </c>
      <c r="L319" s="59">
        <v>0</v>
      </c>
    </row>
    <row r="320" spans="1:12" x14ac:dyDescent="0.2">
      <c r="A320" s="52">
        <f t="shared" si="4"/>
        <v>314</v>
      </c>
      <c r="B320" s="56">
        <v>2020</v>
      </c>
      <c r="C320" s="56" t="s">
        <v>179</v>
      </c>
      <c r="D320" s="52" t="s">
        <v>530</v>
      </c>
      <c r="E320" s="35">
        <v>120</v>
      </c>
      <c r="G320" s="56" t="s">
        <v>152</v>
      </c>
      <c r="H320" s="56" t="s">
        <v>257</v>
      </c>
      <c r="I320" s="56" t="s">
        <v>9</v>
      </c>
      <c r="J320" s="56" t="s">
        <v>9</v>
      </c>
      <c r="L320" s="59">
        <v>0</v>
      </c>
    </row>
    <row r="321" spans="1:12" x14ac:dyDescent="0.2">
      <c r="A321" s="52">
        <f t="shared" si="4"/>
        <v>315</v>
      </c>
      <c r="B321" s="56">
        <v>2020</v>
      </c>
      <c r="C321" s="56" t="s">
        <v>179</v>
      </c>
      <c r="D321" s="56" t="s">
        <v>1367</v>
      </c>
      <c r="E321" s="35">
        <v>310</v>
      </c>
      <c r="F321" s="56" t="s">
        <v>3387</v>
      </c>
      <c r="G321" s="56" t="s">
        <v>149</v>
      </c>
      <c r="I321" s="56" t="s">
        <v>27</v>
      </c>
      <c r="J321" s="56" t="s">
        <v>205</v>
      </c>
      <c r="L321" s="59">
        <v>1</v>
      </c>
    </row>
    <row r="322" spans="1:12" x14ac:dyDescent="0.2">
      <c r="A322" s="52">
        <f t="shared" si="4"/>
        <v>316</v>
      </c>
      <c r="B322" s="56">
        <v>2020</v>
      </c>
      <c r="C322" s="56" t="s">
        <v>184</v>
      </c>
      <c r="D322" s="56" t="s">
        <v>3388</v>
      </c>
      <c r="E322" s="35">
        <v>550</v>
      </c>
      <c r="F322" s="56" t="s">
        <v>1281</v>
      </c>
      <c r="G322" s="56" t="s">
        <v>154</v>
      </c>
      <c r="H322" s="56" t="s">
        <v>250</v>
      </c>
      <c r="I322" s="56" t="s">
        <v>9</v>
      </c>
      <c r="J322" s="56" t="s">
        <v>9</v>
      </c>
      <c r="L322" s="59">
        <v>0</v>
      </c>
    </row>
    <row r="323" spans="1:12" x14ac:dyDescent="0.2">
      <c r="A323" s="52">
        <f t="shared" si="4"/>
        <v>317</v>
      </c>
      <c r="B323" s="56">
        <v>2020</v>
      </c>
      <c r="C323" s="56" t="s">
        <v>184</v>
      </c>
      <c r="D323" s="56" t="s">
        <v>690</v>
      </c>
      <c r="E323" s="35">
        <v>250</v>
      </c>
      <c r="F323" s="56" t="s">
        <v>3389</v>
      </c>
      <c r="G323" s="56" t="s">
        <v>154</v>
      </c>
      <c r="H323" s="56" t="s">
        <v>250</v>
      </c>
      <c r="I323" s="56" t="s">
        <v>133</v>
      </c>
      <c r="J323" s="56" t="s">
        <v>195</v>
      </c>
      <c r="L323" s="59">
        <v>1</v>
      </c>
    </row>
    <row r="324" spans="1:12" x14ac:dyDescent="0.2">
      <c r="A324" s="52">
        <f t="shared" si="4"/>
        <v>318</v>
      </c>
      <c r="B324" s="56">
        <v>2020</v>
      </c>
      <c r="C324" s="56" t="s">
        <v>225</v>
      </c>
      <c r="D324" s="56" t="s">
        <v>698</v>
      </c>
      <c r="E324" s="35">
        <v>130</v>
      </c>
      <c r="G324" s="56" t="s">
        <v>150</v>
      </c>
      <c r="H324" s="56" t="s">
        <v>292</v>
      </c>
      <c r="I324" s="56" t="s">
        <v>61</v>
      </c>
      <c r="J324" s="56" t="s">
        <v>183</v>
      </c>
      <c r="L324" s="59">
        <v>0</v>
      </c>
    </row>
    <row r="325" spans="1:12" x14ac:dyDescent="0.2">
      <c r="A325" s="52">
        <f t="shared" si="4"/>
        <v>319</v>
      </c>
      <c r="B325" s="56">
        <v>2020</v>
      </c>
      <c r="C325" s="56" t="s">
        <v>188</v>
      </c>
      <c r="D325" s="56" t="s">
        <v>327</v>
      </c>
      <c r="E325" s="35">
        <v>100</v>
      </c>
      <c r="F325" s="56" t="s">
        <v>463</v>
      </c>
      <c r="G325" s="56" t="s">
        <v>144</v>
      </c>
      <c r="H325" s="56" t="s">
        <v>299</v>
      </c>
      <c r="I325" s="56" t="s">
        <v>131</v>
      </c>
      <c r="J325" s="56" t="s">
        <v>131</v>
      </c>
      <c r="L325" s="59">
        <v>0</v>
      </c>
    </row>
    <row r="326" spans="1:12" x14ac:dyDescent="0.2">
      <c r="A326" s="52">
        <f t="shared" si="4"/>
        <v>320</v>
      </c>
      <c r="B326" s="56">
        <v>2020</v>
      </c>
      <c r="C326" s="56" t="s">
        <v>188</v>
      </c>
      <c r="D326" s="56" t="s">
        <v>277</v>
      </c>
      <c r="E326" s="35">
        <v>480</v>
      </c>
      <c r="G326" s="56" t="s">
        <v>144</v>
      </c>
      <c r="H326" s="56" t="s">
        <v>273</v>
      </c>
      <c r="I326" s="56" t="s">
        <v>93</v>
      </c>
      <c r="J326" s="56" t="s">
        <v>201</v>
      </c>
      <c r="K326" s="58" t="s">
        <v>178</v>
      </c>
      <c r="L326" s="59">
        <v>1</v>
      </c>
    </row>
    <row r="327" spans="1:12" x14ac:dyDescent="0.2">
      <c r="A327" s="52">
        <f t="shared" ref="A327:A390" si="5">ROW()-6</f>
        <v>321</v>
      </c>
      <c r="B327" s="56">
        <v>2020</v>
      </c>
      <c r="C327" s="56" t="s">
        <v>188</v>
      </c>
      <c r="D327" s="56" t="s">
        <v>444</v>
      </c>
      <c r="E327" s="35">
        <v>500</v>
      </c>
      <c r="G327" s="56" t="s">
        <v>144</v>
      </c>
      <c r="H327" s="56" t="s">
        <v>273</v>
      </c>
      <c r="I327" s="56" t="s">
        <v>93</v>
      </c>
      <c r="J327" s="56" t="s">
        <v>201</v>
      </c>
      <c r="L327" s="59">
        <v>1</v>
      </c>
    </row>
    <row r="328" spans="1:12" x14ac:dyDescent="0.2">
      <c r="A328" s="52">
        <f t="shared" si="5"/>
        <v>322</v>
      </c>
      <c r="B328" s="56">
        <v>2020</v>
      </c>
      <c r="C328" s="56" t="s">
        <v>191</v>
      </c>
      <c r="D328" s="56" t="s">
        <v>248</v>
      </c>
      <c r="E328" s="35">
        <v>170</v>
      </c>
      <c r="F328" s="56" t="s">
        <v>3390</v>
      </c>
      <c r="G328" s="56" t="s">
        <v>146</v>
      </c>
      <c r="I328" s="56" t="s">
        <v>56</v>
      </c>
      <c r="J328" s="56" t="s">
        <v>195</v>
      </c>
      <c r="L328" s="59">
        <v>0</v>
      </c>
    </row>
    <row r="329" spans="1:12" x14ac:dyDescent="0.2">
      <c r="A329" s="52">
        <f t="shared" si="5"/>
        <v>323</v>
      </c>
      <c r="B329" s="56">
        <v>2020</v>
      </c>
      <c r="C329" s="56" t="s">
        <v>191</v>
      </c>
      <c r="D329" s="56" t="s">
        <v>554</v>
      </c>
      <c r="E329" s="35">
        <v>300</v>
      </c>
      <c r="F329" s="56" t="s">
        <v>3391</v>
      </c>
      <c r="G329" s="56" t="s">
        <v>145</v>
      </c>
      <c r="I329" s="56" t="s">
        <v>42</v>
      </c>
      <c r="J329" s="56" t="s">
        <v>195</v>
      </c>
      <c r="L329" s="59">
        <v>0</v>
      </c>
    </row>
    <row r="330" spans="1:12" x14ac:dyDescent="0.2">
      <c r="A330" s="52">
        <f t="shared" si="5"/>
        <v>324</v>
      </c>
      <c r="B330" s="56">
        <v>2020</v>
      </c>
      <c r="C330" s="56" t="s">
        <v>191</v>
      </c>
      <c r="D330" s="56" t="s">
        <v>661</v>
      </c>
      <c r="E330" s="35">
        <v>540</v>
      </c>
      <c r="G330" s="56" t="s">
        <v>151</v>
      </c>
      <c r="H330" s="56" t="s">
        <v>224</v>
      </c>
      <c r="I330" s="56" t="s">
        <v>131</v>
      </c>
      <c r="J330" s="56" t="s">
        <v>131</v>
      </c>
      <c r="K330" s="58" t="s">
        <v>178</v>
      </c>
      <c r="L330" s="59">
        <v>0</v>
      </c>
    </row>
    <row r="331" spans="1:12" x14ac:dyDescent="0.2">
      <c r="A331" s="52">
        <f t="shared" si="5"/>
        <v>325</v>
      </c>
      <c r="B331" s="56">
        <v>2020</v>
      </c>
      <c r="C331" s="56" t="s">
        <v>198</v>
      </c>
      <c r="D331" s="56" t="s">
        <v>927</v>
      </c>
      <c r="E331" s="35">
        <v>460</v>
      </c>
      <c r="F331" s="56" t="s">
        <v>3392</v>
      </c>
      <c r="G331" s="56" t="s">
        <v>142</v>
      </c>
      <c r="I331" s="56" t="s">
        <v>20</v>
      </c>
      <c r="J331" s="56" t="s">
        <v>195</v>
      </c>
      <c r="L331" s="59">
        <v>0</v>
      </c>
    </row>
    <row r="332" spans="1:12" x14ac:dyDescent="0.2">
      <c r="A332" s="52">
        <f t="shared" si="5"/>
        <v>326</v>
      </c>
      <c r="B332" s="56">
        <v>2020</v>
      </c>
      <c r="C332" s="56" t="s">
        <v>198</v>
      </c>
      <c r="D332" s="56" t="s">
        <v>334</v>
      </c>
      <c r="E332" s="35">
        <v>420</v>
      </c>
      <c r="F332" s="56" t="s">
        <v>3393</v>
      </c>
      <c r="G332" s="56" t="s">
        <v>142</v>
      </c>
      <c r="I332" s="56" t="s">
        <v>9</v>
      </c>
      <c r="J332" s="56" t="s">
        <v>9</v>
      </c>
      <c r="L332" s="59">
        <v>0</v>
      </c>
    </row>
    <row r="333" spans="1:12" x14ac:dyDescent="0.2">
      <c r="A333" s="52">
        <f t="shared" si="5"/>
        <v>327</v>
      </c>
      <c r="B333" s="56">
        <v>2020</v>
      </c>
      <c r="C333" s="56" t="s">
        <v>198</v>
      </c>
      <c r="D333" s="56" t="s">
        <v>1071</v>
      </c>
      <c r="E333" s="35">
        <v>1800</v>
      </c>
      <c r="F333" s="56" t="s">
        <v>3394</v>
      </c>
      <c r="G333" s="56" t="s">
        <v>146</v>
      </c>
      <c r="I333" s="56" t="s">
        <v>131</v>
      </c>
      <c r="J333" s="56" t="s">
        <v>131</v>
      </c>
      <c r="L333" s="59">
        <v>0</v>
      </c>
    </row>
    <row r="334" spans="1:12" x14ac:dyDescent="0.2">
      <c r="A334" s="52">
        <f t="shared" si="5"/>
        <v>328</v>
      </c>
      <c r="B334" s="56">
        <v>2020</v>
      </c>
      <c r="C334" s="56" t="s">
        <v>198</v>
      </c>
      <c r="D334" s="56" t="s">
        <v>1219</v>
      </c>
      <c r="E334" s="35">
        <v>140</v>
      </c>
      <c r="G334" s="56" t="s">
        <v>154</v>
      </c>
      <c r="H334" s="56" t="s">
        <v>194</v>
      </c>
      <c r="I334" s="56" t="s">
        <v>101</v>
      </c>
      <c r="J334" s="56" t="s">
        <v>201</v>
      </c>
      <c r="K334" s="58" t="s">
        <v>178</v>
      </c>
      <c r="L334" s="59">
        <v>1</v>
      </c>
    </row>
    <row r="335" spans="1:12" x14ac:dyDescent="0.2">
      <c r="A335" s="52">
        <f t="shared" si="5"/>
        <v>329</v>
      </c>
      <c r="B335" s="56">
        <v>2020</v>
      </c>
      <c r="C335" s="56" t="s">
        <v>202</v>
      </c>
      <c r="D335" s="56" t="s">
        <v>373</v>
      </c>
      <c r="E335" s="35">
        <v>2810</v>
      </c>
      <c r="F335" s="56" t="s">
        <v>3395</v>
      </c>
      <c r="G335" s="56" t="s">
        <v>148</v>
      </c>
      <c r="I335" s="56" t="s">
        <v>119</v>
      </c>
      <c r="J335" s="56" t="s">
        <v>195</v>
      </c>
      <c r="L335" s="59">
        <v>0</v>
      </c>
    </row>
    <row r="336" spans="1:12" x14ac:dyDescent="0.2">
      <c r="A336" s="52">
        <f t="shared" si="5"/>
        <v>330</v>
      </c>
      <c r="B336" s="56">
        <v>2020</v>
      </c>
      <c r="C336" s="56" t="s">
        <v>240</v>
      </c>
      <c r="D336" s="56" t="s">
        <v>3396</v>
      </c>
      <c r="E336" s="35">
        <v>1910</v>
      </c>
      <c r="F336" s="56" t="s">
        <v>3397</v>
      </c>
      <c r="G336" s="56" t="s">
        <v>154</v>
      </c>
      <c r="H336" s="56" t="s">
        <v>271</v>
      </c>
      <c r="I336" s="56" t="s">
        <v>72</v>
      </c>
      <c r="J336" s="56" t="s">
        <v>183</v>
      </c>
      <c r="L336" s="59">
        <v>1</v>
      </c>
    </row>
    <row r="337" spans="1:12" x14ac:dyDescent="0.2">
      <c r="A337" s="52">
        <f t="shared" si="5"/>
        <v>331</v>
      </c>
      <c r="B337" s="56">
        <v>2020</v>
      </c>
      <c r="C337" s="56" t="s">
        <v>212</v>
      </c>
      <c r="D337" s="52" t="s">
        <v>694</v>
      </c>
      <c r="E337" s="35">
        <v>170</v>
      </c>
      <c r="G337" s="56" t="s">
        <v>149</v>
      </c>
      <c r="I337" s="56" t="s">
        <v>25</v>
      </c>
      <c r="J337" s="56" t="s">
        <v>177</v>
      </c>
      <c r="L337" s="59">
        <v>0</v>
      </c>
    </row>
    <row r="338" spans="1:12" x14ac:dyDescent="0.2">
      <c r="A338" s="52">
        <f t="shared" si="5"/>
        <v>332</v>
      </c>
      <c r="B338" s="56">
        <v>2020</v>
      </c>
      <c r="C338" s="56" t="s">
        <v>212</v>
      </c>
      <c r="D338" s="56" t="s">
        <v>3398</v>
      </c>
      <c r="E338" s="35">
        <v>180</v>
      </c>
      <c r="F338" s="56" t="s">
        <v>3399</v>
      </c>
      <c r="G338" s="56" t="s">
        <v>150</v>
      </c>
      <c r="I338" s="56" t="s">
        <v>42</v>
      </c>
      <c r="J338" s="56" t="s">
        <v>195</v>
      </c>
      <c r="L338" s="59">
        <v>0</v>
      </c>
    </row>
    <row r="339" spans="1:12" x14ac:dyDescent="0.2">
      <c r="A339" s="52">
        <f t="shared" si="5"/>
        <v>333</v>
      </c>
      <c r="B339" s="56">
        <v>2020</v>
      </c>
      <c r="C339" s="56" t="s">
        <v>212</v>
      </c>
      <c r="D339" s="56" t="s">
        <v>479</v>
      </c>
      <c r="E339" s="35">
        <v>160</v>
      </c>
      <c r="G339" s="56" t="s">
        <v>154</v>
      </c>
      <c r="H339" s="56" t="s">
        <v>529</v>
      </c>
      <c r="I339" s="56" t="s">
        <v>9</v>
      </c>
      <c r="J339" s="56" t="s">
        <v>9</v>
      </c>
      <c r="L339" s="59">
        <v>0</v>
      </c>
    </row>
    <row r="340" spans="1:12" x14ac:dyDescent="0.2">
      <c r="A340" s="52">
        <f t="shared" si="5"/>
        <v>334</v>
      </c>
      <c r="B340" s="56">
        <v>2021</v>
      </c>
      <c r="C340" s="56" t="s">
        <v>172</v>
      </c>
      <c r="D340" t="s">
        <v>397</v>
      </c>
      <c r="E340" s="35">
        <v>230</v>
      </c>
      <c r="F340" s="56" t="s">
        <v>3400</v>
      </c>
      <c r="G340" s="56" t="s">
        <v>151</v>
      </c>
      <c r="H340" s="56" t="s">
        <v>279</v>
      </c>
      <c r="I340" s="56" t="s">
        <v>9</v>
      </c>
      <c r="J340" s="56" t="s">
        <v>9</v>
      </c>
      <c r="L340" s="59">
        <v>0</v>
      </c>
    </row>
    <row r="341" spans="1:12" x14ac:dyDescent="0.2">
      <c r="A341" s="52">
        <f t="shared" si="5"/>
        <v>335</v>
      </c>
      <c r="B341" s="56">
        <v>2021</v>
      </c>
      <c r="C341" s="56" t="s">
        <v>172</v>
      </c>
      <c r="D341" s="52" t="s">
        <v>554</v>
      </c>
      <c r="E341" s="35">
        <v>110</v>
      </c>
      <c r="G341" s="56" t="s">
        <v>150</v>
      </c>
      <c r="H341" s="56" t="s">
        <v>292</v>
      </c>
      <c r="I341" s="56" t="s">
        <v>42</v>
      </c>
      <c r="J341" s="56" t="s">
        <v>195</v>
      </c>
      <c r="L341" s="59">
        <v>0</v>
      </c>
    </row>
    <row r="342" spans="1:12" x14ac:dyDescent="0.2">
      <c r="A342" s="52">
        <f t="shared" si="5"/>
        <v>336</v>
      </c>
      <c r="B342" s="56">
        <v>2021</v>
      </c>
      <c r="C342" s="56" t="s">
        <v>172</v>
      </c>
      <c r="D342" s="52" t="s">
        <v>3401</v>
      </c>
      <c r="E342" s="35">
        <v>400</v>
      </c>
      <c r="G342" s="56" t="s">
        <v>148</v>
      </c>
      <c r="I342" s="56" t="s">
        <v>30</v>
      </c>
      <c r="J342" s="56" t="s">
        <v>195</v>
      </c>
      <c r="K342" s="58" t="s">
        <v>178</v>
      </c>
      <c r="L342" s="59">
        <v>1</v>
      </c>
    </row>
    <row r="343" spans="1:12" x14ac:dyDescent="0.2">
      <c r="A343" s="52">
        <f t="shared" si="5"/>
        <v>337</v>
      </c>
      <c r="B343" s="56">
        <v>2021</v>
      </c>
      <c r="C343" s="56" t="s">
        <v>258</v>
      </c>
      <c r="D343" s="56" t="s">
        <v>389</v>
      </c>
      <c r="E343" s="35">
        <v>720</v>
      </c>
      <c r="G343" s="56" t="s">
        <v>144</v>
      </c>
      <c r="H343" s="56" t="s">
        <v>273</v>
      </c>
      <c r="I343" s="56" t="s">
        <v>9</v>
      </c>
      <c r="J343" s="56" t="s">
        <v>9</v>
      </c>
      <c r="L343" s="59">
        <v>0</v>
      </c>
    </row>
    <row r="344" spans="1:12" x14ac:dyDescent="0.2">
      <c r="A344" s="52">
        <f t="shared" si="5"/>
        <v>338</v>
      </c>
      <c r="B344" s="56">
        <v>2021</v>
      </c>
      <c r="C344" s="56" t="s">
        <v>179</v>
      </c>
      <c r="D344" s="56" t="s">
        <v>479</v>
      </c>
      <c r="E344" s="35">
        <v>120</v>
      </c>
      <c r="G344" s="56" t="s">
        <v>154</v>
      </c>
      <c r="H344" s="56" t="s">
        <v>529</v>
      </c>
      <c r="I344" s="56" t="s">
        <v>64</v>
      </c>
      <c r="J344" s="56" t="s">
        <v>219</v>
      </c>
      <c r="L344" s="59">
        <v>1</v>
      </c>
    </row>
    <row r="345" spans="1:12" x14ac:dyDescent="0.2">
      <c r="A345" s="52">
        <f t="shared" si="5"/>
        <v>339</v>
      </c>
      <c r="B345" s="56">
        <v>2021</v>
      </c>
      <c r="C345" s="56" t="s">
        <v>179</v>
      </c>
      <c r="D345" s="56" t="s">
        <v>1716</v>
      </c>
      <c r="E345" s="35">
        <v>110</v>
      </c>
      <c r="F345" s="56" t="s">
        <v>3402</v>
      </c>
      <c r="G345" s="56" t="s">
        <v>149</v>
      </c>
      <c r="I345" s="56" t="s">
        <v>46</v>
      </c>
      <c r="J345" s="56" t="s">
        <v>219</v>
      </c>
      <c r="L345" s="59">
        <v>1</v>
      </c>
    </row>
    <row r="346" spans="1:12" x14ac:dyDescent="0.2">
      <c r="A346" s="52">
        <f t="shared" si="5"/>
        <v>340</v>
      </c>
      <c r="B346" s="56">
        <v>2021</v>
      </c>
      <c r="C346" s="56" t="s">
        <v>184</v>
      </c>
      <c r="D346" s="56" t="s">
        <v>822</v>
      </c>
      <c r="E346" s="35">
        <v>100</v>
      </c>
      <c r="F346" s="56" t="s">
        <v>1632</v>
      </c>
      <c r="G346" s="56" t="s">
        <v>150</v>
      </c>
      <c r="H346" s="56" t="s">
        <v>556</v>
      </c>
      <c r="I346" s="56" t="s">
        <v>52</v>
      </c>
      <c r="J346" s="56" t="s">
        <v>201</v>
      </c>
      <c r="L346" s="59">
        <v>0</v>
      </c>
    </row>
    <row r="347" spans="1:12" x14ac:dyDescent="0.2">
      <c r="A347" s="52">
        <f t="shared" si="5"/>
        <v>341</v>
      </c>
      <c r="B347" s="56">
        <v>2021</v>
      </c>
      <c r="C347" s="56" t="s">
        <v>184</v>
      </c>
      <c r="D347" s="56" t="s">
        <v>1604</v>
      </c>
      <c r="E347" s="35">
        <v>110</v>
      </c>
      <c r="G347" s="56" t="s">
        <v>144</v>
      </c>
      <c r="H347" s="56" t="s">
        <v>273</v>
      </c>
      <c r="I347" s="56" t="s">
        <v>9</v>
      </c>
      <c r="J347" s="56" t="s">
        <v>9</v>
      </c>
      <c r="K347" s="58" t="s">
        <v>178</v>
      </c>
      <c r="L347" s="59">
        <v>0</v>
      </c>
    </row>
    <row r="348" spans="1:12" x14ac:dyDescent="0.2">
      <c r="A348" s="52">
        <f t="shared" si="5"/>
        <v>342</v>
      </c>
      <c r="B348" s="56">
        <v>2021</v>
      </c>
      <c r="C348" s="56" t="s">
        <v>188</v>
      </c>
      <c r="D348" t="s">
        <v>337</v>
      </c>
      <c r="E348" s="35">
        <v>1010</v>
      </c>
      <c r="G348" s="56" t="s">
        <v>144</v>
      </c>
      <c r="H348" s="56" t="s">
        <v>273</v>
      </c>
      <c r="I348" s="56" t="s">
        <v>13</v>
      </c>
      <c r="J348" s="56" t="s">
        <v>201</v>
      </c>
      <c r="K348" s="58" t="s">
        <v>178</v>
      </c>
      <c r="L348" s="59">
        <v>1</v>
      </c>
    </row>
    <row r="349" spans="1:12" x14ac:dyDescent="0.2">
      <c r="A349" s="52">
        <f t="shared" si="5"/>
        <v>343</v>
      </c>
      <c r="B349" s="56">
        <v>2021</v>
      </c>
      <c r="C349" s="56" t="s">
        <v>188</v>
      </c>
      <c r="D349" t="s">
        <v>337</v>
      </c>
      <c r="E349" s="35">
        <v>440</v>
      </c>
      <c r="G349" s="56" t="s">
        <v>144</v>
      </c>
      <c r="H349" s="56" t="s">
        <v>273</v>
      </c>
      <c r="I349" s="56" t="s">
        <v>13</v>
      </c>
      <c r="J349" s="56" t="s">
        <v>201</v>
      </c>
      <c r="K349" s="58" t="s">
        <v>178</v>
      </c>
      <c r="L349" s="59">
        <v>1</v>
      </c>
    </row>
    <row r="350" spans="1:12" x14ac:dyDescent="0.2">
      <c r="A350" s="52">
        <f t="shared" si="5"/>
        <v>344</v>
      </c>
      <c r="B350" s="56">
        <v>2021</v>
      </c>
      <c r="C350" s="56" t="s">
        <v>191</v>
      </c>
      <c r="D350" s="56" t="s">
        <v>980</v>
      </c>
      <c r="E350" s="35">
        <v>560</v>
      </c>
      <c r="G350" s="56" t="s">
        <v>154</v>
      </c>
      <c r="H350" s="56" t="s">
        <v>271</v>
      </c>
      <c r="I350" s="56" t="s">
        <v>94</v>
      </c>
      <c r="J350" s="56" t="s">
        <v>177</v>
      </c>
      <c r="L350" s="59">
        <v>1</v>
      </c>
    </row>
    <row r="351" spans="1:12" x14ac:dyDescent="0.2">
      <c r="A351" s="52">
        <f t="shared" si="5"/>
        <v>345</v>
      </c>
      <c r="B351" s="56">
        <v>2021</v>
      </c>
      <c r="C351" s="56" t="s">
        <v>202</v>
      </c>
      <c r="D351" s="56" t="s">
        <v>341</v>
      </c>
      <c r="E351" s="35">
        <v>1900</v>
      </c>
      <c r="G351" s="56" t="s">
        <v>154</v>
      </c>
      <c r="H351" s="56" t="s">
        <v>529</v>
      </c>
      <c r="I351" s="56" t="s">
        <v>53</v>
      </c>
      <c r="J351" s="56" t="s">
        <v>183</v>
      </c>
      <c r="L351" s="59">
        <v>1</v>
      </c>
    </row>
    <row r="352" spans="1:12" x14ac:dyDescent="0.2">
      <c r="A352" s="52">
        <f t="shared" si="5"/>
        <v>346</v>
      </c>
      <c r="B352" s="56">
        <v>2021</v>
      </c>
      <c r="C352" s="56" t="s">
        <v>202</v>
      </c>
      <c r="D352" s="56" t="s">
        <v>479</v>
      </c>
      <c r="E352" s="35">
        <v>100</v>
      </c>
      <c r="G352" s="56" t="s">
        <v>154</v>
      </c>
      <c r="H352" s="56" t="s">
        <v>271</v>
      </c>
      <c r="I352" s="56" t="s">
        <v>19</v>
      </c>
      <c r="J352" s="56" t="s">
        <v>205</v>
      </c>
      <c r="K352" s="58" t="s">
        <v>178</v>
      </c>
      <c r="L352" s="59">
        <v>0</v>
      </c>
    </row>
    <row r="353" spans="1:12" x14ac:dyDescent="0.2">
      <c r="A353" s="52">
        <f t="shared" si="5"/>
        <v>347</v>
      </c>
      <c r="B353" s="56">
        <v>2021</v>
      </c>
      <c r="C353" s="56" t="s">
        <v>207</v>
      </c>
      <c r="D353" s="56" t="s">
        <v>449</v>
      </c>
      <c r="E353" s="35">
        <v>1480</v>
      </c>
      <c r="G353" s="56" t="s">
        <v>154</v>
      </c>
      <c r="H353" s="56" t="s">
        <v>529</v>
      </c>
      <c r="I353" s="56" t="s">
        <v>13</v>
      </c>
      <c r="J353" s="56" t="s">
        <v>201</v>
      </c>
      <c r="L353" s="59">
        <v>1</v>
      </c>
    </row>
    <row r="354" spans="1:12" x14ac:dyDescent="0.2">
      <c r="A354" s="52">
        <f t="shared" si="5"/>
        <v>348</v>
      </c>
      <c r="B354" s="56">
        <v>2021</v>
      </c>
      <c r="C354" s="56" t="s">
        <v>240</v>
      </c>
      <c r="D354" s="52" t="s">
        <v>837</v>
      </c>
      <c r="E354" s="35">
        <v>1130</v>
      </c>
      <c r="G354" s="56" t="s">
        <v>151</v>
      </c>
      <c r="H354" s="56" t="s">
        <v>224</v>
      </c>
      <c r="I354" s="56" t="s">
        <v>131</v>
      </c>
      <c r="J354" s="56" t="s">
        <v>131</v>
      </c>
      <c r="L354" s="59">
        <v>0</v>
      </c>
    </row>
    <row r="355" spans="1:12" x14ac:dyDescent="0.2">
      <c r="A355" s="52">
        <f t="shared" si="5"/>
        <v>349</v>
      </c>
      <c r="B355" s="56">
        <v>2021</v>
      </c>
      <c r="C355" s="56" t="s">
        <v>240</v>
      </c>
      <c r="D355" s="56" t="s">
        <v>1992</v>
      </c>
      <c r="E355" s="35">
        <v>1400</v>
      </c>
      <c r="F355" s="56" t="s">
        <v>3403</v>
      </c>
      <c r="G355" s="56" t="s">
        <v>152</v>
      </c>
      <c r="I355" s="56" t="s">
        <v>113</v>
      </c>
      <c r="J355" s="56" t="s">
        <v>183</v>
      </c>
      <c r="L355" s="59">
        <v>1</v>
      </c>
    </row>
    <row r="356" spans="1:12" x14ac:dyDescent="0.2">
      <c r="A356" s="52">
        <f t="shared" si="5"/>
        <v>350</v>
      </c>
      <c r="B356" s="56">
        <v>2021</v>
      </c>
      <c r="C356" s="56" t="s">
        <v>212</v>
      </c>
      <c r="D356" s="56" t="s">
        <v>399</v>
      </c>
      <c r="E356" s="35">
        <v>650</v>
      </c>
      <c r="G356" s="56" t="s">
        <v>144</v>
      </c>
      <c r="H356" s="56" t="s">
        <v>232</v>
      </c>
      <c r="I356" s="56" t="s">
        <v>130</v>
      </c>
      <c r="J356" s="56" t="s">
        <v>214</v>
      </c>
      <c r="L356" s="59">
        <v>1</v>
      </c>
    </row>
    <row r="357" spans="1:12" x14ac:dyDescent="0.2">
      <c r="A357" s="52">
        <f t="shared" si="5"/>
        <v>351</v>
      </c>
      <c r="B357" s="56">
        <v>2021</v>
      </c>
      <c r="C357" s="56" t="s">
        <v>212</v>
      </c>
      <c r="D357" s="56" t="s">
        <v>479</v>
      </c>
      <c r="E357" s="35">
        <v>430</v>
      </c>
      <c r="G357" s="56" t="s">
        <v>154</v>
      </c>
      <c r="H357" s="56" t="s">
        <v>529</v>
      </c>
      <c r="I357" s="56" t="s">
        <v>9</v>
      </c>
      <c r="J357" s="56" t="s">
        <v>9</v>
      </c>
      <c r="L357" s="59">
        <v>0</v>
      </c>
    </row>
    <row r="358" spans="1:12" x14ac:dyDescent="0.2">
      <c r="A358" s="52">
        <f t="shared" si="5"/>
        <v>352</v>
      </c>
      <c r="B358" s="56">
        <v>2022</v>
      </c>
      <c r="C358" s="56" t="s">
        <v>172</v>
      </c>
      <c r="D358" s="56" t="s">
        <v>313</v>
      </c>
      <c r="E358" s="35">
        <v>230</v>
      </c>
      <c r="F358" s="56" t="s">
        <v>3404</v>
      </c>
      <c r="G358" s="56" t="s">
        <v>142</v>
      </c>
      <c r="I358" s="56" t="s">
        <v>58</v>
      </c>
      <c r="J358" s="56" t="s">
        <v>195</v>
      </c>
      <c r="L358" s="59">
        <v>0</v>
      </c>
    </row>
    <row r="359" spans="1:12" x14ac:dyDescent="0.2">
      <c r="A359" s="52">
        <f t="shared" si="5"/>
        <v>353</v>
      </c>
      <c r="B359" s="56">
        <v>2022</v>
      </c>
      <c r="C359" s="56" t="s">
        <v>172</v>
      </c>
      <c r="D359" s="52" t="s">
        <v>837</v>
      </c>
      <c r="E359" s="35">
        <v>390</v>
      </c>
      <c r="G359" s="56" t="s">
        <v>151</v>
      </c>
      <c r="H359" s="56" t="s">
        <v>224</v>
      </c>
      <c r="I359" s="56" t="s">
        <v>131</v>
      </c>
      <c r="J359" s="56" t="s">
        <v>131</v>
      </c>
      <c r="K359" s="58" t="s">
        <v>178</v>
      </c>
      <c r="L359" s="59">
        <v>0</v>
      </c>
    </row>
    <row r="360" spans="1:12" x14ac:dyDescent="0.2">
      <c r="A360" s="52">
        <f t="shared" si="5"/>
        <v>354</v>
      </c>
      <c r="B360" s="56">
        <v>2022</v>
      </c>
      <c r="C360" s="56" t="s">
        <v>172</v>
      </c>
      <c r="D360" s="56" t="s">
        <v>449</v>
      </c>
      <c r="E360" s="35">
        <v>1290</v>
      </c>
      <c r="G360" s="56" t="s">
        <v>154</v>
      </c>
      <c r="H360" s="56" t="s">
        <v>529</v>
      </c>
      <c r="I360" s="56" t="s">
        <v>57</v>
      </c>
      <c r="J360" s="56" t="s">
        <v>195</v>
      </c>
      <c r="L360" s="75">
        <v>0</v>
      </c>
    </row>
    <row r="361" spans="1:12" x14ac:dyDescent="0.2">
      <c r="A361" s="52">
        <f t="shared" si="5"/>
        <v>355</v>
      </c>
      <c r="B361" s="56">
        <v>2022</v>
      </c>
      <c r="C361" s="56" t="s">
        <v>258</v>
      </c>
      <c r="D361" s="56" t="s">
        <v>557</v>
      </c>
      <c r="E361" s="35">
        <v>250</v>
      </c>
      <c r="G361" s="56" t="s">
        <v>150</v>
      </c>
      <c r="H361" s="56" t="s">
        <v>217</v>
      </c>
      <c r="I361" s="56" t="s">
        <v>52</v>
      </c>
      <c r="J361" s="56" t="s">
        <v>201</v>
      </c>
      <c r="K361" s="58" t="s">
        <v>178</v>
      </c>
      <c r="L361" s="59">
        <v>0</v>
      </c>
    </row>
    <row r="362" spans="1:12" x14ac:dyDescent="0.2">
      <c r="A362" s="52">
        <f t="shared" si="5"/>
        <v>356</v>
      </c>
      <c r="B362" s="56">
        <v>2022</v>
      </c>
      <c r="C362" s="56" t="s">
        <v>258</v>
      </c>
      <c r="D362" s="56" t="s">
        <v>3405</v>
      </c>
      <c r="E362" s="35">
        <v>1510</v>
      </c>
      <c r="G362" s="56" t="s">
        <v>151</v>
      </c>
      <c r="H362" s="56" t="s">
        <v>224</v>
      </c>
      <c r="I362" s="56" t="s">
        <v>20</v>
      </c>
      <c r="J362" s="56" t="s">
        <v>195</v>
      </c>
      <c r="K362" s="58" t="s">
        <v>178</v>
      </c>
      <c r="L362" s="59">
        <v>0</v>
      </c>
    </row>
    <row r="363" spans="1:12" x14ac:dyDescent="0.2">
      <c r="A363" s="52">
        <f t="shared" si="5"/>
        <v>357</v>
      </c>
      <c r="B363" s="56">
        <v>2022</v>
      </c>
      <c r="C363" s="56" t="s">
        <v>184</v>
      </c>
      <c r="D363" s="52" t="s">
        <v>244</v>
      </c>
      <c r="E363" s="35">
        <v>240</v>
      </c>
      <c r="G363" s="56" t="s">
        <v>154</v>
      </c>
      <c r="H363" s="56" t="s">
        <v>194</v>
      </c>
      <c r="I363" s="56" t="s">
        <v>138</v>
      </c>
      <c r="J363" s="56" t="s">
        <v>219</v>
      </c>
      <c r="L363" s="59">
        <v>1</v>
      </c>
    </row>
    <row r="364" spans="1:12" x14ac:dyDescent="0.2">
      <c r="A364" s="52">
        <f t="shared" si="5"/>
        <v>358</v>
      </c>
      <c r="B364" s="56">
        <v>2022</v>
      </c>
      <c r="C364" s="56" t="s">
        <v>184</v>
      </c>
      <c r="D364" s="56" t="s">
        <v>3406</v>
      </c>
      <c r="E364" s="35">
        <v>230</v>
      </c>
      <c r="F364" s="56" t="s">
        <v>1465</v>
      </c>
      <c r="G364" s="56" t="s">
        <v>151</v>
      </c>
      <c r="H364" s="56" t="s">
        <v>224</v>
      </c>
      <c r="I364" s="56" t="s">
        <v>20</v>
      </c>
      <c r="J364" s="56" t="s">
        <v>195</v>
      </c>
      <c r="L364" s="59">
        <v>0</v>
      </c>
    </row>
    <row r="365" spans="1:12" x14ac:dyDescent="0.2">
      <c r="A365" s="52">
        <f t="shared" si="5"/>
        <v>359</v>
      </c>
      <c r="B365" s="56">
        <v>2022</v>
      </c>
      <c r="C365" s="56" t="s">
        <v>225</v>
      </c>
      <c r="D365" s="56" t="s">
        <v>3407</v>
      </c>
      <c r="E365" s="35">
        <v>580</v>
      </c>
      <c r="G365" s="56" t="s">
        <v>154</v>
      </c>
      <c r="H365" s="56" t="s">
        <v>194</v>
      </c>
      <c r="I365" s="56" t="s">
        <v>131</v>
      </c>
      <c r="J365" s="56" t="s">
        <v>131</v>
      </c>
      <c r="K365" s="58" t="s">
        <v>178</v>
      </c>
      <c r="L365" s="59">
        <v>0</v>
      </c>
    </row>
    <row r="366" spans="1:12" x14ac:dyDescent="0.2">
      <c r="A366" s="52">
        <f t="shared" si="5"/>
        <v>360</v>
      </c>
      <c r="B366" s="56">
        <v>2022</v>
      </c>
      <c r="C366" s="56" t="s">
        <v>225</v>
      </c>
      <c r="D366" s="56" t="s">
        <v>822</v>
      </c>
      <c r="E366" s="35">
        <v>170</v>
      </c>
      <c r="F366" s="56" t="s">
        <v>3408</v>
      </c>
      <c r="G366" s="56" t="s">
        <v>146</v>
      </c>
      <c r="I366" s="56" t="s">
        <v>52</v>
      </c>
      <c r="J366" s="56" t="s">
        <v>201</v>
      </c>
      <c r="L366" s="59">
        <v>0</v>
      </c>
    </row>
    <row r="367" spans="1:12" x14ac:dyDescent="0.2">
      <c r="A367" s="52">
        <f t="shared" si="5"/>
        <v>361</v>
      </c>
      <c r="B367" s="56">
        <v>2022</v>
      </c>
      <c r="C367" s="56" t="s">
        <v>225</v>
      </c>
      <c r="D367" s="56" t="s">
        <v>373</v>
      </c>
      <c r="E367" s="35">
        <v>190</v>
      </c>
      <c r="G367" s="56" t="s">
        <v>151</v>
      </c>
      <c r="H367" s="56" t="s">
        <v>224</v>
      </c>
      <c r="I367" s="56" t="s">
        <v>131</v>
      </c>
      <c r="J367" s="56" t="s">
        <v>131</v>
      </c>
      <c r="L367" s="59">
        <v>0</v>
      </c>
    </row>
    <row r="368" spans="1:12" x14ac:dyDescent="0.2">
      <c r="A368" s="52">
        <f t="shared" si="5"/>
        <v>362</v>
      </c>
      <c r="B368" s="56">
        <v>2022</v>
      </c>
      <c r="C368" s="56" t="s">
        <v>188</v>
      </c>
      <c r="D368" s="56" t="s">
        <v>1801</v>
      </c>
      <c r="E368" s="35">
        <v>170</v>
      </c>
      <c r="G368" s="56" t="s">
        <v>151</v>
      </c>
      <c r="H368" s="56" t="s">
        <v>224</v>
      </c>
      <c r="I368" s="56" t="s">
        <v>9</v>
      </c>
      <c r="J368" s="56" t="s">
        <v>9</v>
      </c>
      <c r="L368" s="59">
        <v>0</v>
      </c>
    </row>
    <row r="369" spans="1:12" x14ac:dyDescent="0.2">
      <c r="A369" s="52">
        <f t="shared" si="5"/>
        <v>363</v>
      </c>
      <c r="B369" s="56">
        <v>2022</v>
      </c>
      <c r="C369" s="56" t="s">
        <v>188</v>
      </c>
      <c r="D369" s="56" t="s">
        <v>410</v>
      </c>
      <c r="E369" s="35">
        <v>250</v>
      </c>
      <c r="F369" s="56" t="s">
        <v>3409</v>
      </c>
      <c r="G369" s="56" t="s">
        <v>154</v>
      </c>
      <c r="H369" s="56" t="s">
        <v>194</v>
      </c>
      <c r="I369" s="56" t="s">
        <v>52</v>
      </c>
      <c r="J369" s="56" t="s">
        <v>201</v>
      </c>
      <c r="L369" s="59">
        <v>0</v>
      </c>
    </row>
    <row r="370" spans="1:12" x14ac:dyDescent="0.2">
      <c r="A370" s="52">
        <f t="shared" si="5"/>
        <v>364</v>
      </c>
      <c r="B370" s="56">
        <v>2022</v>
      </c>
      <c r="C370" s="56" t="s">
        <v>188</v>
      </c>
      <c r="D370" s="56" t="s">
        <v>698</v>
      </c>
      <c r="E370" s="35">
        <v>2040</v>
      </c>
      <c r="F370" s="56" t="s">
        <v>3410</v>
      </c>
      <c r="G370" s="56" t="s">
        <v>150</v>
      </c>
      <c r="H370" s="56" t="s">
        <v>292</v>
      </c>
      <c r="I370" s="56" t="s">
        <v>131</v>
      </c>
      <c r="J370" s="56" t="s">
        <v>131</v>
      </c>
      <c r="L370" s="59">
        <v>0</v>
      </c>
    </row>
    <row r="371" spans="1:12" x14ac:dyDescent="0.2">
      <c r="A371" s="52">
        <f t="shared" si="5"/>
        <v>365</v>
      </c>
      <c r="B371" s="56">
        <v>2022</v>
      </c>
      <c r="C371" s="56" t="s">
        <v>191</v>
      </c>
      <c r="D371" s="56" t="s">
        <v>3411</v>
      </c>
      <c r="E371" s="35">
        <v>1200</v>
      </c>
      <c r="G371" s="56" t="s">
        <v>154</v>
      </c>
      <c r="H371" s="56" t="s">
        <v>194</v>
      </c>
      <c r="I371" s="56" t="s">
        <v>138</v>
      </c>
      <c r="J371" s="56" t="s">
        <v>219</v>
      </c>
      <c r="L371" s="59">
        <v>1</v>
      </c>
    </row>
    <row r="372" spans="1:12" x14ac:dyDescent="0.2">
      <c r="A372" s="52">
        <f t="shared" si="5"/>
        <v>366</v>
      </c>
      <c r="B372" s="56">
        <v>2022</v>
      </c>
      <c r="C372" s="56" t="s">
        <v>198</v>
      </c>
      <c r="D372" s="56" t="s">
        <v>3412</v>
      </c>
      <c r="E372" s="35">
        <v>990</v>
      </c>
      <c r="F372" s="56" t="s">
        <v>1396</v>
      </c>
      <c r="G372" s="56" t="s">
        <v>148</v>
      </c>
      <c r="I372" s="56" t="s">
        <v>35</v>
      </c>
      <c r="J372" s="56" t="s">
        <v>195</v>
      </c>
      <c r="L372" s="59">
        <v>0</v>
      </c>
    </row>
    <row r="373" spans="1:12" x14ac:dyDescent="0.2">
      <c r="A373" s="52">
        <f t="shared" si="5"/>
        <v>367</v>
      </c>
      <c r="B373" s="56">
        <v>2022</v>
      </c>
      <c r="C373" s="56" t="s">
        <v>198</v>
      </c>
      <c r="D373" s="56" t="s">
        <v>244</v>
      </c>
      <c r="E373" s="35">
        <v>220</v>
      </c>
      <c r="G373" s="56" t="s">
        <v>147</v>
      </c>
      <c r="I373" s="56" t="s">
        <v>138</v>
      </c>
      <c r="J373" s="56" t="s">
        <v>219</v>
      </c>
      <c r="L373" s="59">
        <v>1</v>
      </c>
    </row>
    <row r="374" spans="1:12" x14ac:dyDescent="0.2">
      <c r="A374" s="52">
        <f t="shared" si="5"/>
        <v>368</v>
      </c>
      <c r="B374" s="56">
        <v>2022</v>
      </c>
      <c r="C374" s="56" t="s">
        <v>198</v>
      </c>
      <c r="D374" s="56" t="s">
        <v>244</v>
      </c>
      <c r="E374" s="35">
        <v>250</v>
      </c>
      <c r="G374" s="56" t="s">
        <v>151</v>
      </c>
      <c r="H374" s="56" t="s">
        <v>279</v>
      </c>
      <c r="I374" s="56" t="s">
        <v>138</v>
      </c>
      <c r="J374" s="56" t="s">
        <v>219</v>
      </c>
      <c r="L374" s="59">
        <v>1</v>
      </c>
    </row>
    <row r="375" spans="1:12" x14ac:dyDescent="0.2">
      <c r="A375" s="52">
        <f t="shared" si="5"/>
        <v>369</v>
      </c>
      <c r="B375" s="56">
        <v>2022</v>
      </c>
      <c r="C375" s="56" t="s">
        <v>198</v>
      </c>
      <c r="D375" s="56" t="s">
        <v>745</v>
      </c>
      <c r="E375" s="35">
        <v>520</v>
      </c>
      <c r="F375" s="56" t="s">
        <v>2943</v>
      </c>
      <c r="G375" s="56" t="s">
        <v>142</v>
      </c>
      <c r="I375" s="56" t="s">
        <v>29</v>
      </c>
      <c r="J375" s="56" t="s">
        <v>219</v>
      </c>
      <c r="L375" s="59">
        <v>1</v>
      </c>
    </row>
    <row r="376" spans="1:12" x14ac:dyDescent="0.2">
      <c r="A376" s="52">
        <f t="shared" si="5"/>
        <v>370</v>
      </c>
      <c r="B376" s="56">
        <v>2022</v>
      </c>
      <c r="C376" s="56" t="s">
        <v>198</v>
      </c>
      <c r="D376" s="56" t="s">
        <v>3413</v>
      </c>
      <c r="E376" s="35">
        <v>220</v>
      </c>
      <c r="G376" s="56" t="s">
        <v>154</v>
      </c>
      <c r="H376" s="56" t="s">
        <v>194</v>
      </c>
      <c r="I376" s="56" t="s">
        <v>13</v>
      </c>
      <c r="J376" s="56" t="s">
        <v>201</v>
      </c>
      <c r="L376" s="59">
        <v>1</v>
      </c>
    </row>
    <row r="377" spans="1:12" x14ac:dyDescent="0.2">
      <c r="A377" s="52">
        <f t="shared" si="5"/>
        <v>371</v>
      </c>
      <c r="B377" s="56">
        <v>2022</v>
      </c>
      <c r="C377" s="56" t="s">
        <v>202</v>
      </c>
      <c r="D377" s="56" t="s">
        <v>477</v>
      </c>
      <c r="E377" s="35">
        <v>190</v>
      </c>
      <c r="G377" s="56" t="s">
        <v>148</v>
      </c>
      <c r="I377" s="56" t="s">
        <v>36</v>
      </c>
      <c r="J377" s="56" t="s">
        <v>219</v>
      </c>
      <c r="L377" s="59">
        <v>1</v>
      </c>
    </row>
    <row r="378" spans="1:12" x14ac:dyDescent="0.2">
      <c r="A378" s="52">
        <f t="shared" si="5"/>
        <v>372</v>
      </c>
      <c r="B378" s="56">
        <v>2022</v>
      </c>
      <c r="C378" s="56" t="s">
        <v>202</v>
      </c>
      <c r="D378" s="56" t="s">
        <v>3414</v>
      </c>
      <c r="E378" s="35">
        <v>2090</v>
      </c>
      <c r="G378" s="56" t="s">
        <v>144</v>
      </c>
      <c r="H378" s="56" t="s">
        <v>232</v>
      </c>
      <c r="I378" s="56" t="s">
        <v>45</v>
      </c>
      <c r="J378" s="56" t="s">
        <v>195</v>
      </c>
      <c r="K378" s="58" t="s">
        <v>178</v>
      </c>
      <c r="L378" s="59">
        <v>0</v>
      </c>
    </row>
    <row r="379" spans="1:12" x14ac:dyDescent="0.2">
      <c r="A379" s="52">
        <f t="shared" si="5"/>
        <v>373</v>
      </c>
      <c r="B379" s="56">
        <v>2022</v>
      </c>
      <c r="C379" s="56" t="s">
        <v>240</v>
      </c>
      <c r="D379" s="56" t="s">
        <v>943</v>
      </c>
      <c r="E379" s="35">
        <v>330</v>
      </c>
      <c r="G379" s="56" t="s">
        <v>144</v>
      </c>
      <c r="I379" s="56" t="s">
        <v>20</v>
      </c>
      <c r="J379" s="56" t="s">
        <v>195</v>
      </c>
      <c r="K379" s="58" t="s">
        <v>178</v>
      </c>
      <c r="L379" s="59">
        <v>0</v>
      </c>
    </row>
    <row r="380" spans="1:12" x14ac:dyDescent="0.2">
      <c r="A380" s="52">
        <f t="shared" si="5"/>
        <v>374</v>
      </c>
      <c r="B380" s="56">
        <v>2022</v>
      </c>
      <c r="C380" s="56" t="s">
        <v>240</v>
      </c>
      <c r="D380" s="56" t="s">
        <v>705</v>
      </c>
      <c r="E380" s="35">
        <v>220</v>
      </c>
      <c r="F380" s="56" t="s">
        <v>3415</v>
      </c>
      <c r="G380" s="56" t="s">
        <v>151</v>
      </c>
      <c r="H380" s="56" t="s">
        <v>224</v>
      </c>
      <c r="I380" s="56" t="s">
        <v>131</v>
      </c>
      <c r="J380" s="56" t="s">
        <v>131</v>
      </c>
      <c r="K380" s="58" t="s">
        <v>178</v>
      </c>
      <c r="L380" s="59">
        <v>0</v>
      </c>
    </row>
    <row r="381" spans="1:12" x14ac:dyDescent="0.2">
      <c r="A381" s="52">
        <f t="shared" si="5"/>
        <v>375</v>
      </c>
      <c r="B381" s="56">
        <v>2022</v>
      </c>
      <c r="C381" s="56" t="s">
        <v>212</v>
      </c>
      <c r="D381" t="s">
        <v>3286</v>
      </c>
      <c r="E381" s="35">
        <v>220</v>
      </c>
      <c r="G381" s="56" t="s">
        <v>144</v>
      </c>
      <c r="H381" s="56" t="s">
        <v>197</v>
      </c>
      <c r="I381" s="56" t="s">
        <v>93</v>
      </c>
      <c r="J381" s="56" t="s">
        <v>201</v>
      </c>
      <c r="L381" s="59">
        <v>1</v>
      </c>
    </row>
    <row r="382" spans="1:12" x14ac:dyDescent="0.2">
      <c r="A382" s="52">
        <f t="shared" si="5"/>
        <v>376</v>
      </c>
      <c r="B382" s="56">
        <v>2022</v>
      </c>
      <c r="C382" s="56" t="s">
        <v>212</v>
      </c>
      <c r="D382" t="s">
        <v>399</v>
      </c>
      <c r="E382" s="35">
        <v>140</v>
      </c>
      <c r="F382" s="56" t="s">
        <v>3383</v>
      </c>
      <c r="G382" s="56" t="s">
        <v>144</v>
      </c>
      <c r="H382" s="56" t="s">
        <v>273</v>
      </c>
      <c r="I382" s="56" t="s">
        <v>52</v>
      </c>
      <c r="J382" s="56" t="s">
        <v>201</v>
      </c>
      <c r="L382" s="59">
        <v>0</v>
      </c>
    </row>
    <row r="383" spans="1:12" x14ac:dyDescent="0.2">
      <c r="A383" s="52">
        <f t="shared" si="5"/>
        <v>377</v>
      </c>
      <c r="B383" s="56">
        <v>2023</v>
      </c>
      <c r="C383" s="56" t="s">
        <v>172</v>
      </c>
      <c r="D383" t="s">
        <v>1520</v>
      </c>
      <c r="E383" s="35">
        <v>230</v>
      </c>
      <c r="G383" s="56" t="s">
        <v>3416</v>
      </c>
      <c r="I383" s="56" t="s">
        <v>124</v>
      </c>
      <c r="J383" s="56" t="s">
        <v>183</v>
      </c>
      <c r="L383" s="59">
        <v>1</v>
      </c>
    </row>
    <row r="384" spans="1:12" x14ac:dyDescent="0.2">
      <c r="A384" s="52">
        <f t="shared" si="5"/>
        <v>378</v>
      </c>
      <c r="B384" s="56">
        <v>2023</v>
      </c>
      <c r="C384" s="56" t="s">
        <v>179</v>
      </c>
      <c r="D384" t="s">
        <v>2305</v>
      </c>
      <c r="E384" s="35">
        <v>700</v>
      </c>
      <c r="G384" s="56" t="s">
        <v>142</v>
      </c>
      <c r="I384" s="56" t="s">
        <v>131</v>
      </c>
      <c r="J384" s="56" t="s">
        <v>131</v>
      </c>
      <c r="K384" s="58" t="s">
        <v>178</v>
      </c>
      <c r="L384" s="59">
        <v>0</v>
      </c>
    </row>
    <row r="385" spans="1:12" x14ac:dyDescent="0.2">
      <c r="A385" s="52">
        <f t="shared" si="5"/>
        <v>379</v>
      </c>
      <c r="B385" s="56">
        <v>2023</v>
      </c>
      <c r="C385" s="56" t="s">
        <v>179</v>
      </c>
      <c r="D385" s="56" t="s">
        <v>3373</v>
      </c>
      <c r="E385" s="35">
        <v>380</v>
      </c>
      <c r="G385" s="56" t="s">
        <v>154</v>
      </c>
      <c r="H385" s="56" t="s">
        <v>194</v>
      </c>
      <c r="I385" s="56" t="s">
        <v>118</v>
      </c>
      <c r="J385" s="56" t="s">
        <v>195</v>
      </c>
      <c r="L385" s="59">
        <v>0</v>
      </c>
    </row>
    <row r="386" spans="1:12" x14ac:dyDescent="0.2">
      <c r="A386" s="52">
        <f t="shared" si="5"/>
        <v>380</v>
      </c>
      <c r="B386" s="56">
        <v>2023</v>
      </c>
      <c r="C386" s="56" t="s">
        <v>184</v>
      </c>
      <c r="D386" s="56" t="s">
        <v>1809</v>
      </c>
      <c r="E386" s="35">
        <v>680</v>
      </c>
      <c r="G386" s="56" t="s">
        <v>152</v>
      </c>
      <c r="H386" s="56" t="s">
        <v>257</v>
      </c>
      <c r="I386" s="56" t="s">
        <v>52</v>
      </c>
      <c r="J386" s="56" t="s">
        <v>201</v>
      </c>
      <c r="L386" s="59">
        <v>0</v>
      </c>
    </row>
    <row r="387" spans="1:12" x14ac:dyDescent="0.2">
      <c r="A387" s="52">
        <f t="shared" si="5"/>
        <v>381</v>
      </c>
      <c r="B387" s="56">
        <v>2023</v>
      </c>
      <c r="C387" s="56" t="s">
        <v>188</v>
      </c>
      <c r="D387" s="56" t="s">
        <v>837</v>
      </c>
      <c r="E387" s="35">
        <v>220</v>
      </c>
      <c r="G387" s="56" t="s">
        <v>153</v>
      </c>
      <c r="I387" s="56" t="s">
        <v>131</v>
      </c>
      <c r="J387" s="56" t="s">
        <v>131</v>
      </c>
      <c r="K387" s="58" t="s">
        <v>178</v>
      </c>
      <c r="L387" s="59">
        <v>0</v>
      </c>
    </row>
    <row r="388" spans="1:12" x14ac:dyDescent="0.2">
      <c r="A388" s="52">
        <f t="shared" si="5"/>
        <v>382</v>
      </c>
      <c r="B388" s="56">
        <v>2023</v>
      </c>
      <c r="C388" s="56" t="s">
        <v>188</v>
      </c>
      <c r="D388" s="56" t="s">
        <v>565</v>
      </c>
      <c r="E388" s="35">
        <v>150</v>
      </c>
      <c r="G388" s="56" t="s">
        <v>145</v>
      </c>
      <c r="I388" s="56" t="s">
        <v>58</v>
      </c>
      <c r="J388" s="56" t="s">
        <v>195</v>
      </c>
      <c r="L388" s="59">
        <v>0</v>
      </c>
    </row>
    <row r="389" spans="1:12" x14ac:dyDescent="0.2">
      <c r="A389" s="52">
        <f t="shared" si="5"/>
        <v>383</v>
      </c>
      <c r="B389" s="56">
        <v>2023</v>
      </c>
      <c r="C389" s="56" t="s">
        <v>191</v>
      </c>
      <c r="D389" s="56" t="s">
        <v>797</v>
      </c>
      <c r="E389" s="35">
        <v>800</v>
      </c>
      <c r="G389" s="56" t="s">
        <v>149</v>
      </c>
      <c r="I389" s="56" t="s">
        <v>34</v>
      </c>
      <c r="J389" s="56" t="s">
        <v>219</v>
      </c>
      <c r="L389" s="59">
        <v>1</v>
      </c>
    </row>
    <row r="390" spans="1:12" x14ac:dyDescent="0.2">
      <c r="A390" s="52">
        <f t="shared" si="5"/>
        <v>384</v>
      </c>
      <c r="B390" s="56">
        <v>2023</v>
      </c>
      <c r="C390" s="56" t="s">
        <v>202</v>
      </c>
      <c r="D390" s="56" t="s">
        <v>822</v>
      </c>
      <c r="E390" s="35">
        <v>520</v>
      </c>
      <c r="G390" s="56" t="s">
        <v>146</v>
      </c>
      <c r="I390" s="56" t="s">
        <v>52</v>
      </c>
      <c r="J390" s="56" t="s">
        <v>201</v>
      </c>
      <c r="L390" s="59">
        <v>0</v>
      </c>
    </row>
    <row r="391" spans="1:12" x14ac:dyDescent="0.2">
      <c r="A391" s="52">
        <f t="shared" ref="A391:A426" si="6">ROW()-6</f>
        <v>385</v>
      </c>
      <c r="B391" s="56">
        <v>2023</v>
      </c>
      <c r="C391" s="56" t="s">
        <v>212</v>
      </c>
      <c r="D391" s="52" t="s">
        <v>818</v>
      </c>
      <c r="E391" s="35">
        <v>4040</v>
      </c>
      <c r="G391" s="56" t="s">
        <v>144</v>
      </c>
      <c r="H391" s="56" t="s">
        <v>299</v>
      </c>
      <c r="I391" s="56" t="s">
        <v>101</v>
      </c>
      <c r="J391" s="56" t="s">
        <v>201</v>
      </c>
      <c r="L391" s="59">
        <v>1</v>
      </c>
    </row>
    <row r="392" spans="1:12" x14ac:dyDescent="0.2">
      <c r="A392" s="52">
        <f t="shared" si="6"/>
        <v>386</v>
      </c>
      <c r="B392" s="56">
        <v>2023</v>
      </c>
      <c r="C392" s="56" t="s">
        <v>212</v>
      </c>
      <c r="D392" s="56" t="s">
        <v>943</v>
      </c>
      <c r="E392" s="35">
        <v>7860</v>
      </c>
      <c r="G392" s="56" t="s">
        <v>144</v>
      </c>
      <c r="I392" s="56" t="s">
        <v>20</v>
      </c>
      <c r="J392" s="56" t="s">
        <v>195</v>
      </c>
      <c r="K392" s="58" t="s">
        <v>178</v>
      </c>
      <c r="L392" s="59">
        <v>0</v>
      </c>
    </row>
    <row r="393" spans="1:12" x14ac:dyDescent="0.2">
      <c r="A393" s="52">
        <f t="shared" si="6"/>
        <v>387</v>
      </c>
      <c r="B393" s="56">
        <v>2023</v>
      </c>
      <c r="C393" s="56" t="s">
        <v>212</v>
      </c>
      <c r="D393" s="56" t="s">
        <v>3417</v>
      </c>
      <c r="E393" s="35">
        <v>440</v>
      </c>
      <c r="G393" s="56" t="s">
        <v>149</v>
      </c>
      <c r="H393" s="56" t="s">
        <v>182</v>
      </c>
      <c r="I393" s="56" t="s">
        <v>20</v>
      </c>
      <c r="J393" s="56" t="s">
        <v>195</v>
      </c>
      <c r="L393" s="59">
        <v>0</v>
      </c>
    </row>
    <row r="394" spans="1:12" x14ac:dyDescent="0.2">
      <c r="A394" s="52">
        <f t="shared" si="6"/>
        <v>388</v>
      </c>
      <c r="B394" s="56">
        <v>2024</v>
      </c>
      <c r="C394" s="56" t="s">
        <v>172</v>
      </c>
      <c r="D394" s="56" t="s">
        <v>3418</v>
      </c>
      <c r="E394" s="35">
        <v>270</v>
      </c>
      <c r="G394" s="56" t="s">
        <v>151</v>
      </c>
      <c r="H394" s="56" t="s">
        <v>224</v>
      </c>
      <c r="I394" s="56" t="s">
        <v>9</v>
      </c>
      <c r="J394" s="56" t="s">
        <v>9</v>
      </c>
      <c r="K394" s="58" t="s">
        <v>178</v>
      </c>
      <c r="L394" s="59">
        <v>0</v>
      </c>
    </row>
    <row r="395" spans="1:12" x14ac:dyDescent="0.2">
      <c r="A395" s="52">
        <f t="shared" si="6"/>
        <v>389</v>
      </c>
      <c r="B395" s="56">
        <v>2024</v>
      </c>
      <c r="C395" s="56" t="s">
        <v>258</v>
      </c>
      <c r="D395" s="56" t="s">
        <v>3406</v>
      </c>
      <c r="E395" s="35">
        <v>570</v>
      </c>
      <c r="G395" s="56" t="s">
        <v>151</v>
      </c>
      <c r="H395" s="56" t="s">
        <v>224</v>
      </c>
      <c r="I395" s="56" t="s">
        <v>20</v>
      </c>
      <c r="J395" s="56" t="s">
        <v>195</v>
      </c>
      <c r="L395" s="59">
        <v>0</v>
      </c>
    </row>
    <row r="396" spans="1:12" x14ac:dyDescent="0.2">
      <c r="A396" s="52">
        <f t="shared" si="6"/>
        <v>390</v>
      </c>
      <c r="B396" s="56">
        <v>2024</v>
      </c>
      <c r="C396" s="56" t="s">
        <v>179</v>
      </c>
      <c r="D396" s="56" t="s">
        <v>1061</v>
      </c>
      <c r="E396" s="35">
        <v>240</v>
      </c>
      <c r="G396" s="56" t="s">
        <v>154</v>
      </c>
      <c r="H396" s="56" t="s">
        <v>194</v>
      </c>
      <c r="I396" s="56" t="s">
        <v>136</v>
      </c>
      <c r="J396" s="56" t="s">
        <v>183</v>
      </c>
      <c r="K396" s="58" t="s">
        <v>178</v>
      </c>
      <c r="L396" s="59">
        <v>1</v>
      </c>
    </row>
    <row r="397" spans="1:12" x14ac:dyDescent="0.2">
      <c r="A397" s="52">
        <f t="shared" si="6"/>
        <v>391</v>
      </c>
      <c r="B397" s="56">
        <v>2024</v>
      </c>
      <c r="C397" s="56" t="s">
        <v>184</v>
      </c>
      <c r="D397" s="56" t="s">
        <v>3419</v>
      </c>
      <c r="E397" s="35">
        <v>510</v>
      </c>
      <c r="G397" s="56" t="s">
        <v>144</v>
      </c>
      <c r="H397" s="56" t="s">
        <v>273</v>
      </c>
      <c r="I397" s="56" t="s">
        <v>9</v>
      </c>
      <c r="J397" s="56" t="s">
        <v>9</v>
      </c>
      <c r="L397" s="59">
        <v>0</v>
      </c>
    </row>
    <row r="398" spans="1:12" x14ac:dyDescent="0.2">
      <c r="A398" s="52">
        <f t="shared" si="6"/>
        <v>392</v>
      </c>
      <c r="B398" s="56">
        <v>2024</v>
      </c>
      <c r="C398" s="56" t="s">
        <v>184</v>
      </c>
      <c r="D398" s="56" t="s">
        <v>1367</v>
      </c>
      <c r="E398" s="35">
        <v>260</v>
      </c>
      <c r="G398" s="56" t="s">
        <v>149</v>
      </c>
      <c r="I398" s="56" t="s">
        <v>27</v>
      </c>
      <c r="J398" s="56" t="s">
        <v>205</v>
      </c>
    </row>
    <row r="399" spans="1:12" x14ac:dyDescent="0.2">
      <c r="A399" s="52">
        <f t="shared" si="6"/>
        <v>393</v>
      </c>
      <c r="B399" s="56">
        <v>2024</v>
      </c>
      <c r="C399" s="56" t="s">
        <v>225</v>
      </c>
      <c r="D399" s="56" t="s">
        <v>559</v>
      </c>
      <c r="E399" s="35">
        <v>100</v>
      </c>
      <c r="G399" s="56" t="s">
        <v>149</v>
      </c>
      <c r="I399" s="56" t="s">
        <v>25</v>
      </c>
      <c r="J399" s="56" t="s">
        <v>177</v>
      </c>
      <c r="L399" s="59">
        <v>0</v>
      </c>
    </row>
    <row r="400" spans="1:12" x14ac:dyDescent="0.2">
      <c r="A400" s="52">
        <f t="shared" si="6"/>
        <v>394</v>
      </c>
      <c r="B400" s="56">
        <v>2024</v>
      </c>
      <c r="C400" s="56" t="s">
        <v>225</v>
      </c>
      <c r="D400" s="56" t="s">
        <v>300</v>
      </c>
      <c r="E400" s="35">
        <v>410</v>
      </c>
      <c r="F400" s="56" t="s">
        <v>1070</v>
      </c>
      <c r="G400" s="56" t="s">
        <v>154</v>
      </c>
      <c r="H400" s="56" t="s">
        <v>194</v>
      </c>
      <c r="I400" s="56" t="s">
        <v>58</v>
      </c>
      <c r="J400" s="56" t="s">
        <v>195</v>
      </c>
    </row>
    <row r="401" spans="1:12" x14ac:dyDescent="0.2">
      <c r="A401" s="52">
        <f t="shared" si="6"/>
        <v>395</v>
      </c>
      <c r="B401" s="56">
        <v>2024</v>
      </c>
      <c r="C401" s="56" t="s">
        <v>225</v>
      </c>
      <c r="D401" s="56" t="s">
        <v>565</v>
      </c>
      <c r="E401" s="35">
        <v>310</v>
      </c>
      <c r="G401" s="56" t="s">
        <v>145</v>
      </c>
      <c r="I401" s="56" t="s">
        <v>58</v>
      </c>
      <c r="J401" s="56" t="s">
        <v>195</v>
      </c>
      <c r="L401" s="59">
        <v>0</v>
      </c>
    </row>
    <row r="402" spans="1:12" x14ac:dyDescent="0.2">
      <c r="A402" s="52">
        <f t="shared" si="6"/>
        <v>396</v>
      </c>
      <c r="B402" s="56">
        <v>2024</v>
      </c>
      <c r="C402" s="56" t="s">
        <v>188</v>
      </c>
      <c r="D402" s="56" t="s">
        <v>3420</v>
      </c>
      <c r="E402" s="35">
        <v>420</v>
      </c>
      <c r="G402" s="56" t="s">
        <v>149</v>
      </c>
      <c r="I402" s="56" t="s">
        <v>77</v>
      </c>
      <c r="J402" s="56" t="s">
        <v>177</v>
      </c>
      <c r="K402" s="58" t="s">
        <v>178</v>
      </c>
      <c r="L402" s="59">
        <v>0</v>
      </c>
    </row>
    <row r="403" spans="1:12" x14ac:dyDescent="0.2">
      <c r="A403" s="52">
        <f t="shared" si="6"/>
        <v>397</v>
      </c>
      <c r="B403" s="56">
        <v>2024</v>
      </c>
      <c r="C403" s="56" t="s">
        <v>188</v>
      </c>
      <c r="D403" s="56" t="s">
        <v>3421</v>
      </c>
      <c r="E403" s="35">
        <v>240</v>
      </c>
      <c r="G403" s="56" t="s">
        <v>147</v>
      </c>
      <c r="I403" s="56" t="s">
        <v>131</v>
      </c>
      <c r="J403" s="56" t="s">
        <v>131</v>
      </c>
      <c r="L403" s="59">
        <v>0</v>
      </c>
    </row>
    <row r="404" spans="1:12" x14ac:dyDescent="0.2">
      <c r="A404" s="52">
        <f t="shared" si="6"/>
        <v>398</v>
      </c>
      <c r="B404" s="56">
        <v>2024</v>
      </c>
      <c r="C404" s="56" t="s">
        <v>191</v>
      </c>
      <c r="D404" s="56" t="s">
        <v>3422</v>
      </c>
      <c r="E404" s="35">
        <v>170</v>
      </c>
      <c r="G404" s="56" t="s">
        <v>154</v>
      </c>
      <c r="H404" s="56" t="s">
        <v>271</v>
      </c>
      <c r="I404" s="56" t="s">
        <v>32</v>
      </c>
      <c r="J404" s="56" t="s">
        <v>195</v>
      </c>
      <c r="L404" s="59">
        <v>1</v>
      </c>
    </row>
    <row r="405" spans="1:12" x14ac:dyDescent="0.2">
      <c r="A405" s="52">
        <f t="shared" si="6"/>
        <v>399</v>
      </c>
      <c r="B405" s="56">
        <v>2024</v>
      </c>
      <c r="C405" s="56" t="s">
        <v>202</v>
      </c>
      <c r="D405" s="56" t="s">
        <v>554</v>
      </c>
      <c r="E405" s="35">
        <v>100</v>
      </c>
      <c r="G405" s="56" t="s">
        <v>153</v>
      </c>
      <c r="I405" s="56" t="s">
        <v>20</v>
      </c>
      <c r="J405" s="56" t="s">
        <v>195</v>
      </c>
      <c r="L405" s="59">
        <v>0</v>
      </c>
    </row>
    <row r="406" spans="1:12" x14ac:dyDescent="0.2">
      <c r="A406" s="52">
        <f t="shared" si="6"/>
        <v>400</v>
      </c>
      <c r="B406" s="56">
        <v>2024</v>
      </c>
      <c r="C406" s="56" t="s">
        <v>207</v>
      </c>
      <c r="D406" s="56" t="s">
        <v>1545</v>
      </c>
      <c r="E406" s="35">
        <v>130</v>
      </c>
      <c r="G406" s="56" t="s">
        <v>150</v>
      </c>
      <c r="H406" s="56" t="s">
        <v>226</v>
      </c>
      <c r="I406" s="56" t="s">
        <v>118</v>
      </c>
      <c r="J406" s="56" t="s">
        <v>195</v>
      </c>
      <c r="L406" s="59">
        <v>0</v>
      </c>
    </row>
    <row r="407" spans="1:12" x14ac:dyDescent="0.2">
      <c r="A407" s="52">
        <f t="shared" si="6"/>
        <v>401</v>
      </c>
      <c r="B407" s="56">
        <v>2024</v>
      </c>
      <c r="C407" s="56" t="s">
        <v>240</v>
      </c>
      <c r="D407" s="56" t="s">
        <v>479</v>
      </c>
      <c r="E407" s="35">
        <v>220</v>
      </c>
      <c r="G407" s="56" t="s">
        <v>154</v>
      </c>
      <c r="H407" s="56" t="s">
        <v>194</v>
      </c>
      <c r="I407" s="56" t="s">
        <v>9</v>
      </c>
      <c r="J407" s="56" t="s">
        <v>9</v>
      </c>
      <c r="L407" s="59">
        <v>0</v>
      </c>
    </row>
    <row r="408" spans="1:12" x14ac:dyDescent="0.2">
      <c r="A408" s="52">
        <f t="shared" si="6"/>
        <v>402</v>
      </c>
      <c r="B408" s="56">
        <v>2024</v>
      </c>
      <c r="C408" s="56" t="s">
        <v>240</v>
      </c>
      <c r="D408" s="56" t="s">
        <v>559</v>
      </c>
      <c r="E408" s="35">
        <v>200</v>
      </c>
      <c r="G408" s="56" t="s">
        <v>149</v>
      </c>
      <c r="I408" s="56" t="s">
        <v>28</v>
      </c>
      <c r="J408" s="56" t="s">
        <v>205</v>
      </c>
      <c r="L408" s="59">
        <v>1</v>
      </c>
    </row>
    <row r="409" spans="1:12" x14ac:dyDescent="0.2">
      <c r="A409" s="52">
        <f t="shared" si="6"/>
        <v>403</v>
      </c>
      <c r="B409" s="56">
        <v>2024</v>
      </c>
      <c r="C409" s="56" t="s">
        <v>212</v>
      </c>
      <c r="D409" s="56" t="s">
        <v>3423</v>
      </c>
      <c r="E409" s="35">
        <v>1280</v>
      </c>
      <c r="G409" s="56" t="s">
        <v>144</v>
      </c>
      <c r="H409" s="56" t="s">
        <v>232</v>
      </c>
      <c r="I409" s="56" t="s">
        <v>118</v>
      </c>
      <c r="J409" s="56" t="s">
        <v>195</v>
      </c>
      <c r="K409" s="58" t="s">
        <v>178</v>
      </c>
      <c r="L409" s="59">
        <v>0</v>
      </c>
    </row>
    <row r="410" spans="1:12" x14ac:dyDescent="0.2">
      <c r="A410" s="52">
        <f t="shared" si="6"/>
        <v>404</v>
      </c>
      <c r="B410" s="56">
        <v>2024</v>
      </c>
      <c r="C410" s="56" t="s">
        <v>212</v>
      </c>
      <c r="D410" s="56" t="s">
        <v>927</v>
      </c>
      <c r="E410" s="35">
        <v>1980</v>
      </c>
      <c r="G410" s="56" t="s">
        <v>152</v>
      </c>
      <c r="I410" s="56" t="s">
        <v>131</v>
      </c>
      <c r="J410" s="56" t="s">
        <v>177</v>
      </c>
      <c r="L410" s="59">
        <v>0</v>
      </c>
    </row>
    <row r="411" spans="1:12" x14ac:dyDescent="0.2">
      <c r="A411" s="52">
        <f t="shared" si="6"/>
        <v>405</v>
      </c>
      <c r="B411" s="56">
        <v>2024</v>
      </c>
      <c r="C411" s="56" t="s">
        <v>212</v>
      </c>
      <c r="D411" s="56" t="s">
        <v>3421</v>
      </c>
      <c r="E411" s="35">
        <v>160</v>
      </c>
      <c r="G411" s="56" t="s">
        <v>147</v>
      </c>
      <c r="I411" s="56" t="s">
        <v>131</v>
      </c>
      <c r="J411" s="56" t="s">
        <v>177</v>
      </c>
      <c r="K411" s="58" t="s">
        <v>178</v>
      </c>
      <c r="L411" s="59">
        <v>0</v>
      </c>
    </row>
    <row r="412" spans="1:12" x14ac:dyDescent="0.2">
      <c r="A412" s="52">
        <f t="shared" si="6"/>
        <v>406</v>
      </c>
      <c r="B412" s="56">
        <v>2024</v>
      </c>
      <c r="C412" s="56" t="s">
        <v>212</v>
      </c>
      <c r="D412" s="56" t="s">
        <v>313</v>
      </c>
      <c r="E412" s="35">
        <v>1150</v>
      </c>
      <c r="F412" s="56" t="s">
        <v>3424</v>
      </c>
      <c r="G412" s="56" t="s">
        <v>144</v>
      </c>
      <c r="H412" s="56" t="s">
        <v>187</v>
      </c>
      <c r="I412" s="56" t="s">
        <v>19</v>
      </c>
      <c r="J412" s="56" t="s">
        <v>205</v>
      </c>
      <c r="L412" s="59">
        <v>0</v>
      </c>
    </row>
    <row r="413" spans="1:12" x14ac:dyDescent="0.2">
      <c r="A413" s="52">
        <f t="shared" si="6"/>
        <v>407</v>
      </c>
      <c r="B413" s="56">
        <v>2024</v>
      </c>
      <c r="C413" s="56" t="s">
        <v>212</v>
      </c>
      <c r="D413" s="56" t="s">
        <v>3425</v>
      </c>
      <c r="E413" s="35">
        <v>410</v>
      </c>
      <c r="F413" s="56" t="s">
        <v>2049</v>
      </c>
      <c r="G413" s="56" t="s">
        <v>152</v>
      </c>
      <c r="I413" s="56" t="s">
        <v>20</v>
      </c>
      <c r="J413" s="56" t="s">
        <v>195</v>
      </c>
    </row>
    <row r="414" spans="1:12" x14ac:dyDescent="0.2">
      <c r="A414" s="52">
        <f t="shared" si="6"/>
        <v>408</v>
      </c>
      <c r="B414" s="56">
        <v>2025</v>
      </c>
      <c r="C414" s="56" t="s">
        <v>172</v>
      </c>
      <c r="D414" s="56" t="s">
        <v>1367</v>
      </c>
      <c r="E414" s="35">
        <v>310</v>
      </c>
      <c r="G414" s="56" t="s">
        <v>149</v>
      </c>
      <c r="I414" s="56" t="s">
        <v>9</v>
      </c>
      <c r="J414" s="56" t="s">
        <v>9</v>
      </c>
      <c r="K414" s="58" t="s">
        <v>178</v>
      </c>
      <c r="L414" s="59">
        <v>0</v>
      </c>
    </row>
    <row r="415" spans="1:12" x14ac:dyDescent="0.2">
      <c r="A415" s="52">
        <f t="shared" si="6"/>
        <v>409</v>
      </c>
      <c r="B415" s="56">
        <v>2025</v>
      </c>
      <c r="C415" s="56" t="s">
        <v>172</v>
      </c>
      <c r="D415" s="56" t="s">
        <v>2096</v>
      </c>
      <c r="E415" s="35">
        <v>2360</v>
      </c>
      <c r="G415" s="56" t="s">
        <v>154</v>
      </c>
      <c r="H415" s="56" t="s">
        <v>194</v>
      </c>
      <c r="I415" s="56" t="s">
        <v>131</v>
      </c>
      <c r="J415" s="56" t="s">
        <v>131</v>
      </c>
      <c r="K415" s="58" t="s">
        <v>178</v>
      </c>
      <c r="L415" s="59">
        <v>0</v>
      </c>
    </row>
    <row r="416" spans="1:12" x14ac:dyDescent="0.2">
      <c r="A416" s="52">
        <f t="shared" si="6"/>
        <v>410</v>
      </c>
      <c r="B416" s="56">
        <v>2025</v>
      </c>
      <c r="C416" s="56" t="s">
        <v>258</v>
      </c>
      <c r="D416" s="56" t="s">
        <v>2109</v>
      </c>
      <c r="E416" s="35">
        <v>540</v>
      </c>
      <c r="G416" s="56" t="s">
        <v>144</v>
      </c>
      <c r="H416" s="56" t="s">
        <v>232</v>
      </c>
      <c r="I416" s="56" t="s">
        <v>9</v>
      </c>
      <c r="J416" s="56" t="s">
        <v>9</v>
      </c>
      <c r="L416" s="59">
        <v>0</v>
      </c>
    </row>
    <row r="417" spans="1:12" x14ac:dyDescent="0.2">
      <c r="A417" s="52">
        <f t="shared" si="6"/>
        <v>411</v>
      </c>
      <c r="B417" s="56">
        <v>2025</v>
      </c>
      <c r="C417" s="56" t="s">
        <v>258</v>
      </c>
      <c r="D417" s="56" t="s">
        <v>3373</v>
      </c>
      <c r="E417" s="35">
        <v>1340</v>
      </c>
      <c r="G417" s="56" t="s">
        <v>154</v>
      </c>
      <c r="H417" s="56" t="s">
        <v>194</v>
      </c>
      <c r="I417" s="56" t="s">
        <v>118</v>
      </c>
      <c r="J417" s="56" t="s">
        <v>195</v>
      </c>
      <c r="L417" s="59">
        <v>0</v>
      </c>
    </row>
    <row r="418" spans="1:12" x14ac:dyDescent="0.2">
      <c r="A418" s="52">
        <f t="shared" si="6"/>
        <v>412</v>
      </c>
      <c r="B418" s="56">
        <v>2025</v>
      </c>
      <c r="C418" s="56" t="s">
        <v>179</v>
      </c>
      <c r="D418" s="56" t="s">
        <v>1035</v>
      </c>
      <c r="E418" s="35">
        <v>560</v>
      </c>
      <c r="F418" s="56" t="s">
        <v>247</v>
      </c>
      <c r="G418" s="56" t="s">
        <v>144</v>
      </c>
      <c r="H418" s="56" t="s">
        <v>197</v>
      </c>
      <c r="I418" s="56" t="s">
        <v>67</v>
      </c>
      <c r="J418" s="56" t="s">
        <v>183</v>
      </c>
      <c r="L418" s="59">
        <v>1</v>
      </c>
    </row>
    <row r="419" spans="1:12" x14ac:dyDescent="0.2">
      <c r="A419" s="52">
        <f t="shared" si="6"/>
        <v>413</v>
      </c>
      <c r="B419" s="56">
        <v>2025</v>
      </c>
      <c r="C419" s="56" t="s">
        <v>179</v>
      </c>
      <c r="D419" s="56" t="s">
        <v>2731</v>
      </c>
      <c r="E419" s="35">
        <v>1720</v>
      </c>
      <c r="G419" s="56" t="s">
        <v>154</v>
      </c>
      <c r="H419" s="56" t="s">
        <v>271</v>
      </c>
      <c r="I419" s="56" t="s">
        <v>5</v>
      </c>
      <c r="J419" s="56" t="s">
        <v>214</v>
      </c>
      <c r="L419" s="59">
        <v>1</v>
      </c>
    </row>
    <row r="420" spans="1:12" x14ac:dyDescent="0.2">
      <c r="A420" s="52">
        <f t="shared" si="6"/>
        <v>414</v>
      </c>
      <c r="B420" s="56">
        <v>2025</v>
      </c>
      <c r="C420" s="56" t="s">
        <v>179</v>
      </c>
      <c r="D420" s="52" t="s">
        <v>483</v>
      </c>
      <c r="E420" s="35">
        <v>1400</v>
      </c>
      <c r="F420" s="56" t="s">
        <v>3426</v>
      </c>
      <c r="G420" s="56" t="s">
        <v>149</v>
      </c>
      <c r="I420" s="56" t="s">
        <v>34</v>
      </c>
      <c r="J420" s="17" t="s">
        <v>219</v>
      </c>
      <c r="L420" s="59">
        <v>1</v>
      </c>
    </row>
    <row r="421" spans="1:12" x14ac:dyDescent="0.2">
      <c r="A421" s="52">
        <f t="shared" si="6"/>
        <v>415</v>
      </c>
      <c r="B421" s="56">
        <v>2025</v>
      </c>
      <c r="C421" s="56" t="s">
        <v>184</v>
      </c>
      <c r="D421" s="56" t="s">
        <v>444</v>
      </c>
      <c r="E421" s="35">
        <v>220</v>
      </c>
      <c r="G421" s="56" t="s">
        <v>154</v>
      </c>
      <c r="H421" s="56" t="s">
        <v>250</v>
      </c>
      <c r="I421" s="56" t="s">
        <v>84</v>
      </c>
      <c r="J421" s="56" t="s">
        <v>201</v>
      </c>
      <c r="L421" s="59">
        <v>1</v>
      </c>
    </row>
    <row r="422" spans="1:12" x14ac:dyDescent="0.2">
      <c r="A422" s="52">
        <f t="shared" si="6"/>
        <v>416</v>
      </c>
      <c r="B422" s="56">
        <v>2025</v>
      </c>
      <c r="C422" s="56" t="s">
        <v>184</v>
      </c>
      <c r="D422" s="56" t="s">
        <v>564</v>
      </c>
      <c r="E422" s="35">
        <v>130</v>
      </c>
      <c r="G422" s="56" t="s">
        <v>154</v>
      </c>
      <c r="H422" s="56" t="s">
        <v>194</v>
      </c>
      <c r="I422" s="56" t="s">
        <v>131</v>
      </c>
      <c r="J422" s="56" t="s">
        <v>131</v>
      </c>
      <c r="L422" s="59">
        <v>1</v>
      </c>
    </row>
    <row r="423" spans="1:12" x14ac:dyDescent="0.2">
      <c r="A423" s="52">
        <f t="shared" si="6"/>
        <v>417</v>
      </c>
      <c r="B423" s="56">
        <v>2025</v>
      </c>
      <c r="C423" s="56" t="s">
        <v>188</v>
      </c>
      <c r="D423" s="56" t="s">
        <v>334</v>
      </c>
      <c r="E423" s="35">
        <v>610</v>
      </c>
      <c r="G423" s="56" t="s">
        <v>142</v>
      </c>
      <c r="I423" s="56" t="s">
        <v>9</v>
      </c>
      <c r="J423" s="56" t="s">
        <v>9</v>
      </c>
      <c r="L423" s="59">
        <v>0</v>
      </c>
    </row>
    <row r="424" spans="1:12" x14ac:dyDescent="0.2">
      <c r="A424" s="52">
        <f t="shared" si="6"/>
        <v>418</v>
      </c>
      <c r="B424" s="56">
        <v>2025</v>
      </c>
      <c r="C424" s="56" t="s">
        <v>191</v>
      </c>
      <c r="D424" s="56" t="s">
        <v>2286</v>
      </c>
      <c r="E424" s="35">
        <v>3500</v>
      </c>
      <c r="G424" s="56" t="s">
        <v>153</v>
      </c>
      <c r="I424" s="56" t="s">
        <v>131</v>
      </c>
      <c r="J424" s="56" t="s">
        <v>131</v>
      </c>
      <c r="L424" s="59">
        <v>0</v>
      </c>
    </row>
    <row r="425" spans="1:12" x14ac:dyDescent="0.2">
      <c r="A425" s="52">
        <f t="shared" si="6"/>
        <v>419</v>
      </c>
      <c r="B425" s="56">
        <v>2025</v>
      </c>
      <c r="C425" s="56" t="s">
        <v>191</v>
      </c>
      <c r="D425" s="56" t="s">
        <v>1035</v>
      </c>
      <c r="E425" s="35">
        <v>400</v>
      </c>
      <c r="G425" s="56" t="s">
        <v>144</v>
      </c>
      <c r="H425" s="56" t="s">
        <v>197</v>
      </c>
      <c r="I425" s="56" t="s">
        <v>37</v>
      </c>
      <c r="J425" s="56" t="s">
        <v>205</v>
      </c>
      <c r="L425" s="59">
        <v>1</v>
      </c>
    </row>
    <row r="426" spans="1:12" x14ac:dyDescent="0.2">
      <c r="A426" s="52">
        <f t="shared" si="6"/>
        <v>420</v>
      </c>
      <c r="B426" s="56">
        <v>2025</v>
      </c>
      <c r="C426" s="56" t="s">
        <v>207</v>
      </c>
      <c r="D426" s="56" t="s">
        <v>175</v>
      </c>
      <c r="E426" s="35">
        <v>940</v>
      </c>
      <c r="G426" s="56" t="s">
        <v>149</v>
      </c>
      <c r="H426" s="56" t="s">
        <v>236</v>
      </c>
      <c r="I426" s="56" t="s">
        <v>96</v>
      </c>
      <c r="J426" s="56" t="s">
        <v>205</v>
      </c>
      <c r="L426" s="59">
        <v>1</v>
      </c>
    </row>
    <row r="427" spans="1:12" x14ac:dyDescent="0.2">
      <c r="A427" s="52"/>
    </row>
    <row r="428" spans="1:12" x14ac:dyDescent="0.2">
      <c r="A428" s="52"/>
    </row>
    <row r="429" spans="1:12" x14ac:dyDescent="0.2">
      <c r="A429" s="52"/>
    </row>
    <row r="430" spans="1:12" x14ac:dyDescent="0.2">
      <c r="A430" s="52"/>
    </row>
    <row r="431" spans="1:12" x14ac:dyDescent="0.2">
      <c r="A431" s="52"/>
    </row>
    <row r="432" spans="1:12" x14ac:dyDescent="0.2">
      <c r="A432" s="52"/>
    </row>
    <row r="433" spans="1:1" x14ac:dyDescent="0.2">
      <c r="A433" s="52"/>
    </row>
    <row r="434" spans="1:1" x14ac:dyDescent="0.2">
      <c r="A434" s="52"/>
    </row>
    <row r="435" spans="1:1" x14ac:dyDescent="0.2">
      <c r="A435" s="52"/>
    </row>
    <row r="1048574" spans="5:5" x14ac:dyDescent="0.2">
      <c r="E1048574" s="35">
        <f>SUM(E1:E1048573)</f>
        <v>471810</v>
      </c>
    </row>
  </sheetData>
  <autoFilter ref="A6:L435" xr:uid="{00000000-0009-0000-0000-000002000000}">
    <sortState xmlns:xlrd2="http://schemas.microsoft.com/office/spreadsheetml/2017/richdata2" ref="A7:L367">
      <sortCondition ref="A6:A375"/>
    </sortState>
  </autoFilter>
  <pageMargins left="0.7" right="0.7" top="0.75" bottom="0.75" header="0.3" footer="0.3"/>
  <pageSetup orientation="portrait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55"/>
  <sheetViews>
    <sheetView zoomScaleNormal="100" workbookViewId="0">
      <pane ySplit="4" topLeftCell="A5" activePane="bottomLeft" state="frozen"/>
      <selection pane="bottomLeft"/>
    </sheetView>
  </sheetViews>
  <sheetFormatPr baseColWidth="10" defaultColWidth="9.1640625" defaultRowHeight="15" x14ac:dyDescent="0.2"/>
  <cols>
    <col min="1" max="1" width="10" customWidth="1"/>
    <col min="2" max="2" width="15.5" style="28" bestFit="1" customWidth="1"/>
    <col min="3" max="3" width="41.1640625" customWidth="1"/>
    <col min="4" max="4" width="17.5" customWidth="1"/>
    <col min="6" max="6" width="18" customWidth="1"/>
    <col min="8" max="8" width="14.5" customWidth="1"/>
    <col min="9" max="9" width="16.5" customWidth="1"/>
    <col min="10" max="10" width="30.1640625" customWidth="1"/>
    <col min="12" max="12" width="11.1640625" customWidth="1"/>
  </cols>
  <sheetData>
    <row r="1" spans="1:12" x14ac:dyDescent="0.2">
      <c r="A1" s="1" t="s">
        <v>157</v>
      </c>
      <c r="B1" s="5"/>
      <c r="C1" s="5"/>
      <c r="D1" s="45"/>
      <c r="E1" s="46"/>
      <c r="F1" s="5"/>
      <c r="G1" s="5"/>
      <c r="H1" s="5"/>
      <c r="I1" s="5"/>
      <c r="J1" s="5"/>
      <c r="K1" s="5"/>
    </row>
    <row r="2" spans="1:12" x14ac:dyDescent="0.2">
      <c r="A2" s="1" t="s">
        <v>158</v>
      </c>
      <c r="B2" s="5"/>
      <c r="C2" s="5"/>
      <c r="D2" s="45"/>
      <c r="E2" s="46"/>
      <c r="F2" s="5"/>
      <c r="G2" s="5"/>
      <c r="H2" s="5"/>
      <c r="I2" s="5"/>
      <c r="J2" s="5"/>
      <c r="K2" s="5"/>
    </row>
    <row r="3" spans="1:12" x14ac:dyDescent="0.2">
      <c r="A3" s="1"/>
      <c r="B3" s="5"/>
      <c r="C3" s="5"/>
      <c r="D3" s="45"/>
      <c r="E3" s="46"/>
      <c r="F3" s="5"/>
      <c r="G3" s="5"/>
      <c r="H3" s="5"/>
      <c r="I3" s="9"/>
      <c r="J3" s="5"/>
      <c r="K3" s="10"/>
    </row>
    <row r="4" spans="1:12" x14ac:dyDescent="0.2">
      <c r="A4" s="1" t="s">
        <v>3427</v>
      </c>
      <c r="B4" s="1"/>
      <c r="C4" s="1"/>
      <c r="D4" s="47"/>
      <c r="E4" s="13"/>
      <c r="F4" s="2"/>
      <c r="G4" s="2"/>
      <c r="H4" s="8"/>
      <c r="I4" s="2"/>
      <c r="J4" s="5"/>
      <c r="K4" s="10"/>
    </row>
    <row r="5" spans="1:12" ht="26.25" customHeight="1" x14ac:dyDescent="0.2">
      <c r="A5" s="11" t="s">
        <v>160</v>
      </c>
      <c r="B5" s="1" t="s">
        <v>161</v>
      </c>
      <c r="C5" s="1" t="s">
        <v>3428</v>
      </c>
      <c r="D5" s="38" t="s">
        <v>163</v>
      </c>
      <c r="E5" s="32" t="s">
        <v>164</v>
      </c>
      <c r="F5" s="3" t="s">
        <v>165</v>
      </c>
      <c r="G5" s="3" t="s">
        <v>166</v>
      </c>
      <c r="H5" s="3" t="s">
        <v>167</v>
      </c>
      <c r="I5" s="3" t="s">
        <v>168</v>
      </c>
      <c r="J5" s="3" t="s">
        <v>169</v>
      </c>
      <c r="K5" s="1" t="s">
        <v>170</v>
      </c>
      <c r="L5" s="12" t="s">
        <v>171</v>
      </c>
    </row>
    <row r="6" spans="1:12" x14ac:dyDescent="0.2">
      <c r="A6">
        <v>2005</v>
      </c>
      <c r="B6" t="s">
        <v>172</v>
      </c>
      <c r="C6" t="s">
        <v>173</v>
      </c>
      <c r="D6" s="65">
        <v>1740</v>
      </c>
      <c r="E6" s="33"/>
      <c r="F6" t="s">
        <v>174</v>
      </c>
      <c r="G6" t="s">
        <v>152</v>
      </c>
      <c r="I6" t="s">
        <v>131</v>
      </c>
      <c r="J6" t="s">
        <v>131</v>
      </c>
      <c r="K6" s="17"/>
      <c r="L6" s="28"/>
    </row>
    <row r="7" spans="1:12" x14ac:dyDescent="0.2">
      <c r="A7">
        <v>2005</v>
      </c>
      <c r="B7" t="s">
        <v>172</v>
      </c>
      <c r="C7" t="s">
        <v>175</v>
      </c>
      <c r="D7" s="65">
        <v>500</v>
      </c>
      <c r="E7" s="33"/>
      <c r="F7" t="s">
        <v>176</v>
      </c>
      <c r="G7" t="s">
        <v>149</v>
      </c>
      <c r="I7" t="s">
        <v>31</v>
      </c>
      <c r="J7" t="s">
        <v>177</v>
      </c>
      <c r="K7" s="17"/>
      <c r="L7" s="28" t="s">
        <v>178</v>
      </c>
    </row>
    <row r="8" spans="1:12" x14ac:dyDescent="0.2">
      <c r="A8">
        <v>2005</v>
      </c>
      <c r="B8" t="s">
        <v>172</v>
      </c>
      <c r="C8" t="s">
        <v>196</v>
      </c>
      <c r="D8" s="22">
        <v>100</v>
      </c>
      <c r="E8" s="16"/>
      <c r="G8" t="s">
        <v>154</v>
      </c>
      <c r="H8" t="s">
        <v>250</v>
      </c>
      <c r="I8" t="s">
        <v>100</v>
      </c>
      <c r="J8" t="s">
        <v>214</v>
      </c>
    </row>
    <row r="9" spans="1:12" x14ac:dyDescent="0.2">
      <c r="A9">
        <v>2005</v>
      </c>
      <c r="B9" t="s">
        <v>258</v>
      </c>
      <c r="C9" t="s">
        <v>196</v>
      </c>
      <c r="D9" s="22">
        <v>150</v>
      </c>
      <c r="E9" s="16"/>
      <c r="F9" t="s">
        <v>2370</v>
      </c>
      <c r="G9" t="s">
        <v>155</v>
      </c>
      <c r="I9" t="s">
        <v>92</v>
      </c>
      <c r="J9" t="s">
        <v>214</v>
      </c>
    </row>
    <row r="10" spans="1:12" x14ac:dyDescent="0.2">
      <c r="A10">
        <v>2005</v>
      </c>
      <c r="B10" t="s">
        <v>258</v>
      </c>
      <c r="C10" t="s">
        <v>196</v>
      </c>
      <c r="D10" s="22">
        <v>370</v>
      </c>
      <c r="E10" s="16"/>
      <c r="G10" t="s">
        <v>154</v>
      </c>
      <c r="H10" t="s">
        <v>194</v>
      </c>
      <c r="I10" t="s">
        <v>37</v>
      </c>
      <c r="J10" t="s">
        <v>205</v>
      </c>
    </row>
    <row r="11" spans="1:12" x14ac:dyDescent="0.2">
      <c r="A11">
        <v>2005</v>
      </c>
      <c r="B11" t="s">
        <v>179</v>
      </c>
      <c r="C11" t="s">
        <v>180</v>
      </c>
      <c r="D11" s="65">
        <v>670</v>
      </c>
      <c r="E11" s="33">
        <v>0.85</v>
      </c>
      <c r="F11" t="s">
        <v>181</v>
      </c>
      <c r="G11" t="s">
        <v>149</v>
      </c>
      <c r="H11" t="s">
        <v>182</v>
      </c>
      <c r="I11" t="s">
        <v>95</v>
      </c>
      <c r="J11" t="s">
        <v>183</v>
      </c>
      <c r="K11" s="17"/>
      <c r="L11" s="28" t="s">
        <v>178</v>
      </c>
    </row>
    <row r="12" spans="1:12" x14ac:dyDescent="0.2">
      <c r="A12">
        <v>2005</v>
      </c>
      <c r="B12" t="s">
        <v>179</v>
      </c>
      <c r="C12" t="s">
        <v>815</v>
      </c>
      <c r="D12" s="22">
        <v>170</v>
      </c>
      <c r="E12" s="16"/>
      <c r="F12" t="s">
        <v>2371</v>
      </c>
      <c r="G12" t="s">
        <v>151</v>
      </c>
      <c r="H12" t="s">
        <v>279</v>
      </c>
      <c r="I12" t="s">
        <v>105</v>
      </c>
      <c r="J12" t="s">
        <v>214</v>
      </c>
    </row>
    <row r="13" spans="1:12" x14ac:dyDescent="0.2">
      <c r="A13">
        <v>2005</v>
      </c>
      <c r="B13" t="s">
        <v>184</v>
      </c>
      <c r="C13" t="s">
        <v>185</v>
      </c>
      <c r="D13" s="65">
        <v>130</v>
      </c>
      <c r="E13" s="33">
        <v>0.17</v>
      </c>
      <c r="F13" t="s">
        <v>186</v>
      </c>
      <c r="G13" t="s">
        <v>144</v>
      </c>
      <c r="H13" t="s">
        <v>187</v>
      </c>
      <c r="I13" t="s">
        <v>25</v>
      </c>
      <c r="J13" t="s">
        <v>177</v>
      </c>
      <c r="K13" s="17"/>
      <c r="L13" s="28"/>
    </row>
    <row r="14" spans="1:12" x14ac:dyDescent="0.2">
      <c r="A14">
        <v>2005</v>
      </c>
      <c r="B14" t="s">
        <v>184</v>
      </c>
      <c r="C14" t="s">
        <v>444</v>
      </c>
      <c r="D14" s="22">
        <v>100</v>
      </c>
      <c r="E14" s="16"/>
      <c r="G14" t="s">
        <v>155</v>
      </c>
      <c r="I14" t="s">
        <v>116</v>
      </c>
      <c r="J14" t="s">
        <v>214</v>
      </c>
    </row>
    <row r="15" spans="1:12" x14ac:dyDescent="0.2">
      <c r="A15">
        <v>2005</v>
      </c>
      <c r="B15" t="s">
        <v>184</v>
      </c>
      <c r="C15" t="s">
        <v>2372</v>
      </c>
      <c r="D15" s="22">
        <v>240</v>
      </c>
      <c r="E15" s="16"/>
      <c r="G15" t="s">
        <v>149</v>
      </c>
      <c r="H15" t="s">
        <v>182</v>
      </c>
      <c r="I15" t="s">
        <v>19</v>
      </c>
      <c r="J15" t="s">
        <v>205</v>
      </c>
    </row>
    <row r="16" spans="1:12" x14ac:dyDescent="0.2">
      <c r="A16">
        <v>2005</v>
      </c>
      <c r="B16" t="s">
        <v>225</v>
      </c>
      <c r="C16" t="s">
        <v>199</v>
      </c>
      <c r="D16" s="22">
        <v>390</v>
      </c>
      <c r="E16" s="16"/>
      <c r="F16" t="s">
        <v>2070</v>
      </c>
      <c r="G16" t="s">
        <v>144</v>
      </c>
      <c r="I16" t="s">
        <v>5</v>
      </c>
      <c r="J16" t="s">
        <v>214</v>
      </c>
    </row>
    <row r="17" spans="1:12" x14ac:dyDescent="0.2">
      <c r="A17">
        <v>2005</v>
      </c>
      <c r="B17" t="s">
        <v>188</v>
      </c>
      <c r="C17" t="s">
        <v>189</v>
      </c>
      <c r="D17" s="65">
        <v>120</v>
      </c>
      <c r="E17" s="33">
        <v>0.4</v>
      </c>
      <c r="F17" t="s">
        <v>190</v>
      </c>
      <c r="G17" t="s">
        <v>144</v>
      </c>
      <c r="H17" t="s">
        <v>187</v>
      </c>
      <c r="I17" t="s">
        <v>25</v>
      </c>
      <c r="J17" t="s">
        <v>177</v>
      </c>
      <c r="K17" s="17"/>
      <c r="L17" s="28" t="s">
        <v>178</v>
      </c>
    </row>
    <row r="18" spans="1:12" x14ac:dyDescent="0.2">
      <c r="A18">
        <v>2005</v>
      </c>
      <c r="B18" t="s">
        <v>188</v>
      </c>
      <c r="C18" t="s">
        <v>2373</v>
      </c>
      <c r="D18" s="22">
        <v>1270</v>
      </c>
      <c r="E18" s="16"/>
      <c r="F18" t="s">
        <v>2374</v>
      </c>
      <c r="G18" t="s">
        <v>154</v>
      </c>
      <c r="H18" t="s">
        <v>529</v>
      </c>
      <c r="I18" t="s">
        <v>128</v>
      </c>
      <c r="J18" t="s">
        <v>201</v>
      </c>
    </row>
    <row r="19" spans="1:12" x14ac:dyDescent="0.2">
      <c r="A19">
        <v>2005</v>
      </c>
      <c r="B19" t="s">
        <v>188</v>
      </c>
      <c r="C19" t="s">
        <v>2375</v>
      </c>
      <c r="D19" s="22">
        <v>860</v>
      </c>
      <c r="E19" s="16"/>
      <c r="G19" t="s">
        <v>144</v>
      </c>
      <c r="H19" t="s">
        <v>273</v>
      </c>
      <c r="I19" t="s">
        <v>53</v>
      </c>
      <c r="J19" t="s">
        <v>183</v>
      </c>
    </row>
    <row r="20" spans="1:12" x14ac:dyDescent="0.2">
      <c r="A20">
        <v>2005</v>
      </c>
      <c r="B20" t="s">
        <v>188</v>
      </c>
      <c r="C20" t="s">
        <v>180</v>
      </c>
      <c r="D20" s="22">
        <v>170</v>
      </c>
      <c r="E20" s="16"/>
      <c r="G20" t="s">
        <v>154</v>
      </c>
      <c r="H20" t="s">
        <v>250</v>
      </c>
      <c r="I20" t="s">
        <v>2376</v>
      </c>
      <c r="J20" t="s">
        <v>214</v>
      </c>
    </row>
    <row r="21" spans="1:12" x14ac:dyDescent="0.2">
      <c r="A21">
        <v>2005</v>
      </c>
      <c r="B21" t="s">
        <v>191</v>
      </c>
      <c r="C21" t="s">
        <v>192</v>
      </c>
      <c r="D21" s="65">
        <v>100</v>
      </c>
      <c r="E21" s="33">
        <v>1</v>
      </c>
      <c r="F21" t="s">
        <v>193</v>
      </c>
      <c r="G21" t="s">
        <v>154</v>
      </c>
      <c r="H21" t="s">
        <v>194</v>
      </c>
      <c r="I21" t="s">
        <v>20</v>
      </c>
      <c r="J21" t="s">
        <v>195</v>
      </c>
      <c r="K21" s="17"/>
      <c r="L21" s="28"/>
    </row>
    <row r="22" spans="1:12" x14ac:dyDescent="0.2">
      <c r="A22">
        <v>2005</v>
      </c>
      <c r="B22" t="s">
        <v>191</v>
      </c>
      <c r="C22" t="s">
        <v>196</v>
      </c>
      <c r="D22" s="65">
        <v>280</v>
      </c>
      <c r="E22" s="33"/>
      <c r="G22" t="s">
        <v>144</v>
      </c>
      <c r="H22" t="s">
        <v>197</v>
      </c>
      <c r="I22" t="s">
        <v>23</v>
      </c>
      <c r="J22" t="s">
        <v>183</v>
      </c>
      <c r="K22" s="17"/>
      <c r="L22" s="28" t="s">
        <v>178</v>
      </c>
    </row>
    <row r="23" spans="1:12" x14ac:dyDescent="0.2">
      <c r="A23">
        <v>2005</v>
      </c>
      <c r="B23" t="s">
        <v>191</v>
      </c>
      <c r="C23" t="s">
        <v>2377</v>
      </c>
      <c r="D23" s="22">
        <v>130</v>
      </c>
      <c r="E23" s="16"/>
      <c r="G23" t="s">
        <v>144</v>
      </c>
      <c r="H23" t="s">
        <v>197</v>
      </c>
      <c r="I23" t="s">
        <v>82</v>
      </c>
      <c r="J23" t="s">
        <v>183</v>
      </c>
    </row>
    <row r="24" spans="1:12" x14ac:dyDescent="0.2">
      <c r="A24">
        <v>2005</v>
      </c>
      <c r="B24" t="s">
        <v>198</v>
      </c>
      <c r="C24" t="s">
        <v>199</v>
      </c>
      <c r="D24" s="65">
        <v>4200</v>
      </c>
      <c r="E24" s="33">
        <v>0.67</v>
      </c>
      <c r="F24" t="s">
        <v>200</v>
      </c>
      <c r="G24" t="s">
        <v>144</v>
      </c>
      <c r="H24" t="s">
        <v>187</v>
      </c>
      <c r="I24" t="s">
        <v>63</v>
      </c>
      <c r="J24" t="s">
        <v>201</v>
      </c>
      <c r="K24" s="17"/>
      <c r="L24" s="28"/>
    </row>
    <row r="25" spans="1:12" x14ac:dyDescent="0.2">
      <c r="A25">
        <v>2005</v>
      </c>
      <c r="B25" t="s">
        <v>202</v>
      </c>
      <c r="C25" t="s">
        <v>203</v>
      </c>
      <c r="D25" s="65">
        <v>1420</v>
      </c>
      <c r="E25" s="33"/>
      <c r="F25" t="s">
        <v>204</v>
      </c>
      <c r="G25" t="s">
        <v>144</v>
      </c>
      <c r="H25" t="s">
        <v>187</v>
      </c>
      <c r="I25" t="s">
        <v>37</v>
      </c>
      <c r="J25" t="s">
        <v>205</v>
      </c>
      <c r="K25" s="17"/>
      <c r="L25" s="28"/>
    </row>
    <row r="26" spans="1:12" x14ac:dyDescent="0.2">
      <c r="A26">
        <v>2005</v>
      </c>
      <c r="B26" t="s">
        <v>202</v>
      </c>
      <c r="C26" t="s">
        <v>206</v>
      </c>
      <c r="D26" s="65">
        <v>200</v>
      </c>
      <c r="E26" s="33"/>
      <c r="G26" t="s">
        <v>144</v>
      </c>
      <c r="H26" t="s">
        <v>187</v>
      </c>
      <c r="I26" t="s">
        <v>78</v>
      </c>
      <c r="J26" t="s">
        <v>183</v>
      </c>
      <c r="K26" s="17"/>
      <c r="L26" s="28" t="s">
        <v>178</v>
      </c>
    </row>
    <row r="27" spans="1:12" x14ac:dyDescent="0.2">
      <c r="A27">
        <v>2005</v>
      </c>
      <c r="B27" t="s">
        <v>202</v>
      </c>
      <c r="C27" t="s">
        <v>189</v>
      </c>
      <c r="D27" s="22">
        <v>350</v>
      </c>
      <c r="E27" s="16">
        <v>0.45</v>
      </c>
      <c r="F27" t="s">
        <v>2378</v>
      </c>
      <c r="G27" t="s">
        <v>143</v>
      </c>
      <c r="I27" t="s">
        <v>105</v>
      </c>
      <c r="J27" t="s">
        <v>214</v>
      </c>
    </row>
    <row r="28" spans="1:12" x14ac:dyDescent="0.2">
      <c r="A28">
        <v>2005</v>
      </c>
      <c r="B28" t="s">
        <v>207</v>
      </c>
      <c r="C28" t="s">
        <v>208</v>
      </c>
      <c r="D28" s="65">
        <v>140</v>
      </c>
      <c r="E28" s="33">
        <v>0.5</v>
      </c>
      <c r="F28" t="s">
        <v>209</v>
      </c>
      <c r="G28" t="s">
        <v>149</v>
      </c>
      <c r="H28" t="s">
        <v>182</v>
      </c>
      <c r="I28" t="s">
        <v>9</v>
      </c>
      <c r="J28" t="s">
        <v>9</v>
      </c>
      <c r="K28" s="17"/>
      <c r="L28" s="28" t="s">
        <v>178</v>
      </c>
    </row>
    <row r="29" spans="1:12" x14ac:dyDescent="0.2">
      <c r="A29">
        <v>2005</v>
      </c>
      <c r="B29" t="s">
        <v>207</v>
      </c>
      <c r="C29" t="s">
        <v>210</v>
      </c>
      <c r="D29" s="65">
        <v>180</v>
      </c>
      <c r="E29" s="33">
        <v>1</v>
      </c>
      <c r="F29" t="s">
        <v>211</v>
      </c>
      <c r="G29" t="s">
        <v>143</v>
      </c>
      <c r="I29" t="s">
        <v>9</v>
      </c>
      <c r="J29" t="s">
        <v>9</v>
      </c>
      <c r="K29" s="17"/>
      <c r="L29" s="28"/>
    </row>
    <row r="30" spans="1:12" x14ac:dyDescent="0.2">
      <c r="A30">
        <v>2005</v>
      </c>
      <c r="B30" t="s">
        <v>207</v>
      </c>
      <c r="C30" t="s">
        <v>244</v>
      </c>
      <c r="D30" s="22">
        <v>330</v>
      </c>
      <c r="E30" s="16"/>
      <c r="F30" t="s">
        <v>2379</v>
      </c>
      <c r="G30" t="s">
        <v>149</v>
      </c>
      <c r="H30" t="s">
        <v>238</v>
      </c>
      <c r="I30" t="s">
        <v>63</v>
      </c>
      <c r="J30" t="s">
        <v>201</v>
      </c>
    </row>
    <row r="31" spans="1:12" x14ac:dyDescent="0.2">
      <c r="A31">
        <v>2005</v>
      </c>
      <c r="B31" t="s">
        <v>207</v>
      </c>
      <c r="C31" t="s">
        <v>479</v>
      </c>
      <c r="D31" s="22">
        <v>200</v>
      </c>
      <c r="E31" s="16"/>
      <c r="G31" t="s">
        <v>154</v>
      </c>
      <c r="H31" t="s">
        <v>194</v>
      </c>
      <c r="I31" t="s">
        <v>53</v>
      </c>
      <c r="J31" t="s">
        <v>183</v>
      </c>
    </row>
    <row r="32" spans="1:12" x14ac:dyDescent="0.2">
      <c r="A32">
        <v>2005</v>
      </c>
      <c r="B32" t="s">
        <v>240</v>
      </c>
      <c r="C32" t="s">
        <v>483</v>
      </c>
      <c r="D32" s="22">
        <v>120</v>
      </c>
      <c r="E32" s="16"/>
      <c r="F32" t="s">
        <v>849</v>
      </c>
      <c r="G32" t="s">
        <v>144</v>
      </c>
      <c r="H32" t="s">
        <v>197</v>
      </c>
      <c r="I32" t="s">
        <v>67</v>
      </c>
      <c r="J32" t="s">
        <v>183</v>
      </c>
    </row>
    <row r="33" spans="1:12" x14ac:dyDescent="0.2">
      <c r="A33">
        <v>2005</v>
      </c>
      <c r="B33" t="s">
        <v>240</v>
      </c>
      <c r="C33" t="s">
        <v>221</v>
      </c>
      <c r="D33" s="22">
        <v>1190</v>
      </c>
      <c r="E33" s="16"/>
      <c r="G33" t="s">
        <v>151</v>
      </c>
      <c r="H33" t="s">
        <v>279</v>
      </c>
      <c r="I33" t="s">
        <v>135</v>
      </c>
      <c r="J33" t="s">
        <v>205</v>
      </c>
    </row>
    <row r="34" spans="1:12" x14ac:dyDescent="0.2">
      <c r="A34">
        <v>2005</v>
      </c>
      <c r="B34" t="s">
        <v>212</v>
      </c>
      <c r="C34" t="s">
        <v>199</v>
      </c>
      <c r="D34" s="65">
        <v>290</v>
      </c>
      <c r="E34" s="33">
        <v>0.16</v>
      </c>
      <c r="F34" t="s">
        <v>213</v>
      </c>
      <c r="G34" t="s">
        <v>144</v>
      </c>
      <c r="H34" t="s">
        <v>187</v>
      </c>
      <c r="I34" t="s">
        <v>120</v>
      </c>
      <c r="J34" t="s">
        <v>214</v>
      </c>
      <c r="K34" s="17"/>
      <c r="L34" s="28"/>
    </row>
    <row r="35" spans="1:12" x14ac:dyDescent="0.2">
      <c r="A35">
        <v>2005</v>
      </c>
      <c r="B35" t="s">
        <v>212</v>
      </c>
      <c r="C35" t="s">
        <v>215</v>
      </c>
      <c r="D35" s="65">
        <v>150</v>
      </c>
      <c r="E35" s="33">
        <v>0.75</v>
      </c>
      <c r="F35" t="s">
        <v>216</v>
      </c>
      <c r="G35" t="s">
        <v>150</v>
      </c>
      <c r="H35" t="s">
        <v>217</v>
      </c>
      <c r="I35" t="s">
        <v>124</v>
      </c>
      <c r="J35" t="s">
        <v>183</v>
      </c>
      <c r="K35" s="17"/>
      <c r="L35" s="28" t="s">
        <v>178</v>
      </c>
    </row>
    <row r="36" spans="1:12" x14ac:dyDescent="0.2">
      <c r="A36">
        <v>2005</v>
      </c>
      <c r="B36" t="s">
        <v>212</v>
      </c>
      <c r="C36" t="s">
        <v>237</v>
      </c>
      <c r="D36" s="22">
        <v>900</v>
      </c>
      <c r="E36" s="16"/>
      <c r="F36" t="s">
        <v>2380</v>
      </c>
      <c r="G36" t="s">
        <v>149</v>
      </c>
      <c r="H36" t="s">
        <v>238</v>
      </c>
      <c r="I36" t="s">
        <v>54</v>
      </c>
      <c r="J36" t="s">
        <v>201</v>
      </c>
    </row>
    <row r="37" spans="1:12" x14ac:dyDescent="0.2">
      <c r="A37">
        <v>2005</v>
      </c>
      <c r="B37" t="s">
        <v>212</v>
      </c>
      <c r="C37" t="s">
        <v>815</v>
      </c>
      <c r="D37" s="22">
        <v>580</v>
      </c>
      <c r="E37" s="16"/>
      <c r="F37" t="s">
        <v>2381</v>
      </c>
      <c r="G37" t="s">
        <v>151</v>
      </c>
      <c r="H37" t="s">
        <v>279</v>
      </c>
      <c r="I37" t="s">
        <v>105</v>
      </c>
      <c r="J37" t="s">
        <v>214</v>
      </c>
    </row>
    <row r="38" spans="1:12" x14ac:dyDescent="0.2">
      <c r="A38">
        <v>2005</v>
      </c>
      <c r="B38" t="s">
        <v>212</v>
      </c>
      <c r="C38" t="s">
        <v>221</v>
      </c>
      <c r="D38" s="22">
        <v>430</v>
      </c>
      <c r="E38" s="16"/>
      <c r="F38" t="s">
        <v>2382</v>
      </c>
      <c r="G38" t="s">
        <v>144</v>
      </c>
      <c r="H38" t="s">
        <v>273</v>
      </c>
      <c r="I38" t="s">
        <v>19</v>
      </c>
      <c r="J38" t="s">
        <v>205</v>
      </c>
    </row>
    <row r="39" spans="1:12" x14ac:dyDescent="0.2">
      <c r="A39">
        <v>2005</v>
      </c>
      <c r="B39" t="s">
        <v>212</v>
      </c>
      <c r="C39" t="s">
        <v>196</v>
      </c>
      <c r="D39" s="22">
        <v>210</v>
      </c>
      <c r="E39" s="16"/>
      <c r="G39" t="s">
        <v>142</v>
      </c>
      <c r="I39" t="s">
        <v>5</v>
      </c>
      <c r="J39" t="s">
        <v>214</v>
      </c>
    </row>
    <row r="40" spans="1:12" x14ac:dyDescent="0.2">
      <c r="A40">
        <v>2005</v>
      </c>
      <c r="B40" t="s">
        <v>212</v>
      </c>
      <c r="C40" t="s">
        <v>479</v>
      </c>
      <c r="D40" s="22">
        <v>210</v>
      </c>
      <c r="E40" s="16"/>
      <c r="G40" t="s">
        <v>154</v>
      </c>
      <c r="H40" t="s">
        <v>194</v>
      </c>
      <c r="I40" t="s">
        <v>6</v>
      </c>
      <c r="J40" t="s">
        <v>219</v>
      </c>
    </row>
    <row r="41" spans="1:12" x14ac:dyDescent="0.2">
      <c r="A41">
        <v>2005</v>
      </c>
      <c r="B41" t="s">
        <v>212</v>
      </c>
      <c r="C41" t="s">
        <v>336</v>
      </c>
      <c r="D41" s="22">
        <v>860</v>
      </c>
      <c r="E41" s="16"/>
      <c r="G41" t="s">
        <v>144</v>
      </c>
      <c r="I41" t="s">
        <v>93</v>
      </c>
      <c r="J41" t="s">
        <v>201</v>
      </c>
    </row>
    <row r="42" spans="1:12" x14ac:dyDescent="0.2">
      <c r="A42">
        <v>2006</v>
      </c>
      <c r="B42" t="s">
        <v>172</v>
      </c>
      <c r="C42" t="s">
        <v>185</v>
      </c>
      <c r="D42" s="65">
        <v>2270</v>
      </c>
      <c r="E42" s="33">
        <v>0.45</v>
      </c>
      <c r="F42" t="s">
        <v>218</v>
      </c>
      <c r="G42" t="s">
        <v>144</v>
      </c>
      <c r="I42" t="s">
        <v>89</v>
      </c>
      <c r="J42" t="s">
        <v>219</v>
      </c>
      <c r="K42" s="17"/>
      <c r="L42" s="28"/>
    </row>
    <row r="43" spans="1:12" x14ac:dyDescent="0.2">
      <c r="A43">
        <v>2006</v>
      </c>
      <c r="B43" t="s">
        <v>172</v>
      </c>
      <c r="C43" t="s">
        <v>210</v>
      </c>
      <c r="D43" s="65">
        <v>480</v>
      </c>
      <c r="E43" s="33">
        <v>1</v>
      </c>
      <c r="F43" t="s">
        <v>220</v>
      </c>
      <c r="G43" t="s">
        <v>142</v>
      </c>
      <c r="I43" t="s">
        <v>42</v>
      </c>
      <c r="J43" t="s">
        <v>195</v>
      </c>
      <c r="K43" s="17"/>
      <c r="L43" s="28"/>
    </row>
    <row r="44" spans="1:12" x14ac:dyDescent="0.2">
      <c r="A44">
        <v>2006</v>
      </c>
      <c r="B44" t="s">
        <v>172</v>
      </c>
      <c r="C44" t="s">
        <v>199</v>
      </c>
      <c r="D44" s="65">
        <v>480</v>
      </c>
      <c r="E44" s="33">
        <v>1</v>
      </c>
      <c r="G44" t="s">
        <v>144</v>
      </c>
      <c r="H44" t="s">
        <v>187</v>
      </c>
      <c r="I44" t="s">
        <v>26</v>
      </c>
      <c r="J44" t="s">
        <v>219</v>
      </c>
      <c r="K44" s="17"/>
      <c r="L44" s="28"/>
    </row>
    <row r="45" spans="1:12" x14ac:dyDescent="0.2">
      <c r="A45">
        <v>2006</v>
      </c>
      <c r="B45" t="s">
        <v>179</v>
      </c>
      <c r="C45" t="s">
        <v>221</v>
      </c>
      <c r="D45" s="65">
        <v>2920</v>
      </c>
      <c r="E45" s="33"/>
      <c r="F45" t="s">
        <v>222</v>
      </c>
      <c r="G45" t="s">
        <v>149</v>
      </c>
      <c r="H45" t="s">
        <v>182</v>
      </c>
      <c r="I45" t="s">
        <v>9</v>
      </c>
      <c r="J45" t="s">
        <v>9</v>
      </c>
      <c r="K45" s="17"/>
      <c r="L45" s="28" t="s">
        <v>178</v>
      </c>
    </row>
    <row r="46" spans="1:12" x14ac:dyDescent="0.2">
      <c r="A46">
        <v>2006</v>
      </c>
      <c r="B46" t="s">
        <v>184</v>
      </c>
      <c r="C46" t="s">
        <v>223</v>
      </c>
      <c r="D46" s="65">
        <v>1300</v>
      </c>
      <c r="E46" s="33">
        <v>1</v>
      </c>
      <c r="G46" t="s">
        <v>151</v>
      </c>
      <c r="H46" t="s">
        <v>224</v>
      </c>
      <c r="I46" t="s">
        <v>101</v>
      </c>
      <c r="J46" t="s">
        <v>201</v>
      </c>
      <c r="K46" s="17"/>
      <c r="L46" s="28" t="s">
        <v>178</v>
      </c>
    </row>
    <row r="47" spans="1:12" x14ac:dyDescent="0.2">
      <c r="A47">
        <v>2006</v>
      </c>
      <c r="B47" t="s">
        <v>225</v>
      </c>
      <c r="C47" t="s">
        <v>180</v>
      </c>
      <c r="D47" s="65">
        <v>120</v>
      </c>
      <c r="E47" s="33">
        <v>1</v>
      </c>
      <c r="G47" t="s">
        <v>150</v>
      </c>
      <c r="H47" t="s">
        <v>226</v>
      </c>
      <c r="I47" t="s">
        <v>101</v>
      </c>
      <c r="J47" t="s">
        <v>201</v>
      </c>
      <c r="K47" s="17"/>
      <c r="L47" s="28" t="s">
        <v>178</v>
      </c>
    </row>
    <row r="48" spans="1:12" x14ac:dyDescent="0.2">
      <c r="A48">
        <v>2006</v>
      </c>
      <c r="B48" t="s">
        <v>225</v>
      </c>
      <c r="C48" t="s">
        <v>189</v>
      </c>
      <c r="D48" s="65">
        <v>740</v>
      </c>
      <c r="E48" s="33">
        <v>0.75</v>
      </c>
      <c r="F48" t="s">
        <v>227</v>
      </c>
      <c r="G48" t="s">
        <v>144</v>
      </c>
      <c r="H48" t="s">
        <v>187</v>
      </c>
      <c r="I48" t="s">
        <v>6</v>
      </c>
      <c r="J48" t="s">
        <v>219</v>
      </c>
      <c r="K48" s="17"/>
      <c r="L48" s="28" t="s">
        <v>178</v>
      </c>
    </row>
    <row r="49" spans="1:12" x14ac:dyDescent="0.2">
      <c r="A49">
        <v>2006</v>
      </c>
      <c r="B49" t="s">
        <v>188</v>
      </c>
      <c r="C49" t="s">
        <v>189</v>
      </c>
      <c r="D49" s="65">
        <v>3490</v>
      </c>
      <c r="E49" s="33">
        <v>0.49</v>
      </c>
      <c r="F49" t="s">
        <v>228</v>
      </c>
      <c r="G49" t="s">
        <v>144</v>
      </c>
      <c r="I49" t="s">
        <v>101</v>
      </c>
      <c r="J49" t="s">
        <v>201</v>
      </c>
      <c r="K49" s="17"/>
      <c r="L49" s="28"/>
    </row>
    <row r="50" spans="1:12" x14ac:dyDescent="0.2">
      <c r="A50">
        <v>2006</v>
      </c>
      <c r="B50" t="s">
        <v>191</v>
      </c>
      <c r="C50" t="s">
        <v>221</v>
      </c>
      <c r="D50" s="65">
        <v>100</v>
      </c>
      <c r="E50" s="33">
        <v>0.51</v>
      </c>
      <c r="F50" t="s">
        <v>229</v>
      </c>
      <c r="G50" t="s">
        <v>144</v>
      </c>
      <c r="H50" t="s">
        <v>187</v>
      </c>
      <c r="I50" t="s">
        <v>53</v>
      </c>
      <c r="J50" t="s">
        <v>183</v>
      </c>
      <c r="K50" s="17"/>
      <c r="L50" s="28"/>
    </row>
    <row r="51" spans="1:12" x14ac:dyDescent="0.2">
      <c r="A51">
        <v>2006</v>
      </c>
      <c r="B51" t="s">
        <v>191</v>
      </c>
      <c r="C51" t="s">
        <v>199</v>
      </c>
      <c r="D51" s="65">
        <v>500</v>
      </c>
      <c r="E51" s="33"/>
      <c r="F51" t="s">
        <v>228</v>
      </c>
      <c r="G51" t="s">
        <v>144</v>
      </c>
      <c r="I51" t="s">
        <v>101</v>
      </c>
      <c r="J51" t="s">
        <v>201</v>
      </c>
      <c r="K51" s="17"/>
      <c r="L51" s="28"/>
    </row>
    <row r="52" spans="1:12" x14ac:dyDescent="0.2">
      <c r="A52">
        <v>2006</v>
      </c>
      <c r="B52" t="s">
        <v>198</v>
      </c>
      <c r="C52" t="s">
        <v>230</v>
      </c>
      <c r="D52" s="65">
        <v>110</v>
      </c>
      <c r="E52" s="33">
        <v>0.67</v>
      </c>
      <c r="F52" t="s">
        <v>231</v>
      </c>
      <c r="G52" t="s">
        <v>144</v>
      </c>
      <c r="H52" t="s">
        <v>232</v>
      </c>
      <c r="I52" t="s">
        <v>61</v>
      </c>
      <c r="J52" t="s">
        <v>183</v>
      </c>
      <c r="K52" s="17"/>
      <c r="L52" s="28"/>
    </row>
    <row r="53" spans="1:12" x14ac:dyDescent="0.2">
      <c r="A53">
        <v>2006</v>
      </c>
      <c r="B53" t="s">
        <v>202</v>
      </c>
      <c r="C53" t="s">
        <v>189</v>
      </c>
      <c r="D53" s="65">
        <v>430</v>
      </c>
      <c r="E53" s="33">
        <v>0.5</v>
      </c>
      <c r="F53" t="s">
        <v>233</v>
      </c>
      <c r="G53" t="s">
        <v>144</v>
      </c>
      <c r="H53" t="s">
        <v>187</v>
      </c>
      <c r="I53" t="s">
        <v>28</v>
      </c>
      <c r="J53" t="s">
        <v>205</v>
      </c>
      <c r="K53" s="17"/>
      <c r="L53" s="28"/>
    </row>
    <row r="54" spans="1:12" x14ac:dyDescent="0.2">
      <c r="A54">
        <v>2006</v>
      </c>
      <c r="B54" t="s">
        <v>207</v>
      </c>
      <c r="C54" t="s">
        <v>234</v>
      </c>
      <c r="D54" s="65">
        <v>110</v>
      </c>
      <c r="E54" s="33">
        <v>0.75</v>
      </c>
      <c r="F54" t="s">
        <v>235</v>
      </c>
      <c r="G54" t="s">
        <v>149</v>
      </c>
      <c r="H54" t="s">
        <v>236</v>
      </c>
      <c r="I54" t="s">
        <v>25</v>
      </c>
      <c r="J54" t="s">
        <v>177</v>
      </c>
      <c r="K54" s="17"/>
      <c r="L54" s="28" t="s">
        <v>178</v>
      </c>
    </row>
    <row r="55" spans="1:12" x14ac:dyDescent="0.2">
      <c r="A55">
        <v>2006</v>
      </c>
      <c r="B55" t="s">
        <v>207</v>
      </c>
      <c r="C55" t="s">
        <v>237</v>
      </c>
      <c r="D55" s="65">
        <v>940</v>
      </c>
      <c r="E55" s="33"/>
      <c r="G55" t="s">
        <v>149</v>
      </c>
      <c r="H55" t="s">
        <v>238</v>
      </c>
      <c r="I55" t="s">
        <v>38</v>
      </c>
      <c r="J55" t="s">
        <v>214</v>
      </c>
      <c r="K55" s="17"/>
      <c r="L55" s="28" t="s">
        <v>178</v>
      </c>
    </row>
    <row r="56" spans="1:12" x14ac:dyDescent="0.2">
      <c r="A56">
        <v>2006</v>
      </c>
      <c r="B56" t="s">
        <v>207</v>
      </c>
      <c r="C56" t="s">
        <v>221</v>
      </c>
      <c r="D56" s="65">
        <v>1910</v>
      </c>
      <c r="E56" s="33"/>
      <c r="F56" t="s">
        <v>239</v>
      </c>
      <c r="G56" t="s">
        <v>144</v>
      </c>
      <c r="I56" t="s">
        <v>63</v>
      </c>
      <c r="J56" t="s">
        <v>201</v>
      </c>
      <c r="K56" s="17"/>
      <c r="L56" s="28"/>
    </row>
    <row r="57" spans="1:12" x14ac:dyDescent="0.2">
      <c r="A57">
        <v>2006</v>
      </c>
      <c r="B57" t="s">
        <v>240</v>
      </c>
      <c r="C57" t="s">
        <v>241</v>
      </c>
      <c r="D57" s="65">
        <v>800</v>
      </c>
      <c r="E57" s="33">
        <v>0.01</v>
      </c>
      <c r="F57" t="s">
        <v>242</v>
      </c>
      <c r="G57" t="s">
        <v>149</v>
      </c>
      <c r="I57" t="s">
        <v>20</v>
      </c>
      <c r="J57" t="s">
        <v>195</v>
      </c>
      <c r="K57" s="17"/>
      <c r="L57" s="28"/>
    </row>
    <row r="58" spans="1:12" x14ac:dyDescent="0.2">
      <c r="A58">
        <v>2006</v>
      </c>
      <c r="B58" t="s">
        <v>240</v>
      </c>
      <c r="C58" t="s">
        <v>208</v>
      </c>
      <c r="D58" s="65">
        <v>230</v>
      </c>
      <c r="E58" s="33">
        <v>0.5</v>
      </c>
      <c r="F58" t="s">
        <v>243</v>
      </c>
      <c r="G58" t="s">
        <v>149</v>
      </c>
      <c r="H58" t="s">
        <v>182</v>
      </c>
      <c r="I58" t="s">
        <v>112</v>
      </c>
      <c r="J58" t="s">
        <v>219</v>
      </c>
      <c r="K58" s="17"/>
      <c r="L58" s="28"/>
    </row>
    <row r="59" spans="1:12" x14ac:dyDescent="0.2">
      <c r="A59">
        <v>2006</v>
      </c>
      <c r="B59" t="s">
        <v>240</v>
      </c>
      <c r="C59" t="s">
        <v>244</v>
      </c>
      <c r="D59" s="65">
        <v>310</v>
      </c>
      <c r="E59" s="33">
        <v>1</v>
      </c>
      <c r="G59" t="s">
        <v>149</v>
      </c>
      <c r="H59" t="s">
        <v>236</v>
      </c>
      <c r="I59" t="s">
        <v>138</v>
      </c>
      <c r="J59" t="s">
        <v>219</v>
      </c>
      <c r="K59" s="17"/>
      <c r="L59" s="28" t="s">
        <v>178</v>
      </c>
    </row>
    <row r="60" spans="1:12" x14ac:dyDescent="0.2">
      <c r="A60">
        <v>2006</v>
      </c>
      <c r="B60" t="s">
        <v>240</v>
      </c>
      <c r="C60" t="s">
        <v>245</v>
      </c>
      <c r="D60" s="65">
        <v>1160</v>
      </c>
      <c r="E60" s="33"/>
      <c r="G60" t="s">
        <v>149</v>
      </c>
      <c r="I60" t="s">
        <v>34</v>
      </c>
      <c r="J60" t="s">
        <v>219</v>
      </c>
      <c r="K60" s="17"/>
      <c r="L60" s="28"/>
    </row>
    <row r="61" spans="1:12" x14ac:dyDescent="0.2">
      <c r="A61">
        <v>2006</v>
      </c>
      <c r="B61" t="s">
        <v>240</v>
      </c>
      <c r="C61" t="s">
        <v>246</v>
      </c>
      <c r="D61" s="65">
        <v>140</v>
      </c>
      <c r="E61" s="33">
        <v>0.9</v>
      </c>
      <c r="F61" t="s">
        <v>247</v>
      </c>
      <c r="G61" t="s">
        <v>144</v>
      </c>
      <c r="H61" t="s">
        <v>197</v>
      </c>
      <c r="I61" t="s">
        <v>67</v>
      </c>
      <c r="J61" t="s">
        <v>183</v>
      </c>
      <c r="K61" s="17"/>
      <c r="L61" s="28" t="s">
        <v>178</v>
      </c>
    </row>
    <row r="62" spans="1:12" x14ac:dyDescent="0.2">
      <c r="A62">
        <v>2006</v>
      </c>
      <c r="B62" t="s">
        <v>212</v>
      </c>
      <c r="C62" t="s">
        <v>248</v>
      </c>
      <c r="D62" s="65">
        <v>970</v>
      </c>
      <c r="E62" s="33">
        <v>1</v>
      </c>
      <c r="F62" t="s">
        <v>249</v>
      </c>
      <c r="G62" t="s">
        <v>154</v>
      </c>
      <c r="H62" t="s">
        <v>250</v>
      </c>
      <c r="I62" t="s">
        <v>108</v>
      </c>
      <c r="J62" t="s">
        <v>183</v>
      </c>
      <c r="K62" s="17"/>
      <c r="L62" s="28"/>
    </row>
    <row r="63" spans="1:12" x14ac:dyDescent="0.2">
      <c r="A63">
        <v>2006</v>
      </c>
      <c r="B63" t="s">
        <v>212</v>
      </c>
      <c r="C63" t="s">
        <v>251</v>
      </c>
      <c r="D63" s="65">
        <v>100</v>
      </c>
      <c r="E63" s="33">
        <v>0.75</v>
      </c>
      <c r="F63" t="s">
        <v>252</v>
      </c>
      <c r="G63" t="s">
        <v>146</v>
      </c>
      <c r="H63" t="s">
        <v>253</v>
      </c>
      <c r="I63" t="s">
        <v>85</v>
      </c>
      <c r="J63" t="s">
        <v>195</v>
      </c>
      <c r="K63" s="17"/>
      <c r="L63" s="28"/>
    </row>
    <row r="64" spans="1:12" x14ac:dyDescent="0.2">
      <c r="A64">
        <v>2006</v>
      </c>
      <c r="B64" t="s">
        <v>172</v>
      </c>
      <c r="C64" t="s">
        <v>397</v>
      </c>
      <c r="D64" s="22">
        <v>300</v>
      </c>
      <c r="E64" s="16"/>
      <c r="F64" t="s">
        <v>2383</v>
      </c>
      <c r="G64" t="s">
        <v>151</v>
      </c>
      <c r="H64" t="s">
        <v>279</v>
      </c>
      <c r="I64" t="s">
        <v>130</v>
      </c>
      <c r="J64" t="s">
        <v>214</v>
      </c>
    </row>
    <row r="65" spans="1:10" x14ac:dyDescent="0.2">
      <c r="A65">
        <v>2006</v>
      </c>
      <c r="B65" t="s">
        <v>172</v>
      </c>
      <c r="C65" t="s">
        <v>483</v>
      </c>
      <c r="D65" s="22">
        <v>310</v>
      </c>
      <c r="E65" s="16"/>
      <c r="F65" t="s">
        <v>2384</v>
      </c>
      <c r="G65" t="s">
        <v>154</v>
      </c>
      <c r="H65" t="s">
        <v>529</v>
      </c>
      <c r="I65" t="s">
        <v>54</v>
      </c>
      <c r="J65" t="s">
        <v>201</v>
      </c>
    </row>
    <row r="66" spans="1:10" x14ac:dyDescent="0.2">
      <c r="A66">
        <v>2006</v>
      </c>
      <c r="B66" t="s">
        <v>258</v>
      </c>
      <c r="C66" t="s">
        <v>196</v>
      </c>
      <c r="D66" s="22">
        <v>540</v>
      </c>
      <c r="E66" s="16"/>
      <c r="G66" t="s">
        <v>151</v>
      </c>
      <c r="H66" t="s">
        <v>279</v>
      </c>
      <c r="I66" t="s">
        <v>100</v>
      </c>
      <c r="J66" t="s">
        <v>214</v>
      </c>
    </row>
    <row r="67" spans="1:10" x14ac:dyDescent="0.2">
      <c r="A67">
        <v>2006</v>
      </c>
      <c r="B67" t="s">
        <v>179</v>
      </c>
      <c r="C67" t="s">
        <v>444</v>
      </c>
      <c r="D67" s="22">
        <v>460</v>
      </c>
      <c r="E67" s="16"/>
      <c r="G67" t="s">
        <v>144</v>
      </c>
      <c r="H67" t="s">
        <v>273</v>
      </c>
      <c r="I67" t="s">
        <v>115</v>
      </c>
      <c r="J67" t="s">
        <v>201</v>
      </c>
    </row>
    <row r="68" spans="1:10" x14ac:dyDescent="0.2">
      <c r="A68">
        <v>2006</v>
      </c>
      <c r="B68" t="s">
        <v>184</v>
      </c>
      <c r="C68" t="s">
        <v>189</v>
      </c>
      <c r="D68" s="22">
        <v>1290</v>
      </c>
      <c r="E68" s="16"/>
      <c r="F68" t="s">
        <v>830</v>
      </c>
      <c r="G68" t="s">
        <v>144</v>
      </c>
      <c r="H68" t="s">
        <v>299</v>
      </c>
      <c r="I68" t="s">
        <v>19</v>
      </c>
      <c r="J68" t="s">
        <v>205</v>
      </c>
    </row>
    <row r="69" spans="1:10" x14ac:dyDescent="0.2">
      <c r="A69">
        <v>2006</v>
      </c>
      <c r="B69" t="s">
        <v>225</v>
      </c>
      <c r="C69" t="s">
        <v>2385</v>
      </c>
      <c r="D69" s="22">
        <v>6250</v>
      </c>
      <c r="E69" s="16"/>
      <c r="G69" t="s">
        <v>154</v>
      </c>
      <c r="H69" t="s">
        <v>194</v>
      </c>
      <c r="I69" t="s">
        <v>5</v>
      </c>
      <c r="J69" t="s">
        <v>214</v>
      </c>
    </row>
    <row r="70" spans="1:10" x14ac:dyDescent="0.2">
      <c r="A70">
        <v>2006</v>
      </c>
      <c r="B70" t="s">
        <v>225</v>
      </c>
      <c r="C70" t="s">
        <v>2386</v>
      </c>
      <c r="D70" s="22">
        <v>1500</v>
      </c>
      <c r="E70" s="16"/>
      <c r="F70" t="s">
        <v>2387</v>
      </c>
      <c r="G70" t="s">
        <v>144</v>
      </c>
      <c r="H70" t="s">
        <v>273</v>
      </c>
      <c r="I70" t="s">
        <v>52</v>
      </c>
      <c r="J70" t="s">
        <v>201</v>
      </c>
    </row>
    <row r="71" spans="1:10" x14ac:dyDescent="0.2">
      <c r="A71">
        <v>2006</v>
      </c>
      <c r="B71" t="s">
        <v>225</v>
      </c>
      <c r="C71" t="s">
        <v>2388</v>
      </c>
      <c r="D71" s="22">
        <v>110</v>
      </c>
      <c r="E71" s="16"/>
      <c r="G71" t="s">
        <v>144</v>
      </c>
      <c r="I71" t="s">
        <v>89</v>
      </c>
      <c r="J71" t="s">
        <v>219</v>
      </c>
    </row>
    <row r="72" spans="1:10" x14ac:dyDescent="0.2">
      <c r="A72">
        <v>2006</v>
      </c>
      <c r="B72" t="s">
        <v>188</v>
      </c>
      <c r="C72" t="s">
        <v>668</v>
      </c>
      <c r="D72" s="22">
        <v>400</v>
      </c>
      <c r="E72" s="16"/>
      <c r="G72" t="s">
        <v>144</v>
      </c>
      <c r="I72" t="s">
        <v>122</v>
      </c>
      <c r="J72" t="s">
        <v>201</v>
      </c>
    </row>
    <row r="73" spans="1:10" x14ac:dyDescent="0.2">
      <c r="A73">
        <v>2006</v>
      </c>
      <c r="B73" t="s">
        <v>188</v>
      </c>
      <c r="C73" t="s">
        <v>2389</v>
      </c>
      <c r="D73" s="22">
        <v>160</v>
      </c>
      <c r="E73" s="16"/>
      <c r="G73" t="s">
        <v>154</v>
      </c>
      <c r="H73" t="s">
        <v>250</v>
      </c>
      <c r="I73" t="s">
        <v>29</v>
      </c>
      <c r="J73" t="s">
        <v>219</v>
      </c>
    </row>
    <row r="74" spans="1:10" x14ac:dyDescent="0.2">
      <c r="A74">
        <v>2006</v>
      </c>
      <c r="B74" t="s">
        <v>188</v>
      </c>
      <c r="C74" t="s">
        <v>815</v>
      </c>
      <c r="D74" s="22">
        <v>260</v>
      </c>
      <c r="E74" s="16"/>
      <c r="F74" t="s">
        <v>2390</v>
      </c>
      <c r="G74" t="s">
        <v>151</v>
      </c>
      <c r="H74" t="s">
        <v>279</v>
      </c>
      <c r="I74" t="s">
        <v>137</v>
      </c>
      <c r="J74" t="s">
        <v>214</v>
      </c>
    </row>
    <row r="75" spans="1:10" x14ac:dyDescent="0.2">
      <c r="A75">
        <v>2006</v>
      </c>
      <c r="B75" t="s">
        <v>188</v>
      </c>
      <c r="C75" t="s">
        <v>2391</v>
      </c>
      <c r="D75" s="22">
        <v>170</v>
      </c>
      <c r="E75" s="16"/>
      <c r="G75" t="s">
        <v>155</v>
      </c>
      <c r="I75" t="s">
        <v>18</v>
      </c>
      <c r="J75" t="s">
        <v>219</v>
      </c>
    </row>
    <row r="76" spans="1:10" x14ac:dyDescent="0.2">
      <c r="A76">
        <v>2006</v>
      </c>
      <c r="B76" t="s">
        <v>191</v>
      </c>
      <c r="C76" t="s">
        <v>479</v>
      </c>
      <c r="D76" s="22">
        <v>300</v>
      </c>
      <c r="E76" s="16"/>
      <c r="G76" t="s">
        <v>154</v>
      </c>
      <c r="H76" t="s">
        <v>194</v>
      </c>
      <c r="I76" t="s">
        <v>122</v>
      </c>
      <c r="J76" t="s">
        <v>201</v>
      </c>
    </row>
    <row r="77" spans="1:10" x14ac:dyDescent="0.2">
      <c r="A77">
        <v>2006</v>
      </c>
      <c r="B77" t="s">
        <v>191</v>
      </c>
      <c r="C77" t="s">
        <v>397</v>
      </c>
      <c r="D77" s="22">
        <v>260</v>
      </c>
      <c r="E77" s="16"/>
      <c r="G77" t="s">
        <v>154</v>
      </c>
      <c r="H77" t="s">
        <v>250</v>
      </c>
      <c r="I77" t="s">
        <v>5</v>
      </c>
      <c r="J77" t="s">
        <v>214</v>
      </c>
    </row>
    <row r="78" spans="1:10" x14ac:dyDescent="0.2">
      <c r="A78">
        <v>2006</v>
      </c>
      <c r="B78" t="s">
        <v>191</v>
      </c>
      <c r="C78" t="s">
        <v>189</v>
      </c>
      <c r="D78" s="22">
        <v>2840</v>
      </c>
      <c r="E78" s="16"/>
      <c r="G78" t="s">
        <v>144</v>
      </c>
      <c r="H78" t="s">
        <v>187</v>
      </c>
      <c r="I78" t="s">
        <v>54</v>
      </c>
      <c r="J78" t="s">
        <v>201</v>
      </c>
    </row>
    <row r="79" spans="1:10" x14ac:dyDescent="0.2">
      <c r="A79">
        <v>2006</v>
      </c>
      <c r="B79" t="s">
        <v>191</v>
      </c>
      <c r="C79" s="52" t="s">
        <v>2392</v>
      </c>
      <c r="D79" s="22">
        <v>330</v>
      </c>
      <c r="E79" s="16">
        <v>0.55000000000000004</v>
      </c>
      <c r="F79" t="s">
        <v>2393</v>
      </c>
      <c r="G79" t="s">
        <v>144</v>
      </c>
      <c r="H79" t="s">
        <v>273</v>
      </c>
      <c r="I79" t="s">
        <v>136</v>
      </c>
      <c r="J79" t="s">
        <v>183</v>
      </c>
    </row>
    <row r="80" spans="1:10" x14ac:dyDescent="0.2">
      <c r="A80">
        <v>2006</v>
      </c>
      <c r="B80" t="s">
        <v>202</v>
      </c>
      <c r="C80" t="s">
        <v>2394</v>
      </c>
      <c r="D80" s="22">
        <v>2400</v>
      </c>
      <c r="E80" s="16"/>
      <c r="F80" t="s">
        <v>2395</v>
      </c>
      <c r="G80" t="s">
        <v>152</v>
      </c>
      <c r="H80" t="s">
        <v>257</v>
      </c>
      <c r="I80" t="s">
        <v>40</v>
      </c>
      <c r="J80" t="s">
        <v>219</v>
      </c>
    </row>
    <row r="81" spans="1:12" x14ac:dyDescent="0.2">
      <c r="A81">
        <v>2006</v>
      </c>
      <c r="B81" t="s">
        <v>202</v>
      </c>
      <c r="C81" t="s">
        <v>530</v>
      </c>
      <c r="D81" s="22">
        <v>550</v>
      </c>
      <c r="E81" s="16"/>
      <c r="F81" t="s">
        <v>2396</v>
      </c>
      <c r="G81" t="s">
        <v>152</v>
      </c>
      <c r="H81" t="s">
        <v>257</v>
      </c>
      <c r="I81" t="s">
        <v>93</v>
      </c>
      <c r="J81" t="s">
        <v>201</v>
      </c>
    </row>
    <row r="82" spans="1:12" x14ac:dyDescent="0.2">
      <c r="A82">
        <v>2006</v>
      </c>
      <c r="B82" t="s">
        <v>240</v>
      </c>
      <c r="C82" t="s">
        <v>221</v>
      </c>
      <c r="D82" s="22">
        <v>340</v>
      </c>
      <c r="E82" s="16"/>
      <c r="F82" t="s">
        <v>700</v>
      </c>
      <c r="G82" t="s">
        <v>149</v>
      </c>
      <c r="H82" t="s">
        <v>182</v>
      </c>
      <c r="I82" t="s">
        <v>19</v>
      </c>
      <c r="J82" t="s">
        <v>205</v>
      </c>
    </row>
    <row r="83" spans="1:12" x14ac:dyDescent="0.2">
      <c r="A83">
        <v>2006</v>
      </c>
      <c r="B83" t="s">
        <v>240</v>
      </c>
      <c r="C83" t="s">
        <v>479</v>
      </c>
      <c r="D83" s="22">
        <v>490</v>
      </c>
      <c r="E83" s="16"/>
      <c r="G83" t="s">
        <v>154</v>
      </c>
      <c r="H83" t="s">
        <v>194</v>
      </c>
      <c r="I83" t="s">
        <v>93</v>
      </c>
      <c r="J83" t="s">
        <v>201</v>
      </c>
    </row>
    <row r="84" spans="1:12" x14ac:dyDescent="0.2">
      <c r="A84">
        <v>2006</v>
      </c>
      <c r="B84" t="s">
        <v>240</v>
      </c>
      <c r="C84" t="s">
        <v>1234</v>
      </c>
      <c r="D84" s="22">
        <v>220</v>
      </c>
      <c r="E84" s="16"/>
      <c r="G84" t="s">
        <v>151</v>
      </c>
      <c r="H84" t="s">
        <v>279</v>
      </c>
      <c r="I84" t="s">
        <v>137</v>
      </c>
      <c r="J84" t="s">
        <v>214</v>
      </c>
    </row>
    <row r="85" spans="1:12" x14ac:dyDescent="0.2">
      <c r="A85">
        <v>2006</v>
      </c>
      <c r="B85" t="s">
        <v>240</v>
      </c>
      <c r="C85" t="s">
        <v>745</v>
      </c>
      <c r="D85" s="22">
        <v>180</v>
      </c>
      <c r="E85" s="16"/>
      <c r="F85" t="s">
        <v>2397</v>
      </c>
      <c r="G85" t="s">
        <v>144</v>
      </c>
      <c r="H85" t="s">
        <v>273</v>
      </c>
      <c r="I85" t="s">
        <v>53</v>
      </c>
      <c r="J85" t="s">
        <v>183</v>
      </c>
    </row>
    <row r="86" spans="1:12" x14ac:dyDescent="0.2">
      <c r="A86">
        <v>2006</v>
      </c>
      <c r="B86" t="s">
        <v>240</v>
      </c>
      <c r="C86" t="s">
        <v>199</v>
      </c>
      <c r="D86" s="22">
        <v>430</v>
      </c>
      <c r="E86" s="16"/>
      <c r="G86" t="s">
        <v>142</v>
      </c>
      <c r="I86" t="s">
        <v>136</v>
      </c>
      <c r="J86" t="s">
        <v>183</v>
      </c>
    </row>
    <row r="87" spans="1:12" x14ac:dyDescent="0.2">
      <c r="A87">
        <v>2006</v>
      </c>
      <c r="B87" t="s">
        <v>212</v>
      </c>
      <c r="C87" t="s">
        <v>196</v>
      </c>
      <c r="D87" s="22">
        <v>130</v>
      </c>
      <c r="E87" s="16"/>
      <c r="G87" t="s">
        <v>154</v>
      </c>
      <c r="H87" t="s">
        <v>194</v>
      </c>
      <c r="I87" t="s">
        <v>40</v>
      </c>
      <c r="J87" t="s">
        <v>219</v>
      </c>
      <c r="K87" s="72"/>
    </row>
    <row r="88" spans="1:12" x14ac:dyDescent="0.2">
      <c r="A88">
        <v>2006</v>
      </c>
      <c r="B88" t="s">
        <v>212</v>
      </c>
      <c r="C88" t="s">
        <v>703</v>
      </c>
      <c r="D88" s="22">
        <v>520</v>
      </c>
      <c r="E88" s="16"/>
      <c r="G88" t="s">
        <v>144</v>
      </c>
      <c r="H88" t="s">
        <v>273</v>
      </c>
      <c r="I88" t="s">
        <v>53</v>
      </c>
      <c r="J88" t="s">
        <v>183</v>
      </c>
    </row>
    <row r="89" spans="1:12" x14ac:dyDescent="0.2">
      <c r="A89">
        <v>2006</v>
      </c>
      <c r="B89" t="s">
        <v>212</v>
      </c>
      <c r="C89" t="s">
        <v>337</v>
      </c>
      <c r="D89" s="22">
        <v>250</v>
      </c>
      <c r="E89" s="16"/>
      <c r="G89" t="s">
        <v>144</v>
      </c>
      <c r="H89" t="s">
        <v>197</v>
      </c>
      <c r="I89" t="s">
        <v>53</v>
      </c>
      <c r="J89" t="s">
        <v>183</v>
      </c>
    </row>
    <row r="90" spans="1:12" x14ac:dyDescent="0.2">
      <c r="A90">
        <v>2006</v>
      </c>
      <c r="B90" t="s">
        <v>212</v>
      </c>
      <c r="C90" t="s">
        <v>399</v>
      </c>
      <c r="D90" s="22">
        <v>260</v>
      </c>
      <c r="E90" s="16"/>
      <c r="F90" t="s">
        <v>2398</v>
      </c>
      <c r="G90" t="s">
        <v>144</v>
      </c>
      <c r="H90" t="s">
        <v>273</v>
      </c>
      <c r="I90" t="s">
        <v>53</v>
      </c>
      <c r="J90" t="s">
        <v>183</v>
      </c>
    </row>
    <row r="91" spans="1:12" x14ac:dyDescent="0.2">
      <c r="A91">
        <v>2006</v>
      </c>
      <c r="B91" t="s">
        <v>212</v>
      </c>
      <c r="C91" t="s">
        <v>815</v>
      </c>
      <c r="D91" s="22">
        <v>130</v>
      </c>
      <c r="E91" s="16"/>
      <c r="F91" t="s">
        <v>2399</v>
      </c>
      <c r="G91" t="s">
        <v>151</v>
      </c>
      <c r="H91" t="s">
        <v>279</v>
      </c>
      <c r="I91" t="s">
        <v>40</v>
      </c>
      <c r="J91" t="s">
        <v>219</v>
      </c>
    </row>
    <row r="92" spans="1:12" x14ac:dyDescent="0.2">
      <c r="A92">
        <v>2007</v>
      </c>
      <c r="B92" t="s">
        <v>172</v>
      </c>
      <c r="C92" t="s">
        <v>210</v>
      </c>
      <c r="D92" s="65">
        <v>700</v>
      </c>
      <c r="E92" s="33"/>
      <c r="F92" t="s">
        <v>254</v>
      </c>
      <c r="G92" t="s">
        <v>143</v>
      </c>
      <c r="I92" t="s">
        <v>42</v>
      </c>
      <c r="J92" t="s">
        <v>195</v>
      </c>
      <c r="K92" s="17"/>
      <c r="L92" s="28"/>
    </row>
    <row r="93" spans="1:12" x14ac:dyDescent="0.2">
      <c r="A93">
        <v>2007</v>
      </c>
      <c r="B93" t="s">
        <v>172</v>
      </c>
      <c r="C93" s="52" t="s">
        <v>255</v>
      </c>
      <c r="D93" s="65">
        <v>280</v>
      </c>
      <c r="E93" s="33">
        <v>0.89</v>
      </c>
      <c r="F93" t="s">
        <v>256</v>
      </c>
      <c r="G93" t="s">
        <v>152</v>
      </c>
      <c r="H93" t="s">
        <v>257</v>
      </c>
      <c r="I93" t="s">
        <v>93</v>
      </c>
      <c r="J93" t="s">
        <v>201</v>
      </c>
      <c r="K93" s="17"/>
      <c r="L93" s="28"/>
    </row>
    <row r="94" spans="1:12" x14ac:dyDescent="0.2">
      <c r="A94">
        <v>2007</v>
      </c>
      <c r="B94" t="s">
        <v>172</v>
      </c>
      <c r="C94" t="s">
        <v>199</v>
      </c>
      <c r="D94" s="65">
        <v>200</v>
      </c>
      <c r="E94" s="33">
        <v>0.5</v>
      </c>
      <c r="F94" t="s">
        <v>204</v>
      </c>
      <c r="G94" t="s">
        <v>144</v>
      </c>
      <c r="H94" t="s">
        <v>187</v>
      </c>
      <c r="I94" t="s">
        <v>26</v>
      </c>
      <c r="J94" t="s">
        <v>219</v>
      </c>
      <c r="K94" s="17"/>
      <c r="L94" s="28"/>
    </row>
    <row r="95" spans="1:12" x14ac:dyDescent="0.2">
      <c r="A95">
        <v>2007</v>
      </c>
      <c r="B95" t="s">
        <v>258</v>
      </c>
      <c r="C95" t="s">
        <v>259</v>
      </c>
      <c r="D95" s="65">
        <v>190</v>
      </c>
      <c r="E95" s="33" t="s">
        <v>260</v>
      </c>
      <c r="F95" t="s">
        <v>261</v>
      </c>
      <c r="G95" t="s">
        <v>149</v>
      </c>
      <c r="H95" t="s">
        <v>236</v>
      </c>
      <c r="I95" t="s">
        <v>96</v>
      </c>
      <c r="J95" t="s">
        <v>205</v>
      </c>
      <c r="K95" s="17"/>
      <c r="L95" s="28"/>
    </row>
    <row r="96" spans="1:12" x14ac:dyDescent="0.2">
      <c r="A96">
        <v>2007</v>
      </c>
      <c r="B96" t="s">
        <v>258</v>
      </c>
      <c r="C96" t="s">
        <v>189</v>
      </c>
      <c r="D96" s="65">
        <v>100</v>
      </c>
      <c r="E96" s="33"/>
      <c r="F96" t="s">
        <v>262</v>
      </c>
      <c r="G96" t="s">
        <v>144</v>
      </c>
      <c r="I96" t="s">
        <v>131</v>
      </c>
      <c r="J96" t="s">
        <v>131</v>
      </c>
      <c r="K96" s="17"/>
      <c r="L96" s="28"/>
    </row>
    <row r="97" spans="1:12" x14ac:dyDescent="0.2">
      <c r="A97">
        <v>2007</v>
      </c>
      <c r="B97" t="s">
        <v>179</v>
      </c>
      <c r="C97" t="s">
        <v>208</v>
      </c>
      <c r="D97" s="65">
        <v>250</v>
      </c>
      <c r="E97" s="33"/>
      <c r="G97" t="s">
        <v>149</v>
      </c>
      <c r="H97" t="s">
        <v>182</v>
      </c>
      <c r="I97" t="s">
        <v>52</v>
      </c>
      <c r="J97" t="s">
        <v>201</v>
      </c>
      <c r="K97" s="17"/>
      <c r="L97" s="28" t="s">
        <v>178</v>
      </c>
    </row>
    <row r="98" spans="1:12" x14ac:dyDescent="0.2">
      <c r="A98">
        <v>2007</v>
      </c>
      <c r="B98" t="s">
        <v>225</v>
      </c>
      <c r="C98" t="s">
        <v>263</v>
      </c>
      <c r="D98" s="65">
        <v>3030</v>
      </c>
      <c r="E98" s="33">
        <v>0.09</v>
      </c>
      <c r="F98" t="s">
        <v>264</v>
      </c>
      <c r="G98" t="s">
        <v>146</v>
      </c>
      <c r="H98" t="s">
        <v>253</v>
      </c>
      <c r="I98" t="s">
        <v>131</v>
      </c>
      <c r="J98" t="s">
        <v>131</v>
      </c>
      <c r="K98" s="17"/>
      <c r="L98" s="28"/>
    </row>
    <row r="99" spans="1:12" x14ac:dyDescent="0.2">
      <c r="A99">
        <v>2007</v>
      </c>
      <c r="B99" t="s">
        <v>225</v>
      </c>
      <c r="C99" t="s">
        <v>265</v>
      </c>
      <c r="D99" s="65">
        <v>130</v>
      </c>
      <c r="E99" s="33"/>
      <c r="G99" t="s">
        <v>154</v>
      </c>
      <c r="H99" t="s">
        <v>250</v>
      </c>
      <c r="I99" t="s">
        <v>45</v>
      </c>
      <c r="J99" t="s">
        <v>195</v>
      </c>
      <c r="K99" s="17"/>
      <c r="L99" s="28"/>
    </row>
    <row r="100" spans="1:12" x14ac:dyDescent="0.2">
      <c r="A100">
        <v>2007</v>
      </c>
      <c r="B100" t="s">
        <v>225</v>
      </c>
      <c r="C100" s="52" t="s">
        <v>255</v>
      </c>
      <c r="D100" s="65">
        <v>180</v>
      </c>
      <c r="E100" s="33">
        <v>0.11</v>
      </c>
      <c r="F100" t="s">
        <v>266</v>
      </c>
      <c r="G100" t="s">
        <v>152</v>
      </c>
      <c r="H100" t="s">
        <v>257</v>
      </c>
      <c r="I100" t="s">
        <v>93</v>
      </c>
      <c r="J100" t="s">
        <v>201</v>
      </c>
      <c r="K100" s="17"/>
      <c r="L100" s="28"/>
    </row>
    <row r="101" spans="1:12" x14ac:dyDescent="0.2">
      <c r="A101">
        <v>2007</v>
      </c>
      <c r="B101" t="s">
        <v>188</v>
      </c>
      <c r="C101" t="s">
        <v>267</v>
      </c>
      <c r="D101" s="65">
        <v>790</v>
      </c>
      <c r="E101" s="33">
        <v>1</v>
      </c>
      <c r="F101" t="s">
        <v>268</v>
      </c>
      <c r="G101" t="s">
        <v>149</v>
      </c>
      <c r="H101" t="s">
        <v>236</v>
      </c>
      <c r="I101" t="s">
        <v>96</v>
      </c>
      <c r="J101" t="s">
        <v>205</v>
      </c>
      <c r="K101" s="17"/>
      <c r="L101" s="28"/>
    </row>
    <row r="102" spans="1:12" x14ac:dyDescent="0.2">
      <c r="A102">
        <v>2007</v>
      </c>
      <c r="B102" t="s">
        <v>188</v>
      </c>
      <c r="C102" t="s">
        <v>269</v>
      </c>
      <c r="D102" s="65">
        <v>140</v>
      </c>
      <c r="E102" s="33">
        <v>0.8</v>
      </c>
      <c r="F102" t="s">
        <v>270</v>
      </c>
      <c r="G102" t="s">
        <v>154</v>
      </c>
      <c r="H102" t="s">
        <v>271</v>
      </c>
      <c r="I102" t="s">
        <v>85</v>
      </c>
      <c r="J102" t="s">
        <v>195</v>
      </c>
      <c r="K102" s="17"/>
      <c r="L102" s="28"/>
    </row>
    <row r="103" spans="1:12" x14ac:dyDescent="0.2">
      <c r="A103">
        <v>2007</v>
      </c>
      <c r="B103" t="s">
        <v>188</v>
      </c>
      <c r="C103" t="s">
        <v>196</v>
      </c>
      <c r="D103" s="65">
        <v>200</v>
      </c>
      <c r="E103" s="33"/>
      <c r="G103" t="s">
        <v>144</v>
      </c>
      <c r="H103" t="s">
        <v>197</v>
      </c>
      <c r="I103" t="s">
        <v>67</v>
      </c>
      <c r="J103" t="s">
        <v>183</v>
      </c>
      <c r="K103" s="17"/>
      <c r="L103" s="28" t="s">
        <v>178</v>
      </c>
    </row>
    <row r="104" spans="1:12" x14ac:dyDescent="0.2">
      <c r="A104">
        <v>2007</v>
      </c>
      <c r="B104" t="s">
        <v>191</v>
      </c>
      <c r="C104" t="s">
        <v>221</v>
      </c>
      <c r="D104" s="65">
        <v>100</v>
      </c>
      <c r="E104" s="33">
        <v>0.08</v>
      </c>
      <c r="F104" t="s">
        <v>272</v>
      </c>
      <c r="G104" t="s">
        <v>144</v>
      </c>
      <c r="H104" t="s">
        <v>273</v>
      </c>
      <c r="I104" t="s">
        <v>9</v>
      </c>
      <c r="J104" t="s">
        <v>9</v>
      </c>
      <c r="K104" s="17"/>
      <c r="L104" s="28"/>
    </row>
    <row r="105" spans="1:12" x14ac:dyDescent="0.2">
      <c r="A105">
        <v>2007</v>
      </c>
      <c r="B105" t="s">
        <v>191</v>
      </c>
      <c r="C105" t="s">
        <v>241</v>
      </c>
      <c r="D105" s="65">
        <v>3040</v>
      </c>
      <c r="E105" s="33">
        <v>3.1E-2</v>
      </c>
      <c r="F105" t="s">
        <v>274</v>
      </c>
      <c r="G105" t="s">
        <v>146</v>
      </c>
      <c r="H105" t="s">
        <v>275</v>
      </c>
      <c r="I105" t="s">
        <v>20</v>
      </c>
      <c r="J105" t="s">
        <v>195</v>
      </c>
      <c r="K105" s="17"/>
      <c r="L105" s="28"/>
    </row>
    <row r="106" spans="1:12" x14ac:dyDescent="0.2">
      <c r="A106">
        <v>2007</v>
      </c>
      <c r="B106" t="s">
        <v>191</v>
      </c>
      <c r="C106" t="s">
        <v>276</v>
      </c>
      <c r="D106" s="65">
        <v>100</v>
      </c>
      <c r="E106" s="33">
        <v>1</v>
      </c>
      <c r="G106" t="s">
        <v>149</v>
      </c>
      <c r="H106" t="s">
        <v>236</v>
      </c>
      <c r="I106" t="s">
        <v>77</v>
      </c>
      <c r="J106" t="s">
        <v>177</v>
      </c>
      <c r="K106" s="17"/>
      <c r="L106" s="28" t="s">
        <v>178</v>
      </c>
    </row>
    <row r="107" spans="1:12" x14ac:dyDescent="0.2">
      <c r="A107">
        <v>2007</v>
      </c>
      <c r="B107" t="s">
        <v>191</v>
      </c>
      <c r="C107" t="s">
        <v>277</v>
      </c>
      <c r="D107" s="65">
        <v>220</v>
      </c>
      <c r="E107" s="33"/>
      <c r="G107" t="s">
        <v>144</v>
      </c>
      <c r="H107" t="s">
        <v>197</v>
      </c>
      <c r="I107" t="s">
        <v>82</v>
      </c>
      <c r="J107" t="s">
        <v>183</v>
      </c>
      <c r="K107" s="17"/>
      <c r="L107" s="28" t="s">
        <v>178</v>
      </c>
    </row>
    <row r="108" spans="1:12" x14ac:dyDescent="0.2">
      <c r="A108">
        <v>2007</v>
      </c>
      <c r="B108" t="s">
        <v>202</v>
      </c>
      <c r="C108" t="s">
        <v>278</v>
      </c>
      <c r="D108" s="65">
        <v>150</v>
      </c>
      <c r="E108" s="33"/>
      <c r="G108" t="s">
        <v>151</v>
      </c>
      <c r="H108" t="s">
        <v>279</v>
      </c>
      <c r="I108" t="s">
        <v>131</v>
      </c>
      <c r="J108" t="s">
        <v>131</v>
      </c>
      <c r="K108" s="17"/>
      <c r="L108" s="28" t="s">
        <v>178</v>
      </c>
    </row>
    <row r="109" spans="1:12" x14ac:dyDescent="0.2">
      <c r="A109">
        <v>2007</v>
      </c>
      <c r="B109" t="s">
        <v>202</v>
      </c>
      <c r="C109" t="s">
        <v>280</v>
      </c>
      <c r="D109" s="65">
        <v>330</v>
      </c>
      <c r="E109" s="33">
        <v>0.5</v>
      </c>
      <c r="F109" t="s">
        <v>281</v>
      </c>
      <c r="G109" t="s">
        <v>149</v>
      </c>
      <c r="H109" t="s">
        <v>182</v>
      </c>
      <c r="I109" t="s">
        <v>9</v>
      </c>
      <c r="J109" t="s">
        <v>9</v>
      </c>
      <c r="K109" s="17"/>
      <c r="L109" s="28"/>
    </row>
    <row r="110" spans="1:12" x14ac:dyDescent="0.2">
      <c r="A110">
        <v>2007</v>
      </c>
      <c r="B110" t="s">
        <v>207</v>
      </c>
      <c r="C110" t="s">
        <v>269</v>
      </c>
      <c r="D110" s="65">
        <v>150</v>
      </c>
      <c r="E110" s="33">
        <v>0.2</v>
      </c>
      <c r="F110" t="s">
        <v>282</v>
      </c>
      <c r="G110" t="s">
        <v>148</v>
      </c>
      <c r="I110" t="s">
        <v>38</v>
      </c>
      <c r="J110" t="s">
        <v>214</v>
      </c>
      <c r="K110" s="17"/>
      <c r="L110" s="28"/>
    </row>
    <row r="111" spans="1:12" x14ac:dyDescent="0.2">
      <c r="A111">
        <v>2007</v>
      </c>
      <c r="B111" t="s">
        <v>207</v>
      </c>
      <c r="C111" t="s">
        <v>283</v>
      </c>
      <c r="D111" s="65">
        <v>5600</v>
      </c>
      <c r="E111" s="33">
        <v>0.2</v>
      </c>
      <c r="F111" t="s">
        <v>284</v>
      </c>
      <c r="G111" t="s">
        <v>146</v>
      </c>
      <c r="H111" t="s">
        <v>275</v>
      </c>
      <c r="I111" t="s">
        <v>112</v>
      </c>
      <c r="J111" t="s">
        <v>219</v>
      </c>
      <c r="K111" s="17"/>
      <c r="L111" s="28"/>
    </row>
    <row r="112" spans="1:12" x14ac:dyDescent="0.2">
      <c r="A112">
        <v>2007</v>
      </c>
      <c r="B112" t="s">
        <v>207</v>
      </c>
      <c r="C112" t="s">
        <v>285</v>
      </c>
      <c r="D112" s="65">
        <v>170</v>
      </c>
      <c r="E112" s="33"/>
      <c r="G112" t="s">
        <v>144</v>
      </c>
      <c r="H112" t="s">
        <v>197</v>
      </c>
      <c r="I112" t="s">
        <v>67</v>
      </c>
      <c r="J112" t="s">
        <v>183</v>
      </c>
      <c r="K112" s="17"/>
      <c r="L112" s="28" t="s">
        <v>178</v>
      </c>
    </row>
    <row r="113" spans="1:12" x14ac:dyDescent="0.2">
      <c r="A113">
        <v>2007</v>
      </c>
      <c r="B113" t="s">
        <v>240</v>
      </c>
      <c r="C113" t="s">
        <v>286</v>
      </c>
      <c r="D113" s="65">
        <v>2790</v>
      </c>
      <c r="E113" s="33">
        <v>4.2000000000000003E-2</v>
      </c>
      <c r="F113" t="s">
        <v>287</v>
      </c>
      <c r="G113" t="s">
        <v>146</v>
      </c>
      <c r="I113" t="s">
        <v>15</v>
      </c>
      <c r="J113" t="s">
        <v>195</v>
      </c>
      <c r="K113" s="17"/>
      <c r="L113" s="28"/>
    </row>
    <row r="114" spans="1:12" x14ac:dyDescent="0.2">
      <c r="A114">
        <v>2007</v>
      </c>
      <c r="B114" t="s">
        <v>240</v>
      </c>
      <c r="C114" t="s">
        <v>267</v>
      </c>
      <c r="D114" s="65">
        <v>1200</v>
      </c>
      <c r="E114" s="33">
        <v>0.4</v>
      </c>
      <c r="F114" t="s">
        <v>288</v>
      </c>
      <c r="G114" t="s">
        <v>149</v>
      </c>
      <c r="H114" t="s">
        <v>238</v>
      </c>
      <c r="I114" t="s">
        <v>105</v>
      </c>
      <c r="J114" t="s">
        <v>214</v>
      </c>
      <c r="K114" s="17"/>
      <c r="L114" s="28" t="s">
        <v>178</v>
      </c>
    </row>
    <row r="115" spans="1:12" x14ac:dyDescent="0.2">
      <c r="A115">
        <v>2007</v>
      </c>
      <c r="B115" t="s">
        <v>240</v>
      </c>
      <c r="C115" t="s">
        <v>289</v>
      </c>
      <c r="D115" s="65">
        <v>2520</v>
      </c>
      <c r="E115" s="33"/>
      <c r="G115" t="s">
        <v>149</v>
      </c>
      <c r="H115" t="s">
        <v>236</v>
      </c>
      <c r="I115" t="s">
        <v>4</v>
      </c>
      <c r="J115" t="s">
        <v>201</v>
      </c>
      <c r="K115" s="17"/>
      <c r="L115" s="28" t="s">
        <v>178</v>
      </c>
    </row>
    <row r="116" spans="1:12" x14ac:dyDescent="0.2">
      <c r="A116">
        <v>2007</v>
      </c>
      <c r="B116" t="s">
        <v>240</v>
      </c>
      <c r="C116" t="s">
        <v>290</v>
      </c>
      <c r="D116" s="65">
        <v>120</v>
      </c>
      <c r="E116" s="33">
        <v>1</v>
      </c>
      <c r="F116" t="s">
        <v>291</v>
      </c>
      <c r="G116" t="s">
        <v>150</v>
      </c>
      <c r="H116" t="s">
        <v>292</v>
      </c>
      <c r="I116" t="s">
        <v>131</v>
      </c>
      <c r="J116" t="s">
        <v>131</v>
      </c>
      <c r="K116" s="17"/>
      <c r="L116" s="28"/>
    </row>
    <row r="117" spans="1:12" x14ac:dyDescent="0.2">
      <c r="A117">
        <v>2007</v>
      </c>
      <c r="B117" t="s">
        <v>212</v>
      </c>
      <c r="C117" t="s">
        <v>263</v>
      </c>
      <c r="D117" s="65">
        <v>5000</v>
      </c>
      <c r="E117" s="33">
        <v>9.9000000000000005E-2</v>
      </c>
      <c r="F117" t="s">
        <v>293</v>
      </c>
      <c r="G117" t="s">
        <v>146</v>
      </c>
      <c r="H117" t="s">
        <v>253</v>
      </c>
      <c r="I117" t="s">
        <v>131</v>
      </c>
      <c r="J117" t="s">
        <v>131</v>
      </c>
      <c r="K117" s="17"/>
      <c r="L117" s="28"/>
    </row>
    <row r="118" spans="1:12" x14ac:dyDescent="0.2">
      <c r="A118">
        <v>2007</v>
      </c>
      <c r="B118" t="s">
        <v>212</v>
      </c>
      <c r="C118" t="s">
        <v>294</v>
      </c>
      <c r="D118" s="65">
        <v>450</v>
      </c>
      <c r="E118" s="33">
        <v>1</v>
      </c>
      <c r="F118" t="s">
        <v>295</v>
      </c>
      <c r="G118" t="s">
        <v>149</v>
      </c>
      <c r="H118" t="s">
        <v>236</v>
      </c>
      <c r="I118" t="s">
        <v>96</v>
      </c>
      <c r="J118" t="s">
        <v>205</v>
      </c>
      <c r="K118" s="17"/>
      <c r="L118" s="28"/>
    </row>
    <row r="119" spans="1:12" x14ac:dyDescent="0.2">
      <c r="A119">
        <v>2007</v>
      </c>
      <c r="B119" t="s">
        <v>212</v>
      </c>
      <c r="C119" t="s">
        <v>208</v>
      </c>
      <c r="D119" s="65">
        <v>100</v>
      </c>
      <c r="E119" s="33">
        <v>0.67</v>
      </c>
      <c r="F119" t="s">
        <v>296</v>
      </c>
      <c r="G119" t="s">
        <v>149</v>
      </c>
      <c r="H119" t="s">
        <v>182</v>
      </c>
      <c r="I119" t="s">
        <v>139</v>
      </c>
      <c r="J119" t="s">
        <v>219</v>
      </c>
      <c r="K119" s="17"/>
      <c r="L119" s="28"/>
    </row>
    <row r="120" spans="1:12" x14ac:dyDescent="0.2">
      <c r="A120">
        <v>2007</v>
      </c>
      <c r="B120" t="s">
        <v>212</v>
      </c>
      <c r="C120" t="s">
        <v>189</v>
      </c>
      <c r="D120" s="65">
        <v>2010</v>
      </c>
      <c r="E120" s="33">
        <v>0.51</v>
      </c>
      <c r="F120" t="s">
        <v>297</v>
      </c>
      <c r="G120" t="s">
        <v>144</v>
      </c>
      <c r="H120" t="s">
        <v>187</v>
      </c>
      <c r="I120" t="s">
        <v>54</v>
      </c>
      <c r="J120" t="s">
        <v>201</v>
      </c>
      <c r="K120" s="17"/>
      <c r="L120" s="28" t="s">
        <v>178</v>
      </c>
    </row>
    <row r="121" spans="1:12" x14ac:dyDescent="0.2">
      <c r="A121">
        <v>2007</v>
      </c>
      <c r="B121" t="s">
        <v>212</v>
      </c>
      <c r="C121" t="s">
        <v>298</v>
      </c>
      <c r="D121" s="65">
        <v>200</v>
      </c>
      <c r="E121" s="33"/>
      <c r="G121" t="s">
        <v>144</v>
      </c>
      <c r="H121" t="s">
        <v>299</v>
      </c>
      <c r="I121" t="s">
        <v>46</v>
      </c>
      <c r="J121" t="s">
        <v>219</v>
      </c>
      <c r="K121" s="17"/>
      <c r="L121" s="28" t="s">
        <v>178</v>
      </c>
    </row>
    <row r="122" spans="1:12" x14ac:dyDescent="0.2">
      <c r="A122">
        <v>2007</v>
      </c>
      <c r="B122" t="s">
        <v>172</v>
      </c>
      <c r="C122" t="s">
        <v>397</v>
      </c>
      <c r="D122" s="22">
        <v>350</v>
      </c>
      <c r="E122" s="16"/>
      <c r="G122" t="s">
        <v>151</v>
      </c>
      <c r="H122" t="s">
        <v>279</v>
      </c>
      <c r="I122" t="s">
        <v>130</v>
      </c>
      <c r="J122" t="s">
        <v>214</v>
      </c>
    </row>
    <row r="123" spans="1:12" ht="15" customHeight="1" x14ac:dyDescent="0.2">
      <c r="A123">
        <v>2007</v>
      </c>
      <c r="B123" t="s">
        <v>172</v>
      </c>
      <c r="C123" t="s">
        <v>2400</v>
      </c>
      <c r="D123" s="22">
        <v>3990</v>
      </c>
      <c r="E123" s="16"/>
      <c r="G123" t="s">
        <v>144</v>
      </c>
      <c r="H123" t="s">
        <v>273</v>
      </c>
      <c r="I123" t="s">
        <v>52</v>
      </c>
      <c r="J123" t="s">
        <v>201</v>
      </c>
    </row>
    <row r="124" spans="1:12" x14ac:dyDescent="0.2">
      <c r="A124">
        <v>2007</v>
      </c>
      <c r="B124" t="s">
        <v>172</v>
      </c>
      <c r="C124" t="s">
        <v>397</v>
      </c>
      <c r="D124" s="22">
        <v>160</v>
      </c>
      <c r="E124" s="16"/>
      <c r="G124" t="s">
        <v>154</v>
      </c>
      <c r="H124" t="s">
        <v>194</v>
      </c>
      <c r="I124" t="s">
        <v>130</v>
      </c>
      <c r="J124" t="s">
        <v>214</v>
      </c>
    </row>
    <row r="125" spans="1:12" x14ac:dyDescent="0.2">
      <c r="A125">
        <v>2007</v>
      </c>
      <c r="B125" t="s">
        <v>172</v>
      </c>
      <c r="C125" t="s">
        <v>180</v>
      </c>
      <c r="D125" s="22">
        <v>1110</v>
      </c>
      <c r="E125" s="16"/>
      <c r="F125" t="s">
        <v>2401</v>
      </c>
      <c r="G125" t="s">
        <v>149</v>
      </c>
      <c r="H125" t="s">
        <v>182</v>
      </c>
      <c r="I125" t="s">
        <v>9</v>
      </c>
      <c r="J125" t="s">
        <v>9</v>
      </c>
    </row>
    <row r="126" spans="1:12" x14ac:dyDescent="0.2">
      <c r="A126">
        <v>2007</v>
      </c>
      <c r="B126" t="s">
        <v>172</v>
      </c>
      <c r="C126" t="s">
        <v>267</v>
      </c>
      <c r="D126" s="22">
        <v>100</v>
      </c>
      <c r="E126" s="16"/>
      <c r="F126" t="s">
        <v>2387</v>
      </c>
      <c r="G126" t="s">
        <v>149</v>
      </c>
      <c r="H126" t="s">
        <v>238</v>
      </c>
      <c r="I126" t="s">
        <v>52</v>
      </c>
      <c r="J126" t="s">
        <v>201</v>
      </c>
    </row>
    <row r="127" spans="1:12" x14ac:dyDescent="0.2">
      <c r="A127">
        <v>2007</v>
      </c>
      <c r="B127" t="s">
        <v>172</v>
      </c>
      <c r="C127" t="s">
        <v>449</v>
      </c>
      <c r="D127" s="22">
        <v>1830</v>
      </c>
      <c r="E127" s="16"/>
      <c r="G127" t="s">
        <v>154</v>
      </c>
      <c r="H127" t="s">
        <v>529</v>
      </c>
      <c r="I127" t="s">
        <v>6</v>
      </c>
      <c r="J127" t="s">
        <v>219</v>
      </c>
    </row>
    <row r="128" spans="1:12" x14ac:dyDescent="0.2">
      <c r="A128">
        <v>2007</v>
      </c>
      <c r="B128" t="s">
        <v>258</v>
      </c>
      <c r="C128" t="s">
        <v>2402</v>
      </c>
      <c r="D128" s="22">
        <v>180</v>
      </c>
      <c r="E128" s="16"/>
      <c r="G128" t="s">
        <v>154</v>
      </c>
      <c r="H128" t="s">
        <v>194</v>
      </c>
      <c r="I128" t="s">
        <v>52</v>
      </c>
      <c r="J128" t="s">
        <v>201</v>
      </c>
    </row>
    <row r="129" spans="1:12" x14ac:dyDescent="0.2">
      <c r="A129">
        <v>2007</v>
      </c>
      <c r="B129" t="s">
        <v>258</v>
      </c>
      <c r="C129" t="s">
        <v>2403</v>
      </c>
      <c r="D129" s="22">
        <v>100</v>
      </c>
      <c r="E129" s="16"/>
      <c r="G129" t="s">
        <v>155</v>
      </c>
      <c r="I129" t="s">
        <v>93</v>
      </c>
      <c r="J129" t="s">
        <v>201</v>
      </c>
    </row>
    <row r="130" spans="1:12" x14ac:dyDescent="0.2">
      <c r="A130">
        <v>2007</v>
      </c>
      <c r="B130" t="s">
        <v>179</v>
      </c>
      <c r="C130" t="s">
        <v>1234</v>
      </c>
      <c r="D130" s="22">
        <v>430</v>
      </c>
      <c r="E130" s="16"/>
      <c r="G130" t="s">
        <v>144</v>
      </c>
      <c r="H130" t="s">
        <v>273</v>
      </c>
      <c r="I130" t="s">
        <v>53</v>
      </c>
      <c r="J130" t="s">
        <v>183</v>
      </c>
    </row>
    <row r="131" spans="1:12" x14ac:dyDescent="0.2">
      <c r="A131">
        <v>2007</v>
      </c>
      <c r="B131" t="s">
        <v>179</v>
      </c>
      <c r="C131" t="s">
        <v>2404</v>
      </c>
      <c r="D131" s="22">
        <v>360</v>
      </c>
      <c r="E131" s="16"/>
      <c r="G131" t="s">
        <v>154</v>
      </c>
      <c r="H131" t="s">
        <v>271</v>
      </c>
      <c r="I131" t="s">
        <v>115</v>
      </c>
      <c r="J131" t="s">
        <v>201</v>
      </c>
    </row>
    <row r="132" spans="1:12" x14ac:dyDescent="0.2">
      <c r="A132">
        <v>2007</v>
      </c>
      <c r="B132" t="s">
        <v>179</v>
      </c>
      <c r="C132" t="s">
        <v>397</v>
      </c>
      <c r="D132" s="22">
        <v>430</v>
      </c>
      <c r="E132" s="16"/>
      <c r="G132" t="s">
        <v>146</v>
      </c>
      <c r="I132" t="s">
        <v>65</v>
      </c>
      <c r="J132" t="s">
        <v>214</v>
      </c>
    </row>
    <row r="133" spans="1:12" x14ac:dyDescent="0.2">
      <c r="A133">
        <v>2007</v>
      </c>
      <c r="B133" t="s">
        <v>179</v>
      </c>
      <c r="C133" t="s">
        <v>745</v>
      </c>
      <c r="D133" s="22">
        <v>540</v>
      </c>
      <c r="E133" s="16"/>
      <c r="F133" t="s">
        <v>1188</v>
      </c>
      <c r="G133" t="s">
        <v>144</v>
      </c>
      <c r="H133" t="s">
        <v>273</v>
      </c>
      <c r="I133" t="s">
        <v>53</v>
      </c>
      <c r="J133" t="s">
        <v>183</v>
      </c>
    </row>
    <row r="134" spans="1:12" x14ac:dyDescent="0.2">
      <c r="A134">
        <v>2007</v>
      </c>
      <c r="B134" t="s">
        <v>179</v>
      </c>
      <c r="C134" t="s">
        <v>444</v>
      </c>
      <c r="D134" s="22">
        <v>110</v>
      </c>
      <c r="E134" s="16"/>
      <c r="G134" t="s">
        <v>142</v>
      </c>
      <c r="I134" t="s">
        <v>135</v>
      </c>
      <c r="J134" t="s">
        <v>205</v>
      </c>
    </row>
    <row r="135" spans="1:12" x14ac:dyDescent="0.2">
      <c r="A135">
        <v>2007</v>
      </c>
      <c r="B135" t="s">
        <v>179</v>
      </c>
      <c r="C135" t="s">
        <v>815</v>
      </c>
      <c r="D135" s="22">
        <v>690</v>
      </c>
      <c r="E135" s="16"/>
      <c r="F135" t="s">
        <v>2405</v>
      </c>
      <c r="G135" t="s">
        <v>151</v>
      </c>
      <c r="H135" t="s">
        <v>279</v>
      </c>
      <c r="I135" t="s">
        <v>89</v>
      </c>
      <c r="J135" t="s">
        <v>219</v>
      </c>
    </row>
    <row r="136" spans="1:12" x14ac:dyDescent="0.2">
      <c r="A136">
        <v>2007</v>
      </c>
      <c r="B136" t="s">
        <v>184</v>
      </c>
      <c r="C136" t="s">
        <v>2375</v>
      </c>
      <c r="D136" s="22">
        <v>650</v>
      </c>
      <c r="E136" s="16"/>
      <c r="G136" t="s">
        <v>144</v>
      </c>
      <c r="H136" t="s">
        <v>197</v>
      </c>
      <c r="I136" t="s">
        <v>2406</v>
      </c>
      <c r="J136" t="s">
        <v>219</v>
      </c>
    </row>
    <row r="137" spans="1:12" x14ac:dyDescent="0.2">
      <c r="A137">
        <v>2007</v>
      </c>
      <c r="B137" t="s">
        <v>184</v>
      </c>
      <c r="C137" t="s">
        <v>1920</v>
      </c>
      <c r="D137" s="22">
        <v>990</v>
      </c>
      <c r="E137" s="16"/>
      <c r="F137" t="s">
        <v>2407</v>
      </c>
      <c r="G137" t="s">
        <v>149</v>
      </c>
      <c r="H137" t="s">
        <v>238</v>
      </c>
      <c r="I137" t="s">
        <v>105</v>
      </c>
      <c r="J137" t="s">
        <v>214</v>
      </c>
    </row>
    <row r="138" spans="1:12" x14ac:dyDescent="0.2">
      <c r="A138">
        <v>2007</v>
      </c>
      <c r="B138" t="s">
        <v>184</v>
      </c>
      <c r="C138" t="s">
        <v>196</v>
      </c>
      <c r="D138" s="22">
        <v>600</v>
      </c>
      <c r="E138" s="16"/>
      <c r="G138" t="s">
        <v>144</v>
      </c>
      <c r="H138" t="s">
        <v>197</v>
      </c>
      <c r="I138" t="s">
        <v>46</v>
      </c>
      <c r="J138" t="s">
        <v>219</v>
      </c>
    </row>
    <row r="139" spans="1:12" x14ac:dyDescent="0.2">
      <c r="A139">
        <v>2007</v>
      </c>
      <c r="B139" t="s">
        <v>225</v>
      </c>
      <c r="C139" t="s">
        <v>444</v>
      </c>
      <c r="D139" s="22">
        <v>150</v>
      </c>
      <c r="E139" s="16"/>
      <c r="G139" t="s">
        <v>144</v>
      </c>
      <c r="I139" t="s">
        <v>93</v>
      </c>
      <c r="J139" t="s">
        <v>201</v>
      </c>
      <c r="L139" s="2"/>
    </row>
    <row r="140" spans="1:12" x14ac:dyDescent="0.2">
      <c r="A140">
        <v>2007</v>
      </c>
      <c r="B140" t="s">
        <v>225</v>
      </c>
      <c r="C140" t="s">
        <v>199</v>
      </c>
      <c r="D140" s="22">
        <v>150</v>
      </c>
      <c r="E140" s="16"/>
      <c r="G140" t="s">
        <v>144</v>
      </c>
      <c r="H140" t="s">
        <v>299</v>
      </c>
      <c r="I140" t="s">
        <v>129</v>
      </c>
      <c r="J140" t="s">
        <v>201</v>
      </c>
    </row>
    <row r="141" spans="1:12" x14ac:dyDescent="0.2">
      <c r="A141">
        <v>2007</v>
      </c>
      <c r="B141" t="s">
        <v>225</v>
      </c>
      <c r="C141" t="s">
        <v>557</v>
      </c>
      <c r="D141" s="22">
        <v>250</v>
      </c>
      <c r="E141" s="16"/>
      <c r="F141" t="s">
        <v>2408</v>
      </c>
      <c r="G141" t="s">
        <v>151</v>
      </c>
      <c r="H141" t="s">
        <v>279</v>
      </c>
      <c r="I141" t="s">
        <v>137</v>
      </c>
      <c r="J141" t="s">
        <v>214</v>
      </c>
      <c r="L141" s="2"/>
    </row>
    <row r="142" spans="1:12" x14ac:dyDescent="0.2">
      <c r="A142">
        <v>2007</v>
      </c>
      <c r="B142" t="s">
        <v>188</v>
      </c>
      <c r="C142" t="s">
        <v>479</v>
      </c>
      <c r="D142" s="22">
        <v>410</v>
      </c>
      <c r="E142" s="16"/>
      <c r="G142" t="s">
        <v>154</v>
      </c>
      <c r="H142" t="s">
        <v>271</v>
      </c>
      <c r="I142" t="s">
        <v>65</v>
      </c>
      <c r="J142" t="s">
        <v>214</v>
      </c>
      <c r="L142" s="2"/>
    </row>
    <row r="143" spans="1:12" x14ac:dyDescent="0.2">
      <c r="A143">
        <v>2007</v>
      </c>
      <c r="B143" t="s">
        <v>188</v>
      </c>
      <c r="C143" t="s">
        <v>199</v>
      </c>
      <c r="D143" s="22">
        <v>560</v>
      </c>
      <c r="E143" s="16"/>
      <c r="G143" t="s">
        <v>144</v>
      </c>
      <c r="H143" t="s">
        <v>299</v>
      </c>
      <c r="I143" t="s">
        <v>52</v>
      </c>
      <c r="J143" t="s">
        <v>201</v>
      </c>
      <c r="L143" s="2"/>
    </row>
    <row r="144" spans="1:12" x14ac:dyDescent="0.2">
      <c r="A144">
        <v>2007</v>
      </c>
      <c r="B144" t="s">
        <v>191</v>
      </c>
      <c r="C144" t="s">
        <v>221</v>
      </c>
      <c r="D144" s="22">
        <v>110</v>
      </c>
      <c r="E144" s="16"/>
      <c r="G144" t="s">
        <v>142</v>
      </c>
      <c r="I144" t="s">
        <v>134</v>
      </c>
      <c r="J144" t="s">
        <v>201</v>
      </c>
      <c r="L144" s="2"/>
    </row>
    <row r="145" spans="1:12" x14ac:dyDescent="0.2">
      <c r="A145">
        <v>2007</v>
      </c>
      <c r="B145" t="s">
        <v>198</v>
      </c>
      <c r="C145" t="s">
        <v>2409</v>
      </c>
      <c r="D145" s="22">
        <v>1270</v>
      </c>
      <c r="E145" s="16"/>
      <c r="F145" t="s">
        <v>1188</v>
      </c>
      <c r="G145" t="s">
        <v>144</v>
      </c>
      <c r="H145" t="s">
        <v>273</v>
      </c>
      <c r="I145" t="s">
        <v>53</v>
      </c>
      <c r="J145" t="s">
        <v>183</v>
      </c>
      <c r="L145" s="2"/>
    </row>
    <row r="146" spans="1:12" x14ac:dyDescent="0.2">
      <c r="A146">
        <v>2007</v>
      </c>
      <c r="B146" t="s">
        <v>198</v>
      </c>
      <c r="C146" t="s">
        <v>180</v>
      </c>
      <c r="D146" s="22">
        <v>640</v>
      </c>
      <c r="E146" s="16"/>
      <c r="F146" t="s">
        <v>2401</v>
      </c>
      <c r="G146" t="s">
        <v>149</v>
      </c>
      <c r="H146" t="s">
        <v>182</v>
      </c>
      <c r="I146" t="s">
        <v>9</v>
      </c>
      <c r="J146" t="s">
        <v>9</v>
      </c>
      <c r="L146" s="2"/>
    </row>
    <row r="147" spans="1:12" x14ac:dyDescent="0.2">
      <c r="A147">
        <v>2007</v>
      </c>
      <c r="B147" t="s">
        <v>202</v>
      </c>
      <c r="C147" t="s">
        <v>246</v>
      </c>
      <c r="D147" s="22">
        <v>150</v>
      </c>
      <c r="E147" s="16"/>
      <c r="G147" t="s">
        <v>154</v>
      </c>
      <c r="H147" t="s">
        <v>194</v>
      </c>
      <c r="I147" t="s">
        <v>40</v>
      </c>
      <c r="J147" t="s">
        <v>219</v>
      </c>
      <c r="L147" s="2"/>
    </row>
    <row r="148" spans="1:12" x14ac:dyDescent="0.2">
      <c r="A148">
        <v>2007</v>
      </c>
      <c r="B148" t="s">
        <v>202</v>
      </c>
      <c r="C148" t="s">
        <v>530</v>
      </c>
      <c r="D148" s="22">
        <v>150</v>
      </c>
      <c r="E148" s="16"/>
      <c r="F148" t="s">
        <v>2410</v>
      </c>
      <c r="G148" t="s">
        <v>152</v>
      </c>
      <c r="H148" t="s">
        <v>257</v>
      </c>
      <c r="I148" t="s">
        <v>115</v>
      </c>
      <c r="J148" t="s">
        <v>201</v>
      </c>
      <c r="L148" s="2"/>
    </row>
    <row r="149" spans="1:12" x14ac:dyDescent="0.2">
      <c r="A149">
        <v>2007</v>
      </c>
      <c r="B149" t="s">
        <v>202</v>
      </c>
      <c r="C149" t="s">
        <v>444</v>
      </c>
      <c r="D149" s="22">
        <v>210</v>
      </c>
      <c r="E149" s="16"/>
      <c r="G149" t="s">
        <v>144</v>
      </c>
      <c r="H149" t="s">
        <v>299</v>
      </c>
      <c r="I149" t="s">
        <v>11</v>
      </c>
      <c r="J149" t="s">
        <v>201</v>
      </c>
      <c r="L149" s="2"/>
    </row>
    <row r="150" spans="1:12" x14ac:dyDescent="0.2">
      <c r="A150">
        <v>2007</v>
      </c>
      <c r="B150" t="s">
        <v>207</v>
      </c>
      <c r="C150" t="s">
        <v>815</v>
      </c>
      <c r="D150" s="22">
        <v>170</v>
      </c>
      <c r="E150" s="16"/>
      <c r="F150" t="s">
        <v>2270</v>
      </c>
      <c r="G150" t="s">
        <v>151</v>
      </c>
      <c r="H150" t="s">
        <v>279</v>
      </c>
      <c r="I150" t="s">
        <v>51</v>
      </c>
      <c r="J150" t="s">
        <v>195</v>
      </c>
      <c r="L150" s="2"/>
    </row>
    <row r="151" spans="1:12" x14ac:dyDescent="0.2">
      <c r="A151">
        <v>2007</v>
      </c>
      <c r="B151" t="s">
        <v>207</v>
      </c>
      <c r="C151" t="s">
        <v>2402</v>
      </c>
      <c r="D151" s="22">
        <v>210</v>
      </c>
      <c r="E151" s="16">
        <v>0.49</v>
      </c>
      <c r="F151" t="s">
        <v>2411</v>
      </c>
      <c r="G151" t="s">
        <v>144</v>
      </c>
      <c r="H151" t="s">
        <v>197</v>
      </c>
      <c r="I151" t="s">
        <v>54</v>
      </c>
      <c r="J151" t="s">
        <v>201</v>
      </c>
      <c r="L151" s="2"/>
    </row>
    <row r="152" spans="1:12" x14ac:dyDescent="0.2">
      <c r="A152">
        <v>2007</v>
      </c>
      <c r="B152" t="s">
        <v>207</v>
      </c>
      <c r="C152" t="s">
        <v>244</v>
      </c>
      <c r="D152" s="22">
        <v>110</v>
      </c>
      <c r="E152" s="16">
        <v>0.2</v>
      </c>
      <c r="F152" t="s">
        <v>2412</v>
      </c>
      <c r="G152" t="s">
        <v>149</v>
      </c>
      <c r="H152" t="s">
        <v>238</v>
      </c>
      <c r="I152" t="s">
        <v>54</v>
      </c>
      <c r="J152" t="s">
        <v>201</v>
      </c>
      <c r="L152" s="2"/>
    </row>
    <row r="153" spans="1:12" x14ac:dyDescent="0.2">
      <c r="A153">
        <v>2007</v>
      </c>
      <c r="B153" t="s">
        <v>207</v>
      </c>
      <c r="C153" t="s">
        <v>444</v>
      </c>
      <c r="D153" s="22">
        <v>160</v>
      </c>
      <c r="E153" s="16"/>
      <c r="F153" t="s">
        <v>2413</v>
      </c>
      <c r="G153" t="s">
        <v>142</v>
      </c>
      <c r="I153" t="s">
        <v>123</v>
      </c>
      <c r="J153" t="s">
        <v>219</v>
      </c>
      <c r="L153" s="2"/>
    </row>
    <row r="154" spans="1:12" x14ac:dyDescent="0.2">
      <c r="A154">
        <v>2007</v>
      </c>
      <c r="B154" t="s">
        <v>207</v>
      </c>
      <c r="C154" t="s">
        <v>2414</v>
      </c>
      <c r="D154" s="22">
        <v>100</v>
      </c>
      <c r="E154" s="16">
        <v>0.5</v>
      </c>
      <c r="F154" t="s">
        <v>2415</v>
      </c>
      <c r="G154" t="s">
        <v>154</v>
      </c>
      <c r="H154" t="s">
        <v>529</v>
      </c>
      <c r="I154" t="s">
        <v>62</v>
      </c>
      <c r="J154" t="s">
        <v>214</v>
      </c>
      <c r="L154" s="2"/>
    </row>
    <row r="155" spans="1:12" x14ac:dyDescent="0.2">
      <c r="A155">
        <v>2007</v>
      </c>
      <c r="B155" t="s">
        <v>207</v>
      </c>
      <c r="C155" t="s">
        <v>444</v>
      </c>
      <c r="D155" s="22">
        <v>610</v>
      </c>
      <c r="E155" s="16"/>
      <c r="F155" t="s">
        <v>2416</v>
      </c>
      <c r="G155" t="s">
        <v>144</v>
      </c>
      <c r="H155" t="s">
        <v>273</v>
      </c>
      <c r="I155" t="s">
        <v>128</v>
      </c>
      <c r="J155" t="s">
        <v>201</v>
      </c>
      <c r="L155" s="2"/>
    </row>
    <row r="156" spans="1:12" x14ac:dyDescent="0.2">
      <c r="A156">
        <v>2007</v>
      </c>
      <c r="B156" t="s">
        <v>240</v>
      </c>
      <c r="C156" t="s">
        <v>2417</v>
      </c>
      <c r="D156" s="22">
        <v>350</v>
      </c>
      <c r="E156" s="16"/>
      <c r="G156" t="s">
        <v>143</v>
      </c>
      <c r="I156" t="s">
        <v>105</v>
      </c>
      <c r="J156" t="s">
        <v>214</v>
      </c>
      <c r="L156" s="2"/>
    </row>
    <row r="157" spans="1:12" x14ac:dyDescent="0.2">
      <c r="A157">
        <v>2007</v>
      </c>
      <c r="B157" t="s">
        <v>240</v>
      </c>
      <c r="C157" t="s">
        <v>479</v>
      </c>
      <c r="D157" s="22">
        <v>230</v>
      </c>
      <c r="E157" s="16"/>
      <c r="G157" t="s">
        <v>148</v>
      </c>
      <c r="I157" t="s">
        <v>105</v>
      </c>
      <c r="J157" t="s">
        <v>214</v>
      </c>
      <c r="L157" s="2"/>
    </row>
    <row r="158" spans="1:12" x14ac:dyDescent="0.2">
      <c r="A158">
        <v>2007</v>
      </c>
      <c r="B158" t="s">
        <v>212</v>
      </c>
      <c r="C158" t="s">
        <v>221</v>
      </c>
      <c r="D158" s="22">
        <v>620</v>
      </c>
      <c r="E158" s="16"/>
      <c r="G158" t="s">
        <v>151</v>
      </c>
      <c r="H158" t="s">
        <v>279</v>
      </c>
      <c r="I158" t="s">
        <v>14</v>
      </c>
      <c r="J158" t="s">
        <v>195</v>
      </c>
      <c r="L158" s="2"/>
    </row>
    <row r="159" spans="1:12" x14ac:dyDescent="0.2">
      <c r="A159">
        <v>2007</v>
      </c>
      <c r="B159" t="s">
        <v>212</v>
      </c>
      <c r="C159" t="s">
        <v>399</v>
      </c>
      <c r="D159" s="22">
        <v>1080</v>
      </c>
      <c r="E159" s="16"/>
      <c r="G159" t="s">
        <v>144</v>
      </c>
      <c r="I159" t="s">
        <v>55</v>
      </c>
      <c r="J159" t="s">
        <v>214</v>
      </c>
      <c r="L159" s="2"/>
    </row>
    <row r="160" spans="1:12" x14ac:dyDescent="0.2">
      <c r="A160">
        <v>2007</v>
      </c>
      <c r="B160" t="s">
        <v>212</v>
      </c>
      <c r="C160" t="s">
        <v>199</v>
      </c>
      <c r="D160" s="22">
        <v>880</v>
      </c>
      <c r="E160" s="16"/>
      <c r="G160" t="s">
        <v>144</v>
      </c>
      <c r="H160" t="s">
        <v>299</v>
      </c>
      <c r="I160" t="s">
        <v>134</v>
      </c>
      <c r="J160" t="s">
        <v>201</v>
      </c>
      <c r="L160" s="2"/>
    </row>
    <row r="161" spans="1:12" x14ac:dyDescent="0.2">
      <c r="A161">
        <v>2007</v>
      </c>
      <c r="B161" t="s">
        <v>212</v>
      </c>
      <c r="C161" t="s">
        <v>199</v>
      </c>
      <c r="D161" s="22">
        <v>1310</v>
      </c>
      <c r="E161" s="16"/>
      <c r="G161" t="s">
        <v>144</v>
      </c>
      <c r="H161" t="s">
        <v>299</v>
      </c>
      <c r="I161" t="s">
        <v>63</v>
      </c>
      <c r="J161" t="s">
        <v>201</v>
      </c>
      <c r="L161" s="2"/>
    </row>
    <row r="162" spans="1:12" x14ac:dyDescent="0.2">
      <c r="A162">
        <v>2007</v>
      </c>
      <c r="B162" t="s">
        <v>212</v>
      </c>
      <c r="C162" t="s">
        <v>196</v>
      </c>
      <c r="D162" s="22">
        <v>120</v>
      </c>
      <c r="E162" s="16"/>
      <c r="G162" t="s">
        <v>145</v>
      </c>
      <c r="I162" t="s">
        <v>6</v>
      </c>
      <c r="J162" t="s">
        <v>219</v>
      </c>
      <c r="L162" s="2"/>
    </row>
    <row r="163" spans="1:12" x14ac:dyDescent="0.2">
      <c r="A163">
        <v>2007</v>
      </c>
      <c r="B163" t="s">
        <v>212</v>
      </c>
      <c r="C163" t="s">
        <v>196</v>
      </c>
      <c r="D163" s="22">
        <v>160</v>
      </c>
      <c r="E163" s="16"/>
      <c r="F163" t="s">
        <v>2418</v>
      </c>
      <c r="G163" t="s">
        <v>149</v>
      </c>
      <c r="I163" t="s">
        <v>88</v>
      </c>
      <c r="J163" t="s">
        <v>219</v>
      </c>
      <c r="L163" s="2"/>
    </row>
    <row r="164" spans="1:12" x14ac:dyDescent="0.2">
      <c r="A164">
        <v>2007</v>
      </c>
      <c r="B164" t="s">
        <v>212</v>
      </c>
      <c r="C164" t="s">
        <v>196</v>
      </c>
      <c r="D164" s="22">
        <v>140</v>
      </c>
      <c r="E164" s="16"/>
      <c r="G164" t="s">
        <v>153</v>
      </c>
      <c r="I164" t="s">
        <v>130</v>
      </c>
      <c r="J164" t="s">
        <v>214</v>
      </c>
      <c r="L164" s="2"/>
    </row>
    <row r="165" spans="1:12" x14ac:dyDescent="0.2">
      <c r="A165">
        <v>2008</v>
      </c>
      <c r="B165" t="s">
        <v>172</v>
      </c>
      <c r="C165" t="s">
        <v>300</v>
      </c>
      <c r="D165" s="65">
        <v>180</v>
      </c>
      <c r="E165" s="33" t="s">
        <v>301</v>
      </c>
      <c r="F165" t="s">
        <v>302</v>
      </c>
      <c r="G165" t="s">
        <v>146</v>
      </c>
      <c r="H165" t="s">
        <v>275</v>
      </c>
      <c r="I165" t="s">
        <v>9</v>
      </c>
      <c r="J165" t="s">
        <v>9</v>
      </c>
      <c r="K165" s="17"/>
      <c r="L165" s="28"/>
    </row>
    <row r="166" spans="1:12" x14ac:dyDescent="0.2">
      <c r="A166">
        <v>2008</v>
      </c>
      <c r="B166" t="s">
        <v>172</v>
      </c>
      <c r="C166" t="s">
        <v>303</v>
      </c>
      <c r="D166" s="65">
        <v>160</v>
      </c>
      <c r="E166" s="33">
        <v>1</v>
      </c>
      <c r="F166" t="s">
        <v>304</v>
      </c>
      <c r="G166" t="s">
        <v>147</v>
      </c>
      <c r="I166" t="s">
        <v>131</v>
      </c>
      <c r="J166" t="s">
        <v>131</v>
      </c>
      <c r="K166" s="17"/>
      <c r="L166" s="28"/>
    </row>
    <row r="167" spans="1:12" x14ac:dyDescent="0.2">
      <c r="A167">
        <v>2008</v>
      </c>
      <c r="B167" t="s">
        <v>172</v>
      </c>
      <c r="C167" t="s">
        <v>305</v>
      </c>
      <c r="D167" s="65">
        <v>210</v>
      </c>
      <c r="E167" s="33"/>
      <c r="F167" t="s">
        <v>306</v>
      </c>
      <c r="G167" t="s">
        <v>149</v>
      </c>
      <c r="I167" t="s">
        <v>77</v>
      </c>
      <c r="J167" t="s">
        <v>177</v>
      </c>
      <c r="K167" s="17"/>
      <c r="L167" s="28"/>
    </row>
    <row r="168" spans="1:12" x14ac:dyDescent="0.2">
      <c r="A168">
        <v>2008</v>
      </c>
      <c r="B168" t="s">
        <v>172</v>
      </c>
      <c r="C168" t="s">
        <v>307</v>
      </c>
      <c r="D168" s="65">
        <v>1580</v>
      </c>
      <c r="E168" s="33">
        <v>0.4</v>
      </c>
      <c r="F168" t="s">
        <v>308</v>
      </c>
      <c r="G168" t="s">
        <v>144</v>
      </c>
      <c r="I168" t="s">
        <v>97</v>
      </c>
      <c r="J168" t="s">
        <v>183</v>
      </c>
      <c r="K168" s="17"/>
      <c r="L168" s="28"/>
    </row>
    <row r="169" spans="1:12" x14ac:dyDescent="0.2">
      <c r="A169">
        <v>2008</v>
      </c>
      <c r="B169" t="s">
        <v>258</v>
      </c>
      <c r="C169" t="s">
        <v>309</v>
      </c>
      <c r="D169" s="65">
        <v>1200</v>
      </c>
      <c r="E169" s="33" t="s">
        <v>310</v>
      </c>
      <c r="F169" t="s">
        <v>311</v>
      </c>
      <c r="G169" t="s">
        <v>149</v>
      </c>
      <c r="H169" t="s">
        <v>182</v>
      </c>
      <c r="I169" t="s">
        <v>52</v>
      </c>
      <c r="J169" t="s">
        <v>201</v>
      </c>
      <c r="K169" s="17"/>
      <c r="L169" s="28" t="s">
        <v>178</v>
      </c>
    </row>
    <row r="170" spans="1:12" x14ac:dyDescent="0.2">
      <c r="A170">
        <v>2008</v>
      </c>
      <c r="B170" t="s">
        <v>258</v>
      </c>
      <c r="C170" t="s">
        <v>180</v>
      </c>
      <c r="D170" s="65">
        <v>370</v>
      </c>
      <c r="E170" s="33">
        <v>1</v>
      </c>
      <c r="F170" t="s">
        <v>312</v>
      </c>
      <c r="G170" t="s">
        <v>149</v>
      </c>
      <c r="H170" t="s">
        <v>182</v>
      </c>
      <c r="I170" t="s">
        <v>9</v>
      </c>
      <c r="J170" t="s">
        <v>9</v>
      </c>
      <c r="K170" s="17"/>
      <c r="L170" s="28" t="s">
        <v>178</v>
      </c>
    </row>
    <row r="171" spans="1:12" x14ac:dyDescent="0.2">
      <c r="A171">
        <v>2008</v>
      </c>
      <c r="B171" t="s">
        <v>258</v>
      </c>
      <c r="C171" t="s">
        <v>313</v>
      </c>
      <c r="D171" s="65">
        <v>470</v>
      </c>
      <c r="E171" s="33">
        <v>0.16800000000000001</v>
      </c>
      <c r="F171" t="s">
        <v>314</v>
      </c>
      <c r="G171" t="s">
        <v>144</v>
      </c>
      <c r="H171" t="s">
        <v>187</v>
      </c>
      <c r="I171" t="s">
        <v>137</v>
      </c>
      <c r="J171" t="s">
        <v>214</v>
      </c>
      <c r="K171" s="17"/>
      <c r="L171" s="28"/>
    </row>
    <row r="172" spans="1:12" x14ac:dyDescent="0.2">
      <c r="A172">
        <v>2008</v>
      </c>
      <c r="B172" t="s">
        <v>258</v>
      </c>
      <c r="C172" t="s">
        <v>267</v>
      </c>
      <c r="D172" s="65">
        <v>12800</v>
      </c>
      <c r="E172" s="33">
        <v>0.11</v>
      </c>
      <c r="F172" t="s">
        <v>315</v>
      </c>
      <c r="G172" t="s">
        <v>149</v>
      </c>
      <c r="H172" t="s">
        <v>238</v>
      </c>
      <c r="I172" t="s">
        <v>9</v>
      </c>
      <c r="J172" t="s">
        <v>9</v>
      </c>
      <c r="K172" s="17"/>
      <c r="L172" s="28"/>
    </row>
    <row r="173" spans="1:12" x14ac:dyDescent="0.2">
      <c r="A173">
        <v>2008</v>
      </c>
      <c r="B173" t="s">
        <v>179</v>
      </c>
      <c r="C173" t="s">
        <v>189</v>
      </c>
      <c r="D173" s="65">
        <v>560</v>
      </c>
      <c r="E173" s="33">
        <v>0.6</v>
      </c>
      <c r="F173" t="s">
        <v>316</v>
      </c>
      <c r="G173" t="s">
        <v>144</v>
      </c>
      <c r="H173" t="s">
        <v>187</v>
      </c>
      <c r="I173" t="s">
        <v>9</v>
      </c>
      <c r="J173" t="s">
        <v>9</v>
      </c>
      <c r="K173" s="17"/>
      <c r="L173" s="28"/>
    </row>
    <row r="174" spans="1:12" x14ac:dyDescent="0.2">
      <c r="A174">
        <v>2008</v>
      </c>
      <c r="B174" t="s">
        <v>179</v>
      </c>
      <c r="C174" t="s">
        <v>317</v>
      </c>
      <c r="D174" s="65">
        <v>3040</v>
      </c>
      <c r="E174" s="33">
        <v>1</v>
      </c>
      <c r="F174" t="s">
        <v>318</v>
      </c>
      <c r="G174" t="s">
        <v>155</v>
      </c>
      <c r="I174" t="s">
        <v>108</v>
      </c>
      <c r="J174" t="s">
        <v>183</v>
      </c>
      <c r="K174" s="17"/>
      <c r="L174" s="28"/>
    </row>
    <row r="175" spans="1:12" x14ac:dyDescent="0.2">
      <c r="A175">
        <v>2008</v>
      </c>
      <c r="B175" t="s">
        <v>179</v>
      </c>
      <c r="C175" t="s">
        <v>319</v>
      </c>
      <c r="D175" s="65">
        <v>260</v>
      </c>
      <c r="E175" s="33">
        <v>0.01</v>
      </c>
      <c r="F175" t="s">
        <v>320</v>
      </c>
      <c r="G175" t="s">
        <v>146</v>
      </c>
      <c r="I175" t="s">
        <v>131</v>
      </c>
      <c r="J175" t="s">
        <v>131</v>
      </c>
      <c r="K175" s="17"/>
      <c r="L175" s="28"/>
    </row>
    <row r="176" spans="1:12" x14ac:dyDescent="0.2">
      <c r="A176">
        <v>2008</v>
      </c>
      <c r="B176" t="s">
        <v>179</v>
      </c>
      <c r="C176" t="s">
        <v>263</v>
      </c>
      <c r="D176" s="65">
        <v>100</v>
      </c>
      <c r="E176" s="33"/>
      <c r="F176" t="s">
        <v>320</v>
      </c>
      <c r="G176" t="s">
        <v>146</v>
      </c>
      <c r="I176" t="s">
        <v>131</v>
      </c>
      <c r="J176" t="s">
        <v>131</v>
      </c>
      <c r="K176" s="17"/>
      <c r="L176" s="28"/>
    </row>
    <row r="177" spans="1:12" x14ac:dyDescent="0.2">
      <c r="A177">
        <v>2008</v>
      </c>
      <c r="B177" t="s">
        <v>179</v>
      </c>
      <c r="C177" t="s">
        <v>321</v>
      </c>
      <c r="D177" s="65">
        <v>200</v>
      </c>
      <c r="E177" s="33"/>
      <c r="F177" t="s">
        <v>322</v>
      </c>
      <c r="G177" t="s">
        <v>147</v>
      </c>
      <c r="I177" t="s">
        <v>131</v>
      </c>
      <c r="J177" t="s">
        <v>131</v>
      </c>
      <c r="K177" s="17"/>
      <c r="L177" s="28"/>
    </row>
    <row r="178" spans="1:12" x14ac:dyDescent="0.2">
      <c r="A178">
        <v>2008</v>
      </c>
      <c r="B178" t="s">
        <v>184</v>
      </c>
      <c r="C178" t="s">
        <v>185</v>
      </c>
      <c r="D178" s="65">
        <v>130</v>
      </c>
      <c r="E178" s="33">
        <v>0.5</v>
      </c>
      <c r="F178" t="s">
        <v>323</v>
      </c>
      <c r="G178" t="s">
        <v>144</v>
      </c>
      <c r="H178" t="s">
        <v>299</v>
      </c>
      <c r="I178" t="s">
        <v>53</v>
      </c>
      <c r="J178" t="s">
        <v>183</v>
      </c>
      <c r="K178" s="17"/>
      <c r="L178" s="28" t="s">
        <v>178</v>
      </c>
    </row>
    <row r="179" spans="1:12" x14ac:dyDescent="0.2">
      <c r="A179">
        <v>2008</v>
      </c>
      <c r="B179" t="s">
        <v>184</v>
      </c>
      <c r="C179" t="s">
        <v>263</v>
      </c>
      <c r="D179" s="65">
        <v>1400</v>
      </c>
      <c r="E179" s="33">
        <v>0.8</v>
      </c>
      <c r="F179" t="s">
        <v>324</v>
      </c>
      <c r="G179" t="s">
        <v>146</v>
      </c>
      <c r="H179" t="s">
        <v>253</v>
      </c>
      <c r="I179" t="s">
        <v>131</v>
      </c>
      <c r="J179" t="s">
        <v>131</v>
      </c>
      <c r="K179" s="17"/>
      <c r="L179" s="28"/>
    </row>
    <row r="180" spans="1:12" x14ac:dyDescent="0.2">
      <c r="A180">
        <v>2008</v>
      </c>
      <c r="B180" t="s">
        <v>184</v>
      </c>
      <c r="C180" t="s">
        <v>300</v>
      </c>
      <c r="D180" s="65">
        <v>2800</v>
      </c>
      <c r="E180" s="33">
        <v>1.6E-2</v>
      </c>
      <c r="F180" t="s">
        <v>325</v>
      </c>
      <c r="G180" t="s">
        <v>144</v>
      </c>
      <c r="I180" t="s">
        <v>42</v>
      </c>
      <c r="J180" t="s">
        <v>195</v>
      </c>
      <c r="K180" s="17"/>
      <c r="L180" s="28"/>
    </row>
    <row r="181" spans="1:12" x14ac:dyDescent="0.2">
      <c r="A181">
        <v>2008</v>
      </c>
      <c r="B181" t="s">
        <v>184</v>
      </c>
      <c r="C181" t="s">
        <v>300</v>
      </c>
      <c r="D181" s="65">
        <v>2010</v>
      </c>
      <c r="E181" s="33">
        <v>0.01</v>
      </c>
      <c r="F181" t="s">
        <v>326</v>
      </c>
      <c r="G181" t="s">
        <v>144</v>
      </c>
      <c r="I181" t="s">
        <v>20</v>
      </c>
      <c r="J181" t="s">
        <v>195</v>
      </c>
      <c r="K181" s="17"/>
      <c r="L181" s="28"/>
    </row>
    <row r="182" spans="1:12" x14ac:dyDescent="0.2">
      <c r="A182">
        <v>2008</v>
      </c>
      <c r="B182" t="s">
        <v>184</v>
      </c>
      <c r="C182" t="s">
        <v>327</v>
      </c>
      <c r="D182" s="65">
        <v>150</v>
      </c>
      <c r="E182" s="33"/>
      <c r="F182" t="s">
        <v>328</v>
      </c>
      <c r="G182" t="s">
        <v>149</v>
      </c>
      <c r="H182" t="s">
        <v>182</v>
      </c>
      <c r="I182" t="s">
        <v>78</v>
      </c>
      <c r="J182" t="s">
        <v>183</v>
      </c>
      <c r="K182" s="17"/>
      <c r="L182" s="28"/>
    </row>
    <row r="183" spans="1:12" x14ac:dyDescent="0.2">
      <c r="A183">
        <v>2008</v>
      </c>
      <c r="B183" t="s">
        <v>184</v>
      </c>
      <c r="C183" t="s">
        <v>300</v>
      </c>
      <c r="D183" s="65">
        <v>1240</v>
      </c>
      <c r="E183" s="33">
        <v>0.01</v>
      </c>
      <c r="F183" t="s">
        <v>329</v>
      </c>
      <c r="G183" t="s">
        <v>144</v>
      </c>
      <c r="I183" t="s">
        <v>85</v>
      </c>
      <c r="J183" t="s">
        <v>195</v>
      </c>
      <c r="K183" s="17"/>
      <c r="L183" s="28"/>
    </row>
    <row r="184" spans="1:12" x14ac:dyDescent="0.2">
      <c r="A184">
        <v>2008</v>
      </c>
      <c r="B184" t="s">
        <v>225</v>
      </c>
      <c r="C184" t="s">
        <v>267</v>
      </c>
      <c r="D184" s="65">
        <v>2160</v>
      </c>
      <c r="E184" s="33">
        <v>1</v>
      </c>
      <c r="G184" t="s">
        <v>149</v>
      </c>
      <c r="H184" t="s">
        <v>236</v>
      </c>
      <c r="I184" t="s">
        <v>96</v>
      </c>
      <c r="J184" t="s">
        <v>205</v>
      </c>
      <c r="K184" s="17"/>
      <c r="L184" s="28" t="s">
        <v>178</v>
      </c>
    </row>
    <row r="185" spans="1:12" x14ac:dyDescent="0.2">
      <c r="A185">
        <v>2008</v>
      </c>
      <c r="B185" t="s">
        <v>225</v>
      </c>
      <c r="C185" t="s">
        <v>263</v>
      </c>
      <c r="D185" s="65">
        <v>110</v>
      </c>
      <c r="E185" s="33"/>
      <c r="F185" t="s">
        <v>330</v>
      </c>
      <c r="G185" t="s">
        <v>144</v>
      </c>
      <c r="H185" t="s">
        <v>187</v>
      </c>
      <c r="I185" t="s">
        <v>19</v>
      </c>
      <c r="J185" t="s">
        <v>205</v>
      </c>
      <c r="K185" s="17"/>
      <c r="L185" s="28"/>
    </row>
    <row r="186" spans="1:12" x14ac:dyDescent="0.2">
      <c r="A186">
        <v>2008</v>
      </c>
      <c r="B186" t="s">
        <v>188</v>
      </c>
      <c r="C186" t="s">
        <v>331</v>
      </c>
      <c r="D186" s="65">
        <v>250</v>
      </c>
      <c r="E186" s="33">
        <v>0.6</v>
      </c>
      <c r="F186" t="s">
        <v>332</v>
      </c>
      <c r="G186" t="s">
        <v>151</v>
      </c>
      <c r="H186" t="s">
        <v>279</v>
      </c>
      <c r="I186" t="s">
        <v>58</v>
      </c>
      <c r="J186" t="s">
        <v>195</v>
      </c>
      <c r="K186" s="17"/>
      <c r="L186" s="28"/>
    </row>
    <row r="187" spans="1:12" x14ac:dyDescent="0.2">
      <c r="A187">
        <v>2008</v>
      </c>
      <c r="B187" t="s">
        <v>188</v>
      </c>
      <c r="C187" t="s">
        <v>300</v>
      </c>
      <c r="D187" s="65">
        <v>2510</v>
      </c>
      <c r="E187" s="33">
        <v>0.2</v>
      </c>
      <c r="F187" t="s">
        <v>333</v>
      </c>
      <c r="G187" t="s">
        <v>146</v>
      </c>
      <c r="H187" t="s">
        <v>253</v>
      </c>
      <c r="I187" t="s">
        <v>131</v>
      </c>
      <c r="J187" t="s">
        <v>131</v>
      </c>
      <c r="K187" s="17"/>
      <c r="L187" s="28"/>
    </row>
    <row r="188" spans="1:12" x14ac:dyDescent="0.2">
      <c r="A188">
        <v>2008</v>
      </c>
      <c r="B188" t="s">
        <v>188</v>
      </c>
      <c r="C188" t="s">
        <v>334</v>
      </c>
      <c r="D188" s="65">
        <v>140</v>
      </c>
      <c r="E188" s="33">
        <v>0.05</v>
      </c>
      <c r="F188" t="s">
        <v>335</v>
      </c>
      <c r="G188" t="s">
        <v>142</v>
      </c>
      <c r="I188" t="s">
        <v>131</v>
      </c>
      <c r="J188" t="s">
        <v>131</v>
      </c>
      <c r="K188" s="17"/>
      <c r="L188" s="28"/>
    </row>
    <row r="189" spans="1:12" x14ac:dyDescent="0.2">
      <c r="A189">
        <v>2008</v>
      </c>
      <c r="B189" t="s">
        <v>188</v>
      </c>
      <c r="C189" t="s">
        <v>336</v>
      </c>
      <c r="D189" s="65">
        <v>190</v>
      </c>
      <c r="E189" s="33"/>
      <c r="G189" t="s">
        <v>149</v>
      </c>
      <c r="I189" t="s">
        <v>88</v>
      </c>
      <c r="J189" t="s">
        <v>219</v>
      </c>
      <c r="K189" s="17"/>
      <c r="L189" s="28" t="s">
        <v>178</v>
      </c>
    </row>
    <row r="190" spans="1:12" x14ac:dyDescent="0.2">
      <c r="A190">
        <v>2008</v>
      </c>
      <c r="B190" t="s">
        <v>188</v>
      </c>
      <c r="C190" t="s">
        <v>337</v>
      </c>
      <c r="D190" s="65">
        <v>580</v>
      </c>
      <c r="E190" s="33"/>
      <c r="G190" t="s">
        <v>144</v>
      </c>
      <c r="H190" t="s">
        <v>197</v>
      </c>
      <c r="I190" t="s">
        <v>23</v>
      </c>
      <c r="J190" t="s">
        <v>183</v>
      </c>
      <c r="K190" s="17"/>
      <c r="L190" s="28" t="s">
        <v>178</v>
      </c>
    </row>
    <row r="191" spans="1:12" x14ac:dyDescent="0.2">
      <c r="A191">
        <v>2008</v>
      </c>
      <c r="B191" t="s">
        <v>191</v>
      </c>
      <c r="C191" t="s">
        <v>313</v>
      </c>
      <c r="D191" s="65">
        <v>200</v>
      </c>
      <c r="E191" s="33">
        <v>0.51</v>
      </c>
      <c r="F191" t="s">
        <v>338</v>
      </c>
      <c r="G191" t="s">
        <v>142</v>
      </c>
      <c r="I191" t="s">
        <v>108</v>
      </c>
      <c r="J191" t="s">
        <v>183</v>
      </c>
      <c r="K191" s="17"/>
      <c r="L191" s="28"/>
    </row>
    <row r="192" spans="1:12" x14ac:dyDescent="0.2">
      <c r="A192">
        <v>2008</v>
      </c>
      <c r="B192" t="s">
        <v>191</v>
      </c>
      <c r="C192" t="s">
        <v>185</v>
      </c>
      <c r="D192" s="65">
        <v>2490</v>
      </c>
      <c r="E192" s="33">
        <v>1</v>
      </c>
      <c r="F192" t="s">
        <v>339</v>
      </c>
      <c r="G192" t="s">
        <v>144</v>
      </c>
      <c r="H192" t="s">
        <v>187</v>
      </c>
      <c r="I192" t="s">
        <v>91</v>
      </c>
      <c r="J192" t="s">
        <v>195</v>
      </c>
      <c r="K192" s="17"/>
      <c r="L192" s="28"/>
    </row>
    <row r="193" spans="1:12" x14ac:dyDescent="0.2">
      <c r="A193">
        <v>2008</v>
      </c>
      <c r="B193" t="s">
        <v>191</v>
      </c>
      <c r="C193" t="s">
        <v>244</v>
      </c>
      <c r="D193" s="65">
        <v>810</v>
      </c>
      <c r="E193" s="33">
        <v>0.5</v>
      </c>
      <c r="F193" t="s">
        <v>340</v>
      </c>
      <c r="G193" t="s">
        <v>149</v>
      </c>
      <c r="I193" t="s">
        <v>82</v>
      </c>
      <c r="J193" t="s">
        <v>183</v>
      </c>
      <c r="K193" s="17"/>
      <c r="L193" s="28" t="s">
        <v>178</v>
      </c>
    </row>
    <row r="194" spans="1:12" x14ac:dyDescent="0.2">
      <c r="A194">
        <v>2008</v>
      </c>
      <c r="B194" t="s">
        <v>191</v>
      </c>
      <c r="C194" t="s">
        <v>208</v>
      </c>
      <c r="D194" s="65">
        <v>1320</v>
      </c>
      <c r="E194" s="33">
        <v>0.51</v>
      </c>
      <c r="F194" t="s">
        <v>209</v>
      </c>
      <c r="G194" t="s">
        <v>149</v>
      </c>
      <c r="H194" t="s">
        <v>182</v>
      </c>
      <c r="I194" t="s">
        <v>9</v>
      </c>
      <c r="J194" t="s">
        <v>9</v>
      </c>
      <c r="K194" s="17"/>
      <c r="L194" s="28"/>
    </row>
    <row r="195" spans="1:12" x14ac:dyDescent="0.2">
      <c r="A195">
        <v>2008</v>
      </c>
      <c r="B195" t="s">
        <v>191</v>
      </c>
      <c r="C195" t="s">
        <v>341</v>
      </c>
      <c r="D195" s="65">
        <v>1190</v>
      </c>
      <c r="E195" s="33">
        <v>0.28000000000000003</v>
      </c>
      <c r="F195" t="s">
        <v>342</v>
      </c>
      <c r="G195" t="s">
        <v>149</v>
      </c>
      <c r="H195" t="s">
        <v>236</v>
      </c>
      <c r="I195" t="s">
        <v>34</v>
      </c>
      <c r="J195" t="s">
        <v>219</v>
      </c>
      <c r="K195" s="17"/>
      <c r="L195" s="28" t="s">
        <v>178</v>
      </c>
    </row>
    <row r="196" spans="1:12" x14ac:dyDescent="0.2">
      <c r="A196">
        <v>2008</v>
      </c>
      <c r="B196" t="s">
        <v>191</v>
      </c>
      <c r="C196" t="s">
        <v>343</v>
      </c>
      <c r="D196" s="65">
        <v>1350</v>
      </c>
      <c r="E196" s="33" t="s">
        <v>344</v>
      </c>
      <c r="G196" t="s">
        <v>149</v>
      </c>
      <c r="H196" t="s">
        <v>236</v>
      </c>
      <c r="I196" t="s">
        <v>34</v>
      </c>
      <c r="J196" t="s">
        <v>219</v>
      </c>
      <c r="K196" s="17"/>
      <c r="L196" s="28" t="s">
        <v>178</v>
      </c>
    </row>
    <row r="197" spans="1:12" x14ac:dyDescent="0.2">
      <c r="A197">
        <v>2008</v>
      </c>
      <c r="B197" t="s">
        <v>202</v>
      </c>
      <c r="C197" t="s">
        <v>189</v>
      </c>
      <c r="D197" s="65">
        <v>1990</v>
      </c>
      <c r="E197" s="33">
        <v>1</v>
      </c>
      <c r="F197" t="s">
        <v>345</v>
      </c>
      <c r="G197" t="s">
        <v>144</v>
      </c>
      <c r="H197" t="s">
        <v>187</v>
      </c>
      <c r="I197" t="s">
        <v>120</v>
      </c>
      <c r="J197" t="s">
        <v>214</v>
      </c>
      <c r="K197" s="17"/>
      <c r="L197" s="28"/>
    </row>
    <row r="198" spans="1:12" x14ac:dyDescent="0.2">
      <c r="A198">
        <v>2008</v>
      </c>
      <c r="B198" t="s">
        <v>202</v>
      </c>
      <c r="C198" t="s">
        <v>269</v>
      </c>
      <c r="D198" s="65">
        <v>330</v>
      </c>
      <c r="E198" s="33">
        <v>0.28999999999999998</v>
      </c>
      <c r="F198" t="s">
        <v>346</v>
      </c>
      <c r="G198" t="s">
        <v>154</v>
      </c>
      <c r="H198" t="s">
        <v>271</v>
      </c>
      <c r="I198" t="s">
        <v>108</v>
      </c>
      <c r="J198" t="s">
        <v>183</v>
      </c>
      <c r="K198" s="17"/>
      <c r="L198" s="28"/>
    </row>
    <row r="199" spans="1:12" x14ac:dyDescent="0.2">
      <c r="A199">
        <v>2008</v>
      </c>
      <c r="B199" t="s">
        <v>202</v>
      </c>
      <c r="C199" t="s">
        <v>278</v>
      </c>
      <c r="D199" s="65">
        <v>140</v>
      </c>
      <c r="E199" s="33"/>
      <c r="G199" t="s">
        <v>151</v>
      </c>
      <c r="H199" t="s">
        <v>279</v>
      </c>
      <c r="I199" t="s">
        <v>45</v>
      </c>
      <c r="J199" t="s">
        <v>195</v>
      </c>
      <c r="K199" s="17"/>
      <c r="L199" s="28" t="s">
        <v>178</v>
      </c>
    </row>
    <row r="200" spans="1:12" x14ac:dyDescent="0.2">
      <c r="A200">
        <v>2008</v>
      </c>
      <c r="B200" t="s">
        <v>202</v>
      </c>
      <c r="C200" t="s">
        <v>347</v>
      </c>
      <c r="D200" s="65">
        <v>360</v>
      </c>
      <c r="E200" s="33">
        <v>0.45</v>
      </c>
      <c r="F200" t="s">
        <v>348</v>
      </c>
      <c r="G200" t="s">
        <v>149</v>
      </c>
      <c r="H200" t="s">
        <v>182</v>
      </c>
      <c r="I200" t="s">
        <v>9</v>
      </c>
      <c r="J200" t="s">
        <v>9</v>
      </c>
      <c r="K200" s="17"/>
      <c r="L200" s="28"/>
    </row>
    <row r="201" spans="1:12" x14ac:dyDescent="0.2">
      <c r="A201">
        <v>2008</v>
      </c>
      <c r="B201" t="s">
        <v>202</v>
      </c>
      <c r="C201" t="s">
        <v>300</v>
      </c>
      <c r="D201" s="65">
        <v>470</v>
      </c>
      <c r="E201" s="33"/>
      <c r="F201" t="s">
        <v>349</v>
      </c>
      <c r="G201" t="s">
        <v>149</v>
      </c>
      <c r="I201" t="s">
        <v>9</v>
      </c>
      <c r="J201" t="s">
        <v>9</v>
      </c>
      <c r="K201" s="17"/>
      <c r="L201" s="28"/>
    </row>
    <row r="202" spans="1:12" x14ac:dyDescent="0.2">
      <c r="A202">
        <v>2008</v>
      </c>
      <c r="B202" t="s">
        <v>207</v>
      </c>
      <c r="C202" t="s">
        <v>263</v>
      </c>
      <c r="D202" s="65">
        <v>200</v>
      </c>
      <c r="E202" s="33">
        <v>2.5999999999999999E-2</v>
      </c>
      <c r="F202" t="s">
        <v>264</v>
      </c>
      <c r="G202" t="s">
        <v>146</v>
      </c>
      <c r="H202" t="s">
        <v>253</v>
      </c>
      <c r="I202" t="s">
        <v>131</v>
      </c>
      <c r="J202" t="s">
        <v>131</v>
      </c>
      <c r="K202" s="17"/>
      <c r="L202" s="28"/>
    </row>
    <row r="203" spans="1:12" x14ac:dyDescent="0.2">
      <c r="A203">
        <v>2008</v>
      </c>
      <c r="B203" t="s">
        <v>207</v>
      </c>
      <c r="C203" t="s">
        <v>350</v>
      </c>
      <c r="D203" s="65">
        <v>760</v>
      </c>
      <c r="E203" s="33"/>
      <c r="F203" t="s">
        <v>351</v>
      </c>
      <c r="G203" t="s">
        <v>144</v>
      </c>
      <c r="H203" t="s">
        <v>273</v>
      </c>
      <c r="I203" t="s">
        <v>128</v>
      </c>
      <c r="J203" t="s">
        <v>201</v>
      </c>
      <c r="K203" s="17"/>
      <c r="L203" s="28" t="s">
        <v>178</v>
      </c>
    </row>
    <row r="204" spans="1:12" x14ac:dyDescent="0.2">
      <c r="A204">
        <v>2008</v>
      </c>
      <c r="B204" t="s">
        <v>207</v>
      </c>
      <c r="C204" t="s">
        <v>352</v>
      </c>
      <c r="D204" s="65">
        <v>190</v>
      </c>
      <c r="E204" s="33"/>
      <c r="G204" t="s">
        <v>144</v>
      </c>
      <c r="H204" t="s">
        <v>273</v>
      </c>
      <c r="I204" t="s">
        <v>9</v>
      </c>
      <c r="J204" t="s">
        <v>9</v>
      </c>
      <c r="K204" s="17"/>
      <c r="L204" s="28" t="s">
        <v>178</v>
      </c>
    </row>
    <row r="205" spans="1:12" x14ac:dyDescent="0.2">
      <c r="A205">
        <v>2008</v>
      </c>
      <c r="B205" t="s">
        <v>240</v>
      </c>
      <c r="C205" t="s">
        <v>269</v>
      </c>
      <c r="D205" s="65">
        <v>5790</v>
      </c>
      <c r="E205" s="33"/>
      <c r="G205" t="s">
        <v>154</v>
      </c>
      <c r="H205" t="s">
        <v>271</v>
      </c>
      <c r="I205" t="s">
        <v>47</v>
      </c>
      <c r="J205" t="s">
        <v>195</v>
      </c>
      <c r="K205" s="17"/>
      <c r="L205" s="28"/>
    </row>
    <row r="206" spans="1:12" x14ac:dyDescent="0.2">
      <c r="A206">
        <v>2008</v>
      </c>
      <c r="B206" t="s">
        <v>212</v>
      </c>
      <c r="C206" t="s">
        <v>353</v>
      </c>
      <c r="D206" s="65">
        <v>110</v>
      </c>
      <c r="E206" s="33"/>
      <c r="G206" t="s">
        <v>149</v>
      </c>
      <c r="H206" t="s">
        <v>182</v>
      </c>
      <c r="I206" t="s">
        <v>68</v>
      </c>
      <c r="J206" t="s">
        <v>219</v>
      </c>
      <c r="K206" s="17"/>
      <c r="L206" s="28" t="s">
        <v>178</v>
      </c>
    </row>
    <row r="207" spans="1:12" x14ac:dyDescent="0.2">
      <c r="A207">
        <v>2008</v>
      </c>
      <c r="B207" t="s">
        <v>212</v>
      </c>
      <c r="C207" t="s">
        <v>354</v>
      </c>
      <c r="D207" s="65">
        <v>250</v>
      </c>
      <c r="E207" s="33">
        <v>0.49</v>
      </c>
      <c r="F207" t="s">
        <v>355</v>
      </c>
      <c r="G207" t="s">
        <v>144</v>
      </c>
      <c r="I207" t="s">
        <v>63</v>
      </c>
      <c r="J207" t="s">
        <v>201</v>
      </c>
      <c r="K207" s="17"/>
      <c r="L207" s="28" t="s">
        <v>178</v>
      </c>
    </row>
    <row r="208" spans="1:12" x14ac:dyDescent="0.2">
      <c r="A208">
        <v>2008</v>
      </c>
      <c r="B208" t="s">
        <v>212</v>
      </c>
      <c r="C208" t="s">
        <v>277</v>
      </c>
      <c r="D208" s="65">
        <v>370</v>
      </c>
      <c r="E208" s="33"/>
      <c r="G208" t="s">
        <v>144</v>
      </c>
      <c r="H208" t="s">
        <v>197</v>
      </c>
      <c r="I208" t="s">
        <v>23</v>
      </c>
      <c r="J208" t="s">
        <v>183</v>
      </c>
      <c r="K208" s="17"/>
      <c r="L208" s="67" t="s">
        <v>178</v>
      </c>
    </row>
    <row r="209" spans="1:12" x14ac:dyDescent="0.2">
      <c r="A209">
        <v>2008</v>
      </c>
      <c r="B209" t="s">
        <v>212</v>
      </c>
      <c r="C209" t="s">
        <v>356</v>
      </c>
      <c r="D209" s="65">
        <v>1550</v>
      </c>
      <c r="E209" s="33"/>
      <c r="G209" t="s">
        <v>153</v>
      </c>
      <c r="I209" t="s">
        <v>23</v>
      </c>
      <c r="J209" t="s">
        <v>183</v>
      </c>
      <c r="K209" s="17"/>
      <c r="L209" s="67" t="s">
        <v>178</v>
      </c>
    </row>
    <row r="210" spans="1:12" x14ac:dyDescent="0.2">
      <c r="A210">
        <v>2008</v>
      </c>
      <c r="B210" t="s">
        <v>212</v>
      </c>
      <c r="C210" t="s">
        <v>180</v>
      </c>
      <c r="D210" s="65">
        <v>110</v>
      </c>
      <c r="E210" s="33"/>
      <c r="G210" t="s">
        <v>149</v>
      </c>
      <c r="I210" t="s">
        <v>93</v>
      </c>
      <c r="J210" t="s">
        <v>201</v>
      </c>
      <c r="K210" s="17"/>
      <c r="L210" s="67"/>
    </row>
    <row r="211" spans="1:12" x14ac:dyDescent="0.2">
      <c r="A211">
        <v>2008</v>
      </c>
      <c r="B211" t="s">
        <v>172</v>
      </c>
      <c r="C211" t="s">
        <v>479</v>
      </c>
      <c r="D211" s="22">
        <v>160</v>
      </c>
      <c r="E211" s="16"/>
      <c r="F211" t="s">
        <v>2419</v>
      </c>
      <c r="G211" t="s">
        <v>154</v>
      </c>
      <c r="H211" t="s">
        <v>271</v>
      </c>
      <c r="I211" t="s">
        <v>136</v>
      </c>
      <c r="J211" t="s">
        <v>183</v>
      </c>
      <c r="L211" s="78"/>
    </row>
    <row r="212" spans="1:12" x14ac:dyDescent="0.2">
      <c r="A212">
        <v>2008</v>
      </c>
      <c r="B212" t="s">
        <v>172</v>
      </c>
      <c r="C212" t="s">
        <v>180</v>
      </c>
      <c r="D212" s="22">
        <v>200</v>
      </c>
      <c r="E212" s="16"/>
      <c r="F212" t="s">
        <v>2420</v>
      </c>
      <c r="G212" t="s">
        <v>153</v>
      </c>
      <c r="I212" t="s">
        <v>44</v>
      </c>
      <c r="J212" t="s">
        <v>201</v>
      </c>
      <c r="L212" s="2"/>
    </row>
    <row r="213" spans="1:12" x14ac:dyDescent="0.2">
      <c r="A213">
        <v>2008</v>
      </c>
      <c r="B213" t="s">
        <v>172</v>
      </c>
      <c r="C213" t="s">
        <v>479</v>
      </c>
      <c r="D213" s="22">
        <v>290</v>
      </c>
      <c r="E213" s="16"/>
      <c r="G213" t="s">
        <v>154</v>
      </c>
      <c r="H213" t="s">
        <v>271</v>
      </c>
      <c r="I213" t="s">
        <v>2376</v>
      </c>
      <c r="J213" t="s">
        <v>214</v>
      </c>
      <c r="L213" s="2"/>
    </row>
    <row r="214" spans="1:12" x14ac:dyDescent="0.2">
      <c r="A214">
        <v>2008</v>
      </c>
      <c r="B214" t="s">
        <v>172</v>
      </c>
      <c r="C214" t="s">
        <v>2391</v>
      </c>
      <c r="D214" s="22">
        <v>180</v>
      </c>
      <c r="E214" s="16"/>
      <c r="G214" t="s">
        <v>150</v>
      </c>
      <c r="H214" t="s">
        <v>744</v>
      </c>
      <c r="I214" t="s">
        <v>126</v>
      </c>
      <c r="J214" t="s">
        <v>177</v>
      </c>
      <c r="L214" s="2"/>
    </row>
    <row r="215" spans="1:12" x14ac:dyDescent="0.2">
      <c r="A215">
        <v>2008</v>
      </c>
      <c r="B215" t="s">
        <v>258</v>
      </c>
      <c r="C215" t="s">
        <v>449</v>
      </c>
      <c r="D215" s="22">
        <v>2600</v>
      </c>
      <c r="E215" s="16"/>
      <c r="G215" t="s">
        <v>154</v>
      </c>
      <c r="H215" t="s">
        <v>529</v>
      </c>
      <c r="I215" t="s">
        <v>2421</v>
      </c>
      <c r="J215" t="s">
        <v>214</v>
      </c>
      <c r="L215" s="2"/>
    </row>
    <row r="216" spans="1:12" x14ac:dyDescent="0.2">
      <c r="A216">
        <v>2008</v>
      </c>
      <c r="B216" t="s">
        <v>258</v>
      </c>
      <c r="C216" t="s">
        <v>199</v>
      </c>
      <c r="D216" s="22">
        <v>560</v>
      </c>
      <c r="E216" s="16"/>
      <c r="F216" t="s">
        <v>2422</v>
      </c>
      <c r="G216" t="s">
        <v>143</v>
      </c>
      <c r="I216" t="s">
        <v>105</v>
      </c>
      <c r="J216" t="s">
        <v>214</v>
      </c>
      <c r="L216" s="2"/>
    </row>
    <row r="217" spans="1:12" x14ac:dyDescent="0.2">
      <c r="A217">
        <v>2008</v>
      </c>
      <c r="B217" t="s">
        <v>258</v>
      </c>
      <c r="C217" t="s">
        <v>815</v>
      </c>
      <c r="D217" s="22">
        <v>1180</v>
      </c>
      <c r="E217" s="16"/>
      <c r="F217" t="s">
        <v>2405</v>
      </c>
      <c r="G217" t="s">
        <v>151</v>
      </c>
      <c r="H217" t="s">
        <v>279</v>
      </c>
      <c r="I217" t="s">
        <v>89</v>
      </c>
      <c r="J217" t="s">
        <v>219</v>
      </c>
      <c r="L217" s="2"/>
    </row>
    <row r="218" spans="1:12" x14ac:dyDescent="0.2">
      <c r="A218">
        <v>2008</v>
      </c>
      <c r="B218" t="s">
        <v>179</v>
      </c>
      <c r="C218" t="s">
        <v>557</v>
      </c>
      <c r="D218" s="22">
        <v>160</v>
      </c>
      <c r="E218" s="16"/>
      <c r="F218" t="s">
        <v>2121</v>
      </c>
      <c r="G218" t="s">
        <v>151</v>
      </c>
      <c r="H218" t="s">
        <v>279</v>
      </c>
      <c r="I218" t="s">
        <v>92</v>
      </c>
      <c r="J218" t="s">
        <v>214</v>
      </c>
      <c r="L218" s="2"/>
    </row>
    <row r="219" spans="1:12" x14ac:dyDescent="0.2">
      <c r="A219">
        <v>2008</v>
      </c>
      <c r="B219" t="s">
        <v>179</v>
      </c>
      <c r="C219" t="s">
        <v>341</v>
      </c>
      <c r="D219" s="22">
        <v>100</v>
      </c>
      <c r="E219" s="16"/>
      <c r="G219" t="s">
        <v>151</v>
      </c>
      <c r="H219" t="s">
        <v>279</v>
      </c>
      <c r="I219" t="s">
        <v>6</v>
      </c>
      <c r="J219" t="s">
        <v>219</v>
      </c>
      <c r="L219" s="2"/>
    </row>
    <row r="220" spans="1:12" x14ac:dyDescent="0.2">
      <c r="A220">
        <v>2008</v>
      </c>
      <c r="B220" t="s">
        <v>179</v>
      </c>
      <c r="C220" t="s">
        <v>341</v>
      </c>
      <c r="D220" s="22">
        <v>260</v>
      </c>
      <c r="E220" s="16"/>
      <c r="G220" t="s">
        <v>154</v>
      </c>
      <c r="H220" t="s">
        <v>529</v>
      </c>
      <c r="I220" t="s">
        <v>80</v>
      </c>
      <c r="J220" t="s">
        <v>214</v>
      </c>
      <c r="L220" s="2"/>
    </row>
    <row r="221" spans="1:12" x14ac:dyDescent="0.2">
      <c r="A221">
        <v>2008</v>
      </c>
      <c r="B221" t="s">
        <v>179</v>
      </c>
      <c r="C221" t="s">
        <v>479</v>
      </c>
      <c r="D221" s="22">
        <v>100</v>
      </c>
      <c r="E221" s="16"/>
      <c r="G221" t="s">
        <v>154</v>
      </c>
      <c r="H221" t="s">
        <v>271</v>
      </c>
      <c r="I221" t="s">
        <v>130</v>
      </c>
      <c r="J221" t="s">
        <v>214</v>
      </c>
      <c r="L221" s="2"/>
    </row>
    <row r="222" spans="1:12" x14ac:dyDescent="0.2">
      <c r="A222">
        <v>2008</v>
      </c>
      <c r="B222" t="s">
        <v>184</v>
      </c>
      <c r="C222" t="s">
        <v>444</v>
      </c>
      <c r="D222" s="22">
        <v>640</v>
      </c>
      <c r="E222" s="16"/>
      <c r="F222" t="s">
        <v>1188</v>
      </c>
      <c r="G222" t="s">
        <v>144</v>
      </c>
      <c r="H222" t="s">
        <v>273</v>
      </c>
      <c r="I222" t="s">
        <v>53</v>
      </c>
      <c r="J222" t="s">
        <v>183</v>
      </c>
      <c r="L222" s="2"/>
    </row>
    <row r="223" spans="1:12" x14ac:dyDescent="0.2">
      <c r="A223">
        <v>2008</v>
      </c>
      <c r="B223" t="s">
        <v>184</v>
      </c>
      <c r="C223" t="s">
        <v>246</v>
      </c>
      <c r="D223" s="22">
        <v>100</v>
      </c>
      <c r="E223" s="16"/>
      <c r="G223" t="s">
        <v>142</v>
      </c>
      <c r="I223" t="s">
        <v>116</v>
      </c>
      <c r="J223" t="s">
        <v>214</v>
      </c>
      <c r="L223" s="2"/>
    </row>
    <row r="224" spans="1:12" x14ac:dyDescent="0.2">
      <c r="A224">
        <v>2008</v>
      </c>
      <c r="B224" t="s">
        <v>184</v>
      </c>
      <c r="C224" t="s">
        <v>2423</v>
      </c>
      <c r="D224" s="22">
        <v>400</v>
      </c>
      <c r="E224" s="16"/>
      <c r="G224" t="s">
        <v>144</v>
      </c>
      <c r="H224" t="s">
        <v>197</v>
      </c>
      <c r="I224" t="s">
        <v>116</v>
      </c>
      <c r="J224" t="s">
        <v>214</v>
      </c>
      <c r="L224" s="2"/>
    </row>
    <row r="225" spans="1:12" x14ac:dyDescent="0.2">
      <c r="A225">
        <v>2008</v>
      </c>
      <c r="B225" t="s">
        <v>184</v>
      </c>
      <c r="C225" t="s">
        <v>246</v>
      </c>
      <c r="D225" s="22">
        <v>160</v>
      </c>
      <c r="E225" s="16"/>
      <c r="G225" t="s">
        <v>155</v>
      </c>
      <c r="I225" t="s">
        <v>5</v>
      </c>
      <c r="J225" t="s">
        <v>214</v>
      </c>
      <c r="L225" s="2"/>
    </row>
    <row r="226" spans="1:12" x14ac:dyDescent="0.2">
      <c r="A226">
        <v>2008</v>
      </c>
      <c r="B226" t="s">
        <v>184</v>
      </c>
      <c r="C226" t="s">
        <v>189</v>
      </c>
      <c r="D226" s="22">
        <v>760</v>
      </c>
      <c r="E226" s="16"/>
      <c r="G226" t="s">
        <v>155</v>
      </c>
      <c r="I226" t="s">
        <v>5</v>
      </c>
      <c r="J226" t="s">
        <v>214</v>
      </c>
      <c r="L226" s="2"/>
    </row>
    <row r="227" spans="1:12" x14ac:dyDescent="0.2">
      <c r="A227">
        <v>2008</v>
      </c>
      <c r="B227" t="s">
        <v>225</v>
      </c>
      <c r="C227" t="s">
        <v>815</v>
      </c>
      <c r="D227" s="22">
        <v>130</v>
      </c>
      <c r="E227" s="16"/>
      <c r="G227" t="s">
        <v>151</v>
      </c>
      <c r="H227" t="s">
        <v>279</v>
      </c>
      <c r="I227" t="s">
        <v>32</v>
      </c>
      <c r="J227" t="s">
        <v>195</v>
      </c>
      <c r="L227" s="2"/>
    </row>
    <row r="228" spans="1:12" x14ac:dyDescent="0.2">
      <c r="A228">
        <v>2008</v>
      </c>
      <c r="B228" t="s">
        <v>225</v>
      </c>
      <c r="C228" t="s">
        <v>2424</v>
      </c>
      <c r="D228" s="22">
        <v>900</v>
      </c>
      <c r="E228" s="16"/>
      <c r="F228" t="s">
        <v>2425</v>
      </c>
      <c r="G228" t="s">
        <v>142</v>
      </c>
      <c r="I228" t="s">
        <v>136</v>
      </c>
      <c r="J228" t="s">
        <v>183</v>
      </c>
      <c r="L228" s="2"/>
    </row>
    <row r="229" spans="1:12" x14ac:dyDescent="0.2">
      <c r="A229">
        <v>2008</v>
      </c>
      <c r="B229" t="s">
        <v>225</v>
      </c>
      <c r="C229" t="s">
        <v>557</v>
      </c>
      <c r="D229" s="22">
        <v>170</v>
      </c>
      <c r="E229" s="16"/>
      <c r="F229" t="s">
        <v>2426</v>
      </c>
      <c r="G229" t="s">
        <v>151</v>
      </c>
      <c r="H229" t="s">
        <v>279</v>
      </c>
      <c r="I229" t="s">
        <v>63</v>
      </c>
      <c r="J229" t="s">
        <v>201</v>
      </c>
      <c r="L229" s="2"/>
    </row>
    <row r="230" spans="1:12" x14ac:dyDescent="0.2">
      <c r="A230">
        <v>2008</v>
      </c>
      <c r="B230" t="s">
        <v>225</v>
      </c>
      <c r="C230" t="s">
        <v>180</v>
      </c>
      <c r="D230" s="22">
        <v>290</v>
      </c>
      <c r="E230" s="16"/>
      <c r="G230" t="s">
        <v>154</v>
      </c>
      <c r="H230" t="s">
        <v>194</v>
      </c>
      <c r="I230" t="s">
        <v>115</v>
      </c>
      <c r="J230" t="s">
        <v>201</v>
      </c>
      <c r="L230" s="2"/>
    </row>
    <row r="231" spans="1:12" x14ac:dyDescent="0.2">
      <c r="A231">
        <v>2008</v>
      </c>
      <c r="B231" t="s">
        <v>225</v>
      </c>
      <c r="C231" t="s">
        <v>397</v>
      </c>
      <c r="D231" s="22">
        <v>2140</v>
      </c>
      <c r="E231" s="16"/>
      <c r="G231" t="s">
        <v>154</v>
      </c>
      <c r="H231" t="s">
        <v>194</v>
      </c>
      <c r="I231" t="s">
        <v>29</v>
      </c>
      <c r="J231" t="s">
        <v>219</v>
      </c>
      <c r="L231" s="2"/>
    </row>
    <row r="232" spans="1:12" x14ac:dyDescent="0.2">
      <c r="A232">
        <v>2008</v>
      </c>
      <c r="B232" t="s">
        <v>225</v>
      </c>
      <c r="C232" t="s">
        <v>196</v>
      </c>
      <c r="D232" s="22">
        <v>150</v>
      </c>
      <c r="E232" s="16"/>
      <c r="F232" t="s">
        <v>2427</v>
      </c>
      <c r="G232" t="s">
        <v>144</v>
      </c>
      <c r="I232" t="s">
        <v>72</v>
      </c>
      <c r="J232" t="s">
        <v>183</v>
      </c>
      <c r="L232" s="2"/>
    </row>
    <row r="233" spans="1:12" x14ac:dyDescent="0.2">
      <c r="A233">
        <v>2008</v>
      </c>
      <c r="B233" t="s">
        <v>225</v>
      </c>
      <c r="C233" t="s">
        <v>196</v>
      </c>
      <c r="D233" s="22">
        <v>100</v>
      </c>
      <c r="E233" s="16"/>
      <c r="G233" t="s">
        <v>147</v>
      </c>
      <c r="I233" t="s">
        <v>34</v>
      </c>
      <c r="J233" t="s">
        <v>219</v>
      </c>
      <c r="L233" s="2"/>
    </row>
    <row r="234" spans="1:12" x14ac:dyDescent="0.2">
      <c r="A234">
        <v>2008</v>
      </c>
      <c r="B234" t="s">
        <v>188</v>
      </c>
      <c r="C234" t="s">
        <v>180</v>
      </c>
      <c r="D234" s="22">
        <v>200</v>
      </c>
      <c r="E234" s="16"/>
      <c r="G234" t="s">
        <v>149</v>
      </c>
      <c r="H234" t="s">
        <v>182</v>
      </c>
      <c r="I234" t="s">
        <v>54</v>
      </c>
      <c r="J234" t="s">
        <v>201</v>
      </c>
      <c r="L234" s="2"/>
    </row>
    <row r="235" spans="1:12" x14ac:dyDescent="0.2">
      <c r="A235">
        <v>2008</v>
      </c>
      <c r="B235" t="s">
        <v>188</v>
      </c>
      <c r="C235" t="s">
        <v>221</v>
      </c>
      <c r="D235" s="22">
        <v>2940</v>
      </c>
      <c r="E235" s="16"/>
      <c r="G235" t="s">
        <v>151</v>
      </c>
      <c r="H235" t="s">
        <v>279</v>
      </c>
      <c r="I235" t="s">
        <v>6</v>
      </c>
      <c r="J235" t="s">
        <v>219</v>
      </c>
      <c r="L235" s="2"/>
    </row>
    <row r="236" spans="1:12" x14ac:dyDescent="0.2">
      <c r="A236">
        <v>2008</v>
      </c>
      <c r="B236" t="s">
        <v>188</v>
      </c>
      <c r="C236" t="s">
        <v>557</v>
      </c>
      <c r="D236" s="22">
        <v>110</v>
      </c>
      <c r="E236" s="16"/>
      <c r="G236" t="s">
        <v>151</v>
      </c>
      <c r="H236" t="s">
        <v>279</v>
      </c>
      <c r="I236" t="s">
        <v>128</v>
      </c>
      <c r="J236" t="s">
        <v>201</v>
      </c>
      <c r="L236" s="2"/>
    </row>
    <row r="237" spans="1:12" x14ac:dyDescent="0.2">
      <c r="A237">
        <v>2008</v>
      </c>
      <c r="B237" t="s">
        <v>188</v>
      </c>
      <c r="C237" t="s">
        <v>399</v>
      </c>
      <c r="D237" s="22">
        <v>1170</v>
      </c>
      <c r="E237" s="16"/>
      <c r="F237" t="s">
        <v>2428</v>
      </c>
      <c r="G237" t="s">
        <v>144</v>
      </c>
      <c r="H237" t="s">
        <v>273</v>
      </c>
      <c r="I237" t="s">
        <v>52</v>
      </c>
      <c r="J237" t="s">
        <v>201</v>
      </c>
      <c r="L237" s="2"/>
    </row>
    <row r="238" spans="1:12" x14ac:dyDescent="0.2">
      <c r="A238">
        <v>2008</v>
      </c>
      <c r="B238" t="s">
        <v>188</v>
      </c>
      <c r="C238" t="s">
        <v>246</v>
      </c>
      <c r="D238" s="22">
        <v>120</v>
      </c>
      <c r="E238" s="16"/>
      <c r="G238" t="s">
        <v>154</v>
      </c>
      <c r="H238" t="s">
        <v>194</v>
      </c>
      <c r="I238" t="s">
        <v>93</v>
      </c>
      <c r="J238" t="s">
        <v>201</v>
      </c>
      <c r="L238" s="2"/>
    </row>
    <row r="239" spans="1:12" x14ac:dyDescent="0.2">
      <c r="A239">
        <v>2008</v>
      </c>
      <c r="B239" t="s">
        <v>188</v>
      </c>
      <c r="C239" t="s">
        <v>479</v>
      </c>
      <c r="D239" s="22">
        <v>320</v>
      </c>
      <c r="E239" s="16"/>
      <c r="G239" t="s">
        <v>154</v>
      </c>
      <c r="H239" t="s">
        <v>194</v>
      </c>
      <c r="I239" t="s">
        <v>29</v>
      </c>
      <c r="J239" t="s">
        <v>219</v>
      </c>
      <c r="L239" s="2"/>
    </row>
    <row r="240" spans="1:12" x14ac:dyDescent="0.2">
      <c r="A240">
        <v>2008</v>
      </c>
      <c r="B240" t="s">
        <v>191</v>
      </c>
      <c r="C240" t="s">
        <v>479</v>
      </c>
      <c r="D240" s="22">
        <v>440</v>
      </c>
      <c r="E240" s="16"/>
      <c r="G240" t="s">
        <v>154</v>
      </c>
      <c r="H240" t="s">
        <v>271</v>
      </c>
      <c r="I240" t="s">
        <v>89</v>
      </c>
      <c r="J240" t="s">
        <v>219</v>
      </c>
      <c r="L240" s="2"/>
    </row>
    <row r="241" spans="1:12" x14ac:dyDescent="0.2">
      <c r="A241">
        <v>2008</v>
      </c>
      <c r="B241" t="s">
        <v>191</v>
      </c>
      <c r="C241" t="s">
        <v>267</v>
      </c>
      <c r="D241" s="22">
        <v>460</v>
      </c>
      <c r="E241" s="16"/>
      <c r="F241" t="s">
        <v>1100</v>
      </c>
      <c r="G241" t="s">
        <v>149</v>
      </c>
      <c r="H241" t="s">
        <v>238</v>
      </c>
      <c r="I241" t="s">
        <v>136</v>
      </c>
      <c r="J241" t="s">
        <v>183</v>
      </c>
      <c r="L241" s="2"/>
    </row>
    <row r="242" spans="1:12" x14ac:dyDescent="0.2">
      <c r="A242">
        <v>2008</v>
      </c>
      <c r="B242" t="s">
        <v>191</v>
      </c>
      <c r="C242" t="s">
        <v>479</v>
      </c>
      <c r="D242" s="22">
        <v>990</v>
      </c>
      <c r="E242" s="16"/>
      <c r="F242" t="s">
        <v>2429</v>
      </c>
      <c r="G242" t="s">
        <v>154</v>
      </c>
      <c r="H242" t="s">
        <v>194</v>
      </c>
      <c r="I242" t="s">
        <v>89</v>
      </c>
      <c r="J242" t="s">
        <v>219</v>
      </c>
      <c r="L242" s="2"/>
    </row>
    <row r="243" spans="1:12" x14ac:dyDescent="0.2">
      <c r="A243">
        <v>2008</v>
      </c>
      <c r="B243" t="s">
        <v>191</v>
      </c>
      <c r="C243" t="s">
        <v>180</v>
      </c>
      <c r="D243" s="22">
        <v>520</v>
      </c>
      <c r="E243" s="16"/>
      <c r="F243" t="s">
        <v>2430</v>
      </c>
      <c r="G243" t="s">
        <v>145</v>
      </c>
      <c r="I243" t="s">
        <v>108</v>
      </c>
      <c r="J243" t="s">
        <v>183</v>
      </c>
      <c r="L243" s="2"/>
    </row>
    <row r="244" spans="1:12" x14ac:dyDescent="0.2">
      <c r="A244">
        <v>2008</v>
      </c>
      <c r="B244" t="s">
        <v>191</v>
      </c>
      <c r="C244" t="s">
        <v>2431</v>
      </c>
      <c r="D244" s="22">
        <v>610</v>
      </c>
      <c r="E244" s="16"/>
      <c r="F244" t="s">
        <v>2432</v>
      </c>
      <c r="G244" t="s">
        <v>150</v>
      </c>
      <c r="H244" t="s">
        <v>744</v>
      </c>
      <c r="I244" t="s">
        <v>105</v>
      </c>
      <c r="J244" t="s">
        <v>214</v>
      </c>
      <c r="L244" s="2"/>
    </row>
    <row r="245" spans="1:12" x14ac:dyDescent="0.2">
      <c r="A245">
        <v>2008</v>
      </c>
      <c r="B245" t="s">
        <v>191</v>
      </c>
      <c r="C245" t="s">
        <v>444</v>
      </c>
      <c r="D245" s="22">
        <v>140</v>
      </c>
      <c r="E245" s="16"/>
      <c r="G245" t="s">
        <v>142</v>
      </c>
      <c r="I245" t="s">
        <v>135</v>
      </c>
      <c r="J245" t="s">
        <v>205</v>
      </c>
      <c r="L245" s="2"/>
    </row>
    <row r="246" spans="1:12" x14ac:dyDescent="0.2">
      <c r="A246">
        <v>2008</v>
      </c>
      <c r="B246" t="s">
        <v>191</v>
      </c>
      <c r="C246" t="s">
        <v>444</v>
      </c>
      <c r="D246" s="22">
        <v>120</v>
      </c>
      <c r="E246" s="16"/>
      <c r="G246" t="s">
        <v>144</v>
      </c>
      <c r="H246" t="s">
        <v>299</v>
      </c>
      <c r="I246" t="s">
        <v>72</v>
      </c>
      <c r="J246" t="s">
        <v>183</v>
      </c>
      <c r="L246" s="2"/>
    </row>
    <row r="247" spans="1:12" x14ac:dyDescent="0.2">
      <c r="A247">
        <v>2008</v>
      </c>
      <c r="B247" t="s">
        <v>198</v>
      </c>
      <c r="C247" t="s">
        <v>444</v>
      </c>
      <c r="D247" s="22">
        <v>240</v>
      </c>
      <c r="E247" s="16"/>
      <c r="G247" t="s">
        <v>144</v>
      </c>
      <c r="I247" t="s">
        <v>53</v>
      </c>
      <c r="J247" t="s">
        <v>183</v>
      </c>
      <c r="L247" s="2"/>
    </row>
    <row r="248" spans="1:12" x14ac:dyDescent="0.2">
      <c r="A248">
        <v>2008</v>
      </c>
      <c r="B248" t="s">
        <v>198</v>
      </c>
      <c r="C248" t="s">
        <v>2391</v>
      </c>
      <c r="D248" s="22">
        <v>110</v>
      </c>
      <c r="E248" s="16"/>
      <c r="F248" t="s">
        <v>2433</v>
      </c>
      <c r="G248" t="s">
        <v>151</v>
      </c>
      <c r="H248" t="s">
        <v>279</v>
      </c>
      <c r="I248" t="s">
        <v>116</v>
      </c>
      <c r="J248" t="s">
        <v>214</v>
      </c>
      <c r="L248" s="2"/>
    </row>
    <row r="249" spans="1:12" x14ac:dyDescent="0.2">
      <c r="A249">
        <v>2008</v>
      </c>
      <c r="B249" t="s">
        <v>198</v>
      </c>
      <c r="C249" t="s">
        <v>2386</v>
      </c>
      <c r="D249" s="22">
        <v>140</v>
      </c>
      <c r="E249" s="16"/>
      <c r="G249" t="s">
        <v>144</v>
      </c>
      <c r="H249" t="s">
        <v>299</v>
      </c>
      <c r="I249" t="s">
        <v>62</v>
      </c>
      <c r="J249" t="s">
        <v>214</v>
      </c>
      <c r="L249" s="2"/>
    </row>
    <row r="250" spans="1:12" x14ac:dyDescent="0.2">
      <c r="A250">
        <v>2008</v>
      </c>
      <c r="B250" t="s">
        <v>198</v>
      </c>
      <c r="C250" t="s">
        <v>2434</v>
      </c>
      <c r="D250" s="22">
        <v>310</v>
      </c>
      <c r="E250" s="16"/>
      <c r="G250" t="s">
        <v>154</v>
      </c>
      <c r="H250" t="s">
        <v>529</v>
      </c>
      <c r="I250" t="s">
        <v>108</v>
      </c>
      <c r="J250" t="s">
        <v>183</v>
      </c>
      <c r="L250" s="2"/>
    </row>
    <row r="251" spans="1:12" x14ac:dyDescent="0.2">
      <c r="A251">
        <v>2008</v>
      </c>
      <c r="B251" t="s">
        <v>202</v>
      </c>
      <c r="C251" t="s">
        <v>479</v>
      </c>
      <c r="D251" s="22">
        <v>220</v>
      </c>
      <c r="E251" s="16"/>
      <c r="G251" t="s">
        <v>154</v>
      </c>
      <c r="H251" t="s">
        <v>271</v>
      </c>
      <c r="I251" t="s">
        <v>38</v>
      </c>
      <c r="J251" t="s">
        <v>214</v>
      </c>
      <c r="L251" s="2"/>
    </row>
    <row r="252" spans="1:12" x14ac:dyDescent="0.2">
      <c r="A252">
        <v>2008</v>
      </c>
      <c r="B252" t="s">
        <v>202</v>
      </c>
      <c r="C252" t="s">
        <v>1234</v>
      </c>
      <c r="D252" s="22">
        <v>330</v>
      </c>
      <c r="E252" s="16"/>
      <c r="G252" t="s">
        <v>144</v>
      </c>
      <c r="H252" t="s">
        <v>273</v>
      </c>
      <c r="I252" t="s">
        <v>14</v>
      </c>
      <c r="J252" t="s">
        <v>195</v>
      </c>
      <c r="L252" s="2"/>
    </row>
    <row r="253" spans="1:12" x14ac:dyDescent="0.2">
      <c r="A253">
        <v>2008</v>
      </c>
      <c r="B253" t="s">
        <v>207</v>
      </c>
      <c r="C253" t="s">
        <v>479</v>
      </c>
      <c r="D253" s="22">
        <v>680</v>
      </c>
      <c r="E253" s="16"/>
      <c r="G253" t="s">
        <v>154</v>
      </c>
      <c r="H253" t="s">
        <v>194</v>
      </c>
      <c r="I253" t="s">
        <v>72</v>
      </c>
      <c r="J253" t="s">
        <v>183</v>
      </c>
      <c r="L253" s="2"/>
    </row>
    <row r="254" spans="1:12" x14ac:dyDescent="0.2">
      <c r="A254">
        <v>2008</v>
      </c>
      <c r="B254" t="s">
        <v>207</v>
      </c>
      <c r="C254" t="s">
        <v>246</v>
      </c>
      <c r="D254" s="22">
        <v>160</v>
      </c>
      <c r="E254" s="16"/>
      <c r="G254" t="s">
        <v>144</v>
      </c>
      <c r="H254" t="s">
        <v>197</v>
      </c>
      <c r="I254" t="s">
        <v>52</v>
      </c>
      <c r="J254" t="s">
        <v>201</v>
      </c>
      <c r="L254" s="2"/>
    </row>
    <row r="255" spans="1:12" x14ac:dyDescent="0.2">
      <c r="A255">
        <v>2008</v>
      </c>
      <c r="B255" t="s">
        <v>207</v>
      </c>
      <c r="C255" t="s">
        <v>196</v>
      </c>
      <c r="D255" s="22">
        <v>280</v>
      </c>
      <c r="E255" s="16"/>
      <c r="F255" t="s">
        <v>2435</v>
      </c>
      <c r="G255" t="s">
        <v>144</v>
      </c>
      <c r="H255" t="s">
        <v>197</v>
      </c>
      <c r="I255" t="s">
        <v>138</v>
      </c>
      <c r="J255" t="s">
        <v>219</v>
      </c>
      <c r="L255" s="2"/>
    </row>
    <row r="256" spans="1:12" s="17" customFormat="1" x14ac:dyDescent="0.2">
      <c r="A256">
        <v>2008</v>
      </c>
      <c r="B256" t="s">
        <v>207</v>
      </c>
      <c r="C256" t="s">
        <v>543</v>
      </c>
      <c r="D256" s="22">
        <v>400</v>
      </c>
      <c r="E256" s="16"/>
      <c r="F256" t="s">
        <v>2436</v>
      </c>
      <c r="G256" t="s">
        <v>152</v>
      </c>
      <c r="H256" t="s">
        <v>257</v>
      </c>
      <c r="I256" t="s">
        <v>52</v>
      </c>
      <c r="J256" t="s">
        <v>201</v>
      </c>
      <c r="L256" s="2"/>
    </row>
    <row r="257" spans="1:12" x14ac:dyDescent="0.2">
      <c r="A257">
        <v>2008</v>
      </c>
      <c r="B257" t="s">
        <v>207</v>
      </c>
      <c r="C257" t="s">
        <v>815</v>
      </c>
      <c r="D257" s="22">
        <v>210</v>
      </c>
      <c r="E257" s="16"/>
      <c r="F257" t="s">
        <v>2003</v>
      </c>
      <c r="G257" t="s">
        <v>151</v>
      </c>
      <c r="H257" t="s">
        <v>279</v>
      </c>
      <c r="I257" t="s">
        <v>133</v>
      </c>
      <c r="J257" t="s">
        <v>195</v>
      </c>
      <c r="L257" s="2"/>
    </row>
    <row r="258" spans="1:12" x14ac:dyDescent="0.2">
      <c r="A258">
        <v>2008</v>
      </c>
      <c r="B258" t="s">
        <v>207</v>
      </c>
      <c r="C258" t="s">
        <v>2437</v>
      </c>
      <c r="D258" s="22">
        <v>880</v>
      </c>
      <c r="E258" s="16"/>
      <c r="G258" t="s">
        <v>144</v>
      </c>
      <c r="H258" t="s">
        <v>197</v>
      </c>
      <c r="I258" t="s">
        <v>72</v>
      </c>
      <c r="J258" t="s">
        <v>183</v>
      </c>
      <c r="L258" s="2"/>
    </row>
    <row r="259" spans="1:12" x14ac:dyDescent="0.2">
      <c r="A259">
        <v>2008</v>
      </c>
      <c r="B259" t="s">
        <v>207</v>
      </c>
      <c r="C259" t="s">
        <v>815</v>
      </c>
      <c r="D259" s="22">
        <v>440</v>
      </c>
      <c r="E259" s="16"/>
      <c r="F259" t="s">
        <v>2270</v>
      </c>
      <c r="G259" t="s">
        <v>151</v>
      </c>
      <c r="H259" t="s">
        <v>279</v>
      </c>
      <c r="I259" t="s">
        <v>11</v>
      </c>
      <c r="J259" t="s">
        <v>201</v>
      </c>
      <c r="L259" s="2"/>
    </row>
    <row r="260" spans="1:12" x14ac:dyDescent="0.2">
      <c r="A260">
        <v>2008</v>
      </c>
      <c r="B260" t="s">
        <v>207</v>
      </c>
      <c r="C260" t="s">
        <v>180</v>
      </c>
      <c r="D260" s="22">
        <v>150</v>
      </c>
      <c r="E260" s="16"/>
      <c r="G260" t="s">
        <v>155</v>
      </c>
      <c r="I260" t="s">
        <v>81</v>
      </c>
      <c r="J260" t="s">
        <v>219</v>
      </c>
      <c r="L260" s="2"/>
    </row>
    <row r="261" spans="1:12" x14ac:dyDescent="0.2">
      <c r="A261">
        <v>2008</v>
      </c>
      <c r="B261" t="s">
        <v>207</v>
      </c>
      <c r="C261" t="s">
        <v>444</v>
      </c>
      <c r="D261" s="22">
        <v>200</v>
      </c>
      <c r="E261" s="16"/>
      <c r="G261" t="s">
        <v>154</v>
      </c>
      <c r="H261" t="s">
        <v>194</v>
      </c>
      <c r="I261" t="s">
        <v>6</v>
      </c>
      <c r="J261" t="s">
        <v>219</v>
      </c>
      <c r="L261" s="2"/>
    </row>
    <row r="262" spans="1:12" x14ac:dyDescent="0.2">
      <c r="A262">
        <v>2008</v>
      </c>
      <c r="B262" t="s">
        <v>207</v>
      </c>
      <c r="C262" t="s">
        <v>196</v>
      </c>
      <c r="D262" s="22">
        <v>140</v>
      </c>
      <c r="E262" s="16"/>
      <c r="G262" t="s">
        <v>155</v>
      </c>
      <c r="I262" t="s">
        <v>100</v>
      </c>
      <c r="J262" t="s">
        <v>214</v>
      </c>
      <c r="L262" s="2"/>
    </row>
    <row r="263" spans="1:12" x14ac:dyDescent="0.2">
      <c r="A263">
        <v>2008</v>
      </c>
      <c r="B263" t="s">
        <v>207</v>
      </c>
      <c r="C263" t="s">
        <v>196</v>
      </c>
      <c r="D263" s="22">
        <v>240</v>
      </c>
      <c r="E263" s="16">
        <v>0.7</v>
      </c>
      <c r="G263" t="s">
        <v>144</v>
      </c>
      <c r="H263" t="s">
        <v>197</v>
      </c>
      <c r="I263" t="s">
        <v>53</v>
      </c>
      <c r="J263" t="s">
        <v>183</v>
      </c>
      <c r="L263" s="2"/>
    </row>
    <row r="264" spans="1:12" x14ac:dyDescent="0.2">
      <c r="A264">
        <v>2008</v>
      </c>
      <c r="B264" t="s">
        <v>240</v>
      </c>
      <c r="C264" t="s">
        <v>196</v>
      </c>
      <c r="D264" s="22">
        <v>250</v>
      </c>
      <c r="E264" s="16"/>
      <c r="F264" t="s">
        <v>1188</v>
      </c>
      <c r="G264" t="s">
        <v>144</v>
      </c>
      <c r="H264" t="s">
        <v>273</v>
      </c>
      <c r="I264" t="s">
        <v>53</v>
      </c>
      <c r="J264" t="s">
        <v>183</v>
      </c>
      <c r="L264" s="2"/>
    </row>
    <row r="265" spans="1:12" x14ac:dyDescent="0.2">
      <c r="A265">
        <v>2008</v>
      </c>
      <c r="B265" t="s">
        <v>240</v>
      </c>
      <c r="C265" t="s">
        <v>196</v>
      </c>
      <c r="D265" s="22">
        <v>400</v>
      </c>
      <c r="E265" s="16"/>
      <c r="G265" t="s">
        <v>144</v>
      </c>
      <c r="H265" t="s">
        <v>197</v>
      </c>
      <c r="I265" t="s">
        <v>43</v>
      </c>
      <c r="J265" t="s">
        <v>219</v>
      </c>
      <c r="L265" s="2"/>
    </row>
    <row r="266" spans="1:12" x14ac:dyDescent="0.2">
      <c r="A266">
        <v>2008</v>
      </c>
      <c r="B266" t="s">
        <v>240</v>
      </c>
      <c r="C266" t="s">
        <v>246</v>
      </c>
      <c r="D266" s="22">
        <v>320</v>
      </c>
      <c r="E266" s="16"/>
      <c r="G266" t="s">
        <v>154</v>
      </c>
      <c r="H266" t="s">
        <v>271</v>
      </c>
      <c r="I266" t="s">
        <v>93</v>
      </c>
      <c r="J266" t="s">
        <v>201</v>
      </c>
      <c r="L266" s="2"/>
    </row>
    <row r="267" spans="1:12" x14ac:dyDescent="0.2">
      <c r="A267">
        <v>2008</v>
      </c>
      <c r="B267" t="s">
        <v>240</v>
      </c>
      <c r="C267" t="s">
        <v>2438</v>
      </c>
      <c r="D267" s="22">
        <v>120</v>
      </c>
      <c r="E267" s="16"/>
      <c r="G267" t="s">
        <v>154</v>
      </c>
      <c r="H267" t="s">
        <v>194</v>
      </c>
      <c r="I267" t="s">
        <v>40</v>
      </c>
      <c r="J267" t="s">
        <v>219</v>
      </c>
      <c r="L267" s="2"/>
    </row>
    <row r="268" spans="1:12" x14ac:dyDescent="0.2">
      <c r="A268">
        <v>2008</v>
      </c>
      <c r="B268" t="s">
        <v>240</v>
      </c>
      <c r="C268" t="s">
        <v>479</v>
      </c>
      <c r="D268" s="22">
        <v>160</v>
      </c>
      <c r="E268" s="16"/>
      <c r="G268" t="s">
        <v>154</v>
      </c>
      <c r="H268" t="s">
        <v>271</v>
      </c>
      <c r="I268" t="s">
        <v>38</v>
      </c>
      <c r="J268" t="s">
        <v>214</v>
      </c>
      <c r="L268" s="2"/>
    </row>
    <row r="269" spans="1:12" x14ac:dyDescent="0.2">
      <c r="A269">
        <v>2008</v>
      </c>
      <c r="B269" t="s">
        <v>240</v>
      </c>
      <c r="C269" t="s">
        <v>815</v>
      </c>
      <c r="D269" s="22">
        <v>210</v>
      </c>
      <c r="E269" s="16"/>
      <c r="G269" t="s">
        <v>151</v>
      </c>
      <c r="H269" t="s">
        <v>279</v>
      </c>
      <c r="I269" t="s">
        <v>38</v>
      </c>
      <c r="J269" t="s">
        <v>214</v>
      </c>
      <c r="L269" s="2"/>
    </row>
    <row r="270" spans="1:12" x14ac:dyDescent="0.2">
      <c r="A270">
        <v>2008</v>
      </c>
      <c r="B270" t="s">
        <v>212</v>
      </c>
      <c r="C270" t="s">
        <v>397</v>
      </c>
      <c r="D270" s="22">
        <v>260</v>
      </c>
      <c r="E270" s="16"/>
      <c r="G270" t="s">
        <v>154</v>
      </c>
      <c r="H270" t="s">
        <v>194</v>
      </c>
      <c r="I270" t="s">
        <v>130</v>
      </c>
      <c r="J270" t="s">
        <v>214</v>
      </c>
      <c r="L270" s="2"/>
    </row>
    <row r="271" spans="1:12" x14ac:dyDescent="0.2">
      <c r="A271">
        <v>2008</v>
      </c>
      <c r="B271" t="s">
        <v>212</v>
      </c>
      <c r="C271" t="s">
        <v>199</v>
      </c>
      <c r="D271" s="22">
        <v>3290</v>
      </c>
      <c r="E271" s="16"/>
      <c r="F271" t="s">
        <v>2439</v>
      </c>
      <c r="G271" t="s">
        <v>144</v>
      </c>
      <c r="H271" t="s">
        <v>187</v>
      </c>
      <c r="I271" t="s">
        <v>130</v>
      </c>
      <c r="J271" t="s">
        <v>214</v>
      </c>
      <c r="L271" s="2"/>
    </row>
    <row r="272" spans="1:12" x14ac:dyDescent="0.2">
      <c r="A272">
        <v>2008</v>
      </c>
      <c r="B272" t="s">
        <v>212</v>
      </c>
      <c r="C272" t="s">
        <v>479</v>
      </c>
      <c r="D272" s="22">
        <v>200</v>
      </c>
      <c r="E272" s="16"/>
      <c r="F272" t="s">
        <v>2440</v>
      </c>
      <c r="G272" t="s">
        <v>154</v>
      </c>
      <c r="H272" t="s">
        <v>194</v>
      </c>
      <c r="I272" t="s">
        <v>43</v>
      </c>
      <c r="J272" t="s">
        <v>219</v>
      </c>
      <c r="L272" s="2"/>
    </row>
    <row r="273" spans="1:12" x14ac:dyDescent="0.2">
      <c r="A273">
        <v>2008</v>
      </c>
      <c r="B273" t="s">
        <v>212</v>
      </c>
      <c r="C273" t="s">
        <v>449</v>
      </c>
      <c r="D273" s="22">
        <v>820</v>
      </c>
      <c r="E273" s="16"/>
      <c r="G273" t="s">
        <v>154</v>
      </c>
      <c r="H273" t="s">
        <v>529</v>
      </c>
      <c r="I273" t="s">
        <v>89</v>
      </c>
      <c r="J273" t="s">
        <v>219</v>
      </c>
      <c r="L273" s="2"/>
    </row>
    <row r="274" spans="1:12" x14ac:dyDescent="0.2">
      <c r="A274">
        <v>2009</v>
      </c>
      <c r="B274" t="s">
        <v>172</v>
      </c>
      <c r="C274" t="s">
        <v>199</v>
      </c>
      <c r="D274" s="65">
        <v>1760</v>
      </c>
      <c r="E274" s="33"/>
      <c r="F274" t="s">
        <v>297</v>
      </c>
      <c r="G274" t="s">
        <v>144</v>
      </c>
      <c r="H274" t="s">
        <v>187</v>
      </c>
      <c r="I274" t="s">
        <v>54</v>
      </c>
      <c r="J274" t="s">
        <v>201</v>
      </c>
      <c r="K274" s="17"/>
      <c r="L274" s="28" t="s">
        <v>178</v>
      </c>
    </row>
    <row r="275" spans="1:12" x14ac:dyDescent="0.2">
      <c r="A275">
        <v>2009</v>
      </c>
      <c r="B275" t="s">
        <v>172</v>
      </c>
      <c r="C275" t="s">
        <v>199</v>
      </c>
      <c r="D275" s="65">
        <v>500</v>
      </c>
      <c r="E275" s="33"/>
      <c r="G275" t="s">
        <v>144</v>
      </c>
      <c r="H275" t="s">
        <v>187</v>
      </c>
      <c r="I275" t="s">
        <v>78</v>
      </c>
      <c r="J275" t="s">
        <v>183</v>
      </c>
      <c r="K275" s="17"/>
      <c r="L275" s="28" t="s">
        <v>178</v>
      </c>
    </row>
    <row r="276" spans="1:12" x14ac:dyDescent="0.2">
      <c r="A276">
        <v>2009</v>
      </c>
      <c r="B276" t="s">
        <v>258</v>
      </c>
      <c r="C276" t="s">
        <v>357</v>
      </c>
      <c r="D276" s="65">
        <v>770</v>
      </c>
      <c r="E276" s="33">
        <v>0.17</v>
      </c>
      <c r="F276" t="s">
        <v>358</v>
      </c>
      <c r="G276" t="s">
        <v>149</v>
      </c>
      <c r="H276" t="s">
        <v>182</v>
      </c>
      <c r="I276" t="s">
        <v>9</v>
      </c>
      <c r="J276" t="s">
        <v>9</v>
      </c>
      <c r="K276" s="17"/>
      <c r="L276" s="28"/>
    </row>
    <row r="277" spans="1:12" x14ac:dyDescent="0.2">
      <c r="A277">
        <v>2009</v>
      </c>
      <c r="B277" t="s">
        <v>258</v>
      </c>
      <c r="C277" t="s">
        <v>359</v>
      </c>
      <c r="D277" s="65">
        <v>990</v>
      </c>
      <c r="E277" s="33"/>
      <c r="G277" t="s">
        <v>149</v>
      </c>
      <c r="H277" t="s">
        <v>182</v>
      </c>
      <c r="I277" t="s">
        <v>96</v>
      </c>
      <c r="J277" t="s">
        <v>205</v>
      </c>
      <c r="K277" s="17"/>
      <c r="L277" s="28"/>
    </row>
    <row r="278" spans="1:12" x14ac:dyDescent="0.2">
      <c r="A278">
        <v>2009</v>
      </c>
      <c r="B278" t="s">
        <v>179</v>
      </c>
      <c r="C278" t="s">
        <v>360</v>
      </c>
      <c r="D278" s="65">
        <v>240</v>
      </c>
      <c r="E278" s="33" t="s">
        <v>361</v>
      </c>
      <c r="F278" t="s">
        <v>362</v>
      </c>
      <c r="G278" t="s">
        <v>149</v>
      </c>
      <c r="H278" t="s">
        <v>182</v>
      </c>
      <c r="I278" t="s">
        <v>25</v>
      </c>
      <c r="J278" t="s">
        <v>177</v>
      </c>
      <c r="K278" s="17"/>
      <c r="L278" s="28"/>
    </row>
    <row r="279" spans="1:12" x14ac:dyDescent="0.2">
      <c r="A279">
        <v>2009</v>
      </c>
      <c r="B279" t="s">
        <v>179</v>
      </c>
      <c r="C279" t="s">
        <v>263</v>
      </c>
      <c r="D279" s="65">
        <v>800</v>
      </c>
      <c r="E279" s="33"/>
      <c r="F279" t="s">
        <v>293</v>
      </c>
      <c r="G279" t="s">
        <v>151</v>
      </c>
      <c r="H279" t="s">
        <v>224</v>
      </c>
      <c r="I279" t="s">
        <v>131</v>
      </c>
      <c r="J279" t="s">
        <v>131</v>
      </c>
      <c r="K279" s="17"/>
      <c r="L279" s="28"/>
    </row>
    <row r="280" spans="1:12" x14ac:dyDescent="0.2">
      <c r="A280">
        <v>2009</v>
      </c>
      <c r="B280" t="s">
        <v>179</v>
      </c>
      <c r="C280" t="s">
        <v>199</v>
      </c>
      <c r="D280" s="65">
        <v>2990</v>
      </c>
      <c r="E280" s="33"/>
      <c r="G280" t="s">
        <v>144</v>
      </c>
      <c r="H280" t="s">
        <v>187</v>
      </c>
      <c r="I280" t="s">
        <v>55</v>
      </c>
      <c r="J280" t="s">
        <v>214</v>
      </c>
      <c r="K280" s="17"/>
      <c r="L280" s="28"/>
    </row>
    <row r="281" spans="1:12" x14ac:dyDescent="0.2">
      <c r="A281">
        <v>2009</v>
      </c>
      <c r="B281" t="s">
        <v>184</v>
      </c>
      <c r="C281" t="s">
        <v>199</v>
      </c>
      <c r="D281" s="65">
        <v>2600</v>
      </c>
      <c r="E281" s="33"/>
      <c r="F281" t="s">
        <v>363</v>
      </c>
      <c r="G281" t="s">
        <v>144</v>
      </c>
      <c r="H281" t="s">
        <v>299</v>
      </c>
      <c r="I281" t="s">
        <v>63</v>
      </c>
      <c r="J281" t="s">
        <v>201</v>
      </c>
      <c r="K281" s="17"/>
      <c r="L281" s="28"/>
    </row>
    <row r="282" spans="1:12" x14ac:dyDescent="0.2">
      <c r="A282">
        <v>2009</v>
      </c>
      <c r="B282" t="s">
        <v>184</v>
      </c>
      <c r="C282" t="s">
        <v>364</v>
      </c>
      <c r="D282" s="65">
        <v>1300</v>
      </c>
      <c r="E282" s="33">
        <v>1</v>
      </c>
      <c r="G282" t="s">
        <v>149</v>
      </c>
      <c r="H282" t="s">
        <v>182</v>
      </c>
      <c r="I282" t="s">
        <v>131</v>
      </c>
      <c r="J282" t="s">
        <v>131</v>
      </c>
      <c r="K282" s="17"/>
      <c r="L282" s="28" t="s">
        <v>178</v>
      </c>
    </row>
    <row r="283" spans="1:12" x14ac:dyDescent="0.2">
      <c r="A283">
        <v>2009</v>
      </c>
      <c r="B283" t="s">
        <v>184</v>
      </c>
      <c r="C283" t="s">
        <v>365</v>
      </c>
      <c r="D283" s="65">
        <v>320</v>
      </c>
      <c r="E283" s="33"/>
      <c r="G283" t="s">
        <v>151</v>
      </c>
      <c r="H283" t="s">
        <v>224</v>
      </c>
      <c r="I283" t="s">
        <v>23</v>
      </c>
      <c r="J283" t="s">
        <v>183</v>
      </c>
      <c r="K283" s="17"/>
      <c r="L283" s="28" t="s">
        <v>178</v>
      </c>
    </row>
    <row r="284" spans="1:12" x14ac:dyDescent="0.2">
      <c r="A284">
        <v>2009</v>
      </c>
      <c r="B284" t="s">
        <v>225</v>
      </c>
      <c r="C284" t="s">
        <v>366</v>
      </c>
      <c r="D284" s="65">
        <v>320</v>
      </c>
      <c r="E284" s="33"/>
      <c r="F284" t="s">
        <v>367</v>
      </c>
      <c r="G284" t="s">
        <v>144</v>
      </c>
      <c r="H284" t="s">
        <v>187</v>
      </c>
      <c r="I284" t="s">
        <v>126</v>
      </c>
      <c r="J284" t="s">
        <v>177</v>
      </c>
      <c r="K284" s="17"/>
      <c r="L284" s="28"/>
    </row>
    <row r="285" spans="1:12" x14ac:dyDescent="0.2">
      <c r="A285">
        <v>2009</v>
      </c>
      <c r="B285" t="s">
        <v>225</v>
      </c>
      <c r="C285" t="s">
        <v>368</v>
      </c>
      <c r="D285" s="65">
        <v>100</v>
      </c>
      <c r="E285" s="33">
        <v>1</v>
      </c>
      <c r="F285" t="s">
        <v>369</v>
      </c>
      <c r="G285" t="s">
        <v>149</v>
      </c>
      <c r="H285" t="s">
        <v>182</v>
      </c>
      <c r="I285" t="s">
        <v>96</v>
      </c>
      <c r="J285" t="s">
        <v>205</v>
      </c>
      <c r="K285" s="17"/>
      <c r="L285" s="28"/>
    </row>
    <row r="286" spans="1:12" x14ac:dyDescent="0.2">
      <c r="A286">
        <v>2009</v>
      </c>
      <c r="B286" t="s">
        <v>225</v>
      </c>
      <c r="C286" t="s">
        <v>180</v>
      </c>
      <c r="D286" s="65">
        <v>520</v>
      </c>
      <c r="E286" s="33">
        <v>0.1</v>
      </c>
      <c r="F286" t="s">
        <v>222</v>
      </c>
      <c r="G286" t="s">
        <v>144</v>
      </c>
      <c r="H286" t="s">
        <v>273</v>
      </c>
      <c r="I286" t="s">
        <v>9</v>
      </c>
      <c r="J286" t="s">
        <v>9</v>
      </c>
      <c r="K286" s="17"/>
      <c r="L286" s="28" t="s">
        <v>178</v>
      </c>
    </row>
    <row r="287" spans="1:12" x14ac:dyDescent="0.2">
      <c r="A287">
        <v>2009</v>
      </c>
      <c r="B287" t="s">
        <v>225</v>
      </c>
      <c r="C287" t="s">
        <v>370</v>
      </c>
      <c r="D287" s="65">
        <v>140</v>
      </c>
      <c r="E287" s="33">
        <v>0.2</v>
      </c>
      <c r="F287" t="s">
        <v>371</v>
      </c>
      <c r="G287" t="s">
        <v>149</v>
      </c>
      <c r="I287" t="s">
        <v>9</v>
      </c>
      <c r="J287" t="s">
        <v>9</v>
      </c>
      <c r="K287" s="17"/>
      <c r="L287" s="28"/>
    </row>
    <row r="288" spans="1:12" x14ac:dyDescent="0.2">
      <c r="A288">
        <v>2009</v>
      </c>
      <c r="B288" t="s">
        <v>225</v>
      </c>
      <c r="C288" t="s">
        <v>199</v>
      </c>
      <c r="D288" s="65">
        <v>1020</v>
      </c>
      <c r="E288" s="33">
        <v>0.46</v>
      </c>
      <c r="F288" t="s">
        <v>372</v>
      </c>
      <c r="G288" t="s">
        <v>144</v>
      </c>
      <c r="H288" t="s">
        <v>187</v>
      </c>
      <c r="I288" t="s">
        <v>108</v>
      </c>
      <c r="J288" t="s">
        <v>183</v>
      </c>
      <c r="K288" s="17"/>
      <c r="L288" s="28"/>
    </row>
    <row r="289" spans="1:12" x14ac:dyDescent="0.2">
      <c r="A289">
        <v>2009</v>
      </c>
      <c r="B289" t="s">
        <v>225</v>
      </c>
      <c r="C289" t="s">
        <v>244</v>
      </c>
      <c r="D289" s="65">
        <v>370</v>
      </c>
      <c r="E289" s="33">
        <v>0.85</v>
      </c>
      <c r="G289" t="s">
        <v>149</v>
      </c>
      <c r="H289" t="s">
        <v>236</v>
      </c>
      <c r="I289" t="s">
        <v>138</v>
      </c>
      <c r="J289" t="s">
        <v>219</v>
      </c>
      <c r="K289" s="17"/>
      <c r="L289" s="28" t="s">
        <v>178</v>
      </c>
    </row>
    <row r="290" spans="1:12" x14ac:dyDescent="0.2">
      <c r="A290">
        <v>2009</v>
      </c>
      <c r="B290" t="s">
        <v>225</v>
      </c>
      <c r="C290" t="s">
        <v>373</v>
      </c>
      <c r="D290" s="65">
        <v>150</v>
      </c>
      <c r="E290" s="33"/>
      <c r="F290" t="s">
        <v>374</v>
      </c>
      <c r="G290" t="s">
        <v>146</v>
      </c>
      <c r="H290" t="s">
        <v>253</v>
      </c>
      <c r="I290" t="s">
        <v>9</v>
      </c>
      <c r="J290" t="s">
        <v>9</v>
      </c>
      <c r="K290" s="17"/>
      <c r="L290" s="28"/>
    </row>
    <row r="291" spans="1:12" x14ac:dyDescent="0.2">
      <c r="A291">
        <v>2009</v>
      </c>
      <c r="B291" t="s">
        <v>188</v>
      </c>
      <c r="C291" t="s">
        <v>199</v>
      </c>
      <c r="D291" s="65">
        <v>1020</v>
      </c>
      <c r="E291" s="33">
        <v>0.51</v>
      </c>
      <c r="G291" t="s">
        <v>144</v>
      </c>
      <c r="I291" t="s">
        <v>82</v>
      </c>
      <c r="J291" t="s">
        <v>183</v>
      </c>
      <c r="K291" s="17"/>
      <c r="L291" s="28" t="s">
        <v>178</v>
      </c>
    </row>
    <row r="292" spans="1:12" x14ac:dyDescent="0.2">
      <c r="A292">
        <v>2009</v>
      </c>
      <c r="B292" t="s">
        <v>188</v>
      </c>
      <c r="C292" t="s">
        <v>280</v>
      </c>
      <c r="D292" s="65">
        <v>130</v>
      </c>
      <c r="E292" s="33">
        <v>0.24</v>
      </c>
      <c r="F292" t="s">
        <v>281</v>
      </c>
      <c r="G292" t="s">
        <v>149</v>
      </c>
      <c r="H292" t="s">
        <v>182</v>
      </c>
      <c r="I292" t="s">
        <v>9</v>
      </c>
      <c r="J292" t="s">
        <v>9</v>
      </c>
      <c r="K292" s="17"/>
      <c r="L292" s="28"/>
    </row>
    <row r="293" spans="1:12" x14ac:dyDescent="0.2">
      <c r="A293">
        <v>2009</v>
      </c>
      <c r="B293" t="s">
        <v>188</v>
      </c>
      <c r="C293" t="s">
        <v>175</v>
      </c>
      <c r="D293" s="65">
        <v>1390</v>
      </c>
      <c r="E293" s="33">
        <v>0.51</v>
      </c>
      <c r="F293" t="s">
        <v>375</v>
      </c>
      <c r="G293" t="s">
        <v>149</v>
      </c>
      <c r="I293" t="s">
        <v>9</v>
      </c>
      <c r="J293" t="s">
        <v>9</v>
      </c>
      <c r="K293" s="17"/>
      <c r="L293" s="28"/>
    </row>
    <row r="294" spans="1:12" x14ac:dyDescent="0.2">
      <c r="A294">
        <v>2009</v>
      </c>
      <c r="B294" t="s">
        <v>188</v>
      </c>
      <c r="C294" t="s">
        <v>263</v>
      </c>
      <c r="D294" s="65">
        <v>1210</v>
      </c>
      <c r="E294" s="33">
        <v>0.01</v>
      </c>
      <c r="F294" t="s">
        <v>293</v>
      </c>
      <c r="G294" t="s">
        <v>146</v>
      </c>
      <c r="H294" t="s">
        <v>275</v>
      </c>
      <c r="I294" t="s">
        <v>131</v>
      </c>
      <c r="J294" t="s">
        <v>131</v>
      </c>
      <c r="K294" s="17"/>
      <c r="L294" s="28"/>
    </row>
    <row r="295" spans="1:12" x14ac:dyDescent="0.2">
      <c r="A295">
        <v>2009</v>
      </c>
      <c r="B295" t="s">
        <v>188</v>
      </c>
      <c r="C295" t="s">
        <v>189</v>
      </c>
      <c r="D295" s="65">
        <v>7200</v>
      </c>
      <c r="E295" s="33">
        <v>1</v>
      </c>
      <c r="F295" t="s">
        <v>376</v>
      </c>
      <c r="G295" t="s">
        <v>144</v>
      </c>
      <c r="H295" t="s">
        <v>187</v>
      </c>
      <c r="I295" t="s">
        <v>119</v>
      </c>
      <c r="J295" t="s">
        <v>195</v>
      </c>
      <c r="K295" s="17"/>
      <c r="L295" s="28"/>
    </row>
    <row r="296" spans="1:12" x14ac:dyDescent="0.2">
      <c r="A296">
        <v>2009</v>
      </c>
      <c r="B296" t="s">
        <v>188</v>
      </c>
      <c r="C296" t="s">
        <v>263</v>
      </c>
      <c r="D296" s="65">
        <v>500</v>
      </c>
      <c r="E296" s="33"/>
      <c r="F296" t="s">
        <v>264</v>
      </c>
      <c r="G296" t="s">
        <v>146</v>
      </c>
      <c r="H296" t="s">
        <v>253</v>
      </c>
      <c r="I296" t="s">
        <v>131</v>
      </c>
      <c r="J296" t="s">
        <v>131</v>
      </c>
      <c r="K296" s="17"/>
      <c r="L296" s="28"/>
    </row>
    <row r="297" spans="1:12" x14ac:dyDescent="0.2">
      <c r="A297">
        <v>2009</v>
      </c>
      <c r="B297" t="s">
        <v>188</v>
      </c>
      <c r="C297" t="s">
        <v>263</v>
      </c>
      <c r="D297" s="65">
        <v>710</v>
      </c>
      <c r="E297" s="33"/>
      <c r="F297" t="s">
        <v>377</v>
      </c>
      <c r="G297" t="s">
        <v>146</v>
      </c>
      <c r="H297" t="s">
        <v>253</v>
      </c>
      <c r="I297" t="s">
        <v>131</v>
      </c>
      <c r="J297" t="s">
        <v>131</v>
      </c>
      <c r="K297" s="17"/>
      <c r="L297" s="28"/>
    </row>
    <row r="298" spans="1:12" x14ac:dyDescent="0.2">
      <c r="A298">
        <v>2009</v>
      </c>
      <c r="B298" t="s">
        <v>191</v>
      </c>
      <c r="C298" t="s">
        <v>378</v>
      </c>
      <c r="D298" s="65">
        <v>550</v>
      </c>
      <c r="E298" s="33"/>
      <c r="G298" t="s">
        <v>150</v>
      </c>
      <c r="H298" t="s">
        <v>217</v>
      </c>
      <c r="I298" t="s">
        <v>38</v>
      </c>
      <c r="J298" t="s">
        <v>214</v>
      </c>
      <c r="K298" s="17"/>
      <c r="L298" s="28" t="s">
        <v>178</v>
      </c>
    </row>
    <row r="299" spans="1:12" x14ac:dyDescent="0.2">
      <c r="A299">
        <v>2009</v>
      </c>
      <c r="B299" t="s">
        <v>191</v>
      </c>
      <c r="C299" t="s">
        <v>263</v>
      </c>
      <c r="D299" s="65">
        <v>1500</v>
      </c>
      <c r="E299" s="33">
        <v>0.17</v>
      </c>
      <c r="F299" t="s">
        <v>379</v>
      </c>
      <c r="G299" t="s">
        <v>149</v>
      </c>
      <c r="H299" t="s">
        <v>236</v>
      </c>
      <c r="I299" t="s">
        <v>25</v>
      </c>
      <c r="J299" t="s">
        <v>177</v>
      </c>
      <c r="K299" s="17"/>
      <c r="L299" s="28"/>
    </row>
    <row r="300" spans="1:12" x14ac:dyDescent="0.2">
      <c r="A300">
        <v>2009</v>
      </c>
      <c r="B300" t="s">
        <v>191</v>
      </c>
      <c r="C300" t="s">
        <v>380</v>
      </c>
      <c r="D300" s="65">
        <v>480</v>
      </c>
      <c r="E300" s="33">
        <v>1</v>
      </c>
      <c r="G300" t="s">
        <v>149</v>
      </c>
      <c r="H300" t="s">
        <v>182</v>
      </c>
      <c r="I300" t="s">
        <v>101</v>
      </c>
      <c r="J300" t="s">
        <v>201</v>
      </c>
      <c r="K300" s="17"/>
      <c r="L300" s="28" t="s">
        <v>178</v>
      </c>
    </row>
    <row r="301" spans="1:12" x14ac:dyDescent="0.2">
      <c r="A301">
        <v>2009</v>
      </c>
      <c r="B301" t="s">
        <v>191</v>
      </c>
      <c r="C301" t="s">
        <v>267</v>
      </c>
      <c r="D301" s="65">
        <v>1500</v>
      </c>
      <c r="E301" s="33">
        <v>0.04</v>
      </c>
      <c r="F301" t="s">
        <v>315</v>
      </c>
      <c r="G301" t="s">
        <v>149</v>
      </c>
      <c r="H301" t="s">
        <v>238</v>
      </c>
      <c r="I301" t="s">
        <v>9</v>
      </c>
      <c r="J301" t="s">
        <v>9</v>
      </c>
      <c r="K301" s="17"/>
      <c r="L301" s="28"/>
    </row>
    <row r="302" spans="1:12" x14ac:dyDescent="0.2">
      <c r="A302">
        <v>2009</v>
      </c>
      <c r="B302" t="s">
        <v>191</v>
      </c>
      <c r="C302" t="s">
        <v>352</v>
      </c>
      <c r="D302" s="65">
        <v>230</v>
      </c>
      <c r="E302" s="33">
        <v>0.7</v>
      </c>
      <c r="F302" t="s">
        <v>381</v>
      </c>
      <c r="G302" t="s">
        <v>144</v>
      </c>
      <c r="H302" t="s">
        <v>273</v>
      </c>
      <c r="I302" t="s">
        <v>53</v>
      </c>
      <c r="J302" t="s">
        <v>183</v>
      </c>
      <c r="K302" s="17"/>
      <c r="L302" s="28" t="s">
        <v>178</v>
      </c>
    </row>
    <row r="303" spans="1:12" x14ac:dyDescent="0.2">
      <c r="A303">
        <v>2009</v>
      </c>
      <c r="B303" t="s">
        <v>191</v>
      </c>
      <c r="C303" t="s">
        <v>263</v>
      </c>
      <c r="D303" s="65">
        <v>370</v>
      </c>
      <c r="E303" s="33">
        <v>0.01</v>
      </c>
      <c r="F303" t="s">
        <v>382</v>
      </c>
      <c r="G303" t="s">
        <v>142</v>
      </c>
      <c r="I303" t="s">
        <v>20</v>
      </c>
      <c r="J303" t="s">
        <v>195</v>
      </c>
      <c r="K303" s="17"/>
      <c r="L303" s="28"/>
    </row>
    <row r="304" spans="1:12" x14ac:dyDescent="0.2">
      <c r="A304">
        <v>2009</v>
      </c>
      <c r="B304" t="s">
        <v>191</v>
      </c>
      <c r="C304" t="s">
        <v>383</v>
      </c>
      <c r="D304" s="65">
        <v>740</v>
      </c>
      <c r="E304" s="33" t="s">
        <v>384</v>
      </c>
      <c r="G304" t="s">
        <v>151</v>
      </c>
      <c r="H304" t="s">
        <v>224</v>
      </c>
      <c r="I304" t="s">
        <v>76</v>
      </c>
      <c r="J304" t="s">
        <v>219</v>
      </c>
      <c r="K304" s="17"/>
      <c r="L304" s="28" t="s">
        <v>178</v>
      </c>
    </row>
    <row r="305" spans="1:12" x14ac:dyDescent="0.2">
      <c r="A305">
        <v>2009</v>
      </c>
      <c r="B305" t="s">
        <v>198</v>
      </c>
      <c r="C305" t="s">
        <v>263</v>
      </c>
      <c r="D305" s="65">
        <v>450</v>
      </c>
      <c r="E305" s="33">
        <v>0.19</v>
      </c>
      <c r="F305" t="s">
        <v>385</v>
      </c>
      <c r="G305" t="s">
        <v>151</v>
      </c>
      <c r="H305" t="s">
        <v>224</v>
      </c>
      <c r="I305" t="s">
        <v>20</v>
      </c>
      <c r="J305" t="s">
        <v>195</v>
      </c>
      <c r="K305" s="17"/>
      <c r="L305" s="28"/>
    </row>
    <row r="306" spans="1:12" x14ac:dyDescent="0.2">
      <c r="A306">
        <v>2009</v>
      </c>
      <c r="B306" t="s">
        <v>198</v>
      </c>
      <c r="C306" t="s">
        <v>199</v>
      </c>
      <c r="D306" s="65">
        <v>1740</v>
      </c>
      <c r="E306" s="33">
        <v>0.6</v>
      </c>
      <c r="F306" t="s">
        <v>386</v>
      </c>
      <c r="G306" t="s">
        <v>144</v>
      </c>
      <c r="H306" t="s">
        <v>187</v>
      </c>
      <c r="I306" t="s">
        <v>25</v>
      </c>
      <c r="J306" t="s">
        <v>177</v>
      </c>
      <c r="K306" s="17"/>
      <c r="L306" s="28"/>
    </row>
    <row r="307" spans="1:12" x14ac:dyDescent="0.2">
      <c r="A307">
        <v>2009</v>
      </c>
      <c r="B307" t="s">
        <v>198</v>
      </c>
      <c r="C307" t="s">
        <v>185</v>
      </c>
      <c r="D307" s="65">
        <v>100</v>
      </c>
      <c r="E307" s="33"/>
      <c r="F307" t="s">
        <v>387</v>
      </c>
      <c r="G307" t="s">
        <v>144</v>
      </c>
      <c r="H307" t="s">
        <v>299</v>
      </c>
      <c r="I307" t="s">
        <v>100</v>
      </c>
      <c r="J307" t="s">
        <v>214</v>
      </c>
      <c r="K307" s="17"/>
      <c r="L307" s="28" t="s">
        <v>178</v>
      </c>
    </row>
    <row r="308" spans="1:12" x14ac:dyDescent="0.2">
      <c r="A308">
        <v>2009</v>
      </c>
      <c r="B308" t="s">
        <v>198</v>
      </c>
      <c r="C308" t="s">
        <v>313</v>
      </c>
      <c r="D308" s="65">
        <v>880</v>
      </c>
      <c r="E308" s="33">
        <v>1</v>
      </c>
      <c r="F308" t="s">
        <v>388</v>
      </c>
      <c r="G308" t="s">
        <v>144</v>
      </c>
      <c r="I308" t="s">
        <v>20</v>
      </c>
      <c r="J308" t="s">
        <v>195</v>
      </c>
      <c r="K308" s="17"/>
      <c r="L308" s="28"/>
    </row>
    <row r="309" spans="1:12" x14ac:dyDescent="0.2">
      <c r="A309">
        <v>2009</v>
      </c>
      <c r="B309" t="s">
        <v>198</v>
      </c>
      <c r="C309" t="s">
        <v>389</v>
      </c>
      <c r="D309" s="65">
        <v>2950</v>
      </c>
      <c r="E309" s="33">
        <v>1</v>
      </c>
      <c r="F309" t="s">
        <v>390</v>
      </c>
      <c r="G309" t="s">
        <v>144</v>
      </c>
      <c r="H309" t="s">
        <v>273</v>
      </c>
      <c r="I309" t="s">
        <v>9</v>
      </c>
      <c r="J309" t="s">
        <v>9</v>
      </c>
      <c r="K309" s="17"/>
      <c r="L309" s="28"/>
    </row>
    <row r="310" spans="1:12" x14ac:dyDescent="0.2">
      <c r="A310">
        <v>2009</v>
      </c>
      <c r="B310" t="s">
        <v>198</v>
      </c>
      <c r="C310" t="s">
        <v>263</v>
      </c>
      <c r="D310" s="65">
        <v>1090</v>
      </c>
      <c r="E310" s="33"/>
      <c r="F310" t="s">
        <v>391</v>
      </c>
      <c r="G310" t="s">
        <v>151</v>
      </c>
      <c r="H310" t="s">
        <v>224</v>
      </c>
      <c r="I310" t="s">
        <v>9</v>
      </c>
      <c r="J310" t="s">
        <v>9</v>
      </c>
      <c r="K310" s="17"/>
      <c r="L310" s="28"/>
    </row>
    <row r="311" spans="1:12" x14ac:dyDescent="0.2">
      <c r="A311">
        <v>2009</v>
      </c>
      <c r="B311" t="s">
        <v>198</v>
      </c>
      <c r="C311" t="s">
        <v>199</v>
      </c>
      <c r="D311" s="65">
        <v>470</v>
      </c>
      <c r="E311" s="33">
        <v>0.6</v>
      </c>
      <c r="G311" t="s">
        <v>144</v>
      </c>
      <c r="H311" t="s">
        <v>187</v>
      </c>
      <c r="I311" t="s">
        <v>26</v>
      </c>
      <c r="J311" t="s">
        <v>219</v>
      </c>
      <c r="K311" s="17"/>
      <c r="L311" s="28" t="s">
        <v>178</v>
      </c>
    </row>
    <row r="312" spans="1:12" x14ac:dyDescent="0.2">
      <c r="A312">
        <v>2009</v>
      </c>
      <c r="B312" t="s">
        <v>198</v>
      </c>
      <c r="C312" t="s">
        <v>199</v>
      </c>
      <c r="D312" s="65">
        <v>1190</v>
      </c>
      <c r="E312" s="33"/>
      <c r="G312" t="s">
        <v>144</v>
      </c>
      <c r="H312" t="s">
        <v>299</v>
      </c>
      <c r="I312" t="s">
        <v>129</v>
      </c>
      <c r="J312" t="s">
        <v>201</v>
      </c>
      <c r="K312" s="17"/>
      <c r="L312" s="28" t="s">
        <v>178</v>
      </c>
    </row>
    <row r="313" spans="1:12" x14ac:dyDescent="0.2">
      <c r="A313">
        <v>2009</v>
      </c>
      <c r="B313" t="s">
        <v>202</v>
      </c>
      <c r="C313" t="s">
        <v>392</v>
      </c>
      <c r="D313" s="65">
        <v>1000</v>
      </c>
      <c r="E313" s="33">
        <v>0.01</v>
      </c>
      <c r="F313" t="s">
        <v>393</v>
      </c>
      <c r="G313" t="s">
        <v>152</v>
      </c>
      <c r="H313" t="s">
        <v>257</v>
      </c>
      <c r="I313" t="s">
        <v>114</v>
      </c>
      <c r="J313" t="s">
        <v>195</v>
      </c>
      <c r="K313" s="17"/>
      <c r="L313" s="28"/>
    </row>
    <row r="314" spans="1:12" x14ac:dyDescent="0.2">
      <c r="A314">
        <v>2009</v>
      </c>
      <c r="B314" t="s">
        <v>202</v>
      </c>
      <c r="C314" t="s">
        <v>199</v>
      </c>
      <c r="D314" s="65">
        <v>1160</v>
      </c>
      <c r="E314" s="33">
        <v>0.5</v>
      </c>
      <c r="F314" t="s">
        <v>394</v>
      </c>
      <c r="G314" t="s">
        <v>144</v>
      </c>
      <c r="H314" t="s">
        <v>187</v>
      </c>
      <c r="I314" t="s">
        <v>108</v>
      </c>
      <c r="J314" t="s">
        <v>183</v>
      </c>
      <c r="K314" s="17"/>
      <c r="L314" s="28"/>
    </row>
    <row r="315" spans="1:12" x14ac:dyDescent="0.2">
      <c r="A315">
        <v>2009</v>
      </c>
      <c r="B315" t="s">
        <v>202</v>
      </c>
      <c r="C315" t="s">
        <v>263</v>
      </c>
      <c r="D315" s="65">
        <v>940</v>
      </c>
      <c r="E315" s="33">
        <v>0.11</v>
      </c>
      <c r="F315" t="s">
        <v>395</v>
      </c>
      <c r="G315" t="s">
        <v>144</v>
      </c>
      <c r="H315" t="s">
        <v>299</v>
      </c>
      <c r="I315" t="s">
        <v>63</v>
      </c>
      <c r="J315" t="s">
        <v>201</v>
      </c>
      <c r="K315" s="17"/>
      <c r="L315" s="28"/>
    </row>
    <row r="316" spans="1:12" x14ac:dyDescent="0.2">
      <c r="A316">
        <v>2009</v>
      </c>
      <c r="B316" t="s">
        <v>202</v>
      </c>
      <c r="C316" t="s">
        <v>263</v>
      </c>
      <c r="D316" s="65">
        <v>1200</v>
      </c>
      <c r="E316" s="33"/>
      <c r="F316" t="s">
        <v>396</v>
      </c>
      <c r="G316" t="s">
        <v>151</v>
      </c>
      <c r="H316" t="s">
        <v>224</v>
      </c>
      <c r="I316" t="s">
        <v>131</v>
      </c>
      <c r="J316" t="s">
        <v>131</v>
      </c>
      <c r="K316" s="17"/>
      <c r="L316" s="28"/>
    </row>
    <row r="317" spans="1:12" x14ac:dyDescent="0.2">
      <c r="A317">
        <v>2009</v>
      </c>
      <c r="B317" t="s">
        <v>202</v>
      </c>
      <c r="C317" t="s">
        <v>397</v>
      </c>
      <c r="D317" s="65">
        <v>100</v>
      </c>
      <c r="E317" s="33">
        <v>2.75E-2</v>
      </c>
      <c r="F317" t="s">
        <v>398</v>
      </c>
      <c r="G317" t="s">
        <v>153</v>
      </c>
      <c r="I317" t="s">
        <v>12</v>
      </c>
      <c r="J317" t="s">
        <v>177</v>
      </c>
      <c r="K317" s="17"/>
      <c r="L317" s="28" t="s">
        <v>178</v>
      </c>
    </row>
    <row r="318" spans="1:12" x14ac:dyDescent="0.2">
      <c r="A318">
        <v>2009</v>
      </c>
      <c r="B318" t="s">
        <v>202</v>
      </c>
      <c r="C318" t="s">
        <v>399</v>
      </c>
      <c r="D318" s="65">
        <v>350</v>
      </c>
      <c r="E318" s="33">
        <v>0.4</v>
      </c>
      <c r="F318" t="s">
        <v>400</v>
      </c>
      <c r="G318" t="s">
        <v>150</v>
      </c>
      <c r="H318" t="s">
        <v>217</v>
      </c>
      <c r="I318" t="s">
        <v>131</v>
      </c>
      <c r="J318" t="s">
        <v>131</v>
      </c>
      <c r="K318" s="17"/>
      <c r="L318" s="28"/>
    </row>
    <row r="319" spans="1:12" x14ac:dyDescent="0.2">
      <c r="A319">
        <v>2009</v>
      </c>
      <c r="B319" t="s">
        <v>202</v>
      </c>
      <c r="C319" t="s">
        <v>283</v>
      </c>
      <c r="D319" s="65">
        <v>530</v>
      </c>
      <c r="E319" s="33"/>
      <c r="F319" t="s">
        <v>401</v>
      </c>
      <c r="G319" t="s">
        <v>146</v>
      </c>
      <c r="H319" t="s">
        <v>275</v>
      </c>
      <c r="I319" t="s">
        <v>124</v>
      </c>
      <c r="J319" t="s">
        <v>183</v>
      </c>
      <c r="K319" s="17"/>
      <c r="L319" s="28"/>
    </row>
    <row r="320" spans="1:12" x14ac:dyDescent="0.2">
      <c r="A320">
        <v>2009</v>
      </c>
      <c r="B320" t="s">
        <v>207</v>
      </c>
      <c r="C320" t="s">
        <v>263</v>
      </c>
      <c r="D320" s="65">
        <v>250</v>
      </c>
      <c r="E320" s="33">
        <v>0.13</v>
      </c>
      <c r="F320" t="s">
        <v>402</v>
      </c>
      <c r="G320" t="s">
        <v>144</v>
      </c>
      <c r="H320" t="s">
        <v>273</v>
      </c>
      <c r="I320" t="s">
        <v>78</v>
      </c>
      <c r="J320" t="s">
        <v>183</v>
      </c>
      <c r="K320" s="17"/>
      <c r="L320" s="28"/>
    </row>
    <row r="321" spans="1:12" x14ac:dyDescent="0.2">
      <c r="A321">
        <v>2009</v>
      </c>
      <c r="B321" t="s">
        <v>207</v>
      </c>
      <c r="C321" t="s">
        <v>263</v>
      </c>
      <c r="D321" s="65">
        <v>300</v>
      </c>
      <c r="E321" s="33">
        <v>0.45</v>
      </c>
      <c r="F321" t="s">
        <v>403</v>
      </c>
      <c r="G321" t="s">
        <v>144</v>
      </c>
      <c r="H321" t="s">
        <v>187</v>
      </c>
      <c r="I321" t="s">
        <v>101</v>
      </c>
      <c r="J321" t="s">
        <v>201</v>
      </c>
      <c r="K321" s="17"/>
      <c r="L321" s="28"/>
    </row>
    <row r="322" spans="1:12" x14ac:dyDescent="0.2">
      <c r="A322">
        <v>2009</v>
      </c>
      <c r="B322" t="s">
        <v>207</v>
      </c>
      <c r="C322" t="s">
        <v>199</v>
      </c>
      <c r="D322" s="65">
        <v>260</v>
      </c>
      <c r="E322" s="33"/>
      <c r="G322" t="s">
        <v>144</v>
      </c>
      <c r="H322" t="s">
        <v>187</v>
      </c>
      <c r="I322" t="s">
        <v>116</v>
      </c>
      <c r="J322" t="s">
        <v>214</v>
      </c>
      <c r="K322" s="17"/>
      <c r="L322" s="28" t="s">
        <v>178</v>
      </c>
    </row>
    <row r="323" spans="1:12" x14ac:dyDescent="0.2">
      <c r="A323">
        <v>2009</v>
      </c>
      <c r="B323" t="s">
        <v>207</v>
      </c>
      <c r="C323" t="s">
        <v>199</v>
      </c>
      <c r="D323" s="65">
        <v>5590</v>
      </c>
      <c r="E323" s="33">
        <v>0.37</v>
      </c>
      <c r="F323" t="s">
        <v>404</v>
      </c>
      <c r="G323" t="s">
        <v>144</v>
      </c>
      <c r="H323" t="s">
        <v>187</v>
      </c>
      <c r="I323" t="s">
        <v>55</v>
      </c>
      <c r="J323" t="s">
        <v>214</v>
      </c>
      <c r="K323" s="17"/>
      <c r="L323" s="28" t="s">
        <v>178</v>
      </c>
    </row>
    <row r="324" spans="1:12" x14ac:dyDescent="0.2">
      <c r="A324">
        <v>2009</v>
      </c>
      <c r="B324" t="s">
        <v>240</v>
      </c>
      <c r="C324" t="s">
        <v>405</v>
      </c>
      <c r="D324" s="65">
        <v>240</v>
      </c>
      <c r="E324" s="33">
        <v>0.15</v>
      </c>
      <c r="F324" t="s">
        <v>406</v>
      </c>
      <c r="G324" t="s">
        <v>149</v>
      </c>
      <c r="H324" t="s">
        <v>182</v>
      </c>
      <c r="I324" t="s">
        <v>9</v>
      </c>
      <c r="J324" t="s">
        <v>9</v>
      </c>
      <c r="K324" s="17"/>
      <c r="L324" s="28"/>
    </row>
    <row r="325" spans="1:12" x14ac:dyDescent="0.2">
      <c r="A325">
        <v>2009</v>
      </c>
      <c r="B325" t="s">
        <v>240</v>
      </c>
      <c r="C325" t="s">
        <v>263</v>
      </c>
      <c r="D325" s="65">
        <v>1580</v>
      </c>
      <c r="E325" s="33">
        <v>0.15</v>
      </c>
      <c r="F325" t="s">
        <v>407</v>
      </c>
      <c r="G325" t="s">
        <v>144</v>
      </c>
      <c r="I325" t="s">
        <v>131</v>
      </c>
      <c r="J325" t="s">
        <v>131</v>
      </c>
      <c r="K325" s="17"/>
      <c r="L325" s="28"/>
    </row>
    <row r="326" spans="1:12" x14ac:dyDescent="0.2">
      <c r="A326">
        <v>2009</v>
      </c>
      <c r="B326" t="s">
        <v>240</v>
      </c>
      <c r="C326" t="s">
        <v>359</v>
      </c>
      <c r="D326" s="65">
        <v>100</v>
      </c>
      <c r="E326" s="33"/>
      <c r="F326" t="s">
        <v>408</v>
      </c>
      <c r="G326" t="s">
        <v>154</v>
      </c>
      <c r="H326" t="s">
        <v>194</v>
      </c>
      <c r="I326" t="s">
        <v>131</v>
      </c>
      <c r="J326" t="s">
        <v>131</v>
      </c>
      <c r="K326" s="17"/>
      <c r="L326" s="28"/>
    </row>
    <row r="327" spans="1:12" x14ac:dyDescent="0.2">
      <c r="A327">
        <v>2009</v>
      </c>
      <c r="B327" t="s">
        <v>240</v>
      </c>
      <c r="C327" t="s">
        <v>360</v>
      </c>
      <c r="D327" s="65">
        <v>400</v>
      </c>
      <c r="E327" s="33">
        <v>0.22</v>
      </c>
      <c r="F327" t="s">
        <v>409</v>
      </c>
      <c r="G327" t="s">
        <v>149</v>
      </c>
      <c r="H327" t="s">
        <v>182</v>
      </c>
      <c r="I327" t="s">
        <v>19</v>
      </c>
      <c r="J327" t="s">
        <v>205</v>
      </c>
      <c r="K327" s="17"/>
      <c r="L327" s="28"/>
    </row>
    <row r="328" spans="1:12" x14ac:dyDescent="0.2">
      <c r="A328">
        <v>2009</v>
      </c>
      <c r="B328" t="s">
        <v>240</v>
      </c>
      <c r="C328" t="s">
        <v>410</v>
      </c>
      <c r="D328" s="65">
        <v>120</v>
      </c>
      <c r="E328" s="33"/>
      <c r="F328" t="s">
        <v>411</v>
      </c>
      <c r="G328" t="s">
        <v>154</v>
      </c>
      <c r="H328" t="s">
        <v>194</v>
      </c>
      <c r="I328" t="s">
        <v>22</v>
      </c>
      <c r="J328" t="s">
        <v>195</v>
      </c>
      <c r="K328" s="17"/>
      <c r="L328" s="28" t="s">
        <v>178</v>
      </c>
    </row>
    <row r="329" spans="1:12" x14ac:dyDescent="0.2">
      <c r="A329">
        <v>2009</v>
      </c>
      <c r="B329" t="s">
        <v>240</v>
      </c>
      <c r="C329" t="s">
        <v>360</v>
      </c>
      <c r="D329" s="65">
        <v>250</v>
      </c>
      <c r="E329" s="33">
        <v>0.15</v>
      </c>
      <c r="F329" t="s">
        <v>412</v>
      </c>
      <c r="G329" t="s">
        <v>149</v>
      </c>
      <c r="H329" t="s">
        <v>182</v>
      </c>
      <c r="I329" t="s">
        <v>9</v>
      </c>
      <c r="J329" t="s">
        <v>9</v>
      </c>
      <c r="K329" s="17"/>
      <c r="L329" s="28"/>
    </row>
    <row r="330" spans="1:12" x14ac:dyDescent="0.2">
      <c r="A330">
        <v>2009</v>
      </c>
      <c r="B330" t="s">
        <v>240</v>
      </c>
      <c r="C330" t="s">
        <v>185</v>
      </c>
      <c r="D330" s="65">
        <v>100</v>
      </c>
      <c r="E330" s="33"/>
      <c r="F330" t="s">
        <v>413</v>
      </c>
      <c r="G330" t="s">
        <v>144</v>
      </c>
      <c r="H330" t="s">
        <v>187</v>
      </c>
      <c r="I330" t="s">
        <v>131</v>
      </c>
      <c r="J330" t="s">
        <v>131</v>
      </c>
      <c r="K330" s="17"/>
      <c r="L330" s="28"/>
    </row>
    <row r="331" spans="1:12" x14ac:dyDescent="0.2">
      <c r="A331">
        <v>2009</v>
      </c>
      <c r="B331" t="s">
        <v>212</v>
      </c>
      <c r="C331" t="s">
        <v>414</v>
      </c>
      <c r="D331" s="65">
        <v>200</v>
      </c>
      <c r="E331" s="33"/>
      <c r="F331" t="s">
        <v>415</v>
      </c>
      <c r="G331" t="s">
        <v>154</v>
      </c>
      <c r="H331" t="s">
        <v>194</v>
      </c>
      <c r="I331" t="s">
        <v>131</v>
      </c>
      <c r="J331" t="s">
        <v>131</v>
      </c>
      <c r="K331" s="17"/>
      <c r="L331" s="28"/>
    </row>
    <row r="332" spans="1:12" x14ac:dyDescent="0.2">
      <c r="A332">
        <v>2009</v>
      </c>
      <c r="B332" t="s">
        <v>212</v>
      </c>
      <c r="C332" t="s">
        <v>416</v>
      </c>
      <c r="D332" s="65">
        <v>350</v>
      </c>
      <c r="E332" s="33">
        <v>0.5</v>
      </c>
      <c r="F332" t="s">
        <v>417</v>
      </c>
      <c r="G332" t="s">
        <v>154</v>
      </c>
      <c r="H332" t="s">
        <v>194</v>
      </c>
      <c r="I332" t="s">
        <v>52</v>
      </c>
      <c r="J332" t="s">
        <v>201</v>
      </c>
      <c r="K332" s="17"/>
      <c r="L332" s="28"/>
    </row>
    <row r="333" spans="1:12" x14ac:dyDescent="0.2">
      <c r="A333">
        <v>2009</v>
      </c>
      <c r="B333" t="s">
        <v>212</v>
      </c>
      <c r="C333" t="s">
        <v>418</v>
      </c>
      <c r="D333" s="65">
        <v>150</v>
      </c>
      <c r="E333" s="33">
        <v>0.5</v>
      </c>
      <c r="F333" t="s">
        <v>419</v>
      </c>
      <c r="G333" t="s">
        <v>153</v>
      </c>
      <c r="I333" t="s">
        <v>131</v>
      </c>
      <c r="J333" t="s">
        <v>131</v>
      </c>
      <c r="K333" s="17"/>
      <c r="L333" s="28"/>
    </row>
    <row r="334" spans="1:12" x14ac:dyDescent="0.2">
      <c r="A334">
        <v>2009</v>
      </c>
      <c r="B334" t="s">
        <v>212</v>
      </c>
      <c r="C334" t="s">
        <v>263</v>
      </c>
      <c r="D334" s="65">
        <v>500</v>
      </c>
      <c r="E334" s="33"/>
      <c r="F334" t="s">
        <v>420</v>
      </c>
      <c r="G334" t="s">
        <v>149</v>
      </c>
      <c r="H334" t="s">
        <v>182</v>
      </c>
      <c r="I334" t="s">
        <v>19</v>
      </c>
      <c r="J334" t="s">
        <v>205</v>
      </c>
      <c r="K334" s="17"/>
      <c r="L334" s="28"/>
    </row>
    <row r="335" spans="1:12" x14ac:dyDescent="0.2">
      <c r="A335">
        <v>2009</v>
      </c>
      <c r="B335" t="s">
        <v>212</v>
      </c>
      <c r="C335" s="52" t="s">
        <v>255</v>
      </c>
      <c r="D335" s="65">
        <v>500</v>
      </c>
      <c r="E335" s="33"/>
      <c r="G335" t="s">
        <v>152</v>
      </c>
      <c r="H335" t="s">
        <v>257</v>
      </c>
      <c r="I335" t="s">
        <v>93</v>
      </c>
      <c r="J335" t="s">
        <v>201</v>
      </c>
      <c r="K335" s="17"/>
      <c r="L335" s="28" t="s">
        <v>178</v>
      </c>
    </row>
    <row r="336" spans="1:12" x14ac:dyDescent="0.2">
      <c r="A336">
        <v>2009</v>
      </c>
      <c r="B336" t="s">
        <v>212</v>
      </c>
      <c r="C336" t="s">
        <v>421</v>
      </c>
      <c r="D336" s="65">
        <v>140</v>
      </c>
      <c r="E336" s="33">
        <v>0.81</v>
      </c>
      <c r="F336" t="s">
        <v>422</v>
      </c>
      <c r="G336" t="s">
        <v>154</v>
      </c>
      <c r="H336" t="s">
        <v>250</v>
      </c>
      <c r="I336" t="s">
        <v>10</v>
      </c>
      <c r="J336" t="s">
        <v>195</v>
      </c>
      <c r="K336" s="17"/>
      <c r="L336" s="28"/>
    </row>
    <row r="337" spans="1:12" x14ac:dyDescent="0.2">
      <c r="A337">
        <v>2009</v>
      </c>
      <c r="B337" t="s">
        <v>172</v>
      </c>
      <c r="C337" t="s">
        <v>397</v>
      </c>
      <c r="D337" s="22">
        <v>230</v>
      </c>
      <c r="E337" s="16"/>
      <c r="F337" t="s">
        <v>2441</v>
      </c>
      <c r="G337" t="s">
        <v>147</v>
      </c>
      <c r="I337" t="s">
        <v>130</v>
      </c>
      <c r="J337" t="s">
        <v>214</v>
      </c>
      <c r="L337" s="2"/>
    </row>
    <row r="338" spans="1:12" x14ac:dyDescent="0.2">
      <c r="A338">
        <v>2009</v>
      </c>
      <c r="B338" t="s">
        <v>172</v>
      </c>
      <c r="C338" t="s">
        <v>397</v>
      </c>
      <c r="D338" s="22">
        <v>440</v>
      </c>
      <c r="E338" s="16"/>
      <c r="F338" t="s">
        <v>2442</v>
      </c>
      <c r="G338" t="s">
        <v>151</v>
      </c>
      <c r="H338" t="s">
        <v>279</v>
      </c>
      <c r="I338" t="s">
        <v>130</v>
      </c>
      <c r="J338" t="s">
        <v>214</v>
      </c>
      <c r="L338" s="2"/>
    </row>
    <row r="339" spans="1:12" x14ac:dyDescent="0.2">
      <c r="A339">
        <v>2009</v>
      </c>
      <c r="B339" t="s">
        <v>172</v>
      </c>
      <c r="C339" t="s">
        <v>196</v>
      </c>
      <c r="D339" s="22">
        <v>160</v>
      </c>
      <c r="E339" s="16"/>
      <c r="G339" t="s">
        <v>144</v>
      </c>
      <c r="H339" t="s">
        <v>197</v>
      </c>
      <c r="I339" t="s">
        <v>74</v>
      </c>
      <c r="J339" t="s">
        <v>219</v>
      </c>
      <c r="L339" s="2"/>
    </row>
    <row r="340" spans="1:12" x14ac:dyDescent="0.2">
      <c r="A340">
        <v>2009</v>
      </c>
      <c r="B340" t="s">
        <v>172</v>
      </c>
      <c r="C340" t="s">
        <v>745</v>
      </c>
      <c r="D340" s="22">
        <v>440</v>
      </c>
      <c r="E340" s="16"/>
      <c r="F340" t="s">
        <v>2443</v>
      </c>
      <c r="G340" t="s">
        <v>149</v>
      </c>
      <c r="H340" t="s">
        <v>182</v>
      </c>
      <c r="I340" t="s">
        <v>128</v>
      </c>
      <c r="J340" t="s">
        <v>201</v>
      </c>
      <c r="L340" s="2"/>
    </row>
    <row r="341" spans="1:12" x14ac:dyDescent="0.2">
      <c r="A341">
        <v>2009</v>
      </c>
      <c r="B341" t="s">
        <v>172</v>
      </c>
      <c r="C341" t="s">
        <v>530</v>
      </c>
      <c r="D341" s="22">
        <v>240</v>
      </c>
      <c r="E341" s="16"/>
      <c r="F341" t="s">
        <v>2444</v>
      </c>
      <c r="G341" t="s">
        <v>152</v>
      </c>
      <c r="H341" t="s">
        <v>257</v>
      </c>
      <c r="I341" t="s">
        <v>2445</v>
      </c>
      <c r="J341" t="s">
        <v>177</v>
      </c>
      <c r="L341" s="2"/>
    </row>
    <row r="342" spans="1:12" x14ac:dyDescent="0.2">
      <c r="A342">
        <v>2009</v>
      </c>
      <c r="B342" t="s">
        <v>172</v>
      </c>
      <c r="C342" t="s">
        <v>196</v>
      </c>
      <c r="D342" s="22">
        <v>220</v>
      </c>
      <c r="E342" s="16"/>
      <c r="G342" t="s">
        <v>154</v>
      </c>
      <c r="H342" t="s">
        <v>194</v>
      </c>
      <c r="I342" t="s">
        <v>116</v>
      </c>
      <c r="J342" t="s">
        <v>214</v>
      </c>
      <c r="L342" s="2"/>
    </row>
    <row r="343" spans="1:12" x14ac:dyDescent="0.2">
      <c r="A343">
        <v>2009</v>
      </c>
      <c r="B343" t="s">
        <v>172</v>
      </c>
      <c r="C343" t="s">
        <v>444</v>
      </c>
      <c r="D343" s="22">
        <v>300</v>
      </c>
      <c r="E343" s="16"/>
      <c r="G343" t="s">
        <v>155</v>
      </c>
      <c r="I343" t="s">
        <v>6</v>
      </c>
      <c r="J343" t="s">
        <v>219</v>
      </c>
      <c r="L343" s="2"/>
    </row>
    <row r="344" spans="1:12" x14ac:dyDescent="0.2">
      <c r="A344">
        <v>2009</v>
      </c>
      <c r="B344" t="s">
        <v>172</v>
      </c>
      <c r="C344" t="s">
        <v>196</v>
      </c>
      <c r="D344" s="22">
        <v>100</v>
      </c>
      <c r="E344" s="16"/>
      <c r="G344" t="s">
        <v>144</v>
      </c>
      <c r="H344" t="s">
        <v>197</v>
      </c>
      <c r="I344" t="s">
        <v>18</v>
      </c>
      <c r="J344" t="s">
        <v>219</v>
      </c>
      <c r="L344" s="2"/>
    </row>
    <row r="345" spans="1:12" x14ac:dyDescent="0.2">
      <c r="A345">
        <v>2009</v>
      </c>
      <c r="B345" t="s">
        <v>258</v>
      </c>
      <c r="C345" t="s">
        <v>479</v>
      </c>
      <c r="D345" s="22">
        <v>1130</v>
      </c>
      <c r="E345" s="16"/>
      <c r="G345" t="s">
        <v>154</v>
      </c>
      <c r="H345" t="s">
        <v>271</v>
      </c>
      <c r="I345" t="s">
        <v>6</v>
      </c>
      <c r="J345" t="s">
        <v>219</v>
      </c>
      <c r="L345" s="2"/>
    </row>
    <row r="346" spans="1:12" x14ac:dyDescent="0.2">
      <c r="A346">
        <v>2009</v>
      </c>
      <c r="B346" t="s">
        <v>258</v>
      </c>
      <c r="C346" t="s">
        <v>449</v>
      </c>
      <c r="D346" s="22">
        <v>390</v>
      </c>
      <c r="E346" s="16">
        <v>0.21</v>
      </c>
      <c r="G346" t="s">
        <v>154</v>
      </c>
      <c r="H346" t="s">
        <v>529</v>
      </c>
      <c r="I346" t="s">
        <v>105</v>
      </c>
      <c r="J346" t="s">
        <v>214</v>
      </c>
      <c r="L346" s="2"/>
    </row>
    <row r="347" spans="1:12" x14ac:dyDescent="0.2">
      <c r="A347">
        <v>2009</v>
      </c>
      <c r="B347" t="s">
        <v>258</v>
      </c>
      <c r="C347" t="s">
        <v>444</v>
      </c>
      <c r="D347" s="22">
        <v>580</v>
      </c>
      <c r="E347" s="16"/>
      <c r="G347" t="s">
        <v>144</v>
      </c>
      <c r="I347" t="s">
        <v>97</v>
      </c>
      <c r="J347" t="s">
        <v>183</v>
      </c>
      <c r="L347" s="2"/>
    </row>
    <row r="348" spans="1:12" x14ac:dyDescent="0.2">
      <c r="A348">
        <v>2009</v>
      </c>
      <c r="B348" t="s">
        <v>258</v>
      </c>
      <c r="C348" t="s">
        <v>444</v>
      </c>
      <c r="D348" s="22">
        <v>140</v>
      </c>
      <c r="E348" s="16"/>
      <c r="G348" t="s">
        <v>144</v>
      </c>
      <c r="H348" t="s">
        <v>197</v>
      </c>
      <c r="I348" t="s">
        <v>70</v>
      </c>
      <c r="J348" t="s">
        <v>219</v>
      </c>
      <c r="L348" s="2"/>
    </row>
    <row r="349" spans="1:12" x14ac:dyDescent="0.2">
      <c r="A349">
        <v>2009</v>
      </c>
      <c r="B349" t="s">
        <v>258</v>
      </c>
      <c r="C349" t="s">
        <v>479</v>
      </c>
      <c r="D349" s="22">
        <v>100</v>
      </c>
      <c r="E349" s="16"/>
      <c r="G349" t="s">
        <v>154</v>
      </c>
      <c r="H349" t="s">
        <v>271</v>
      </c>
      <c r="I349" t="s">
        <v>105</v>
      </c>
      <c r="J349" t="s">
        <v>214</v>
      </c>
      <c r="L349" s="2"/>
    </row>
    <row r="350" spans="1:12" x14ac:dyDescent="0.2">
      <c r="A350">
        <v>2009</v>
      </c>
      <c r="B350" t="s">
        <v>258</v>
      </c>
      <c r="C350" t="s">
        <v>449</v>
      </c>
      <c r="D350" s="22">
        <v>1160</v>
      </c>
      <c r="E350" s="16"/>
      <c r="G350" t="s">
        <v>154</v>
      </c>
      <c r="H350" t="s">
        <v>529</v>
      </c>
      <c r="I350" t="s">
        <v>105</v>
      </c>
      <c r="J350" t="s">
        <v>214</v>
      </c>
      <c r="L350" s="2"/>
    </row>
    <row r="351" spans="1:12" x14ac:dyDescent="0.2">
      <c r="A351">
        <v>2009</v>
      </c>
      <c r="B351" t="s">
        <v>258</v>
      </c>
      <c r="C351" t="s">
        <v>246</v>
      </c>
      <c r="D351" s="22">
        <v>180</v>
      </c>
      <c r="E351" s="16"/>
      <c r="G351" t="s">
        <v>151</v>
      </c>
      <c r="H351" t="s">
        <v>279</v>
      </c>
      <c r="I351" t="s">
        <v>93</v>
      </c>
      <c r="J351" t="s">
        <v>201</v>
      </c>
      <c r="L351" s="2"/>
    </row>
    <row r="352" spans="1:12" x14ac:dyDescent="0.2">
      <c r="A352">
        <v>2009</v>
      </c>
      <c r="B352" t="s">
        <v>258</v>
      </c>
      <c r="C352" t="s">
        <v>479</v>
      </c>
      <c r="D352" s="22">
        <v>260</v>
      </c>
      <c r="E352" s="16"/>
      <c r="G352" t="s">
        <v>154</v>
      </c>
      <c r="H352" t="s">
        <v>194</v>
      </c>
      <c r="I352" t="s">
        <v>122</v>
      </c>
      <c r="J352" t="s">
        <v>201</v>
      </c>
      <c r="L352" s="2"/>
    </row>
    <row r="353" spans="1:12" x14ac:dyDescent="0.2">
      <c r="A353">
        <v>2009</v>
      </c>
      <c r="B353" t="s">
        <v>179</v>
      </c>
      <c r="C353" t="s">
        <v>397</v>
      </c>
      <c r="D353" s="22">
        <v>410</v>
      </c>
      <c r="E353" s="16"/>
      <c r="G353" t="s">
        <v>154</v>
      </c>
      <c r="H353" t="s">
        <v>194</v>
      </c>
      <c r="I353" t="s">
        <v>131</v>
      </c>
      <c r="J353" t="s">
        <v>131</v>
      </c>
      <c r="L353" s="2"/>
    </row>
    <row r="354" spans="1:12" x14ac:dyDescent="0.2">
      <c r="A354">
        <v>2009</v>
      </c>
      <c r="B354" t="s">
        <v>179</v>
      </c>
      <c r="C354" t="s">
        <v>815</v>
      </c>
      <c r="D354" s="22">
        <v>140</v>
      </c>
      <c r="E354" s="16"/>
      <c r="F354" t="s">
        <v>2446</v>
      </c>
      <c r="G354" t="s">
        <v>151</v>
      </c>
      <c r="H354" t="s">
        <v>279</v>
      </c>
      <c r="I354" t="s">
        <v>29</v>
      </c>
      <c r="J354" t="s">
        <v>219</v>
      </c>
      <c r="L354" s="2"/>
    </row>
    <row r="355" spans="1:12" x14ac:dyDescent="0.2">
      <c r="A355">
        <v>2009</v>
      </c>
      <c r="B355" t="s">
        <v>179</v>
      </c>
      <c r="C355" t="s">
        <v>444</v>
      </c>
      <c r="D355" s="22">
        <v>100</v>
      </c>
      <c r="E355" s="16"/>
      <c r="G355" t="s">
        <v>144</v>
      </c>
      <c r="H355" t="s">
        <v>232</v>
      </c>
      <c r="I355" t="s">
        <v>33</v>
      </c>
      <c r="J355" t="s">
        <v>195</v>
      </c>
      <c r="L355" s="2"/>
    </row>
    <row r="356" spans="1:12" x14ac:dyDescent="0.2">
      <c r="A356">
        <v>2009</v>
      </c>
      <c r="B356" t="s">
        <v>179</v>
      </c>
      <c r="C356" t="s">
        <v>196</v>
      </c>
      <c r="D356" s="22">
        <v>390</v>
      </c>
      <c r="E356" s="16"/>
      <c r="G356" t="s">
        <v>144</v>
      </c>
      <c r="H356" t="s">
        <v>197</v>
      </c>
      <c r="I356" t="s">
        <v>125</v>
      </c>
      <c r="J356" t="s">
        <v>219</v>
      </c>
      <c r="L356" s="2"/>
    </row>
    <row r="357" spans="1:12" x14ac:dyDescent="0.2">
      <c r="A357">
        <v>2009</v>
      </c>
      <c r="B357" t="s">
        <v>179</v>
      </c>
      <c r="C357" t="s">
        <v>444</v>
      </c>
      <c r="D357" s="22">
        <v>170</v>
      </c>
      <c r="E357" s="16"/>
      <c r="F357" t="s">
        <v>2447</v>
      </c>
      <c r="G357" t="s">
        <v>142</v>
      </c>
      <c r="I357" t="s">
        <v>50</v>
      </c>
      <c r="J357" t="s">
        <v>205</v>
      </c>
      <c r="L357" s="2"/>
    </row>
    <row r="358" spans="1:12" x14ac:dyDescent="0.2">
      <c r="A358">
        <v>2009</v>
      </c>
      <c r="B358" t="s">
        <v>179</v>
      </c>
      <c r="C358" s="52" t="s">
        <v>2392</v>
      </c>
      <c r="D358" s="22">
        <v>150</v>
      </c>
      <c r="E358" s="16"/>
      <c r="G358" t="s">
        <v>144</v>
      </c>
      <c r="H358" t="s">
        <v>299</v>
      </c>
      <c r="I358" t="s">
        <v>93</v>
      </c>
      <c r="J358" t="s">
        <v>201</v>
      </c>
      <c r="L358" s="2"/>
    </row>
    <row r="359" spans="1:12" x14ac:dyDescent="0.2">
      <c r="A359">
        <v>2009</v>
      </c>
      <c r="B359" t="s">
        <v>184</v>
      </c>
      <c r="C359" t="s">
        <v>189</v>
      </c>
      <c r="D359" s="22">
        <v>350</v>
      </c>
      <c r="E359" s="16"/>
      <c r="F359" t="s">
        <v>2448</v>
      </c>
      <c r="G359" t="s">
        <v>144</v>
      </c>
      <c r="H359" t="s">
        <v>187</v>
      </c>
      <c r="I359" t="s">
        <v>65</v>
      </c>
      <c r="J359" t="s">
        <v>214</v>
      </c>
      <c r="L359" s="2"/>
    </row>
    <row r="360" spans="1:12" x14ac:dyDescent="0.2">
      <c r="A360">
        <v>2009</v>
      </c>
      <c r="B360" t="s">
        <v>184</v>
      </c>
      <c r="C360" t="s">
        <v>317</v>
      </c>
      <c r="D360" s="22">
        <v>430</v>
      </c>
      <c r="E360" s="16">
        <v>0.93</v>
      </c>
      <c r="G360" t="s">
        <v>144</v>
      </c>
      <c r="H360" t="s">
        <v>197</v>
      </c>
      <c r="I360" t="s">
        <v>82</v>
      </c>
      <c r="J360" t="s">
        <v>183</v>
      </c>
      <c r="L360" s="2"/>
    </row>
    <row r="361" spans="1:12" x14ac:dyDescent="0.2">
      <c r="A361">
        <v>2009</v>
      </c>
      <c r="B361" t="s">
        <v>225</v>
      </c>
      <c r="C361" t="s">
        <v>196</v>
      </c>
      <c r="D361" s="22">
        <v>150</v>
      </c>
      <c r="E361" s="16"/>
      <c r="G361" t="s">
        <v>144</v>
      </c>
      <c r="H361" t="s">
        <v>197</v>
      </c>
      <c r="I361" t="s">
        <v>2449</v>
      </c>
      <c r="J361" t="s">
        <v>183</v>
      </c>
      <c r="L361" s="2"/>
    </row>
    <row r="362" spans="1:12" x14ac:dyDescent="0.2">
      <c r="A362">
        <v>2009</v>
      </c>
      <c r="B362" t="s">
        <v>225</v>
      </c>
      <c r="C362" t="s">
        <v>180</v>
      </c>
      <c r="D362" s="22">
        <v>1860</v>
      </c>
      <c r="E362" s="16"/>
      <c r="F362" t="s">
        <v>2450</v>
      </c>
      <c r="G362" t="s">
        <v>144</v>
      </c>
      <c r="H362" t="s">
        <v>273</v>
      </c>
      <c r="I362" t="s">
        <v>9</v>
      </c>
      <c r="J362" t="s">
        <v>9</v>
      </c>
      <c r="L362" s="2"/>
    </row>
    <row r="363" spans="1:12" x14ac:dyDescent="0.2">
      <c r="A363">
        <v>2009</v>
      </c>
      <c r="B363" t="s">
        <v>225</v>
      </c>
      <c r="C363" t="s">
        <v>341</v>
      </c>
      <c r="D363" s="22">
        <v>420</v>
      </c>
      <c r="E363" s="16"/>
      <c r="G363" t="s">
        <v>154</v>
      </c>
      <c r="H363" t="s">
        <v>529</v>
      </c>
      <c r="I363" t="s">
        <v>136</v>
      </c>
      <c r="J363" t="s">
        <v>183</v>
      </c>
      <c r="L363" s="2"/>
    </row>
    <row r="364" spans="1:12" x14ac:dyDescent="0.2">
      <c r="A364">
        <v>2009</v>
      </c>
      <c r="B364" t="s">
        <v>225</v>
      </c>
      <c r="C364" t="s">
        <v>530</v>
      </c>
      <c r="D364" s="22">
        <v>200</v>
      </c>
      <c r="E364" s="16"/>
      <c r="F364" t="s">
        <v>2451</v>
      </c>
      <c r="G364" t="s">
        <v>152</v>
      </c>
      <c r="H364" t="s">
        <v>257</v>
      </c>
      <c r="I364" t="s">
        <v>52</v>
      </c>
      <c r="J364" t="s">
        <v>201</v>
      </c>
      <c r="L364" s="2"/>
    </row>
    <row r="365" spans="1:12" x14ac:dyDescent="0.2">
      <c r="A365">
        <v>2009</v>
      </c>
      <c r="B365" t="s">
        <v>188</v>
      </c>
      <c r="C365" t="s">
        <v>449</v>
      </c>
      <c r="D365" s="22">
        <v>2570</v>
      </c>
      <c r="E365" s="16"/>
      <c r="G365" t="s">
        <v>154</v>
      </c>
      <c r="H365" t="s">
        <v>529</v>
      </c>
      <c r="I365" t="s">
        <v>5</v>
      </c>
      <c r="J365" t="s">
        <v>214</v>
      </c>
      <c r="L365" s="2"/>
    </row>
    <row r="366" spans="1:12" x14ac:dyDescent="0.2">
      <c r="A366">
        <v>2009</v>
      </c>
      <c r="B366" t="s">
        <v>188</v>
      </c>
      <c r="C366" t="s">
        <v>444</v>
      </c>
      <c r="D366" s="22">
        <v>670</v>
      </c>
      <c r="E366" s="16"/>
      <c r="G366" t="s">
        <v>144</v>
      </c>
      <c r="H366" t="s">
        <v>197</v>
      </c>
      <c r="I366" t="s">
        <v>138</v>
      </c>
      <c r="J366" t="s">
        <v>219</v>
      </c>
      <c r="L366" s="2"/>
    </row>
    <row r="367" spans="1:12" x14ac:dyDescent="0.2">
      <c r="A367">
        <v>2009</v>
      </c>
      <c r="B367" t="s">
        <v>188</v>
      </c>
      <c r="C367" t="s">
        <v>1234</v>
      </c>
      <c r="D367" s="22">
        <v>890</v>
      </c>
      <c r="E367" s="16"/>
      <c r="G367" t="s">
        <v>144</v>
      </c>
      <c r="H367" t="s">
        <v>273</v>
      </c>
      <c r="I367" t="s">
        <v>115</v>
      </c>
      <c r="J367" t="s">
        <v>201</v>
      </c>
      <c r="L367" s="2"/>
    </row>
    <row r="368" spans="1:12" x14ac:dyDescent="0.2">
      <c r="A368">
        <v>2009</v>
      </c>
      <c r="B368" t="s">
        <v>188</v>
      </c>
      <c r="C368" t="s">
        <v>341</v>
      </c>
      <c r="D368" s="22">
        <v>160</v>
      </c>
      <c r="E368" s="16"/>
      <c r="G368" t="s">
        <v>154</v>
      </c>
      <c r="H368" t="s">
        <v>194</v>
      </c>
      <c r="I368" t="s">
        <v>123</v>
      </c>
      <c r="J368" t="s">
        <v>219</v>
      </c>
      <c r="L368" s="2"/>
    </row>
    <row r="369" spans="1:12" x14ac:dyDescent="0.2">
      <c r="A369">
        <v>2009</v>
      </c>
      <c r="B369" t="s">
        <v>188</v>
      </c>
      <c r="C369" t="s">
        <v>196</v>
      </c>
      <c r="D369" s="22">
        <v>640</v>
      </c>
      <c r="E369" s="16"/>
      <c r="F369" t="s">
        <v>2452</v>
      </c>
      <c r="G369" t="s">
        <v>151</v>
      </c>
      <c r="H369" t="s">
        <v>279</v>
      </c>
      <c r="I369" t="s">
        <v>100</v>
      </c>
      <c r="J369" t="s">
        <v>214</v>
      </c>
      <c r="L369" s="2"/>
    </row>
    <row r="370" spans="1:12" x14ac:dyDescent="0.2">
      <c r="A370">
        <v>2009</v>
      </c>
      <c r="B370" t="s">
        <v>191</v>
      </c>
      <c r="C370" t="s">
        <v>449</v>
      </c>
      <c r="D370" s="22">
        <v>530</v>
      </c>
      <c r="E370" s="16"/>
      <c r="G370" t="s">
        <v>150</v>
      </c>
      <c r="H370" t="s">
        <v>744</v>
      </c>
      <c r="I370" t="s">
        <v>105</v>
      </c>
      <c r="J370" t="s">
        <v>214</v>
      </c>
      <c r="L370" s="2"/>
    </row>
    <row r="371" spans="1:12" x14ac:dyDescent="0.2">
      <c r="A371">
        <v>2009</v>
      </c>
      <c r="B371" t="s">
        <v>191</v>
      </c>
      <c r="C371" t="s">
        <v>196</v>
      </c>
      <c r="D371" s="22">
        <v>2420</v>
      </c>
      <c r="E371" s="16"/>
      <c r="G371" t="s">
        <v>144</v>
      </c>
      <c r="H371" t="s">
        <v>197</v>
      </c>
      <c r="I371" t="s">
        <v>40</v>
      </c>
      <c r="J371" t="s">
        <v>219</v>
      </c>
      <c r="L371" s="2"/>
    </row>
    <row r="372" spans="1:12" x14ac:dyDescent="0.2">
      <c r="A372">
        <v>2009</v>
      </c>
      <c r="B372" t="s">
        <v>191</v>
      </c>
      <c r="C372" t="s">
        <v>246</v>
      </c>
      <c r="D372" s="22">
        <v>110</v>
      </c>
      <c r="E372" s="16"/>
      <c r="G372" t="s">
        <v>155</v>
      </c>
      <c r="I372" t="s">
        <v>97</v>
      </c>
      <c r="J372" t="s">
        <v>183</v>
      </c>
      <c r="L372" s="2"/>
    </row>
    <row r="373" spans="1:12" x14ac:dyDescent="0.2">
      <c r="A373">
        <v>2009</v>
      </c>
      <c r="B373" t="s">
        <v>191</v>
      </c>
      <c r="C373" t="s">
        <v>1234</v>
      </c>
      <c r="D373" s="22">
        <v>270</v>
      </c>
      <c r="E373" s="16"/>
      <c r="G373" t="s">
        <v>144</v>
      </c>
      <c r="I373" t="s">
        <v>116</v>
      </c>
      <c r="J373" t="s">
        <v>214</v>
      </c>
      <c r="L373" s="2"/>
    </row>
    <row r="374" spans="1:12" ht="15" customHeight="1" x14ac:dyDescent="0.2">
      <c r="A374">
        <v>2009</v>
      </c>
      <c r="B374" t="s">
        <v>191</v>
      </c>
      <c r="C374" t="s">
        <v>2453</v>
      </c>
      <c r="D374" s="22">
        <v>1650</v>
      </c>
      <c r="E374" s="16"/>
      <c r="F374" t="s">
        <v>2454</v>
      </c>
      <c r="G374" t="s">
        <v>144</v>
      </c>
      <c r="H374" t="s">
        <v>187</v>
      </c>
      <c r="I374" t="s">
        <v>105</v>
      </c>
      <c r="J374" t="s">
        <v>214</v>
      </c>
      <c r="L374" s="2"/>
    </row>
    <row r="375" spans="1:12" x14ac:dyDescent="0.2">
      <c r="A375">
        <v>2009</v>
      </c>
      <c r="B375" t="s">
        <v>191</v>
      </c>
      <c r="C375" t="s">
        <v>557</v>
      </c>
      <c r="D375" s="22">
        <v>110</v>
      </c>
      <c r="E375" s="16"/>
      <c r="F375" t="s">
        <v>2455</v>
      </c>
      <c r="G375" t="s">
        <v>151</v>
      </c>
      <c r="H375" t="s">
        <v>279</v>
      </c>
      <c r="I375" t="s">
        <v>127</v>
      </c>
      <c r="J375" t="s">
        <v>214</v>
      </c>
      <c r="L375" s="2"/>
    </row>
    <row r="376" spans="1:12" x14ac:dyDescent="0.2">
      <c r="A376">
        <v>2009</v>
      </c>
      <c r="B376" t="s">
        <v>191</v>
      </c>
      <c r="C376" t="s">
        <v>557</v>
      </c>
      <c r="D376" s="22">
        <v>120</v>
      </c>
      <c r="E376" s="16"/>
      <c r="F376" t="s">
        <v>2456</v>
      </c>
      <c r="G376" t="s">
        <v>151</v>
      </c>
      <c r="H376" t="s">
        <v>279</v>
      </c>
      <c r="I376" t="s">
        <v>78</v>
      </c>
      <c r="J376" t="s">
        <v>183</v>
      </c>
      <c r="L376" s="2"/>
    </row>
    <row r="377" spans="1:12" x14ac:dyDescent="0.2">
      <c r="A377">
        <v>2009</v>
      </c>
      <c r="B377" t="s">
        <v>198</v>
      </c>
      <c r="C377" t="s">
        <v>397</v>
      </c>
      <c r="D377" s="22">
        <v>260</v>
      </c>
      <c r="E377" s="16"/>
      <c r="G377" t="s">
        <v>154</v>
      </c>
      <c r="H377" t="s">
        <v>194</v>
      </c>
      <c r="I377" t="s">
        <v>5</v>
      </c>
      <c r="J377" t="s">
        <v>214</v>
      </c>
      <c r="L377" s="2"/>
    </row>
    <row r="378" spans="1:12" x14ac:dyDescent="0.2">
      <c r="A378">
        <v>2009</v>
      </c>
      <c r="B378" t="s">
        <v>198</v>
      </c>
      <c r="C378" t="s">
        <v>2402</v>
      </c>
      <c r="D378" s="22">
        <v>210</v>
      </c>
      <c r="E378" s="16"/>
      <c r="F378" t="s">
        <v>849</v>
      </c>
      <c r="G378" t="s">
        <v>144</v>
      </c>
      <c r="H378" t="s">
        <v>197</v>
      </c>
      <c r="I378" t="s">
        <v>67</v>
      </c>
      <c r="J378" t="s">
        <v>183</v>
      </c>
      <c r="L378" s="2"/>
    </row>
    <row r="379" spans="1:12" x14ac:dyDescent="0.2">
      <c r="A379">
        <v>2009</v>
      </c>
      <c r="B379" t="s">
        <v>198</v>
      </c>
      <c r="C379" t="s">
        <v>196</v>
      </c>
      <c r="D379" s="22">
        <v>140</v>
      </c>
      <c r="E379" s="16"/>
      <c r="G379" t="s">
        <v>154</v>
      </c>
      <c r="H379" t="s">
        <v>194</v>
      </c>
      <c r="I379" t="s">
        <v>43</v>
      </c>
      <c r="J379" t="s">
        <v>219</v>
      </c>
      <c r="L379" s="2"/>
    </row>
    <row r="380" spans="1:12" x14ac:dyDescent="0.2">
      <c r="A380">
        <v>2009</v>
      </c>
      <c r="B380" t="s">
        <v>198</v>
      </c>
      <c r="C380" t="s">
        <v>180</v>
      </c>
      <c r="D380" s="22">
        <v>180</v>
      </c>
      <c r="E380" s="16"/>
      <c r="G380" t="s">
        <v>145</v>
      </c>
      <c r="I380" t="s">
        <v>5</v>
      </c>
      <c r="J380" t="s">
        <v>214</v>
      </c>
      <c r="L380" s="2"/>
    </row>
    <row r="381" spans="1:12" x14ac:dyDescent="0.2">
      <c r="A381">
        <v>2009</v>
      </c>
      <c r="B381" t="s">
        <v>198</v>
      </c>
      <c r="C381" t="s">
        <v>815</v>
      </c>
      <c r="D381" s="22">
        <v>400</v>
      </c>
      <c r="E381" s="16"/>
      <c r="F381" t="s">
        <v>2457</v>
      </c>
      <c r="G381" t="s">
        <v>151</v>
      </c>
      <c r="H381" t="s">
        <v>279</v>
      </c>
      <c r="I381" t="s">
        <v>105</v>
      </c>
      <c r="J381" t="s">
        <v>214</v>
      </c>
      <c r="L381" s="2"/>
    </row>
    <row r="382" spans="1:12" x14ac:dyDescent="0.2">
      <c r="A382">
        <v>2009</v>
      </c>
      <c r="B382" t="s">
        <v>198</v>
      </c>
      <c r="C382" t="s">
        <v>2386</v>
      </c>
      <c r="D382" s="22">
        <v>720</v>
      </c>
      <c r="E382" s="16"/>
      <c r="G382" t="s">
        <v>155</v>
      </c>
      <c r="I382" t="s">
        <v>92</v>
      </c>
      <c r="J382" t="s">
        <v>214</v>
      </c>
      <c r="L382" s="2"/>
    </row>
    <row r="383" spans="1:12" x14ac:dyDescent="0.2">
      <c r="A383">
        <v>2009</v>
      </c>
      <c r="B383" t="s">
        <v>202</v>
      </c>
      <c r="C383" t="s">
        <v>2402</v>
      </c>
      <c r="D383" s="22">
        <v>450</v>
      </c>
      <c r="E383" s="16"/>
      <c r="F383" t="s">
        <v>2458</v>
      </c>
      <c r="G383" t="s">
        <v>144</v>
      </c>
      <c r="H383" t="s">
        <v>197</v>
      </c>
      <c r="I383" t="s">
        <v>40</v>
      </c>
      <c r="J383" t="s">
        <v>219</v>
      </c>
      <c r="L383" s="2"/>
    </row>
    <row r="384" spans="1:12" x14ac:dyDescent="0.2">
      <c r="A384">
        <v>2009</v>
      </c>
      <c r="B384" t="s">
        <v>202</v>
      </c>
      <c r="C384" t="s">
        <v>479</v>
      </c>
      <c r="D384" s="22">
        <v>120</v>
      </c>
      <c r="E384" s="16"/>
      <c r="G384" t="s">
        <v>154</v>
      </c>
      <c r="H384" t="s">
        <v>194</v>
      </c>
      <c r="I384" t="s">
        <v>2406</v>
      </c>
      <c r="J384" t="s">
        <v>219</v>
      </c>
      <c r="L384" s="2"/>
    </row>
    <row r="385" spans="1:12" x14ac:dyDescent="0.2">
      <c r="A385">
        <v>2009</v>
      </c>
      <c r="B385" t="s">
        <v>202</v>
      </c>
      <c r="C385" t="s">
        <v>2386</v>
      </c>
      <c r="D385" s="22">
        <v>810</v>
      </c>
      <c r="E385" s="16"/>
      <c r="F385" t="s">
        <v>2459</v>
      </c>
      <c r="G385" t="s">
        <v>144</v>
      </c>
      <c r="H385" t="s">
        <v>273</v>
      </c>
      <c r="I385" t="s">
        <v>52</v>
      </c>
      <c r="J385" t="s">
        <v>201</v>
      </c>
      <c r="L385" s="2"/>
    </row>
    <row r="386" spans="1:12" x14ac:dyDescent="0.2">
      <c r="A386">
        <v>2009</v>
      </c>
      <c r="B386" t="s">
        <v>202</v>
      </c>
      <c r="C386" t="s">
        <v>530</v>
      </c>
      <c r="D386" s="22">
        <v>490</v>
      </c>
      <c r="E386" s="16">
        <v>0.7</v>
      </c>
      <c r="F386" t="s">
        <v>2460</v>
      </c>
      <c r="G386" t="s">
        <v>152</v>
      </c>
      <c r="H386" t="s">
        <v>257</v>
      </c>
      <c r="I386" t="s">
        <v>108</v>
      </c>
      <c r="J386" t="s">
        <v>183</v>
      </c>
      <c r="L386" s="2"/>
    </row>
    <row r="387" spans="1:12" x14ac:dyDescent="0.2">
      <c r="A387">
        <v>2009</v>
      </c>
      <c r="B387" t="s">
        <v>207</v>
      </c>
      <c r="C387" t="s">
        <v>479</v>
      </c>
      <c r="D387" s="22">
        <v>960</v>
      </c>
      <c r="E387" s="16"/>
      <c r="G387" t="s">
        <v>154</v>
      </c>
      <c r="H387" t="s">
        <v>194</v>
      </c>
      <c r="I387" t="s">
        <v>136</v>
      </c>
      <c r="J387" t="s">
        <v>183</v>
      </c>
      <c r="L387" s="2"/>
    </row>
    <row r="388" spans="1:12" x14ac:dyDescent="0.2">
      <c r="A388">
        <v>2009</v>
      </c>
      <c r="B388" t="s">
        <v>207</v>
      </c>
      <c r="C388" t="s">
        <v>399</v>
      </c>
      <c r="D388" s="22">
        <v>1380</v>
      </c>
      <c r="E388" s="16"/>
      <c r="F388" t="s">
        <v>2461</v>
      </c>
      <c r="G388" t="s">
        <v>144</v>
      </c>
      <c r="H388" t="s">
        <v>273</v>
      </c>
      <c r="I388" t="s">
        <v>136</v>
      </c>
      <c r="J388" t="s">
        <v>183</v>
      </c>
      <c r="L388" s="2"/>
    </row>
    <row r="389" spans="1:12" x14ac:dyDescent="0.2">
      <c r="A389">
        <v>2009</v>
      </c>
      <c r="B389" t="s">
        <v>207</v>
      </c>
      <c r="C389" t="s">
        <v>479</v>
      </c>
      <c r="D389" s="22">
        <v>100</v>
      </c>
      <c r="E389" s="16"/>
      <c r="G389" t="s">
        <v>148</v>
      </c>
      <c r="I389" t="s">
        <v>116</v>
      </c>
      <c r="J389" t="s">
        <v>214</v>
      </c>
      <c r="L389" s="2"/>
    </row>
    <row r="390" spans="1:12" x14ac:dyDescent="0.2">
      <c r="A390">
        <v>2009</v>
      </c>
      <c r="B390" t="s">
        <v>207</v>
      </c>
      <c r="C390" t="s">
        <v>479</v>
      </c>
      <c r="D390" s="22">
        <v>100</v>
      </c>
      <c r="E390" s="16"/>
      <c r="G390" t="s">
        <v>154</v>
      </c>
      <c r="H390" t="s">
        <v>271</v>
      </c>
      <c r="I390" t="s">
        <v>19</v>
      </c>
      <c r="J390" t="s">
        <v>205</v>
      </c>
      <c r="L390" s="2"/>
    </row>
    <row r="391" spans="1:12" x14ac:dyDescent="0.2">
      <c r="A391">
        <v>2009</v>
      </c>
      <c r="B391" t="s">
        <v>207</v>
      </c>
      <c r="C391" t="s">
        <v>815</v>
      </c>
      <c r="D391" s="22">
        <v>140</v>
      </c>
      <c r="E391" s="16"/>
      <c r="F391" t="s">
        <v>2405</v>
      </c>
      <c r="G391" t="s">
        <v>151</v>
      </c>
      <c r="H391" t="s">
        <v>279</v>
      </c>
      <c r="I391" t="s">
        <v>138</v>
      </c>
      <c r="J391" t="s">
        <v>219</v>
      </c>
      <c r="L391" s="2"/>
    </row>
    <row r="392" spans="1:12" x14ac:dyDescent="0.2">
      <c r="A392">
        <v>2009</v>
      </c>
      <c r="B392" t="s">
        <v>207</v>
      </c>
      <c r="C392" t="s">
        <v>815</v>
      </c>
      <c r="D392" s="22">
        <v>140</v>
      </c>
      <c r="E392" s="16"/>
      <c r="F392" t="s">
        <v>2405</v>
      </c>
      <c r="G392" t="s">
        <v>151</v>
      </c>
      <c r="H392" t="s">
        <v>279</v>
      </c>
      <c r="I392" t="s">
        <v>2462</v>
      </c>
      <c r="J392" t="s">
        <v>219</v>
      </c>
      <c r="L392" s="2"/>
    </row>
    <row r="393" spans="1:12" x14ac:dyDescent="0.2">
      <c r="A393">
        <v>2009</v>
      </c>
      <c r="B393" t="s">
        <v>207</v>
      </c>
      <c r="C393" t="s">
        <v>483</v>
      </c>
      <c r="D393" s="22">
        <v>610</v>
      </c>
      <c r="E393" s="16"/>
      <c r="G393" t="s">
        <v>151</v>
      </c>
      <c r="H393" t="s">
        <v>279</v>
      </c>
      <c r="I393" t="s">
        <v>101</v>
      </c>
      <c r="J393" t="s">
        <v>201</v>
      </c>
      <c r="L393" s="2"/>
    </row>
    <row r="394" spans="1:12" x14ac:dyDescent="0.2">
      <c r="A394">
        <v>2009</v>
      </c>
      <c r="B394" t="s">
        <v>207</v>
      </c>
      <c r="C394" t="s">
        <v>483</v>
      </c>
      <c r="D394" s="22">
        <v>210</v>
      </c>
      <c r="E394" s="16"/>
      <c r="G394" t="s">
        <v>151</v>
      </c>
      <c r="H394" t="s">
        <v>279</v>
      </c>
      <c r="I394" t="s">
        <v>101</v>
      </c>
      <c r="J394" t="s">
        <v>201</v>
      </c>
      <c r="L394" s="2"/>
    </row>
    <row r="395" spans="1:12" x14ac:dyDescent="0.2">
      <c r="A395">
        <v>2009</v>
      </c>
      <c r="B395" t="s">
        <v>207</v>
      </c>
      <c r="C395" t="s">
        <v>199</v>
      </c>
      <c r="D395" s="22">
        <v>300</v>
      </c>
      <c r="E395" s="16"/>
      <c r="F395" t="s">
        <v>2002</v>
      </c>
      <c r="G395" t="s">
        <v>144</v>
      </c>
      <c r="I395" t="s">
        <v>105</v>
      </c>
      <c r="J395" t="s">
        <v>214</v>
      </c>
      <c r="L395" s="2"/>
    </row>
    <row r="396" spans="1:12" x14ac:dyDescent="0.2">
      <c r="A396">
        <v>2009</v>
      </c>
      <c r="B396" t="s">
        <v>240</v>
      </c>
      <c r="C396" t="s">
        <v>397</v>
      </c>
      <c r="D396" s="22">
        <v>100</v>
      </c>
      <c r="E396" s="16"/>
      <c r="G396" t="s">
        <v>154</v>
      </c>
      <c r="H396" t="s">
        <v>529</v>
      </c>
      <c r="I396" t="s">
        <v>131</v>
      </c>
      <c r="J396" t="s">
        <v>131</v>
      </c>
      <c r="L396" s="2"/>
    </row>
    <row r="397" spans="1:12" x14ac:dyDescent="0.2">
      <c r="A397">
        <v>2009</v>
      </c>
      <c r="B397" t="s">
        <v>240</v>
      </c>
      <c r="C397" t="s">
        <v>479</v>
      </c>
      <c r="D397" s="22">
        <v>610</v>
      </c>
      <c r="E397" s="16"/>
      <c r="G397" t="s">
        <v>154</v>
      </c>
      <c r="H397" t="s">
        <v>194</v>
      </c>
      <c r="I397" t="s">
        <v>40</v>
      </c>
      <c r="J397" t="s">
        <v>219</v>
      </c>
      <c r="L397" s="2"/>
    </row>
    <row r="398" spans="1:12" x14ac:dyDescent="0.2">
      <c r="A398">
        <v>2009</v>
      </c>
      <c r="B398" t="s">
        <v>240</v>
      </c>
      <c r="C398" t="s">
        <v>479</v>
      </c>
      <c r="D398" s="22">
        <v>210</v>
      </c>
      <c r="E398" s="16"/>
      <c r="G398" t="s">
        <v>154</v>
      </c>
      <c r="H398" t="s">
        <v>250</v>
      </c>
      <c r="I398" t="s">
        <v>115</v>
      </c>
      <c r="J398" t="s">
        <v>201</v>
      </c>
      <c r="L398" s="2"/>
    </row>
    <row r="399" spans="1:12" x14ac:dyDescent="0.2">
      <c r="A399">
        <v>2009</v>
      </c>
      <c r="B399" t="s">
        <v>240</v>
      </c>
      <c r="C399" t="s">
        <v>444</v>
      </c>
      <c r="D399" s="22">
        <v>970</v>
      </c>
      <c r="E399" s="16"/>
      <c r="G399" t="s">
        <v>144</v>
      </c>
      <c r="I399" t="s">
        <v>18</v>
      </c>
      <c r="J399" t="s">
        <v>219</v>
      </c>
      <c r="L399" s="2"/>
    </row>
    <row r="400" spans="1:12" x14ac:dyDescent="0.2">
      <c r="A400">
        <v>2009</v>
      </c>
      <c r="B400" t="s">
        <v>240</v>
      </c>
      <c r="C400" t="s">
        <v>703</v>
      </c>
      <c r="D400" s="22">
        <v>600</v>
      </c>
      <c r="E400" s="16"/>
      <c r="G400" t="s">
        <v>144</v>
      </c>
      <c r="I400" t="s">
        <v>93</v>
      </c>
      <c r="J400" t="s">
        <v>201</v>
      </c>
      <c r="L400" s="2"/>
    </row>
    <row r="401" spans="1:12" x14ac:dyDescent="0.2">
      <c r="A401">
        <v>2009</v>
      </c>
      <c r="B401" t="s">
        <v>240</v>
      </c>
      <c r="C401" t="s">
        <v>530</v>
      </c>
      <c r="D401" s="22">
        <v>180</v>
      </c>
      <c r="E401" s="16"/>
      <c r="F401" t="s">
        <v>2463</v>
      </c>
      <c r="G401" t="s">
        <v>152</v>
      </c>
      <c r="H401" t="s">
        <v>257</v>
      </c>
      <c r="I401" t="s">
        <v>91</v>
      </c>
      <c r="J401" t="s">
        <v>195</v>
      </c>
      <c r="L401" s="2"/>
    </row>
    <row r="402" spans="1:12" x14ac:dyDescent="0.2">
      <c r="A402">
        <v>2009</v>
      </c>
      <c r="B402" t="s">
        <v>240</v>
      </c>
      <c r="C402" t="s">
        <v>189</v>
      </c>
      <c r="D402" s="22">
        <v>160</v>
      </c>
      <c r="E402" s="16"/>
      <c r="G402" t="s">
        <v>144</v>
      </c>
      <c r="I402" t="s">
        <v>65</v>
      </c>
      <c r="J402" t="s">
        <v>214</v>
      </c>
      <c r="L402" s="2"/>
    </row>
    <row r="403" spans="1:12" x14ac:dyDescent="0.2">
      <c r="A403">
        <v>2009</v>
      </c>
      <c r="B403" t="s">
        <v>212</v>
      </c>
      <c r="C403" t="s">
        <v>479</v>
      </c>
      <c r="D403" s="22">
        <v>500</v>
      </c>
      <c r="E403" s="16"/>
      <c r="G403" t="s">
        <v>154</v>
      </c>
      <c r="H403" t="s">
        <v>271</v>
      </c>
      <c r="I403" t="s">
        <v>24</v>
      </c>
      <c r="J403" t="s">
        <v>219</v>
      </c>
      <c r="L403" s="2"/>
    </row>
    <row r="404" spans="1:12" x14ac:dyDescent="0.2">
      <c r="A404">
        <v>2009</v>
      </c>
      <c r="B404" t="s">
        <v>212</v>
      </c>
      <c r="C404" t="s">
        <v>199</v>
      </c>
      <c r="D404" s="22">
        <v>3130</v>
      </c>
      <c r="E404" s="16"/>
      <c r="G404" t="s">
        <v>144</v>
      </c>
      <c r="H404" t="s">
        <v>299</v>
      </c>
      <c r="I404" t="s">
        <v>129</v>
      </c>
      <c r="J404" t="s">
        <v>201</v>
      </c>
      <c r="L404" s="2"/>
    </row>
    <row r="405" spans="1:12" x14ac:dyDescent="0.2">
      <c r="A405">
        <v>2009</v>
      </c>
      <c r="B405" t="s">
        <v>212</v>
      </c>
      <c r="C405" t="s">
        <v>196</v>
      </c>
      <c r="D405" s="22">
        <v>170</v>
      </c>
      <c r="E405" s="16"/>
      <c r="G405" t="s">
        <v>154</v>
      </c>
      <c r="H405" t="s">
        <v>194</v>
      </c>
      <c r="I405" t="s">
        <v>13</v>
      </c>
      <c r="J405" t="s">
        <v>201</v>
      </c>
      <c r="L405" s="2"/>
    </row>
    <row r="406" spans="1:12" x14ac:dyDescent="0.2">
      <c r="A406">
        <v>2009</v>
      </c>
      <c r="B406" t="s">
        <v>212</v>
      </c>
      <c r="C406" t="s">
        <v>1149</v>
      </c>
      <c r="D406" s="22">
        <v>100</v>
      </c>
      <c r="E406" s="16"/>
      <c r="G406" t="s">
        <v>154</v>
      </c>
      <c r="H406" t="s">
        <v>194</v>
      </c>
      <c r="I406" t="s">
        <v>116</v>
      </c>
      <c r="J406" t="s">
        <v>214</v>
      </c>
      <c r="L406" s="2"/>
    </row>
    <row r="407" spans="1:12" x14ac:dyDescent="0.2">
      <c r="A407">
        <v>2009</v>
      </c>
      <c r="B407" t="s">
        <v>212</v>
      </c>
      <c r="C407" t="s">
        <v>444</v>
      </c>
      <c r="D407" s="22">
        <v>310</v>
      </c>
      <c r="E407" s="16"/>
      <c r="G407" t="s">
        <v>142</v>
      </c>
      <c r="I407" t="s">
        <v>135</v>
      </c>
      <c r="J407" t="s">
        <v>205</v>
      </c>
      <c r="L407" s="2"/>
    </row>
    <row r="408" spans="1:12" x14ac:dyDescent="0.2">
      <c r="A408">
        <v>2009</v>
      </c>
      <c r="B408" t="s">
        <v>212</v>
      </c>
      <c r="C408" t="s">
        <v>2402</v>
      </c>
      <c r="D408" s="22">
        <v>100</v>
      </c>
      <c r="E408" s="16"/>
      <c r="G408" t="s">
        <v>144</v>
      </c>
      <c r="H408" t="s">
        <v>197</v>
      </c>
      <c r="I408" t="s">
        <v>74</v>
      </c>
      <c r="J408" t="s">
        <v>219</v>
      </c>
      <c r="L408" s="2"/>
    </row>
    <row r="409" spans="1:12" x14ac:dyDescent="0.2">
      <c r="A409">
        <v>2009</v>
      </c>
      <c r="B409" t="s">
        <v>212</v>
      </c>
      <c r="C409" t="s">
        <v>2464</v>
      </c>
      <c r="D409" s="22">
        <v>330</v>
      </c>
      <c r="E409" s="16"/>
      <c r="G409" t="s">
        <v>145</v>
      </c>
      <c r="I409" t="s">
        <v>5</v>
      </c>
      <c r="J409" t="s">
        <v>214</v>
      </c>
      <c r="L409" s="2"/>
    </row>
    <row r="410" spans="1:12" x14ac:dyDescent="0.2">
      <c r="A410">
        <v>2010</v>
      </c>
      <c r="B410" t="s">
        <v>172</v>
      </c>
      <c r="C410" t="s">
        <v>423</v>
      </c>
      <c r="D410" s="65">
        <v>110</v>
      </c>
      <c r="E410" s="33">
        <v>1</v>
      </c>
      <c r="G410" t="s">
        <v>150</v>
      </c>
      <c r="H410" t="s">
        <v>217</v>
      </c>
      <c r="I410" t="s">
        <v>134</v>
      </c>
      <c r="J410" t="s">
        <v>201</v>
      </c>
      <c r="K410" s="17"/>
      <c r="L410" s="28" t="s">
        <v>178</v>
      </c>
    </row>
    <row r="411" spans="1:12" x14ac:dyDescent="0.2">
      <c r="A411">
        <v>2010</v>
      </c>
      <c r="B411" t="s">
        <v>172</v>
      </c>
      <c r="C411" t="s">
        <v>424</v>
      </c>
      <c r="D411" s="65">
        <v>200</v>
      </c>
      <c r="E411" s="33">
        <v>1</v>
      </c>
      <c r="G411" t="s">
        <v>150</v>
      </c>
      <c r="H411" t="s">
        <v>226</v>
      </c>
      <c r="I411" t="s">
        <v>67</v>
      </c>
      <c r="J411" t="s">
        <v>183</v>
      </c>
      <c r="K411" s="17"/>
      <c r="L411" s="28" t="s">
        <v>178</v>
      </c>
    </row>
    <row r="412" spans="1:12" x14ac:dyDescent="0.2">
      <c r="A412">
        <v>2010</v>
      </c>
      <c r="B412" t="s">
        <v>172</v>
      </c>
      <c r="C412" t="s">
        <v>425</v>
      </c>
      <c r="D412" s="65">
        <v>190</v>
      </c>
      <c r="E412" s="33">
        <v>0.6</v>
      </c>
      <c r="F412" t="s">
        <v>426</v>
      </c>
      <c r="G412" t="s">
        <v>149</v>
      </c>
      <c r="I412" t="s">
        <v>134</v>
      </c>
      <c r="J412" t="s">
        <v>201</v>
      </c>
      <c r="K412" s="17"/>
      <c r="L412" s="28"/>
    </row>
    <row r="413" spans="1:12" x14ac:dyDescent="0.2">
      <c r="A413">
        <v>2010</v>
      </c>
      <c r="B413" t="s">
        <v>172</v>
      </c>
      <c r="C413" t="s">
        <v>427</v>
      </c>
      <c r="D413" s="65">
        <v>650</v>
      </c>
      <c r="E413" s="33" t="s">
        <v>428</v>
      </c>
      <c r="F413" t="s">
        <v>429</v>
      </c>
      <c r="G413" t="s">
        <v>149</v>
      </c>
      <c r="H413" t="s">
        <v>236</v>
      </c>
      <c r="I413" t="s">
        <v>37</v>
      </c>
      <c r="J413" t="s">
        <v>205</v>
      </c>
      <c r="K413" s="17"/>
      <c r="L413" s="28"/>
    </row>
    <row r="414" spans="1:12" ht="15" customHeight="1" x14ac:dyDescent="0.2">
      <c r="A414">
        <v>2010</v>
      </c>
      <c r="B414" t="s">
        <v>172</v>
      </c>
      <c r="C414" t="s">
        <v>430</v>
      </c>
      <c r="D414" s="65">
        <v>1910</v>
      </c>
      <c r="E414" s="33">
        <v>0.7</v>
      </c>
      <c r="G414" t="s">
        <v>149</v>
      </c>
      <c r="H414" t="s">
        <v>182</v>
      </c>
      <c r="I414" t="s">
        <v>27</v>
      </c>
      <c r="J414" t="s">
        <v>205</v>
      </c>
      <c r="K414" s="17"/>
      <c r="L414" s="28" t="s">
        <v>178</v>
      </c>
    </row>
    <row r="415" spans="1:12" x14ac:dyDescent="0.2">
      <c r="A415">
        <v>2010</v>
      </c>
      <c r="B415" t="s">
        <v>258</v>
      </c>
      <c r="C415" t="s">
        <v>267</v>
      </c>
      <c r="D415" s="65">
        <v>350</v>
      </c>
      <c r="E415" s="33">
        <v>0.35</v>
      </c>
      <c r="F415" t="s">
        <v>431</v>
      </c>
      <c r="G415" t="s">
        <v>149</v>
      </c>
      <c r="H415" t="s">
        <v>238</v>
      </c>
      <c r="I415" t="s">
        <v>72</v>
      </c>
      <c r="J415" t="s">
        <v>183</v>
      </c>
      <c r="K415" s="17"/>
      <c r="L415" s="28" t="s">
        <v>178</v>
      </c>
    </row>
    <row r="416" spans="1:12" x14ac:dyDescent="0.2">
      <c r="A416">
        <v>2010</v>
      </c>
      <c r="B416" t="s">
        <v>258</v>
      </c>
      <c r="C416" t="s">
        <v>263</v>
      </c>
      <c r="D416" s="65">
        <v>960</v>
      </c>
      <c r="E416" s="33">
        <v>2.3E-2</v>
      </c>
      <c r="F416" t="s">
        <v>432</v>
      </c>
      <c r="G416" t="s">
        <v>146</v>
      </c>
      <c r="H416" t="s">
        <v>253</v>
      </c>
      <c r="I416" t="s">
        <v>20</v>
      </c>
      <c r="J416" t="s">
        <v>195</v>
      </c>
      <c r="K416" s="17"/>
      <c r="L416" s="28"/>
    </row>
    <row r="417" spans="1:12" x14ac:dyDescent="0.2">
      <c r="A417">
        <v>2010</v>
      </c>
      <c r="B417" t="s">
        <v>258</v>
      </c>
      <c r="C417" t="s">
        <v>263</v>
      </c>
      <c r="D417" s="65">
        <v>1500</v>
      </c>
      <c r="E417" s="33"/>
      <c r="F417" t="s">
        <v>433</v>
      </c>
      <c r="G417" t="s">
        <v>146</v>
      </c>
      <c r="H417" t="s">
        <v>253</v>
      </c>
      <c r="I417" t="s">
        <v>131</v>
      </c>
      <c r="J417" t="s">
        <v>131</v>
      </c>
      <c r="K417" s="17"/>
      <c r="L417" s="28"/>
    </row>
    <row r="418" spans="1:12" x14ac:dyDescent="0.2">
      <c r="A418">
        <v>2010</v>
      </c>
      <c r="B418" t="s">
        <v>258</v>
      </c>
      <c r="C418" t="s">
        <v>434</v>
      </c>
      <c r="D418" s="65">
        <v>190</v>
      </c>
      <c r="E418" s="33"/>
      <c r="F418" t="s">
        <v>435</v>
      </c>
      <c r="G418" t="s">
        <v>143</v>
      </c>
      <c r="I418" t="s">
        <v>51</v>
      </c>
      <c r="J418" t="s">
        <v>195</v>
      </c>
      <c r="K418" s="17"/>
      <c r="L418" s="28"/>
    </row>
    <row r="419" spans="1:12" x14ac:dyDescent="0.2">
      <c r="A419">
        <v>2010</v>
      </c>
      <c r="B419" t="s">
        <v>258</v>
      </c>
      <c r="C419" t="s">
        <v>278</v>
      </c>
      <c r="D419" s="65">
        <v>200</v>
      </c>
      <c r="E419" s="33">
        <v>1</v>
      </c>
      <c r="G419" t="s">
        <v>151</v>
      </c>
      <c r="H419" t="s">
        <v>279</v>
      </c>
      <c r="I419" t="s">
        <v>19</v>
      </c>
      <c r="J419" t="s">
        <v>205</v>
      </c>
      <c r="K419" s="17"/>
      <c r="L419" s="28" t="s">
        <v>178</v>
      </c>
    </row>
    <row r="420" spans="1:12" x14ac:dyDescent="0.2">
      <c r="A420">
        <v>2010</v>
      </c>
      <c r="B420" t="s">
        <v>258</v>
      </c>
      <c r="C420" t="s">
        <v>199</v>
      </c>
      <c r="D420" s="65">
        <v>4680</v>
      </c>
      <c r="E420" s="33">
        <v>1</v>
      </c>
      <c r="G420" t="s">
        <v>144</v>
      </c>
      <c r="H420" t="s">
        <v>187</v>
      </c>
      <c r="I420" t="s">
        <v>88</v>
      </c>
      <c r="J420" t="s">
        <v>219</v>
      </c>
      <c r="K420" s="17"/>
      <c r="L420" s="28" t="s">
        <v>178</v>
      </c>
    </row>
    <row r="421" spans="1:12" x14ac:dyDescent="0.2">
      <c r="A421">
        <v>2010</v>
      </c>
      <c r="B421" t="s">
        <v>179</v>
      </c>
      <c r="C421" t="s">
        <v>263</v>
      </c>
      <c r="D421" s="65">
        <v>200</v>
      </c>
      <c r="E421" s="33"/>
      <c r="F421" t="s">
        <v>436</v>
      </c>
      <c r="G421" t="s">
        <v>146</v>
      </c>
      <c r="H421" t="s">
        <v>253</v>
      </c>
      <c r="I421" t="s">
        <v>25</v>
      </c>
      <c r="J421" t="s">
        <v>177</v>
      </c>
      <c r="K421" s="17"/>
      <c r="L421" s="28"/>
    </row>
    <row r="422" spans="1:12" x14ac:dyDescent="0.2">
      <c r="A422">
        <v>2010</v>
      </c>
      <c r="B422" t="s">
        <v>179</v>
      </c>
      <c r="C422" t="s">
        <v>199</v>
      </c>
      <c r="D422" s="65">
        <v>180</v>
      </c>
      <c r="E422" s="33">
        <v>0.51</v>
      </c>
      <c r="F422" t="s">
        <v>437</v>
      </c>
      <c r="G422" t="s">
        <v>144</v>
      </c>
      <c r="I422" t="s">
        <v>131</v>
      </c>
      <c r="J422" t="s">
        <v>131</v>
      </c>
      <c r="K422" s="17"/>
      <c r="L422" s="28"/>
    </row>
    <row r="423" spans="1:12" x14ac:dyDescent="0.2">
      <c r="A423">
        <v>2010</v>
      </c>
      <c r="B423" t="s">
        <v>179</v>
      </c>
      <c r="C423" t="s">
        <v>438</v>
      </c>
      <c r="D423" s="65">
        <v>2700</v>
      </c>
      <c r="E423" s="33"/>
      <c r="F423" t="s">
        <v>439</v>
      </c>
      <c r="G423" t="s">
        <v>154</v>
      </c>
      <c r="H423" t="s">
        <v>194</v>
      </c>
      <c r="I423" t="s">
        <v>118</v>
      </c>
      <c r="J423" t="s">
        <v>195</v>
      </c>
      <c r="K423" s="17"/>
      <c r="L423" s="28"/>
    </row>
    <row r="424" spans="1:12" x14ac:dyDescent="0.2">
      <c r="A424">
        <v>2010</v>
      </c>
      <c r="B424" t="s">
        <v>179</v>
      </c>
      <c r="C424" t="s">
        <v>440</v>
      </c>
      <c r="D424" s="65">
        <v>1200</v>
      </c>
      <c r="E424" s="33"/>
      <c r="F424" t="s">
        <v>441</v>
      </c>
      <c r="G424" t="s">
        <v>149</v>
      </c>
      <c r="H424" t="s">
        <v>182</v>
      </c>
      <c r="I424" t="s">
        <v>19</v>
      </c>
      <c r="J424" t="s">
        <v>205</v>
      </c>
      <c r="K424" s="17"/>
      <c r="L424" s="28"/>
    </row>
    <row r="425" spans="1:12" x14ac:dyDescent="0.2">
      <c r="A425">
        <v>2010</v>
      </c>
      <c r="B425" t="s">
        <v>179</v>
      </c>
      <c r="C425" t="s">
        <v>199</v>
      </c>
      <c r="D425" s="65">
        <v>1580</v>
      </c>
      <c r="E425" s="33"/>
      <c r="F425" t="s">
        <v>442</v>
      </c>
      <c r="G425" t="s">
        <v>144</v>
      </c>
      <c r="H425" t="s">
        <v>299</v>
      </c>
      <c r="I425" t="s">
        <v>9</v>
      </c>
      <c r="J425" t="s">
        <v>9</v>
      </c>
      <c r="K425" s="17"/>
      <c r="L425" s="28"/>
    </row>
    <row r="426" spans="1:12" x14ac:dyDescent="0.2">
      <c r="A426">
        <v>2010</v>
      </c>
      <c r="B426" t="s">
        <v>179</v>
      </c>
      <c r="C426" t="s">
        <v>443</v>
      </c>
      <c r="D426" s="65">
        <v>100</v>
      </c>
      <c r="E426" s="33"/>
      <c r="G426" t="s">
        <v>154</v>
      </c>
      <c r="H426" t="s">
        <v>194</v>
      </c>
      <c r="I426" t="s">
        <v>112</v>
      </c>
      <c r="J426" t="s">
        <v>219</v>
      </c>
      <c r="K426" s="17"/>
      <c r="L426" s="28"/>
    </row>
    <row r="427" spans="1:12" x14ac:dyDescent="0.2">
      <c r="A427">
        <v>2010</v>
      </c>
      <c r="B427" t="s">
        <v>179</v>
      </c>
      <c r="C427" t="s">
        <v>444</v>
      </c>
      <c r="D427" s="65">
        <v>500</v>
      </c>
      <c r="E427" s="33"/>
      <c r="G427" t="s">
        <v>154</v>
      </c>
      <c r="H427" t="s">
        <v>194</v>
      </c>
      <c r="I427" t="s">
        <v>24</v>
      </c>
      <c r="J427" t="s">
        <v>219</v>
      </c>
      <c r="K427" s="17"/>
      <c r="L427" s="28" t="s">
        <v>178</v>
      </c>
    </row>
    <row r="428" spans="1:12" x14ac:dyDescent="0.2">
      <c r="A428">
        <v>2010</v>
      </c>
      <c r="B428" t="s">
        <v>179</v>
      </c>
      <c r="C428" t="s">
        <v>185</v>
      </c>
      <c r="D428" s="65">
        <v>3100</v>
      </c>
      <c r="E428" s="33">
        <v>0.5</v>
      </c>
      <c r="F428" t="s">
        <v>445</v>
      </c>
      <c r="G428" t="s">
        <v>144</v>
      </c>
      <c r="I428" t="s">
        <v>8</v>
      </c>
      <c r="J428" t="s">
        <v>205</v>
      </c>
      <c r="K428" s="17"/>
      <c r="L428" s="28"/>
    </row>
    <row r="429" spans="1:12" x14ac:dyDescent="0.2">
      <c r="A429">
        <v>2010</v>
      </c>
      <c r="B429" t="s">
        <v>179</v>
      </c>
      <c r="C429" t="s">
        <v>444</v>
      </c>
      <c r="D429" s="65">
        <v>540</v>
      </c>
      <c r="E429" s="33"/>
      <c r="G429" t="s">
        <v>144</v>
      </c>
      <c r="H429" t="s">
        <v>197</v>
      </c>
      <c r="I429" t="s">
        <v>23</v>
      </c>
      <c r="J429" t="s">
        <v>183</v>
      </c>
      <c r="K429" s="17"/>
      <c r="L429" s="28" t="s">
        <v>178</v>
      </c>
    </row>
    <row r="430" spans="1:12" x14ac:dyDescent="0.2">
      <c r="A430">
        <v>2010</v>
      </c>
      <c r="B430" t="s">
        <v>179</v>
      </c>
      <c r="C430" t="s">
        <v>446</v>
      </c>
      <c r="D430" s="65">
        <v>390</v>
      </c>
      <c r="E430" s="33">
        <v>1</v>
      </c>
      <c r="F430" t="s">
        <v>447</v>
      </c>
      <c r="G430" t="s">
        <v>149</v>
      </c>
      <c r="I430" t="s">
        <v>19</v>
      </c>
      <c r="J430" t="s">
        <v>205</v>
      </c>
      <c r="K430" s="17"/>
      <c r="L430" s="28"/>
    </row>
    <row r="431" spans="1:12" x14ac:dyDescent="0.2">
      <c r="A431">
        <v>2010</v>
      </c>
      <c r="B431" t="s">
        <v>184</v>
      </c>
      <c r="C431" t="s">
        <v>305</v>
      </c>
      <c r="D431" s="65">
        <v>120</v>
      </c>
      <c r="E431" s="33">
        <v>0.49</v>
      </c>
      <c r="F431" t="s">
        <v>448</v>
      </c>
      <c r="G431" t="s">
        <v>149</v>
      </c>
      <c r="H431" t="s">
        <v>236</v>
      </c>
      <c r="I431" t="s">
        <v>63</v>
      </c>
      <c r="J431" t="s">
        <v>201</v>
      </c>
      <c r="K431" s="17"/>
      <c r="L431" s="28"/>
    </row>
    <row r="432" spans="1:12" x14ac:dyDescent="0.2">
      <c r="A432">
        <v>2010</v>
      </c>
      <c r="B432" t="s">
        <v>184</v>
      </c>
      <c r="C432" t="s">
        <v>449</v>
      </c>
      <c r="D432" s="65">
        <v>260</v>
      </c>
      <c r="E432" s="33">
        <v>0.125</v>
      </c>
      <c r="F432" t="s">
        <v>450</v>
      </c>
      <c r="G432" t="s">
        <v>149</v>
      </c>
      <c r="H432" t="s">
        <v>182</v>
      </c>
      <c r="I432" t="s">
        <v>107</v>
      </c>
      <c r="J432" t="s">
        <v>219</v>
      </c>
      <c r="K432" s="17"/>
      <c r="L432" s="28"/>
    </row>
    <row r="433" spans="1:12" x14ac:dyDescent="0.2">
      <c r="A433">
        <v>2010</v>
      </c>
      <c r="B433" t="s">
        <v>184</v>
      </c>
      <c r="C433" t="s">
        <v>189</v>
      </c>
      <c r="D433" s="65">
        <v>4650</v>
      </c>
      <c r="E433" s="33">
        <v>0.09</v>
      </c>
      <c r="F433" t="s">
        <v>451</v>
      </c>
      <c r="G433" t="s">
        <v>144</v>
      </c>
      <c r="H433" t="s">
        <v>187</v>
      </c>
      <c r="I433" t="s">
        <v>25</v>
      </c>
      <c r="J433" t="s">
        <v>177</v>
      </c>
      <c r="K433" s="17"/>
      <c r="L433" s="28"/>
    </row>
    <row r="434" spans="1:12" x14ac:dyDescent="0.2">
      <c r="A434">
        <v>2010</v>
      </c>
      <c r="B434" t="s">
        <v>184</v>
      </c>
      <c r="C434" t="s">
        <v>185</v>
      </c>
      <c r="D434" s="65">
        <v>270</v>
      </c>
      <c r="E434" s="33">
        <v>0.05</v>
      </c>
      <c r="F434" t="s">
        <v>452</v>
      </c>
      <c r="G434" t="s">
        <v>144</v>
      </c>
      <c r="H434" t="s">
        <v>299</v>
      </c>
      <c r="I434" t="s">
        <v>9</v>
      </c>
      <c r="J434" t="s">
        <v>9</v>
      </c>
      <c r="K434" s="17"/>
      <c r="L434" s="28"/>
    </row>
    <row r="435" spans="1:12" x14ac:dyDescent="0.2">
      <c r="A435">
        <v>2010</v>
      </c>
      <c r="B435" t="s">
        <v>184</v>
      </c>
      <c r="C435" t="s">
        <v>199</v>
      </c>
      <c r="D435" s="65">
        <v>900</v>
      </c>
      <c r="E435" s="33"/>
      <c r="F435" t="s">
        <v>453</v>
      </c>
      <c r="G435" t="s">
        <v>144</v>
      </c>
      <c r="H435" t="s">
        <v>187</v>
      </c>
      <c r="I435" t="s">
        <v>135</v>
      </c>
      <c r="J435" t="s">
        <v>205</v>
      </c>
      <c r="K435" s="17"/>
      <c r="L435" s="28" t="s">
        <v>178</v>
      </c>
    </row>
    <row r="436" spans="1:12" x14ac:dyDescent="0.2">
      <c r="A436">
        <v>2010</v>
      </c>
      <c r="B436" t="s">
        <v>184</v>
      </c>
      <c r="C436" t="s">
        <v>454</v>
      </c>
      <c r="D436" s="65">
        <v>300</v>
      </c>
      <c r="E436" s="33">
        <v>0.10299999999999999</v>
      </c>
      <c r="F436" t="s">
        <v>455</v>
      </c>
      <c r="G436" t="s">
        <v>152</v>
      </c>
      <c r="I436" t="s">
        <v>101</v>
      </c>
      <c r="J436" t="s">
        <v>201</v>
      </c>
      <c r="K436" s="17"/>
      <c r="L436" s="28"/>
    </row>
    <row r="437" spans="1:12" x14ac:dyDescent="0.2">
      <c r="A437">
        <v>2010</v>
      </c>
      <c r="B437" t="s">
        <v>184</v>
      </c>
      <c r="C437" t="s">
        <v>456</v>
      </c>
      <c r="D437" s="65">
        <v>140</v>
      </c>
      <c r="E437" s="33">
        <v>0.55000000000000004</v>
      </c>
      <c r="F437" t="s">
        <v>457</v>
      </c>
      <c r="G437" t="s">
        <v>149</v>
      </c>
      <c r="I437" t="s">
        <v>9</v>
      </c>
      <c r="J437" t="s">
        <v>9</v>
      </c>
      <c r="K437" s="17"/>
      <c r="L437" s="28"/>
    </row>
    <row r="438" spans="1:12" x14ac:dyDescent="0.2">
      <c r="A438">
        <v>2010</v>
      </c>
      <c r="B438" t="s">
        <v>184</v>
      </c>
      <c r="C438" t="s">
        <v>263</v>
      </c>
      <c r="D438" s="65">
        <v>490</v>
      </c>
      <c r="E438" s="33"/>
      <c r="F438" t="s">
        <v>386</v>
      </c>
      <c r="G438" t="s">
        <v>144</v>
      </c>
      <c r="H438" t="s">
        <v>187</v>
      </c>
      <c r="I438" t="s">
        <v>25</v>
      </c>
      <c r="J438" t="s">
        <v>177</v>
      </c>
      <c r="K438" s="17"/>
      <c r="L438" s="28"/>
    </row>
    <row r="439" spans="1:12" x14ac:dyDescent="0.2">
      <c r="A439">
        <v>2010</v>
      </c>
      <c r="B439" t="s">
        <v>225</v>
      </c>
      <c r="C439" t="s">
        <v>458</v>
      </c>
      <c r="D439" s="65">
        <v>120</v>
      </c>
      <c r="E439" s="33">
        <v>0.6</v>
      </c>
      <c r="F439" t="s">
        <v>459</v>
      </c>
      <c r="G439" t="s">
        <v>151</v>
      </c>
      <c r="H439" t="s">
        <v>279</v>
      </c>
      <c r="I439" t="s">
        <v>112</v>
      </c>
      <c r="J439" t="s">
        <v>219</v>
      </c>
      <c r="K439" s="17"/>
      <c r="L439" s="28"/>
    </row>
    <row r="440" spans="1:12" x14ac:dyDescent="0.2">
      <c r="A440">
        <v>2010</v>
      </c>
      <c r="B440" t="s">
        <v>225</v>
      </c>
      <c r="C440" t="s">
        <v>460</v>
      </c>
      <c r="D440" s="65">
        <v>140</v>
      </c>
      <c r="E440" s="33">
        <v>1</v>
      </c>
      <c r="G440" t="s">
        <v>151</v>
      </c>
      <c r="H440" t="s">
        <v>279</v>
      </c>
      <c r="I440" t="s">
        <v>40</v>
      </c>
      <c r="J440" t="s">
        <v>219</v>
      </c>
      <c r="K440" s="17"/>
      <c r="L440" s="28" t="s">
        <v>178</v>
      </c>
    </row>
    <row r="441" spans="1:12" x14ac:dyDescent="0.2">
      <c r="A441">
        <v>2010</v>
      </c>
      <c r="B441" t="s">
        <v>225</v>
      </c>
      <c r="C441" t="s">
        <v>461</v>
      </c>
      <c r="D441" s="65">
        <v>200</v>
      </c>
      <c r="E441" s="33">
        <v>1</v>
      </c>
      <c r="G441" t="s">
        <v>144</v>
      </c>
      <c r="H441" t="s">
        <v>232</v>
      </c>
      <c r="I441" t="s">
        <v>58</v>
      </c>
      <c r="J441" t="s">
        <v>195</v>
      </c>
      <c r="K441" s="17"/>
      <c r="L441" s="28"/>
    </row>
    <row r="442" spans="1:12" x14ac:dyDescent="0.2">
      <c r="A442">
        <v>2010</v>
      </c>
      <c r="B442" t="s">
        <v>225</v>
      </c>
      <c r="C442" t="s">
        <v>199</v>
      </c>
      <c r="D442" s="65">
        <v>1480</v>
      </c>
      <c r="E442" s="33">
        <v>0.35</v>
      </c>
      <c r="F442" t="s">
        <v>462</v>
      </c>
      <c r="G442" t="s">
        <v>144</v>
      </c>
      <c r="I442" t="s">
        <v>120</v>
      </c>
      <c r="J442" t="s">
        <v>214</v>
      </c>
      <c r="K442" s="17"/>
      <c r="L442" s="28"/>
    </row>
    <row r="443" spans="1:12" ht="15" customHeight="1" x14ac:dyDescent="0.2">
      <c r="A443">
        <v>2010</v>
      </c>
      <c r="B443" t="s">
        <v>225</v>
      </c>
      <c r="C443" t="s">
        <v>327</v>
      </c>
      <c r="D443" s="65">
        <v>100</v>
      </c>
      <c r="E443" s="33">
        <v>0.01</v>
      </c>
      <c r="F443" t="s">
        <v>463</v>
      </c>
      <c r="G443" t="s">
        <v>144</v>
      </c>
      <c r="H443" t="s">
        <v>299</v>
      </c>
      <c r="I443" t="s">
        <v>131</v>
      </c>
      <c r="J443" t="s">
        <v>131</v>
      </c>
      <c r="K443" s="17"/>
      <c r="L443" s="28"/>
    </row>
    <row r="444" spans="1:12" x14ac:dyDescent="0.2">
      <c r="A444">
        <v>2010</v>
      </c>
      <c r="B444" t="s">
        <v>225</v>
      </c>
      <c r="C444" t="s">
        <v>263</v>
      </c>
      <c r="D444" s="65">
        <v>1220</v>
      </c>
      <c r="E444" s="33" t="s">
        <v>464</v>
      </c>
      <c r="F444" t="s">
        <v>465</v>
      </c>
      <c r="G444" t="s">
        <v>144</v>
      </c>
      <c r="H444" t="s">
        <v>187</v>
      </c>
      <c r="I444" t="s">
        <v>25</v>
      </c>
      <c r="J444" t="s">
        <v>177</v>
      </c>
      <c r="K444" s="17"/>
      <c r="L444" s="28" t="s">
        <v>178</v>
      </c>
    </row>
    <row r="445" spans="1:12" x14ac:dyDescent="0.2">
      <c r="A445">
        <v>2010</v>
      </c>
      <c r="B445" t="s">
        <v>225</v>
      </c>
      <c r="C445" t="s">
        <v>307</v>
      </c>
      <c r="D445" s="65">
        <v>1720</v>
      </c>
      <c r="E445" s="33">
        <v>1</v>
      </c>
      <c r="F445" t="s">
        <v>466</v>
      </c>
      <c r="G445" t="s">
        <v>144</v>
      </c>
      <c r="I445" t="s">
        <v>19</v>
      </c>
      <c r="J445" t="s">
        <v>205</v>
      </c>
      <c r="K445" s="17"/>
      <c r="L445" s="28"/>
    </row>
    <row r="446" spans="1:12" x14ac:dyDescent="0.2">
      <c r="A446">
        <v>2010</v>
      </c>
      <c r="B446" t="s">
        <v>225</v>
      </c>
      <c r="C446" t="s">
        <v>313</v>
      </c>
      <c r="D446" s="65">
        <v>3070</v>
      </c>
      <c r="E446" s="33">
        <v>0.4</v>
      </c>
      <c r="F446" t="s">
        <v>413</v>
      </c>
      <c r="G446" t="s">
        <v>144</v>
      </c>
      <c r="H446" t="s">
        <v>187</v>
      </c>
      <c r="I446" t="s">
        <v>19</v>
      </c>
      <c r="J446" t="s">
        <v>205</v>
      </c>
      <c r="K446" s="17"/>
      <c r="L446" s="28"/>
    </row>
    <row r="447" spans="1:12" x14ac:dyDescent="0.2">
      <c r="A447">
        <v>2010</v>
      </c>
      <c r="B447" t="s">
        <v>225</v>
      </c>
      <c r="C447" t="s">
        <v>467</v>
      </c>
      <c r="D447" s="65">
        <v>230</v>
      </c>
      <c r="E447" s="33">
        <v>0.51</v>
      </c>
      <c r="F447" t="s">
        <v>468</v>
      </c>
      <c r="G447" t="s">
        <v>149</v>
      </c>
      <c r="I447" t="s">
        <v>112</v>
      </c>
      <c r="J447" t="s">
        <v>219</v>
      </c>
      <c r="K447" s="17"/>
      <c r="L447" s="28"/>
    </row>
    <row r="448" spans="1:12" x14ac:dyDescent="0.2">
      <c r="A448">
        <v>2010</v>
      </c>
      <c r="B448" t="s">
        <v>225</v>
      </c>
      <c r="C448" t="s">
        <v>469</v>
      </c>
      <c r="D448" s="65">
        <v>990</v>
      </c>
      <c r="E448" s="33">
        <v>1</v>
      </c>
      <c r="F448" t="s">
        <v>470</v>
      </c>
      <c r="G448" t="s">
        <v>151</v>
      </c>
      <c r="H448" t="s">
        <v>224</v>
      </c>
      <c r="I448" t="s">
        <v>113</v>
      </c>
      <c r="J448" t="s">
        <v>183</v>
      </c>
      <c r="K448" s="17"/>
      <c r="L448" s="28" t="s">
        <v>178</v>
      </c>
    </row>
    <row r="449" spans="1:12" x14ac:dyDescent="0.2">
      <c r="A449">
        <v>2010</v>
      </c>
      <c r="B449" t="s">
        <v>225</v>
      </c>
      <c r="C449" t="s">
        <v>199</v>
      </c>
      <c r="D449" s="65">
        <v>150</v>
      </c>
      <c r="E449" s="33"/>
      <c r="G449" t="s">
        <v>144</v>
      </c>
      <c r="I449" t="s">
        <v>53</v>
      </c>
      <c r="J449" t="s">
        <v>183</v>
      </c>
      <c r="K449" s="17"/>
      <c r="L449" s="28" t="s">
        <v>178</v>
      </c>
    </row>
    <row r="450" spans="1:12" x14ac:dyDescent="0.2">
      <c r="A450">
        <v>2010</v>
      </c>
      <c r="B450" t="s">
        <v>188</v>
      </c>
      <c r="C450" t="s">
        <v>471</v>
      </c>
      <c r="D450" s="65">
        <v>100</v>
      </c>
      <c r="E450" s="33">
        <v>0.5</v>
      </c>
      <c r="F450" t="s">
        <v>472</v>
      </c>
      <c r="G450" t="s">
        <v>149</v>
      </c>
      <c r="I450" t="s">
        <v>25</v>
      </c>
      <c r="J450" t="s">
        <v>177</v>
      </c>
      <c r="K450" s="17"/>
      <c r="L450" s="28" t="s">
        <v>178</v>
      </c>
    </row>
    <row r="451" spans="1:12" x14ac:dyDescent="0.2">
      <c r="A451">
        <v>2010</v>
      </c>
      <c r="B451" t="s">
        <v>188</v>
      </c>
      <c r="C451" t="s">
        <v>473</v>
      </c>
      <c r="D451" s="65">
        <v>110</v>
      </c>
      <c r="E451" s="33">
        <v>1</v>
      </c>
      <c r="G451" t="s">
        <v>143</v>
      </c>
      <c r="I451" t="s">
        <v>8</v>
      </c>
      <c r="J451" t="s">
        <v>205</v>
      </c>
      <c r="K451" s="17"/>
      <c r="L451" s="28" t="s">
        <v>178</v>
      </c>
    </row>
    <row r="452" spans="1:12" x14ac:dyDescent="0.2">
      <c r="A452">
        <v>2010</v>
      </c>
      <c r="B452" t="s">
        <v>188</v>
      </c>
      <c r="C452" t="s">
        <v>399</v>
      </c>
      <c r="D452" s="65">
        <v>1150</v>
      </c>
      <c r="E452" s="33">
        <v>0.6</v>
      </c>
      <c r="F452" t="s">
        <v>400</v>
      </c>
      <c r="G452" t="s">
        <v>150</v>
      </c>
      <c r="H452" t="s">
        <v>217</v>
      </c>
      <c r="I452" t="s">
        <v>131</v>
      </c>
      <c r="J452" t="s">
        <v>131</v>
      </c>
      <c r="K452" s="17"/>
      <c r="L452" s="28"/>
    </row>
    <row r="453" spans="1:12" x14ac:dyDescent="0.2">
      <c r="A453">
        <v>2010</v>
      </c>
      <c r="B453" t="s">
        <v>191</v>
      </c>
      <c r="C453" t="s">
        <v>474</v>
      </c>
      <c r="D453" s="65">
        <v>140</v>
      </c>
      <c r="E453" s="33"/>
      <c r="G453" t="s">
        <v>142</v>
      </c>
      <c r="I453" t="s">
        <v>60</v>
      </c>
      <c r="J453" t="s">
        <v>177</v>
      </c>
      <c r="K453" s="17"/>
      <c r="L453" s="28"/>
    </row>
    <row r="454" spans="1:12" x14ac:dyDescent="0.2">
      <c r="A454">
        <v>2010</v>
      </c>
      <c r="B454" t="s">
        <v>191</v>
      </c>
      <c r="C454" t="s">
        <v>475</v>
      </c>
      <c r="D454" s="65">
        <v>440</v>
      </c>
      <c r="E454" s="33">
        <v>1</v>
      </c>
      <c r="F454" t="s">
        <v>476</v>
      </c>
      <c r="G454" t="s">
        <v>154</v>
      </c>
      <c r="H454" t="s">
        <v>194</v>
      </c>
      <c r="I454" t="s">
        <v>131</v>
      </c>
      <c r="J454" t="s">
        <v>131</v>
      </c>
      <c r="K454" s="17"/>
      <c r="L454" s="28"/>
    </row>
    <row r="455" spans="1:12" x14ac:dyDescent="0.2">
      <c r="A455">
        <v>2010</v>
      </c>
      <c r="B455" t="s">
        <v>191</v>
      </c>
      <c r="C455" t="s">
        <v>477</v>
      </c>
      <c r="D455" s="65">
        <v>550</v>
      </c>
      <c r="E455" s="33">
        <v>1</v>
      </c>
      <c r="F455" t="s">
        <v>478</v>
      </c>
      <c r="G455" t="s">
        <v>154</v>
      </c>
      <c r="H455" t="s">
        <v>271</v>
      </c>
      <c r="I455" t="s">
        <v>9</v>
      </c>
      <c r="J455" t="s">
        <v>9</v>
      </c>
      <c r="K455" s="17"/>
      <c r="L455" s="28"/>
    </row>
    <row r="456" spans="1:12" x14ac:dyDescent="0.2">
      <c r="A456">
        <v>2010</v>
      </c>
      <c r="B456" t="s">
        <v>198</v>
      </c>
      <c r="C456" t="s">
        <v>479</v>
      </c>
      <c r="D456" s="65">
        <v>130</v>
      </c>
      <c r="E456" s="33">
        <v>1</v>
      </c>
      <c r="F456" t="s">
        <v>480</v>
      </c>
      <c r="G456" t="s">
        <v>144</v>
      </c>
      <c r="H456" t="s">
        <v>187</v>
      </c>
      <c r="I456" t="s">
        <v>131</v>
      </c>
      <c r="J456" t="s">
        <v>131</v>
      </c>
      <c r="K456" s="17"/>
      <c r="L456" s="28"/>
    </row>
    <row r="457" spans="1:12" x14ac:dyDescent="0.2">
      <c r="A457">
        <v>2010</v>
      </c>
      <c r="B457" t="s">
        <v>202</v>
      </c>
      <c r="C457" t="s">
        <v>481</v>
      </c>
      <c r="D457" s="65">
        <v>180</v>
      </c>
      <c r="E457" s="33">
        <v>0.51</v>
      </c>
      <c r="F457" t="s">
        <v>482</v>
      </c>
      <c r="G457" t="s">
        <v>144</v>
      </c>
      <c r="I457" t="s">
        <v>23</v>
      </c>
      <c r="J457" t="s">
        <v>183</v>
      </c>
      <c r="K457" s="17"/>
      <c r="L457" s="28" t="s">
        <v>178</v>
      </c>
    </row>
    <row r="458" spans="1:12" x14ac:dyDescent="0.2">
      <c r="A458">
        <v>2010</v>
      </c>
      <c r="B458" t="s">
        <v>202</v>
      </c>
      <c r="C458" t="s">
        <v>483</v>
      </c>
      <c r="D458" s="65">
        <v>1480</v>
      </c>
      <c r="E458" s="33"/>
      <c r="F458" t="s">
        <v>484</v>
      </c>
      <c r="G458" t="s">
        <v>149</v>
      </c>
      <c r="H458" t="s">
        <v>236</v>
      </c>
      <c r="I458" t="s">
        <v>82</v>
      </c>
      <c r="J458" t="s">
        <v>183</v>
      </c>
      <c r="K458" s="17"/>
      <c r="L458" s="28" t="s">
        <v>178</v>
      </c>
    </row>
    <row r="459" spans="1:12" x14ac:dyDescent="0.2">
      <c r="A459">
        <v>2010</v>
      </c>
      <c r="B459" t="s">
        <v>202</v>
      </c>
      <c r="C459" t="s">
        <v>485</v>
      </c>
      <c r="D459" s="65">
        <v>1200</v>
      </c>
      <c r="E459" s="33">
        <v>0.8</v>
      </c>
      <c r="F459" t="s">
        <v>486</v>
      </c>
      <c r="G459" t="s">
        <v>149</v>
      </c>
      <c r="H459" t="s">
        <v>238</v>
      </c>
      <c r="I459" t="s">
        <v>46</v>
      </c>
      <c r="J459" t="s">
        <v>219</v>
      </c>
      <c r="K459" s="17"/>
      <c r="L459" s="28"/>
    </row>
    <row r="460" spans="1:12" x14ac:dyDescent="0.2">
      <c r="A460">
        <v>2010</v>
      </c>
      <c r="B460" t="s">
        <v>202</v>
      </c>
      <c r="C460" t="s">
        <v>305</v>
      </c>
      <c r="D460" s="65">
        <v>420</v>
      </c>
      <c r="E460" s="33">
        <v>1</v>
      </c>
      <c r="F460" t="s">
        <v>487</v>
      </c>
      <c r="G460" t="s">
        <v>149</v>
      </c>
      <c r="H460" t="s">
        <v>236</v>
      </c>
      <c r="I460" t="s">
        <v>25</v>
      </c>
      <c r="J460" t="s">
        <v>177</v>
      </c>
      <c r="K460" s="17"/>
      <c r="L460" s="28"/>
    </row>
    <row r="461" spans="1:12" x14ac:dyDescent="0.2">
      <c r="A461">
        <v>2010</v>
      </c>
      <c r="B461" t="s">
        <v>202</v>
      </c>
      <c r="C461" t="s">
        <v>488</v>
      </c>
      <c r="D461" s="65">
        <v>100</v>
      </c>
      <c r="E461" s="33">
        <v>1</v>
      </c>
      <c r="F461" t="s">
        <v>489</v>
      </c>
      <c r="G461" t="s">
        <v>145</v>
      </c>
      <c r="I461" t="s">
        <v>113</v>
      </c>
      <c r="J461" t="s">
        <v>183</v>
      </c>
      <c r="K461" s="17"/>
      <c r="L461" s="28"/>
    </row>
    <row r="462" spans="1:12" s="25" customFormat="1" x14ac:dyDescent="0.2">
      <c r="A462">
        <v>2010</v>
      </c>
      <c r="B462" t="s">
        <v>202</v>
      </c>
      <c r="C462" t="s">
        <v>337</v>
      </c>
      <c r="D462" s="65">
        <v>360</v>
      </c>
      <c r="E462" s="33">
        <v>0.51</v>
      </c>
      <c r="F462" t="s">
        <v>490</v>
      </c>
      <c r="G462" t="s">
        <v>144</v>
      </c>
      <c r="I462" t="s">
        <v>101</v>
      </c>
      <c r="J462" t="s">
        <v>201</v>
      </c>
      <c r="K462" s="17"/>
      <c r="L462" s="28" t="s">
        <v>178</v>
      </c>
    </row>
    <row r="463" spans="1:12" s="25" customFormat="1" x14ac:dyDescent="0.2">
      <c r="A463">
        <v>2010</v>
      </c>
      <c r="B463" t="s">
        <v>202</v>
      </c>
      <c r="C463" t="s">
        <v>221</v>
      </c>
      <c r="D463" s="65">
        <v>150</v>
      </c>
      <c r="E463" s="33"/>
      <c r="F463" t="s">
        <v>491</v>
      </c>
      <c r="G463" t="s">
        <v>154</v>
      </c>
      <c r="H463" t="s">
        <v>194</v>
      </c>
      <c r="I463" t="s">
        <v>63</v>
      </c>
      <c r="J463" t="s">
        <v>201</v>
      </c>
      <c r="K463" s="17"/>
      <c r="L463" s="28"/>
    </row>
    <row r="464" spans="1:12" s="25" customFormat="1" x14ac:dyDescent="0.2">
      <c r="A464">
        <v>2010</v>
      </c>
      <c r="B464" t="s">
        <v>207</v>
      </c>
      <c r="C464" t="s">
        <v>189</v>
      </c>
      <c r="D464" s="65">
        <v>7100</v>
      </c>
      <c r="E464" s="33">
        <v>0.4</v>
      </c>
      <c r="F464" t="s">
        <v>492</v>
      </c>
      <c r="G464" t="s">
        <v>144</v>
      </c>
      <c r="H464" t="s">
        <v>187</v>
      </c>
      <c r="I464" t="s">
        <v>19</v>
      </c>
      <c r="J464" t="s">
        <v>205</v>
      </c>
      <c r="K464" s="17"/>
      <c r="L464" s="28"/>
    </row>
    <row r="465" spans="1:12" s="25" customFormat="1" x14ac:dyDescent="0.2">
      <c r="A465">
        <v>2010</v>
      </c>
      <c r="B465" t="s">
        <v>207</v>
      </c>
      <c r="C465" t="s">
        <v>185</v>
      </c>
      <c r="D465" s="65">
        <v>2370</v>
      </c>
      <c r="E465" s="33">
        <v>0.33</v>
      </c>
      <c r="F465" t="s">
        <v>463</v>
      </c>
      <c r="G465" t="s">
        <v>144</v>
      </c>
      <c r="H465" t="s">
        <v>299</v>
      </c>
      <c r="I465" t="s">
        <v>131</v>
      </c>
      <c r="J465" t="s">
        <v>131</v>
      </c>
      <c r="K465" s="17"/>
      <c r="L465" s="28"/>
    </row>
    <row r="466" spans="1:12" s="25" customFormat="1" x14ac:dyDescent="0.2">
      <c r="A466">
        <v>2010</v>
      </c>
      <c r="B466" t="s">
        <v>207</v>
      </c>
      <c r="C466" t="s">
        <v>210</v>
      </c>
      <c r="D466" s="65">
        <v>1440</v>
      </c>
      <c r="E466" s="33">
        <v>0.6</v>
      </c>
      <c r="F466" t="s">
        <v>493</v>
      </c>
      <c r="G466" t="s">
        <v>142</v>
      </c>
      <c r="I466" t="s">
        <v>57</v>
      </c>
      <c r="J466" t="s">
        <v>195</v>
      </c>
      <c r="K466" s="17"/>
      <c r="L466" s="28"/>
    </row>
    <row r="467" spans="1:12" s="25" customFormat="1" x14ac:dyDescent="0.2">
      <c r="A467">
        <v>2010</v>
      </c>
      <c r="B467" t="s">
        <v>240</v>
      </c>
      <c r="C467" t="s">
        <v>263</v>
      </c>
      <c r="D467" s="65">
        <v>1030</v>
      </c>
      <c r="E467" s="33"/>
      <c r="F467" t="s">
        <v>494</v>
      </c>
      <c r="G467" t="s">
        <v>151</v>
      </c>
      <c r="H467" t="s">
        <v>224</v>
      </c>
      <c r="I467" t="s">
        <v>131</v>
      </c>
      <c r="J467" t="s">
        <v>131</v>
      </c>
      <c r="K467" s="17"/>
      <c r="L467" s="28"/>
    </row>
    <row r="468" spans="1:12" s="25" customFormat="1" x14ac:dyDescent="0.2">
      <c r="A468">
        <v>2010</v>
      </c>
      <c r="B468" t="s">
        <v>240</v>
      </c>
      <c r="C468" t="s">
        <v>317</v>
      </c>
      <c r="D468" s="65">
        <v>1230</v>
      </c>
      <c r="E468" s="33">
        <v>0.5</v>
      </c>
      <c r="F468" t="s">
        <v>495</v>
      </c>
      <c r="G468" t="s">
        <v>144</v>
      </c>
      <c r="I468" t="s">
        <v>131</v>
      </c>
      <c r="J468" t="s">
        <v>131</v>
      </c>
      <c r="K468" s="17"/>
      <c r="L468" s="28"/>
    </row>
    <row r="469" spans="1:12" s="25" customFormat="1" x14ac:dyDescent="0.2">
      <c r="A469">
        <v>2010</v>
      </c>
      <c r="B469" t="s">
        <v>240</v>
      </c>
      <c r="C469" t="s">
        <v>416</v>
      </c>
      <c r="D469" s="65">
        <v>500</v>
      </c>
      <c r="E469" s="33">
        <v>0.01</v>
      </c>
      <c r="F469" t="s">
        <v>476</v>
      </c>
      <c r="G469" t="s">
        <v>154</v>
      </c>
      <c r="H469" t="s">
        <v>194</v>
      </c>
      <c r="I469" t="s">
        <v>131</v>
      </c>
      <c r="J469" t="s">
        <v>131</v>
      </c>
      <c r="K469" s="17"/>
      <c r="L469" s="28"/>
    </row>
    <row r="470" spans="1:12" s="25" customFormat="1" x14ac:dyDescent="0.2">
      <c r="A470">
        <v>2010</v>
      </c>
      <c r="B470" t="s">
        <v>240</v>
      </c>
      <c r="C470" t="s">
        <v>370</v>
      </c>
      <c r="D470" s="65">
        <v>400</v>
      </c>
      <c r="E470" s="33">
        <v>1</v>
      </c>
      <c r="F470" t="s">
        <v>496</v>
      </c>
      <c r="G470" t="s">
        <v>144</v>
      </c>
      <c r="H470" t="s">
        <v>273</v>
      </c>
      <c r="I470" t="s">
        <v>9</v>
      </c>
      <c r="J470" t="s">
        <v>9</v>
      </c>
      <c r="K470" s="17"/>
      <c r="L470" s="28"/>
    </row>
    <row r="471" spans="1:12" s="25" customFormat="1" x14ac:dyDescent="0.2">
      <c r="A471">
        <v>2010</v>
      </c>
      <c r="B471" t="s">
        <v>240</v>
      </c>
      <c r="C471" t="s">
        <v>203</v>
      </c>
      <c r="D471" s="65">
        <v>610</v>
      </c>
      <c r="E471" s="33"/>
      <c r="G471" t="s">
        <v>144</v>
      </c>
      <c r="H471" t="s">
        <v>187</v>
      </c>
      <c r="I471" t="s">
        <v>37</v>
      </c>
      <c r="J471" t="s">
        <v>205</v>
      </c>
      <c r="K471" s="17"/>
      <c r="L471" s="28" t="s">
        <v>178</v>
      </c>
    </row>
    <row r="472" spans="1:12" s="25" customFormat="1" x14ac:dyDescent="0.2">
      <c r="A472">
        <v>2010</v>
      </c>
      <c r="B472" t="s">
        <v>240</v>
      </c>
      <c r="C472" t="s">
        <v>497</v>
      </c>
      <c r="D472" s="65">
        <v>150</v>
      </c>
      <c r="E472" s="33">
        <v>0.48</v>
      </c>
      <c r="F472" t="s">
        <v>498</v>
      </c>
      <c r="G472" t="s">
        <v>148</v>
      </c>
      <c r="I472" t="s">
        <v>89</v>
      </c>
      <c r="J472" t="s">
        <v>219</v>
      </c>
      <c r="K472" s="17"/>
      <c r="L472" s="28"/>
    </row>
    <row r="473" spans="1:12" s="25" customFormat="1" x14ac:dyDescent="0.2">
      <c r="A473">
        <v>2010</v>
      </c>
      <c r="B473" t="s">
        <v>240</v>
      </c>
      <c r="C473" t="s">
        <v>499</v>
      </c>
      <c r="D473" s="65">
        <v>270</v>
      </c>
      <c r="E473" s="33">
        <v>0.6</v>
      </c>
      <c r="F473" t="s">
        <v>500</v>
      </c>
      <c r="G473" t="s">
        <v>149</v>
      </c>
      <c r="I473" t="s">
        <v>9</v>
      </c>
      <c r="J473" t="s">
        <v>9</v>
      </c>
      <c r="K473" s="17"/>
      <c r="L473" s="28" t="s">
        <v>178</v>
      </c>
    </row>
    <row r="474" spans="1:12" s="25" customFormat="1" x14ac:dyDescent="0.2">
      <c r="A474">
        <v>2010</v>
      </c>
      <c r="B474" t="s">
        <v>240</v>
      </c>
      <c r="C474" t="s">
        <v>373</v>
      </c>
      <c r="D474" s="65">
        <v>380</v>
      </c>
      <c r="E474" s="33"/>
      <c r="F474" t="s">
        <v>501</v>
      </c>
      <c r="G474" t="s">
        <v>154</v>
      </c>
      <c r="H474" t="s">
        <v>271</v>
      </c>
      <c r="I474" t="s">
        <v>91</v>
      </c>
      <c r="J474" t="s">
        <v>195</v>
      </c>
      <c r="K474" s="17"/>
      <c r="L474" s="28"/>
    </row>
    <row r="475" spans="1:12" s="25" customFormat="1" x14ac:dyDescent="0.2">
      <c r="A475">
        <v>2010</v>
      </c>
      <c r="B475" t="s">
        <v>212</v>
      </c>
      <c r="C475" t="s">
        <v>502</v>
      </c>
      <c r="D475" s="65">
        <v>130</v>
      </c>
      <c r="E475" s="33">
        <v>1</v>
      </c>
      <c r="F475" t="s">
        <v>503</v>
      </c>
      <c r="G475" t="s">
        <v>144</v>
      </c>
      <c r="H475" t="s">
        <v>273</v>
      </c>
      <c r="I475" t="s">
        <v>9</v>
      </c>
      <c r="J475" t="s">
        <v>9</v>
      </c>
      <c r="K475" s="17"/>
      <c r="L475" s="28"/>
    </row>
    <row r="476" spans="1:12" s="25" customFormat="1" x14ac:dyDescent="0.2">
      <c r="A476">
        <v>2010</v>
      </c>
      <c r="B476" t="s">
        <v>212</v>
      </c>
      <c r="C476" t="s">
        <v>313</v>
      </c>
      <c r="D476" s="65">
        <v>270</v>
      </c>
      <c r="E476" s="33">
        <v>0.5</v>
      </c>
      <c r="F476" t="s">
        <v>504</v>
      </c>
      <c r="G476" t="s">
        <v>147</v>
      </c>
      <c r="I476" t="s">
        <v>85</v>
      </c>
      <c r="J476" t="s">
        <v>195</v>
      </c>
      <c r="K476" s="17"/>
      <c r="L476" s="28"/>
    </row>
    <row r="477" spans="1:12" s="25" customFormat="1" x14ac:dyDescent="0.2">
      <c r="A477">
        <v>2010</v>
      </c>
      <c r="B477" t="s">
        <v>212</v>
      </c>
      <c r="C477" t="s">
        <v>189</v>
      </c>
      <c r="D477" s="65">
        <v>2470</v>
      </c>
      <c r="E477" s="33"/>
      <c r="F477" t="s">
        <v>505</v>
      </c>
      <c r="G477" t="s">
        <v>144</v>
      </c>
      <c r="I477" t="s">
        <v>8</v>
      </c>
      <c r="J477" t="s">
        <v>205</v>
      </c>
      <c r="K477" s="17"/>
      <c r="L477" s="28"/>
    </row>
    <row r="478" spans="1:12" s="25" customFormat="1" x14ac:dyDescent="0.2">
      <c r="A478">
        <v>2010</v>
      </c>
      <c r="B478" t="s">
        <v>212</v>
      </c>
      <c r="C478" t="s">
        <v>246</v>
      </c>
      <c r="D478" s="65">
        <v>170</v>
      </c>
      <c r="E478" s="33"/>
      <c r="F478" t="s">
        <v>506</v>
      </c>
      <c r="G478" t="s">
        <v>144</v>
      </c>
      <c r="I478" t="s">
        <v>101</v>
      </c>
      <c r="J478" t="s">
        <v>201</v>
      </c>
      <c r="K478" s="17"/>
      <c r="L478" s="28"/>
    </row>
    <row r="479" spans="1:12" s="25" customFormat="1" x14ac:dyDescent="0.2">
      <c r="A479">
        <v>2010</v>
      </c>
      <c r="B479" t="s">
        <v>212</v>
      </c>
      <c r="C479" t="s">
        <v>263</v>
      </c>
      <c r="D479" s="65">
        <v>200</v>
      </c>
      <c r="E479" s="33"/>
      <c r="F479" t="s">
        <v>507</v>
      </c>
      <c r="G479" t="s">
        <v>146</v>
      </c>
      <c r="H479" t="s">
        <v>253</v>
      </c>
      <c r="I479" t="s">
        <v>19</v>
      </c>
      <c r="J479" t="s">
        <v>205</v>
      </c>
      <c r="K479" s="17"/>
      <c r="L479" s="28"/>
    </row>
    <row r="480" spans="1:12" s="25" customFormat="1" x14ac:dyDescent="0.2">
      <c r="A480">
        <v>2010</v>
      </c>
      <c r="B480" t="s">
        <v>212</v>
      </c>
      <c r="C480" t="s">
        <v>189</v>
      </c>
      <c r="D480" s="65">
        <v>680</v>
      </c>
      <c r="E480" s="33">
        <v>0.18</v>
      </c>
      <c r="F480" t="s">
        <v>508</v>
      </c>
      <c r="G480" t="s">
        <v>144</v>
      </c>
      <c r="H480" t="s">
        <v>299</v>
      </c>
      <c r="I480" t="s">
        <v>53</v>
      </c>
      <c r="J480" t="s">
        <v>183</v>
      </c>
      <c r="K480" s="17"/>
      <c r="L480" s="28"/>
    </row>
    <row r="481" spans="1:12" s="25" customFormat="1" x14ac:dyDescent="0.2">
      <c r="A481">
        <v>2010</v>
      </c>
      <c r="B481" t="s">
        <v>212</v>
      </c>
      <c r="C481" t="s">
        <v>421</v>
      </c>
      <c r="D481" s="65">
        <v>190</v>
      </c>
      <c r="E481" s="33">
        <v>1</v>
      </c>
      <c r="F481" t="s">
        <v>509</v>
      </c>
      <c r="G481" t="s">
        <v>154</v>
      </c>
      <c r="H481" t="s">
        <v>250</v>
      </c>
      <c r="I481" t="s">
        <v>131</v>
      </c>
      <c r="J481" t="s">
        <v>131</v>
      </c>
      <c r="K481" s="17"/>
      <c r="L481" s="28"/>
    </row>
    <row r="482" spans="1:12" s="25" customFormat="1" x14ac:dyDescent="0.2">
      <c r="A482">
        <v>2010</v>
      </c>
      <c r="B482" t="s">
        <v>212</v>
      </c>
      <c r="C482" t="s">
        <v>510</v>
      </c>
      <c r="D482" s="65">
        <v>500</v>
      </c>
      <c r="E482" s="33"/>
      <c r="G482" t="s">
        <v>151</v>
      </c>
      <c r="H482" t="s">
        <v>224</v>
      </c>
      <c r="I482" t="s">
        <v>124</v>
      </c>
      <c r="J482" t="s">
        <v>183</v>
      </c>
      <c r="K482" s="17"/>
      <c r="L482" s="28" t="s">
        <v>178</v>
      </c>
    </row>
    <row r="483" spans="1:12" s="25" customFormat="1" x14ac:dyDescent="0.2">
      <c r="A483">
        <v>2010</v>
      </c>
      <c r="B483" t="s">
        <v>212</v>
      </c>
      <c r="C483" t="s">
        <v>511</v>
      </c>
      <c r="D483" s="65">
        <v>100</v>
      </c>
      <c r="E483" s="33">
        <v>1</v>
      </c>
      <c r="G483" t="s">
        <v>150</v>
      </c>
      <c r="H483" t="s">
        <v>217</v>
      </c>
      <c r="I483" t="s">
        <v>44</v>
      </c>
      <c r="J483" t="s">
        <v>201</v>
      </c>
      <c r="K483" s="17"/>
      <c r="L483" s="28" t="s">
        <v>178</v>
      </c>
    </row>
    <row r="484" spans="1:12" s="25" customFormat="1" x14ac:dyDescent="0.2">
      <c r="A484">
        <v>2010</v>
      </c>
      <c r="B484" t="s">
        <v>212</v>
      </c>
      <c r="C484" t="s">
        <v>512</v>
      </c>
      <c r="D484" s="65">
        <v>190</v>
      </c>
      <c r="E484" s="33">
        <v>0.6</v>
      </c>
      <c r="G484" t="s">
        <v>151</v>
      </c>
      <c r="H484" t="s">
        <v>224</v>
      </c>
      <c r="I484" t="s">
        <v>89</v>
      </c>
      <c r="J484" t="s">
        <v>219</v>
      </c>
      <c r="K484" s="17"/>
      <c r="L484" s="28" t="s">
        <v>178</v>
      </c>
    </row>
    <row r="485" spans="1:12" s="25" customFormat="1" x14ac:dyDescent="0.2">
      <c r="A485">
        <v>2010</v>
      </c>
      <c r="B485" t="s">
        <v>212</v>
      </c>
      <c r="C485" t="s">
        <v>513</v>
      </c>
      <c r="D485" s="65">
        <v>170</v>
      </c>
      <c r="E485" s="33">
        <v>1</v>
      </c>
      <c r="F485" t="s">
        <v>514</v>
      </c>
      <c r="G485" t="s">
        <v>151</v>
      </c>
      <c r="H485" t="s">
        <v>224</v>
      </c>
      <c r="I485" t="s">
        <v>20</v>
      </c>
      <c r="J485" t="s">
        <v>195</v>
      </c>
      <c r="K485" s="17"/>
      <c r="L485" s="28"/>
    </row>
    <row r="486" spans="1:12" s="25" customFormat="1" x14ac:dyDescent="0.2">
      <c r="A486">
        <v>2010</v>
      </c>
      <c r="B486" t="s">
        <v>212</v>
      </c>
      <c r="C486" t="s">
        <v>196</v>
      </c>
      <c r="D486" s="65">
        <v>1030</v>
      </c>
      <c r="E486" s="33">
        <v>0.85</v>
      </c>
      <c r="G486" t="s">
        <v>144</v>
      </c>
      <c r="H486" t="s">
        <v>197</v>
      </c>
      <c r="I486" t="s">
        <v>67</v>
      </c>
      <c r="J486" t="s">
        <v>183</v>
      </c>
      <c r="K486" s="17"/>
      <c r="L486" s="28" t="s">
        <v>178</v>
      </c>
    </row>
    <row r="487" spans="1:12" s="25" customFormat="1" ht="14.25" customHeight="1" x14ac:dyDescent="0.2">
      <c r="A487">
        <v>2010</v>
      </c>
      <c r="B487" t="s">
        <v>212</v>
      </c>
      <c r="C487" t="s">
        <v>248</v>
      </c>
      <c r="D487" s="65">
        <v>170</v>
      </c>
      <c r="E487" s="33"/>
      <c r="G487" t="s">
        <v>146</v>
      </c>
      <c r="H487" t="s">
        <v>275</v>
      </c>
      <c r="I487" t="s">
        <v>23</v>
      </c>
      <c r="J487" t="s">
        <v>183</v>
      </c>
      <c r="K487" s="17"/>
      <c r="L487" s="28" t="s">
        <v>178</v>
      </c>
    </row>
    <row r="488" spans="1:12" s="25" customFormat="1" x14ac:dyDescent="0.2">
      <c r="A488">
        <v>2010</v>
      </c>
      <c r="B488" t="s">
        <v>212</v>
      </c>
      <c r="C488" t="s">
        <v>515</v>
      </c>
      <c r="D488" s="65">
        <v>100</v>
      </c>
      <c r="E488" s="33">
        <v>0.68</v>
      </c>
      <c r="G488" t="s">
        <v>148</v>
      </c>
      <c r="I488" t="s">
        <v>14</v>
      </c>
      <c r="J488" t="s">
        <v>195</v>
      </c>
      <c r="K488" s="17"/>
      <c r="L488" s="28" t="s">
        <v>178</v>
      </c>
    </row>
    <row r="489" spans="1:12" s="25" customFormat="1" x14ac:dyDescent="0.2">
      <c r="A489">
        <v>2010</v>
      </c>
      <c r="B489" t="s">
        <v>172</v>
      </c>
      <c r="C489" t="s">
        <v>543</v>
      </c>
      <c r="D489" s="22">
        <v>380</v>
      </c>
      <c r="E489" s="16"/>
      <c r="F489" t="s">
        <v>2465</v>
      </c>
      <c r="G489" t="s">
        <v>152</v>
      </c>
      <c r="H489" t="s">
        <v>257</v>
      </c>
      <c r="I489" t="s">
        <v>112</v>
      </c>
      <c r="J489" t="s">
        <v>219</v>
      </c>
      <c r="L489" s="2"/>
    </row>
    <row r="490" spans="1:12" s="25" customFormat="1" x14ac:dyDescent="0.2">
      <c r="A490">
        <v>2010</v>
      </c>
      <c r="B490" t="s">
        <v>172</v>
      </c>
      <c r="C490" t="s">
        <v>479</v>
      </c>
      <c r="D490" s="22">
        <v>130</v>
      </c>
      <c r="E490" s="16"/>
      <c r="G490" t="s">
        <v>142</v>
      </c>
      <c r="I490" t="s">
        <v>130</v>
      </c>
      <c r="J490" t="s">
        <v>214</v>
      </c>
      <c r="L490" s="2"/>
    </row>
    <row r="491" spans="1:12" s="25" customFormat="1" x14ac:dyDescent="0.2">
      <c r="A491">
        <v>2010</v>
      </c>
      <c r="B491" t="s">
        <v>172</v>
      </c>
      <c r="C491" t="s">
        <v>2402</v>
      </c>
      <c r="D491" s="22">
        <v>600</v>
      </c>
      <c r="E491" s="16"/>
      <c r="F491" t="s">
        <v>2466</v>
      </c>
      <c r="G491" t="s">
        <v>144</v>
      </c>
      <c r="H491" t="s">
        <v>197</v>
      </c>
      <c r="I491" t="s">
        <v>97</v>
      </c>
      <c r="J491" t="s">
        <v>183</v>
      </c>
      <c r="L491" s="2"/>
    </row>
    <row r="492" spans="1:12" s="25" customFormat="1" x14ac:dyDescent="0.2">
      <c r="A492">
        <v>2010</v>
      </c>
      <c r="B492" t="s">
        <v>172</v>
      </c>
      <c r="C492" t="s">
        <v>483</v>
      </c>
      <c r="D492" s="22">
        <v>460</v>
      </c>
      <c r="E492" s="16"/>
      <c r="F492" t="s">
        <v>2467</v>
      </c>
      <c r="G492" t="s">
        <v>154</v>
      </c>
      <c r="H492" t="s">
        <v>194</v>
      </c>
      <c r="I492" t="s">
        <v>101</v>
      </c>
      <c r="J492" t="s">
        <v>201</v>
      </c>
      <c r="L492" s="2"/>
    </row>
    <row r="493" spans="1:12" s="25" customFormat="1" x14ac:dyDescent="0.2">
      <c r="A493">
        <v>2010</v>
      </c>
      <c r="B493" t="s">
        <v>172</v>
      </c>
      <c r="C493" t="s">
        <v>2468</v>
      </c>
      <c r="D493" s="22">
        <v>200</v>
      </c>
      <c r="E493" s="16">
        <v>0.45</v>
      </c>
      <c r="F493" t="s">
        <v>2469</v>
      </c>
      <c r="G493" t="s">
        <v>144</v>
      </c>
      <c r="H493" t="s">
        <v>273</v>
      </c>
      <c r="I493" t="s">
        <v>136</v>
      </c>
      <c r="J493" t="s">
        <v>183</v>
      </c>
      <c r="L493" s="2"/>
    </row>
    <row r="494" spans="1:12" s="25" customFormat="1" x14ac:dyDescent="0.2">
      <c r="A494">
        <v>2010</v>
      </c>
      <c r="B494" t="s">
        <v>172</v>
      </c>
      <c r="C494" t="s">
        <v>246</v>
      </c>
      <c r="D494" s="22">
        <v>110</v>
      </c>
      <c r="E494" s="16"/>
      <c r="G494" t="s">
        <v>154</v>
      </c>
      <c r="H494" t="s">
        <v>194</v>
      </c>
      <c r="I494" t="s">
        <v>24</v>
      </c>
      <c r="J494" t="s">
        <v>219</v>
      </c>
      <c r="L494" s="2"/>
    </row>
    <row r="495" spans="1:12" s="25" customFormat="1" x14ac:dyDescent="0.2">
      <c r="A495">
        <v>2010</v>
      </c>
      <c r="B495" t="s">
        <v>258</v>
      </c>
      <c r="C495" t="s">
        <v>479</v>
      </c>
      <c r="D495" s="22">
        <v>140</v>
      </c>
      <c r="E495" s="16"/>
      <c r="F495" t="s">
        <v>2470</v>
      </c>
      <c r="G495" t="s">
        <v>154</v>
      </c>
      <c r="H495" t="s">
        <v>194</v>
      </c>
      <c r="I495" t="s">
        <v>21</v>
      </c>
      <c r="J495" t="s">
        <v>183</v>
      </c>
      <c r="L495" s="2"/>
    </row>
    <row r="496" spans="1:12" s="25" customFormat="1" ht="15" customHeight="1" x14ac:dyDescent="0.2">
      <c r="A496">
        <v>2010</v>
      </c>
      <c r="B496" t="s">
        <v>258</v>
      </c>
      <c r="C496" t="s">
        <v>2471</v>
      </c>
      <c r="D496" s="22">
        <v>730</v>
      </c>
      <c r="E496" s="16"/>
      <c r="F496" t="s">
        <v>2472</v>
      </c>
      <c r="G496" t="s">
        <v>144</v>
      </c>
      <c r="H496" t="s">
        <v>197</v>
      </c>
      <c r="I496" t="s">
        <v>63</v>
      </c>
      <c r="J496" t="s">
        <v>201</v>
      </c>
      <c r="L496" s="2"/>
    </row>
    <row r="497" spans="1:12" s="25" customFormat="1" x14ac:dyDescent="0.2">
      <c r="A497">
        <v>2010</v>
      </c>
      <c r="B497" t="s">
        <v>258</v>
      </c>
      <c r="C497" t="s">
        <v>2402</v>
      </c>
      <c r="D497" s="22">
        <v>220</v>
      </c>
      <c r="E497" s="16"/>
      <c r="G497" t="s">
        <v>155</v>
      </c>
      <c r="I497" t="s">
        <v>2376</v>
      </c>
      <c r="J497" t="s">
        <v>214</v>
      </c>
      <c r="L497" s="2"/>
    </row>
    <row r="498" spans="1:12" s="25" customFormat="1" x14ac:dyDescent="0.2">
      <c r="A498">
        <v>2010</v>
      </c>
      <c r="B498" t="s">
        <v>258</v>
      </c>
      <c r="C498" t="s">
        <v>745</v>
      </c>
      <c r="D498" s="22">
        <v>160</v>
      </c>
      <c r="E498" s="16"/>
      <c r="G498" t="s">
        <v>144</v>
      </c>
      <c r="I498" t="s">
        <v>13</v>
      </c>
      <c r="J498" t="s">
        <v>201</v>
      </c>
      <c r="L498" s="2"/>
    </row>
    <row r="499" spans="1:12" s="25" customFormat="1" ht="14.25" customHeight="1" x14ac:dyDescent="0.2">
      <c r="A499">
        <v>2010</v>
      </c>
      <c r="B499" t="s">
        <v>258</v>
      </c>
      <c r="C499" t="s">
        <v>189</v>
      </c>
      <c r="D499" s="22">
        <v>140</v>
      </c>
      <c r="E499" s="16"/>
      <c r="F499" t="s">
        <v>2002</v>
      </c>
      <c r="G499" t="s">
        <v>144</v>
      </c>
      <c r="H499" t="s">
        <v>187</v>
      </c>
      <c r="I499" t="s">
        <v>105</v>
      </c>
      <c r="J499" t="s">
        <v>214</v>
      </c>
      <c r="L499" s="2"/>
    </row>
    <row r="500" spans="1:12" s="25" customFormat="1" x14ac:dyDescent="0.2">
      <c r="A500">
        <v>2010</v>
      </c>
      <c r="B500" t="s">
        <v>179</v>
      </c>
      <c r="C500" t="s">
        <v>444</v>
      </c>
      <c r="D500" s="22">
        <v>320</v>
      </c>
      <c r="E500" s="16"/>
      <c r="G500" t="s">
        <v>145</v>
      </c>
      <c r="I500" t="s">
        <v>24</v>
      </c>
      <c r="J500" t="s">
        <v>219</v>
      </c>
      <c r="L500" s="2"/>
    </row>
    <row r="501" spans="1:12" s="25" customFormat="1" x14ac:dyDescent="0.2">
      <c r="A501">
        <v>2010</v>
      </c>
      <c r="B501" t="s">
        <v>179</v>
      </c>
      <c r="C501" t="s">
        <v>444</v>
      </c>
      <c r="D501" s="22">
        <v>310</v>
      </c>
      <c r="E501" s="16"/>
      <c r="G501" t="s">
        <v>144</v>
      </c>
      <c r="H501" t="s">
        <v>273</v>
      </c>
      <c r="I501" t="s">
        <v>72</v>
      </c>
      <c r="J501" t="s">
        <v>183</v>
      </c>
      <c r="L501" s="2"/>
    </row>
    <row r="502" spans="1:12" s="25" customFormat="1" x14ac:dyDescent="0.2">
      <c r="A502">
        <v>2010</v>
      </c>
      <c r="B502" t="s">
        <v>179</v>
      </c>
      <c r="C502" t="s">
        <v>530</v>
      </c>
      <c r="D502" s="22">
        <v>200</v>
      </c>
      <c r="E502" s="16"/>
      <c r="F502" t="s">
        <v>2473</v>
      </c>
      <c r="G502" t="s">
        <v>152</v>
      </c>
      <c r="H502" t="s">
        <v>257</v>
      </c>
      <c r="I502" t="s">
        <v>23</v>
      </c>
      <c r="J502" t="s">
        <v>183</v>
      </c>
      <c r="L502" s="2"/>
    </row>
    <row r="503" spans="1:12" s="25" customFormat="1" x14ac:dyDescent="0.2">
      <c r="A503">
        <v>2010</v>
      </c>
      <c r="B503" t="s">
        <v>179</v>
      </c>
      <c r="C503" t="s">
        <v>196</v>
      </c>
      <c r="D503" s="22">
        <v>100</v>
      </c>
      <c r="E503" s="16"/>
      <c r="G503" t="s">
        <v>154</v>
      </c>
      <c r="H503" t="s">
        <v>271</v>
      </c>
      <c r="I503" t="s">
        <v>2376</v>
      </c>
      <c r="J503" t="s">
        <v>214</v>
      </c>
      <c r="L503" s="2"/>
    </row>
    <row r="504" spans="1:12" s="25" customFormat="1" x14ac:dyDescent="0.2">
      <c r="A504">
        <v>2010</v>
      </c>
      <c r="B504" t="s">
        <v>179</v>
      </c>
      <c r="C504" t="s">
        <v>2474</v>
      </c>
      <c r="D504" s="22">
        <v>2690</v>
      </c>
      <c r="E504" s="16"/>
      <c r="G504" t="s">
        <v>144</v>
      </c>
      <c r="H504" t="s">
        <v>197</v>
      </c>
      <c r="I504" t="s">
        <v>93</v>
      </c>
      <c r="J504" t="s">
        <v>201</v>
      </c>
      <c r="L504" s="2"/>
    </row>
    <row r="505" spans="1:12" s="25" customFormat="1" x14ac:dyDescent="0.2">
      <c r="A505">
        <v>2010</v>
      </c>
      <c r="B505" t="s">
        <v>179</v>
      </c>
      <c r="C505" t="s">
        <v>196</v>
      </c>
      <c r="D505" s="22">
        <v>640</v>
      </c>
      <c r="E505" s="16"/>
      <c r="G505" t="s">
        <v>144</v>
      </c>
      <c r="H505" t="s">
        <v>197</v>
      </c>
      <c r="I505" t="s">
        <v>24</v>
      </c>
      <c r="J505" t="s">
        <v>219</v>
      </c>
      <c r="L505" s="2"/>
    </row>
    <row r="506" spans="1:12" s="25" customFormat="1" x14ac:dyDescent="0.2">
      <c r="A506">
        <v>2010</v>
      </c>
      <c r="B506" t="s">
        <v>179</v>
      </c>
      <c r="C506" s="52" t="s">
        <v>2392</v>
      </c>
      <c r="D506" s="22">
        <v>1400</v>
      </c>
      <c r="E506" s="16"/>
      <c r="F506" t="s">
        <v>2461</v>
      </c>
      <c r="G506" t="s">
        <v>144</v>
      </c>
      <c r="H506" t="s">
        <v>273</v>
      </c>
      <c r="I506" t="s">
        <v>136</v>
      </c>
      <c r="J506" t="s">
        <v>183</v>
      </c>
      <c r="L506" s="2"/>
    </row>
    <row r="507" spans="1:12" s="25" customFormat="1" x14ac:dyDescent="0.2">
      <c r="A507">
        <v>2010</v>
      </c>
      <c r="B507" t="s">
        <v>179</v>
      </c>
      <c r="C507" t="s">
        <v>189</v>
      </c>
      <c r="D507" s="22">
        <v>1260</v>
      </c>
      <c r="E507" s="16"/>
      <c r="F507" t="s">
        <v>2475</v>
      </c>
      <c r="G507" t="s">
        <v>143</v>
      </c>
      <c r="I507" t="s">
        <v>63</v>
      </c>
      <c r="J507" t="s">
        <v>201</v>
      </c>
      <c r="L507" s="2"/>
    </row>
    <row r="508" spans="1:12" s="25" customFormat="1" x14ac:dyDescent="0.2">
      <c r="A508">
        <v>2010</v>
      </c>
      <c r="B508" t="s">
        <v>179</v>
      </c>
      <c r="C508" t="s">
        <v>444</v>
      </c>
      <c r="D508" s="22">
        <v>420</v>
      </c>
      <c r="E508" s="16"/>
      <c r="G508" t="s">
        <v>151</v>
      </c>
      <c r="H508" t="s">
        <v>279</v>
      </c>
      <c r="I508" t="s">
        <v>138</v>
      </c>
      <c r="J508" t="s">
        <v>219</v>
      </c>
      <c r="L508" s="2"/>
    </row>
    <row r="509" spans="1:12" s="25" customFormat="1" x14ac:dyDescent="0.2">
      <c r="A509">
        <v>2010</v>
      </c>
      <c r="B509" t="s">
        <v>179</v>
      </c>
      <c r="C509" t="s">
        <v>1149</v>
      </c>
      <c r="D509" s="22">
        <v>100</v>
      </c>
      <c r="E509" s="16"/>
      <c r="F509" t="s">
        <v>2476</v>
      </c>
      <c r="G509" t="s">
        <v>142</v>
      </c>
      <c r="I509" t="s">
        <v>2376</v>
      </c>
      <c r="J509" t="s">
        <v>214</v>
      </c>
      <c r="L509" s="2"/>
    </row>
    <row r="510" spans="1:12" s="25" customFormat="1" x14ac:dyDescent="0.2">
      <c r="A510">
        <v>2010</v>
      </c>
      <c r="B510" t="s">
        <v>179</v>
      </c>
      <c r="C510" t="s">
        <v>745</v>
      </c>
      <c r="D510" s="22">
        <v>500</v>
      </c>
      <c r="E510" s="16"/>
      <c r="G510" t="s">
        <v>142</v>
      </c>
      <c r="I510" t="s">
        <v>116</v>
      </c>
      <c r="J510" t="s">
        <v>214</v>
      </c>
      <c r="L510" s="2"/>
    </row>
    <row r="511" spans="1:12" s="25" customFormat="1" x14ac:dyDescent="0.2">
      <c r="A511">
        <v>2010</v>
      </c>
      <c r="B511" t="s">
        <v>179</v>
      </c>
      <c r="C511" t="s">
        <v>444</v>
      </c>
      <c r="D511" s="22">
        <v>1200</v>
      </c>
      <c r="E511" s="16"/>
      <c r="F511" t="s">
        <v>2477</v>
      </c>
      <c r="G511" t="s">
        <v>149</v>
      </c>
      <c r="H511" t="s">
        <v>182</v>
      </c>
      <c r="I511" t="s">
        <v>101</v>
      </c>
      <c r="J511" t="s">
        <v>201</v>
      </c>
      <c r="L511" s="2"/>
    </row>
    <row r="512" spans="1:12" s="25" customFormat="1" x14ac:dyDescent="0.2">
      <c r="A512">
        <v>2010</v>
      </c>
      <c r="B512" t="s">
        <v>179</v>
      </c>
      <c r="C512" t="s">
        <v>199</v>
      </c>
      <c r="D512" s="22">
        <v>210</v>
      </c>
      <c r="E512" s="16">
        <v>0.37</v>
      </c>
      <c r="G512" t="s">
        <v>144</v>
      </c>
      <c r="H512" t="s">
        <v>187</v>
      </c>
      <c r="I512" t="s">
        <v>55</v>
      </c>
      <c r="J512" t="s">
        <v>214</v>
      </c>
      <c r="L512" s="2"/>
    </row>
    <row r="513" spans="1:12" s="25" customFormat="1" x14ac:dyDescent="0.2">
      <c r="A513">
        <v>2010</v>
      </c>
      <c r="B513" t="s">
        <v>184</v>
      </c>
      <c r="C513" t="s">
        <v>246</v>
      </c>
      <c r="D513" s="22">
        <v>180</v>
      </c>
      <c r="E513" s="16"/>
      <c r="G513" t="s">
        <v>154</v>
      </c>
      <c r="H513" t="s">
        <v>194</v>
      </c>
      <c r="I513" t="s">
        <v>80</v>
      </c>
      <c r="J513" t="s">
        <v>214</v>
      </c>
      <c r="L513" s="2"/>
    </row>
    <row r="514" spans="1:12" s="25" customFormat="1" x14ac:dyDescent="0.2">
      <c r="A514">
        <v>2010</v>
      </c>
      <c r="B514" t="s">
        <v>184</v>
      </c>
      <c r="C514" t="s">
        <v>479</v>
      </c>
      <c r="D514" s="22">
        <v>170</v>
      </c>
      <c r="E514" s="16"/>
      <c r="F514" t="s">
        <v>2478</v>
      </c>
      <c r="G514" t="s">
        <v>154</v>
      </c>
      <c r="H514" t="s">
        <v>194</v>
      </c>
      <c r="I514" t="s">
        <v>136</v>
      </c>
      <c r="J514" t="s">
        <v>183</v>
      </c>
      <c r="L514" s="2"/>
    </row>
    <row r="515" spans="1:12" s="25" customFormat="1" x14ac:dyDescent="0.2">
      <c r="A515">
        <v>2010</v>
      </c>
      <c r="B515" t="s">
        <v>184</v>
      </c>
      <c r="C515" t="s">
        <v>185</v>
      </c>
      <c r="D515" s="22">
        <v>180</v>
      </c>
      <c r="E515" s="16"/>
      <c r="F515" t="s">
        <v>508</v>
      </c>
      <c r="G515" t="s">
        <v>144</v>
      </c>
      <c r="H515" t="s">
        <v>299</v>
      </c>
      <c r="I515" t="s">
        <v>9</v>
      </c>
      <c r="J515" t="s">
        <v>9</v>
      </c>
      <c r="L515" s="2"/>
    </row>
    <row r="516" spans="1:12" s="25" customFormat="1" x14ac:dyDescent="0.2">
      <c r="A516">
        <v>2010</v>
      </c>
      <c r="B516" t="s">
        <v>184</v>
      </c>
      <c r="C516" t="s">
        <v>196</v>
      </c>
      <c r="D516" s="22">
        <v>200</v>
      </c>
      <c r="E516" s="16"/>
      <c r="G516" t="s">
        <v>142</v>
      </c>
      <c r="I516" t="s">
        <v>18</v>
      </c>
      <c r="J516" t="s">
        <v>219</v>
      </c>
      <c r="L516" s="2"/>
    </row>
    <row r="517" spans="1:12" s="25" customFormat="1" x14ac:dyDescent="0.2">
      <c r="A517">
        <v>2010</v>
      </c>
      <c r="B517" t="s">
        <v>184</v>
      </c>
      <c r="C517" t="s">
        <v>2479</v>
      </c>
      <c r="D517" s="22">
        <v>270</v>
      </c>
      <c r="E517" s="16"/>
      <c r="G517" t="s">
        <v>144</v>
      </c>
      <c r="I517" t="s">
        <v>13</v>
      </c>
      <c r="J517" t="s">
        <v>201</v>
      </c>
      <c r="L517" s="2"/>
    </row>
    <row r="518" spans="1:12" s="25" customFormat="1" x14ac:dyDescent="0.2">
      <c r="A518">
        <v>2010</v>
      </c>
      <c r="B518" t="s">
        <v>184</v>
      </c>
      <c r="C518" t="s">
        <v>479</v>
      </c>
      <c r="D518" s="22">
        <v>260</v>
      </c>
      <c r="E518" s="16"/>
      <c r="G518" t="s">
        <v>154</v>
      </c>
      <c r="H518" t="s">
        <v>194</v>
      </c>
      <c r="I518" t="s">
        <v>106</v>
      </c>
      <c r="J518" t="s">
        <v>195</v>
      </c>
      <c r="L518" s="2"/>
    </row>
    <row r="519" spans="1:12" s="25" customFormat="1" x14ac:dyDescent="0.2">
      <c r="A519">
        <v>2010</v>
      </c>
      <c r="B519" t="s">
        <v>184</v>
      </c>
      <c r="C519" t="s">
        <v>815</v>
      </c>
      <c r="D519" s="22">
        <v>780</v>
      </c>
      <c r="E519" s="16"/>
      <c r="F519" t="s">
        <v>2480</v>
      </c>
      <c r="G519" t="s">
        <v>151</v>
      </c>
      <c r="H519" t="s">
        <v>279</v>
      </c>
      <c r="I519" t="s">
        <v>128</v>
      </c>
      <c r="J519" t="s">
        <v>201</v>
      </c>
      <c r="L519" s="2"/>
    </row>
    <row r="520" spans="1:12" s="25" customFormat="1" x14ac:dyDescent="0.2">
      <c r="A520">
        <v>2010</v>
      </c>
      <c r="B520" t="s">
        <v>184</v>
      </c>
      <c r="C520" t="s">
        <v>444</v>
      </c>
      <c r="D520" s="22">
        <v>360</v>
      </c>
      <c r="E520" s="16"/>
      <c r="G520" t="s">
        <v>144</v>
      </c>
      <c r="I520" t="s">
        <v>128</v>
      </c>
      <c r="J520" t="s">
        <v>201</v>
      </c>
      <c r="L520" s="2"/>
    </row>
    <row r="521" spans="1:12" s="25" customFormat="1" x14ac:dyDescent="0.2">
      <c r="A521">
        <v>2010</v>
      </c>
      <c r="B521" t="s">
        <v>184</v>
      </c>
      <c r="C521" t="s">
        <v>246</v>
      </c>
      <c r="D521" s="22">
        <v>840</v>
      </c>
      <c r="E521" s="16"/>
      <c r="G521" t="s">
        <v>144</v>
      </c>
      <c r="H521" t="s">
        <v>197</v>
      </c>
      <c r="I521" t="s">
        <v>116</v>
      </c>
      <c r="J521" t="s">
        <v>214</v>
      </c>
      <c r="L521" s="2"/>
    </row>
    <row r="522" spans="1:12" s="25" customFormat="1" x14ac:dyDescent="0.2">
      <c r="A522">
        <v>2010</v>
      </c>
      <c r="B522" t="s">
        <v>184</v>
      </c>
      <c r="C522" t="s">
        <v>1234</v>
      </c>
      <c r="D522" s="22">
        <v>280</v>
      </c>
      <c r="E522" s="16"/>
      <c r="G522" t="s">
        <v>154</v>
      </c>
      <c r="H522" t="s">
        <v>529</v>
      </c>
      <c r="I522" t="s">
        <v>115</v>
      </c>
      <c r="J522" t="s">
        <v>201</v>
      </c>
      <c r="L522" s="2"/>
    </row>
    <row r="523" spans="1:12" s="25" customFormat="1" x14ac:dyDescent="0.2">
      <c r="A523">
        <v>2010</v>
      </c>
      <c r="B523" t="s">
        <v>225</v>
      </c>
      <c r="C523" t="s">
        <v>444</v>
      </c>
      <c r="D523" s="22">
        <v>100</v>
      </c>
      <c r="E523" s="16"/>
      <c r="G523" t="s">
        <v>155</v>
      </c>
      <c r="I523" t="s">
        <v>64</v>
      </c>
      <c r="J523" t="s">
        <v>219</v>
      </c>
      <c r="L523" s="2"/>
    </row>
    <row r="524" spans="1:12" s="25" customFormat="1" x14ac:dyDescent="0.2">
      <c r="A524">
        <v>2010</v>
      </c>
      <c r="B524" t="s">
        <v>225</v>
      </c>
      <c r="C524" t="s">
        <v>2481</v>
      </c>
      <c r="D524" s="22">
        <v>1990</v>
      </c>
      <c r="E524" s="16"/>
      <c r="G524" t="s">
        <v>144</v>
      </c>
      <c r="H524" t="s">
        <v>187</v>
      </c>
      <c r="I524" t="s">
        <v>38</v>
      </c>
      <c r="J524" t="s">
        <v>214</v>
      </c>
      <c r="L524" s="2"/>
    </row>
    <row r="525" spans="1:12" s="25" customFormat="1" x14ac:dyDescent="0.2">
      <c r="A525">
        <v>2010</v>
      </c>
      <c r="B525" t="s">
        <v>225</v>
      </c>
      <c r="C525" s="52" t="s">
        <v>2392</v>
      </c>
      <c r="D525" s="22">
        <v>500</v>
      </c>
      <c r="E525" s="16"/>
      <c r="G525" t="s">
        <v>144</v>
      </c>
      <c r="H525" t="s">
        <v>197</v>
      </c>
      <c r="I525" t="s">
        <v>40</v>
      </c>
      <c r="J525" t="s">
        <v>219</v>
      </c>
      <c r="L525" s="2"/>
    </row>
    <row r="526" spans="1:12" s="25" customFormat="1" x14ac:dyDescent="0.2">
      <c r="A526">
        <v>2010</v>
      </c>
      <c r="B526" t="s">
        <v>225</v>
      </c>
      <c r="C526" t="s">
        <v>196</v>
      </c>
      <c r="D526" s="22">
        <v>400</v>
      </c>
      <c r="E526" s="16"/>
      <c r="F526" t="s">
        <v>2482</v>
      </c>
      <c r="G526" t="s">
        <v>144</v>
      </c>
      <c r="H526" t="s">
        <v>197</v>
      </c>
      <c r="I526" t="s">
        <v>139</v>
      </c>
      <c r="J526" t="s">
        <v>219</v>
      </c>
      <c r="L526" s="2"/>
    </row>
    <row r="527" spans="1:12" s="25" customFormat="1" x14ac:dyDescent="0.2">
      <c r="A527">
        <v>2010</v>
      </c>
      <c r="B527" t="s">
        <v>225</v>
      </c>
      <c r="C527" t="s">
        <v>196</v>
      </c>
      <c r="D527" s="22">
        <v>1040</v>
      </c>
      <c r="E527" s="16"/>
      <c r="G527" t="s">
        <v>144</v>
      </c>
      <c r="H527" t="s">
        <v>299</v>
      </c>
      <c r="I527" t="s">
        <v>135</v>
      </c>
      <c r="J527" t="s">
        <v>205</v>
      </c>
      <c r="L527" s="2"/>
    </row>
    <row r="528" spans="1:12" s="25" customFormat="1" x14ac:dyDescent="0.2">
      <c r="A528">
        <v>2010</v>
      </c>
      <c r="B528" t="s">
        <v>225</v>
      </c>
      <c r="C528" t="s">
        <v>815</v>
      </c>
      <c r="D528" s="22">
        <v>140</v>
      </c>
      <c r="E528" s="16"/>
      <c r="F528" t="s">
        <v>2003</v>
      </c>
      <c r="G528" t="s">
        <v>151</v>
      </c>
      <c r="H528" t="s">
        <v>279</v>
      </c>
      <c r="I528" t="s">
        <v>101</v>
      </c>
      <c r="J528" t="s">
        <v>201</v>
      </c>
      <c r="L528" s="2"/>
    </row>
    <row r="529" spans="1:12" s="25" customFormat="1" x14ac:dyDescent="0.2">
      <c r="A529">
        <v>2010</v>
      </c>
      <c r="B529" t="s">
        <v>225</v>
      </c>
      <c r="C529" t="s">
        <v>815</v>
      </c>
      <c r="D529" s="22">
        <v>200</v>
      </c>
      <c r="E529" s="16"/>
      <c r="F529" t="s">
        <v>2483</v>
      </c>
      <c r="G529" t="s">
        <v>151</v>
      </c>
      <c r="H529" t="s">
        <v>279</v>
      </c>
      <c r="I529" t="s">
        <v>105</v>
      </c>
      <c r="J529" t="s">
        <v>214</v>
      </c>
      <c r="L529" s="2"/>
    </row>
    <row r="530" spans="1:12" s="25" customFormat="1" x14ac:dyDescent="0.2">
      <c r="A530">
        <v>2010</v>
      </c>
      <c r="B530" t="s">
        <v>225</v>
      </c>
      <c r="C530" t="s">
        <v>180</v>
      </c>
      <c r="D530" s="22">
        <v>840</v>
      </c>
      <c r="E530" s="16"/>
      <c r="F530" t="s">
        <v>2401</v>
      </c>
      <c r="G530" t="s">
        <v>149</v>
      </c>
      <c r="H530" t="s">
        <v>182</v>
      </c>
      <c r="I530" t="s">
        <v>9</v>
      </c>
      <c r="J530" t="s">
        <v>9</v>
      </c>
      <c r="L530" s="2"/>
    </row>
    <row r="531" spans="1:12" s="25" customFormat="1" x14ac:dyDescent="0.2">
      <c r="A531">
        <v>2010</v>
      </c>
      <c r="B531" t="s">
        <v>188</v>
      </c>
      <c r="C531" t="s">
        <v>479</v>
      </c>
      <c r="D531" s="22">
        <v>320</v>
      </c>
      <c r="E531" s="16"/>
      <c r="F531" t="s">
        <v>2484</v>
      </c>
      <c r="G531" t="s">
        <v>154</v>
      </c>
      <c r="H531" t="s">
        <v>271</v>
      </c>
      <c r="I531" t="s">
        <v>108</v>
      </c>
      <c r="J531" t="s">
        <v>183</v>
      </c>
      <c r="L531" s="2"/>
    </row>
    <row r="532" spans="1:12" s="25" customFormat="1" x14ac:dyDescent="0.2">
      <c r="A532">
        <v>2010</v>
      </c>
      <c r="B532" t="s">
        <v>188</v>
      </c>
      <c r="C532" t="s">
        <v>246</v>
      </c>
      <c r="D532" s="22">
        <v>210</v>
      </c>
      <c r="E532" s="16"/>
      <c r="G532" t="s">
        <v>155</v>
      </c>
      <c r="I532" t="s">
        <v>96</v>
      </c>
      <c r="J532" t="s">
        <v>205</v>
      </c>
      <c r="L532" s="2"/>
    </row>
    <row r="533" spans="1:12" s="25" customFormat="1" x14ac:dyDescent="0.2">
      <c r="A533">
        <v>2010</v>
      </c>
      <c r="B533" t="s">
        <v>188</v>
      </c>
      <c r="C533" t="s">
        <v>196</v>
      </c>
      <c r="D533" s="22">
        <v>170</v>
      </c>
      <c r="E533" s="16">
        <v>0.5</v>
      </c>
      <c r="F533" t="s">
        <v>2485</v>
      </c>
      <c r="G533" t="s">
        <v>154</v>
      </c>
      <c r="H533" t="s">
        <v>529</v>
      </c>
      <c r="I533" t="s">
        <v>124</v>
      </c>
      <c r="J533" t="s">
        <v>183</v>
      </c>
      <c r="L533" s="2"/>
    </row>
    <row r="534" spans="1:12" s="25" customFormat="1" x14ac:dyDescent="0.2">
      <c r="A534">
        <v>2010</v>
      </c>
      <c r="B534" t="s">
        <v>188</v>
      </c>
      <c r="C534" t="s">
        <v>2486</v>
      </c>
      <c r="D534" s="22">
        <v>130</v>
      </c>
      <c r="E534" s="16"/>
      <c r="G534" t="s">
        <v>153</v>
      </c>
      <c r="I534" t="s">
        <v>47</v>
      </c>
      <c r="J534" t="s">
        <v>195</v>
      </c>
      <c r="L534" s="2"/>
    </row>
    <row r="535" spans="1:12" s="25" customFormat="1" x14ac:dyDescent="0.2">
      <c r="A535">
        <v>2010</v>
      </c>
      <c r="B535" t="s">
        <v>188</v>
      </c>
      <c r="C535" t="s">
        <v>196</v>
      </c>
      <c r="D535" s="22">
        <v>2300</v>
      </c>
      <c r="E535" s="16"/>
      <c r="F535" t="s">
        <v>2487</v>
      </c>
      <c r="G535" t="s">
        <v>144</v>
      </c>
      <c r="H535" t="s">
        <v>197</v>
      </c>
      <c r="I535" t="s">
        <v>37</v>
      </c>
      <c r="J535" t="s">
        <v>205</v>
      </c>
      <c r="L535" s="2"/>
    </row>
    <row r="536" spans="1:12" s="25" customFormat="1" x14ac:dyDescent="0.2">
      <c r="A536">
        <v>2010</v>
      </c>
      <c r="B536" t="s">
        <v>188</v>
      </c>
      <c r="C536" t="s">
        <v>444</v>
      </c>
      <c r="D536" s="22">
        <v>1680</v>
      </c>
      <c r="E536" s="16"/>
      <c r="F536" t="s">
        <v>2488</v>
      </c>
      <c r="G536" t="s">
        <v>144</v>
      </c>
      <c r="H536" t="s">
        <v>273</v>
      </c>
      <c r="I536" t="s">
        <v>67</v>
      </c>
      <c r="J536" t="s">
        <v>183</v>
      </c>
      <c r="L536" s="2"/>
    </row>
    <row r="537" spans="1:12" s="25" customFormat="1" x14ac:dyDescent="0.2">
      <c r="A537">
        <v>2010</v>
      </c>
      <c r="B537" t="s">
        <v>191</v>
      </c>
      <c r="C537" s="52" t="s">
        <v>2392</v>
      </c>
      <c r="D537" s="22">
        <v>710</v>
      </c>
      <c r="E537" s="16"/>
      <c r="F537" t="s">
        <v>2489</v>
      </c>
      <c r="G537" t="s">
        <v>144</v>
      </c>
      <c r="H537" t="s">
        <v>273</v>
      </c>
      <c r="I537" t="s">
        <v>17</v>
      </c>
      <c r="J537" t="s">
        <v>195</v>
      </c>
      <c r="L537" s="2"/>
    </row>
    <row r="538" spans="1:12" s="25" customFormat="1" x14ac:dyDescent="0.2">
      <c r="A538">
        <v>2010</v>
      </c>
      <c r="B538" t="s">
        <v>191</v>
      </c>
      <c r="C538" t="s">
        <v>444</v>
      </c>
      <c r="D538" s="22">
        <v>160</v>
      </c>
      <c r="E538" s="16"/>
      <c r="G538" t="s">
        <v>144</v>
      </c>
      <c r="H538" t="s">
        <v>273</v>
      </c>
      <c r="I538" t="s">
        <v>93</v>
      </c>
      <c r="J538" t="s">
        <v>201</v>
      </c>
      <c r="L538" s="2"/>
    </row>
    <row r="539" spans="1:12" s="25" customFormat="1" x14ac:dyDescent="0.2">
      <c r="A539">
        <v>2010</v>
      </c>
      <c r="B539" t="s">
        <v>191</v>
      </c>
      <c r="C539" t="s">
        <v>196</v>
      </c>
      <c r="D539" s="22">
        <v>110</v>
      </c>
      <c r="E539" s="16"/>
      <c r="G539" t="s">
        <v>144</v>
      </c>
      <c r="H539" t="s">
        <v>197</v>
      </c>
      <c r="I539" t="s">
        <v>93</v>
      </c>
      <c r="J539" t="s">
        <v>201</v>
      </c>
      <c r="L539" s="2"/>
    </row>
    <row r="540" spans="1:12" s="25" customFormat="1" x14ac:dyDescent="0.2">
      <c r="A540">
        <v>2010</v>
      </c>
      <c r="B540" t="s">
        <v>198</v>
      </c>
      <c r="C540" t="s">
        <v>2490</v>
      </c>
      <c r="D540" s="22">
        <v>700</v>
      </c>
      <c r="E540" s="16"/>
      <c r="F540" t="s">
        <v>2491</v>
      </c>
      <c r="G540" t="s">
        <v>144</v>
      </c>
      <c r="H540" t="s">
        <v>273</v>
      </c>
      <c r="I540" t="s">
        <v>2492</v>
      </c>
      <c r="J540" t="s">
        <v>177</v>
      </c>
      <c r="L540" s="2"/>
    </row>
    <row r="541" spans="1:12" s="25" customFormat="1" x14ac:dyDescent="0.2">
      <c r="A541">
        <v>2010</v>
      </c>
      <c r="B541" t="s">
        <v>198</v>
      </c>
      <c r="C541" t="s">
        <v>2402</v>
      </c>
      <c r="D541" s="22">
        <v>570</v>
      </c>
      <c r="E541" s="16"/>
      <c r="F541" t="s">
        <v>2493</v>
      </c>
      <c r="G541" t="s">
        <v>144</v>
      </c>
      <c r="H541" t="s">
        <v>197</v>
      </c>
      <c r="I541" t="s">
        <v>37</v>
      </c>
      <c r="J541" t="s">
        <v>205</v>
      </c>
      <c r="L541" s="2"/>
    </row>
    <row r="542" spans="1:12" s="25" customFormat="1" x14ac:dyDescent="0.2">
      <c r="A542">
        <v>2010</v>
      </c>
      <c r="B542" t="s">
        <v>198</v>
      </c>
      <c r="C542" t="s">
        <v>483</v>
      </c>
      <c r="D542" s="22">
        <v>1500</v>
      </c>
      <c r="E542" s="16"/>
      <c r="G542" t="s">
        <v>142</v>
      </c>
      <c r="I542" t="s">
        <v>67</v>
      </c>
      <c r="J542" t="s">
        <v>183</v>
      </c>
      <c r="L542" s="2"/>
    </row>
    <row r="543" spans="1:12" s="25" customFormat="1" x14ac:dyDescent="0.2">
      <c r="A543">
        <v>2010</v>
      </c>
      <c r="B543" t="s">
        <v>198</v>
      </c>
      <c r="C543" t="s">
        <v>815</v>
      </c>
      <c r="D543" s="22">
        <v>140</v>
      </c>
      <c r="E543" s="16"/>
      <c r="F543" t="s">
        <v>2494</v>
      </c>
      <c r="G543" t="s">
        <v>151</v>
      </c>
      <c r="H543" t="s">
        <v>279</v>
      </c>
      <c r="I543" t="s">
        <v>72</v>
      </c>
      <c r="J543" t="s">
        <v>183</v>
      </c>
      <c r="L543" s="2"/>
    </row>
    <row r="544" spans="1:12" s="25" customFormat="1" x14ac:dyDescent="0.2">
      <c r="A544">
        <v>2010</v>
      </c>
      <c r="B544" t="s">
        <v>198</v>
      </c>
      <c r="C544" t="s">
        <v>444</v>
      </c>
      <c r="D544" s="22">
        <v>100</v>
      </c>
      <c r="E544" s="16"/>
      <c r="G544" t="s">
        <v>142</v>
      </c>
      <c r="I544" t="s">
        <v>116</v>
      </c>
      <c r="J544" t="s">
        <v>214</v>
      </c>
      <c r="L544" s="2"/>
    </row>
    <row r="545" spans="1:12" s="25" customFormat="1" x14ac:dyDescent="0.2">
      <c r="A545">
        <v>2010</v>
      </c>
      <c r="B545" t="s">
        <v>198</v>
      </c>
      <c r="C545" t="s">
        <v>557</v>
      </c>
      <c r="D545" s="22">
        <v>250</v>
      </c>
      <c r="E545" s="16"/>
      <c r="F545" t="s">
        <v>2495</v>
      </c>
      <c r="G545" t="s">
        <v>151</v>
      </c>
      <c r="H545" t="s">
        <v>279</v>
      </c>
      <c r="I545" t="s">
        <v>55</v>
      </c>
      <c r="J545" t="s">
        <v>214</v>
      </c>
      <c r="L545" s="2"/>
    </row>
    <row r="546" spans="1:12" s="25" customFormat="1" x14ac:dyDescent="0.2">
      <c r="A546">
        <v>2010</v>
      </c>
      <c r="B546" t="s">
        <v>198</v>
      </c>
      <c r="C546" t="s">
        <v>479</v>
      </c>
      <c r="D546" s="22">
        <v>130</v>
      </c>
      <c r="E546" s="16"/>
      <c r="G546" t="s">
        <v>154</v>
      </c>
      <c r="H546" t="s">
        <v>194</v>
      </c>
      <c r="I546" t="s">
        <v>2376</v>
      </c>
      <c r="J546" t="s">
        <v>214</v>
      </c>
      <c r="L546" s="2"/>
    </row>
    <row r="547" spans="1:12" s="25" customFormat="1" x14ac:dyDescent="0.2">
      <c r="A547">
        <v>2010</v>
      </c>
      <c r="B547" t="s">
        <v>202</v>
      </c>
      <c r="C547" t="s">
        <v>196</v>
      </c>
      <c r="D547" s="22">
        <v>100</v>
      </c>
      <c r="E547" s="16"/>
      <c r="G547" t="s">
        <v>154</v>
      </c>
      <c r="H547" t="s">
        <v>194</v>
      </c>
      <c r="I547" t="s">
        <v>115</v>
      </c>
      <c r="J547" t="s">
        <v>201</v>
      </c>
      <c r="L547" s="2"/>
    </row>
    <row r="548" spans="1:12" s="25" customFormat="1" x14ac:dyDescent="0.2">
      <c r="A548">
        <v>2010</v>
      </c>
      <c r="B548" t="s">
        <v>202</v>
      </c>
      <c r="C548" t="s">
        <v>180</v>
      </c>
      <c r="D548" s="22">
        <v>340</v>
      </c>
      <c r="E548" s="16"/>
      <c r="G548" t="s">
        <v>149</v>
      </c>
      <c r="H548" t="s">
        <v>182</v>
      </c>
      <c r="I548" t="s">
        <v>136</v>
      </c>
      <c r="J548" t="s">
        <v>183</v>
      </c>
      <c r="L548" s="2"/>
    </row>
    <row r="549" spans="1:12" s="25" customFormat="1" x14ac:dyDescent="0.2">
      <c r="A549">
        <v>2010</v>
      </c>
      <c r="B549" t="s">
        <v>202</v>
      </c>
      <c r="C549" t="s">
        <v>444</v>
      </c>
      <c r="D549" s="22">
        <v>960</v>
      </c>
      <c r="E549" s="16"/>
      <c r="F549" t="s">
        <v>2496</v>
      </c>
      <c r="G549" t="s">
        <v>144</v>
      </c>
      <c r="H549" t="s">
        <v>273</v>
      </c>
      <c r="I549" t="s">
        <v>135</v>
      </c>
      <c r="J549" t="s">
        <v>205</v>
      </c>
      <c r="L549" s="2"/>
    </row>
    <row r="550" spans="1:12" s="25" customFormat="1" x14ac:dyDescent="0.2">
      <c r="A550">
        <v>2010</v>
      </c>
      <c r="B550" t="s">
        <v>202</v>
      </c>
      <c r="C550" t="s">
        <v>444</v>
      </c>
      <c r="D550" s="22">
        <v>110</v>
      </c>
      <c r="E550" s="16"/>
      <c r="G550" t="s">
        <v>154</v>
      </c>
      <c r="H550" t="s">
        <v>250</v>
      </c>
      <c r="I550" t="s">
        <v>107</v>
      </c>
      <c r="J550" t="s">
        <v>219</v>
      </c>
      <c r="L550" s="2"/>
    </row>
    <row r="551" spans="1:12" s="25" customFormat="1" x14ac:dyDescent="0.2">
      <c r="A551">
        <v>2010</v>
      </c>
      <c r="B551" t="s">
        <v>202</v>
      </c>
      <c r="C551" t="s">
        <v>444</v>
      </c>
      <c r="D551" s="22">
        <v>290</v>
      </c>
      <c r="E551" s="16"/>
      <c r="G551" t="s">
        <v>155</v>
      </c>
      <c r="I551" t="s">
        <v>46</v>
      </c>
      <c r="J551" t="s">
        <v>219</v>
      </c>
      <c r="L551" s="2"/>
    </row>
    <row r="552" spans="1:12" s="25" customFormat="1" x14ac:dyDescent="0.2">
      <c r="A552">
        <v>2010</v>
      </c>
      <c r="B552" t="s">
        <v>202</v>
      </c>
      <c r="C552" t="s">
        <v>246</v>
      </c>
      <c r="D552" s="22">
        <v>110</v>
      </c>
      <c r="E552" s="16"/>
      <c r="F552" t="s">
        <v>849</v>
      </c>
      <c r="G552" t="s">
        <v>144</v>
      </c>
      <c r="I552" t="s">
        <v>67</v>
      </c>
      <c r="J552" t="s">
        <v>183</v>
      </c>
      <c r="L552" s="2"/>
    </row>
    <row r="553" spans="1:12" s="25" customFormat="1" x14ac:dyDescent="0.2">
      <c r="A553">
        <v>2010</v>
      </c>
      <c r="B553" t="s">
        <v>202</v>
      </c>
      <c r="C553" t="s">
        <v>196</v>
      </c>
      <c r="D553" s="22">
        <v>180</v>
      </c>
      <c r="E553" s="16"/>
      <c r="G553" t="s">
        <v>144</v>
      </c>
      <c r="H553" t="s">
        <v>197</v>
      </c>
      <c r="I553" t="s">
        <v>84</v>
      </c>
      <c r="J553" t="s">
        <v>201</v>
      </c>
      <c r="L553" s="2"/>
    </row>
    <row r="554" spans="1:12" s="25" customFormat="1" x14ac:dyDescent="0.2">
      <c r="A554">
        <v>2010</v>
      </c>
      <c r="B554" t="s">
        <v>202</v>
      </c>
      <c r="C554" t="s">
        <v>444</v>
      </c>
      <c r="D554" s="22">
        <v>200</v>
      </c>
      <c r="E554" s="16"/>
      <c r="G554" t="s">
        <v>144</v>
      </c>
      <c r="H554" t="s">
        <v>273</v>
      </c>
      <c r="I554" t="s">
        <v>72</v>
      </c>
      <c r="J554" t="s">
        <v>183</v>
      </c>
      <c r="L554" s="2"/>
    </row>
    <row r="555" spans="1:12" s="25" customFormat="1" x14ac:dyDescent="0.2">
      <c r="A555">
        <v>2010</v>
      </c>
      <c r="B555" t="s">
        <v>207</v>
      </c>
      <c r="C555" t="s">
        <v>444</v>
      </c>
      <c r="D555" s="22">
        <v>750</v>
      </c>
      <c r="E555" s="16"/>
      <c r="G555" t="s">
        <v>144</v>
      </c>
      <c r="I555" t="s">
        <v>14</v>
      </c>
      <c r="J555" t="s">
        <v>195</v>
      </c>
      <c r="L555" s="2"/>
    </row>
    <row r="556" spans="1:12" s="25" customFormat="1" x14ac:dyDescent="0.2">
      <c r="A556">
        <v>2010</v>
      </c>
      <c r="B556" t="s">
        <v>207</v>
      </c>
      <c r="C556" t="s">
        <v>2497</v>
      </c>
      <c r="D556" s="22">
        <v>220</v>
      </c>
      <c r="E556" s="16"/>
      <c r="G556" t="s">
        <v>154</v>
      </c>
      <c r="H556" t="s">
        <v>194</v>
      </c>
      <c r="I556" t="s">
        <v>115</v>
      </c>
      <c r="J556" t="s">
        <v>201</v>
      </c>
      <c r="L556" s="2"/>
    </row>
    <row r="557" spans="1:12" s="25" customFormat="1" x14ac:dyDescent="0.2">
      <c r="A557">
        <v>2010</v>
      </c>
      <c r="B557" t="s">
        <v>207</v>
      </c>
      <c r="C557" t="s">
        <v>196</v>
      </c>
      <c r="D557" s="22">
        <v>1500</v>
      </c>
      <c r="E557" s="16"/>
      <c r="F557" t="s">
        <v>2498</v>
      </c>
      <c r="G557" t="s">
        <v>144</v>
      </c>
      <c r="H557" t="s">
        <v>197</v>
      </c>
      <c r="I557" t="s">
        <v>54</v>
      </c>
      <c r="J557" t="s">
        <v>201</v>
      </c>
      <c r="L557" s="2"/>
    </row>
    <row r="558" spans="1:12" s="44" customFormat="1" x14ac:dyDescent="0.2">
      <c r="A558">
        <v>2010</v>
      </c>
      <c r="B558" t="s">
        <v>207</v>
      </c>
      <c r="C558" t="s">
        <v>530</v>
      </c>
      <c r="D558" s="22">
        <v>970</v>
      </c>
      <c r="E558" s="16"/>
      <c r="F558" t="s">
        <v>2499</v>
      </c>
      <c r="G558" t="s">
        <v>152</v>
      </c>
      <c r="H558" t="s">
        <v>257</v>
      </c>
      <c r="I558" t="s">
        <v>58</v>
      </c>
      <c r="J558" t="s">
        <v>195</v>
      </c>
      <c r="L558" s="2"/>
    </row>
    <row r="559" spans="1:12" s="25" customFormat="1" x14ac:dyDescent="0.2">
      <c r="A559">
        <v>2010</v>
      </c>
      <c r="B559" t="s">
        <v>207</v>
      </c>
      <c r="C559" t="s">
        <v>180</v>
      </c>
      <c r="D559" s="22">
        <v>570</v>
      </c>
      <c r="E559" s="16"/>
      <c r="F559" t="s">
        <v>2500</v>
      </c>
      <c r="G559" t="s">
        <v>151</v>
      </c>
      <c r="H559" t="s">
        <v>279</v>
      </c>
      <c r="I559" t="s">
        <v>65</v>
      </c>
      <c r="J559" t="s">
        <v>214</v>
      </c>
      <c r="L559" s="2"/>
    </row>
    <row r="560" spans="1:12" s="25" customFormat="1" x14ac:dyDescent="0.2">
      <c r="A560">
        <v>2010</v>
      </c>
      <c r="B560" t="s">
        <v>207</v>
      </c>
      <c r="C560" t="s">
        <v>444</v>
      </c>
      <c r="D560" s="22">
        <v>610</v>
      </c>
      <c r="E560" s="16"/>
      <c r="F560" t="s">
        <v>457</v>
      </c>
      <c r="G560" t="s">
        <v>149</v>
      </c>
      <c r="H560" t="s">
        <v>236</v>
      </c>
      <c r="I560" t="s">
        <v>9</v>
      </c>
      <c r="J560" t="s">
        <v>9</v>
      </c>
      <c r="L560" s="2"/>
    </row>
    <row r="561" spans="1:12" s="25" customFormat="1" x14ac:dyDescent="0.2">
      <c r="A561">
        <v>2010</v>
      </c>
      <c r="B561" t="s">
        <v>207</v>
      </c>
      <c r="C561" t="s">
        <v>479</v>
      </c>
      <c r="D561" s="22">
        <v>400</v>
      </c>
      <c r="E561" s="16"/>
      <c r="G561" t="s">
        <v>154</v>
      </c>
      <c r="H561" t="s">
        <v>194</v>
      </c>
      <c r="I561" t="s">
        <v>60</v>
      </c>
      <c r="J561" t="s">
        <v>177</v>
      </c>
      <c r="L561" s="2"/>
    </row>
    <row r="562" spans="1:12" s="25" customFormat="1" x14ac:dyDescent="0.2">
      <c r="A562">
        <v>2010</v>
      </c>
      <c r="B562" t="s">
        <v>207</v>
      </c>
      <c r="C562" t="s">
        <v>2501</v>
      </c>
      <c r="D562" s="22">
        <v>240</v>
      </c>
      <c r="E562" s="16"/>
      <c r="G562" t="s">
        <v>154</v>
      </c>
      <c r="H562" t="s">
        <v>194</v>
      </c>
      <c r="I562" t="s">
        <v>80</v>
      </c>
      <c r="J562" t="s">
        <v>214</v>
      </c>
      <c r="L562" s="2"/>
    </row>
    <row r="563" spans="1:12" s="25" customFormat="1" x14ac:dyDescent="0.2">
      <c r="A563">
        <v>2010</v>
      </c>
      <c r="B563" t="s">
        <v>207</v>
      </c>
      <c r="C563" t="s">
        <v>196</v>
      </c>
      <c r="D563" s="22">
        <v>130</v>
      </c>
      <c r="E563" s="16"/>
      <c r="F563" t="s">
        <v>849</v>
      </c>
      <c r="G563" t="s">
        <v>144</v>
      </c>
      <c r="I563" t="s">
        <v>67</v>
      </c>
      <c r="J563" t="s">
        <v>183</v>
      </c>
      <c r="L563" s="2"/>
    </row>
    <row r="564" spans="1:12" s="25" customFormat="1" x14ac:dyDescent="0.2">
      <c r="A564">
        <v>2010</v>
      </c>
      <c r="B564" t="s">
        <v>207</v>
      </c>
      <c r="C564" t="s">
        <v>444</v>
      </c>
      <c r="D564" s="22">
        <v>290</v>
      </c>
      <c r="E564" s="16"/>
      <c r="G564" t="s">
        <v>155</v>
      </c>
      <c r="I564" t="s">
        <v>54</v>
      </c>
      <c r="J564" t="s">
        <v>201</v>
      </c>
      <c r="L564" s="2"/>
    </row>
    <row r="565" spans="1:12" s="25" customFormat="1" x14ac:dyDescent="0.2">
      <c r="A565">
        <v>2010</v>
      </c>
      <c r="B565" t="s">
        <v>207</v>
      </c>
      <c r="C565" t="s">
        <v>2502</v>
      </c>
      <c r="D565" s="22">
        <v>100</v>
      </c>
      <c r="E565" s="16"/>
      <c r="G565" t="s">
        <v>154</v>
      </c>
      <c r="H565" t="s">
        <v>194</v>
      </c>
      <c r="I565" t="s">
        <v>37</v>
      </c>
      <c r="J565" t="s">
        <v>205</v>
      </c>
      <c r="L565" s="2"/>
    </row>
    <row r="566" spans="1:12" s="25" customFormat="1" x14ac:dyDescent="0.2">
      <c r="A566">
        <v>2010</v>
      </c>
      <c r="B566" t="s">
        <v>207</v>
      </c>
      <c r="C566" t="s">
        <v>444</v>
      </c>
      <c r="D566" s="22">
        <v>490</v>
      </c>
      <c r="E566" s="16"/>
      <c r="G566" t="s">
        <v>144</v>
      </c>
      <c r="H566" t="s">
        <v>273</v>
      </c>
      <c r="I566" t="s">
        <v>97</v>
      </c>
      <c r="J566" t="s">
        <v>183</v>
      </c>
      <c r="L566" s="2"/>
    </row>
    <row r="567" spans="1:12" s="25" customFormat="1" x14ac:dyDescent="0.2">
      <c r="A567">
        <v>2010</v>
      </c>
      <c r="B567" t="s">
        <v>240</v>
      </c>
      <c r="C567" t="s">
        <v>444</v>
      </c>
      <c r="D567" s="22">
        <v>280</v>
      </c>
      <c r="E567" s="16"/>
      <c r="G567" t="s">
        <v>144</v>
      </c>
      <c r="H567" t="s">
        <v>197</v>
      </c>
      <c r="I567" t="s">
        <v>29</v>
      </c>
      <c r="J567" t="s">
        <v>219</v>
      </c>
      <c r="L567" s="2"/>
    </row>
    <row r="568" spans="1:12" s="25" customFormat="1" x14ac:dyDescent="0.2">
      <c r="A568">
        <v>2010</v>
      </c>
      <c r="B568" t="s">
        <v>240</v>
      </c>
      <c r="C568" t="s">
        <v>337</v>
      </c>
      <c r="D568" s="22">
        <v>170</v>
      </c>
      <c r="E568" s="16"/>
      <c r="G568" t="s">
        <v>144</v>
      </c>
      <c r="H568" t="s">
        <v>273</v>
      </c>
      <c r="I568" t="s">
        <v>23</v>
      </c>
      <c r="J568" t="s">
        <v>183</v>
      </c>
      <c r="L568" s="2"/>
    </row>
    <row r="569" spans="1:12" s="25" customFormat="1" x14ac:dyDescent="0.2">
      <c r="A569">
        <v>2010</v>
      </c>
      <c r="B569" t="s">
        <v>240</v>
      </c>
      <c r="C569" t="s">
        <v>2402</v>
      </c>
      <c r="D569" s="22">
        <v>800</v>
      </c>
      <c r="E569" s="16"/>
      <c r="G569" t="s">
        <v>144</v>
      </c>
      <c r="H569" t="s">
        <v>197</v>
      </c>
      <c r="I569" t="s">
        <v>116</v>
      </c>
      <c r="J569" t="s">
        <v>214</v>
      </c>
      <c r="L569" s="2"/>
    </row>
    <row r="570" spans="1:12" s="25" customFormat="1" x14ac:dyDescent="0.2">
      <c r="A570">
        <v>2010</v>
      </c>
      <c r="B570" t="s">
        <v>240</v>
      </c>
      <c r="C570" t="s">
        <v>745</v>
      </c>
      <c r="D570" s="22">
        <v>270</v>
      </c>
      <c r="E570" s="16"/>
      <c r="F570" t="s">
        <v>2503</v>
      </c>
      <c r="G570" t="s">
        <v>142</v>
      </c>
      <c r="I570" t="s">
        <v>101</v>
      </c>
      <c r="J570" t="s">
        <v>201</v>
      </c>
      <c r="L570" s="2"/>
    </row>
    <row r="571" spans="1:12" s="25" customFormat="1" x14ac:dyDescent="0.2">
      <c r="A571">
        <v>2010</v>
      </c>
      <c r="B571" t="s">
        <v>240</v>
      </c>
      <c r="C571" t="s">
        <v>703</v>
      </c>
      <c r="D571" s="22">
        <v>450</v>
      </c>
      <c r="E571" s="16"/>
      <c r="F571" t="s">
        <v>2504</v>
      </c>
      <c r="G571" t="s">
        <v>144</v>
      </c>
      <c r="H571" t="s">
        <v>273</v>
      </c>
      <c r="I571" t="s">
        <v>52</v>
      </c>
      <c r="J571" t="s">
        <v>201</v>
      </c>
      <c r="L571" s="2"/>
    </row>
    <row r="572" spans="1:12" s="25" customFormat="1" x14ac:dyDescent="0.2">
      <c r="A572">
        <v>2010</v>
      </c>
      <c r="B572" t="s">
        <v>240</v>
      </c>
      <c r="C572" t="s">
        <v>479</v>
      </c>
      <c r="D572" s="22">
        <v>220</v>
      </c>
      <c r="E572" s="16"/>
      <c r="G572" t="s">
        <v>154</v>
      </c>
      <c r="H572" t="s">
        <v>529</v>
      </c>
      <c r="I572" t="s">
        <v>64</v>
      </c>
      <c r="J572" t="s">
        <v>219</v>
      </c>
      <c r="L572" s="78"/>
    </row>
    <row r="573" spans="1:12" s="25" customFormat="1" x14ac:dyDescent="0.2">
      <c r="A573">
        <v>2010</v>
      </c>
      <c r="B573" t="s">
        <v>240</v>
      </c>
      <c r="C573" t="s">
        <v>479</v>
      </c>
      <c r="D573" s="22">
        <v>250</v>
      </c>
      <c r="E573" s="16"/>
      <c r="G573" t="s">
        <v>154</v>
      </c>
      <c r="H573" t="s">
        <v>194</v>
      </c>
      <c r="I573" t="s">
        <v>29</v>
      </c>
      <c r="J573" t="s">
        <v>219</v>
      </c>
      <c r="L573" s="2"/>
    </row>
    <row r="574" spans="1:12" s="25" customFormat="1" x14ac:dyDescent="0.2">
      <c r="A574">
        <v>2010</v>
      </c>
      <c r="B574" t="s">
        <v>212</v>
      </c>
      <c r="C574" t="s">
        <v>815</v>
      </c>
      <c r="D574" s="22">
        <v>300</v>
      </c>
      <c r="E574" s="16"/>
      <c r="G574" t="s">
        <v>151</v>
      </c>
      <c r="H574" t="s">
        <v>279</v>
      </c>
      <c r="I574" t="s">
        <v>120</v>
      </c>
      <c r="J574" t="s">
        <v>214</v>
      </c>
      <c r="L574" s="2"/>
    </row>
    <row r="575" spans="1:12" s="25" customFormat="1" x14ac:dyDescent="0.2">
      <c r="A575">
        <v>2010</v>
      </c>
      <c r="B575" t="s">
        <v>212</v>
      </c>
      <c r="C575" t="s">
        <v>2505</v>
      </c>
      <c r="D575" s="22">
        <v>1150</v>
      </c>
      <c r="E575" s="16"/>
      <c r="F575" t="s">
        <v>2506</v>
      </c>
      <c r="G575" t="s">
        <v>144</v>
      </c>
      <c r="H575" t="s">
        <v>197</v>
      </c>
      <c r="I575" t="s">
        <v>136</v>
      </c>
      <c r="J575" t="s">
        <v>183</v>
      </c>
      <c r="L575" s="2"/>
    </row>
    <row r="576" spans="1:12" s="25" customFormat="1" x14ac:dyDescent="0.2">
      <c r="A576">
        <v>2010</v>
      </c>
      <c r="B576" t="s">
        <v>212</v>
      </c>
      <c r="C576" t="s">
        <v>2402</v>
      </c>
      <c r="D576" s="22">
        <v>290</v>
      </c>
      <c r="E576" s="16"/>
      <c r="G576" t="s">
        <v>142</v>
      </c>
      <c r="I576" t="s">
        <v>135</v>
      </c>
      <c r="J576" t="s">
        <v>205</v>
      </c>
      <c r="L576" s="2"/>
    </row>
    <row r="577" spans="1:12" s="25" customFormat="1" x14ac:dyDescent="0.2">
      <c r="A577">
        <v>2010</v>
      </c>
      <c r="B577" t="s">
        <v>212</v>
      </c>
      <c r="C577" t="s">
        <v>479</v>
      </c>
      <c r="D577" s="22">
        <v>100</v>
      </c>
      <c r="E577" s="16"/>
      <c r="G577" t="s">
        <v>154</v>
      </c>
      <c r="H577" t="s">
        <v>250</v>
      </c>
      <c r="I577" t="s">
        <v>82</v>
      </c>
      <c r="J577" t="s">
        <v>183</v>
      </c>
      <c r="L577" s="2"/>
    </row>
    <row r="578" spans="1:12" s="25" customFormat="1" x14ac:dyDescent="0.2">
      <c r="A578">
        <v>2010</v>
      </c>
      <c r="B578" t="s">
        <v>212</v>
      </c>
      <c r="C578" t="s">
        <v>246</v>
      </c>
      <c r="D578" s="22">
        <v>250</v>
      </c>
      <c r="E578" s="16">
        <v>0.4</v>
      </c>
      <c r="G578" t="s">
        <v>144</v>
      </c>
      <c r="H578" t="s">
        <v>197</v>
      </c>
      <c r="I578" t="s">
        <v>37</v>
      </c>
      <c r="J578" t="s">
        <v>205</v>
      </c>
      <c r="L578" s="2"/>
    </row>
    <row r="579" spans="1:12" s="25" customFormat="1" ht="14.25" customHeight="1" x14ac:dyDescent="0.2">
      <c r="A579">
        <v>2010</v>
      </c>
      <c r="B579" t="s">
        <v>212</v>
      </c>
      <c r="C579" t="s">
        <v>543</v>
      </c>
      <c r="D579" s="22">
        <v>400</v>
      </c>
      <c r="E579" s="16"/>
      <c r="G579" t="s">
        <v>152</v>
      </c>
      <c r="H579" t="s">
        <v>257</v>
      </c>
      <c r="I579" t="s">
        <v>89</v>
      </c>
      <c r="J579" t="s">
        <v>219</v>
      </c>
      <c r="L579" s="2"/>
    </row>
    <row r="580" spans="1:12" s="25" customFormat="1" x14ac:dyDescent="0.2">
      <c r="A580">
        <v>2010</v>
      </c>
      <c r="B580" t="s">
        <v>212</v>
      </c>
      <c r="C580" t="s">
        <v>2468</v>
      </c>
      <c r="D580" s="22">
        <v>650</v>
      </c>
      <c r="E580" s="16"/>
      <c r="F580" t="s">
        <v>2507</v>
      </c>
      <c r="G580" t="s">
        <v>144</v>
      </c>
      <c r="H580" t="s">
        <v>273</v>
      </c>
      <c r="I580" t="s">
        <v>136</v>
      </c>
      <c r="J580" t="s">
        <v>183</v>
      </c>
      <c r="L580" s="2"/>
    </row>
    <row r="581" spans="1:12" s="25" customFormat="1" x14ac:dyDescent="0.2">
      <c r="A581">
        <v>2010</v>
      </c>
      <c r="B581" t="s">
        <v>212</v>
      </c>
      <c r="C581" t="s">
        <v>815</v>
      </c>
      <c r="D581" s="22">
        <v>110</v>
      </c>
      <c r="E581" s="16"/>
      <c r="F581" t="s">
        <v>2508</v>
      </c>
      <c r="G581" t="s">
        <v>151</v>
      </c>
      <c r="H581" t="s">
        <v>279</v>
      </c>
      <c r="I581" t="s">
        <v>55</v>
      </c>
      <c r="J581" t="s">
        <v>214</v>
      </c>
      <c r="L581" s="2"/>
    </row>
    <row r="582" spans="1:12" s="25" customFormat="1" x14ac:dyDescent="0.2">
      <c r="A582">
        <v>2010</v>
      </c>
      <c r="B582" t="s">
        <v>212</v>
      </c>
      <c r="C582" t="s">
        <v>444</v>
      </c>
      <c r="D582" s="22">
        <v>900</v>
      </c>
      <c r="E582" s="16"/>
      <c r="F582" t="s">
        <v>2509</v>
      </c>
      <c r="G582" t="s">
        <v>149</v>
      </c>
      <c r="H582" t="s">
        <v>182</v>
      </c>
      <c r="I582" t="s">
        <v>72</v>
      </c>
      <c r="J582" t="s">
        <v>183</v>
      </c>
      <c r="L582" s="2"/>
    </row>
    <row r="583" spans="1:12" s="25" customFormat="1" x14ac:dyDescent="0.2">
      <c r="A583">
        <v>2010</v>
      </c>
      <c r="B583" t="s">
        <v>212</v>
      </c>
      <c r="C583" t="s">
        <v>444</v>
      </c>
      <c r="D583" s="22">
        <v>230</v>
      </c>
      <c r="E583" s="16"/>
      <c r="G583" t="s">
        <v>144</v>
      </c>
      <c r="H583" t="s">
        <v>197</v>
      </c>
      <c r="I583" t="s">
        <v>14</v>
      </c>
      <c r="J583" t="s">
        <v>195</v>
      </c>
      <c r="L583" s="2"/>
    </row>
    <row r="584" spans="1:12" s="25" customFormat="1" x14ac:dyDescent="0.2">
      <c r="A584">
        <v>2010</v>
      </c>
      <c r="B584" t="s">
        <v>212</v>
      </c>
      <c r="C584" t="s">
        <v>444</v>
      </c>
      <c r="D584" s="22">
        <v>220</v>
      </c>
      <c r="E584" s="16"/>
      <c r="F584" t="s">
        <v>2510</v>
      </c>
      <c r="G584" t="s">
        <v>152</v>
      </c>
      <c r="H584" t="s">
        <v>257</v>
      </c>
      <c r="I584" t="s">
        <v>13</v>
      </c>
      <c r="J584" t="s">
        <v>201</v>
      </c>
      <c r="L584" s="2"/>
    </row>
    <row r="585" spans="1:12" s="25" customFormat="1" x14ac:dyDescent="0.2">
      <c r="A585">
        <v>2010</v>
      </c>
      <c r="B585" t="s">
        <v>212</v>
      </c>
      <c r="C585" t="s">
        <v>196</v>
      </c>
      <c r="D585" s="22">
        <v>320</v>
      </c>
      <c r="E585" s="16"/>
      <c r="G585" t="s">
        <v>155</v>
      </c>
      <c r="I585" t="s">
        <v>2406</v>
      </c>
      <c r="J585" t="s">
        <v>219</v>
      </c>
      <c r="L585" s="2"/>
    </row>
    <row r="586" spans="1:12" s="25" customFormat="1" x14ac:dyDescent="0.2">
      <c r="A586">
        <v>2010</v>
      </c>
      <c r="B586" t="s">
        <v>212</v>
      </c>
      <c r="C586" t="s">
        <v>196</v>
      </c>
      <c r="D586" s="22">
        <v>260</v>
      </c>
      <c r="E586" s="16"/>
      <c r="F586" t="s">
        <v>2511</v>
      </c>
      <c r="G586" t="s">
        <v>144</v>
      </c>
      <c r="H586" t="s">
        <v>197</v>
      </c>
      <c r="I586" t="s">
        <v>72</v>
      </c>
      <c r="J586" t="s">
        <v>183</v>
      </c>
      <c r="L586" s="2"/>
    </row>
    <row r="587" spans="1:12" s="25" customFormat="1" x14ac:dyDescent="0.2">
      <c r="A587">
        <v>2010</v>
      </c>
      <c r="B587" t="s">
        <v>212</v>
      </c>
      <c r="C587" t="s">
        <v>277</v>
      </c>
      <c r="D587" s="22">
        <v>1400</v>
      </c>
      <c r="E587" s="16"/>
      <c r="F587" t="s">
        <v>2512</v>
      </c>
      <c r="G587" t="s">
        <v>144</v>
      </c>
      <c r="H587" t="s">
        <v>273</v>
      </c>
      <c r="I587" t="s">
        <v>52</v>
      </c>
      <c r="J587" t="s">
        <v>201</v>
      </c>
      <c r="L587" s="2"/>
    </row>
    <row r="588" spans="1:12" s="25" customFormat="1" x14ac:dyDescent="0.2">
      <c r="A588">
        <v>2010</v>
      </c>
      <c r="B588" t="s">
        <v>212</v>
      </c>
      <c r="C588" t="s">
        <v>479</v>
      </c>
      <c r="D588" s="22">
        <v>160</v>
      </c>
      <c r="E588" s="16"/>
      <c r="F588" t="s">
        <v>2513</v>
      </c>
      <c r="G588" t="s">
        <v>148</v>
      </c>
      <c r="I588" t="s">
        <v>93</v>
      </c>
      <c r="J588" t="s">
        <v>201</v>
      </c>
      <c r="L588" s="2"/>
    </row>
    <row r="589" spans="1:12" s="25" customFormat="1" x14ac:dyDescent="0.2">
      <c r="A589">
        <v>2010</v>
      </c>
      <c r="B589" t="s">
        <v>212</v>
      </c>
      <c r="C589" t="s">
        <v>815</v>
      </c>
      <c r="D589" s="22">
        <v>140</v>
      </c>
      <c r="E589" s="16"/>
      <c r="G589" t="s">
        <v>151</v>
      </c>
      <c r="H589" t="s">
        <v>279</v>
      </c>
      <c r="I589" t="s">
        <v>105</v>
      </c>
      <c r="J589" t="s">
        <v>214</v>
      </c>
      <c r="L589" s="2"/>
    </row>
    <row r="590" spans="1:12" s="25" customFormat="1" x14ac:dyDescent="0.2">
      <c r="A590">
        <v>2010</v>
      </c>
      <c r="B590" t="s">
        <v>212</v>
      </c>
      <c r="C590" t="s">
        <v>444</v>
      </c>
      <c r="D590" s="22">
        <v>220</v>
      </c>
      <c r="E590" s="16"/>
      <c r="G590" t="s">
        <v>144</v>
      </c>
      <c r="I590" t="s">
        <v>135</v>
      </c>
      <c r="J590" t="s">
        <v>205</v>
      </c>
      <c r="L590" s="2"/>
    </row>
    <row r="591" spans="1:12" s="25" customFormat="1" x14ac:dyDescent="0.2">
      <c r="A591">
        <v>2010</v>
      </c>
      <c r="B591" t="s">
        <v>212</v>
      </c>
      <c r="C591" t="s">
        <v>2414</v>
      </c>
      <c r="D591" s="22">
        <v>170</v>
      </c>
      <c r="E591" s="16"/>
      <c r="G591" t="s">
        <v>154</v>
      </c>
      <c r="H591" t="s">
        <v>529</v>
      </c>
      <c r="I591" t="s">
        <v>14</v>
      </c>
      <c r="J591" t="s">
        <v>195</v>
      </c>
      <c r="L591" s="2"/>
    </row>
    <row r="592" spans="1:12" s="25" customFormat="1" x14ac:dyDescent="0.2">
      <c r="A592">
        <v>2011</v>
      </c>
      <c r="B592" t="s">
        <v>172</v>
      </c>
      <c r="C592" t="s">
        <v>516</v>
      </c>
      <c r="D592" s="65">
        <v>130</v>
      </c>
      <c r="E592" s="33">
        <v>0.5</v>
      </c>
      <c r="F592" t="s">
        <v>517</v>
      </c>
      <c r="G592" t="s">
        <v>150</v>
      </c>
      <c r="H592" t="s">
        <v>217</v>
      </c>
      <c r="I592" t="s">
        <v>45</v>
      </c>
      <c r="J592" t="s">
        <v>195</v>
      </c>
      <c r="K592" s="17"/>
      <c r="L592" s="28"/>
    </row>
    <row r="593" spans="1:12" s="25" customFormat="1" x14ac:dyDescent="0.2">
      <c r="A593">
        <v>2011</v>
      </c>
      <c r="B593" t="s">
        <v>172</v>
      </c>
      <c r="C593" t="s">
        <v>389</v>
      </c>
      <c r="D593" s="65">
        <v>920</v>
      </c>
      <c r="E593" s="33">
        <v>1</v>
      </c>
      <c r="F593" t="s">
        <v>518</v>
      </c>
      <c r="G593" t="s">
        <v>144</v>
      </c>
      <c r="H593" t="s">
        <v>273</v>
      </c>
      <c r="I593" t="s">
        <v>9</v>
      </c>
      <c r="J593" t="s">
        <v>9</v>
      </c>
      <c r="K593" s="17"/>
      <c r="L593" s="28"/>
    </row>
    <row r="594" spans="1:12" s="25" customFormat="1" x14ac:dyDescent="0.2">
      <c r="A594">
        <v>2011</v>
      </c>
      <c r="B594" t="s">
        <v>172</v>
      </c>
      <c r="C594" t="s">
        <v>360</v>
      </c>
      <c r="D594" s="65">
        <v>120</v>
      </c>
      <c r="E594" s="33">
        <v>0.6</v>
      </c>
      <c r="F594" t="s">
        <v>519</v>
      </c>
      <c r="G594" t="s">
        <v>149</v>
      </c>
      <c r="H594" t="s">
        <v>182</v>
      </c>
      <c r="I594" t="s">
        <v>25</v>
      </c>
      <c r="J594" t="s">
        <v>177</v>
      </c>
      <c r="K594" s="17"/>
      <c r="L594" s="28" t="s">
        <v>178</v>
      </c>
    </row>
    <row r="595" spans="1:12" s="25" customFormat="1" x14ac:dyDescent="0.2">
      <c r="A595">
        <v>2011</v>
      </c>
      <c r="B595" t="s">
        <v>172</v>
      </c>
      <c r="C595" t="s">
        <v>520</v>
      </c>
      <c r="D595" s="65">
        <v>180</v>
      </c>
      <c r="E595" s="33">
        <v>0.51</v>
      </c>
      <c r="F595" t="s">
        <v>521</v>
      </c>
      <c r="G595" t="s">
        <v>152</v>
      </c>
      <c r="I595" t="s">
        <v>61</v>
      </c>
      <c r="J595" t="s">
        <v>183</v>
      </c>
      <c r="K595" s="17"/>
      <c r="L595" s="28"/>
    </row>
    <row r="596" spans="1:12" s="25" customFormat="1" x14ac:dyDescent="0.2">
      <c r="A596">
        <v>2011</v>
      </c>
      <c r="B596" t="s">
        <v>172</v>
      </c>
      <c r="C596" t="s">
        <v>199</v>
      </c>
      <c r="D596" s="65">
        <v>510</v>
      </c>
      <c r="E596" s="33">
        <v>0.5</v>
      </c>
      <c r="F596" t="s">
        <v>522</v>
      </c>
      <c r="G596" t="s">
        <v>144</v>
      </c>
      <c r="I596" t="s">
        <v>42</v>
      </c>
      <c r="J596" t="s">
        <v>195</v>
      </c>
      <c r="K596" s="17"/>
      <c r="L596" s="28"/>
    </row>
    <row r="597" spans="1:12" s="25" customFormat="1" x14ac:dyDescent="0.2">
      <c r="A597">
        <v>2011</v>
      </c>
      <c r="B597" t="s">
        <v>172</v>
      </c>
      <c r="C597" t="s">
        <v>199</v>
      </c>
      <c r="D597" s="65">
        <v>510</v>
      </c>
      <c r="E597" s="33">
        <v>0.5</v>
      </c>
      <c r="F597" t="s">
        <v>523</v>
      </c>
      <c r="G597" t="s">
        <v>144</v>
      </c>
      <c r="I597" t="s">
        <v>20</v>
      </c>
      <c r="J597" t="s">
        <v>195</v>
      </c>
      <c r="K597" s="17"/>
      <c r="L597" s="28"/>
    </row>
    <row r="598" spans="1:12" s="25" customFormat="1" x14ac:dyDescent="0.2">
      <c r="A598">
        <v>2011</v>
      </c>
      <c r="B598" t="s">
        <v>172</v>
      </c>
      <c r="C598" t="s">
        <v>210</v>
      </c>
      <c r="D598" s="65">
        <v>2090</v>
      </c>
      <c r="E598" s="33">
        <v>1</v>
      </c>
      <c r="F598" t="s">
        <v>524</v>
      </c>
      <c r="G598" t="s">
        <v>143</v>
      </c>
      <c r="I598" t="s">
        <v>91</v>
      </c>
      <c r="J598" t="s">
        <v>195</v>
      </c>
      <c r="K598" s="17"/>
      <c r="L598" s="28"/>
    </row>
    <row r="599" spans="1:12" s="25" customFormat="1" x14ac:dyDescent="0.2">
      <c r="A599">
        <v>2011</v>
      </c>
      <c r="B599" t="s">
        <v>172</v>
      </c>
      <c r="C599" t="s">
        <v>392</v>
      </c>
      <c r="D599" s="65">
        <v>500</v>
      </c>
      <c r="E599" s="33">
        <v>1.4E-2</v>
      </c>
      <c r="F599" t="s">
        <v>393</v>
      </c>
      <c r="G599" t="s">
        <v>152</v>
      </c>
      <c r="H599" t="s">
        <v>257</v>
      </c>
      <c r="I599" t="s">
        <v>114</v>
      </c>
      <c r="J599" t="s">
        <v>195</v>
      </c>
      <c r="K599" s="17"/>
      <c r="L599" s="28"/>
    </row>
    <row r="600" spans="1:12" s="25" customFormat="1" x14ac:dyDescent="0.2">
      <c r="A600">
        <v>2011</v>
      </c>
      <c r="B600" t="s">
        <v>172</v>
      </c>
      <c r="C600" t="s">
        <v>283</v>
      </c>
      <c r="D600" s="65">
        <v>140</v>
      </c>
      <c r="E600" s="33">
        <v>0.8</v>
      </c>
      <c r="F600" t="s">
        <v>525</v>
      </c>
      <c r="G600" t="s">
        <v>146</v>
      </c>
      <c r="H600" t="s">
        <v>275</v>
      </c>
      <c r="I600" t="s">
        <v>131</v>
      </c>
      <c r="J600" t="s">
        <v>131</v>
      </c>
      <c r="K600" s="17"/>
      <c r="L600" s="28"/>
    </row>
    <row r="601" spans="1:12" s="25" customFormat="1" x14ac:dyDescent="0.2">
      <c r="A601">
        <v>2011</v>
      </c>
      <c r="B601" t="s">
        <v>172</v>
      </c>
      <c r="C601" t="s">
        <v>196</v>
      </c>
      <c r="D601" s="65">
        <v>140</v>
      </c>
      <c r="E601" s="33">
        <v>0.9</v>
      </c>
      <c r="F601" t="s">
        <v>526</v>
      </c>
      <c r="G601" t="s">
        <v>144</v>
      </c>
      <c r="H601" t="s">
        <v>197</v>
      </c>
      <c r="I601" t="s">
        <v>84</v>
      </c>
      <c r="J601" t="s">
        <v>201</v>
      </c>
      <c r="K601" s="17"/>
      <c r="L601" s="28" t="s">
        <v>178</v>
      </c>
    </row>
    <row r="602" spans="1:12" s="25" customFormat="1" x14ac:dyDescent="0.2">
      <c r="A602">
        <v>2011</v>
      </c>
      <c r="B602" t="s">
        <v>172</v>
      </c>
      <c r="C602" t="s">
        <v>527</v>
      </c>
      <c r="D602" s="65">
        <v>2000</v>
      </c>
      <c r="E602" s="33"/>
      <c r="F602" t="s">
        <v>528</v>
      </c>
      <c r="G602" t="s">
        <v>154</v>
      </c>
      <c r="H602" t="s">
        <v>529</v>
      </c>
      <c r="I602" t="s">
        <v>90</v>
      </c>
      <c r="J602" t="s">
        <v>183</v>
      </c>
      <c r="K602" s="17"/>
      <c r="L602" s="28" t="s">
        <v>178</v>
      </c>
    </row>
    <row r="603" spans="1:12" s="25" customFormat="1" x14ac:dyDescent="0.2">
      <c r="A603">
        <v>2011</v>
      </c>
      <c r="B603" t="s">
        <v>172</v>
      </c>
      <c r="C603" t="s">
        <v>530</v>
      </c>
      <c r="D603" s="65">
        <v>100</v>
      </c>
      <c r="E603" s="33"/>
      <c r="G603" t="s">
        <v>152</v>
      </c>
      <c r="H603" t="s">
        <v>257</v>
      </c>
      <c r="I603" t="s">
        <v>19</v>
      </c>
      <c r="J603" t="s">
        <v>205</v>
      </c>
      <c r="K603" s="17"/>
      <c r="L603" s="28"/>
    </row>
    <row r="604" spans="1:12" s="25" customFormat="1" x14ac:dyDescent="0.2">
      <c r="A604">
        <v>2011</v>
      </c>
      <c r="B604" t="s">
        <v>258</v>
      </c>
      <c r="C604" t="s">
        <v>531</v>
      </c>
      <c r="D604" s="65">
        <v>250</v>
      </c>
      <c r="E604" s="33">
        <v>1</v>
      </c>
      <c r="F604" t="s">
        <v>532</v>
      </c>
      <c r="G604" t="s">
        <v>150</v>
      </c>
      <c r="H604" t="s">
        <v>226</v>
      </c>
      <c r="I604" t="s">
        <v>25</v>
      </c>
      <c r="J604" t="s">
        <v>177</v>
      </c>
      <c r="K604" s="17"/>
      <c r="L604" s="28"/>
    </row>
    <row r="605" spans="1:12" s="25" customFormat="1" x14ac:dyDescent="0.2">
      <c r="A605">
        <v>2011</v>
      </c>
      <c r="B605" t="s">
        <v>258</v>
      </c>
      <c r="C605" t="s">
        <v>421</v>
      </c>
      <c r="D605" s="65">
        <v>200</v>
      </c>
      <c r="E605" s="33">
        <v>1</v>
      </c>
      <c r="F605" t="s">
        <v>533</v>
      </c>
      <c r="G605" t="s">
        <v>154</v>
      </c>
      <c r="H605" t="s">
        <v>250</v>
      </c>
      <c r="I605" t="s">
        <v>131</v>
      </c>
      <c r="J605" t="s">
        <v>131</v>
      </c>
      <c r="K605" s="17"/>
      <c r="L605" s="28"/>
    </row>
    <row r="606" spans="1:12" s="25" customFormat="1" ht="16" customHeight="1" x14ac:dyDescent="0.2">
      <c r="A606" s="17">
        <v>2011</v>
      </c>
      <c r="B606" s="17" t="s">
        <v>258</v>
      </c>
      <c r="C606" s="17" t="s">
        <v>434</v>
      </c>
      <c r="D606" s="66">
        <v>1660</v>
      </c>
      <c r="E606" s="37">
        <v>0.57999999999999996</v>
      </c>
      <c r="F606" s="17" t="s">
        <v>435</v>
      </c>
      <c r="G606" s="17" t="s">
        <v>143</v>
      </c>
      <c r="H606" s="17"/>
      <c r="I606" s="17" t="s">
        <v>51</v>
      </c>
      <c r="J606" s="17" t="s">
        <v>195</v>
      </c>
      <c r="K606" s="17"/>
      <c r="L606" s="67"/>
    </row>
    <row r="607" spans="1:12" s="25" customFormat="1" x14ac:dyDescent="0.2">
      <c r="A607">
        <v>2011</v>
      </c>
      <c r="B607" t="s">
        <v>258</v>
      </c>
      <c r="C607" t="s">
        <v>454</v>
      </c>
      <c r="D607" s="65">
        <v>400</v>
      </c>
      <c r="E607" s="33">
        <v>0.84</v>
      </c>
      <c r="F607" t="s">
        <v>534</v>
      </c>
      <c r="G607" t="s">
        <v>145</v>
      </c>
      <c r="I607" t="s">
        <v>131</v>
      </c>
      <c r="J607" t="s">
        <v>131</v>
      </c>
      <c r="K607" s="17"/>
      <c r="L607" s="28"/>
    </row>
    <row r="608" spans="1:12" s="25" customFormat="1" x14ac:dyDescent="0.2">
      <c r="A608">
        <v>2011</v>
      </c>
      <c r="B608" t="s">
        <v>258</v>
      </c>
      <c r="C608" t="s">
        <v>263</v>
      </c>
      <c r="D608" s="65">
        <v>100</v>
      </c>
      <c r="E608" s="33"/>
      <c r="F608" t="s">
        <v>535</v>
      </c>
      <c r="G608" t="s">
        <v>146</v>
      </c>
      <c r="H608" t="s">
        <v>275</v>
      </c>
      <c r="I608" t="s">
        <v>101</v>
      </c>
      <c r="J608" t="s">
        <v>201</v>
      </c>
      <c r="K608" s="17"/>
      <c r="L608" s="28"/>
    </row>
    <row r="609" spans="1:12" s="25" customFormat="1" x14ac:dyDescent="0.2">
      <c r="A609">
        <v>2011</v>
      </c>
      <c r="B609" t="s">
        <v>258</v>
      </c>
      <c r="C609" t="s">
        <v>189</v>
      </c>
      <c r="D609" s="65">
        <v>1520</v>
      </c>
      <c r="E609" s="33">
        <v>0.15</v>
      </c>
      <c r="F609" t="s">
        <v>536</v>
      </c>
      <c r="G609" t="s">
        <v>144</v>
      </c>
      <c r="H609" t="s">
        <v>299</v>
      </c>
      <c r="I609" t="s">
        <v>9</v>
      </c>
      <c r="J609" t="s">
        <v>9</v>
      </c>
      <c r="K609" s="17"/>
      <c r="L609" s="28"/>
    </row>
    <row r="610" spans="1:12" s="25" customFormat="1" x14ac:dyDescent="0.2">
      <c r="A610">
        <v>2011</v>
      </c>
      <c r="B610" t="s">
        <v>258</v>
      </c>
      <c r="C610" t="s">
        <v>185</v>
      </c>
      <c r="D610" s="65">
        <v>330</v>
      </c>
      <c r="E610" s="33"/>
      <c r="F610" t="s">
        <v>537</v>
      </c>
      <c r="G610" t="s">
        <v>144</v>
      </c>
      <c r="H610" t="s">
        <v>187</v>
      </c>
      <c r="I610" t="s">
        <v>8</v>
      </c>
      <c r="J610" t="s">
        <v>205</v>
      </c>
      <c r="K610" s="17"/>
      <c r="L610" s="28"/>
    </row>
    <row r="611" spans="1:12" s="25" customFormat="1" x14ac:dyDescent="0.2">
      <c r="A611">
        <v>2011</v>
      </c>
      <c r="B611" t="s">
        <v>258</v>
      </c>
      <c r="C611" t="s">
        <v>263</v>
      </c>
      <c r="D611" s="65">
        <v>190</v>
      </c>
      <c r="E611" s="33"/>
      <c r="F611" t="s">
        <v>293</v>
      </c>
      <c r="G611" t="s">
        <v>146</v>
      </c>
      <c r="H611" t="s">
        <v>275</v>
      </c>
      <c r="I611" t="s">
        <v>61</v>
      </c>
      <c r="J611" t="s">
        <v>183</v>
      </c>
      <c r="K611" s="17"/>
      <c r="L611" s="28"/>
    </row>
    <row r="612" spans="1:12" s="25" customFormat="1" x14ac:dyDescent="0.2">
      <c r="A612">
        <v>2011</v>
      </c>
      <c r="B612" t="s">
        <v>258</v>
      </c>
      <c r="C612" t="s">
        <v>538</v>
      </c>
      <c r="D612" s="65">
        <v>160</v>
      </c>
      <c r="E612" s="33">
        <v>1</v>
      </c>
      <c r="G612" t="s">
        <v>149</v>
      </c>
      <c r="H612" t="s">
        <v>238</v>
      </c>
      <c r="I612" t="s">
        <v>131</v>
      </c>
      <c r="J612" t="s">
        <v>131</v>
      </c>
      <c r="K612" s="17"/>
      <c r="L612" s="28" t="s">
        <v>178</v>
      </c>
    </row>
    <row r="613" spans="1:12" s="25" customFormat="1" x14ac:dyDescent="0.2">
      <c r="A613">
        <v>2011</v>
      </c>
      <c r="B613" t="s">
        <v>179</v>
      </c>
      <c r="C613" t="s">
        <v>456</v>
      </c>
      <c r="D613" s="65">
        <v>180</v>
      </c>
      <c r="E613" s="33">
        <v>0.16</v>
      </c>
      <c r="F613" t="s">
        <v>539</v>
      </c>
      <c r="G613" t="s">
        <v>149</v>
      </c>
      <c r="H613" t="s">
        <v>182</v>
      </c>
      <c r="I613" t="s">
        <v>9</v>
      </c>
      <c r="J613" t="s">
        <v>9</v>
      </c>
      <c r="K613" s="17"/>
      <c r="L613" s="28"/>
    </row>
    <row r="614" spans="1:12" s="25" customFormat="1" x14ac:dyDescent="0.2">
      <c r="A614">
        <v>2011</v>
      </c>
      <c r="B614" t="s">
        <v>179</v>
      </c>
      <c r="C614" t="s">
        <v>540</v>
      </c>
      <c r="D614" s="65">
        <v>570</v>
      </c>
      <c r="E614" s="33"/>
      <c r="G614" t="s">
        <v>142</v>
      </c>
      <c r="I614" t="s">
        <v>19</v>
      </c>
      <c r="J614" t="s">
        <v>205</v>
      </c>
      <c r="K614" s="17"/>
      <c r="L614" s="28" t="s">
        <v>178</v>
      </c>
    </row>
    <row r="615" spans="1:12" s="25" customFormat="1" x14ac:dyDescent="0.2">
      <c r="A615">
        <v>2011</v>
      </c>
      <c r="B615" t="s">
        <v>184</v>
      </c>
      <c r="C615" t="s">
        <v>541</v>
      </c>
      <c r="D615" s="65">
        <v>120</v>
      </c>
      <c r="E615" s="33">
        <v>1</v>
      </c>
      <c r="F615" t="s">
        <v>542</v>
      </c>
      <c r="G615" t="s">
        <v>142</v>
      </c>
      <c r="I615" t="s">
        <v>29</v>
      </c>
      <c r="J615" t="s">
        <v>219</v>
      </c>
      <c r="K615" s="17"/>
      <c r="L615" s="28"/>
    </row>
    <row r="616" spans="1:12" s="25" customFormat="1" x14ac:dyDescent="0.2">
      <c r="A616">
        <v>2011</v>
      </c>
      <c r="B616" t="s">
        <v>184</v>
      </c>
      <c r="C616" t="s">
        <v>543</v>
      </c>
      <c r="D616" s="65">
        <v>200</v>
      </c>
      <c r="E616" s="33">
        <v>1</v>
      </c>
      <c r="G616" t="s">
        <v>152</v>
      </c>
      <c r="H616" t="s">
        <v>257</v>
      </c>
      <c r="I616" t="s">
        <v>19</v>
      </c>
      <c r="J616" t="s">
        <v>205</v>
      </c>
      <c r="K616" s="17"/>
      <c r="L616" s="28" t="s">
        <v>178</v>
      </c>
    </row>
    <row r="617" spans="1:12" s="25" customFormat="1" x14ac:dyDescent="0.2">
      <c r="A617">
        <v>2011</v>
      </c>
      <c r="B617" t="s">
        <v>184</v>
      </c>
      <c r="C617" t="s">
        <v>278</v>
      </c>
      <c r="D617" s="65">
        <v>200</v>
      </c>
      <c r="E617" s="33">
        <v>1</v>
      </c>
      <c r="G617" t="s">
        <v>151</v>
      </c>
      <c r="H617" t="s">
        <v>279</v>
      </c>
      <c r="I617" t="s">
        <v>53</v>
      </c>
      <c r="J617" t="s">
        <v>183</v>
      </c>
      <c r="K617" s="17"/>
      <c r="L617" s="28" t="s">
        <v>178</v>
      </c>
    </row>
    <row r="618" spans="1:12" s="25" customFormat="1" x14ac:dyDescent="0.2">
      <c r="A618">
        <v>2011</v>
      </c>
      <c r="B618" t="s">
        <v>184</v>
      </c>
      <c r="C618" t="s">
        <v>544</v>
      </c>
      <c r="D618" s="65">
        <v>2030</v>
      </c>
      <c r="E618" s="33">
        <v>0.64</v>
      </c>
      <c r="F618" t="s">
        <v>545</v>
      </c>
      <c r="G618" t="s">
        <v>144</v>
      </c>
      <c r="H618" t="s">
        <v>232</v>
      </c>
      <c r="I618" t="s">
        <v>9</v>
      </c>
      <c r="J618" t="s">
        <v>9</v>
      </c>
      <c r="K618" s="17"/>
      <c r="L618" s="28" t="s">
        <v>178</v>
      </c>
    </row>
    <row r="619" spans="1:12" s="25" customFormat="1" x14ac:dyDescent="0.2">
      <c r="A619">
        <v>2011</v>
      </c>
      <c r="B619" t="s">
        <v>184</v>
      </c>
      <c r="C619" t="s">
        <v>267</v>
      </c>
      <c r="D619" s="65">
        <v>800</v>
      </c>
      <c r="E619" s="33"/>
      <c r="F619" t="s">
        <v>546</v>
      </c>
      <c r="G619" t="s">
        <v>149</v>
      </c>
      <c r="H619" t="s">
        <v>238</v>
      </c>
      <c r="I619" t="s">
        <v>72</v>
      </c>
      <c r="J619" t="s">
        <v>183</v>
      </c>
      <c r="K619" s="17"/>
      <c r="L619" s="28" t="s">
        <v>178</v>
      </c>
    </row>
    <row r="620" spans="1:12" s="25" customFormat="1" x14ac:dyDescent="0.2">
      <c r="A620">
        <v>2011</v>
      </c>
      <c r="B620" t="s">
        <v>184</v>
      </c>
      <c r="C620" t="s">
        <v>283</v>
      </c>
      <c r="D620" s="65">
        <v>100</v>
      </c>
      <c r="E620" s="33">
        <v>1</v>
      </c>
      <c r="G620" t="s">
        <v>146</v>
      </c>
      <c r="H620" t="s">
        <v>275</v>
      </c>
      <c r="I620" t="s">
        <v>19</v>
      </c>
      <c r="J620" t="s">
        <v>205</v>
      </c>
      <c r="K620" s="17"/>
      <c r="L620" s="28" t="s">
        <v>178</v>
      </c>
    </row>
    <row r="621" spans="1:12" s="25" customFormat="1" x14ac:dyDescent="0.2">
      <c r="A621">
        <v>2011</v>
      </c>
      <c r="B621" t="s">
        <v>184</v>
      </c>
      <c r="C621" t="s">
        <v>547</v>
      </c>
      <c r="D621" s="65">
        <v>100</v>
      </c>
      <c r="E621" s="33">
        <v>0.75</v>
      </c>
      <c r="F621" t="s">
        <v>548</v>
      </c>
      <c r="G621" t="s">
        <v>154</v>
      </c>
      <c r="H621" t="s">
        <v>194</v>
      </c>
      <c r="I621" t="s">
        <v>45</v>
      </c>
      <c r="J621" t="s">
        <v>195</v>
      </c>
      <c r="K621" s="17"/>
      <c r="L621" s="28"/>
    </row>
    <row r="622" spans="1:12" s="25" customFormat="1" x14ac:dyDescent="0.2">
      <c r="A622">
        <v>2011</v>
      </c>
      <c r="B622" t="s">
        <v>225</v>
      </c>
      <c r="C622" t="s">
        <v>549</v>
      </c>
      <c r="D622" s="65">
        <v>350</v>
      </c>
      <c r="E622" s="33"/>
      <c r="G622" t="s">
        <v>151</v>
      </c>
      <c r="H622" t="s">
        <v>224</v>
      </c>
      <c r="I622" t="s">
        <v>101</v>
      </c>
      <c r="J622" t="s">
        <v>201</v>
      </c>
      <c r="K622" s="17"/>
      <c r="L622" s="28"/>
    </row>
    <row r="623" spans="1:12" s="25" customFormat="1" x14ac:dyDescent="0.2">
      <c r="A623">
        <v>2011</v>
      </c>
      <c r="B623" t="s">
        <v>225</v>
      </c>
      <c r="C623" t="s">
        <v>189</v>
      </c>
      <c r="D623" s="65">
        <v>540</v>
      </c>
      <c r="E623" s="33">
        <v>0.8</v>
      </c>
      <c r="F623" t="s">
        <v>462</v>
      </c>
      <c r="G623" t="s">
        <v>144</v>
      </c>
      <c r="H623" t="s">
        <v>187</v>
      </c>
      <c r="I623" t="s">
        <v>24</v>
      </c>
      <c r="J623" t="s">
        <v>219</v>
      </c>
      <c r="K623" s="17"/>
      <c r="L623" s="28"/>
    </row>
    <row r="624" spans="1:12" s="25" customFormat="1" x14ac:dyDescent="0.2">
      <c r="A624">
        <v>2011</v>
      </c>
      <c r="B624" t="s">
        <v>225</v>
      </c>
      <c r="C624" t="s">
        <v>550</v>
      </c>
      <c r="D624" s="65">
        <v>1490</v>
      </c>
      <c r="E624" s="33">
        <v>0.25</v>
      </c>
      <c r="F624" t="s">
        <v>450</v>
      </c>
      <c r="G624" t="s">
        <v>149</v>
      </c>
      <c r="H624" t="s">
        <v>182</v>
      </c>
      <c r="I624" t="s">
        <v>107</v>
      </c>
      <c r="J624" t="s">
        <v>219</v>
      </c>
      <c r="K624" s="17"/>
      <c r="L624" s="28" t="s">
        <v>178</v>
      </c>
    </row>
    <row r="625" spans="1:12" s="25" customFormat="1" x14ac:dyDescent="0.2">
      <c r="A625">
        <v>2011</v>
      </c>
      <c r="B625" t="s">
        <v>225</v>
      </c>
      <c r="C625" t="s">
        <v>551</v>
      </c>
      <c r="D625" s="65">
        <v>200</v>
      </c>
      <c r="E625" s="33">
        <v>1</v>
      </c>
      <c r="G625" t="s">
        <v>154</v>
      </c>
      <c r="H625" t="s">
        <v>194</v>
      </c>
      <c r="I625" t="s">
        <v>135</v>
      </c>
      <c r="J625" t="s">
        <v>205</v>
      </c>
      <c r="K625" s="17"/>
      <c r="L625" s="28" t="s">
        <v>178</v>
      </c>
    </row>
    <row r="626" spans="1:12" s="25" customFormat="1" x14ac:dyDescent="0.2">
      <c r="A626">
        <v>2011</v>
      </c>
      <c r="B626" t="s">
        <v>225</v>
      </c>
      <c r="C626" t="s">
        <v>552</v>
      </c>
      <c r="D626" s="65">
        <v>470</v>
      </c>
      <c r="E626" s="33">
        <v>0.75</v>
      </c>
      <c r="F626" t="s">
        <v>553</v>
      </c>
      <c r="G626" t="s">
        <v>149</v>
      </c>
      <c r="I626" t="s">
        <v>112</v>
      </c>
      <c r="J626" t="s">
        <v>219</v>
      </c>
      <c r="K626" s="17"/>
      <c r="L626" s="28"/>
    </row>
    <row r="627" spans="1:12" s="25" customFormat="1" x14ac:dyDescent="0.2">
      <c r="A627">
        <v>2011</v>
      </c>
      <c r="B627" t="s">
        <v>225</v>
      </c>
      <c r="C627" t="s">
        <v>554</v>
      </c>
      <c r="D627" s="65">
        <v>120</v>
      </c>
      <c r="E627" s="33">
        <v>0.1</v>
      </c>
      <c r="F627" t="s">
        <v>555</v>
      </c>
      <c r="G627" t="s">
        <v>150</v>
      </c>
      <c r="H627" t="s">
        <v>556</v>
      </c>
      <c r="I627" t="s">
        <v>47</v>
      </c>
      <c r="J627" t="s">
        <v>195</v>
      </c>
      <c r="K627" s="17"/>
      <c r="L627" s="28"/>
    </row>
    <row r="628" spans="1:12" s="25" customFormat="1" x14ac:dyDescent="0.2">
      <c r="A628">
        <v>2011</v>
      </c>
      <c r="B628" t="s">
        <v>225</v>
      </c>
      <c r="C628" t="s">
        <v>557</v>
      </c>
      <c r="D628" s="65">
        <v>350</v>
      </c>
      <c r="E628" s="33"/>
      <c r="F628" t="s">
        <v>558</v>
      </c>
      <c r="G628" t="s">
        <v>151</v>
      </c>
      <c r="H628" t="s">
        <v>279</v>
      </c>
      <c r="I628" t="s">
        <v>53</v>
      </c>
      <c r="J628" t="s">
        <v>183</v>
      </c>
      <c r="K628" s="17"/>
      <c r="L628" s="28" t="s">
        <v>178</v>
      </c>
    </row>
    <row r="629" spans="1:12" s="25" customFormat="1" x14ac:dyDescent="0.2">
      <c r="A629">
        <v>2011</v>
      </c>
      <c r="B629" t="s">
        <v>225</v>
      </c>
      <c r="C629" t="s">
        <v>559</v>
      </c>
      <c r="D629" s="65">
        <v>100</v>
      </c>
      <c r="E629" s="33"/>
      <c r="F629" t="s">
        <v>560</v>
      </c>
      <c r="G629" t="s">
        <v>149</v>
      </c>
      <c r="I629" t="s">
        <v>119</v>
      </c>
      <c r="J629" t="s">
        <v>195</v>
      </c>
      <c r="K629" s="17"/>
      <c r="L629" s="28"/>
    </row>
    <row r="630" spans="1:12" s="25" customFormat="1" x14ac:dyDescent="0.2">
      <c r="A630">
        <v>2011</v>
      </c>
      <c r="B630" t="s">
        <v>188</v>
      </c>
      <c r="C630" t="s">
        <v>414</v>
      </c>
      <c r="D630" s="65">
        <v>270</v>
      </c>
      <c r="E630" s="33">
        <v>1</v>
      </c>
      <c r="F630" t="s">
        <v>561</v>
      </c>
      <c r="G630" t="s">
        <v>154</v>
      </c>
      <c r="H630" t="s">
        <v>194</v>
      </c>
      <c r="I630" t="s">
        <v>85</v>
      </c>
      <c r="J630" t="s">
        <v>195</v>
      </c>
      <c r="K630" s="17"/>
      <c r="L630" s="28"/>
    </row>
    <row r="631" spans="1:12" s="25" customFormat="1" x14ac:dyDescent="0.2">
      <c r="A631">
        <v>2011</v>
      </c>
      <c r="B631" t="s">
        <v>188</v>
      </c>
      <c r="C631" t="s">
        <v>562</v>
      </c>
      <c r="D631" s="65">
        <v>1190</v>
      </c>
      <c r="E631" s="33">
        <v>0.7</v>
      </c>
      <c r="F631" t="s">
        <v>563</v>
      </c>
      <c r="G631" t="s">
        <v>151</v>
      </c>
      <c r="H631" t="s">
        <v>224</v>
      </c>
      <c r="I631" t="s">
        <v>6</v>
      </c>
      <c r="J631" t="s">
        <v>219</v>
      </c>
      <c r="K631" s="17"/>
      <c r="L631" s="28" t="s">
        <v>178</v>
      </c>
    </row>
    <row r="632" spans="1:12" s="25" customFormat="1" x14ac:dyDescent="0.2">
      <c r="A632">
        <v>2011</v>
      </c>
      <c r="B632" t="s">
        <v>188</v>
      </c>
      <c r="C632" t="s">
        <v>564</v>
      </c>
      <c r="D632" s="65">
        <v>200</v>
      </c>
      <c r="E632" s="33">
        <v>1</v>
      </c>
      <c r="G632" t="s">
        <v>154</v>
      </c>
      <c r="H632" t="s">
        <v>194</v>
      </c>
      <c r="I632" t="s">
        <v>101</v>
      </c>
      <c r="J632" t="s">
        <v>201</v>
      </c>
      <c r="K632" s="17"/>
      <c r="L632" s="28" t="s">
        <v>178</v>
      </c>
    </row>
    <row r="633" spans="1:12" s="25" customFormat="1" x14ac:dyDescent="0.2">
      <c r="A633">
        <v>2011</v>
      </c>
      <c r="B633" t="s">
        <v>188</v>
      </c>
      <c r="C633" t="s">
        <v>565</v>
      </c>
      <c r="D633" s="65">
        <v>110</v>
      </c>
      <c r="E633" s="33">
        <v>0.31</v>
      </c>
      <c r="F633" t="s">
        <v>566</v>
      </c>
      <c r="G633" t="s">
        <v>150</v>
      </c>
      <c r="H633" t="s">
        <v>556</v>
      </c>
      <c r="I633" t="s">
        <v>61</v>
      </c>
      <c r="J633" t="s">
        <v>183</v>
      </c>
      <c r="K633" s="17"/>
      <c r="L633" s="28"/>
    </row>
    <row r="634" spans="1:12" s="25" customFormat="1" x14ac:dyDescent="0.2">
      <c r="A634">
        <v>2011</v>
      </c>
      <c r="B634" t="s">
        <v>188</v>
      </c>
      <c r="C634" t="s">
        <v>520</v>
      </c>
      <c r="D634" s="65">
        <v>670</v>
      </c>
      <c r="E634" s="33">
        <v>0.82</v>
      </c>
      <c r="F634" t="s">
        <v>567</v>
      </c>
      <c r="G634" t="s">
        <v>152</v>
      </c>
      <c r="I634" t="s">
        <v>45</v>
      </c>
      <c r="J634" t="s">
        <v>195</v>
      </c>
      <c r="K634" s="17"/>
      <c r="L634" s="28"/>
    </row>
    <row r="635" spans="1:12" s="25" customFormat="1" x14ac:dyDescent="0.2">
      <c r="A635">
        <v>2011</v>
      </c>
      <c r="B635" t="s">
        <v>188</v>
      </c>
      <c r="C635" t="s">
        <v>283</v>
      </c>
      <c r="D635" s="65">
        <v>680</v>
      </c>
      <c r="E635" s="33">
        <v>0.75</v>
      </c>
      <c r="F635" t="s">
        <v>284</v>
      </c>
      <c r="G635" t="s">
        <v>146</v>
      </c>
      <c r="H635" t="s">
        <v>275</v>
      </c>
      <c r="I635" t="s">
        <v>8</v>
      </c>
      <c r="J635" t="s">
        <v>205</v>
      </c>
      <c r="K635" s="17"/>
      <c r="L635" s="28"/>
    </row>
    <row r="636" spans="1:12" s="25" customFormat="1" x14ac:dyDescent="0.2">
      <c r="A636">
        <v>2011</v>
      </c>
      <c r="B636" t="s">
        <v>188</v>
      </c>
      <c r="C636" t="s">
        <v>373</v>
      </c>
      <c r="D636" s="65">
        <v>270</v>
      </c>
      <c r="E636" s="33">
        <v>0.9</v>
      </c>
      <c r="F636" t="s">
        <v>568</v>
      </c>
      <c r="G636" t="s">
        <v>151</v>
      </c>
      <c r="H636" t="s">
        <v>224</v>
      </c>
      <c r="I636" t="s">
        <v>131</v>
      </c>
      <c r="J636" t="s">
        <v>131</v>
      </c>
      <c r="K636" s="17"/>
      <c r="L636" s="28"/>
    </row>
    <row r="637" spans="1:12" s="25" customFormat="1" x14ac:dyDescent="0.2">
      <c r="A637">
        <v>2011</v>
      </c>
      <c r="B637" t="s">
        <v>188</v>
      </c>
      <c r="C637" t="s">
        <v>246</v>
      </c>
      <c r="D637" s="65">
        <v>2290</v>
      </c>
      <c r="E637" s="33">
        <v>0.5</v>
      </c>
      <c r="F637" t="s">
        <v>506</v>
      </c>
      <c r="G637" t="s">
        <v>144</v>
      </c>
      <c r="I637" t="s">
        <v>101</v>
      </c>
      <c r="J637" t="s">
        <v>201</v>
      </c>
      <c r="K637" s="17"/>
      <c r="L637" s="28" t="s">
        <v>178</v>
      </c>
    </row>
    <row r="638" spans="1:12" s="25" customFormat="1" x14ac:dyDescent="0.2">
      <c r="A638">
        <v>2011</v>
      </c>
      <c r="B638" t="s">
        <v>188</v>
      </c>
      <c r="C638" t="s">
        <v>553</v>
      </c>
      <c r="D638" s="65">
        <v>250</v>
      </c>
      <c r="E638" s="33"/>
      <c r="F638" t="s">
        <v>569</v>
      </c>
      <c r="G638" t="s">
        <v>149</v>
      </c>
      <c r="I638" t="s">
        <v>112</v>
      </c>
      <c r="J638" t="s">
        <v>219</v>
      </c>
      <c r="K638" s="17"/>
      <c r="L638" s="28"/>
    </row>
    <row r="639" spans="1:12" s="25" customFormat="1" x14ac:dyDescent="0.2">
      <c r="A639">
        <v>2011</v>
      </c>
      <c r="B639" t="s">
        <v>191</v>
      </c>
      <c r="C639" t="s">
        <v>570</v>
      </c>
      <c r="D639" s="65">
        <v>930</v>
      </c>
      <c r="E639" s="33">
        <v>1</v>
      </c>
      <c r="G639" t="s">
        <v>149</v>
      </c>
      <c r="H639" t="s">
        <v>182</v>
      </c>
      <c r="I639" t="s">
        <v>53</v>
      </c>
      <c r="J639" t="s">
        <v>183</v>
      </c>
      <c r="K639" s="17"/>
      <c r="L639" s="28" t="s">
        <v>178</v>
      </c>
    </row>
    <row r="640" spans="1:12" s="25" customFormat="1" x14ac:dyDescent="0.2">
      <c r="A640">
        <v>2011</v>
      </c>
      <c r="B640" t="s">
        <v>191</v>
      </c>
      <c r="C640" t="s">
        <v>221</v>
      </c>
      <c r="D640" s="65">
        <v>420</v>
      </c>
      <c r="E640" s="33">
        <v>1</v>
      </c>
      <c r="F640" t="s">
        <v>571</v>
      </c>
      <c r="G640" t="s">
        <v>154</v>
      </c>
      <c r="H640" t="s">
        <v>194</v>
      </c>
      <c r="I640" t="s">
        <v>45</v>
      </c>
      <c r="J640" t="s">
        <v>195</v>
      </c>
      <c r="K640" s="17"/>
      <c r="L640" s="28"/>
    </row>
    <row r="641" spans="1:12" s="25" customFormat="1" x14ac:dyDescent="0.2">
      <c r="A641">
        <v>2011</v>
      </c>
      <c r="B641" t="s">
        <v>191</v>
      </c>
      <c r="C641" t="s">
        <v>572</v>
      </c>
      <c r="D641" s="65">
        <v>260</v>
      </c>
      <c r="E641" s="33">
        <v>0.7</v>
      </c>
      <c r="F641" t="s">
        <v>573</v>
      </c>
      <c r="G641" t="s">
        <v>144</v>
      </c>
      <c r="H641" t="s">
        <v>232</v>
      </c>
      <c r="I641" t="s">
        <v>25</v>
      </c>
      <c r="J641" t="s">
        <v>177</v>
      </c>
      <c r="K641" s="17"/>
      <c r="L641" s="28"/>
    </row>
    <row r="642" spans="1:12" s="25" customFormat="1" x14ac:dyDescent="0.2">
      <c r="A642">
        <v>2011</v>
      </c>
      <c r="B642" t="s">
        <v>191</v>
      </c>
      <c r="C642" t="s">
        <v>551</v>
      </c>
      <c r="D642" s="65">
        <v>170</v>
      </c>
      <c r="E642" s="33"/>
      <c r="F642" t="s">
        <v>574</v>
      </c>
      <c r="G642" t="s">
        <v>154</v>
      </c>
      <c r="H642" t="s">
        <v>194</v>
      </c>
      <c r="I642" t="s">
        <v>8</v>
      </c>
      <c r="J642" t="s">
        <v>205</v>
      </c>
      <c r="K642" s="17"/>
      <c r="L642" s="28" t="s">
        <v>178</v>
      </c>
    </row>
    <row r="643" spans="1:12" s="25" customFormat="1" x14ac:dyDescent="0.2">
      <c r="A643">
        <v>2011</v>
      </c>
      <c r="B643" t="s">
        <v>191</v>
      </c>
      <c r="C643" t="s">
        <v>185</v>
      </c>
      <c r="D643" s="65">
        <v>2040</v>
      </c>
      <c r="E643" s="33">
        <v>1</v>
      </c>
      <c r="F643" t="s">
        <v>575</v>
      </c>
      <c r="G643" t="s">
        <v>144</v>
      </c>
      <c r="H643" t="s">
        <v>187</v>
      </c>
      <c r="I643" t="s">
        <v>25</v>
      </c>
      <c r="J643" t="s">
        <v>177</v>
      </c>
      <c r="K643" s="17"/>
      <c r="L643" s="28"/>
    </row>
    <row r="644" spans="1:12" s="25" customFormat="1" x14ac:dyDescent="0.2">
      <c r="A644">
        <v>2011</v>
      </c>
      <c r="B644" t="s">
        <v>191</v>
      </c>
      <c r="C644" t="s">
        <v>352</v>
      </c>
      <c r="D644" s="65">
        <v>1010</v>
      </c>
      <c r="E644" s="33">
        <v>0.21</v>
      </c>
      <c r="F644" t="s">
        <v>576</v>
      </c>
      <c r="G644" t="s">
        <v>144</v>
      </c>
      <c r="H644" t="s">
        <v>273</v>
      </c>
      <c r="I644" t="s">
        <v>78</v>
      </c>
      <c r="J644" t="s">
        <v>183</v>
      </c>
      <c r="K644" s="17"/>
      <c r="L644" s="28" t="s">
        <v>178</v>
      </c>
    </row>
    <row r="645" spans="1:12" s="25" customFormat="1" ht="15" customHeight="1" x14ac:dyDescent="0.2">
      <c r="A645">
        <v>2011</v>
      </c>
      <c r="B645" t="s">
        <v>191</v>
      </c>
      <c r="C645" t="s">
        <v>577</v>
      </c>
      <c r="D645" s="65">
        <v>130</v>
      </c>
      <c r="E645" s="33"/>
      <c r="F645" t="s">
        <v>578</v>
      </c>
      <c r="G645" t="s">
        <v>150</v>
      </c>
      <c r="H645" t="s">
        <v>556</v>
      </c>
      <c r="I645" t="s">
        <v>61</v>
      </c>
      <c r="J645" t="s">
        <v>183</v>
      </c>
      <c r="K645" s="17"/>
      <c r="L645" s="28"/>
    </row>
    <row r="646" spans="1:12" s="25" customFormat="1" x14ac:dyDescent="0.2">
      <c r="A646">
        <v>2011</v>
      </c>
      <c r="B646" t="s">
        <v>191</v>
      </c>
      <c r="C646" t="s">
        <v>334</v>
      </c>
      <c r="D646" s="65">
        <v>140</v>
      </c>
      <c r="E646" s="33">
        <v>0.99</v>
      </c>
      <c r="F646" t="s">
        <v>579</v>
      </c>
      <c r="G646" t="s">
        <v>142</v>
      </c>
      <c r="I646" t="s">
        <v>9</v>
      </c>
      <c r="J646" t="s">
        <v>9</v>
      </c>
      <c r="K646" s="17"/>
      <c r="L646" s="28"/>
    </row>
    <row r="647" spans="1:12" s="25" customFormat="1" x14ac:dyDescent="0.2">
      <c r="A647">
        <v>2011</v>
      </c>
      <c r="B647" t="s">
        <v>191</v>
      </c>
      <c r="C647" t="s">
        <v>305</v>
      </c>
      <c r="D647" s="65">
        <v>1360</v>
      </c>
      <c r="E647" s="33">
        <v>1</v>
      </c>
      <c r="F647" t="s">
        <v>580</v>
      </c>
      <c r="G647" t="s">
        <v>149</v>
      </c>
      <c r="H647" t="s">
        <v>236</v>
      </c>
      <c r="I647" t="s">
        <v>112</v>
      </c>
      <c r="J647" t="s">
        <v>219</v>
      </c>
      <c r="K647" s="17"/>
      <c r="L647" s="28"/>
    </row>
    <row r="648" spans="1:12" s="25" customFormat="1" x14ac:dyDescent="0.2">
      <c r="A648">
        <v>2011</v>
      </c>
      <c r="B648" t="s">
        <v>191</v>
      </c>
      <c r="C648" t="s">
        <v>208</v>
      </c>
      <c r="D648" s="65">
        <v>300</v>
      </c>
      <c r="E648" s="33"/>
      <c r="G648" t="s">
        <v>149</v>
      </c>
      <c r="I648" t="s">
        <v>139</v>
      </c>
      <c r="J648" t="s">
        <v>219</v>
      </c>
      <c r="K648" s="17"/>
      <c r="L648" s="28"/>
    </row>
    <row r="649" spans="1:12" s="25" customFormat="1" x14ac:dyDescent="0.2">
      <c r="A649">
        <v>2011</v>
      </c>
      <c r="B649" t="s">
        <v>191</v>
      </c>
      <c r="C649" t="s">
        <v>551</v>
      </c>
      <c r="D649" s="65">
        <v>400</v>
      </c>
      <c r="E649" s="33"/>
      <c r="G649" t="s">
        <v>154</v>
      </c>
      <c r="H649" t="s">
        <v>194</v>
      </c>
      <c r="I649" t="s">
        <v>19</v>
      </c>
      <c r="J649" t="s">
        <v>205</v>
      </c>
      <c r="K649" s="17"/>
      <c r="L649" s="28" t="s">
        <v>178</v>
      </c>
    </row>
    <row r="650" spans="1:12" s="25" customFormat="1" x14ac:dyDescent="0.2">
      <c r="A650">
        <v>2011</v>
      </c>
      <c r="B650" t="s">
        <v>191</v>
      </c>
      <c r="C650" t="s">
        <v>263</v>
      </c>
      <c r="D650" s="65">
        <v>320</v>
      </c>
      <c r="E650" s="33">
        <v>0.14000000000000001</v>
      </c>
      <c r="G650" t="s">
        <v>154</v>
      </c>
      <c r="H650" t="s">
        <v>194</v>
      </c>
      <c r="I650" t="s">
        <v>9</v>
      </c>
      <c r="J650" t="s">
        <v>9</v>
      </c>
      <c r="K650" s="17"/>
      <c r="L650" s="28"/>
    </row>
    <row r="651" spans="1:12" s="25" customFormat="1" x14ac:dyDescent="0.2">
      <c r="A651">
        <v>2011</v>
      </c>
      <c r="B651" t="s">
        <v>198</v>
      </c>
      <c r="C651" t="s">
        <v>570</v>
      </c>
      <c r="D651" s="65">
        <v>400</v>
      </c>
      <c r="E651" s="33"/>
      <c r="G651" t="s">
        <v>149</v>
      </c>
      <c r="I651" t="s">
        <v>25</v>
      </c>
      <c r="J651" t="s">
        <v>177</v>
      </c>
      <c r="K651" s="17"/>
      <c r="L651" s="28"/>
    </row>
    <row r="652" spans="1:12" s="25" customFormat="1" x14ac:dyDescent="0.2">
      <c r="A652">
        <v>2011</v>
      </c>
      <c r="B652" t="s">
        <v>198</v>
      </c>
      <c r="C652" t="s">
        <v>581</v>
      </c>
      <c r="D652" s="65">
        <v>230</v>
      </c>
      <c r="E652" s="33">
        <v>0.51</v>
      </c>
      <c r="F652" t="s">
        <v>582</v>
      </c>
      <c r="G652" t="s">
        <v>150</v>
      </c>
      <c r="H652" t="s">
        <v>217</v>
      </c>
      <c r="I652" t="s">
        <v>131</v>
      </c>
      <c r="J652" t="s">
        <v>131</v>
      </c>
      <c r="K652" s="17"/>
      <c r="L652" s="28"/>
    </row>
    <row r="653" spans="1:12" s="25" customFormat="1" x14ac:dyDescent="0.2">
      <c r="A653">
        <v>2011</v>
      </c>
      <c r="B653" t="s">
        <v>198</v>
      </c>
      <c r="C653" t="s">
        <v>263</v>
      </c>
      <c r="D653" s="65">
        <v>3240</v>
      </c>
      <c r="E653" s="33">
        <v>0.3</v>
      </c>
      <c r="F653" t="s">
        <v>583</v>
      </c>
      <c r="G653" t="s">
        <v>144</v>
      </c>
      <c r="I653" t="s">
        <v>42</v>
      </c>
      <c r="J653" t="s">
        <v>195</v>
      </c>
      <c r="K653" s="17"/>
      <c r="L653" s="28"/>
    </row>
    <row r="654" spans="1:12" s="25" customFormat="1" x14ac:dyDescent="0.2">
      <c r="A654">
        <v>2011</v>
      </c>
      <c r="B654" t="s">
        <v>198</v>
      </c>
      <c r="C654" t="s">
        <v>373</v>
      </c>
      <c r="D654" s="65">
        <v>1260</v>
      </c>
      <c r="E654" s="33">
        <v>0.51</v>
      </c>
      <c r="F654" t="s">
        <v>584</v>
      </c>
      <c r="G654" t="s">
        <v>148</v>
      </c>
      <c r="I654" t="s">
        <v>108</v>
      </c>
      <c r="J654" t="s">
        <v>183</v>
      </c>
      <c r="K654" s="17"/>
      <c r="L654" s="28"/>
    </row>
    <row r="655" spans="1:12" s="25" customFormat="1" x14ac:dyDescent="0.2">
      <c r="A655">
        <v>2011</v>
      </c>
      <c r="B655" t="s">
        <v>198</v>
      </c>
      <c r="C655" t="s">
        <v>585</v>
      </c>
      <c r="D655" s="65">
        <v>100</v>
      </c>
      <c r="E655" s="33">
        <v>0.2</v>
      </c>
      <c r="F655" t="s">
        <v>586</v>
      </c>
      <c r="G655" t="s">
        <v>154</v>
      </c>
      <c r="H655" t="s">
        <v>194</v>
      </c>
      <c r="I655" t="s">
        <v>19</v>
      </c>
      <c r="J655" t="s">
        <v>205</v>
      </c>
      <c r="K655" s="17"/>
      <c r="L655" s="28" t="s">
        <v>178</v>
      </c>
    </row>
    <row r="656" spans="1:12" s="25" customFormat="1" x14ac:dyDescent="0.2">
      <c r="A656">
        <v>2011</v>
      </c>
      <c r="B656" t="s">
        <v>198</v>
      </c>
      <c r="C656" t="s">
        <v>300</v>
      </c>
      <c r="D656" s="65">
        <v>720</v>
      </c>
      <c r="E656" s="33">
        <v>0.03</v>
      </c>
      <c r="F656" t="s">
        <v>587</v>
      </c>
      <c r="G656" t="s">
        <v>146</v>
      </c>
      <c r="I656" t="s">
        <v>45</v>
      </c>
      <c r="J656" t="s">
        <v>195</v>
      </c>
      <c r="K656" s="17"/>
      <c r="L656" s="28"/>
    </row>
    <row r="657" spans="1:12" s="25" customFormat="1" x14ac:dyDescent="0.2">
      <c r="A657">
        <v>2011</v>
      </c>
      <c r="B657" t="s">
        <v>198</v>
      </c>
      <c r="C657" t="s">
        <v>588</v>
      </c>
      <c r="D657" s="65">
        <v>390</v>
      </c>
      <c r="E657" s="33">
        <v>0.75</v>
      </c>
      <c r="F657" t="s">
        <v>589</v>
      </c>
      <c r="G657" t="s">
        <v>142</v>
      </c>
      <c r="I657" t="s">
        <v>9</v>
      </c>
      <c r="J657" t="s">
        <v>9</v>
      </c>
      <c r="K657" s="17"/>
      <c r="L657" s="28"/>
    </row>
    <row r="658" spans="1:12" s="25" customFormat="1" x14ac:dyDescent="0.2">
      <c r="A658">
        <v>2011</v>
      </c>
      <c r="B658" t="s">
        <v>198</v>
      </c>
      <c r="C658" t="s">
        <v>263</v>
      </c>
      <c r="D658" s="65">
        <v>360</v>
      </c>
      <c r="E658" s="33">
        <v>0.19</v>
      </c>
      <c r="F658" t="s">
        <v>590</v>
      </c>
      <c r="G658" t="s">
        <v>144</v>
      </c>
      <c r="H658" t="s">
        <v>273</v>
      </c>
      <c r="I658" t="s">
        <v>136</v>
      </c>
      <c r="J658" t="s">
        <v>183</v>
      </c>
      <c r="K658" s="17"/>
      <c r="L658" s="28" t="s">
        <v>178</v>
      </c>
    </row>
    <row r="659" spans="1:12" s="25" customFormat="1" x14ac:dyDescent="0.2">
      <c r="A659">
        <v>2011</v>
      </c>
      <c r="B659" t="s">
        <v>198</v>
      </c>
      <c r="C659" t="s">
        <v>591</v>
      </c>
      <c r="D659" s="65">
        <v>1950</v>
      </c>
      <c r="E659" s="33">
        <v>0.15</v>
      </c>
      <c r="F659" t="s">
        <v>592</v>
      </c>
      <c r="G659" t="s">
        <v>149</v>
      </c>
      <c r="I659" t="s">
        <v>19</v>
      </c>
      <c r="J659" t="s">
        <v>205</v>
      </c>
      <c r="K659" s="17"/>
      <c r="L659" s="28"/>
    </row>
    <row r="660" spans="1:12" s="25" customFormat="1" x14ac:dyDescent="0.2">
      <c r="A660">
        <v>2011</v>
      </c>
      <c r="B660" t="s">
        <v>198</v>
      </c>
      <c r="C660" t="s">
        <v>389</v>
      </c>
      <c r="D660" s="65">
        <v>210</v>
      </c>
      <c r="E660" s="33">
        <v>1</v>
      </c>
      <c r="F660" t="s">
        <v>593</v>
      </c>
      <c r="G660" t="s">
        <v>144</v>
      </c>
      <c r="H660" t="s">
        <v>273</v>
      </c>
      <c r="I660" t="s">
        <v>9</v>
      </c>
      <c r="J660" t="s">
        <v>9</v>
      </c>
      <c r="K660" s="17"/>
      <c r="L660" s="28"/>
    </row>
    <row r="661" spans="1:12" s="25" customFormat="1" x14ac:dyDescent="0.2">
      <c r="A661">
        <v>2011</v>
      </c>
      <c r="B661" t="s">
        <v>198</v>
      </c>
      <c r="C661" t="s">
        <v>189</v>
      </c>
      <c r="D661" s="65">
        <v>980</v>
      </c>
      <c r="E661" s="33">
        <v>0.05</v>
      </c>
      <c r="F661" t="s">
        <v>325</v>
      </c>
      <c r="G661" t="s">
        <v>144</v>
      </c>
      <c r="H661" t="s">
        <v>187</v>
      </c>
      <c r="I661" t="s">
        <v>6</v>
      </c>
      <c r="J661" t="s">
        <v>219</v>
      </c>
      <c r="K661" s="17"/>
      <c r="L661" s="28"/>
    </row>
    <row r="662" spans="1:12" s="25" customFormat="1" x14ac:dyDescent="0.2">
      <c r="A662">
        <v>2011</v>
      </c>
      <c r="B662" t="s">
        <v>202</v>
      </c>
      <c r="C662" t="s">
        <v>594</v>
      </c>
      <c r="D662" s="65">
        <v>100</v>
      </c>
      <c r="E662" s="33">
        <v>1</v>
      </c>
      <c r="G662" t="s">
        <v>154</v>
      </c>
      <c r="H662" t="s">
        <v>194</v>
      </c>
      <c r="I662" t="s">
        <v>136</v>
      </c>
      <c r="J662" t="s">
        <v>183</v>
      </c>
      <c r="K662" s="17"/>
      <c r="L662" s="28" t="s">
        <v>178</v>
      </c>
    </row>
    <row r="663" spans="1:12" s="25" customFormat="1" x14ac:dyDescent="0.2">
      <c r="A663">
        <v>2011</v>
      </c>
      <c r="B663" t="s">
        <v>202</v>
      </c>
      <c r="C663" t="s">
        <v>477</v>
      </c>
      <c r="D663" s="65">
        <v>280</v>
      </c>
      <c r="E663" s="33">
        <v>0.55000000000000004</v>
      </c>
      <c r="F663" t="s">
        <v>595</v>
      </c>
      <c r="G663" t="s">
        <v>148</v>
      </c>
      <c r="I663" t="s">
        <v>115</v>
      </c>
      <c r="J663" t="s">
        <v>201</v>
      </c>
      <c r="K663" s="17"/>
      <c r="L663" s="28" t="s">
        <v>178</v>
      </c>
    </row>
    <row r="664" spans="1:12" s="25" customFormat="1" x14ac:dyDescent="0.2">
      <c r="A664">
        <v>2011</v>
      </c>
      <c r="B664" t="s">
        <v>202</v>
      </c>
      <c r="C664" t="s">
        <v>596</v>
      </c>
      <c r="D664" s="65">
        <v>200</v>
      </c>
      <c r="E664" s="33">
        <v>1</v>
      </c>
      <c r="G664" t="s">
        <v>144</v>
      </c>
      <c r="H664" t="s">
        <v>232</v>
      </c>
      <c r="I664" t="s">
        <v>131</v>
      </c>
      <c r="J664" t="s">
        <v>131</v>
      </c>
      <c r="K664" s="17"/>
      <c r="L664" s="28" t="s">
        <v>178</v>
      </c>
    </row>
    <row r="665" spans="1:12" s="25" customFormat="1" x14ac:dyDescent="0.2">
      <c r="A665">
        <v>2011</v>
      </c>
      <c r="B665" t="s">
        <v>202</v>
      </c>
      <c r="C665" t="s">
        <v>175</v>
      </c>
      <c r="D665" s="65">
        <v>1280</v>
      </c>
      <c r="E665" s="33">
        <v>1</v>
      </c>
      <c r="F665" t="s">
        <v>597</v>
      </c>
      <c r="G665" t="s">
        <v>149</v>
      </c>
      <c r="H665" t="s">
        <v>236</v>
      </c>
      <c r="I665" t="s">
        <v>34</v>
      </c>
      <c r="J665" t="s">
        <v>219</v>
      </c>
      <c r="K665" s="17"/>
      <c r="L665" s="28"/>
    </row>
    <row r="666" spans="1:12" s="25" customFormat="1" x14ac:dyDescent="0.2">
      <c r="A666">
        <v>2011</v>
      </c>
      <c r="B666" t="s">
        <v>202</v>
      </c>
      <c r="C666" t="s">
        <v>389</v>
      </c>
      <c r="D666" s="65">
        <v>300</v>
      </c>
      <c r="E666" s="33">
        <v>1</v>
      </c>
      <c r="F666" t="s">
        <v>598</v>
      </c>
      <c r="G666" t="s">
        <v>144</v>
      </c>
      <c r="H666" t="s">
        <v>273</v>
      </c>
      <c r="I666" t="s">
        <v>9</v>
      </c>
      <c r="J666" t="s">
        <v>9</v>
      </c>
      <c r="K666" s="17"/>
      <c r="L666" s="28"/>
    </row>
    <row r="667" spans="1:12" s="25" customFormat="1" x14ac:dyDescent="0.2">
      <c r="A667">
        <v>2011</v>
      </c>
      <c r="B667" t="s">
        <v>202</v>
      </c>
      <c r="C667" t="s">
        <v>389</v>
      </c>
      <c r="D667" s="65">
        <v>290</v>
      </c>
      <c r="E667" s="33"/>
      <c r="F667" t="s">
        <v>599</v>
      </c>
      <c r="G667" t="s">
        <v>142</v>
      </c>
      <c r="I667" t="s">
        <v>25</v>
      </c>
      <c r="J667" t="s">
        <v>177</v>
      </c>
      <c r="K667" s="17"/>
      <c r="L667" s="28" t="s">
        <v>178</v>
      </c>
    </row>
    <row r="668" spans="1:12" s="25" customFormat="1" x14ac:dyDescent="0.2">
      <c r="A668">
        <v>2011</v>
      </c>
      <c r="B668" t="s">
        <v>202</v>
      </c>
      <c r="C668" t="s">
        <v>600</v>
      </c>
      <c r="D668" s="65">
        <v>750</v>
      </c>
      <c r="E668" s="33"/>
      <c r="F668" t="s">
        <v>326</v>
      </c>
      <c r="G668" t="s">
        <v>144</v>
      </c>
      <c r="I668" t="s">
        <v>93</v>
      </c>
      <c r="J668" t="s">
        <v>201</v>
      </c>
      <c r="K668" s="17"/>
      <c r="L668" s="28"/>
    </row>
    <row r="669" spans="1:12" s="25" customFormat="1" x14ac:dyDescent="0.2">
      <c r="A669">
        <v>2011</v>
      </c>
      <c r="B669" t="s">
        <v>207</v>
      </c>
      <c r="C669" t="s">
        <v>601</v>
      </c>
      <c r="D669" s="65">
        <v>570</v>
      </c>
      <c r="E669" s="33">
        <v>0.49</v>
      </c>
      <c r="F669" t="s">
        <v>602</v>
      </c>
      <c r="G669" t="s">
        <v>151</v>
      </c>
      <c r="H669" t="s">
        <v>224</v>
      </c>
      <c r="I669" t="s">
        <v>131</v>
      </c>
      <c r="J669" t="s">
        <v>131</v>
      </c>
      <c r="K669" s="17"/>
      <c r="L669" s="28"/>
    </row>
    <row r="670" spans="1:12" s="25" customFormat="1" x14ac:dyDescent="0.2">
      <c r="A670">
        <v>2011</v>
      </c>
      <c r="B670" t="s">
        <v>207</v>
      </c>
      <c r="C670" t="s">
        <v>189</v>
      </c>
      <c r="D670" s="65">
        <v>2100</v>
      </c>
      <c r="E670" s="33">
        <v>1</v>
      </c>
      <c r="F670" t="s">
        <v>603</v>
      </c>
      <c r="G670" t="s">
        <v>144</v>
      </c>
      <c r="I670" t="s">
        <v>25</v>
      </c>
      <c r="J670" t="s">
        <v>177</v>
      </c>
      <c r="K670" s="17"/>
      <c r="L670" s="28"/>
    </row>
    <row r="671" spans="1:12" s="25" customFormat="1" x14ac:dyDescent="0.2">
      <c r="A671">
        <v>2011</v>
      </c>
      <c r="B671" t="s">
        <v>207</v>
      </c>
      <c r="C671" t="s">
        <v>604</v>
      </c>
      <c r="D671" s="65">
        <v>100</v>
      </c>
      <c r="E671" s="33">
        <v>1</v>
      </c>
      <c r="F671" t="s">
        <v>605</v>
      </c>
      <c r="G671" t="s">
        <v>142</v>
      </c>
      <c r="I671" t="s">
        <v>124</v>
      </c>
      <c r="J671" t="s">
        <v>183</v>
      </c>
      <c r="K671" s="17"/>
      <c r="L671" s="28" t="s">
        <v>178</v>
      </c>
    </row>
    <row r="672" spans="1:12" s="25" customFormat="1" x14ac:dyDescent="0.2">
      <c r="A672">
        <v>2011</v>
      </c>
      <c r="B672" t="s">
        <v>207</v>
      </c>
      <c r="C672" t="s">
        <v>606</v>
      </c>
      <c r="D672" s="65">
        <v>140</v>
      </c>
      <c r="E672" s="33">
        <v>1</v>
      </c>
      <c r="F672" t="s">
        <v>607</v>
      </c>
      <c r="G672" t="s">
        <v>154</v>
      </c>
      <c r="H672" t="s">
        <v>194</v>
      </c>
      <c r="I672" t="s">
        <v>10</v>
      </c>
      <c r="J672" t="s">
        <v>195</v>
      </c>
      <c r="K672" s="17"/>
      <c r="L672" s="28"/>
    </row>
    <row r="673" spans="1:12" s="25" customFormat="1" x14ac:dyDescent="0.2">
      <c r="A673">
        <v>2011</v>
      </c>
      <c r="B673" t="s">
        <v>207</v>
      </c>
      <c r="C673" t="s">
        <v>608</v>
      </c>
      <c r="D673" s="65">
        <v>270</v>
      </c>
      <c r="E673" s="33">
        <v>0.8</v>
      </c>
      <c r="F673" t="s">
        <v>609</v>
      </c>
      <c r="G673" t="s">
        <v>149</v>
      </c>
      <c r="I673" t="s">
        <v>53</v>
      </c>
      <c r="J673" t="s">
        <v>183</v>
      </c>
      <c r="K673" s="17"/>
      <c r="L673" s="28"/>
    </row>
    <row r="674" spans="1:12" s="25" customFormat="1" x14ac:dyDescent="0.2">
      <c r="A674">
        <v>2011</v>
      </c>
      <c r="B674" t="s">
        <v>207</v>
      </c>
      <c r="C674" t="s">
        <v>199</v>
      </c>
      <c r="D674" s="65">
        <v>400</v>
      </c>
      <c r="E674" s="33"/>
      <c r="F674" t="s">
        <v>610</v>
      </c>
      <c r="G674" t="s">
        <v>144</v>
      </c>
      <c r="H674" t="s">
        <v>187</v>
      </c>
      <c r="I674" t="s">
        <v>4</v>
      </c>
      <c r="J674" t="s">
        <v>201</v>
      </c>
      <c r="K674" s="17"/>
      <c r="L674" s="28" t="s">
        <v>178</v>
      </c>
    </row>
    <row r="675" spans="1:12" s="25" customFormat="1" x14ac:dyDescent="0.2">
      <c r="A675">
        <v>2011</v>
      </c>
      <c r="B675" t="s">
        <v>207</v>
      </c>
      <c r="C675" t="s">
        <v>434</v>
      </c>
      <c r="D675" s="65">
        <v>260</v>
      </c>
      <c r="E675" s="33">
        <v>0.96</v>
      </c>
      <c r="G675" t="s">
        <v>143</v>
      </c>
      <c r="I675" t="s">
        <v>51</v>
      </c>
      <c r="J675" t="s">
        <v>195</v>
      </c>
      <c r="K675" s="17"/>
      <c r="L675" s="28" t="s">
        <v>178</v>
      </c>
    </row>
    <row r="676" spans="1:12" s="25" customFormat="1" x14ac:dyDescent="0.2">
      <c r="A676">
        <v>2011</v>
      </c>
      <c r="B676" t="s">
        <v>240</v>
      </c>
      <c r="C676" t="s">
        <v>611</v>
      </c>
      <c r="D676" s="65">
        <v>790</v>
      </c>
      <c r="E676" s="33"/>
      <c r="G676" t="s">
        <v>151</v>
      </c>
      <c r="H676" t="s">
        <v>224</v>
      </c>
      <c r="I676" t="s">
        <v>72</v>
      </c>
      <c r="J676" t="s">
        <v>183</v>
      </c>
      <c r="K676" s="17"/>
      <c r="L676" s="28" t="s">
        <v>178</v>
      </c>
    </row>
    <row r="677" spans="1:12" s="25" customFormat="1" x14ac:dyDescent="0.2">
      <c r="A677">
        <v>2011</v>
      </c>
      <c r="B677" t="s">
        <v>240</v>
      </c>
      <c r="C677" t="s">
        <v>612</v>
      </c>
      <c r="D677" s="65">
        <v>200</v>
      </c>
      <c r="E677" s="33">
        <v>0.5</v>
      </c>
      <c r="F677" t="s">
        <v>613</v>
      </c>
      <c r="G677" t="s">
        <v>149</v>
      </c>
      <c r="I677" t="s">
        <v>139</v>
      </c>
      <c r="J677" t="s">
        <v>219</v>
      </c>
      <c r="K677" s="17"/>
      <c r="L677" s="28" t="s">
        <v>178</v>
      </c>
    </row>
    <row r="678" spans="1:12" s="25" customFormat="1" x14ac:dyDescent="0.2">
      <c r="A678">
        <v>2011</v>
      </c>
      <c r="B678" t="s">
        <v>240</v>
      </c>
      <c r="C678" t="s">
        <v>263</v>
      </c>
      <c r="D678" s="65">
        <v>850</v>
      </c>
      <c r="E678" s="33">
        <v>0.1</v>
      </c>
      <c r="F678" t="s">
        <v>583</v>
      </c>
      <c r="G678" t="s">
        <v>144</v>
      </c>
      <c r="H678" t="s">
        <v>299</v>
      </c>
      <c r="I678" t="s">
        <v>126</v>
      </c>
      <c r="J678" t="s">
        <v>177</v>
      </c>
      <c r="K678" s="17"/>
      <c r="L678" s="28"/>
    </row>
    <row r="679" spans="1:12" s="25" customFormat="1" x14ac:dyDescent="0.2">
      <c r="A679">
        <v>2011</v>
      </c>
      <c r="B679" t="s">
        <v>240</v>
      </c>
      <c r="C679" t="s">
        <v>283</v>
      </c>
      <c r="D679" s="65">
        <v>100</v>
      </c>
      <c r="E679" s="33">
        <v>0.05</v>
      </c>
      <c r="F679" t="s">
        <v>284</v>
      </c>
      <c r="G679" t="s">
        <v>146</v>
      </c>
      <c r="H679" t="s">
        <v>275</v>
      </c>
      <c r="I679" t="s">
        <v>8</v>
      </c>
      <c r="J679" t="s">
        <v>205</v>
      </c>
      <c r="K679" s="17"/>
      <c r="L679" s="28"/>
    </row>
    <row r="680" spans="1:12" s="25" customFormat="1" x14ac:dyDescent="0.2">
      <c r="A680">
        <v>2011</v>
      </c>
      <c r="B680" t="s">
        <v>240</v>
      </c>
      <c r="C680" t="s">
        <v>189</v>
      </c>
      <c r="D680" s="65">
        <v>4800</v>
      </c>
      <c r="E680" s="33">
        <v>0.3</v>
      </c>
      <c r="F680" t="s">
        <v>614</v>
      </c>
      <c r="G680" t="s">
        <v>144</v>
      </c>
      <c r="I680" t="s">
        <v>19</v>
      </c>
      <c r="J680" t="s">
        <v>205</v>
      </c>
      <c r="K680" s="17"/>
      <c r="L680" s="28"/>
    </row>
    <row r="681" spans="1:12" s="25" customFormat="1" x14ac:dyDescent="0.2">
      <c r="A681">
        <v>2011</v>
      </c>
      <c r="B681" t="s">
        <v>240</v>
      </c>
      <c r="C681" t="s">
        <v>615</v>
      </c>
      <c r="D681" s="65">
        <v>500</v>
      </c>
      <c r="E681" s="33">
        <v>1</v>
      </c>
      <c r="G681" t="s">
        <v>149</v>
      </c>
      <c r="H681" t="s">
        <v>182</v>
      </c>
      <c r="I681" t="s">
        <v>23</v>
      </c>
      <c r="J681" t="s">
        <v>183</v>
      </c>
      <c r="K681" s="17"/>
      <c r="L681" s="28" t="s">
        <v>178</v>
      </c>
    </row>
    <row r="682" spans="1:12" s="25" customFormat="1" x14ac:dyDescent="0.2">
      <c r="A682">
        <v>2011</v>
      </c>
      <c r="B682" t="s">
        <v>240</v>
      </c>
      <c r="C682" t="s">
        <v>341</v>
      </c>
      <c r="D682" s="65">
        <v>120</v>
      </c>
      <c r="E682" s="33">
        <v>0.1</v>
      </c>
      <c r="F682" t="s">
        <v>616</v>
      </c>
      <c r="G682" t="s">
        <v>154</v>
      </c>
      <c r="H682" t="s">
        <v>529</v>
      </c>
      <c r="I682" t="s">
        <v>53</v>
      </c>
      <c r="J682" t="s">
        <v>183</v>
      </c>
      <c r="K682" s="17"/>
      <c r="L682" s="28" t="s">
        <v>178</v>
      </c>
    </row>
    <row r="683" spans="1:12" s="25" customFormat="1" x14ac:dyDescent="0.2">
      <c r="A683">
        <v>2011</v>
      </c>
      <c r="B683" t="s">
        <v>240</v>
      </c>
      <c r="C683" t="s">
        <v>530</v>
      </c>
      <c r="D683" s="65">
        <v>130</v>
      </c>
      <c r="E683" s="33"/>
      <c r="G683" t="s">
        <v>152</v>
      </c>
      <c r="H683" t="s">
        <v>257</v>
      </c>
      <c r="I683" t="s">
        <v>58</v>
      </c>
      <c r="J683" t="s">
        <v>195</v>
      </c>
      <c r="K683" s="17"/>
      <c r="L683" s="28" t="s">
        <v>178</v>
      </c>
    </row>
    <row r="684" spans="1:12" s="25" customFormat="1" x14ac:dyDescent="0.2">
      <c r="A684">
        <v>2011</v>
      </c>
      <c r="B684" t="s">
        <v>212</v>
      </c>
      <c r="C684" t="s">
        <v>359</v>
      </c>
      <c r="D684" s="65">
        <v>240</v>
      </c>
      <c r="E684" s="33">
        <v>0.4</v>
      </c>
      <c r="F684" t="s">
        <v>617</v>
      </c>
      <c r="G684" t="s">
        <v>149</v>
      </c>
      <c r="H684" t="s">
        <v>182</v>
      </c>
      <c r="I684" t="s">
        <v>72</v>
      </c>
      <c r="J684" t="s">
        <v>183</v>
      </c>
      <c r="K684" s="17"/>
      <c r="L684" s="28" t="s">
        <v>178</v>
      </c>
    </row>
    <row r="685" spans="1:12" s="25" customFormat="1" x14ac:dyDescent="0.2">
      <c r="A685">
        <v>2011</v>
      </c>
      <c r="B685" t="s">
        <v>212</v>
      </c>
      <c r="C685" t="s">
        <v>189</v>
      </c>
      <c r="D685" s="65">
        <v>1090</v>
      </c>
      <c r="E685" s="33">
        <v>0.1</v>
      </c>
      <c r="F685" t="s">
        <v>618</v>
      </c>
      <c r="G685" t="s">
        <v>144</v>
      </c>
      <c r="H685" t="s">
        <v>299</v>
      </c>
      <c r="I685" t="s">
        <v>9</v>
      </c>
      <c r="J685" t="s">
        <v>9</v>
      </c>
      <c r="K685" s="17"/>
      <c r="L685" s="28"/>
    </row>
    <row r="686" spans="1:12" s="25" customFormat="1" x14ac:dyDescent="0.2">
      <c r="A686">
        <v>2011</v>
      </c>
      <c r="B686" t="s">
        <v>212</v>
      </c>
      <c r="C686" t="s">
        <v>263</v>
      </c>
      <c r="D686" s="65">
        <v>800</v>
      </c>
      <c r="E686" s="33"/>
      <c r="F686" t="s">
        <v>619</v>
      </c>
      <c r="G686" t="s">
        <v>148</v>
      </c>
      <c r="I686" t="s">
        <v>61</v>
      </c>
      <c r="J686" t="s">
        <v>183</v>
      </c>
      <c r="K686" s="17"/>
      <c r="L686" s="28"/>
    </row>
    <row r="687" spans="1:12" s="25" customFormat="1" x14ac:dyDescent="0.2">
      <c r="A687">
        <v>2011</v>
      </c>
      <c r="B687" t="s">
        <v>212</v>
      </c>
      <c r="C687" t="s">
        <v>246</v>
      </c>
      <c r="D687" s="65">
        <v>3510</v>
      </c>
      <c r="E687" s="33">
        <v>0.21</v>
      </c>
      <c r="F687" t="s">
        <v>620</v>
      </c>
      <c r="G687" t="s">
        <v>144</v>
      </c>
      <c r="I687" t="s">
        <v>99</v>
      </c>
      <c r="J687" t="s">
        <v>195</v>
      </c>
      <c r="K687" s="17"/>
      <c r="L687" s="28"/>
    </row>
    <row r="688" spans="1:12" s="25" customFormat="1" x14ac:dyDescent="0.2">
      <c r="A688">
        <v>2011</v>
      </c>
      <c r="B688" t="s">
        <v>212</v>
      </c>
      <c r="C688" t="s">
        <v>389</v>
      </c>
      <c r="D688" s="65">
        <v>2210</v>
      </c>
      <c r="E688" s="33">
        <v>0.77</v>
      </c>
      <c r="F688" t="s">
        <v>621</v>
      </c>
      <c r="G688" t="s">
        <v>144</v>
      </c>
      <c r="H688" t="s">
        <v>273</v>
      </c>
      <c r="I688" t="s">
        <v>9</v>
      </c>
      <c r="J688" t="s">
        <v>9</v>
      </c>
      <c r="K688" s="17"/>
      <c r="L688" s="28"/>
    </row>
    <row r="689" spans="1:12" s="25" customFormat="1" x14ac:dyDescent="0.2">
      <c r="A689">
        <v>2011</v>
      </c>
      <c r="B689" t="s">
        <v>212</v>
      </c>
      <c r="C689" t="s">
        <v>263</v>
      </c>
      <c r="D689" s="65">
        <v>250</v>
      </c>
      <c r="E689" s="33">
        <v>0.25</v>
      </c>
      <c r="F689" t="s">
        <v>622</v>
      </c>
      <c r="G689" t="s">
        <v>146</v>
      </c>
      <c r="H689" t="s">
        <v>253</v>
      </c>
      <c r="I689" t="s">
        <v>112</v>
      </c>
      <c r="J689" t="s">
        <v>219</v>
      </c>
      <c r="K689" s="17"/>
      <c r="L689" s="28"/>
    </row>
    <row r="690" spans="1:12" s="25" customFormat="1" x14ac:dyDescent="0.2">
      <c r="A690">
        <v>2011</v>
      </c>
      <c r="B690" t="s">
        <v>212</v>
      </c>
      <c r="C690" t="s">
        <v>199</v>
      </c>
      <c r="D690" s="65">
        <v>150</v>
      </c>
      <c r="E690" s="33">
        <v>0.51</v>
      </c>
      <c r="F690" t="s">
        <v>623</v>
      </c>
      <c r="G690" t="s">
        <v>144</v>
      </c>
      <c r="H690" t="s">
        <v>187</v>
      </c>
      <c r="I690" t="s">
        <v>70</v>
      </c>
      <c r="J690" t="s">
        <v>219</v>
      </c>
      <c r="K690" s="17"/>
      <c r="L690" s="28" t="s">
        <v>178</v>
      </c>
    </row>
    <row r="691" spans="1:12" s="25" customFormat="1" x14ac:dyDescent="0.2">
      <c r="A691">
        <v>2011</v>
      </c>
      <c r="B691" t="s">
        <v>212</v>
      </c>
      <c r="C691" t="s">
        <v>352</v>
      </c>
      <c r="D691" s="65">
        <v>300</v>
      </c>
      <c r="E691" s="33">
        <v>0.75</v>
      </c>
      <c r="F691" t="s">
        <v>624</v>
      </c>
      <c r="G691" t="s">
        <v>144</v>
      </c>
      <c r="H691" t="s">
        <v>232</v>
      </c>
      <c r="I691" t="s">
        <v>9</v>
      </c>
      <c r="J691" t="s">
        <v>9</v>
      </c>
      <c r="K691" s="17"/>
      <c r="L691" s="28" t="s">
        <v>178</v>
      </c>
    </row>
    <row r="692" spans="1:12" s="25" customFormat="1" x14ac:dyDescent="0.2">
      <c r="A692">
        <v>2011</v>
      </c>
      <c r="B692" t="s">
        <v>212</v>
      </c>
      <c r="C692" t="s">
        <v>189</v>
      </c>
      <c r="D692" s="65">
        <v>3710</v>
      </c>
      <c r="E692" s="33">
        <v>0.38</v>
      </c>
      <c r="F692" t="s">
        <v>625</v>
      </c>
      <c r="G692" t="s">
        <v>144</v>
      </c>
      <c r="H692" t="s">
        <v>187</v>
      </c>
      <c r="I692" t="s">
        <v>105</v>
      </c>
      <c r="J692" t="s">
        <v>214</v>
      </c>
      <c r="K692" s="17"/>
      <c r="L692" s="28" t="s">
        <v>178</v>
      </c>
    </row>
    <row r="693" spans="1:12" s="25" customFormat="1" x14ac:dyDescent="0.2">
      <c r="A693">
        <v>2011</v>
      </c>
      <c r="B693" t="s">
        <v>212</v>
      </c>
      <c r="C693" t="s">
        <v>246</v>
      </c>
      <c r="D693" s="65">
        <v>130</v>
      </c>
      <c r="E693" s="33">
        <v>1</v>
      </c>
      <c r="G693" t="s">
        <v>144</v>
      </c>
      <c r="H693" t="s">
        <v>232</v>
      </c>
      <c r="I693" t="s">
        <v>93</v>
      </c>
      <c r="J693" t="s">
        <v>201</v>
      </c>
      <c r="K693" s="17"/>
      <c r="L693" s="28" t="s">
        <v>178</v>
      </c>
    </row>
    <row r="694" spans="1:12" s="25" customFormat="1" x14ac:dyDescent="0.2">
      <c r="A694">
        <v>2011</v>
      </c>
      <c r="B694" t="s">
        <v>212</v>
      </c>
      <c r="C694" t="s">
        <v>199</v>
      </c>
      <c r="D694" s="65">
        <v>270</v>
      </c>
      <c r="E694" s="33">
        <v>0.5</v>
      </c>
      <c r="F694" t="s">
        <v>626</v>
      </c>
      <c r="G694" t="s">
        <v>144</v>
      </c>
      <c r="H694" t="s">
        <v>299</v>
      </c>
      <c r="I694" t="s">
        <v>9</v>
      </c>
      <c r="J694" t="s">
        <v>9</v>
      </c>
      <c r="K694" s="17"/>
      <c r="L694" s="28"/>
    </row>
    <row r="695" spans="1:12" s="25" customFormat="1" x14ac:dyDescent="0.2">
      <c r="A695">
        <v>2011</v>
      </c>
      <c r="B695" t="s">
        <v>172</v>
      </c>
      <c r="C695" t="s">
        <v>397</v>
      </c>
      <c r="D695" s="22">
        <v>450</v>
      </c>
      <c r="E695" s="16"/>
      <c r="F695" t="s">
        <v>2514</v>
      </c>
      <c r="G695" t="s">
        <v>151</v>
      </c>
      <c r="H695" t="s">
        <v>279</v>
      </c>
      <c r="I695" t="s">
        <v>130</v>
      </c>
      <c r="J695" t="s">
        <v>214</v>
      </c>
      <c r="L695" s="2"/>
    </row>
    <row r="696" spans="1:12" s="25" customFormat="1" x14ac:dyDescent="0.2">
      <c r="A696">
        <v>2011</v>
      </c>
      <c r="B696" t="s">
        <v>172</v>
      </c>
      <c r="C696" t="s">
        <v>479</v>
      </c>
      <c r="D696" s="22">
        <v>100</v>
      </c>
      <c r="E696" s="16"/>
      <c r="G696" t="s">
        <v>154</v>
      </c>
      <c r="H696" t="s">
        <v>271</v>
      </c>
      <c r="I696" t="s">
        <v>53</v>
      </c>
      <c r="J696" t="s">
        <v>183</v>
      </c>
      <c r="L696" s="2"/>
    </row>
    <row r="697" spans="1:12" s="25" customFormat="1" x14ac:dyDescent="0.2">
      <c r="A697">
        <v>2011</v>
      </c>
      <c r="B697" t="s">
        <v>172</v>
      </c>
      <c r="C697" t="s">
        <v>479</v>
      </c>
      <c r="D697" s="22">
        <v>810</v>
      </c>
      <c r="E697" s="16"/>
      <c r="G697" t="s">
        <v>154</v>
      </c>
      <c r="H697" t="s">
        <v>271</v>
      </c>
      <c r="I697" t="s">
        <v>115</v>
      </c>
      <c r="J697" t="s">
        <v>201</v>
      </c>
      <c r="L697" s="2"/>
    </row>
    <row r="698" spans="1:12" s="25" customFormat="1" x14ac:dyDescent="0.2">
      <c r="A698">
        <v>2011</v>
      </c>
      <c r="B698" t="s">
        <v>172</v>
      </c>
      <c r="C698" t="s">
        <v>479</v>
      </c>
      <c r="D698" s="22">
        <v>880</v>
      </c>
      <c r="E698" s="16"/>
      <c r="G698" t="s">
        <v>154</v>
      </c>
      <c r="H698" t="s">
        <v>271</v>
      </c>
      <c r="I698" t="s">
        <v>100</v>
      </c>
      <c r="J698" t="s">
        <v>214</v>
      </c>
      <c r="L698" s="2"/>
    </row>
    <row r="699" spans="1:12" s="25" customFormat="1" x14ac:dyDescent="0.2">
      <c r="A699">
        <v>2011</v>
      </c>
      <c r="B699" t="s">
        <v>172</v>
      </c>
      <c r="C699" t="s">
        <v>2515</v>
      </c>
      <c r="D699" s="22">
        <v>180</v>
      </c>
      <c r="E699" s="16"/>
      <c r="G699" t="s">
        <v>154</v>
      </c>
      <c r="H699" t="s">
        <v>194</v>
      </c>
      <c r="I699" t="s">
        <v>136</v>
      </c>
      <c r="J699" t="s">
        <v>183</v>
      </c>
      <c r="L699" s="2"/>
    </row>
    <row r="700" spans="1:12" s="25" customFormat="1" x14ac:dyDescent="0.2">
      <c r="A700">
        <v>2011</v>
      </c>
      <c r="B700" t="s">
        <v>172</v>
      </c>
      <c r="C700" t="s">
        <v>196</v>
      </c>
      <c r="D700" s="22">
        <v>720</v>
      </c>
      <c r="E700" s="16"/>
      <c r="F700" t="s">
        <v>2452</v>
      </c>
      <c r="G700" t="s">
        <v>151</v>
      </c>
      <c r="H700" t="s">
        <v>279</v>
      </c>
      <c r="I700" t="s">
        <v>100</v>
      </c>
      <c r="J700" t="s">
        <v>214</v>
      </c>
      <c r="L700" s="2"/>
    </row>
    <row r="701" spans="1:12" s="25" customFormat="1" x14ac:dyDescent="0.2">
      <c r="A701">
        <v>2011</v>
      </c>
      <c r="B701" t="s">
        <v>172</v>
      </c>
      <c r="C701" t="s">
        <v>479</v>
      </c>
      <c r="D701" s="22">
        <v>100</v>
      </c>
      <c r="E701" s="16"/>
      <c r="G701" t="s">
        <v>154</v>
      </c>
      <c r="H701" t="s">
        <v>271</v>
      </c>
      <c r="I701" t="s">
        <v>38</v>
      </c>
      <c r="J701" t="s">
        <v>214</v>
      </c>
      <c r="L701" s="2"/>
    </row>
    <row r="702" spans="1:12" s="25" customFormat="1" x14ac:dyDescent="0.2">
      <c r="A702">
        <v>2011</v>
      </c>
      <c r="B702" t="s">
        <v>172</v>
      </c>
      <c r="C702" t="s">
        <v>530</v>
      </c>
      <c r="D702" s="22">
        <v>260</v>
      </c>
      <c r="E702" s="16"/>
      <c r="F702" t="s">
        <v>2516</v>
      </c>
      <c r="G702" t="s">
        <v>152</v>
      </c>
      <c r="H702" t="s">
        <v>257</v>
      </c>
      <c r="I702" t="s">
        <v>24</v>
      </c>
      <c r="J702" t="s">
        <v>219</v>
      </c>
      <c r="L702" s="2"/>
    </row>
    <row r="703" spans="1:12" s="25" customFormat="1" x14ac:dyDescent="0.2">
      <c r="A703">
        <v>2011</v>
      </c>
      <c r="B703" t="s">
        <v>172</v>
      </c>
      <c r="C703" t="s">
        <v>2517</v>
      </c>
      <c r="D703" s="22">
        <v>190</v>
      </c>
      <c r="E703" s="16"/>
      <c r="G703" t="s">
        <v>154</v>
      </c>
      <c r="H703" t="s">
        <v>271</v>
      </c>
      <c r="I703" t="s">
        <v>38</v>
      </c>
      <c r="J703" t="s">
        <v>214</v>
      </c>
      <c r="L703" s="2"/>
    </row>
    <row r="704" spans="1:12" s="44" customFormat="1" x14ac:dyDescent="0.2">
      <c r="A704">
        <v>2011</v>
      </c>
      <c r="B704" t="s">
        <v>172</v>
      </c>
      <c r="C704" t="s">
        <v>221</v>
      </c>
      <c r="D704" s="22">
        <v>1470</v>
      </c>
      <c r="E704" s="16"/>
      <c r="G704" t="s">
        <v>151</v>
      </c>
      <c r="H704" t="s">
        <v>279</v>
      </c>
      <c r="I704" t="s">
        <v>6</v>
      </c>
      <c r="J704" t="s">
        <v>219</v>
      </c>
      <c r="L704" s="2"/>
    </row>
    <row r="705" spans="1:12" s="25" customFormat="1" x14ac:dyDescent="0.2">
      <c r="A705">
        <v>2011</v>
      </c>
      <c r="B705" t="s">
        <v>258</v>
      </c>
      <c r="C705" t="s">
        <v>180</v>
      </c>
      <c r="D705" s="22">
        <v>260</v>
      </c>
      <c r="E705" s="16">
        <v>0.5</v>
      </c>
      <c r="F705" t="s">
        <v>2518</v>
      </c>
      <c r="G705" t="s">
        <v>150</v>
      </c>
      <c r="H705" t="s">
        <v>744</v>
      </c>
      <c r="I705" t="s">
        <v>65</v>
      </c>
      <c r="J705" t="s">
        <v>214</v>
      </c>
      <c r="L705" s="2"/>
    </row>
    <row r="706" spans="1:12" s="25" customFormat="1" x14ac:dyDescent="0.2">
      <c r="A706">
        <v>2011</v>
      </c>
      <c r="B706" t="s">
        <v>258</v>
      </c>
      <c r="C706" t="s">
        <v>341</v>
      </c>
      <c r="D706" s="22">
        <v>330</v>
      </c>
      <c r="E706" s="16"/>
      <c r="G706" t="s">
        <v>154</v>
      </c>
      <c r="H706" t="s">
        <v>529</v>
      </c>
      <c r="I706" t="s">
        <v>40</v>
      </c>
      <c r="J706" t="s">
        <v>219</v>
      </c>
      <c r="L706" s="2"/>
    </row>
    <row r="707" spans="1:12" s="25" customFormat="1" x14ac:dyDescent="0.2">
      <c r="A707">
        <v>2011</v>
      </c>
      <c r="B707" t="s">
        <v>258</v>
      </c>
      <c r="C707" t="s">
        <v>196</v>
      </c>
      <c r="D707" s="22">
        <v>370</v>
      </c>
      <c r="E707" s="16"/>
      <c r="G707" t="s">
        <v>144</v>
      </c>
      <c r="H707" t="s">
        <v>197</v>
      </c>
      <c r="I707" t="s">
        <v>34</v>
      </c>
      <c r="J707" t="s">
        <v>219</v>
      </c>
      <c r="L707" s="2"/>
    </row>
    <row r="708" spans="1:12" s="25" customFormat="1" x14ac:dyDescent="0.2">
      <c r="A708">
        <v>2011</v>
      </c>
      <c r="B708" t="s">
        <v>258</v>
      </c>
      <c r="C708" t="s">
        <v>815</v>
      </c>
      <c r="D708" s="22">
        <v>240</v>
      </c>
      <c r="E708" s="16"/>
      <c r="F708" t="s">
        <v>2519</v>
      </c>
      <c r="G708" t="s">
        <v>151</v>
      </c>
      <c r="H708" t="s">
        <v>279</v>
      </c>
      <c r="I708" t="s">
        <v>51</v>
      </c>
      <c r="J708" t="s">
        <v>195</v>
      </c>
      <c r="L708" s="2"/>
    </row>
    <row r="709" spans="1:12" s="25" customFormat="1" x14ac:dyDescent="0.2">
      <c r="A709">
        <v>2011</v>
      </c>
      <c r="B709" t="s">
        <v>258</v>
      </c>
      <c r="C709" t="s">
        <v>444</v>
      </c>
      <c r="D709" s="22">
        <v>120</v>
      </c>
      <c r="E709" s="16"/>
      <c r="G709" t="s">
        <v>144</v>
      </c>
      <c r="H709" t="s">
        <v>299</v>
      </c>
      <c r="I709" t="s">
        <v>2406</v>
      </c>
      <c r="J709" t="s">
        <v>219</v>
      </c>
      <c r="L709" s="2"/>
    </row>
    <row r="710" spans="1:12" s="25" customFormat="1" x14ac:dyDescent="0.2">
      <c r="A710">
        <v>2011</v>
      </c>
      <c r="B710" t="s">
        <v>179</v>
      </c>
      <c r="C710" t="s">
        <v>280</v>
      </c>
      <c r="D710" s="22">
        <v>1080</v>
      </c>
      <c r="E710" s="16"/>
      <c r="F710" t="s">
        <v>2520</v>
      </c>
      <c r="G710" t="s">
        <v>149</v>
      </c>
      <c r="H710" t="s">
        <v>182</v>
      </c>
      <c r="I710" t="s">
        <v>101</v>
      </c>
      <c r="J710" t="s">
        <v>201</v>
      </c>
      <c r="L710" s="2"/>
    </row>
    <row r="711" spans="1:12" s="25" customFormat="1" x14ac:dyDescent="0.2">
      <c r="A711">
        <v>2011</v>
      </c>
      <c r="B711" t="s">
        <v>179</v>
      </c>
      <c r="C711" t="s">
        <v>397</v>
      </c>
      <c r="D711" s="22">
        <v>300</v>
      </c>
      <c r="E711" s="16"/>
      <c r="G711" t="s">
        <v>154</v>
      </c>
      <c r="H711" t="s">
        <v>250</v>
      </c>
      <c r="I711" t="s">
        <v>76</v>
      </c>
      <c r="J711" t="s">
        <v>219</v>
      </c>
      <c r="L711" s="2"/>
    </row>
    <row r="712" spans="1:12" s="25" customFormat="1" x14ac:dyDescent="0.2">
      <c r="A712">
        <v>2011</v>
      </c>
      <c r="B712" t="s">
        <v>179</v>
      </c>
      <c r="C712" t="s">
        <v>668</v>
      </c>
      <c r="D712" s="22">
        <v>330</v>
      </c>
      <c r="E712" s="16"/>
      <c r="F712" t="s">
        <v>2435</v>
      </c>
      <c r="G712" t="s">
        <v>144</v>
      </c>
      <c r="I712" t="s">
        <v>138</v>
      </c>
      <c r="J712" t="s">
        <v>219</v>
      </c>
      <c r="L712" s="2"/>
    </row>
    <row r="713" spans="1:12" s="25" customFormat="1" x14ac:dyDescent="0.2">
      <c r="A713">
        <v>2011</v>
      </c>
      <c r="B713" t="s">
        <v>179</v>
      </c>
      <c r="C713" t="s">
        <v>397</v>
      </c>
      <c r="D713" s="22">
        <v>150</v>
      </c>
      <c r="E713" s="16"/>
      <c r="G713" t="s">
        <v>154</v>
      </c>
      <c r="H713" t="s">
        <v>194</v>
      </c>
      <c r="I713" t="s">
        <v>53</v>
      </c>
      <c r="J713" t="s">
        <v>183</v>
      </c>
      <c r="L713" s="2"/>
    </row>
    <row r="714" spans="1:12" s="25" customFormat="1" x14ac:dyDescent="0.2">
      <c r="A714">
        <v>2011</v>
      </c>
      <c r="B714" t="s">
        <v>179</v>
      </c>
      <c r="C714" t="s">
        <v>479</v>
      </c>
      <c r="D714" s="22">
        <v>210</v>
      </c>
      <c r="E714" s="16"/>
      <c r="G714" t="s">
        <v>154</v>
      </c>
      <c r="H714" t="s">
        <v>271</v>
      </c>
      <c r="I714" t="s">
        <v>82</v>
      </c>
      <c r="J714" t="s">
        <v>183</v>
      </c>
      <c r="L714" s="2"/>
    </row>
    <row r="715" spans="1:12" s="25" customFormat="1" x14ac:dyDescent="0.2">
      <c r="A715">
        <v>2011</v>
      </c>
      <c r="B715" t="s">
        <v>179</v>
      </c>
      <c r="C715" t="s">
        <v>557</v>
      </c>
      <c r="D715" s="22">
        <v>100</v>
      </c>
      <c r="E715" s="16"/>
      <c r="F715" t="s">
        <v>2521</v>
      </c>
      <c r="G715" t="s">
        <v>151</v>
      </c>
      <c r="H715" t="s">
        <v>279</v>
      </c>
      <c r="I715" t="s">
        <v>11</v>
      </c>
      <c r="J715" t="s">
        <v>201</v>
      </c>
      <c r="L715" s="2"/>
    </row>
    <row r="716" spans="1:12" s="25" customFormat="1" x14ac:dyDescent="0.2">
      <c r="A716">
        <v>2011</v>
      </c>
      <c r="B716" t="s">
        <v>179</v>
      </c>
      <c r="C716" t="s">
        <v>2400</v>
      </c>
      <c r="D716" s="22">
        <v>300</v>
      </c>
      <c r="E716" s="16"/>
      <c r="F716" t="s">
        <v>2522</v>
      </c>
      <c r="G716" t="s">
        <v>144</v>
      </c>
      <c r="H716" t="s">
        <v>273</v>
      </c>
      <c r="I716" t="s">
        <v>52</v>
      </c>
      <c r="J716" t="s">
        <v>201</v>
      </c>
      <c r="L716" s="2"/>
    </row>
    <row r="717" spans="1:12" s="25" customFormat="1" x14ac:dyDescent="0.2">
      <c r="A717">
        <v>2011</v>
      </c>
      <c r="B717" t="s">
        <v>179</v>
      </c>
      <c r="C717" t="s">
        <v>557</v>
      </c>
      <c r="D717" s="22">
        <v>100</v>
      </c>
      <c r="E717" s="16"/>
      <c r="G717" t="s">
        <v>151</v>
      </c>
      <c r="H717" t="s">
        <v>279</v>
      </c>
      <c r="I717" t="s">
        <v>138</v>
      </c>
      <c r="J717" t="s">
        <v>219</v>
      </c>
      <c r="L717" s="2"/>
    </row>
    <row r="718" spans="1:12" s="25" customFormat="1" x14ac:dyDescent="0.2">
      <c r="A718">
        <v>2011</v>
      </c>
      <c r="B718" t="s">
        <v>179</v>
      </c>
      <c r="C718" t="s">
        <v>2523</v>
      </c>
      <c r="D718" s="22">
        <v>350</v>
      </c>
      <c r="E718" s="16"/>
      <c r="G718" t="s">
        <v>154</v>
      </c>
      <c r="H718" t="s">
        <v>194</v>
      </c>
      <c r="I718" t="s">
        <v>64</v>
      </c>
      <c r="J718" t="s">
        <v>219</v>
      </c>
      <c r="L718" s="2"/>
    </row>
    <row r="719" spans="1:12" s="25" customFormat="1" x14ac:dyDescent="0.2">
      <c r="A719">
        <v>2011</v>
      </c>
      <c r="B719" t="s">
        <v>179</v>
      </c>
      <c r="C719" t="s">
        <v>444</v>
      </c>
      <c r="D719" s="22">
        <v>270</v>
      </c>
      <c r="E719" s="16"/>
      <c r="G719" t="s">
        <v>152</v>
      </c>
      <c r="H719" t="s">
        <v>257</v>
      </c>
      <c r="I719" t="s">
        <v>6</v>
      </c>
      <c r="J719" t="s">
        <v>219</v>
      </c>
      <c r="L719" s="2"/>
    </row>
    <row r="720" spans="1:12" s="25" customFormat="1" x14ac:dyDescent="0.2">
      <c r="A720">
        <v>2011</v>
      </c>
      <c r="B720" t="s">
        <v>179</v>
      </c>
      <c r="C720" t="s">
        <v>612</v>
      </c>
      <c r="D720" s="22">
        <v>100</v>
      </c>
      <c r="E720" s="16"/>
      <c r="G720" t="s">
        <v>145</v>
      </c>
      <c r="I720" t="s">
        <v>2445</v>
      </c>
      <c r="J720" t="s">
        <v>177</v>
      </c>
      <c r="L720" s="2"/>
    </row>
    <row r="721" spans="1:12" s="25" customFormat="1" x14ac:dyDescent="0.2">
      <c r="A721">
        <v>2011</v>
      </c>
      <c r="B721" t="s">
        <v>184</v>
      </c>
      <c r="C721" t="s">
        <v>444</v>
      </c>
      <c r="D721" s="22">
        <v>160</v>
      </c>
      <c r="E721" s="16"/>
      <c r="G721" t="s">
        <v>142</v>
      </c>
      <c r="I721" t="s">
        <v>6</v>
      </c>
      <c r="J721" t="s">
        <v>219</v>
      </c>
      <c r="L721" s="2"/>
    </row>
    <row r="722" spans="1:12" s="25" customFormat="1" x14ac:dyDescent="0.2">
      <c r="A722">
        <v>2011</v>
      </c>
      <c r="B722" t="s">
        <v>184</v>
      </c>
      <c r="C722" t="s">
        <v>444</v>
      </c>
      <c r="D722" s="22">
        <v>280</v>
      </c>
      <c r="E722" s="16"/>
      <c r="F722" t="s">
        <v>2524</v>
      </c>
      <c r="G722" t="s">
        <v>149</v>
      </c>
      <c r="H722" t="s">
        <v>182</v>
      </c>
      <c r="I722" t="s">
        <v>54</v>
      </c>
      <c r="J722" t="s">
        <v>201</v>
      </c>
      <c r="L722" s="2"/>
    </row>
    <row r="723" spans="1:12" s="25" customFormat="1" x14ac:dyDescent="0.2">
      <c r="A723">
        <v>2011</v>
      </c>
      <c r="B723" t="s">
        <v>184</v>
      </c>
      <c r="C723" t="s">
        <v>196</v>
      </c>
      <c r="D723" s="22">
        <v>170</v>
      </c>
      <c r="E723" s="16"/>
      <c r="G723" t="s">
        <v>154</v>
      </c>
      <c r="H723" t="s">
        <v>194</v>
      </c>
      <c r="I723" t="s">
        <v>34</v>
      </c>
      <c r="J723" t="s">
        <v>219</v>
      </c>
      <c r="L723" s="2"/>
    </row>
    <row r="724" spans="1:12" s="25" customFormat="1" x14ac:dyDescent="0.2">
      <c r="A724">
        <v>2011</v>
      </c>
      <c r="B724" t="s">
        <v>184</v>
      </c>
      <c r="C724" t="s">
        <v>2525</v>
      </c>
      <c r="D724" s="22">
        <v>300</v>
      </c>
      <c r="E724" s="16"/>
      <c r="G724" t="s">
        <v>151</v>
      </c>
      <c r="H724" t="s">
        <v>279</v>
      </c>
      <c r="I724" t="s">
        <v>5</v>
      </c>
      <c r="J724" t="s">
        <v>214</v>
      </c>
      <c r="L724" s="2"/>
    </row>
    <row r="725" spans="1:12" s="25" customFormat="1" x14ac:dyDescent="0.2">
      <c r="A725">
        <v>2011</v>
      </c>
      <c r="B725" t="s">
        <v>184</v>
      </c>
      <c r="C725" t="s">
        <v>397</v>
      </c>
      <c r="D725" s="22">
        <v>200</v>
      </c>
      <c r="E725" s="16"/>
      <c r="G725" t="s">
        <v>153</v>
      </c>
      <c r="I725" t="s">
        <v>5</v>
      </c>
      <c r="J725" t="s">
        <v>214</v>
      </c>
      <c r="L725" s="2"/>
    </row>
    <row r="726" spans="1:12" s="25" customFormat="1" x14ac:dyDescent="0.2">
      <c r="A726">
        <v>2011</v>
      </c>
      <c r="B726" t="s">
        <v>184</v>
      </c>
      <c r="C726" t="s">
        <v>397</v>
      </c>
      <c r="D726" s="22">
        <v>450</v>
      </c>
      <c r="E726" s="16"/>
      <c r="G726" t="s">
        <v>154</v>
      </c>
      <c r="H726" t="s">
        <v>250</v>
      </c>
      <c r="I726" t="s">
        <v>93</v>
      </c>
      <c r="J726" t="s">
        <v>201</v>
      </c>
      <c r="L726" s="2"/>
    </row>
    <row r="727" spans="1:12" s="25" customFormat="1" x14ac:dyDescent="0.2">
      <c r="A727">
        <v>2011</v>
      </c>
      <c r="B727" t="s">
        <v>184</v>
      </c>
      <c r="C727" t="s">
        <v>399</v>
      </c>
      <c r="D727" s="22">
        <v>1010</v>
      </c>
      <c r="E727" s="16"/>
      <c r="G727" t="s">
        <v>144</v>
      </c>
      <c r="I727" t="s">
        <v>55</v>
      </c>
      <c r="J727" t="s">
        <v>214</v>
      </c>
      <c r="L727" s="2"/>
    </row>
    <row r="728" spans="1:12" s="25" customFormat="1" x14ac:dyDescent="0.2">
      <c r="A728">
        <v>2011</v>
      </c>
      <c r="B728" t="s">
        <v>184</v>
      </c>
      <c r="C728" t="s">
        <v>337</v>
      </c>
      <c r="D728" s="22">
        <v>1490</v>
      </c>
      <c r="E728" s="16"/>
      <c r="F728" t="s">
        <v>2526</v>
      </c>
      <c r="G728" t="s">
        <v>144</v>
      </c>
      <c r="H728" t="s">
        <v>273</v>
      </c>
      <c r="I728" t="s">
        <v>136</v>
      </c>
      <c r="J728" t="s">
        <v>183</v>
      </c>
      <c r="L728" s="2"/>
    </row>
    <row r="729" spans="1:12" s="25" customFormat="1" x14ac:dyDescent="0.2">
      <c r="A729">
        <v>2011</v>
      </c>
      <c r="B729" t="s">
        <v>184</v>
      </c>
      <c r="C729" t="s">
        <v>444</v>
      </c>
      <c r="D729" s="22">
        <v>180</v>
      </c>
      <c r="E729" s="16"/>
      <c r="G729" t="s">
        <v>154</v>
      </c>
      <c r="H729" t="s">
        <v>194</v>
      </c>
      <c r="I729" t="s">
        <v>138</v>
      </c>
      <c r="J729" t="s">
        <v>219</v>
      </c>
      <c r="L729" s="2"/>
    </row>
    <row r="730" spans="1:12" s="25" customFormat="1" x14ac:dyDescent="0.2">
      <c r="A730">
        <v>2011</v>
      </c>
      <c r="B730" t="s">
        <v>184</v>
      </c>
      <c r="C730" t="s">
        <v>444</v>
      </c>
      <c r="D730" s="22">
        <v>860</v>
      </c>
      <c r="E730" s="16"/>
      <c r="G730" t="s">
        <v>150</v>
      </c>
      <c r="H730" t="s">
        <v>226</v>
      </c>
      <c r="I730" t="s">
        <v>14</v>
      </c>
      <c r="J730" t="s">
        <v>195</v>
      </c>
      <c r="L730" s="2"/>
    </row>
    <row r="731" spans="1:12" s="25" customFormat="1" x14ac:dyDescent="0.2">
      <c r="A731">
        <v>2011</v>
      </c>
      <c r="B731" t="s">
        <v>184</v>
      </c>
      <c r="C731" t="s">
        <v>2402</v>
      </c>
      <c r="D731" s="22">
        <v>170</v>
      </c>
      <c r="E731" s="16"/>
      <c r="F731" t="s">
        <v>1188</v>
      </c>
      <c r="G731" t="s">
        <v>144</v>
      </c>
      <c r="H731" t="s">
        <v>273</v>
      </c>
      <c r="I731" t="s">
        <v>53</v>
      </c>
      <c r="J731" t="s">
        <v>183</v>
      </c>
      <c r="L731" s="2"/>
    </row>
    <row r="732" spans="1:12" s="25" customFormat="1" x14ac:dyDescent="0.2">
      <c r="A732">
        <v>2011</v>
      </c>
      <c r="B732" t="s">
        <v>184</v>
      </c>
      <c r="C732" t="s">
        <v>1234</v>
      </c>
      <c r="D732" s="22">
        <v>830</v>
      </c>
      <c r="E732" s="16">
        <v>0.5</v>
      </c>
      <c r="F732" t="s">
        <v>2506</v>
      </c>
      <c r="G732" t="s">
        <v>144</v>
      </c>
      <c r="H732" t="s">
        <v>273</v>
      </c>
      <c r="I732" t="s">
        <v>72</v>
      </c>
      <c r="J732" t="s">
        <v>183</v>
      </c>
      <c r="L732" s="2"/>
    </row>
    <row r="733" spans="1:12" s="25" customFormat="1" x14ac:dyDescent="0.2">
      <c r="A733">
        <v>2011</v>
      </c>
      <c r="B733" t="s">
        <v>184</v>
      </c>
      <c r="C733" t="s">
        <v>557</v>
      </c>
      <c r="D733" s="22">
        <v>180</v>
      </c>
      <c r="E733" s="16">
        <v>0.5</v>
      </c>
      <c r="F733" t="s">
        <v>2527</v>
      </c>
      <c r="G733" t="s">
        <v>151</v>
      </c>
      <c r="H733" t="s">
        <v>279</v>
      </c>
      <c r="I733" t="s">
        <v>53</v>
      </c>
      <c r="J733" t="s">
        <v>183</v>
      </c>
      <c r="L733" s="2"/>
    </row>
    <row r="734" spans="1:12" s="25" customFormat="1" x14ac:dyDescent="0.2">
      <c r="A734">
        <v>2011</v>
      </c>
      <c r="B734" t="s">
        <v>184</v>
      </c>
      <c r="C734" t="s">
        <v>246</v>
      </c>
      <c r="D734" s="22">
        <v>100</v>
      </c>
      <c r="E734" s="16"/>
      <c r="G734" t="s">
        <v>154</v>
      </c>
      <c r="H734" t="s">
        <v>194</v>
      </c>
      <c r="I734" t="s">
        <v>24</v>
      </c>
      <c r="J734" t="s">
        <v>219</v>
      </c>
      <c r="L734" s="2"/>
    </row>
    <row r="735" spans="1:12" s="25" customFormat="1" x14ac:dyDescent="0.2">
      <c r="A735">
        <v>2011</v>
      </c>
      <c r="B735" t="s">
        <v>184</v>
      </c>
      <c r="C735" t="s">
        <v>244</v>
      </c>
      <c r="D735" s="22">
        <v>100</v>
      </c>
      <c r="E735" s="16"/>
      <c r="F735" t="s">
        <v>2528</v>
      </c>
      <c r="G735" t="s">
        <v>149</v>
      </c>
      <c r="H735" t="s">
        <v>182</v>
      </c>
      <c r="I735" t="s">
        <v>54</v>
      </c>
      <c r="J735" t="s">
        <v>201</v>
      </c>
      <c r="L735" s="2"/>
    </row>
    <row r="736" spans="1:12" s="25" customFormat="1" ht="13.5" customHeight="1" x14ac:dyDescent="0.2">
      <c r="A736">
        <v>2011</v>
      </c>
      <c r="B736" t="s">
        <v>184</v>
      </c>
      <c r="C736" t="s">
        <v>189</v>
      </c>
      <c r="D736" s="22">
        <v>100</v>
      </c>
      <c r="E736" s="16"/>
      <c r="F736" t="s">
        <v>2002</v>
      </c>
      <c r="G736" t="s">
        <v>144</v>
      </c>
      <c r="H736" t="s">
        <v>187</v>
      </c>
      <c r="I736" t="s">
        <v>105</v>
      </c>
      <c r="J736" t="s">
        <v>214</v>
      </c>
      <c r="L736" s="2"/>
    </row>
    <row r="737" spans="1:12" s="25" customFormat="1" ht="13.5" customHeight="1" x14ac:dyDescent="0.2">
      <c r="A737">
        <v>2011</v>
      </c>
      <c r="B737" t="s">
        <v>184</v>
      </c>
      <c r="C737" t="s">
        <v>483</v>
      </c>
      <c r="D737" s="22">
        <v>590</v>
      </c>
      <c r="E737" s="16"/>
      <c r="G737" t="s">
        <v>154</v>
      </c>
      <c r="H737" t="s">
        <v>529</v>
      </c>
      <c r="I737" t="s">
        <v>54</v>
      </c>
      <c r="J737" t="s">
        <v>201</v>
      </c>
      <c r="L737" s="2"/>
    </row>
    <row r="738" spans="1:12" s="25" customFormat="1" ht="13.5" customHeight="1" x14ac:dyDescent="0.2">
      <c r="A738">
        <v>2011</v>
      </c>
      <c r="B738" t="s">
        <v>225</v>
      </c>
      <c r="C738" t="s">
        <v>2529</v>
      </c>
      <c r="D738" s="22">
        <v>100</v>
      </c>
      <c r="E738" s="16"/>
      <c r="G738" t="s">
        <v>144</v>
      </c>
      <c r="H738" t="s">
        <v>232</v>
      </c>
      <c r="I738" t="s">
        <v>123</v>
      </c>
      <c r="J738" t="s">
        <v>219</v>
      </c>
      <c r="L738" s="2"/>
    </row>
    <row r="739" spans="1:12" s="25" customFormat="1" x14ac:dyDescent="0.2">
      <c r="A739">
        <v>2011</v>
      </c>
      <c r="B739" t="s">
        <v>225</v>
      </c>
      <c r="C739" t="s">
        <v>246</v>
      </c>
      <c r="D739" s="22">
        <v>200</v>
      </c>
      <c r="E739" s="16"/>
      <c r="F739" t="s">
        <v>2530</v>
      </c>
      <c r="G739" t="s">
        <v>144</v>
      </c>
      <c r="H739" t="s">
        <v>197</v>
      </c>
      <c r="I739" t="s">
        <v>24</v>
      </c>
      <c r="J739" t="s">
        <v>219</v>
      </c>
      <c r="L739" s="2"/>
    </row>
    <row r="740" spans="1:12" s="25" customFormat="1" x14ac:dyDescent="0.2">
      <c r="A740">
        <v>2011</v>
      </c>
      <c r="B740" t="s">
        <v>225</v>
      </c>
      <c r="C740" t="s">
        <v>2402</v>
      </c>
      <c r="D740" s="22">
        <v>990</v>
      </c>
      <c r="E740" s="16"/>
      <c r="F740" t="s">
        <v>1188</v>
      </c>
      <c r="G740" t="s">
        <v>144</v>
      </c>
      <c r="H740" t="s">
        <v>197</v>
      </c>
      <c r="I740" t="s">
        <v>53</v>
      </c>
      <c r="J740" t="s">
        <v>183</v>
      </c>
      <c r="L740" s="2"/>
    </row>
    <row r="741" spans="1:12" s="25" customFormat="1" x14ac:dyDescent="0.2">
      <c r="A741">
        <v>2011</v>
      </c>
      <c r="B741" t="s">
        <v>225</v>
      </c>
      <c r="C741" t="s">
        <v>444</v>
      </c>
      <c r="D741" s="22">
        <v>370</v>
      </c>
      <c r="E741" s="16"/>
      <c r="G741" t="s">
        <v>154</v>
      </c>
      <c r="H741" t="s">
        <v>194</v>
      </c>
      <c r="I741" t="s">
        <v>133</v>
      </c>
      <c r="J741" t="s">
        <v>195</v>
      </c>
      <c r="L741" s="2"/>
    </row>
    <row r="742" spans="1:12" s="25" customFormat="1" x14ac:dyDescent="0.2">
      <c r="A742">
        <v>2011</v>
      </c>
      <c r="B742" t="s">
        <v>225</v>
      </c>
      <c r="C742" t="s">
        <v>336</v>
      </c>
      <c r="D742" s="22">
        <v>1770</v>
      </c>
      <c r="E742" s="16"/>
      <c r="G742" t="s">
        <v>144</v>
      </c>
      <c r="I742" t="s">
        <v>93</v>
      </c>
      <c r="J742" t="s">
        <v>201</v>
      </c>
      <c r="L742" s="2"/>
    </row>
    <row r="743" spans="1:12" s="25" customFormat="1" x14ac:dyDescent="0.2">
      <c r="A743">
        <v>2011</v>
      </c>
      <c r="B743" t="s">
        <v>188</v>
      </c>
      <c r="C743" t="s">
        <v>2402</v>
      </c>
      <c r="D743" s="22">
        <v>270</v>
      </c>
      <c r="E743" s="16"/>
      <c r="G743" t="s">
        <v>155</v>
      </c>
      <c r="I743" t="s">
        <v>46</v>
      </c>
      <c r="J743" t="s">
        <v>219</v>
      </c>
      <c r="L743" s="2"/>
    </row>
    <row r="744" spans="1:12" s="25" customFormat="1" x14ac:dyDescent="0.2">
      <c r="A744">
        <v>2011</v>
      </c>
      <c r="B744" t="s">
        <v>188</v>
      </c>
      <c r="C744" t="s">
        <v>199</v>
      </c>
      <c r="D744" s="22">
        <v>170</v>
      </c>
      <c r="E744" s="16"/>
      <c r="F744" t="s">
        <v>2531</v>
      </c>
      <c r="G744" t="s">
        <v>144</v>
      </c>
      <c r="H744" t="s">
        <v>187</v>
      </c>
      <c r="I744" t="s">
        <v>55</v>
      </c>
      <c r="J744" t="s">
        <v>214</v>
      </c>
      <c r="L744" s="2"/>
    </row>
    <row r="745" spans="1:12" s="25" customFormat="1" x14ac:dyDescent="0.2">
      <c r="A745">
        <v>2011</v>
      </c>
      <c r="B745" t="s">
        <v>188</v>
      </c>
      <c r="C745" t="s">
        <v>612</v>
      </c>
      <c r="D745" s="22">
        <v>100</v>
      </c>
      <c r="E745" s="16"/>
      <c r="G745" t="s">
        <v>151</v>
      </c>
      <c r="H745" t="s">
        <v>279</v>
      </c>
      <c r="I745" t="s">
        <v>139</v>
      </c>
      <c r="J745" t="s">
        <v>219</v>
      </c>
      <c r="L745" s="2"/>
    </row>
    <row r="746" spans="1:12" s="25" customFormat="1" x14ac:dyDescent="0.2">
      <c r="A746">
        <v>2011</v>
      </c>
      <c r="B746" t="s">
        <v>188</v>
      </c>
      <c r="C746" t="s">
        <v>2505</v>
      </c>
      <c r="D746" s="22">
        <v>120</v>
      </c>
      <c r="E746" s="16"/>
      <c r="G746" t="s">
        <v>144</v>
      </c>
      <c r="H746" t="s">
        <v>232</v>
      </c>
      <c r="I746" t="s">
        <v>40</v>
      </c>
      <c r="J746" t="s">
        <v>219</v>
      </c>
      <c r="L746" s="2"/>
    </row>
    <row r="747" spans="1:12" s="25" customFormat="1" x14ac:dyDescent="0.2">
      <c r="A747">
        <v>2011</v>
      </c>
      <c r="B747" t="s">
        <v>188</v>
      </c>
      <c r="C747" t="s">
        <v>397</v>
      </c>
      <c r="D747" s="22">
        <v>700</v>
      </c>
      <c r="E747" s="16"/>
      <c r="G747" t="s">
        <v>151</v>
      </c>
      <c r="H747" t="s">
        <v>279</v>
      </c>
      <c r="I747" t="s">
        <v>5</v>
      </c>
      <c r="J747" t="s">
        <v>214</v>
      </c>
      <c r="L747" s="2"/>
    </row>
    <row r="748" spans="1:12" s="25" customFormat="1" x14ac:dyDescent="0.2">
      <c r="A748">
        <v>2011</v>
      </c>
      <c r="B748" t="s">
        <v>188</v>
      </c>
      <c r="C748" t="s">
        <v>444</v>
      </c>
      <c r="D748" s="22">
        <v>250</v>
      </c>
      <c r="E748" s="16"/>
      <c r="G748" t="s">
        <v>142</v>
      </c>
      <c r="I748" t="s">
        <v>133</v>
      </c>
      <c r="J748" t="s">
        <v>195</v>
      </c>
      <c r="L748" s="2"/>
    </row>
    <row r="749" spans="1:12" s="25" customFormat="1" x14ac:dyDescent="0.2">
      <c r="A749">
        <v>2011</v>
      </c>
      <c r="B749" t="s">
        <v>188</v>
      </c>
      <c r="C749" t="s">
        <v>397</v>
      </c>
      <c r="D749" s="22">
        <v>180</v>
      </c>
      <c r="E749" s="16"/>
      <c r="G749" t="s">
        <v>154</v>
      </c>
      <c r="H749" t="s">
        <v>529</v>
      </c>
      <c r="I749" t="s">
        <v>108</v>
      </c>
      <c r="J749" t="s">
        <v>183</v>
      </c>
      <c r="L749" s="2"/>
    </row>
    <row r="750" spans="1:12" s="25" customFormat="1" x14ac:dyDescent="0.2">
      <c r="A750">
        <v>2011</v>
      </c>
      <c r="B750" t="s">
        <v>188</v>
      </c>
      <c r="C750" t="s">
        <v>196</v>
      </c>
      <c r="D750" s="22">
        <v>1440</v>
      </c>
      <c r="E750" s="16"/>
      <c r="G750" t="s">
        <v>144</v>
      </c>
      <c r="H750" t="s">
        <v>197</v>
      </c>
      <c r="I750" t="s">
        <v>133</v>
      </c>
      <c r="J750" t="s">
        <v>195</v>
      </c>
      <c r="L750" s="2"/>
    </row>
    <row r="751" spans="1:12" s="25" customFormat="1" x14ac:dyDescent="0.2">
      <c r="A751">
        <v>2011</v>
      </c>
      <c r="B751" t="s">
        <v>188</v>
      </c>
      <c r="C751" t="s">
        <v>444</v>
      </c>
      <c r="D751" s="22">
        <v>220</v>
      </c>
      <c r="E751" s="16"/>
      <c r="G751" t="s">
        <v>144</v>
      </c>
      <c r="I751" t="s">
        <v>116</v>
      </c>
      <c r="J751" t="s">
        <v>214</v>
      </c>
      <c r="L751" s="2"/>
    </row>
    <row r="752" spans="1:12" s="25" customFormat="1" x14ac:dyDescent="0.2">
      <c r="A752">
        <v>2011</v>
      </c>
      <c r="B752" t="s">
        <v>188</v>
      </c>
      <c r="C752" t="s">
        <v>221</v>
      </c>
      <c r="D752" s="22">
        <v>150</v>
      </c>
      <c r="E752" s="16"/>
      <c r="G752" t="s">
        <v>153</v>
      </c>
      <c r="I752" t="s">
        <v>6</v>
      </c>
      <c r="J752" t="s">
        <v>219</v>
      </c>
      <c r="L752" s="2"/>
    </row>
    <row r="753" spans="1:12" s="25" customFormat="1" x14ac:dyDescent="0.2">
      <c r="A753">
        <v>2011</v>
      </c>
      <c r="B753" t="s">
        <v>191</v>
      </c>
      <c r="C753" t="s">
        <v>668</v>
      </c>
      <c r="D753" s="22">
        <v>390</v>
      </c>
      <c r="E753" s="16"/>
      <c r="F753" t="s">
        <v>2532</v>
      </c>
      <c r="G753" t="s">
        <v>144</v>
      </c>
      <c r="I753" t="s">
        <v>66</v>
      </c>
      <c r="J753" t="s">
        <v>201</v>
      </c>
      <c r="L753" s="2"/>
    </row>
    <row r="754" spans="1:12" s="25" customFormat="1" x14ac:dyDescent="0.2">
      <c r="A754">
        <v>2011</v>
      </c>
      <c r="B754" t="s">
        <v>191</v>
      </c>
      <c r="C754" t="s">
        <v>180</v>
      </c>
      <c r="D754" s="22">
        <v>240</v>
      </c>
      <c r="E754" s="16"/>
      <c r="F754" t="s">
        <v>2533</v>
      </c>
      <c r="G754" t="s">
        <v>149</v>
      </c>
      <c r="H754" t="s">
        <v>182</v>
      </c>
      <c r="I754" t="s">
        <v>101</v>
      </c>
      <c r="J754" t="s">
        <v>201</v>
      </c>
      <c r="L754" s="2"/>
    </row>
    <row r="755" spans="1:12" s="25" customFormat="1" x14ac:dyDescent="0.2">
      <c r="A755">
        <v>2011</v>
      </c>
      <c r="B755" t="s">
        <v>191</v>
      </c>
      <c r="C755" t="s">
        <v>341</v>
      </c>
      <c r="D755" s="22">
        <v>200</v>
      </c>
      <c r="E755" s="16"/>
      <c r="F755" t="s">
        <v>2534</v>
      </c>
      <c r="G755" t="s">
        <v>154</v>
      </c>
      <c r="H755" t="s">
        <v>529</v>
      </c>
      <c r="I755" t="s">
        <v>13</v>
      </c>
      <c r="J755" t="s">
        <v>201</v>
      </c>
      <c r="L755" s="2"/>
    </row>
    <row r="756" spans="1:12" s="25" customFormat="1" x14ac:dyDescent="0.2">
      <c r="A756">
        <v>2011</v>
      </c>
      <c r="B756" t="s">
        <v>191</v>
      </c>
      <c r="C756" t="s">
        <v>189</v>
      </c>
      <c r="D756" s="22">
        <v>200</v>
      </c>
      <c r="E756" s="16"/>
      <c r="G756" t="s">
        <v>142</v>
      </c>
      <c r="I756" t="s">
        <v>105</v>
      </c>
      <c r="J756" t="s">
        <v>214</v>
      </c>
      <c r="L756" s="2"/>
    </row>
    <row r="757" spans="1:12" s="25" customFormat="1" x14ac:dyDescent="0.2">
      <c r="A757">
        <v>2011</v>
      </c>
      <c r="B757" t="s">
        <v>191</v>
      </c>
      <c r="C757" t="s">
        <v>756</v>
      </c>
      <c r="D757" s="22">
        <v>330</v>
      </c>
      <c r="E757" s="16"/>
      <c r="G757" t="s">
        <v>155</v>
      </c>
      <c r="I757" t="s">
        <v>72</v>
      </c>
      <c r="J757" t="s">
        <v>183</v>
      </c>
      <c r="L757" s="2"/>
    </row>
    <row r="758" spans="1:12" s="25" customFormat="1" x14ac:dyDescent="0.2">
      <c r="A758">
        <v>2011</v>
      </c>
      <c r="B758" t="s">
        <v>191</v>
      </c>
      <c r="C758" t="s">
        <v>449</v>
      </c>
      <c r="D758" s="22">
        <v>870</v>
      </c>
      <c r="E758" s="16"/>
      <c r="G758" t="s">
        <v>154</v>
      </c>
      <c r="H758" t="s">
        <v>529</v>
      </c>
      <c r="I758" t="s">
        <v>89</v>
      </c>
      <c r="J758" t="s">
        <v>219</v>
      </c>
      <c r="L758" s="2"/>
    </row>
    <row r="759" spans="1:12" s="25" customFormat="1" x14ac:dyDescent="0.2">
      <c r="A759">
        <v>2011</v>
      </c>
      <c r="B759" t="s">
        <v>198</v>
      </c>
      <c r="C759" t="s">
        <v>246</v>
      </c>
      <c r="D759" s="22">
        <v>450</v>
      </c>
      <c r="E759" s="16"/>
      <c r="G759" t="s">
        <v>144</v>
      </c>
      <c r="H759" t="s">
        <v>197</v>
      </c>
      <c r="I759" t="s">
        <v>48</v>
      </c>
      <c r="J759" t="s">
        <v>219</v>
      </c>
      <c r="L759" s="2"/>
    </row>
    <row r="760" spans="1:12" s="25" customFormat="1" x14ac:dyDescent="0.2">
      <c r="A760">
        <v>2011</v>
      </c>
      <c r="B760" t="s">
        <v>198</v>
      </c>
      <c r="C760" t="s">
        <v>2535</v>
      </c>
      <c r="D760" s="22">
        <v>1300</v>
      </c>
      <c r="E760" s="16"/>
      <c r="F760" t="s">
        <v>2461</v>
      </c>
      <c r="G760" t="s">
        <v>144</v>
      </c>
      <c r="H760" t="s">
        <v>273</v>
      </c>
      <c r="I760" t="s">
        <v>136</v>
      </c>
      <c r="J760" t="s">
        <v>183</v>
      </c>
      <c r="L760" s="2"/>
    </row>
    <row r="761" spans="1:12" s="25" customFormat="1" x14ac:dyDescent="0.2">
      <c r="A761">
        <v>2011</v>
      </c>
      <c r="B761" t="s">
        <v>198</v>
      </c>
      <c r="C761" t="s">
        <v>444</v>
      </c>
      <c r="D761" s="22">
        <v>150</v>
      </c>
      <c r="E761" s="16"/>
      <c r="G761" t="s">
        <v>142</v>
      </c>
      <c r="I761" t="s">
        <v>116</v>
      </c>
      <c r="J761" t="s">
        <v>214</v>
      </c>
      <c r="L761" s="2"/>
    </row>
    <row r="762" spans="1:12" s="25" customFormat="1" x14ac:dyDescent="0.2">
      <c r="A762">
        <v>2011</v>
      </c>
      <c r="B762" t="s">
        <v>198</v>
      </c>
      <c r="C762" t="s">
        <v>196</v>
      </c>
      <c r="D762" s="22">
        <v>270</v>
      </c>
      <c r="E762" s="16"/>
      <c r="F762" t="s">
        <v>2536</v>
      </c>
      <c r="G762" t="s">
        <v>149</v>
      </c>
      <c r="I762" t="s">
        <v>88</v>
      </c>
      <c r="J762" t="s">
        <v>219</v>
      </c>
      <c r="L762" s="2"/>
    </row>
    <row r="763" spans="1:12" s="25" customFormat="1" x14ac:dyDescent="0.2">
      <c r="A763">
        <v>2011</v>
      </c>
      <c r="B763" t="s">
        <v>198</v>
      </c>
      <c r="C763" t="s">
        <v>449</v>
      </c>
      <c r="D763" s="22">
        <v>340</v>
      </c>
      <c r="E763" s="16"/>
      <c r="G763" t="s">
        <v>154</v>
      </c>
      <c r="H763" t="s">
        <v>529</v>
      </c>
      <c r="I763" t="s">
        <v>44</v>
      </c>
      <c r="J763" t="s">
        <v>201</v>
      </c>
      <c r="L763" s="2"/>
    </row>
    <row r="764" spans="1:12" s="25" customFormat="1" x14ac:dyDescent="0.2">
      <c r="A764">
        <v>2011</v>
      </c>
      <c r="B764" t="s">
        <v>198</v>
      </c>
      <c r="C764" t="s">
        <v>479</v>
      </c>
      <c r="D764" s="22">
        <v>100</v>
      </c>
      <c r="E764" s="16"/>
      <c r="G764" t="s">
        <v>142</v>
      </c>
      <c r="I764" t="s">
        <v>116</v>
      </c>
      <c r="J764" t="s">
        <v>214</v>
      </c>
      <c r="L764" s="2"/>
    </row>
    <row r="765" spans="1:12" s="25" customFormat="1" x14ac:dyDescent="0.2">
      <c r="A765">
        <v>2011</v>
      </c>
      <c r="B765" t="s">
        <v>198</v>
      </c>
      <c r="C765" t="s">
        <v>189</v>
      </c>
      <c r="D765" s="22">
        <v>130</v>
      </c>
      <c r="E765" s="16"/>
      <c r="F765" t="s">
        <v>625</v>
      </c>
      <c r="G765" t="s">
        <v>143</v>
      </c>
      <c r="I765" t="s">
        <v>105</v>
      </c>
      <c r="J765" t="s">
        <v>214</v>
      </c>
      <c r="L765" s="2"/>
    </row>
    <row r="766" spans="1:12" s="25" customFormat="1" x14ac:dyDescent="0.2">
      <c r="A766">
        <v>2011</v>
      </c>
      <c r="B766" t="s">
        <v>198</v>
      </c>
      <c r="C766" t="s">
        <v>397</v>
      </c>
      <c r="D766" s="22">
        <v>420</v>
      </c>
      <c r="E766" s="16"/>
      <c r="G766" t="s">
        <v>154</v>
      </c>
      <c r="H766" t="s">
        <v>271</v>
      </c>
      <c r="I766" t="s">
        <v>36</v>
      </c>
      <c r="J766" t="s">
        <v>219</v>
      </c>
      <c r="L766" s="2"/>
    </row>
    <row r="767" spans="1:12" s="25" customFormat="1" x14ac:dyDescent="0.2">
      <c r="A767">
        <v>2011</v>
      </c>
      <c r="B767" t="s">
        <v>198</v>
      </c>
      <c r="C767" t="s">
        <v>175</v>
      </c>
      <c r="D767" s="22">
        <v>210</v>
      </c>
      <c r="E767" s="16"/>
      <c r="F767" t="s">
        <v>2537</v>
      </c>
      <c r="G767" t="s">
        <v>151</v>
      </c>
      <c r="H767" t="s">
        <v>279</v>
      </c>
      <c r="I767" t="s">
        <v>72</v>
      </c>
      <c r="J767" t="s">
        <v>183</v>
      </c>
      <c r="L767" s="2"/>
    </row>
    <row r="768" spans="1:12" s="25" customFormat="1" x14ac:dyDescent="0.2">
      <c r="A768">
        <v>2011</v>
      </c>
      <c r="B768" t="s">
        <v>202</v>
      </c>
      <c r="C768" t="s">
        <v>2538</v>
      </c>
      <c r="D768" s="22">
        <v>100</v>
      </c>
      <c r="E768" s="16"/>
      <c r="G768" t="s">
        <v>154</v>
      </c>
      <c r="H768" t="s">
        <v>194</v>
      </c>
      <c r="I768" t="s">
        <v>46</v>
      </c>
      <c r="J768" t="s">
        <v>219</v>
      </c>
      <c r="L768" s="2"/>
    </row>
    <row r="769" spans="1:12" s="25" customFormat="1" x14ac:dyDescent="0.2">
      <c r="A769">
        <v>2011</v>
      </c>
      <c r="B769" t="s">
        <v>202</v>
      </c>
      <c r="C769" t="s">
        <v>2539</v>
      </c>
      <c r="D769" s="22">
        <v>440</v>
      </c>
      <c r="E769" s="16"/>
      <c r="G769" t="s">
        <v>151</v>
      </c>
      <c r="H769" t="s">
        <v>279</v>
      </c>
      <c r="I769" t="s">
        <v>81</v>
      </c>
      <c r="J769" t="s">
        <v>219</v>
      </c>
      <c r="L769" s="2"/>
    </row>
    <row r="770" spans="1:12" s="25" customFormat="1" ht="14.25" customHeight="1" x14ac:dyDescent="0.2">
      <c r="A770">
        <v>2011</v>
      </c>
      <c r="B770" t="s">
        <v>202</v>
      </c>
      <c r="C770" t="s">
        <v>479</v>
      </c>
      <c r="D770" s="22">
        <v>320</v>
      </c>
      <c r="E770" s="16"/>
      <c r="F770" t="s">
        <v>2540</v>
      </c>
      <c r="G770" t="s">
        <v>154</v>
      </c>
      <c r="H770" t="s">
        <v>271</v>
      </c>
      <c r="I770" t="s">
        <v>135</v>
      </c>
      <c r="J770" t="s">
        <v>205</v>
      </c>
      <c r="L770" s="2"/>
    </row>
    <row r="771" spans="1:12" s="25" customFormat="1" x14ac:dyDescent="0.2">
      <c r="A771">
        <v>2011</v>
      </c>
      <c r="B771" t="s">
        <v>202</v>
      </c>
      <c r="C771" t="s">
        <v>1035</v>
      </c>
      <c r="D771" s="22">
        <v>160</v>
      </c>
      <c r="E771" s="16"/>
      <c r="G771" t="s">
        <v>144</v>
      </c>
      <c r="H771" t="s">
        <v>197</v>
      </c>
      <c r="I771" t="s">
        <v>138</v>
      </c>
      <c r="J771" t="s">
        <v>219</v>
      </c>
      <c r="L771" s="2"/>
    </row>
    <row r="772" spans="1:12" s="25" customFormat="1" x14ac:dyDescent="0.2">
      <c r="A772">
        <v>2011</v>
      </c>
      <c r="B772" t="s">
        <v>202</v>
      </c>
      <c r="C772" t="s">
        <v>479</v>
      </c>
      <c r="D772" s="22">
        <v>220</v>
      </c>
      <c r="E772" s="16"/>
      <c r="F772" t="s">
        <v>2541</v>
      </c>
      <c r="G772" t="s">
        <v>148</v>
      </c>
      <c r="I772" t="s">
        <v>77</v>
      </c>
      <c r="J772" t="s">
        <v>177</v>
      </c>
      <c r="L772" s="2"/>
    </row>
    <row r="773" spans="1:12" s="25" customFormat="1" x14ac:dyDescent="0.2">
      <c r="A773">
        <v>2011</v>
      </c>
      <c r="B773" t="s">
        <v>202</v>
      </c>
      <c r="C773" t="s">
        <v>199</v>
      </c>
      <c r="D773" s="22">
        <v>500</v>
      </c>
      <c r="E773" s="16">
        <v>0.5</v>
      </c>
      <c r="F773" t="s">
        <v>2542</v>
      </c>
      <c r="G773" t="s">
        <v>144</v>
      </c>
      <c r="H773" t="s">
        <v>299</v>
      </c>
      <c r="I773" t="s">
        <v>123</v>
      </c>
      <c r="J773" t="s">
        <v>219</v>
      </c>
      <c r="L773" s="2"/>
    </row>
    <row r="774" spans="1:12" s="25" customFormat="1" x14ac:dyDescent="0.2">
      <c r="A774">
        <v>2011</v>
      </c>
      <c r="B774" t="s">
        <v>202</v>
      </c>
      <c r="C774" t="s">
        <v>1035</v>
      </c>
      <c r="D774" s="22">
        <v>150</v>
      </c>
      <c r="E774" s="16">
        <v>0.5</v>
      </c>
      <c r="F774" t="s">
        <v>828</v>
      </c>
      <c r="G774" t="s">
        <v>144</v>
      </c>
      <c r="H774" t="s">
        <v>299</v>
      </c>
      <c r="I774" t="s">
        <v>38</v>
      </c>
      <c r="J774" t="s">
        <v>214</v>
      </c>
      <c r="L774" s="2"/>
    </row>
    <row r="775" spans="1:12" s="25" customFormat="1" x14ac:dyDescent="0.2">
      <c r="A775">
        <v>2011</v>
      </c>
      <c r="B775" t="s">
        <v>202</v>
      </c>
      <c r="C775" t="s">
        <v>444</v>
      </c>
      <c r="D775" s="22">
        <v>240</v>
      </c>
      <c r="E775" s="16"/>
      <c r="G775" t="s">
        <v>150</v>
      </c>
      <c r="H775" t="s">
        <v>744</v>
      </c>
      <c r="I775" t="s">
        <v>6</v>
      </c>
      <c r="J775" t="s">
        <v>219</v>
      </c>
      <c r="L775" s="2"/>
    </row>
    <row r="776" spans="1:12" s="25" customFormat="1" x14ac:dyDescent="0.2">
      <c r="A776">
        <v>2011</v>
      </c>
      <c r="B776" t="s">
        <v>202</v>
      </c>
      <c r="C776" t="s">
        <v>474</v>
      </c>
      <c r="D776" s="22">
        <v>590</v>
      </c>
      <c r="E776" s="16"/>
      <c r="G776" t="s">
        <v>142</v>
      </c>
      <c r="I776" t="s">
        <v>13</v>
      </c>
      <c r="J776" t="s">
        <v>201</v>
      </c>
      <c r="L776" s="2"/>
    </row>
    <row r="777" spans="1:12" s="25" customFormat="1" x14ac:dyDescent="0.2">
      <c r="A777">
        <v>2011</v>
      </c>
      <c r="B777" t="s">
        <v>202</v>
      </c>
      <c r="C777" t="s">
        <v>221</v>
      </c>
      <c r="D777" s="22">
        <v>1590</v>
      </c>
      <c r="E777" s="16"/>
      <c r="G777" t="s">
        <v>151</v>
      </c>
      <c r="H777" t="s">
        <v>279</v>
      </c>
      <c r="I777" t="s">
        <v>135</v>
      </c>
      <c r="J777" t="s">
        <v>205</v>
      </c>
      <c r="L777" s="2"/>
    </row>
    <row r="778" spans="1:12" s="25" customFormat="1" x14ac:dyDescent="0.2">
      <c r="A778">
        <v>2011</v>
      </c>
      <c r="B778" t="s">
        <v>202</v>
      </c>
      <c r="C778" t="s">
        <v>2402</v>
      </c>
      <c r="D778" s="22">
        <v>110</v>
      </c>
      <c r="E778" s="16"/>
      <c r="G778" t="s">
        <v>144</v>
      </c>
      <c r="H778" t="s">
        <v>197</v>
      </c>
      <c r="I778" t="s">
        <v>29</v>
      </c>
      <c r="J778" t="s">
        <v>219</v>
      </c>
      <c r="L778" s="2"/>
    </row>
    <row r="779" spans="1:12" s="25" customFormat="1" x14ac:dyDescent="0.2">
      <c r="A779">
        <v>2011</v>
      </c>
      <c r="B779" t="s">
        <v>207</v>
      </c>
      <c r="C779" t="s">
        <v>1035</v>
      </c>
      <c r="D779" s="22">
        <v>220</v>
      </c>
      <c r="E779" s="16"/>
      <c r="F779" t="s">
        <v>2543</v>
      </c>
      <c r="G779" t="s">
        <v>144</v>
      </c>
      <c r="H779" t="s">
        <v>197</v>
      </c>
      <c r="I779" t="s">
        <v>37</v>
      </c>
      <c r="J779" t="s">
        <v>205</v>
      </c>
      <c r="L779" s="2"/>
    </row>
    <row r="780" spans="1:12" s="25" customFormat="1" x14ac:dyDescent="0.2">
      <c r="A780">
        <v>2011</v>
      </c>
      <c r="B780" t="s">
        <v>207</v>
      </c>
      <c r="C780" t="s">
        <v>246</v>
      </c>
      <c r="D780" s="22">
        <v>110</v>
      </c>
      <c r="E780" s="16"/>
      <c r="G780" t="s">
        <v>144</v>
      </c>
      <c r="H780" t="s">
        <v>197</v>
      </c>
      <c r="I780" t="s">
        <v>76</v>
      </c>
      <c r="J780" t="s">
        <v>219</v>
      </c>
      <c r="L780" s="2"/>
    </row>
    <row r="781" spans="1:12" s="25" customFormat="1" x14ac:dyDescent="0.2">
      <c r="A781">
        <v>2011</v>
      </c>
      <c r="B781" t="s">
        <v>207</v>
      </c>
      <c r="C781" t="s">
        <v>444</v>
      </c>
      <c r="D781" s="22">
        <v>240</v>
      </c>
      <c r="E781" s="16"/>
      <c r="G781" t="s">
        <v>144</v>
      </c>
      <c r="H781" t="s">
        <v>273</v>
      </c>
      <c r="I781" t="s">
        <v>28</v>
      </c>
      <c r="J781" t="s">
        <v>205</v>
      </c>
      <c r="L781" s="2"/>
    </row>
    <row r="782" spans="1:12" s="25" customFormat="1" x14ac:dyDescent="0.2">
      <c r="A782">
        <v>2011</v>
      </c>
      <c r="B782" t="s">
        <v>207</v>
      </c>
      <c r="C782" t="s">
        <v>479</v>
      </c>
      <c r="D782" s="22">
        <v>260</v>
      </c>
      <c r="E782" s="16"/>
      <c r="F782" t="s">
        <v>2544</v>
      </c>
      <c r="G782" t="s">
        <v>148</v>
      </c>
      <c r="I782" t="s">
        <v>135</v>
      </c>
      <c r="J782" t="s">
        <v>205</v>
      </c>
      <c r="L782" s="2"/>
    </row>
    <row r="783" spans="1:12" s="25" customFormat="1" x14ac:dyDescent="0.2">
      <c r="A783">
        <v>2011</v>
      </c>
      <c r="B783" t="s">
        <v>207</v>
      </c>
      <c r="C783" t="s">
        <v>444</v>
      </c>
      <c r="D783" s="22">
        <v>340</v>
      </c>
      <c r="E783" s="16"/>
      <c r="F783" t="s">
        <v>2545</v>
      </c>
      <c r="G783" t="s">
        <v>144</v>
      </c>
      <c r="H783" t="s">
        <v>299</v>
      </c>
      <c r="I783" t="s">
        <v>123</v>
      </c>
      <c r="J783" t="s">
        <v>219</v>
      </c>
      <c r="L783" s="2"/>
    </row>
    <row r="784" spans="1:12" s="25" customFormat="1" x14ac:dyDescent="0.2">
      <c r="A784">
        <v>2011</v>
      </c>
      <c r="B784" t="s">
        <v>207</v>
      </c>
      <c r="C784" t="s">
        <v>246</v>
      </c>
      <c r="D784" s="22">
        <v>240</v>
      </c>
      <c r="E784" s="16"/>
      <c r="G784" t="s">
        <v>144</v>
      </c>
      <c r="H784" t="s">
        <v>197</v>
      </c>
      <c r="I784" t="s">
        <v>93</v>
      </c>
      <c r="J784" t="s">
        <v>201</v>
      </c>
      <c r="L784" s="2"/>
    </row>
    <row r="785" spans="1:12" s="25" customFormat="1" x14ac:dyDescent="0.2">
      <c r="A785">
        <v>2011</v>
      </c>
      <c r="B785" t="s">
        <v>207</v>
      </c>
      <c r="C785" t="s">
        <v>397</v>
      </c>
      <c r="D785" s="22">
        <v>140</v>
      </c>
      <c r="E785" s="16"/>
      <c r="F785" t="s">
        <v>2546</v>
      </c>
      <c r="G785" t="s">
        <v>151</v>
      </c>
      <c r="H785" t="s">
        <v>279</v>
      </c>
      <c r="I785" t="s">
        <v>136</v>
      </c>
      <c r="J785" t="s">
        <v>183</v>
      </c>
      <c r="L785" s="2"/>
    </row>
    <row r="786" spans="1:12" s="25" customFormat="1" x14ac:dyDescent="0.2">
      <c r="A786">
        <v>2011</v>
      </c>
      <c r="B786" t="s">
        <v>207</v>
      </c>
      <c r="C786" t="s">
        <v>397</v>
      </c>
      <c r="D786" s="22">
        <v>120</v>
      </c>
      <c r="E786" s="16"/>
      <c r="G786" t="s">
        <v>151</v>
      </c>
      <c r="H786" t="s">
        <v>279</v>
      </c>
      <c r="I786" t="s">
        <v>100</v>
      </c>
      <c r="J786" t="s">
        <v>214</v>
      </c>
      <c r="L786" s="2"/>
    </row>
    <row r="787" spans="1:12" s="25" customFormat="1" x14ac:dyDescent="0.2">
      <c r="A787">
        <v>2011</v>
      </c>
      <c r="B787" t="s">
        <v>207</v>
      </c>
      <c r="C787" t="s">
        <v>397</v>
      </c>
      <c r="D787" s="22">
        <v>120</v>
      </c>
      <c r="E787" s="16"/>
      <c r="G787" t="s">
        <v>153</v>
      </c>
      <c r="I787" t="s">
        <v>5</v>
      </c>
      <c r="J787" t="s">
        <v>214</v>
      </c>
      <c r="L787" s="2"/>
    </row>
    <row r="788" spans="1:12" s="25" customFormat="1" x14ac:dyDescent="0.2">
      <c r="A788">
        <v>2011</v>
      </c>
      <c r="B788" t="s">
        <v>207</v>
      </c>
      <c r="C788" t="s">
        <v>397</v>
      </c>
      <c r="D788" s="22">
        <v>110</v>
      </c>
      <c r="E788" s="16"/>
      <c r="G788" t="s">
        <v>147</v>
      </c>
      <c r="I788" t="s">
        <v>5</v>
      </c>
      <c r="J788" t="s">
        <v>214</v>
      </c>
      <c r="L788" s="2"/>
    </row>
    <row r="789" spans="1:12" s="25" customFormat="1" x14ac:dyDescent="0.2">
      <c r="A789">
        <v>2011</v>
      </c>
      <c r="B789" t="s">
        <v>207</v>
      </c>
      <c r="C789" t="s">
        <v>2547</v>
      </c>
      <c r="D789" s="22">
        <v>280</v>
      </c>
      <c r="E789" s="16"/>
      <c r="G789" t="s">
        <v>144</v>
      </c>
      <c r="H789" t="s">
        <v>299</v>
      </c>
      <c r="I789" t="s">
        <v>81</v>
      </c>
      <c r="J789" t="s">
        <v>219</v>
      </c>
      <c r="L789" s="2"/>
    </row>
    <row r="790" spans="1:12" s="25" customFormat="1" x14ac:dyDescent="0.2">
      <c r="A790">
        <v>2011</v>
      </c>
      <c r="B790" t="s">
        <v>240</v>
      </c>
      <c r="C790" t="s">
        <v>397</v>
      </c>
      <c r="D790" s="22">
        <v>200</v>
      </c>
      <c r="E790" s="16"/>
      <c r="G790" t="s">
        <v>151</v>
      </c>
      <c r="H790" t="s">
        <v>279</v>
      </c>
      <c r="I790" t="s">
        <v>40</v>
      </c>
      <c r="J790" t="s">
        <v>219</v>
      </c>
      <c r="L790" s="2"/>
    </row>
    <row r="791" spans="1:12" s="25" customFormat="1" x14ac:dyDescent="0.2">
      <c r="A791">
        <v>2011</v>
      </c>
      <c r="B791" t="s">
        <v>240</v>
      </c>
      <c r="C791" t="s">
        <v>2548</v>
      </c>
      <c r="D791" s="22">
        <v>100</v>
      </c>
      <c r="E791" s="16"/>
      <c r="F791" t="s">
        <v>2549</v>
      </c>
      <c r="G791" t="s">
        <v>149</v>
      </c>
      <c r="I791" t="s">
        <v>72</v>
      </c>
      <c r="J791" t="s">
        <v>183</v>
      </c>
      <c r="L791" s="2"/>
    </row>
    <row r="792" spans="1:12" s="25" customFormat="1" x14ac:dyDescent="0.2">
      <c r="A792">
        <v>2011</v>
      </c>
      <c r="B792" t="s">
        <v>240</v>
      </c>
      <c r="C792" t="s">
        <v>1035</v>
      </c>
      <c r="D792" s="22">
        <v>240</v>
      </c>
      <c r="E792" s="16"/>
      <c r="F792" t="s">
        <v>1188</v>
      </c>
      <c r="G792" t="s">
        <v>144</v>
      </c>
      <c r="H792" t="s">
        <v>273</v>
      </c>
      <c r="I792" t="s">
        <v>53</v>
      </c>
      <c r="J792" t="s">
        <v>183</v>
      </c>
      <c r="L792" s="2"/>
    </row>
    <row r="793" spans="1:12" s="25" customFormat="1" ht="15.75" customHeight="1" x14ac:dyDescent="0.2">
      <c r="A793">
        <v>2011</v>
      </c>
      <c r="B793" t="s">
        <v>240</v>
      </c>
      <c r="C793" t="s">
        <v>479</v>
      </c>
      <c r="D793" s="22">
        <v>140</v>
      </c>
      <c r="E793" s="16"/>
      <c r="G793" t="s">
        <v>154</v>
      </c>
      <c r="H793" t="s">
        <v>250</v>
      </c>
      <c r="I793" t="s">
        <v>50</v>
      </c>
      <c r="J793" t="s">
        <v>205</v>
      </c>
      <c r="L793" s="2"/>
    </row>
    <row r="794" spans="1:12" s="25" customFormat="1" x14ac:dyDescent="0.2">
      <c r="A794">
        <v>2011</v>
      </c>
      <c r="B794" t="s">
        <v>240</v>
      </c>
      <c r="C794" t="s">
        <v>479</v>
      </c>
      <c r="D794" s="22">
        <v>460</v>
      </c>
      <c r="E794" s="16"/>
      <c r="F794" t="s">
        <v>2550</v>
      </c>
      <c r="G794" t="s">
        <v>143</v>
      </c>
      <c r="I794" t="s">
        <v>135</v>
      </c>
      <c r="J794" t="s">
        <v>205</v>
      </c>
      <c r="L794" s="2"/>
    </row>
    <row r="795" spans="1:12" s="25" customFormat="1" x14ac:dyDescent="0.2">
      <c r="A795">
        <v>2011</v>
      </c>
      <c r="B795" t="s">
        <v>240</v>
      </c>
      <c r="C795" t="s">
        <v>479</v>
      </c>
      <c r="D795" s="22">
        <v>140</v>
      </c>
      <c r="E795" s="16"/>
      <c r="G795" t="s">
        <v>154</v>
      </c>
      <c r="H795" t="s">
        <v>194</v>
      </c>
      <c r="I795" t="s">
        <v>115</v>
      </c>
      <c r="J795" t="s">
        <v>201</v>
      </c>
      <c r="L795" s="2"/>
    </row>
    <row r="796" spans="1:12" s="25" customFormat="1" x14ac:dyDescent="0.2">
      <c r="A796">
        <v>2011</v>
      </c>
      <c r="B796" t="s">
        <v>240</v>
      </c>
      <c r="C796" t="s">
        <v>444</v>
      </c>
      <c r="D796" s="22">
        <v>180</v>
      </c>
      <c r="E796" s="16"/>
      <c r="G796" t="s">
        <v>142</v>
      </c>
      <c r="I796" t="s">
        <v>115</v>
      </c>
      <c r="J796" t="s">
        <v>201</v>
      </c>
      <c r="L796" s="2"/>
    </row>
    <row r="797" spans="1:12" s="25" customFormat="1" x14ac:dyDescent="0.2">
      <c r="A797">
        <v>2011</v>
      </c>
      <c r="B797" t="s">
        <v>240</v>
      </c>
      <c r="C797" t="s">
        <v>175</v>
      </c>
      <c r="D797" s="22">
        <v>110</v>
      </c>
      <c r="E797" s="16"/>
      <c r="G797" t="s">
        <v>144</v>
      </c>
      <c r="H797" t="s">
        <v>197</v>
      </c>
      <c r="I797" t="s">
        <v>136</v>
      </c>
      <c r="J797" t="s">
        <v>183</v>
      </c>
      <c r="L797" s="2"/>
    </row>
    <row r="798" spans="1:12" s="25" customFormat="1" x14ac:dyDescent="0.2">
      <c r="A798">
        <v>2011</v>
      </c>
      <c r="B798" t="s">
        <v>240</v>
      </c>
      <c r="C798" t="s">
        <v>449</v>
      </c>
      <c r="D798" s="22">
        <v>400</v>
      </c>
      <c r="E798" s="16"/>
      <c r="G798" t="s">
        <v>154</v>
      </c>
      <c r="H798" t="s">
        <v>529</v>
      </c>
      <c r="I798" t="s">
        <v>108</v>
      </c>
      <c r="J798" t="s">
        <v>183</v>
      </c>
      <c r="L798" s="2"/>
    </row>
    <row r="799" spans="1:12" s="25" customFormat="1" x14ac:dyDescent="0.2">
      <c r="A799">
        <v>2011</v>
      </c>
      <c r="B799" t="s">
        <v>240</v>
      </c>
      <c r="C799" t="s">
        <v>2414</v>
      </c>
      <c r="D799" s="22">
        <v>180</v>
      </c>
      <c r="E799" s="16"/>
      <c r="G799" t="s">
        <v>151</v>
      </c>
      <c r="H799" t="s">
        <v>279</v>
      </c>
      <c r="I799" t="s">
        <v>105</v>
      </c>
      <c r="J799" t="s">
        <v>214</v>
      </c>
      <c r="L799" s="2"/>
    </row>
    <row r="800" spans="1:12" s="25" customFormat="1" x14ac:dyDescent="0.2">
      <c r="A800">
        <v>2011</v>
      </c>
      <c r="B800" t="s">
        <v>212</v>
      </c>
      <c r="C800" t="s">
        <v>703</v>
      </c>
      <c r="D800" s="22">
        <v>480</v>
      </c>
      <c r="E800" s="16"/>
      <c r="F800" t="s">
        <v>2543</v>
      </c>
      <c r="G800" t="s">
        <v>144</v>
      </c>
      <c r="H800" t="s">
        <v>197</v>
      </c>
      <c r="I800" t="s">
        <v>37</v>
      </c>
      <c r="J800" t="s">
        <v>205</v>
      </c>
      <c r="L800" s="2"/>
    </row>
    <row r="801" spans="1:12" s="25" customFormat="1" x14ac:dyDescent="0.2">
      <c r="A801">
        <v>2011</v>
      </c>
      <c r="B801" t="s">
        <v>212</v>
      </c>
      <c r="C801" t="s">
        <v>479</v>
      </c>
      <c r="D801" s="22">
        <v>490</v>
      </c>
      <c r="E801" s="16"/>
      <c r="F801" t="s">
        <v>450</v>
      </c>
      <c r="G801" t="s">
        <v>154</v>
      </c>
      <c r="H801" t="s">
        <v>529</v>
      </c>
      <c r="I801" t="s">
        <v>107</v>
      </c>
      <c r="J801" t="s">
        <v>219</v>
      </c>
      <c r="L801" s="2"/>
    </row>
    <row r="802" spans="1:12" s="25" customFormat="1" x14ac:dyDescent="0.2">
      <c r="A802">
        <v>2011</v>
      </c>
      <c r="B802" t="s">
        <v>212</v>
      </c>
      <c r="C802" t="s">
        <v>189</v>
      </c>
      <c r="D802" s="22">
        <v>850</v>
      </c>
      <c r="E802" s="16"/>
      <c r="F802" t="s">
        <v>2393</v>
      </c>
      <c r="G802" t="s">
        <v>144</v>
      </c>
      <c r="H802" t="s">
        <v>187</v>
      </c>
      <c r="I802" t="s">
        <v>63</v>
      </c>
      <c r="J802" t="s">
        <v>201</v>
      </c>
      <c r="L802" s="2"/>
    </row>
    <row r="803" spans="1:12" s="25" customFormat="1" x14ac:dyDescent="0.2">
      <c r="A803">
        <v>2011</v>
      </c>
      <c r="B803" t="s">
        <v>212</v>
      </c>
      <c r="C803" t="s">
        <v>449</v>
      </c>
      <c r="D803" s="22">
        <v>5630</v>
      </c>
      <c r="E803" s="16"/>
      <c r="G803" t="s">
        <v>154</v>
      </c>
      <c r="H803" t="s">
        <v>529</v>
      </c>
      <c r="I803" t="s">
        <v>26</v>
      </c>
      <c r="J803" t="s">
        <v>219</v>
      </c>
      <c r="L803" s="2"/>
    </row>
    <row r="804" spans="1:12" s="25" customFormat="1" x14ac:dyDescent="0.2">
      <c r="A804">
        <v>2011</v>
      </c>
      <c r="B804" t="s">
        <v>212</v>
      </c>
      <c r="C804" t="s">
        <v>1035</v>
      </c>
      <c r="D804" s="22">
        <v>130</v>
      </c>
      <c r="E804" s="16"/>
      <c r="F804" t="s">
        <v>2551</v>
      </c>
      <c r="G804" t="s">
        <v>151</v>
      </c>
      <c r="H804" t="s">
        <v>279</v>
      </c>
      <c r="I804" t="s">
        <v>100</v>
      </c>
      <c r="J804" t="s">
        <v>214</v>
      </c>
      <c r="L804" s="2"/>
    </row>
    <row r="805" spans="1:12" s="25" customFormat="1" x14ac:dyDescent="0.2">
      <c r="A805">
        <v>2011</v>
      </c>
      <c r="B805" t="s">
        <v>212</v>
      </c>
      <c r="C805" t="s">
        <v>341</v>
      </c>
      <c r="D805" s="22">
        <v>690</v>
      </c>
      <c r="E805" s="16"/>
      <c r="G805" t="s">
        <v>151</v>
      </c>
      <c r="H805" t="s">
        <v>279</v>
      </c>
      <c r="I805" t="s">
        <v>6</v>
      </c>
      <c r="J805" t="s">
        <v>219</v>
      </c>
      <c r="L805" s="2"/>
    </row>
    <row r="806" spans="1:12" s="25" customFormat="1" x14ac:dyDescent="0.2">
      <c r="A806">
        <v>2011</v>
      </c>
      <c r="B806" t="s">
        <v>212</v>
      </c>
      <c r="C806" t="s">
        <v>815</v>
      </c>
      <c r="D806" s="22">
        <v>260</v>
      </c>
      <c r="E806" s="16"/>
      <c r="F806" t="s">
        <v>2552</v>
      </c>
      <c r="G806" t="s">
        <v>151</v>
      </c>
      <c r="H806" t="s">
        <v>279</v>
      </c>
      <c r="I806" t="s">
        <v>6</v>
      </c>
      <c r="J806" t="s">
        <v>219</v>
      </c>
      <c r="L806" s="2"/>
    </row>
    <row r="807" spans="1:12" s="25" customFormat="1" x14ac:dyDescent="0.2">
      <c r="A807">
        <v>2011</v>
      </c>
      <c r="B807" t="s">
        <v>212</v>
      </c>
      <c r="C807" t="s">
        <v>557</v>
      </c>
      <c r="D807" s="22">
        <v>350</v>
      </c>
      <c r="E807" s="16"/>
      <c r="F807" t="s">
        <v>2553</v>
      </c>
      <c r="G807" t="s">
        <v>151</v>
      </c>
      <c r="H807" t="s">
        <v>279</v>
      </c>
      <c r="I807" t="s">
        <v>40</v>
      </c>
      <c r="J807" t="s">
        <v>219</v>
      </c>
      <c r="L807" s="2"/>
    </row>
    <row r="808" spans="1:12" s="25" customFormat="1" x14ac:dyDescent="0.2">
      <c r="A808">
        <v>2011</v>
      </c>
      <c r="B808" t="s">
        <v>212</v>
      </c>
      <c r="C808" t="s">
        <v>703</v>
      </c>
      <c r="D808" s="22">
        <v>100</v>
      </c>
      <c r="E808" s="16"/>
      <c r="F808" t="s">
        <v>2543</v>
      </c>
      <c r="G808" t="s">
        <v>144</v>
      </c>
      <c r="H808" t="s">
        <v>187</v>
      </c>
      <c r="I808" t="s">
        <v>37</v>
      </c>
      <c r="J808" t="s">
        <v>205</v>
      </c>
      <c r="L808" s="2"/>
    </row>
    <row r="809" spans="1:12" s="25" customFormat="1" x14ac:dyDescent="0.2">
      <c r="A809">
        <v>2011</v>
      </c>
      <c r="B809" t="s">
        <v>212</v>
      </c>
      <c r="C809" t="s">
        <v>397</v>
      </c>
      <c r="D809" s="22">
        <v>110</v>
      </c>
      <c r="E809" s="16"/>
      <c r="G809" t="s">
        <v>154</v>
      </c>
      <c r="H809" t="s">
        <v>194</v>
      </c>
      <c r="I809" t="s">
        <v>131</v>
      </c>
      <c r="J809" t="s">
        <v>131</v>
      </c>
      <c r="L809" s="2"/>
    </row>
    <row r="810" spans="1:12" s="25" customFormat="1" x14ac:dyDescent="0.2">
      <c r="A810">
        <v>2011</v>
      </c>
      <c r="B810" t="s">
        <v>212</v>
      </c>
      <c r="C810" t="s">
        <v>2389</v>
      </c>
      <c r="D810" s="22">
        <v>150</v>
      </c>
      <c r="E810" s="16"/>
      <c r="G810" t="s">
        <v>154</v>
      </c>
      <c r="H810" t="s">
        <v>250</v>
      </c>
      <c r="I810" t="s">
        <v>125</v>
      </c>
      <c r="J810" t="s">
        <v>219</v>
      </c>
      <c r="L810" s="2"/>
    </row>
    <row r="811" spans="1:12" s="25" customFormat="1" x14ac:dyDescent="0.2">
      <c r="A811">
        <v>2011</v>
      </c>
      <c r="B811" t="s">
        <v>212</v>
      </c>
      <c r="C811" t="s">
        <v>180</v>
      </c>
      <c r="D811" s="22">
        <v>820</v>
      </c>
      <c r="E811" s="16"/>
      <c r="F811" t="s">
        <v>2401</v>
      </c>
      <c r="G811" t="s">
        <v>149</v>
      </c>
      <c r="H811" t="s">
        <v>182</v>
      </c>
      <c r="I811" t="s">
        <v>9</v>
      </c>
      <c r="J811" t="s">
        <v>9</v>
      </c>
      <c r="L811" s="2"/>
    </row>
    <row r="812" spans="1:12" s="25" customFormat="1" x14ac:dyDescent="0.2">
      <c r="A812">
        <v>2011</v>
      </c>
      <c r="B812" t="s">
        <v>212</v>
      </c>
      <c r="C812" t="s">
        <v>449</v>
      </c>
      <c r="D812" s="22">
        <v>100</v>
      </c>
      <c r="E812" s="16"/>
      <c r="G812" t="s">
        <v>154</v>
      </c>
      <c r="H812" t="s">
        <v>250</v>
      </c>
      <c r="I812" t="s">
        <v>7</v>
      </c>
      <c r="J812" t="s">
        <v>177</v>
      </c>
      <c r="L812" s="2"/>
    </row>
    <row r="813" spans="1:12" s="25" customFormat="1" x14ac:dyDescent="0.2">
      <c r="A813">
        <v>2012</v>
      </c>
      <c r="B813" t="s">
        <v>172</v>
      </c>
      <c r="C813" t="s">
        <v>627</v>
      </c>
      <c r="D813" s="65">
        <v>520</v>
      </c>
      <c r="E813" s="33">
        <v>1</v>
      </c>
      <c r="G813" t="s">
        <v>151</v>
      </c>
      <c r="H813" t="s">
        <v>224</v>
      </c>
      <c r="I813" t="s">
        <v>67</v>
      </c>
      <c r="J813" t="s">
        <v>183</v>
      </c>
      <c r="K813" s="17"/>
      <c r="L813" s="28" t="s">
        <v>178</v>
      </c>
    </row>
    <row r="814" spans="1:12" s="25" customFormat="1" x14ac:dyDescent="0.2">
      <c r="A814">
        <v>2012</v>
      </c>
      <c r="B814" t="s">
        <v>172</v>
      </c>
      <c r="C814" t="s">
        <v>189</v>
      </c>
      <c r="D814" s="65">
        <v>2200</v>
      </c>
      <c r="E814" s="33">
        <v>0.33</v>
      </c>
      <c r="F814" t="s">
        <v>628</v>
      </c>
      <c r="G814" t="s">
        <v>144</v>
      </c>
      <c r="H814" t="s">
        <v>299</v>
      </c>
      <c r="I814" t="s">
        <v>131</v>
      </c>
      <c r="J814" t="s">
        <v>131</v>
      </c>
      <c r="K814" s="17"/>
      <c r="L814" s="28"/>
    </row>
    <row r="815" spans="1:12" s="25" customFormat="1" x14ac:dyDescent="0.2">
      <c r="A815">
        <v>2012</v>
      </c>
      <c r="B815" t="s">
        <v>172</v>
      </c>
      <c r="C815" t="s">
        <v>199</v>
      </c>
      <c r="D815" s="65">
        <v>670</v>
      </c>
      <c r="E815" s="33">
        <v>0.4</v>
      </c>
      <c r="F815" t="s">
        <v>629</v>
      </c>
      <c r="G815" t="s">
        <v>144</v>
      </c>
      <c r="H815" t="s">
        <v>187</v>
      </c>
      <c r="I815" t="s">
        <v>25</v>
      </c>
      <c r="J815" t="s">
        <v>177</v>
      </c>
      <c r="K815" s="17"/>
      <c r="L815" s="28"/>
    </row>
    <row r="816" spans="1:12" s="25" customFormat="1" x14ac:dyDescent="0.2">
      <c r="A816">
        <v>2012</v>
      </c>
      <c r="B816" t="s">
        <v>172</v>
      </c>
      <c r="C816" s="17" t="s">
        <v>630</v>
      </c>
      <c r="D816" s="65">
        <v>460</v>
      </c>
      <c r="E816" s="33">
        <v>0.75</v>
      </c>
      <c r="F816" t="s">
        <v>631</v>
      </c>
      <c r="G816" t="s">
        <v>154</v>
      </c>
      <c r="H816" t="s">
        <v>271</v>
      </c>
      <c r="I816" t="s">
        <v>58</v>
      </c>
      <c r="J816" t="s">
        <v>195</v>
      </c>
      <c r="K816" s="17"/>
      <c r="L816" s="28"/>
    </row>
    <row r="817" spans="1:12" s="25" customFormat="1" x14ac:dyDescent="0.2">
      <c r="A817">
        <v>2012</v>
      </c>
      <c r="B817" t="s">
        <v>172</v>
      </c>
      <c r="C817" t="s">
        <v>632</v>
      </c>
      <c r="D817" s="65">
        <v>480</v>
      </c>
      <c r="E817" s="33">
        <v>1</v>
      </c>
      <c r="F817" t="s">
        <v>633</v>
      </c>
      <c r="G817" t="s">
        <v>151</v>
      </c>
      <c r="H817" t="s">
        <v>279</v>
      </c>
      <c r="I817" t="s">
        <v>45</v>
      </c>
      <c r="J817" t="s">
        <v>195</v>
      </c>
      <c r="K817" s="17"/>
      <c r="L817" s="28"/>
    </row>
    <row r="818" spans="1:12" s="25" customFormat="1" x14ac:dyDescent="0.2">
      <c r="A818">
        <v>2012</v>
      </c>
      <c r="B818" t="s">
        <v>172</v>
      </c>
      <c r="C818" t="s">
        <v>477</v>
      </c>
      <c r="D818" s="65">
        <v>150</v>
      </c>
      <c r="E818" s="33">
        <v>0.3</v>
      </c>
      <c r="F818" t="s">
        <v>595</v>
      </c>
      <c r="G818" t="s">
        <v>148</v>
      </c>
      <c r="I818" t="s">
        <v>115</v>
      </c>
      <c r="J818" t="s">
        <v>201</v>
      </c>
      <c r="K818" s="17"/>
      <c r="L818" s="28"/>
    </row>
    <row r="819" spans="1:12" s="25" customFormat="1" x14ac:dyDescent="0.2">
      <c r="A819">
        <v>2012</v>
      </c>
      <c r="B819" t="s">
        <v>172</v>
      </c>
      <c r="C819" t="s">
        <v>263</v>
      </c>
      <c r="D819" s="65">
        <v>920</v>
      </c>
      <c r="E819" s="33">
        <v>8.6999999999999994E-2</v>
      </c>
      <c r="F819" t="s">
        <v>634</v>
      </c>
      <c r="G819" t="s">
        <v>155</v>
      </c>
      <c r="I819" t="s">
        <v>20</v>
      </c>
      <c r="J819" t="s">
        <v>195</v>
      </c>
      <c r="K819" s="17"/>
      <c r="L819" s="28"/>
    </row>
    <row r="820" spans="1:12" s="25" customFormat="1" x14ac:dyDescent="0.2">
      <c r="A820">
        <v>2012</v>
      </c>
      <c r="B820" t="s">
        <v>172</v>
      </c>
      <c r="C820" t="s">
        <v>570</v>
      </c>
      <c r="D820" s="65">
        <v>100</v>
      </c>
      <c r="E820" s="33">
        <v>1</v>
      </c>
      <c r="F820" t="s">
        <v>635</v>
      </c>
      <c r="G820" t="s">
        <v>149</v>
      </c>
      <c r="I820" t="s">
        <v>25</v>
      </c>
      <c r="J820" t="s">
        <v>177</v>
      </c>
      <c r="K820" s="17"/>
      <c r="L820" s="28"/>
    </row>
    <row r="821" spans="1:12" s="25" customFormat="1" x14ac:dyDescent="0.2">
      <c r="A821">
        <v>2012</v>
      </c>
      <c r="B821" t="s">
        <v>172</v>
      </c>
      <c r="C821" t="s">
        <v>373</v>
      </c>
      <c r="D821" s="65">
        <v>130</v>
      </c>
      <c r="E821" s="33"/>
      <c r="F821" t="s">
        <v>636</v>
      </c>
      <c r="G821" t="s">
        <v>153</v>
      </c>
      <c r="I821" t="s">
        <v>131</v>
      </c>
      <c r="J821" t="s">
        <v>131</v>
      </c>
      <c r="K821" s="17"/>
      <c r="L821" s="28"/>
    </row>
    <row r="822" spans="1:12" s="25" customFormat="1" x14ac:dyDescent="0.2">
      <c r="A822">
        <v>2012</v>
      </c>
      <c r="B822" t="s">
        <v>258</v>
      </c>
      <c r="C822" t="s">
        <v>637</v>
      </c>
      <c r="D822" s="65">
        <v>100</v>
      </c>
      <c r="E822" s="33"/>
      <c r="F822" t="s">
        <v>638</v>
      </c>
      <c r="G822" t="s">
        <v>154</v>
      </c>
      <c r="H822" t="s">
        <v>194</v>
      </c>
      <c r="I822" t="s">
        <v>98</v>
      </c>
      <c r="J822" t="s">
        <v>195</v>
      </c>
      <c r="K822" s="17"/>
      <c r="L822" s="28"/>
    </row>
    <row r="823" spans="1:12" s="25" customFormat="1" x14ac:dyDescent="0.2">
      <c r="A823">
        <v>2012</v>
      </c>
      <c r="B823" t="s">
        <v>258</v>
      </c>
      <c r="C823" t="s">
        <v>276</v>
      </c>
      <c r="D823" s="65">
        <v>100</v>
      </c>
      <c r="E823" s="33">
        <v>1</v>
      </c>
      <c r="G823" t="s">
        <v>149</v>
      </c>
      <c r="H823" t="s">
        <v>236</v>
      </c>
      <c r="I823" t="s">
        <v>131</v>
      </c>
      <c r="J823" t="s">
        <v>131</v>
      </c>
      <c r="K823" s="17"/>
      <c r="L823" s="28" t="s">
        <v>178</v>
      </c>
    </row>
    <row r="824" spans="1:12" s="25" customFormat="1" x14ac:dyDescent="0.2">
      <c r="A824">
        <v>2012</v>
      </c>
      <c r="B824" t="s">
        <v>258</v>
      </c>
      <c r="C824" t="s">
        <v>307</v>
      </c>
      <c r="D824" s="65">
        <v>510</v>
      </c>
      <c r="E824" s="33">
        <v>0.25</v>
      </c>
      <c r="F824" t="s">
        <v>639</v>
      </c>
      <c r="G824" t="s">
        <v>144</v>
      </c>
      <c r="I824" t="s">
        <v>99</v>
      </c>
      <c r="J824" t="s">
        <v>195</v>
      </c>
      <c r="K824" s="17"/>
      <c r="L824" s="28"/>
    </row>
    <row r="825" spans="1:12" s="25" customFormat="1" x14ac:dyDescent="0.2">
      <c r="A825">
        <v>2012</v>
      </c>
      <c r="B825" t="s">
        <v>258</v>
      </c>
      <c r="C825" t="s">
        <v>640</v>
      </c>
      <c r="D825" s="65">
        <v>300</v>
      </c>
      <c r="E825" s="33"/>
      <c r="F825" t="s">
        <v>641</v>
      </c>
      <c r="G825" t="s">
        <v>144</v>
      </c>
      <c r="H825" t="s">
        <v>187</v>
      </c>
      <c r="I825" t="s">
        <v>25</v>
      </c>
      <c r="J825" t="s">
        <v>177</v>
      </c>
      <c r="K825" s="17"/>
      <c r="L825" s="28"/>
    </row>
    <row r="826" spans="1:12" s="25" customFormat="1" x14ac:dyDescent="0.2">
      <c r="A826">
        <v>2012</v>
      </c>
      <c r="B826" t="s">
        <v>258</v>
      </c>
      <c r="C826" t="s">
        <v>642</v>
      </c>
      <c r="D826" s="65">
        <v>120</v>
      </c>
      <c r="E826" s="33"/>
      <c r="G826" t="s">
        <v>154</v>
      </c>
      <c r="H826" t="s">
        <v>271</v>
      </c>
      <c r="I826" t="s">
        <v>131</v>
      </c>
      <c r="J826" t="s">
        <v>131</v>
      </c>
      <c r="K826" s="17"/>
      <c r="L826" s="28"/>
    </row>
    <row r="827" spans="1:12" s="25" customFormat="1" x14ac:dyDescent="0.2">
      <c r="A827">
        <v>2012</v>
      </c>
      <c r="B827" t="s">
        <v>258</v>
      </c>
      <c r="C827" t="s">
        <v>199</v>
      </c>
      <c r="D827" s="65">
        <v>1030</v>
      </c>
      <c r="E827" s="33">
        <v>0.2</v>
      </c>
      <c r="F827" t="s">
        <v>462</v>
      </c>
      <c r="G827" t="s">
        <v>144</v>
      </c>
      <c r="H827" t="s">
        <v>299</v>
      </c>
      <c r="I827" t="s">
        <v>25</v>
      </c>
      <c r="J827" t="s">
        <v>177</v>
      </c>
      <c r="K827" s="17"/>
      <c r="L827" s="28"/>
    </row>
    <row r="828" spans="1:12" s="25" customFormat="1" x14ac:dyDescent="0.2">
      <c r="A828">
        <v>2012</v>
      </c>
      <c r="B828" t="s">
        <v>258</v>
      </c>
      <c r="C828" t="s">
        <v>313</v>
      </c>
      <c r="D828" s="65">
        <v>980</v>
      </c>
      <c r="E828" s="33"/>
      <c r="F828" t="s">
        <v>325</v>
      </c>
      <c r="G828" t="s">
        <v>144</v>
      </c>
      <c r="H828" t="s">
        <v>299</v>
      </c>
      <c r="I828" t="s">
        <v>28</v>
      </c>
      <c r="J828" t="s">
        <v>205</v>
      </c>
      <c r="K828" s="17"/>
      <c r="L828" s="28"/>
    </row>
    <row r="829" spans="1:12" s="25" customFormat="1" x14ac:dyDescent="0.2">
      <c r="A829">
        <v>2012</v>
      </c>
      <c r="B829" t="s">
        <v>258</v>
      </c>
      <c r="C829" t="s">
        <v>596</v>
      </c>
      <c r="D829" s="65">
        <v>190</v>
      </c>
      <c r="E829" s="33">
        <v>0.5</v>
      </c>
      <c r="F829" t="s">
        <v>643</v>
      </c>
      <c r="G829" t="s">
        <v>144</v>
      </c>
      <c r="H829" t="s">
        <v>232</v>
      </c>
      <c r="I829" t="s">
        <v>27</v>
      </c>
      <c r="J829" t="s">
        <v>205</v>
      </c>
      <c r="K829" s="17"/>
      <c r="L829" s="28" t="s">
        <v>178</v>
      </c>
    </row>
    <row r="830" spans="1:12" s="25" customFormat="1" x14ac:dyDescent="0.2">
      <c r="A830">
        <v>2012</v>
      </c>
      <c r="B830" t="s">
        <v>258</v>
      </c>
      <c r="C830" t="s">
        <v>313</v>
      </c>
      <c r="D830" s="65">
        <v>260</v>
      </c>
      <c r="E830" s="33">
        <v>0.35</v>
      </c>
      <c r="F830" t="s">
        <v>644</v>
      </c>
      <c r="G830" t="s">
        <v>144</v>
      </c>
      <c r="H830" t="s">
        <v>187</v>
      </c>
      <c r="I830" t="s">
        <v>15</v>
      </c>
      <c r="J830" t="s">
        <v>195</v>
      </c>
      <c r="K830" s="17"/>
      <c r="L830" s="28"/>
    </row>
    <row r="831" spans="1:12" s="25" customFormat="1" x14ac:dyDescent="0.2">
      <c r="A831">
        <v>2012</v>
      </c>
      <c r="B831" t="s">
        <v>258</v>
      </c>
      <c r="C831" t="s">
        <v>645</v>
      </c>
      <c r="D831" s="65">
        <v>990</v>
      </c>
      <c r="E831" s="33">
        <v>0.9</v>
      </c>
      <c r="F831" t="s">
        <v>646</v>
      </c>
      <c r="G831" t="s">
        <v>149</v>
      </c>
      <c r="I831" t="s">
        <v>20</v>
      </c>
      <c r="J831" t="s">
        <v>195</v>
      </c>
      <c r="K831" s="17"/>
      <c r="L831" s="28"/>
    </row>
    <row r="832" spans="1:12" s="25" customFormat="1" x14ac:dyDescent="0.2">
      <c r="A832">
        <v>2012</v>
      </c>
      <c r="B832" t="s">
        <v>179</v>
      </c>
      <c r="C832" t="s">
        <v>485</v>
      </c>
      <c r="D832" s="65">
        <v>100</v>
      </c>
      <c r="E832" s="33"/>
      <c r="G832" t="s">
        <v>149</v>
      </c>
      <c r="H832" t="s">
        <v>238</v>
      </c>
      <c r="I832" t="s">
        <v>50</v>
      </c>
      <c r="J832" t="s">
        <v>205</v>
      </c>
      <c r="K832" s="17"/>
      <c r="L832" s="28"/>
    </row>
    <row r="833" spans="1:12" s="25" customFormat="1" x14ac:dyDescent="0.2">
      <c r="A833">
        <v>2012</v>
      </c>
      <c r="B833" t="s">
        <v>179</v>
      </c>
      <c r="C833" t="s">
        <v>645</v>
      </c>
      <c r="D833" s="65">
        <v>2380</v>
      </c>
      <c r="E833" s="33">
        <v>1</v>
      </c>
      <c r="F833" t="s">
        <v>647</v>
      </c>
      <c r="G833" t="s">
        <v>149</v>
      </c>
      <c r="I833" t="s">
        <v>9</v>
      </c>
      <c r="J833" t="s">
        <v>9</v>
      </c>
      <c r="K833" s="17"/>
      <c r="L833" s="28"/>
    </row>
    <row r="834" spans="1:12" s="25" customFormat="1" x14ac:dyDescent="0.2">
      <c r="A834">
        <v>2012</v>
      </c>
      <c r="B834" t="s">
        <v>179</v>
      </c>
      <c r="C834" t="s">
        <v>557</v>
      </c>
      <c r="D834" s="65">
        <v>230</v>
      </c>
      <c r="E834" s="33"/>
      <c r="G834" t="s">
        <v>150</v>
      </c>
      <c r="H834" t="s">
        <v>217</v>
      </c>
      <c r="I834" t="s">
        <v>38</v>
      </c>
      <c r="J834" t="s">
        <v>214</v>
      </c>
      <c r="K834" s="17"/>
      <c r="L834" s="28" t="s">
        <v>178</v>
      </c>
    </row>
    <row r="835" spans="1:12" s="25" customFormat="1" x14ac:dyDescent="0.2">
      <c r="A835">
        <v>2012</v>
      </c>
      <c r="B835" t="s">
        <v>179</v>
      </c>
      <c r="C835" t="s">
        <v>559</v>
      </c>
      <c r="D835" s="65">
        <v>100</v>
      </c>
      <c r="E835" s="33"/>
      <c r="G835" t="s">
        <v>149</v>
      </c>
      <c r="I835" t="s">
        <v>101</v>
      </c>
      <c r="J835" t="s">
        <v>201</v>
      </c>
      <c r="K835" s="17"/>
      <c r="L835" s="28" t="s">
        <v>178</v>
      </c>
    </row>
    <row r="836" spans="1:12" s="25" customFormat="1" x14ac:dyDescent="0.2">
      <c r="A836">
        <v>2012</v>
      </c>
      <c r="B836" t="s">
        <v>184</v>
      </c>
      <c r="C836" t="s">
        <v>483</v>
      </c>
      <c r="D836" s="65">
        <v>500</v>
      </c>
      <c r="E836" s="33"/>
      <c r="F836" t="s">
        <v>648</v>
      </c>
      <c r="G836" t="s">
        <v>149</v>
      </c>
      <c r="H836" t="s">
        <v>238</v>
      </c>
      <c r="I836" t="s">
        <v>101</v>
      </c>
      <c r="J836" t="s">
        <v>201</v>
      </c>
      <c r="K836" s="17"/>
      <c r="L836" s="28" t="s">
        <v>178</v>
      </c>
    </row>
    <row r="837" spans="1:12" s="25" customFormat="1" x14ac:dyDescent="0.2">
      <c r="A837">
        <v>2012</v>
      </c>
      <c r="B837" t="s">
        <v>184</v>
      </c>
      <c r="C837" t="s">
        <v>649</v>
      </c>
      <c r="D837" s="65">
        <v>330</v>
      </c>
      <c r="E837" s="33">
        <v>0.52</v>
      </c>
      <c r="F837" t="s">
        <v>650</v>
      </c>
      <c r="G837" t="s">
        <v>151</v>
      </c>
      <c r="H837" t="s">
        <v>279</v>
      </c>
      <c r="I837" t="s">
        <v>45</v>
      </c>
      <c r="J837" t="s">
        <v>195</v>
      </c>
      <c r="K837" s="17"/>
      <c r="L837" s="28"/>
    </row>
    <row r="838" spans="1:12" s="25" customFormat="1" x14ac:dyDescent="0.2">
      <c r="A838">
        <v>2012</v>
      </c>
      <c r="B838" t="s">
        <v>184</v>
      </c>
      <c r="C838" t="s">
        <v>651</v>
      </c>
      <c r="D838" s="65">
        <v>200</v>
      </c>
      <c r="E838" s="33">
        <v>0.19900000000000001</v>
      </c>
      <c r="F838" t="s">
        <v>652</v>
      </c>
      <c r="G838" t="s">
        <v>149</v>
      </c>
      <c r="H838" t="s">
        <v>182</v>
      </c>
      <c r="I838" t="s">
        <v>25</v>
      </c>
      <c r="J838" t="s">
        <v>177</v>
      </c>
      <c r="K838" s="17"/>
      <c r="L838" s="28"/>
    </row>
    <row r="839" spans="1:12" s="25" customFormat="1" x14ac:dyDescent="0.2">
      <c r="A839">
        <v>2012</v>
      </c>
      <c r="B839" t="s">
        <v>184</v>
      </c>
      <c r="C839" t="s">
        <v>653</v>
      </c>
      <c r="D839" s="65">
        <v>170</v>
      </c>
      <c r="E839" s="33">
        <v>1</v>
      </c>
      <c r="F839" t="s">
        <v>654</v>
      </c>
      <c r="G839" t="s">
        <v>142</v>
      </c>
      <c r="I839" t="s">
        <v>86</v>
      </c>
      <c r="J839" t="s">
        <v>183</v>
      </c>
      <c r="K839" s="17"/>
      <c r="L839" s="28"/>
    </row>
    <row r="840" spans="1:12" s="25" customFormat="1" x14ac:dyDescent="0.2">
      <c r="A840">
        <v>2012</v>
      </c>
      <c r="B840" t="s">
        <v>184</v>
      </c>
      <c r="C840" t="s">
        <v>263</v>
      </c>
      <c r="D840" s="65">
        <v>200</v>
      </c>
      <c r="E840" s="33"/>
      <c r="F840" t="s">
        <v>377</v>
      </c>
      <c r="G840" t="s">
        <v>146</v>
      </c>
      <c r="H840" t="s">
        <v>253</v>
      </c>
      <c r="I840" t="s">
        <v>131</v>
      </c>
      <c r="J840" t="s">
        <v>131</v>
      </c>
      <c r="K840" s="17"/>
      <c r="L840" s="28"/>
    </row>
    <row r="841" spans="1:12" s="25" customFormat="1" x14ac:dyDescent="0.2">
      <c r="A841">
        <v>2012</v>
      </c>
      <c r="B841" t="s">
        <v>184</v>
      </c>
      <c r="C841" t="s">
        <v>267</v>
      </c>
      <c r="D841" s="65">
        <v>1350</v>
      </c>
      <c r="E841" s="33">
        <v>0.41</v>
      </c>
      <c r="F841" t="s">
        <v>315</v>
      </c>
      <c r="G841" t="s">
        <v>149</v>
      </c>
      <c r="H841" t="s">
        <v>182</v>
      </c>
      <c r="I841" t="s">
        <v>48</v>
      </c>
      <c r="J841" t="s">
        <v>219</v>
      </c>
      <c r="K841" s="17"/>
      <c r="L841" s="28" t="s">
        <v>178</v>
      </c>
    </row>
    <row r="842" spans="1:12" s="25" customFormat="1" x14ac:dyDescent="0.2">
      <c r="A842">
        <v>2012</v>
      </c>
      <c r="B842" t="s">
        <v>225</v>
      </c>
      <c r="C842" t="s">
        <v>300</v>
      </c>
      <c r="D842" s="65">
        <v>440</v>
      </c>
      <c r="E842" s="33"/>
      <c r="F842" t="s">
        <v>655</v>
      </c>
      <c r="G842" t="s">
        <v>151</v>
      </c>
      <c r="H842" t="s">
        <v>224</v>
      </c>
      <c r="I842" t="s">
        <v>20</v>
      </c>
      <c r="J842" t="s">
        <v>195</v>
      </c>
      <c r="K842" s="17"/>
      <c r="L842" s="28"/>
    </row>
    <row r="843" spans="1:12" s="25" customFormat="1" x14ac:dyDescent="0.2">
      <c r="A843">
        <v>2012</v>
      </c>
      <c r="B843" t="s">
        <v>225</v>
      </c>
      <c r="C843" t="s">
        <v>444</v>
      </c>
      <c r="D843" s="65">
        <v>120</v>
      </c>
      <c r="E843" s="33">
        <v>0.6</v>
      </c>
      <c r="F843" t="s">
        <v>656</v>
      </c>
      <c r="G843" t="s">
        <v>149</v>
      </c>
      <c r="I843" t="s">
        <v>25</v>
      </c>
      <c r="J843" t="s">
        <v>177</v>
      </c>
      <c r="K843" s="17"/>
      <c r="L843" s="28"/>
    </row>
    <row r="844" spans="1:12" s="25" customFormat="1" x14ac:dyDescent="0.2">
      <c r="A844">
        <v>2012</v>
      </c>
      <c r="B844" t="s">
        <v>225</v>
      </c>
      <c r="C844" t="s">
        <v>245</v>
      </c>
      <c r="D844" s="65">
        <v>240</v>
      </c>
      <c r="E844" s="33"/>
      <c r="G844" t="s">
        <v>145</v>
      </c>
      <c r="I844" t="s">
        <v>23</v>
      </c>
      <c r="J844" t="s">
        <v>183</v>
      </c>
      <c r="K844" s="17"/>
      <c r="L844" s="28"/>
    </row>
    <row r="845" spans="1:12" s="25" customFormat="1" x14ac:dyDescent="0.2">
      <c r="A845">
        <v>2012</v>
      </c>
      <c r="B845" t="s">
        <v>225</v>
      </c>
      <c r="C845" t="s">
        <v>657</v>
      </c>
      <c r="D845" s="65">
        <v>420</v>
      </c>
      <c r="E845" s="33"/>
      <c r="F845" t="s">
        <v>658</v>
      </c>
      <c r="G845" t="s">
        <v>144</v>
      </c>
      <c r="H845" t="s">
        <v>232</v>
      </c>
      <c r="I845" t="s">
        <v>131</v>
      </c>
      <c r="J845" t="s">
        <v>131</v>
      </c>
      <c r="K845" s="17"/>
      <c r="L845" s="28"/>
    </row>
    <row r="846" spans="1:12" s="25" customFormat="1" x14ac:dyDescent="0.2">
      <c r="A846">
        <v>2012</v>
      </c>
      <c r="B846" t="s">
        <v>225</v>
      </c>
      <c r="C846" t="s">
        <v>588</v>
      </c>
      <c r="D846" s="65">
        <v>1940</v>
      </c>
      <c r="E846" s="33">
        <v>0.6</v>
      </c>
      <c r="F846" t="s">
        <v>659</v>
      </c>
      <c r="G846" t="s">
        <v>142</v>
      </c>
      <c r="I846" t="s">
        <v>20</v>
      </c>
      <c r="J846" t="s">
        <v>195</v>
      </c>
      <c r="K846" s="17"/>
      <c r="L846" s="28"/>
    </row>
    <row r="847" spans="1:12" s="25" customFormat="1" x14ac:dyDescent="0.2">
      <c r="A847">
        <v>2012</v>
      </c>
      <c r="B847" t="s">
        <v>225</v>
      </c>
      <c r="C847" t="s">
        <v>530</v>
      </c>
      <c r="D847" s="65">
        <v>1200</v>
      </c>
      <c r="E847" s="33">
        <v>1</v>
      </c>
      <c r="G847" t="s">
        <v>152</v>
      </c>
      <c r="H847" t="s">
        <v>257</v>
      </c>
      <c r="I847" t="s">
        <v>51</v>
      </c>
      <c r="J847" t="s">
        <v>195</v>
      </c>
      <c r="K847" s="17"/>
      <c r="L847" s="28" t="s">
        <v>178</v>
      </c>
    </row>
    <row r="848" spans="1:12" s="25" customFormat="1" x14ac:dyDescent="0.2">
      <c r="A848">
        <v>2012</v>
      </c>
      <c r="B848" t="s">
        <v>225</v>
      </c>
      <c r="C848" t="s">
        <v>263</v>
      </c>
      <c r="D848" s="65">
        <v>420</v>
      </c>
      <c r="E848" s="33">
        <v>0.05</v>
      </c>
      <c r="F848" t="s">
        <v>660</v>
      </c>
      <c r="G848" t="s">
        <v>149</v>
      </c>
      <c r="I848" t="s">
        <v>101</v>
      </c>
      <c r="J848" t="s">
        <v>201</v>
      </c>
      <c r="K848" s="17"/>
      <c r="L848" s="28"/>
    </row>
    <row r="849" spans="1:12" s="25" customFormat="1" x14ac:dyDescent="0.2">
      <c r="A849">
        <v>2012</v>
      </c>
      <c r="B849" t="s">
        <v>225</v>
      </c>
      <c r="C849" t="s">
        <v>661</v>
      </c>
      <c r="D849" s="65">
        <v>2600</v>
      </c>
      <c r="E849" s="33">
        <v>1</v>
      </c>
      <c r="F849" t="s">
        <v>662</v>
      </c>
      <c r="G849" t="s">
        <v>145</v>
      </c>
      <c r="I849" t="s">
        <v>131</v>
      </c>
      <c r="J849" t="s">
        <v>131</v>
      </c>
      <c r="K849" s="17"/>
      <c r="L849" s="28"/>
    </row>
    <row r="850" spans="1:12" s="25" customFormat="1" x14ac:dyDescent="0.2">
      <c r="A850">
        <v>2012</v>
      </c>
      <c r="B850" t="s">
        <v>225</v>
      </c>
      <c r="C850" t="s">
        <v>307</v>
      </c>
      <c r="D850" s="65">
        <v>940</v>
      </c>
      <c r="E850" s="33"/>
      <c r="F850" t="s">
        <v>663</v>
      </c>
      <c r="G850" t="s">
        <v>144</v>
      </c>
      <c r="I850" t="s">
        <v>19</v>
      </c>
      <c r="J850" t="s">
        <v>205</v>
      </c>
      <c r="K850" s="17"/>
      <c r="L850" s="28"/>
    </row>
    <row r="851" spans="1:12" s="25" customFormat="1" x14ac:dyDescent="0.2">
      <c r="A851">
        <v>2012</v>
      </c>
      <c r="B851" t="s">
        <v>225</v>
      </c>
      <c r="C851" t="s">
        <v>664</v>
      </c>
      <c r="D851" s="65">
        <v>200</v>
      </c>
      <c r="E851" s="33">
        <v>1</v>
      </c>
      <c r="F851" t="s">
        <v>665</v>
      </c>
      <c r="G851" t="s">
        <v>146</v>
      </c>
      <c r="H851" t="s">
        <v>275</v>
      </c>
      <c r="I851" t="s">
        <v>19</v>
      </c>
      <c r="J851" t="s">
        <v>205</v>
      </c>
      <c r="K851" s="17"/>
      <c r="L851" s="28"/>
    </row>
    <row r="852" spans="1:12" s="25" customFormat="1" x14ac:dyDescent="0.2">
      <c r="A852">
        <v>2012</v>
      </c>
      <c r="B852" t="s">
        <v>225</v>
      </c>
      <c r="C852" t="s">
        <v>600</v>
      </c>
      <c r="D852" s="65">
        <v>200</v>
      </c>
      <c r="E852" s="33"/>
      <c r="G852" t="s">
        <v>144</v>
      </c>
      <c r="H852" t="s">
        <v>299</v>
      </c>
      <c r="I852" t="s">
        <v>93</v>
      </c>
      <c r="J852" t="s">
        <v>201</v>
      </c>
      <c r="K852" s="17"/>
      <c r="L852" s="28"/>
    </row>
    <row r="853" spans="1:12" s="25" customFormat="1" x14ac:dyDescent="0.2">
      <c r="A853">
        <v>2012</v>
      </c>
      <c r="B853" t="s">
        <v>225</v>
      </c>
      <c r="C853" t="s">
        <v>666</v>
      </c>
      <c r="D853" s="65">
        <v>150</v>
      </c>
      <c r="E853" s="33">
        <v>1</v>
      </c>
      <c r="F853" t="s">
        <v>667</v>
      </c>
      <c r="G853" t="s">
        <v>151</v>
      </c>
      <c r="H853" t="s">
        <v>279</v>
      </c>
      <c r="I853" t="s">
        <v>108</v>
      </c>
      <c r="J853" t="s">
        <v>183</v>
      </c>
      <c r="K853" s="17"/>
      <c r="L853" s="28"/>
    </row>
    <row r="854" spans="1:12" s="25" customFormat="1" x14ac:dyDescent="0.2">
      <c r="A854">
        <v>2012</v>
      </c>
      <c r="B854" t="s">
        <v>188</v>
      </c>
      <c r="C854" t="s">
        <v>668</v>
      </c>
      <c r="D854" s="65">
        <v>200</v>
      </c>
      <c r="E854" s="33">
        <v>1</v>
      </c>
      <c r="G854" t="s">
        <v>144</v>
      </c>
      <c r="I854" t="s">
        <v>52</v>
      </c>
      <c r="J854" t="s">
        <v>201</v>
      </c>
      <c r="K854" s="17"/>
      <c r="L854" s="28" t="s">
        <v>178</v>
      </c>
    </row>
    <row r="855" spans="1:12" s="25" customFormat="1" x14ac:dyDescent="0.2">
      <c r="A855">
        <v>2012</v>
      </c>
      <c r="B855" t="s">
        <v>188</v>
      </c>
      <c r="C855" t="s">
        <v>454</v>
      </c>
      <c r="D855" s="65">
        <v>330</v>
      </c>
      <c r="E855" s="33">
        <v>0.4</v>
      </c>
      <c r="F855" t="s">
        <v>669</v>
      </c>
      <c r="G855" t="s">
        <v>145</v>
      </c>
      <c r="I855" t="s">
        <v>131</v>
      </c>
      <c r="J855" t="s">
        <v>131</v>
      </c>
      <c r="K855" s="17"/>
      <c r="L855" s="28"/>
    </row>
    <row r="856" spans="1:12" s="25" customFormat="1" x14ac:dyDescent="0.2">
      <c r="A856">
        <v>2012</v>
      </c>
      <c r="B856" t="s">
        <v>188</v>
      </c>
      <c r="C856" t="s">
        <v>670</v>
      </c>
      <c r="D856" s="65">
        <v>510</v>
      </c>
      <c r="E856" s="33">
        <v>1</v>
      </c>
      <c r="F856" t="s">
        <v>671</v>
      </c>
      <c r="G856" t="s">
        <v>144</v>
      </c>
      <c r="H856" t="s">
        <v>232</v>
      </c>
      <c r="I856" t="s">
        <v>45</v>
      </c>
      <c r="J856" t="s">
        <v>195</v>
      </c>
      <c r="K856" s="17"/>
      <c r="L856" s="28"/>
    </row>
    <row r="857" spans="1:12" s="25" customFormat="1" x14ac:dyDescent="0.2">
      <c r="A857">
        <v>2012</v>
      </c>
      <c r="B857" t="s">
        <v>188</v>
      </c>
      <c r="C857" t="s">
        <v>559</v>
      </c>
      <c r="D857" s="65">
        <v>240</v>
      </c>
      <c r="E857" s="33"/>
      <c r="F857" t="s">
        <v>672</v>
      </c>
      <c r="G857" t="s">
        <v>149</v>
      </c>
      <c r="I857" t="s">
        <v>9</v>
      </c>
      <c r="J857" t="s">
        <v>9</v>
      </c>
      <c r="K857" s="17"/>
      <c r="L857" s="28"/>
    </row>
    <row r="858" spans="1:12" s="25" customFormat="1" x14ac:dyDescent="0.2">
      <c r="A858">
        <v>2012</v>
      </c>
      <c r="B858" t="s">
        <v>188</v>
      </c>
      <c r="C858" t="s">
        <v>608</v>
      </c>
      <c r="D858" s="65">
        <v>1260</v>
      </c>
      <c r="E858" s="33">
        <v>0.61</v>
      </c>
      <c r="F858" t="s">
        <v>673</v>
      </c>
      <c r="G858" t="s">
        <v>149</v>
      </c>
      <c r="H858" t="s">
        <v>182</v>
      </c>
      <c r="I858" t="s">
        <v>53</v>
      </c>
      <c r="J858" t="s">
        <v>183</v>
      </c>
      <c r="K858" s="17"/>
      <c r="L858" s="28" t="s">
        <v>178</v>
      </c>
    </row>
    <row r="859" spans="1:12" s="25" customFormat="1" x14ac:dyDescent="0.2">
      <c r="A859">
        <v>2012</v>
      </c>
      <c r="B859" t="s">
        <v>188</v>
      </c>
      <c r="C859" t="s">
        <v>263</v>
      </c>
      <c r="D859" s="65">
        <v>490</v>
      </c>
      <c r="E859" s="33">
        <v>7.0000000000000007E-2</v>
      </c>
      <c r="F859" t="s">
        <v>674</v>
      </c>
      <c r="G859" t="s">
        <v>152</v>
      </c>
      <c r="H859" t="s">
        <v>257</v>
      </c>
      <c r="I859" t="s">
        <v>42</v>
      </c>
      <c r="J859" t="s">
        <v>195</v>
      </c>
      <c r="K859" s="17"/>
      <c r="L859" s="28"/>
    </row>
    <row r="860" spans="1:12" s="25" customFormat="1" x14ac:dyDescent="0.2">
      <c r="A860">
        <v>2012</v>
      </c>
      <c r="B860" t="s">
        <v>188</v>
      </c>
      <c r="C860" t="s">
        <v>551</v>
      </c>
      <c r="D860" s="65">
        <v>120</v>
      </c>
      <c r="E860" s="33"/>
      <c r="G860" t="s">
        <v>154</v>
      </c>
      <c r="H860" t="s">
        <v>194</v>
      </c>
      <c r="I860" t="s">
        <v>128</v>
      </c>
      <c r="J860" t="s">
        <v>201</v>
      </c>
      <c r="K860" s="17"/>
      <c r="L860" s="28" t="s">
        <v>178</v>
      </c>
    </row>
    <row r="861" spans="1:12" s="25" customFormat="1" x14ac:dyDescent="0.2">
      <c r="A861">
        <v>2012</v>
      </c>
      <c r="B861" t="s">
        <v>188</v>
      </c>
      <c r="C861" t="s">
        <v>675</v>
      </c>
      <c r="D861" s="65">
        <v>100</v>
      </c>
      <c r="E861" s="33">
        <v>0.9</v>
      </c>
      <c r="F861" t="s">
        <v>676</v>
      </c>
      <c r="G861" t="s">
        <v>146</v>
      </c>
      <c r="H861" t="s">
        <v>275</v>
      </c>
      <c r="I861" t="s">
        <v>44</v>
      </c>
      <c r="J861" t="s">
        <v>201</v>
      </c>
      <c r="K861" s="17"/>
      <c r="L861" s="28"/>
    </row>
    <row r="862" spans="1:12" s="25" customFormat="1" x14ac:dyDescent="0.2">
      <c r="A862">
        <v>2012</v>
      </c>
      <c r="B862" t="s">
        <v>188</v>
      </c>
      <c r="C862" t="s">
        <v>300</v>
      </c>
      <c r="D862" s="65">
        <v>200</v>
      </c>
      <c r="E862" s="33">
        <v>0.1</v>
      </c>
      <c r="F862" t="s">
        <v>677</v>
      </c>
      <c r="G862" t="s">
        <v>155</v>
      </c>
      <c r="I862" t="s">
        <v>20</v>
      </c>
      <c r="J862" t="s">
        <v>195</v>
      </c>
      <c r="K862" s="17"/>
      <c r="L862" s="28"/>
    </row>
    <row r="863" spans="1:12" s="25" customFormat="1" x14ac:dyDescent="0.2">
      <c r="A863">
        <v>2012</v>
      </c>
      <c r="B863" t="s">
        <v>188</v>
      </c>
      <c r="C863" t="s">
        <v>263</v>
      </c>
      <c r="D863" s="65">
        <v>900</v>
      </c>
      <c r="E863" s="33">
        <v>0.5</v>
      </c>
      <c r="F863" t="s">
        <v>678</v>
      </c>
      <c r="G863" t="s">
        <v>146</v>
      </c>
      <c r="I863" t="s">
        <v>101</v>
      </c>
      <c r="J863" t="s">
        <v>201</v>
      </c>
      <c r="K863" s="17"/>
      <c r="L863" s="28"/>
    </row>
    <row r="864" spans="1:12" s="25" customFormat="1" x14ac:dyDescent="0.2">
      <c r="A864">
        <v>2012</v>
      </c>
      <c r="B864" t="s">
        <v>188</v>
      </c>
      <c r="C864" t="s">
        <v>337</v>
      </c>
      <c r="D864" s="65">
        <v>590</v>
      </c>
      <c r="E864" s="33">
        <v>1</v>
      </c>
      <c r="F864" t="s">
        <v>679</v>
      </c>
      <c r="G864" t="s">
        <v>144</v>
      </c>
      <c r="H864" t="s">
        <v>299</v>
      </c>
      <c r="I864" t="s">
        <v>101</v>
      </c>
      <c r="J864" t="s">
        <v>201</v>
      </c>
      <c r="K864" s="17"/>
      <c r="L864" s="28" t="s">
        <v>178</v>
      </c>
    </row>
    <row r="865" spans="1:12" s="25" customFormat="1" x14ac:dyDescent="0.2">
      <c r="A865">
        <v>2012</v>
      </c>
      <c r="B865" t="s">
        <v>191</v>
      </c>
      <c r="C865" t="s">
        <v>680</v>
      </c>
      <c r="D865" s="65">
        <v>250</v>
      </c>
      <c r="E865" s="33">
        <v>1</v>
      </c>
      <c r="F865" t="s">
        <v>681</v>
      </c>
      <c r="G865" t="s">
        <v>154</v>
      </c>
      <c r="H865" t="s">
        <v>194</v>
      </c>
      <c r="I865" t="s">
        <v>25</v>
      </c>
      <c r="J865" t="s">
        <v>177</v>
      </c>
      <c r="K865" s="17"/>
      <c r="L865" s="28"/>
    </row>
    <row r="866" spans="1:12" s="25" customFormat="1" x14ac:dyDescent="0.2">
      <c r="A866">
        <v>2012</v>
      </c>
      <c r="B866" t="s">
        <v>191</v>
      </c>
      <c r="C866" t="s">
        <v>300</v>
      </c>
      <c r="D866" s="65">
        <v>1500</v>
      </c>
      <c r="E866" s="33"/>
      <c r="F866" t="s">
        <v>476</v>
      </c>
      <c r="G866" t="s">
        <v>146</v>
      </c>
      <c r="H866" t="s">
        <v>253</v>
      </c>
      <c r="I866" t="s">
        <v>131</v>
      </c>
      <c r="J866" t="s">
        <v>131</v>
      </c>
      <c r="K866" s="17"/>
      <c r="L866" s="28"/>
    </row>
    <row r="867" spans="1:12" s="25" customFormat="1" x14ac:dyDescent="0.2">
      <c r="A867">
        <v>2012</v>
      </c>
      <c r="B867" t="s">
        <v>191</v>
      </c>
      <c r="C867" t="s">
        <v>300</v>
      </c>
      <c r="D867" s="65">
        <v>500</v>
      </c>
      <c r="E867" s="33"/>
      <c r="F867" t="s">
        <v>264</v>
      </c>
      <c r="G867" t="s">
        <v>151</v>
      </c>
      <c r="H867" t="s">
        <v>224</v>
      </c>
      <c r="I867" t="s">
        <v>131</v>
      </c>
      <c r="J867" t="s">
        <v>131</v>
      </c>
      <c r="K867" s="17"/>
      <c r="L867" s="28"/>
    </row>
    <row r="868" spans="1:12" s="25" customFormat="1" x14ac:dyDescent="0.2">
      <c r="A868">
        <v>2012</v>
      </c>
      <c r="B868" t="s">
        <v>191</v>
      </c>
      <c r="C868" t="s">
        <v>189</v>
      </c>
      <c r="D868" s="65">
        <v>1500</v>
      </c>
      <c r="E868" s="33">
        <v>0.49</v>
      </c>
      <c r="F868" t="s">
        <v>367</v>
      </c>
      <c r="G868" t="s">
        <v>144</v>
      </c>
      <c r="H868" t="s">
        <v>187</v>
      </c>
      <c r="I868" t="s">
        <v>20</v>
      </c>
      <c r="J868" t="s">
        <v>195</v>
      </c>
      <c r="K868" s="17"/>
      <c r="L868" s="28"/>
    </row>
    <row r="869" spans="1:12" s="25" customFormat="1" x14ac:dyDescent="0.2">
      <c r="A869">
        <v>2012</v>
      </c>
      <c r="B869" t="s">
        <v>191</v>
      </c>
      <c r="C869" t="s">
        <v>682</v>
      </c>
      <c r="D869" s="65">
        <v>130</v>
      </c>
      <c r="E869" s="33">
        <v>1</v>
      </c>
      <c r="G869" t="s">
        <v>154</v>
      </c>
      <c r="H869" t="s">
        <v>529</v>
      </c>
      <c r="I869" t="s">
        <v>72</v>
      </c>
      <c r="J869" t="s">
        <v>183</v>
      </c>
      <c r="K869" s="17"/>
      <c r="L869" s="28" t="s">
        <v>178</v>
      </c>
    </row>
    <row r="870" spans="1:12" s="25" customFormat="1" x14ac:dyDescent="0.2">
      <c r="A870">
        <v>2012</v>
      </c>
      <c r="B870" t="s">
        <v>191</v>
      </c>
      <c r="C870" t="s">
        <v>683</v>
      </c>
      <c r="D870" s="65">
        <v>100</v>
      </c>
      <c r="E870" s="33"/>
      <c r="G870" t="s">
        <v>149</v>
      </c>
      <c r="H870" t="s">
        <v>236</v>
      </c>
      <c r="I870" t="s">
        <v>138</v>
      </c>
      <c r="J870" t="s">
        <v>219</v>
      </c>
      <c r="K870" s="17"/>
      <c r="L870" s="28" t="s">
        <v>178</v>
      </c>
    </row>
    <row r="871" spans="1:12" s="25" customFormat="1" x14ac:dyDescent="0.2">
      <c r="A871">
        <v>2012</v>
      </c>
      <c r="B871" t="s">
        <v>191</v>
      </c>
      <c r="C871" t="s">
        <v>684</v>
      </c>
      <c r="D871" s="65">
        <v>600</v>
      </c>
      <c r="E871" s="33"/>
      <c r="G871" t="s">
        <v>144</v>
      </c>
      <c r="H871" t="s">
        <v>232</v>
      </c>
      <c r="I871" t="s">
        <v>128</v>
      </c>
      <c r="J871" t="s">
        <v>201</v>
      </c>
      <c r="K871" s="17"/>
      <c r="L871" s="28" t="s">
        <v>178</v>
      </c>
    </row>
    <row r="872" spans="1:12" s="25" customFormat="1" x14ac:dyDescent="0.2">
      <c r="A872">
        <v>2012</v>
      </c>
      <c r="B872" t="s">
        <v>191</v>
      </c>
      <c r="C872" t="s">
        <v>199</v>
      </c>
      <c r="D872" s="65">
        <v>820</v>
      </c>
      <c r="E872" s="33"/>
      <c r="G872" t="s">
        <v>144</v>
      </c>
      <c r="H872" t="s">
        <v>187</v>
      </c>
      <c r="I872" t="s">
        <v>55</v>
      </c>
      <c r="J872" t="s">
        <v>214</v>
      </c>
      <c r="K872" s="17"/>
      <c r="L872" s="28"/>
    </row>
    <row r="873" spans="1:12" s="25" customFormat="1" x14ac:dyDescent="0.2">
      <c r="A873">
        <v>2012</v>
      </c>
      <c r="B873" t="s">
        <v>198</v>
      </c>
      <c r="C873" t="s">
        <v>477</v>
      </c>
      <c r="D873" s="65">
        <v>190</v>
      </c>
      <c r="E873" s="33">
        <v>0.5</v>
      </c>
      <c r="F873" t="s">
        <v>685</v>
      </c>
      <c r="G873" t="s">
        <v>148</v>
      </c>
      <c r="I873" t="s">
        <v>125</v>
      </c>
      <c r="J873" t="s">
        <v>219</v>
      </c>
      <c r="K873" s="17"/>
      <c r="L873" s="28"/>
    </row>
    <row r="874" spans="1:12" s="25" customFormat="1" x14ac:dyDescent="0.2">
      <c r="A874">
        <v>2012</v>
      </c>
      <c r="B874" t="s">
        <v>198</v>
      </c>
      <c r="C874" t="s">
        <v>263</v>
      </c>
      <c r="D874" s="65">
        <v>500</v>
      </c>
      <c r="E874" s="33"/>
      <c r="F874" t="s">
        <v>686</v>
      </c>
      <c r="G874" t="s">
        <v>144</v>
      </c>
      <c r="H874" t="s">
        <v>299</v>
      </c>
      <c r="I874" t="s">
        <v>131</v>
      </c>
      <c r="J874" t="s">
        <v>131</v>
      </c>
      <c r="K874" s="17"/>
      <c r="L874" s="28"/>
    </row>
    <row r="875" spans="1:12" s="25" customFormat="1" x14ac:dyDescent="0.2">
      <c r="A875">
        <v>2012</v>
      </c>
      <c r="B875" t="s">
        <v>198</v>
      </c>
      <c r="C875" t="s">
        <v>687</v>
      </c>
      <c r="D875" s="65">
        <v>210</v>
      </c>
      <c r="E875" s="33">
        <v>1</v>
      </c>
      <c r="G875" t="s">
        <v>142</v>
      </c>
      <c r="I875" t="s">
        <v>81</v>
      </c>
      <c r="J875" t="s">
        <v>219</v>
      </c>
      <c r="K875" s="17"/>
      <c r="L875" s="28" t="s">
        <v>178</v>
      </c>
    </row>
    <row r="876" spans="1:12" s="25" customFormat="1" x14ac:dyDescent="0.2">
      <c r="A876">
        <v>2012</v>
      </c>
      <c r="B876" t="s">
        <v>198</v>
      </c>
      <c r="C876" t="s">
        <v>337</v>
      </c>
      <c r="D876" s="65">
        <v>640</v>
      </c>
      <c r="E876" s="33">
        <v>1</v>
      </c>
      <c r="G876" t="s">
        <v>144</v>
      </c>
      <c r="H876" t="s">
        <v>273</v>
      </c>
      <c r="I876" t="s">
        <v>53</v>
      </c>
      <c r="J876" t="s">
        <v>183</v>
      </c>
      <c r="K876" s="17"/>
      <c r="L876" s="28" t="s">
        <v>178</v>
      </c>
    </row>
    <row r="877" spans="1:12" s="25" customFormat="1" x14ac:dyDescent="0.2">
      <c r="A877">
        <v>2012</v>
      </c>
      <c r="B877" t="s">
        <v>202</v>
      </c>
      <c r="C877" t="s">
        <v>688</v>
      </c>
      <c r="D877" s="65">
        <v>120</v>
      </c>
      <c r="E877" s="33">
        <v>1</v>
      </c>
      <c r="F877" t="s">
        <v>689</v>
      </c>
      <c r="G877" t="s">
        <v>147</v>
      </c>
      <c r="I877" t="s">
        <v>131</v>
      </c>
      <c r="J877" t="s">
        <v>131</v>
      </c>
      <c r="K877" s="17"/>
      <c r="L877" s="28"/>
    </row>
    <row r="878" spans="1:12" s="25" customFormat="1" x14ac:dyDescent="0.2">
      <c r="A878">
        <v>2012</v>
      </c>
      <c r="B878" t="s">
        <v>202</v>
      </c>
      <c r="C878" t="s">
        <v>690</v>
      </c>
      <c r="D878" s="65">
        <v>300</v>
      </c>
      <c r="E878" s="33"/>
      <c r="G878" t="s">
        <v>152</v>
      </c>
      <c r="H878" t="s">
        <v>257</v>
      </c>
      <c r="I878" t="s">
        <v>87</v>
      </c>
      <c r="J878" t="s">
        <v>177</v>
      </c>
      <c r="K878" s="17"/>
      <c r="L878" s="28" t="s">
        <v>178</v>
      </c>
    </row>
    <row r="879" spans="1:12" s="25" customFormat="1" x14ac:dyDescent="0.2">
      <c r="A879">
        <v>2012</v>
      </c>
      <c r="B879" t="s">
        <v>202</v>
      </c>
      <c r="C879" s="17" t="s">
        <v>630</v>
      </c>
      <c r="D879" s="65">
        <v>930</v>
      </c>
      <c r="E879" s="33">
        <v>0.25</v>
      </c>
      <c r="F879" t="s">
        <v>691</v>
      </c>
      <c r="G879" t="s">
        <v>151</v>
      </c>
      <c r="H879" t="s">
        <v>279</v>
      </c>
      <c r="I879" t="s">
        <v>45</v>
      </c>
      <c r="J879" t="s">
        <v>195</v>
      </c>
      <c r="K879" s="17"/>
      <c r="L879" s="28"/>
    </row>
    <row r="880" spans="1:12" s="25" customFormat="1" x14ac:dyDescent="0.2">
      <c r="A880">
        <v>2012</v>
      </c>
      <c r="B880" t="s">
        <v>202</v>
      </c>
      <c r="C880" t="s">
        <v>692</v>
      </c>
      <c r="D880" s="65">
        <v>130</v>
      </c>
      <c r="E880" s="33"/>
      <c r="G880" t="s">
        <v>144</v>
      </c>
      <c r="I880" t="s">
        <v>89</v>
      </c>
      <c r="J880" t="s">
        <v>219</v>
      </c>
      <c r="K880" s="17"/>
      <c r="L880" s="28"/>
    </row>
    <row r="881" spans="1:12" s="25" customFormat="1" x14ac:dyDescent="0.2">
      <c r="A881">
        <v>2012</v>
      </c>
      <c r="B881" t="s">
        <v>202</v>
      </c>
      <c r="C881" t="s">
        <v>520</v>
      </c>
      <c r="D881" s="65">
        <v>150</v>
      </c>
      <c r="E881" s="33">
        <v>1</v>
      </c>
      <c r="F881" t="s">
        <v>693</v>
      </c>
      <c r="G881" t="s">
        <v>152</v>
      </c>
      <c r="I881" t="s">
        <v>19</v>
      </c>
      <c r="J881" t="s">
        <v>205</v>
      </c>
      <c r="K881" s="17"/>
      <c r="L881" s="28"/>
    </row>
    <row r="882" spans="1:12" s="25" customFormat="1" x14ac:dyDescent="0.2">
      <c r="A882">
        <v>2012</v>
      </c>
      <c r="B882" t="s">
        <v>202</v>
      </c>
      <c r="C882" t="s">
        <v>694</v>
      </c>
      <c r="D882" s="65">
        <v>240</v>
      </c>
      <c r="E882" s="33">
        <v>0.51</v>
      </c>
      <c r="F882" t="s">
        <v>695</v>
      </c>
      <c r="G882" t="s">
        <v>149</v>
      </c>
      <c r="I882" t="s">
        <v>9</v>
      </c>
      <c r="J882" t="s">
        <v>9</v>
      </c>
      <c r="K882" s="17"/>
      <c r="L882" s="28"/>
    </row>
    <row r="883" spans="1:12" s="25" customFormat="1" x14ac:dyDescent="0.2">
      <c r="A883">
        <v>2012</v>
      </c>
      <c r="B883" t="s">
        <v>202</v>
      </c>
      <c r="C883" t="s">
        <v>696</v>
      </c>
      <c r="D883" s="65">
        <v>210</v>
      </c>
      <c r="E883" s="33">
        <v>1</v>
      </c>
      <c r="F883" t="s">
        <v>697</v>
      </c>
      <c r="G883" t="s">
        <v>144</v>
      </c>
      <c r="H883" t="s">
        <v>273</v>
      </c>
      <c r="I883" t="s">
        <v>9</v>
      </c>
      <c r="J883" t="s">
        <v>9</v>
      </c>
      <c r="K883" s="17"/>
      <c r="L883" s="28"/>
    </row>
    <row r="884" spans="1:12" s="25" customFormat="1" x14ac:dyDescent="0.2">
      <c r="A884">
        <v>2012</v>
      </c>
      <c r="B884" t="s">
        <v>202</v>
      </c>
      <c r="C884" t="s">
        <v>698</v>
      </c>
      <c r="D884" s="65">
        <v>260</v>
      </c>
      <c r="E884" s="33">
        <v>0.8</v>
      </c>
      <c r="F884" t="s">
        <v>699</v>
      </c>
      <c r="G884" t="s">
        <v>142</v>
      </c>
      <c r="I884" t="s">
        <v>9</v>
      </c>
      <c r="J884" t="s">
        <v>9</v>
      </c>
      <c r="K884" s="17"/>
      <c r="L884" s="28"/>
    </row>
    <row r="885" spans="1:12" s="25" customFormat="1" x14ac:dyDescent="0.2">
      <c r="A885">
        <v>2012</v>
      </c>
      <c r="B885" t="s">
        <v>202</v>
      </c>
      <c r="C885" t="s">
        <v>444</v>
      </c>
      <c r="D885" s="65">
        <v>100</v>
      </c>
      <c r="E885" s="33">
        <v>1</v>
      </c>
      <c r="G885" t="s">
        <v>149</v>
      </c>
      <c r="H885" t="s">
        <v>182</v>
      </c>
      <c r="I885" t="s">
        <v>132</v>
      </c>
      <c r="J885" t="s">
        <v>219</v>
      </c>
      <c r="K885" s="17"/>
      <c r="L885" s="28" t="s">
        <v>178</v>
      </c>
    </row>
    <row r="886" spans="1:12" s="25" customFormat="1" x14ac:dyDescent="0.2">
      <c r="A886">
        <v>2012</v>
      </c>
      <c r="B886" t="s">
        <v>202</v>
      </c>
      <c r="C886" t="s">
        <v>244</v>
      </c>
      <c r="D886" s="65">
        <v>730</v>
      </c>
      <c r="E886" s="33">
        <v>1</v>
      </c>
      <c r="G886" t="s">
        <v>149</v>
      </c>
      <c r="H886" t="s">
        <v>236</v>
      </c>
      <c r="I886" t="s">
        <v>138</v>
      </c>
      <c r="J886" t="s">
        <v>219</v>
      </c>
      <c r="K886" s="17"/>
      <c r="L886" s="28" t="s">
        <v>178</v>
      </c>
    </row>
    <row r="887" spans="1:12" s="25" customFormat="1" x14ac:dyDescent="0.2">
      <c r="A887">
        <v>2012</v>
      </c>
      <c r="B887" t="s">
        <v>202</v>
      </c>
      <c r="C887" t="s">
        <v>360</v>
      </c>
      <c r="D887" s="65">
        <v>450</v>
      </c>
      <c r="E887" s="33"/>
      <c r="F887" t="s">
        <v>700</v>
      </c>
      <c r="G887" t="s">
        <v>149</v>
      </c>
      <c r="H887" t="s">
        <v>182</v>
      </c>
      <c r="I887" t="s">
        <v>45</v>
      </c>
      <c r="J887" t="s">
        <v>195</v>
      </c>
      <c r="K887" s="17"/>
      <c r="L887" s="28"/>
    </row>
    <row r="888" spans="1:12" s="25" customFormat="1" x14ac:dyDescent="0.2">
      <c r="A888">
        <v>2012</v>
      </c>
      <c r="B888" t="s">
        <v>202</v>
      </c>
      <c r="C888" t="s">
        <v>701</v>
      </c>
      <c r="D888" s="65">
        <v>120</v>
      </c>
      <c r="E888" s="33"/>
      <c r="F888" t="s">
        <v>702</v>
      </c>
      <c r="G888" t="s">
        <v>142</v>
      </c>
      <c r="I888" t="s">
        <v>42</v>
      </c>
      <c r="J888" t="s">
        <v>195</v>
      </c>
      <c r="K888" s="17"/>
      <c r="L888" s="28" t="s">
        <v>178</v>
      </c>
    </row>
    <row r="889" spans="1:12" s="25" customFormat="1" x14ac:dyDescent="0.2">
      <c r="A889">
        <v>2012</v>
      </c>
      <c r="B889" t="s">
        <v>202</v>
      </c>
      <c r="C889" t="s">
        <v>703</v>
      </c>
      <c r="D889" s="65">
        <v>130</v>
      </c>
      <c r="E889" s="33">
        <v>0.5</v>
      </c>
      <c r="F889" t="s">
        <v>704</v>
      </c>
      <c r="G889" t="s">
        <v>144</v>
      </c>
      <c r="I889" t="s">
        <v>128</v>
      </c>
      <c r="J889" t="s">
        <v>201</v>
      </c>
      <c r="K889" s="17"/>
      <c r="L889" s="28" t="s">
        <v>178</v>
      </c>
    </row>
    <row r="890" spans="1:12" s="25" customFormat="1" x14ac:dyDescent="0.2">
      <c r="A890">
        <v>2012</v>
      </c>
      <c r="B890" t="s">
        <v>202</v>
      </c>
      <c r="C890" t="s">
        <v>373</v>
      </c>
      <c r="D890" s="65">
        <v>110</v>
      </c>
      <c r="E890" s="33"/>
      <c r="G890" t="s">
        <v>151</v>
      </c>
      <c r="H890" t="s">
        <v>224</v>
      </c>
      <c r="I890" t="s">
        <v>9</v>
      </c>
      <c r="J890" t="s">
        <v>9</v>
      </c>
      <c r="K890" s="17"/>
      <c r="L890" s="28"/>
    </row>
    <row r="891" spans="1:12" s="25" customFormat="1" x14ac:dyDescent="0.2">
      <c r="A891">
        <v>2012</v>
      </c>
      <c r="B891" t="s">
        <v>202</v>
      </c>
      <c r="C891" t="s">
        <v>244</v>
      </c>
      <c r="D891" s="65">
        <v>220</v>
      </c>
      <c r="E891" s="33"/>
      <c r="G891" t="s">
        <v>149</v>
      </c>
      <c r="I891" t="s">
        <v>122</v>
      </c>
      <c r="J891" t="s">
        <v>201</v>
      </c>
      <c r="K891" s="17"/>
      <c r="L891" s="28" t="s">
        <v>178</v>
      </c>
    </row>
    <row r="892" spans="1:12" s="25" customFormat="1" x14ac:dyDescent="0.2">
      <c r="A892">
        <v>2012</v>
      </c>
      <c r="B892" t="s">
        <v>207</v>
      </c>
      <c r="C892" t="s">
        <v>705</v>
      </c>
      <c r="D892" s="65">
        <v>900</v>
      </c>
      <c r="E892" s="33">
        <v>1</v>
      </c>
      <c r="G892" t="s">
        <v>147</v>
      </c>
      <c r="I892" t="s">
        <v>113</v>
      </c>
      <c r="J892" t="s">
        <v>183</v>
      </c>
      <c r="K892" s="17"/>
      <c r="L892" s="28" t="s">
        <v>178</v>
      </c>
    </row>
    <row r="893" spans="1:12" s="25" customFormat="1" x14ac:dyDescent="0.2">
      <c r="A893">
        <v>2012</v>
      </c>
      <c r="B893" t="s">
        <v>207</v>
      </c>
      <c r="C893" t="s">
        <v>706</v>
      </c>
      <c r="D893" s="65">
        <v>120</v>
      </c>
      <c r="E893" s="33">
        <v>1</v>
      </c>
      <c r="G893" t="s">
        <v>154</v>
      </c>
      <c r="H893" t="s">
        <v>194</v>
      </c>
      <c r="I893" t="s">
        <v>124</v>
      </c>
      <c r="J893" t="s">
        <v>183</v>
      </c>
      <c r="K893" s="17"/>
      <c r="L893" s="28" t="s">
        <v>178</v>
      </c>
    </row>
    <row r="894" spans="1:12" s="25" customFormat="1" x14ac:dyDescent="0.2">
      <c r="A894">
        <v>2012</v>
      </c>
      <c r="B894" t="s">
        <v>207</v>
      </c>
      <c r="C894" t="s">
        <v>577</v>
      </c>
      <c r="D894" s="65">
        <v>680</v>
      </c>
      <c r="E894" s="33">
        <v>1</v>
      </c>
      <c r="F894" t="s">
        <v>707</v>
      </c>
      <c r="G894" t="s">
        <v>150</v>
      </c>
      <c r="H894" t="s">
        <v>556</v>
      </c>
      <c r="I894" t="s">
        <v>86</v>
      </c>
      <c r="J894" t="s">
        <v>183</v>
      </c>
      <c r="K894" s="17"/>
      <c r="L894" s="28"/>
    </row>
    <row r="895" spans="1:12" s="25" customFormat="1" x14ac:dyDescent="0.2">
      <c r="A895">
        <v>2012</v>
      </c>
      <c r="B895" t="s">
        <v>207</v>
      </c>
      <c r="C895" t="s">
        <v>199</v>
      </c>
      <c r="D895" s="65">
        <v>1510</v>
      </c>
      <c r="E895" s="33">
        <v>0.5</v>
      </c>
      <c r="F895" t="s">
        <v>708</v>
      </c>
      <c r="G895" t="s">
        <v>144</v>
      </c>
      <c r="H895" t="s">
        <v>187</v>
      </c>
      <c r="I895" t="s">
        <v>25</v>
      </c>
      <c r="J895" t="s">
        <v>177</v>
      </c>
      <c r="K895" s="17"/>
      <c r="L895" s="28" t="s">
        <v>178</v>
      </c>
    </row>
    <row r="896" spans="1:12" s="25" customFormat="1" x14ac:dyDescent="0.2">
      <c r="A896">
        <v>2012</v>
      </c>
      <c r="B896" t="s">
        <v>207</v>
      </c>
      <c r="C896" t="s">
        <v>189</v>
      </c>
      <c r="D896" s="65">
        <v>170</v>
      </c>
      <c r="E896" s="33">
        <v>0.5</v>
      </c>
      <c r="F896" t="s">
        <v>709</v>
      </c>
      <c r="G896" t="s">
        <v>144</v>
      </c>
      <c r="H896" t="s">
        <v>187</v>
      </c>
      <c r="I896" t="s">
        <v>119</v>
      </c>
      <c r="J896" t="s">
        <v>195</v>
      </c>
      <c r="K896" s="17"/>
      <c r="L896" s="28"/>
    </row>
    <row r="897" spans="1:12" s="25" customFormat="1" x14ac:dyDescent="0.2">
      <c r="A897">
        <v>2012</v>
      </c>
      <c r="B897" t="s">
        <v>207</v>
      </c>
      <c r="C897" t="s">
        <v>185</v>
      </c>
      <c r="D897" s="65">
        <v>1930</v>
      </c>
      <c r="E897" s="33"/>
      <c r="F897" t="s">
        <v>452</v>
      </c>
      <c r="G897" t="s">
        <v>144</v>
      </c>
      <c r="H897" t="s">
        <v>299</v>
      </c>
      <c r="I897" t="s">
        <v>9</v>
      </c>
      <c r="J897" t="s">
        <v>9</v>
      </c>
      <c r="K897" s="17"/>
      <c r="L897" s="28"/>
    </row>
    <row r="898" spans="1:12" s="25" customFormat="1" x14ac:dyDescent="0.2">
      <c r="A898">
        <v>2012</v>
      </c>
      <c r="B898" t="s">
        <v>207</v>
      </c>
      <c r="C898" t="s">
        <v>263</v>
      </c>
      <c r="D898" s="65">
        <v>730</v>
      </c>
      <c r="E898" s="33">
        <v>0.1</v>
      </c>
      <c r="F898" t="s">
        <v>710</v>
      </c>
      <c r="G898" t="s">
        <v>154</v>
      </c>
      <c r="H898" t="s">
        <v>250</v>
      </c>
      <c r="I898" t="s">
        <v>20</v>
      </c>
      <c r="J898" t="s">
        <v>195</v>
      </c>
      <c r="K898" s="17"/>
      <c r="L898" s="28"/>
    </row>
    <row r="899" spans="1:12" s="25" customFormat="1" x14ac:dyDescent="0.2">
      <c r="A899">
        <v>2012</v>
      </c>
      <c r="B899" t="s">
        <v>207</v>
      </c>
      <c r="C899" t="s">
        <v>416</v>
      </c>
      <c r="D899" s="65">
        <v>150</v>
      </c>
      <c r="E899" s="33">
        <v>0.51</v>
      </c>
      <c r="F899" t="s">
        <v>711</v>
      </c>
      <c r="G899" t="s">
        <v>154</v>
      </c>
      <c r="H899" t="s">
        <v>194</v>
      </c>
      <c r="I899" t="s">
        <v>124</v>
      </c>
      <c r="J899" t="s">
        <v>183</v>
      </c>
      <c r="K899" s="17"/>
      <c r="L899" s="28"/>
    </row>
    <row r="900" spans="1:12" s="25" customFormat="1" x14ac:dyDescent="0.2">
      <c r="A900">
        <v>2012</v>
      </c>
      <c r="B900" t="s">
        <v>207</v>
      </c>
      <c r="C900" t="s">
        <v>712</v>
      </c>
      <c r="D900" s="65">
        <v>100</v>
      </c>
      <c r="E900" s="33">
        <v>0.24</v>
      </c>
      <c r="F900" t="s">
        <v>713</v>
      </c>
      <c r="G900" t="s">
        <v>144</v>
      </c>
      <c r="H900" t="s">
        <v>273</v>
      </c>
      <c r="I900" t="s">
        <v>112</v>
      </c>
      <c r="J900" t="s">
        <v>219</v>
      </c>
      <c r="K900" s="17"/>
      <c r="L900" s="28"/>
    </row>
    <row r="901" spans="1:12" s="25" customFormat="1" x14ac:dyDescent="0.2">
      <c r="A901">
        <v>2012</v>
      </c>
      <c r="B901" t="s">
        <v>207</v>
      </c>
      <c r="C901" t="s">
        <v>714</v>
      </c>
      <c r="D901" s="65">
        <v>100</v>
      </c>
      <c r="E901" s="33">
        <v>1</v>
      </c>
      <c r="G901" t="s">
        <v>154</v>
      </c>
      <c r="H901" t="s">
        <v>194</v>
      </c>
      <c r="I901" t="s">
        <v>136</v>
      </c>
      <c r="J901" t="s">
        <v>183</v>
      </c>
      <c r="K901" s="17"/>
      <c r="L901" s="28" t="s">
        <v>178</v>
      </c>
    </row>
    <row r="902" spans="1:12" s="25" customFormat="1" x14ac:dyDescent="0.2">
      <c r="A902">
        <v>2012</v>
      </c>
      <c r="B902" t="s">
        <v>240</v>
      </c>
      <c r="C902" t="s">
        <v>557</v>
      </c>
      <c r="D902" s="65">
        <v>300</v>
      </c>
      <c r="E902" s="33"/>
      <c r="F902" t="s">
        <v>715</v>
      </c>
      <c r="G902" t="s">
        <v>151</v>
      </c>
      <c r="H902" t="s">
        <v>279</v>
      </c>
      <c r="I902" t="s">
        <v>122</v>
      </c>
      <c r="J902" t="s">
        <v>201</v>
      </c>
      <c r="K902" s="17"/>
      <c r="L902" s="28" t="s">
        <v>178</v>
      </c>
    </row>
    <row r="903" spans="1:12" s="25" customFormat="1" x14ac:dyDescent="0.2">
      <c r="A903">
        <v>2012</v>
      </c>
      <c r="B903" t="s">
        <v>240</v>
      </c>
      <c r="C903" t="s">
        <v>263</v>
      </c>
      <c r="D903" s="65">
        <v>400</v>
      </c>
      <c r="E903" s="33"/>
      <c r="F903" t="s">
        <v>716</v>
      </c>
      <c r="G903" t="s">
        <v>151</v>
      </c>
      <c r="H903" t="s">
        <v>224</v>
      </c>
      <c r="I903" t="s">
        <v>20</v>
      </c>
      <c r="J903" t="s">
        <v>195</v>
      </c>
      <c r="K903" s="17"/>
      <c r="L903" s="28"/>
    </row>
    <row r="904" spans="1:12" s="25" customFormat="1" x14ac:dyDescent="0.2">
      <c r="A904">
        <v>2012</v>
      </c>
      <c r="B904" t="s">
        <v>240</v>
      </c>
      <c r="C904" t="s">
        <v>263</v>
      </c>
      <c r="D904" s="65">
        <v>110</v>
      </c>
      <c r="E904" s="33">
        <v>0.125</v>
      </c>
      <c r="F904" t="s">
        <v>717</v>
      </c>
      <c r="G904" t="s">
        <v>150</v>
      </c>
      <c r="H904" t="s">
        <v>226</v>
      </c>
      <c r="I904" t="s">
        <v>25</v>
      </c>
      <c r="J904" t="s">
        <v>177</v>
      </c>
      <c r="K904" s="17"/>
      <c r="L904" s="28"/>
    </row>
    <row r="905" spans="1:12" s="25" customFormat="1" x14ac:dyDescent="0.2">
      <c r="A905">
        <v>2012</v>
      </c>
      <c r="B905" t="s">
        <v>240</v>
      </c>
      <c r="C905" t="s">
        <v>189</v>
      </c>
      <c r="D905" s="65">
        <v>2500</v>
      </c>
      <c r="E905" s="33">
        <v>0.2</v>
      </c>
      <c r="F905" t="s">
        <v>325</v>
      </c>
      <c r="G905" t="s">
        <v>144</v>
      </c>
      <c r="H905" t="s">
        <v>187</v>
      </c>
      <c r="I905" t="s">
        <v>89</v>
      </c>
      <c r="J905" t="s">
        <v>219</v>
      </c>
      <c r="K905" s="17"/>
      <c r="L905" s="28"/>
    </row>
    <row r="906" spans="1:12" s="25" customFormat="1" x14ac:dyDescent="0.2">
      <c r="A906">
        <v>2012</v>
      </c>
      <c r="B906" t="s">
        <v>240</v>
      </c>
      <c r="C906" t="s">
        <v>718</v>
      </c>
      <c r="D906" s="65">
        <v>730</v>
      </c>
      <c r="E906" s="33">
        <v>1</v>
      </c>
      <c r="G906" t="s">
        <v>142</v>
      </c>
      <c r="I906" t="s">
        <v>9</v>
      </c>
      <c r="J906" t="s">
        <v>9</v>
      </c>
      <c r="K906" s="17"/>
      <c r="L906" s="28" t="s">
        <v>178</v>
      </c>
    </row>
    <row r="907" spans="1:12" s="25" customFormat="1" x14ac:dyDescent="0.2">
      <c r="A907">
        <v>2012</v>
      </c>
      <c r="B907" t="s">
        <v>240</v>
      </c>
      <c r="C907" t="s">
        <v>263</v>
      </c>
      <c r="D907" s="65">
        <v>460</v>
      </c>
      <c r="E907" s="33">
        <v>0.33</v>
      </c>
      <c r="F907" t="s">
        <v>719</v>
      </c>
      <c r="G907" t="s">
        <v>148</v>
      </c>
      <c r="I907" t="s">
        <v>19</v>
      </c>
      <c r="J907" t="s">
        <v>205</v>
      </c>
      <c r="K907" s="17"/>
      <c r="L907" s="28"/>
    </row>
    <row r="908" spans="1:12" s="25" customFormat="1" x14ac:dyDescent="0.2">
      <c r="A908">
        <v>2012</v>
      </c>
      <c r="B908" t="s">
        <v>240</v>
      </c>
      <c r="C908" t="s">
        <v>307</v>
      </c>
      <c r="D908" s="65">
        <v>510</v>
      </c>
      <c r="E908" s="33">
        <v>0.41</v>
      </c>
      <c r="F908" t="s">
        <v>720</v>
      </c>
      <c r="G908" t="s">
        <v>144</v>
      </c>
      <c r="I908" t="s">
        <v>9</v>
      </c>
      <c r="J908" t="s">
        <v>9</v>
      </c>
      <c r="K908" s="17"/>
      <c r="L908" s="28"/>
    </row>
    <row r="909" spans="1:12" s="25" customFormat="1" x14ac:dyDescent="0.2">
      <c r="A909">
        <v>2012</v>
      </c>
      <c r="B909" t="s">
        <v>240</v>
      </c>
      <c r="C909" t="s">
        <v>334</v>
      </c>
      <c r="D909" s="65">
        <v>150</v>
      </c>
      <c r="E909" s="33">
        <v>1</v>
      </c>
      <c r="G909" t="s">
        <v>142</v>
      </c>
      <c r="I909" t="s">
        <v>86</v>
      </c>
      <c r="J909" t="s">
        <v>183</v>
      </c>
      <c r="K909" s="17"/>
      <c r="L909" s="28" t="s">
        <v>178</v>
      </c>
    </row>
    <row r="910" spans="1:12" s="25" customFormat="1" x14ac:dyDescent="0.2">
      <c r="A910">
        <v>2012</v>
      </c>
      <c r="B910" t="s">
        <v>212</v>
      </c>
      <c r="C910" t="s">
        <v>331</v>
      </c>
      <c r="D910" s="65">
        <v>240</v>
      </c>
      <c r="E910" s="33">
        <v>0.4</v>
      </c>
      <c r="F910" t="s">
        <v>332</v>
      </c>
      <c r="G910" t="s">
        <v>151</v>
      </c>
      <c r="H910" t="s">
        <v>279</v>
      </c>
      <c r="I910" t="s">
        <v>58</v>
      </c>
      <c r="J910" t="s">
        <v>195</v>
      </c>
      <c r="K910" s="17"/>
      <c r="L910" s="28"/>
    </row>
    <row r="911" spans="1:12" s="25" customFormat="1" x14ac:dyDescent="0.2">
      <c r="A911">
        <v>2012</v>
      </c>
      <c r="B911" t="s">
        <v>212</v>
      </c>
      <c r="C911" t="s">
        <v>208</v>
      </c>
      <c r="D911" s="65">
        <v>660</v>
      </c>
      <c r="E911" s="33"/>
      <c r="G911" t="s">
        <v>149</v>
      </c>
      <c r="H911" t="s">
        <v>182</v>
      </c>
      <c r="I911" t="s">
        <v>24</v>
      </c>
      <c r="J911" t="s">
        <v>219</v>
      </c>
      <c r="K911" s="17"/>
      <c r="L911" s="28" t="s">
        <v>178</v>
      </c>
    </row>
    <row r="912" spans="1:12" s="25" customFormat="1" x14ac:dyDescent="0.2">
      <c r="A912">
        <v>2012</v>
      </c>
      <c r="B912" t="s">
        <v>212</v>
      </c>
      <c r="C912" t="s">
        <v>721</v>
      </c>
      <c r="D912" s="65">
        <v>840</v>
      </c>
      <c r="E912" s="33" t="s">
        <v>722</v>
      </c>
      <c r="F912" t="s">
        <v>723</v>
      </c>
      <c r="G912" t="s">
        <v>149</v>
      </c>
      <c r="I912" t="s">
        <v>9</v>
      </c>
      <c r="J912" t="s">
        <v>9</v>
      </c>
      <c r="K912" s="17"/>
      <c r="L912" s="28"/>
    </row>
    <row r="913" spans="1:12" s="25" customFormat="1" x14ac:dyDescent="0.2">
      <c r="A913">
        <v>2012</v>
      </c>
      <c r="B913" t="s">
        <v>212</v>
      </c>
      <c r="C913" t="s">
        <v>724</v>
      </c>
      <c r="D913" s="65">
        <v>330</v>
      </c>
      <c r="E913" s="33"/>
      <c r="G913" t="s">
        <v>151</v>
      </c>
      <c r="H913" t="s">
        <v>224</v>
      </c>
      <c r="I913" t="s">
        <v>72</v>
      </c>
      <c r="J913" t="s">
        <v>183</v>
      </c>
      <c r="K913" s="17"/>
      <c r="L913" s="28" t="s">
        <v>178</v>
      </c>
    </row>
    <row r="914" spans="1:12" s="25" customFormat="1" x14ac:dyDescent="0.2">
      <c r="A914">
        <v>2012</v>
      </c>
      <c r="B914" t="s">
        <v>212</v>
      </c>
      <c r="C914" t="s">
        <v>657</v>
      </c>
      <c r="D914" s="65">
        <v>260</v>
      </c>
      <c r="E914" s="33"/>
      <c r="F914" t="s">
        <v>725</v>
      </c>
      <c r="G914" t="s">
        <v>144</v>
      </c>
      <c r="H914" t="s">
        <v>232</v>
      </c>
      <c r="I914" t="s">
        <v>131</v>
      </c>
      <c r="J914" t="s">
        <v>131</v>
      </c>
      <c r="K914" s="17"/>
      <c r="L914" s="28"/>
    </row>
    <row r="915" spans="1:12" s="25" customFormat="1" x14ac:dyDescent="0.2">
      <c r="A915">
        <v>2012</v>
      </c>
      <c r="B915" t="s">
        <v>212</v>
      </c>
      <c r="C915" t="s">
        <v>199</v>
      </c>
      <c r="D915" s="65">
        <v>1630</v>
      </c>
      <c r="E915" s="33"/>
      <c r="F915" t="s">
        <v>349</v>
      </c>
      <c r="G915" t="s">
        <v>144</v>
      </c>
      <c r="H915" t="s">
        <v>299</v>
      </c>
      <c r="I915" t="s">
        <v>9</v>
      </c>
      <c r="J915" t="s">
        <v>9</v>
      </c>
      <c r="K915" s="17"/>
      <c r="L915" s="28"/>
    </row>
    <row r="916" spans="1:12" s="25" customFormat="1" x14ac:dyDescent="0.2">
      <c r="A916">
        <v>2012</v>
      </c>
      <c r="B916" t="s">
        <v>212</v>
      </c>
      <c r="C916" t="s">
        <v>199</v>
      </c>
      <c r="D916" s="65">
        <v>2180</v>
      </c>
      <c r="E916" s="33">
        <v>0.49</v>
      </c>
      <c r="F916" t="s">
        <v>726</v>
      </c>
      <c r="G916" t="s">
        <v>144</v>
      </c>
      <c r="H916" t="s">
        <v>299</v>
      </c>
      <c r="I916" t="s">
        <v>25</v>
      </c>
      <c r="J916" t="s">
        <v>177</v>
      </c>
      <c r="K916" s="17"/>
      <c r="L916" s="28" t="s">
        <v>178</v>
      </c>
    </row>
    <row r="917" spans="1:12" s="25" customFormat="1" x14ac:dyDescent="0.2">
      <c r="A917">
        <v>2012</v>
      </c>
      <c r="B917" t="s">
        <v>212</v>
      </c>
      <c r="C917" t="s">
        <v>727</v>
      </c>
      <c r="D917" s="65">
        <v>380</v>
      </c>
      <c r="E917" s="33" t="s">
        <v>728</v>
      </c>
      <c r="F917" t="s">
        <v>729</v>
      </c>
      <c r="G917" t="s">
        <v>149</v>
      </c>
      <c r="H917" t="s">
        <v>236</v>
      </c>
      <c r="I917" t="s">
        <v>112</v>
      </c>
      <c r="J917" t="s">
        <v>219</v>
      </c>
      <c r="K917" s="17"/>
      <c r="L917" s="28"/>
    </row>
    <row r="918" spans="1:12" s="25" customFormat="1" x14ac:dyDescent="0.2">
      <c r="A918">
        <v>2012</v>
      </c>
      <c r="B918" t="s">
        <v>212</v>
      </c>
      <c r="C918" t="s">
        <v>730</v>
      </c>
      <c r="D918" s="65">
        <v>140</v>
      </c>
      <c r="E918" s="33" t="s">
        <v>731</v>
      </c>
      <c r="F918" t="s">
        <v>732</v>
      </c>
      <c r="G918" t="s">
        <v>148</v>
      </c>
      <c r="I918" t="s">
        <v>121</v>
      </c>
      <c r="J918" t="s">
        <v>183</v>
      </c>
      <c r="K918" s="17"/>
      <c r="L918" s="28"/>
    </row>
    <row r="919" spans="1:12" s="25" customFormat="1" x14ac:dyDescent="0.2">
      <c r="A919">
        <v>2012</v>
      </c>
      <c r="B919" t="s">
        <v>212</v>
      </c>
      <c r="C919" t="s">
        <v>516</v>
      </c>
      <c r="D919" s="65">
        <v>700</v>
      </c>
      <c r="E919" s="33"/>
      <c r="F919" t="s">
        <v>733</v>
      </c>
      <c r="G919" t="s">
        <v>150</v>
      </c>
      <c r="H919" t="s">
        <v>292</v>
      </c>
      <c r="I919" t="s">
        <v>119</v>
      </c>
      <c r="J919" t="s">
        <v>195</v>
      </c>
      <c r="K919" s="17"/>
      <c r="L919" s="28"/>
    </row>
    <row r="920" spans="1:12" s="25" customFormat="1" x14ac:dyDescent="0.2">
      <c r="A920">
        <v>2012</v>
      </c>
      <c r="B920" t="s">
        <v>212</v>
      </c>
      <c r="C920" t="s">
        <v>734</v>
      </c>
      <c r="D920" s="65">
        <v>170</v>
      </c>
      <c r="E920" s="33">
        <v>1</v>
      </c>
      <c r="F920" t="s">
        <v>735</v>
      </c>
      <c r="G920" t="s">
        <v>142</v>
      </c>
      <c r="I920" t="s">
        <v>86</v>
      </c>
      <c r="J920" t="s">
        <v>183</v>
      </c>
      <c r="K920" s="17"/>
      <c r="L920" s="28"/>
    </row>
    <row r="921" spans="1:12" s="25" customFormat="1" x14ac:dyDescent="0.2">
      <c r="A921">
        <v>2012</v>
      </c>
      <c r="B921" t="s">
        <v>212</v>
      </c>
      <c r="C921" t="s">
        <v>185</v>
      </c>
      <c r="D921" s="65">
        <v>15100</v>
      </c>
      <c r="E921" s="33"/>
      <c r="F921" t="s">
        <v>736</v>
      </c>
      <c r="G921" t="s">
        <v>144</v>
      </c>
      <c r="I921" t="s">
        <v>25</v>
      </c>
      <c r="J921" t="s">
        <v>177</v>
      </c>
      <c r="K921" s="17"/>
      <c r="L921" s="28"/>
    </row>
    <row r="922" spans="1:12" s="25" customFormat="1" x14ac:dyDescent="0.2">
      <c r="A922">
        <v>2012</v>
      </c>
      <c r="B922" t="s">
        <v>212</v>
      </c>
      <c r="C922" t="s">
        <v>246</v>
      </c>
      <c r="D922" s="65">
        <v>470</v>
      </c>
      <c r="E922" s="33">
        <v>0.49</v>
      </c>
      <c r="F922" t="s">
        <v>737</v>
      </c>
      <c r="G922" t="s">
        <v>144</v>
      </c>
      <c r="H922" t="s">
        <v>232</v>
      </c>
      <c r="I922" t="s">
        <v>99</v>
      </c>
      <c r="J922" t="s">
        <v>195</v>
      </c>
      <c r="K922" s="17"/>
      <c r="L922" s="28"/>
    </row>
    <row r="923" spans="1:12" s="25" customFormat="1" x14ac:dyDescent="0.2">
      <c r="A923">
        <v>2012</v>
      </c>
      <c r="B923" t="s">
        <v>212</v>
      </c>
      <c r="C923" t="s">
        <v>199</v>
      </c>
      <c r="D923" s="65">
        <v>500</v>
      </c>
      <c r="E923" s="33"/>
      <c r="F923" t="s">
        <v>738</v>
      </c>
      <c r="G923" t="s">
        <v>144</v>
      </c>
      <c r="H923" t="s">
        <v>299</v>
      </c>
      <c r="I923" t="s">
        <v>63</v>
      </c>
      <c r="J923" t="s">
        <v>201</v>
      </c>
      <c r="K923" s="17"/>
      <c r="L923" s="28" t="s">
        <v>178</v>
      </c>
    </row>
    <row r="924" spans="1:12" s="25" customFormat="1" x14ac:dyDescent="0.2">
      <c r="A924">
        <v>2012</v>
      </c>
      <c r="B924" t="s">
        <v>212</v>
      </c>
      <c r="C924" t="s">
        <v>739</v>
      </c>
      <c r="D924" s="65">
        <v>200</v>
      </c>
      <c r="E924" s="33">
        <v>1</v>
      </c>
      <c r="G924" t="s">
        <v>151</v>
      </c>
      <c r="H924" t="s">
        <v>279</v>
      </c>
      <c r="I924" t="s">
        <v>53</v>
      </c>
      <c r="J924" t="s">
        <v>183</v>
      </c>
      <c r="K924" s="17"/>
      <c r="L924" s="28" t="s">
        <v>178</v>
      </c>
    </row>
    <row r="925" spans="1:12" s="25" customFormat="1" x14ac:dyDescent="0.2">
      <c r="A925">
        <v>2012</v>
      </c>
      <c r="B925" t="s">
        <v>212</v>
      </c>
      <c r="C925" t="s">
        <v>675</v>
      </c>
      <c r="D925" s="65">
        <v>170</v>
      </c>
      <c r="E925" s="33"/>
      <c r="G925" t="s">
        <v>151</v>
      </c>
      <c r="H925" t="s">
        <v>224</v>
      </c>
      <c r="I925" t="s">
        <v>44</v>
      </c>
      <c r="J925" t="s">
        <v>201</v>
      </c>
      <c r="K925" s="17"/>
      <c r="L925" s="28" t="s">
        <v>178</v>
      </c>
    </row>
    <row r="926" spans="1:12" s="25" customFormat="1" x14ac:dyDescent="0.2">
      <c r="A926">
        <v>2012</v>
      </c>
      <c r="B926" t="s">
        <v>212</v>
      </c>
      <c r="C926" t="s">
        <v>477</v>
      </c>
      <c r="D926" s="65">
        <v>190</v>
      </c>
      <c r="E926" s="33">
        <v>0.24</v>
      </c>
      <c r="F926" t="s">
        <v>740</v>
      </c>
      <c r="G926" t="s">
        <v>154</v>
      </c>
      <c r="H926" t="s">
        <v>271</v>
      </c>
      <c r="I926" t="s">
        <v>36</v>
      </c>
      <c r="J926" t="s">
        <v>219</v>
      </c>
      <c r="K926" s="17"/>
      <c r="L926" s="28"/>
    </row>
    <row r="927" spans="1:12" s="25" customFormat="1" x14ac:dyDescent="0.2">
      <c r="A927">
        <v>2012</v>
      </c>
      <c r="B927" t="s">
        <v>212</v>
      </c>
      <c r="C927" t="s">
        <v>180</v>
      </c>
      <c r="D927" s="65">
        <v>1090</v>
      </c>
      <c r="E927" s="33">
        <v>0.85</v>
      </c>
      <c r="G927" t="s">
        <v>149</v>
      </c>
      <c r="H927" t="s">
        <v>182</v>
      </c>
      <c r="I927" t="s">
        <v>95</v>
      </c>
      <c r="J927" t="s">
        <v>183</v>
      </c>
      <c r="K927" s="17"/>
      <c r="L927" s="28"/>
    </row>
    <row r="928" spans="1:12" s="25" customFormat="1" x14ac:dyDescent="0.2">
      <c r="A928">
        <v>2012</v>
      </c>
      <c r="B928" t="s">
        <v>172</v>
      </c>
      <c r="C928" t="s">
        <v>875</v>
      </c>
      <c r="D928" s="22">
        <v>1400</v>
      </c>
      <c r="E928" s="16"/>
      <c r="G928" t="s">
        <v>144</v>
      </c>
      <c r="H928" t="s">
        <v>197</v>
      </c>
      <c r="I928" t="s">
        <v>2554</v>
      </c>
      <c r="J928" t="s">
        <v>219</v>
      </c>
      <c r="L928" s="2"/>
    </row>
    <row r="929" spans="1:12" s="25" customFormat="1" x14ac:dyDescent="0.2">
      <c r="A929">
        <v>2012</v>
      </c>
      <c r="B929" t="s">
        <v>172</v>
      </c>
      <c r="C929" t="s">
        <v>1035</v>
      </c>
      <c r="D929" s="22">
        <v>440</v>
      </c>
      <c r="E929" s="16"/>
      <c r="F929" t="s">
        <v>849</v>
      </c>
      <c r="G929" t="s">
        <v>144</v>
      </c>
      <c r="H929" t="s">
        <v>197</v>
      </c>
      <c r="I929" t="s">
        <v>67</v>
      </c>
      <c r="J929" t="s">
        <v>183</v>
      </c>
      <c r="L929" s="2"/>
    </row>
    <row r="930" spans="1:12" s="25" customFormat="1" x14ac:dyDescent="0.2">
      <c r="A930">
        <v>2012</v>
      </c>
      <c r="B930" t="s">
        <v>172</v>
      </c>
      <c r="C930" t="s">
        <v>2555</v>
      </c>
      <c r="D930" s="22">
        <v>170</v>
      </c>
      <c r="E930" s="16"/>
      <c r="G930" t="s">
        <v>154</v>
      </c>
      <c r="H930" t="s">
        <v>194</v>
      </c>
      <c r="I930" t="s">
        <v>68</v>
      </c>
      <c r="J930" t="s">
        <v>219</v>
      </c>
      <c r="L930" s="2"/>
    </row>
    <row r="931" spans="1:12" s="25" customFormat="1" x14ac:dyDescent="0.2">
      <c r="A931">
        <v>2012</v>
      </c>
      <c r="B931" t="s">
        <v>258</v>
      </c>
      <c r="C931" t="s">
        <v>530</v>
      </c>
      <c r="D931" s="22">
        <v>350</v>
      </c>
      <c r="E931" s="16"/>
      <c r="F931" t="s">
        <v>2556</v>
      </c>
      <c r="G931" t="s">
        <v>152</v>
      </c>
      <c r="H931" t="s">
        <v>257</v>
      </c>
      <c r="I931" t="s">
        <v>97</v>
      </c>
      <c r="J931" t="s">
        <v>183</v>
      </c>
      <c r="L931" s="2"/>
    </row>
    <row r="932" spans="1:12" s="25" customFormat="1" x14ac:dyDescent="0.2">
      <c r="A932">
        <v>2012</v>
      </c>
      <c r="B932" t="s">
        <v>258</v>
      </c>
      <c r="C932" t="s">
        <v>444</v>
      </c>
      <c r="D932" s="22">
        <v>100</v>
      </c>
      <c r="E932" s="16"/>
      <c r="F932" t="s">
        <v>1969</v>
      </c>
      <c r="G932" t="s">
        <v>144</v>
      </c>
      <c r="H932" t="s">
        <v>273</v>
      </c>
      <c r="I932" t="s">
        <v>53</v>
      </c>
      <c r="J932" t="s">
        <v>183</v>
      </c>
      <c r="L932" s="2"/>
    </row>
    <row r="933" spans="1:12" s="25" customFormat="1" x14ac:dyDescent="0.2">
      <c r="A933">
        <v>2012</v>
      </c>
      <c r="B933" t="s">
        <v>258</v>
      </c>
      <c r="C933" t="s">
        <v>1035</v>
      </c>
      <c r="D933" s="22">
        <v>300</v>
      </c>
      <c r="E933" s="16"/>
      <c r="F933" t="s">
        <v>453</v>
      </c>
      <c r="G933" t="s">
        <v>144</v>
      </c>
      <c r="H933" t="s">
        <v>187</v>
      </c>
      <c r="I933" t="s">
        <v>135</v>
      </c>
      <c r="J933" t="s">
        <v>205</v>
      </c>
      <c r="L933" s="2"/>
    </row>
    <row r="934" spans="1:12" s="25" customFormat="1" x14ac:dyDescent="0.2">
      <c r="A934">
        <v>2012</v>
      </c>
      <c r="B934" t="s">
        <v>258</v>
      </c>
      <c r="C934" t="s">
        <v>815</v>
      </c>
      <c r="D934" s="22">
        <v>240</v>
      </c>
      <c r="E934" s="16"/>
      <c r="G934" t="s">
        <v>151</v>
      </c>
      <c r="H934" t="s">
        <v>279</v>
      </c>
      <c r="I934" t="s">
        <v>2557</v>
      </c>
      <c r="J934" t="s">
        <v>219</v>
      </c>
      <c r="L934" s="2"/>
    </row>
    <row r="935" spans="1:12" s="25" customFormat="1" x14ac:dyDescent="0.2">
      <c r="A935">
        <v>2012</v>
      </c>
      <c r="B935" t="s">
        <v>258</v>
      </c>
      <c r="C935" t="s">
        <v>449</v>
      </c>
      <c r="D935" s="22">
        <v>510</v>
      </c>
      <c r="E935" s="16"/>
      <c r="G935" t="s">
        <v>154</v>
      </c>
      <c r="H935" t="s">
        <v>529</v>
      </c>
      <c r="I935" t="s">
        <v>36</v>
      </c>
      <c r="J935" t="s">
        <v>219</v>
      </c>
      <c r="L935" s="2"/>
    </row>
    <row r="936" spans="1:12" s="25" customFormat="1" x14ac:dyDescent="0.2">
      <c r="A936">
        <v>2012</v>
      </c>
      <c r="B936" t="s">
        <v>258</v>
      </c>
      <c r="C936" t="s">
        <v>397</v>
      </c>
      <c r="D936" s="22">
        <v>1500</v>
      </c>
      <c r="E936" s="16"/>
      <c r="G936" t="s">
        <v>151</v>
      </c>
      <c r="H936" t="s">
        <v>279</v>
      </c>
      <c r="I936" t="s">
        <v>5</v>
      </c>
      <c r="J936" t="s">
        <v>214</v>
      </c>
      <c r="L936" s="2"/>
    </row>
    <row r="937" spans="1:12" s="25" customFormat="1" x14ac:dyDescent="0.2">
      <c r="A937">
        <v>2012</v>
      </c>
      <c r="B937" t="s">
        <v>258</v>
      </c>
      <c r="C937" t="s">
        <v>479</v>
      </c>
      <c r="D937" s="22">
        <v>400</v>
      </c>
      <c r="E937" s="16"/>
      <c r="G937" t="s">
        <v>154</v>
      </c>
      <c r="H937" t="s">
        <v>194</v>
      </c>
      <c r="I937" t="s">
        <v>14</v>
      </c>
      <c r="J937" t="s">
        <v>195</v>
      </c>
      <c r="L937" s="2"/>
    </row>
    <row r="938" spans="1:12" s="25" customFormat="1" x14ac:dyDescent="0.2">
      <c r="A938">
        <v>2012</v>
      </c>
      <c r="B938" t="s">
        <v>258</v>
      </c>
      <c r="C938" t="s">
        <v>246</v>
      </c>
      <c r="D938" s="22">
        <v>350</v>
      </c>
      <c r="E938" s="16"/>
      <c r="G938" t="s">
        <v>154</v>
      </c>
      <c r="H938" t="s">
        <v>194</v>
      </c>
      <c r="I938" t="s">
        <v>2462</v>
      </c>
      <c r="J938" t="s">
        <v>219</v>
      </c>
      <c r="L938" s="2"/>
    </row>
    <row r="939" spans="1:12" s="25" customFormat="1" x14ac:dyDescent="0.2">
      <c r="A939">
        <v>2012</v>
      </c>
      <c r="B939" t="s">
        <v>258</v>
      </c>
      <c r="C939" t="s">
        <v>246</v>
      </c>
      <c r="D939" s="22">
        <v>270</v>
      </c>
      <c r="E939" s="16"/>
      <c r="F939" t="s">
        <v>2558</v>
      </c>
      <c r="G939" t="s">
        <v>142</v>
      </c>
      <c r="I939" t="s">
        <v>93</v>
      </c>
      <c r="J939" t="s">
        <v>201</v>
      </c>
      <c r="L939" s="2"/>
    </row>
    <row r="940" spans="1:12" s="25" customFormat="1" x14ac:dyDescent="0.2">
      <c r="A940">
        <v>2012</v>
      </c>
      <c r="B940" t="s">
        <v>258</v>
      </c>
      <c r="C940" t="s">
        <v>875</v>
      </c>
      <c r="D940" s="22">
        <v>160</v>
      </c>
      <c r="E940" s="16"/>
      <c r="G940" t="s">
        <v>154</v>
      </c>
      <c r="H940" t="s">
        <v>529</v>
      </c>
      <c r="I940" t="s">
        <v>89</v>
      </c>
      <c r="J940" t="s">
        <v>219</v>
      </c>
      <c r="L940" s="2"/>
    </row>
    <row r="941" spans="1:12" s="25" customFormat="1" x14ac:dyDescent="0.2">
      <c r="A941">
        <v>2012</v>
      </c>
      <c r="B941" t="s">
        <v>258</v>
      </c>
      <c r="C941" t="s">
        <v>444</v>
      </c>
      <c r="D941" s="22">
        <v>310</v>
      </c>
      <c r="E941" s="16"/>
      <c r="G941" t="s">
        <v>155</v>
      </c>
      <c r="I941" t="s">
        <v>29</v>
      </c>
      <c r="J941" t="s">
        <v>219</v>
      </c>
      <c r="L941" s="2"/>
    </row>
    <row r="942" spans="1:12" s="25" customFormat="1" x14ac:dyDescent="0.2">
      <c r="A942">
        <v>2012</v>
      </c>
      <c r="B942" t="s">
        <v>258</v>
      </c>
      <c r="C942" t="s">
        <v>449</v>
      </c>
      <c r="D942" s="22">
        <v>940</v>
      </c>
      <c r="E942" s="16"/>
      <c r="G942" t="s">
        <v>154</v>
      </c>
      <c r="H942" t="s">
        <v>194</v>
      </c>
      <c r="I942" t="s">
        <v>89</v>
      </c>
      <c r="J942" t="s">
        <v>219</v>
      </c>
      <c r="L942" s="5"/>
    </row>
    <row r="943" spans="1:12" s="25" customFormat="1" x14ac:dyDescent="0.2">
      <c r="A943">
        <v>2012</v>
      </c>
      <c r="B943" t="s">
        <v>258</v>
      </c>
      <c r="C943" s="52" t="s">
        <v>2392</v>
      </c>
      <c r="D943" s="22">
        <v>740</v>
      </c>
      <c r="E943" s="16"/>
      <c r="F943" t="s">
        <v>1188</v>
      </c>
      <c r="G943" t="s">
        <v>144</v>
      </c>
      <c r="H943" t="s">
        <v>273</v>
      </c>
      <c r="I943" t="s">
        <v>53</v>
      </c>
      <c r="J943" t="s">
        <v>183</v>
      </c>
      <c r="L943" s="2"/>
    </row>
    <row r="944" spans="1:12" s="25" customFormat="1" x14ac:dyDescent="0.2">
      <c r="A944">
        <v>2012</v>
      </c>
      <c r="B944" t="s">
        <v>179</v>
      </c>
      <c r="C944" t="s">
        <v>2559</v>
      </c>
      <c r="D944" s="22">
        <v>320</v>
      </c>
      <c r="E944" s="16"/>
      <c r="F944" t="s">
        <v>2560</v>
      </c>
      <c r="G944" t="s">
        <v>144</v>
      </c>
      <c r="H944" t="s">
        <v>187</v>
      </c>
      <c r="I944" t="s">
        <v>38</v>
      </c>
      <c r="J944" t="s">
        <v>214</v>
      </c>
      <c r="L944" s="2"/>
    </row>
    <row r="945" spans="1:12" s="25" customFormat="1" x14ac:dyDescent="0.2">
      <c r="A945">
        <v>2012</v>
      </c>
      <c r="B945" t="s">
        <v>179</v>
      </c>
      <c r="C945" t="s">
        <v>1035</v>
      </c>
      <c r="D945" s="22">
        <v>510</v>
      </c>
      <c r="E945" s="16"/>
      <c r="G945" t="s">
        <v>150</v>
      </c>
      <c r="H945" t="s">
        <v>744</v>
      </c>
      <c r="I945" t="s">
        <v>65</v>
      </c>
      <c r="J945" t="s">
        <v>214</v>
      </c>
      <c r="L945" s="2"/>
    </row>
    <row r="946" spans="1:12" s="25" customFormat="1" x14ac:dyDescent="0.2">
      <c r="A946">
        <v>2012</v>
      </c>
      <c r="B946" t="s">
        <v>179</v>
      </c>
      <c r="C946" t="s">
        <v>1035</v>
      </c>
      <c r="D946" s="22">
        <v>1420</v>
      </c>
      <c r="E946" s="16"/>
      <c r="F946" t="s">
        <v>2561</v>
      </c>
      <c r="G946" t="s">
        <v>151</v>
      </c>
      <c r="H946" t="s">
        <v>279</v>
      </c>
      <c r="I946" t="s">
        <v>72</v>
      </c>
      <c r="J946" t="s">
        <v>183</v>
      </c>
      <c r="L946" s="2"/>
    </row>
    <row r="947" spans="1:12" s="25" customFormat="1" x14ac:dyDescent="0.2">
      <c r="A947">
        <v>2012</v>
      </c>
      <c r="B947" t="s">
        <v>179</v>
      </c>
      <c r="C947" t="s">
        <v>307</v>
      </c>
      <c r="D947" s="22">
        <v>550</v>
      </c>
      <c r="E947" s="16"/>
      <c r="F947" t="s">
        <v>2562</v>
      </c>
      <c r="G947" t="s">
        <v>144</v>
      </c>
      <c r="I947" t="s">
        <v>19</v>
      </c>
      <c r="J947" t="s">
        <v>205</v>
      </c>
      <c r="L947" s="2"/>
    </row>
    <row r="948" spans="1:12" s="25" customFormat="1" x14ac:dyDescent="0.2">
      <c r="A948">
        <v>2012</v>
      </c>
      <c r="B948" t="s">
        <v>179</v>
      </c>
      <c r="C948" t="s">
        <v>479</v>
      </c>
      <c r="D948" s="22">
        <v>290</v>
      </c>
      <c r="E948" s="16"/>
      <c r="G948" t="s">
        <v>154</v>
      </c>
      <c r="H948" t="s">
        <v>271</v>
      </c>
      <c r="I948" t="s">
        <v>95</v>
      </c>
      <c r="J948" t="s">
        <v>183</v>
      </c>
      <c r="L948" s="2"/>
    </row>
    <row r="949" spans="1:12" s="25" customFormat="1" x14ac:dyDescent="0.2">
      <c r="A949">
        <v>2012</v>
      </c>
      <c r="B949" t="s">
        <v>179</v>
      </c>
      <c r="C949" t="s">
        <v>246</v>
      </c>
      <c r="D949" s="22">
        <v>180</v>
      </c>
      <c r="E949" s="16"/>
      <c r="G949" t="s">
        <v>144</v>
      </c>
      <c r="I949" t="s">
        <v>46</v>
      </c>
      <c r="J949" t="s">
        <v>219</v>
      </c>
      <c r="L949" s="2"/>
    </row>
    <row r="950" spans="1:12" s="25" customFormat="1" x14ac:dyDescent="0.2">
      <c r="A950">
        <v>2012</v>
      </c>
      <c r="B950" t="s">
        <v>179</v>
      </c>
      <c r="C950" t="s">
        <v>444</v>
      </c>
      <c r="D950" s="22">
        <v>170</v>
      </c>
      <c r="E950" s="16"/>
      <c r="F950" t="s">
        <v>2563</v>
      </c>
      <c r="G950" t="s">
        <v>142</v>
      </c>
      <c r="I950" t="s">
        <v>16</v>
      </c>
      <c r="J950" t="s">
        <v>205</v>
      </c>
      <c r="L950" s="2"/>
    </row>
    <row r="951" spans="1:12" s="25" customFormat="1" x14ac:dyDescent="0.2">
      <c r="A951">
        <v>2012</v>
      </c>
      <c r="B951" t="s">
        <v>179</v>
      </c>
      <c r="C951" t="s">
        <v>815</v>
      </c>
      <c r="D951" s="22">
        <v>210</v>
      </c>
      <c r="E951" s="16"/>
      <c r="F951" t="s">
        <v>2564</v>
      </c>
      <c r="G951" t="s">
        <v>151</v>
      </c>
      <c r="H951" t="s">
        <v>279</v>
      </c>
      <c r="I951" t="s">
        <v>22</v>
      </c>
      <c r="J951" t="s">
        <v>195</v>
      </c>
      <c r="L951" s="2"/>
    </row>
    <row r="952" spans="1:12" s="25" customFormat="1" x14ac:dyDescent="0.2">
      <c r="A952">
        <v>2012</v>
      </c>
      <c r="B952" t="s">
        <v>179</v>
      </c>
      <c r="C952" t="s">
        <v>875</v>
      </c>
      <c r="D952" s="22">
        <v>900</v>
      </c>
      <c r="E952" s="16"/>
      <c r="F952" t="s">
        <v>2565</v>
      </c>
      <c r="G952" t="s">
        <v>144</v>
      </c>
      <c r="H952" t="s">
        <v>197</v>
      </c>
      <c r="I952" t="s">
        <v>96</v>
      </c>
      <c r="J952" t="s">
        <v>205</v>
      </c>
      <c r="L952" s="2"/>
    </row>
    <row r="953" spans="1:12" s="25" customFormat="1" x14ac:dyDescent="0.2">
      <c r="A953">
        <v>2012</v>
      </c>
      <c r="B953" t="s">
        <v>179</v>
      </c>
      <c r="C953" t="s">
        <v>474</v>
      </c>
      <c r="D953" s="22">
        <v>220</v>
      </c>
      <c r="E953" s="16"/>
      <c r="F953" t="s">
        <v>2566</v>
      </c>
      <c r="G953" t="s">
        <v>142</v>
      </c>
      <c r="I953" t="s">
        <v>40</v>
      </c>
      <c r="J953" t="s">
        <v>219</v>
      </c>
      <c r="L953" s="2"/>
    </row>
    <row r="954" spans="1:12" s="25" customFormat="1" x14ac:dyDescent="0.2">
      <c r="A954">
        <v>2012</v>
      </c>
      <c r="B954" t="s">
        <v>184</v>
      </c>
      <c r="C954" t="s">
        <v>444</v>
      </c>
      <c r="D954" s="22">
        <v>230</v>
      </c>
      <c r="E954" s="16"/>
      <c r="F954" t="s">
        <v>2567</v>
      </c>
      <c r="G954" t="s">
        <v>144</v>
      </c>
      <c r="H954" t="s">
        <v>187</v>
      </c>
      <c r="I954" t="s">
        <v>87</v>
      </c>
      <c r="J954" t="s">
        <v>177</v>
      </c>
      <c r="L954" s="2"/>
    </row>
    <row r="955" spans="1:12" s="25" customFormat="1" x14ac:dyDescent="0.2">
      <c r="A955">
        <v>2012</v>
      </c>
      <c r="B955" t="s">
        <v>184</v>
      </c>
      <c r="C955" t="s">
        <v>1035</v>
      </c>
      <c r="D955" s="22">
        <v>250</v>
      </c>
      <c r="E955" s="16"/>
      <c r="G955" t="s">
        <v>142</v>
      </c>
      <c r="I955" t="s">
        <v>115</v>
      </c>
      <c r="J955" t="s">
        <v>201</v>
      </c>
      <c r="L955" s="2"/>
    </row>
    <row r="956" spans="1:12" s="25" customFormat="1" x14ac:dyDescent="0.2">
      <c r="A956">
        <v>2012</v>
      </c>
      <c r="B956" t="s">
        <v>184</v>
      </c>
      <c r="C956" t="s">
        <v>189</v>
      </c>
      <c r="D956" s="22">
        <v>850</v>
      </c>
      <c r="E956" s="16"/>
      <c r="F956" t="s">
        <v>2568</v>
      </c>
      <c r="G956" t="s">
        <v>144</v>
      </c>
      <c r="H956" t="s">
        <v>299</v>
      </c>
      <c r="I956" t="s">
        <v>46</v>
      </c>
      <c r="J956" t="s">
        <v>219</v>
      </c>
      <c r="L956" s="2"/>
    </row>
    <row r="957" spans="1:12" s="25" customFormat="1" x14ac:dyDescent="0.2">
      <c r="A957">
        <v>2012</v>
      </c>
      <c r="B957" t="s">
        <v>184</v>
      </c>
      <c r="C957" t="s">
        <v>449</v>
      </c>
      <c r="D957" s="22">
        <v>140</v>
      </c>
      <c r="E957" s="16">
        <v>0.5</v>
      </c>
      <c r="F957" t="s">
        <v>2569</v>
      </c>
      <c r="G957" t="s">
        <v>154</v>
      </c>
      <c r="H957" t="s">
        <v>194</v>
      </c>
      <c r="I957" t="s">
        <v>57</v>
      </c>
      <c r="J957" t="s">
        <v>195</v>
      </c>
      <c r="L957" s="2"/>
    </row>
    <row r="958" spans="1:12" s="25" customFormat="1" x14ac:dyDescent="0.2">
      <c r="A958">
        <v>2012</v>
      </c>
      <c r="B958" t="s">
        <v>184</v>
      </c>
      <c r="C958" t="s">
        <v>479</v>
      </c>
      <c r="D958" s="22">
        <v>320</v>
      </c>
      <c r="E958" s="16"/>
      <c r="G958" t="s">
        <v>154</v>
      </c>
      <c r="H958" t="s">
        <v>194</v>
      </c>
      <c r="I958" t="s">
        <v>81</v>
      </c>
      <c r="J958" t="s">
        <v>219</v>
      </c>
      <c r="L958" s="2"/>
    </row>
    <row r="959" spans="1:12" s="25" customFormat="1" x14ac:dyDescent="0.2">
      <c r="A959">
        <v>2012</v>
      </c>
      <c r="B959" t="s">
        <v>184</v>
      </c>
      <c r="C959" t="s">
        <v>341</v>
      </c>
      <c r="D959" s="22">
        <v>270</v>
      </c>
      <c r="E959" s="16"/>
      <c r="G959" t="s">
        <v>149</v>
      </c>
      <c r="I959" t="s">
        <v>34</v>
      </c>
      <c r="J959" t="s">
        <v>219</v>
      </c>
      <c r="L959" s="2"/>
    </row>
    <row r="960" spans="1:12" s="25" customFormat="1" x14ac:dyDescent="0.2">
      <c r="A960">
        <v>2012</v>
      </c>
      <c r="B960" t="s">
        <v>225</v>
      </c>
      <c r="C960" t="s">
        <v>337</v>
      </c>
      <c r="D960" s="22">
        <v>1300</v>
      </c>
      <c r="E960" s="16"/>
      <c r="F960" t="s">
        <v>2570</v>
      </c>
      <c r="G960" t="s">
        <v>144</v>
      </c>
      <c r="H960" t="s">
        <v>273</v>
      </c>
      <c r="I960" t="s">
        <v>2571</v>
      </c>
      <c r="J960" t="s">
        <v>195</v>
      </c>
      <c r="L960" s="2"/>
    </row>
    <row r="961" spans="1:12" s="25" customFormat="1" x14ac:dyDescent="0.2">
      <c r="A961">
        <v>2012</v>
      </c>
      <c r="B961" t="s">
        <v>225</v>
      </c>
      <c r="C961" t="s">
        <v>745</v>
      </c>
      <c r="D961" s="22">
        <v>950</v>
      </c>
      <c r="E961" s="16"/>
      <c r="G961" t="s">
        <v>151</v>
      </c>
      <c r="H961" t="s">
        <v>279</v>
      </c>
      <c r="I961" t="s">
        <v>130</v>
      </c>
      <c r="J961" t="s">
        <v>214</v>
      </c>
      <c r="L961" s="2"/>
    </row>
    <row r="962" spans="1:12" s="25" customFormat="1" x14ac:dyDescent="0.2">
      <c r="A962">
        <v>2012</v>
      </c>
      <c r="B962" t="s">
        <v>225</v>
      </c>
      <c r="C962" t="s">
        <v>483</v>
      </c>
      <c r="D962" s="22">
        <v>1250</v>
      </c>
      <c r="E962" s="16"/>
      <c r="F962" t="s">
        <v>2572</v>
      </c>
      <c r="G962" t="s">
        <v>154</v>
      </c>
      <c r="H962" t="s">
        <v>529</v>
      </c>
      <c r="I962" t="s">
        <v>54</v>
      </c>
      <c r="J962" t="s">
        <v>201</v>
      </c>
      <c r="L962" s="2"/>
    </row>
    <row r="963" spans="1:12" s="25" customFormat="1" x14ac:dyDescent="0.2">
      <c r="A963">
        <v>2012</v>
      </c>
      <c r="B963" t="s">
        <v>225</v>
      </c>
      <c r="C963" t="s">
        <v>1093</v>
      </c>
      <c r="D963" s="22">
        <v>120</v>
      </c>
      <c r="E963" s="16"/>
      <c r="G963" t="s">
        <v>154</v>
      </c>
      <c r="H963" t="s">
        <v>194</v>
      </c>
      <c r="I963" t="s">
        <v>23</v>
      </c>
      <c r="J963" t="s">
        <v>183</v>
      </c>
      <c r="L963" s="2"/>
    </row>
    <row r="964" spans="1:12" s="25" customFormat="1" x14ac:dyDescent="0.2">
      <c r="A964">
        <v>2012</v>
      </c>
      <c r="B964" t="s">
        <v>225</v>
      </c>
      <c r="C964" t="s">
        <v>1035</v>
      </c>
      <c r="D964" s="22">
        <v>100</v>
      </c>
      <c r="E964" s="16"/>
      <c r="G964" t="s">
        <v>155</v>
      </c>
      <c r="I964" t="s">
        <v>6</v>
      </c>
      <c r="J964" t="s">
        <v>219</v>
      </c>
      <c r="L964" s="2"/>
    </row>
    <row r="965" spans="1:12" s="25" customFormat="1" x14ac:dyDescent="0.2">
      <c r="A965">
        <v>2012</v>
      </c>
      <c r="B965" t="s">
        <v>225</v>
      </c>
      <c r="C965" t="s">
        <v>444</v>
      </c>
      <c r="D965" s="22">
        <v>100</v>
      </c>
      <c r="E965" s="16"/>
      <c r="G965" t="s">
        <v>144</v>
      </c>
      <c r="H965" t="s">
        <v>232</v>
      </c>
      <c r="I965" t="s">
        <v>124</v>
      </c>
      <c r="J965" t="s">
        <v>183</v>
      </c>
      <c r="L965" s="2"/>
    </row>
    <row r="966" spans="1:12" s="25" customFormat="1" x14ac:dyDescent="0.2">
      <c r="A966">
        <v>2012</v>
      </c>
      <c r="B966" t="s">
        <v>225</v>
      </c>
      <c r="C966" t="s">
        <v>246</v>
      </c>
      <c r="D966" s="22">
        <v>200</v>
      </c>
      <c r="E966" s="16"/>
      <c r="G966" t="s">
        <v>144</v>
      </c>
      <c r="H966" t="s">
        <v>197</v>
      </c>
      <c r="I966" t="s">
        <v>72</v>
      </c>
      <c r="J966" t="s">
        <v>183</v>
      </c>
      <c r="L966" s="2"/>
    </row>
    <row r="967" spans="1:12" s="25" customFormat="1" x14ac:dyDescent="0.2">
      <c r="A967">
        <v>2012</v>
      </c>
      <c r="B967" t="s">
        <v>188</v>
      </c>
      <c r="C967" t="s">
        <v>397</v>
      </c>
      <c r="D967" s="22">
        <v>100</v>
      </c>
      <c r="E967" s="16"/>
      <c r="G967" t="s">
        <v>154</v>
      </c>
      <c r="H967" t="s">
        <v>194</v>
      </c>
      <c r="I967" t="s">
        <v>131</v>
      </c>
      <c r="J967" t="s">
        <v>131</v>
      </c>
      <c r="L967" s="2"/>
    </row>
    <row r="968" spans="1:12" s="25" customFormat="1" x14ac:dyDescent="0.2">
      <c r="A968">
        <v>2012</v>
      </c>
      <c r="B968" t="s">
        <v>188</v>
      </c>
      <c r="C968" t="s">
        <v>397</v>
      </c>
      <c r="D968" s="22">
        <v>170</v>
      </c>
      <c r="E968" s="16"/>
      <c r="F968" t="s">
        <v>2573</v>
      </c>
      <c r="G968" t="s">
        <v>150</v>
      </c>
      <c r="H968" t="s">
        <v>744</v>
      </c>
      <c r="I968" t="s">
        <v>5</v>
      </c>
      <c r="J968" t="s">
        <v>214</v>
      </c>
      <c r="L968" s="2"/>
    </row>
    <row r="969" spans="1:12" s="25" customFormat="1" x14ac:dyDescent="0.2">
      <c r="A969">
        <v>2012</v>
      </c>
      <c r="B969" t="s">
        <v>188</v>
      </c>
      <c r="C969" t="s">
        <v>2574</v>
      </c>
      <c r="D969" s="22">
        <v>630</v>
      </c>
      <c r="E969" s="16">
        <v>0.31</v>
      </c>
      <c r="F969" t="s">
        <v>453</v>
      </c>
      <c r="G969" t="s">
        <v>144</v>
      </c>
      <c r="H969" t="s">
        <v>187</v>
      </c>
      <c r="I969" t="s">
        <v>135</v>
      </c>
      <c r="J969" t="s">
        <v>205</v>
      </c>
      <c r="L969" s="2"/>
    </row>
    <row r="970" spans="1:12" s="25" customFormat="1" x14ac:dyDescent="0.2">
      <c r="A970">
        <v>2012</v>
      </c>
      <c r="B970" t="s">
        <v>188</v>
      </c>
      <c r="C970" t="s">
        <v>479</v>
      </c>
      <c r="D970" s="22">
        <v>200</v>
      </c>
      <c r="E970" s="16"/>
      <c r="F970" t="s">
        <v>2461</v>
      </c>
      <c r="G970" t="s">
        <v>154</v>
      </c>
      <c r="H970" t="s">
        <v>271</v>
      </c>
      <c r="I970" t="s">
        <v>136</v>
      </c>
      <c r="J970" t="s">
        <v>183</v>
      </c>
      <c r="L970" s="2"/>
    </row>
    <row r="971" spans="1:12" s="25" customFormat="1" x14ac:dyDescent="0.2">
      <c r="A971">
        <v>2012</v>
      </c>
      <c r="B971" t="s">
        <v>188</v>
      </c>
      <c r="C971" t="s">
        <v>479</v>
      </c>
      <c r="D971" s="22">
        <v>1580</v>
      </c>
      <c r="E971" s="16"/>
      <c r="G971" t="s">
        <v>154</v>
      </c>
      <c r="H971" t="s">
        <v>529</v>
      </c>
      <c r="I971" t="s">
        <v>40</v>
      </c>
      <c r="J971" t="s">
        <v>219</v>
      </c>
      <c r="L971" s="2"/>
    </row>
    <row r="972" spans="1:12" s="25" customFormat="1" x14ac:dyDescent="0.2">
      <c r="A972">
        <v>2012</v>
      </c>
      <c r="B972" t="s">
        <v>188</v>
      </c>
      <c r="C972" t="s">
        <v>1035</v>
      </c>
      <c r="D972" s="22">
        <v>100</v>
      </c>
      <c r="E972" s="16"/>
      <c r="F972" t="s">
        <v>2461</v>
      </c>
      <c r="G972" t="s">
        <v>144</v>
      </c>
      <c r="H972" t="s">
        <v>197</v>
      </c>
      <c r="I972" t="s">
        <v>136</v>
      </c>
      <c r="J972" t="s">
        <v>183</v>
      </c>
      <c r="L972" s="2"/>
    </row>
    <row r="973" spans="1:12" s="25" customFormat="1" x14ac:dyDescent="0.2">
      <c r="A973">
        <v>2012</v>
      </c>
      <c r="B973" t="s">
        <v>188</v>
      </c>
      <c r="C973" t="s">
        <v>246</v>
      </c>
      <c r="D973" s="22">
        <v>360</v>
      </c>
      <c r="E973" s="16"/>
      <c r="G973" t="s">
        <v>144</v>
      </c>
      <c r="H973" t="s">
        <v>197</v>
      </c>
      <c r="I973" t="s">
        <v>63</v>
      </c>
      <c r="J973" t="s">
        <v>201</v>
      </c>
      <c r="L973" s="2"/>
    </row>
    <row r="974" spans="1:12" s="25" customFormat="1" ht="14.25" customHeight="1" x14ac:dyDescent="0.2">
      <c r="A974">
        <v>2012</v>
      </c>
      <c r="B974" t="s">
        <v>188</v>
      </c>
      <c r="C974" t="s">
        <v>444</v>
      </c>
      <c r="D974" s="22">
        <v>170</v>
      </c>
      <c r="E974" s="16"/>
      <c r="G974" t="s">
        <v>144</v>
      </c>
      <c r="I974" t="s">
        <v>13</v>
      </c>
      <c r="J974" t="s">
        <v>201</v>
      </c>
      <c r="L974" s="2"/>
    </row>
    <row r="975" spans="1:12" s="25" customFormat="1" x14ac:dyDescent="0.2">
      <c r="A975">
        <v>2012</v>
      </c>
      <c r="B975" t="s">
        <v>188</v>
      </c>
      <c r="C975" t="s">
        <v>479</v>
      </c>
      <c r="D975" s="22">
        <v>160</v>
      </c>
      <c r="E975" s="16"/>
      <c r="G975" t="s">
        <v>154</v>
      </c>
      <c r="H975" t="s">
        <v>250</v>
      </c>
      <c r="I975" t="s">
        <v>2554</v>
      </c>
      <c r="J975" t="s">
        <v>219</v>
      </c>
      <c r="L975" s="2"/>
    </row>
    <row r="976" spans="1:12" s="25" customFormat="1" x14ac:dyDescent="0.2">
      <c r="A976">
        <v>2012</v>
      </c>
      <c r="B976" t="s">
        <v>188</v>
      </c>
      <c r="C976" t="s">
        <v>244</v>
      </c>
      <c r="D976" s="22">
        <v>110</v>
      </c>
      <c r="E976" s="16"/>
      <c r="F976" t="s">
        <v>2575</v>
      </c>
      <c r="G976" t="s">
        <v>149</v>
      </c>
      <c r="I976" t="s">
        <v>52</v>
      </c>
      <c r="J976" t="s">
        <v>201</v>
      </c>
      <c r="L976" s="2"/>
    </row>
    <row r="977" spans="1:12" s="25" customFormat="1" x14ac:dyDescent="0.2">
      <c r="A977">
        <v>2012</v>
      </c>
      <c r="B977" t="s">
        <v>188</v>
      </c>
      <c r="C977" t="s">
        <v>189</v>
      </c>
      <c r="D977" s="22">
        <v>150</v>
      </c>
      <c r="E977" s="16"/>
      <c r="F977" t="s">
        <v>2002</v>
      </c>
      <c r="G977" t="s">
        <v>144</v>
      </c>
      <c r="H977" t="s">
        <v>187</v>
      </c>
      <c r="I977" t="s">
        <v>105</v>
      </c>
      <c r="J977" t="s">
        <v>214</v>
      </c>
      <c r="L977" s="2"/>
    </row>
    <row r="978" spans="1:12" s="25" customFormat="1" x14ac:dyDescent="0.2">
      <c r="A978">
        <v>2012</v>
      </c>
      <c r="B978" t="s">
        <v>188</v>
      </c>
      <c r="C978" t="s">
        <v>1035</v>
      </c>
      <c r="D978" s="22">
        <v>210</v>
      </c>
      <c r="E978" s="16"/>
      <c r="G978" t="s">
        <v>144</v>
      </c>
      <c r="H978" t="s">
        <v>197</v>
      </c>
      <c r="I978" t="s">
        <v>128</v>
      </c>
      <c r="J978" t="s">
        <v>201</v>
      </c>
      <c r="L978" s="2"/>
    </row>
    <row r="979" spans="1:12" s="25" customFormat="1" x14ac:dyDescent="0.2">
      <c r="A979">
        <v>2012</v>
      </c>
      <c r="B979" t="s">
        <v>191</v>
      </c>
      <c r="C979" t="s">
        <v>397</v>
      </c>
      <c r="D979" s="22">
        <v>1750</v>
      </c>
      <c r="E979" s="16"/>
      <c r="G979" t="s">
        <v>144</v>
      </c>
      <c r="H979" t="s">
        <v>197</v>
      </c>
      <c r="I979" t="s">
        <v>64</v>
      </c>
      <c r="J979" t="s">
        <v>219</v>
      </c>
      <c r="L979" s="2"/>
    </row>
    <row r="980" spans="1:12" s="25" customFormat="1" x14ac:dyDescent="0.2">
      <c r="A980">
        <v>2012</v>
      </c>
      <c r="B980" t="s">
        <v>191</v>
      </c>
      <c r="C980" t="s">
        <v>444</v>
      </c>
      <c r="D980" s="22">
        <v>200</v>
      </c>
      <c r="E980" s="16"/>
      <c r="G980" t="s">
        <v>142</v>
      </c>
      <c r="I980" t="s">
        <v>139</v>
      </c>
      <c r="J980" t="s">
        <v>219</v>
      </c>
      <c r="L980" s="78"/>
    </row>
    <row r="981" spans="1:12" s="25" customFormat="1" x14ac:dyDescent="0.2">
      <c r="A981">
        <v>2012</v>
      </c>
      <c r="B981" t="s">
        <v>191</v>
      </c>
      <c r="C981" t="s">
        <v>341</v>
      </c>
      <c r="D981" s="22">
        <v>360</v>
      </c>
      <c r="E981" s="16"/>
      <c r="G981" t="s">
        <v>151</v>
      </c>
      <c r="H981" t="s">
        <v>279</v>
      </c>
      <c r="I981" t="s">
        <v>46</v>
      </c>
      <c r="J981" t="s">
        <v>219</v>
      </c>
      <c r="L981" s="2"/>
    </row>
    <row r="982" spans="1:12" s="25" customFormat="1" x14ac:dyDescent="0.2">
      <c r="A982">
        <v>2012</v>
      </c>
      <c r="B982" t="s">
        <v>191</v>
      </c>
      <c r="C982" t="s">
        <v>307</v>
      </c>
      <c r="D982" s="22">
        <v>1310</v>
      </c>
      <c r="E982" s="16"/>
      <c r="F982" t="s">
        <v>2576</v>
      </c>
      <c r="G982" t="s">
        <v>144</v>
      </c>
      <c r="I982" t="s">
        <v>135</v>
      </c>
      <c r="J982" t="s">
        <v>205</v>
      </c>
      <c r="L982" s="2"/>
    </row>
    <row r="983" spans="1:12" s="25" customFormat="1" x14ac:dyDescent="0.2">
      <c r="A983">
        <v>2012</v>
      </c>
      <c r="B983" t="s">
        <v>191</v>
      </c>
      <c r="C983" t="s">
        <v>2438</v>
      </c>
      <c r="D983" s="22">
        <v>590</v>
      </c>
      <c r="E983" s="16"/>
      <c r="G983" t="s">
        <v>154</v>
      </c>
      <c r="H983" t="s">
        <v>194</v>
      </c>
      <c r="I983" t="s">
        <v>64</v>
      </c>
      <c r="J983" t="s">
        <v>219</v>
      </c>
      <c r="L983" s="2"/>
    </row>
    <row r="984" spans="1:12" s="25" customFormat="1" x14ac:dyDescent="0.2">
      <c r="A984">
        <v>2012</v>
      </c>
      <c r="B984" t="s">
        <v>191</v>
      </c>
      <c r="C984" t="s">
        <v>479</v>
      </c>
      <c r="D984" s="22">
        <v>200</v>
      </c>
      <c r="E984" s="16"/>
      <c r="G984" t="s">
        <v>142</v>
      </c>
      <c r="I984" t="s">
        <v>46</v>
      </c>
      <c r="J984" t="s">
        <v>219</v>
      </c>
      <c r="L984" s="2"/>
    </row>
    <row r="985" spans="1:12" s="25" customFormat="1" x14ac:dyDescent="0.2">
      <c r="A985">
        <v>2012</v>
      </c>
      <c r="B985" t="s">
        <v>191</v>
      </c>
      <c r="C985" t="s">
        <v>246</v>
      </c>
      <c r="D985" s="22">
        <v>210</v>
      </c>
      <c r="E985" s="16"/>
      <c r="G985" t="s">
        <v>144</v>
      </c>
      <c r="H985" t="s">
        <v>197</v>
      </c>
      <c r="I985" t="s">
        <v>24</v>
      </c>
      <c r="J985" t="s">
        <v>219</v>
      </c>
      <c r="L985" s="2"/>
    </row>
    <row r="986" spans="1:12" s="25" customFormat="1" x14ac:dyDescent="0.2">
      <c r="A986">
        <v>2012</v>
      </c>
      <c r="B986" t="s">
        <v>191</v>
      </c>
      <c r="C986" t="s">
        <v>479</v>
      </c>
      <c r="D986" s="22">
        <v>120</v>
      </c>
      <c r="E986" s="16"/>
      <c r="G986" t="s">
        <v>154</v>
      </c>
      <c r="H986" t="s">
        <v>194</v>
      </c>
      <c r="I986" t="s">
        <v>102</v>
      </c>
      <c r="J986" t="s">
        <v>219</v>
      </c>
      <c r="L986" s="2"/>
    </row>
    <row r="987" spans="1:12" s="25" customFormat="1" x14ac:dyDescent="0.2">
      <c r="A987">
        <v>2012</v>
      </c>
      <c r="B987" t="s">
        <v>191</v>
      </c>
      <c r="C987" t="s">
        <v>479</v>
      </c>
      <c r="D987" s="22">
        <v>280</v>
      </c>
      <c r="E987" s="16"/>
      <c r="G987" t="s">
        <v>154</v>
      </c>
      <c r="H987" t="s">
        <v>194</v>
      </c>
      <c r="I987" t="s">
        <v>64</v>
      </c>
      <c r="J987" t="s">
        <v>219</v>
      </c>
      <c r="L987" s="2"/>
    </row>
    <row r="988" spans="1:12" s="25" customFormat="1" x14ac:dyDescent="0.2">
      <c r="A988">
        <v>2012</v>
      </c>
      <c r="B988" t="s">
        <v>191</v>
      </c>
      <c r="C988" t="s">
        <v>2577</v>
      </c>
      <c r="D988" s="22">
        <v>420</v>
      </c>
      <c r="E988" s="16"/>
      <c r="F988" t="s">
        <v>2578</v>
      </c>
      <c r="G988" t="s">
        <v>149</v>
      </c>
      <c r="H988" t="s">
        <v>182</v>
      </c>
      <c r="I988" t="s">
        <v>53</v>
      </c>
      <c r="J988" t="s">
        <v>183</v>
      </c>
      <c r="L988" s="2"/>
    </row>
    <row r="989" spans="1:12" s="25" customFormat="1" x14ac:dyDescent="0.2">
      <c r="A989">
        <v>2012</v>
      </c>
      <c r="B989" t="s">
        <v>191</v>
      </c>
      <c r="C989" t="s">
        <v>2577</v>
      </c>
      <c r="D989" s="22">
        <v>180</v>
      </c>
      <c r="E989" s="16"/>
      <c r="F989" t="s">
        <v>2579</v>
      </c>
      <c r="G989" t="s">
        <v>149</v>
      </c>
      <c r="I989" t="s">
        <v>53</v>
      </c>
      <c r="J989" t="s">
        <v>183</v>
      </c>
      <c r="L989" s="2"/>
    </row>
    <row r="990" spans="1:12" s="25" customFormat="1" x14ac:dyDescent="0.2">
      <c r="A990">
        <v>2012</v>
      </c>
      <c r="B990" t="s">
        <v>191</v>
      </c>
      <c r="C990" t="s">
        <v>479</v>
      </c>
      <c r="D990" s="22">
        <v>2660</v>
      </c>
      <c r="E990" s="16"/>
      <c r="G990" t="s">
        <v>154</v>
      </c>
      <c r="H990" t="s">
        <v>529</v>
      </c>
      <c r="I990" t="s">
        <v>64</v>
      </c>
      <c r="J990" t="s">
        <v>219</v>
      </c>
      <c r="L990" s="2"/>
    </row>
    <row r="991" spans="1:12" s="25" customFormat="1" x14ac:dyDescent="0.2">
      <c r="A991">
        <v>2012</v>
      </c>
      <c r="B991" t="s">
        <v>198</v>
      </c>
      <c r="C991" t="s">
        <v>189</v>
      </c>
      <c r="D991" s="22">
        <v>140</v>
      </c>
      <c r="E991" s="16"/>
      <c r="F991" t="s">
        <v>2580</v>
      </c>
      <c r="G991" t="s">
        <v>144</v>
      </c>
      <c r="I991" t="s">
        <v>64</v>
      </c>
      <c r="J991" t="s">
        <v>219</v>
      </c>
      <c r="L991" s="2"/>
    </row>
    <row r="992" spans="1:12" s="25" customFormat="1" x14ac:dyDescent="0.2">
      <c r="A992">
        <v>2012</v>
      </c>
      <c r="B992" t="s">
        <v>198</v>
      </c>
      <c r="C992" t="s">
        <v>246</v>
      </c>
      <c r="D992" s="22">
        <v>300</v>
      </c>
      <c r="E992" s="16"/>
      <c r="F992" t="s">
        <v>2581</v>
      </c>
      <c r="G992" t="s">
        <v>144</v>
      </c>
      <c r="H992" t="s">
        <v>197</v>
      </c>
      <c r="I992" t="s">
        <v>67</v>
      </c>
      <c r="J992" t="s">
        <v>183</v>
      </c>
      <c r="L992" s="2"/>
    </row>
    <row r="993" spans="1:12" s="25" customFormat="1" x14ac:dyDescent="0.2">
      <c r="A993">
        <v>2012</v>
      </c>
      <c r="B993" t="s">
        <v>198</v>
      </c>
      <c r="C993" t="s">
        <v>397</v>
      </c>
      <c r="D993" s="22">
        <v>230</v>
      </c>
      <c r="E993" s="16"/>
      <c r="G993" t="s">
        <v>153</v>
      </c>
      <c r="I993" t="s">
        <v>93</v>
      </c>
      <c r="J993" t="s">
        <v>201</v>
      </c>
      <c r="L993" s="2"/>
    </row>
    <row r="994" spans="1:12" s="25" customFormat="1" x14ac:dyDescent="0.2">
      <c r="A994">
        <v>2012</v>
      </c>
      <c r="B994" t="s">
        <v>198</v>
      </c>
      <c r="C994" t="s">
        <v>875</v>
      </c>
      <c r="D994" s="22">
        <v>130</v>
      </c>
      <c r="E994" s="16"/>
      <c r="G994" t="s">
        <v>155</v>
      </c>
      <c r="I994" t="s">
        <v>55</v>
      </c>
      <c r="J994" t="s">
        <v>214</v>
      </c>
      <c r="L994" s="2"/>
    </row>
    <row r="995" spans="1:12" s="25" customFormat="1" x14ac:dyDescent="0.2">
      <c r="A995">
        <v>2012</v>
      </c>
      <c r="B995" t="s">
        <v>198</v>
      </c>
      <c r="C995" t="s">
        <v>444</v>
      </c>
      <c r="D995" s="22">
        <v>190</v>
      </c>
      <c r="E995" s="16"/>
      <c r="G995" t="s">
        <v>155</v>
      </c>
      <c r="I995" t="s">
        <v>63</v>
      </c>
      <c r="J995" t="s">
        <v>201</v>
      </c>
      <c r="L995" s="2"/>
    </row>
    <row r="996" spans="1:12" s="25" customFormat="1" x14ac:dyDescent="0.2">
      <c r="A996">
        <v>2012</v>
      </c>
      <c r="B996" t="s">
        <v>198</v>
      </c>
      <c r="C996" t="s">
        <v>444</v>
      </c>
      <c r="D996" s="22">
        <v>120</v>
      </c>
      <c r="E996" s="16"/>
      <c r="G996" t="s">
        <v>154</v>
      </c>
      <c r="H996" t="s">
        <v>194</v>
      </c>
      <c r="I996" t="s">
        <v>59</v>
      </c>
      <c r="J996" t="s">
        <v>219</v>
      </c>
      <c r="L996" s="2"/>
    </row>
    <row r="997" spans="1:12" s="25" customFormat="1" x14ac:dyDescent="0.2">
      <c r="A997">
        <v>2012</v>
      </c>
      <c r="B997" t="s">
        <v>198</v>
      </c>
      <c r="C997" t="s">
        <v>444</v>
      </c>
      <c r="D997" s="22">
        <v>1180</v>
      </c>
      <c r="E997" s="16"/>
      <c r="G997" t="s">
        <v>144</v>
      </c>
      <c r="H997" t="s">
        <v>187</v>
      </c>
      <c r="I997" t="s">
        <v>55</v>
      </c>
      <c r="J997" t="s">
        <v>214</v>
      </c>
      <c r="L997" s="2"/>
    </row>
    <row r="998" spans="1:12" s="25" customFormat="1" x14ac:dyDescent="0.2">
      <c r="A998">
        <v>2012</v>
      </c>
      <c r="B998" t="s">
        <v>202</v>
      </c>
      <c r="C998" t="s">
        <v>341</v>
      </c>
      <c r="D998" s="22">
        <v>510</v>
      </c>
      <c r="E998" s="16"/>
      <c r="F998" t="s">
        <v>2582</v>
      </c>
      <c r="G998" t="s">
        <v>144</v>
      </c>
      <c r="H998" t="s">
        <v>197</v>
      </c>
      <c r="I998" t="s">
        <v>50</v>
      </c>
      <c r="J998" t="s">
        <v>205</v>
      </c>
      <c r="L998" s="2"/>
    </row>
    <row r="999" spans="1:12" s="25" customFormat="1" x14ac:dyDescent="0.2">
      <c r="A999">
        <v>2012</v>
      </c>
      <c r="B999" t="s">
        <v>202</v>
      </c>
      <c r="C999" t="s">
        <v>479</v>
      </c>
      <c r="D999" s="22">
        <v>160</v>
      </c>
      <c r="E999" s="16"/>
      <c r="F999" t="s">
        <v>2583</v>
      </c>
      <c r="G999" t="s">
        <v>148</v>
      </c>
      <c r="I999" t="s">
        <v>105</v>
      </c>
      <c r="J999" t="s">
        <v>214</v>
      </c>
      <c r="L999" s="2"/>
    </row>
    <row r="1000" spans="1:12" s="25" customFormat="1" x14ac:dyDescent="0.2">
      <c r="A1000">
        <v>2012</v>
      </c>
      <c r="B1000" t="s">
        <v>202</v>
      </c>
      <c r="C1000" t="s">
        <v>815</v>
      </c>
      <c r="D1000" s="22">
        <v>190</v>
      </c>
      <c r="E1000" s="16"/>
      <c r="F1000" t="s">
        <v>2584</v>
      </c>
      <c r="G1000" t="s">
        <v>151</v>
      </c>
      <c r="H1000" t="s">
        <v>279</v>
      </c>
      <c r="I1000" t="s">
        <v>105</v>
      </c>
      <c r="J1000" t="s">
        <v>214</v>
      </c>
      <c r="L1000" s="2"/>
    </row>
    <row r="1001" spans="1:12" s="25" customFormat="1" x14ac:dyDescent="0.2">
      <c r="A1001">
        <v>2012</v>
      </c>
      <c r="B1001" t="s">
        <v>202</v>
      </c>
      <c r="C1001" t="s">
        <v>479</v>
      </c>
      <c r="D1001" s="22">
        <v>700</v>
      </c>
      <c r="E1001" s="16"/>
      <c r="F1001" t="s">
        <v>2114</v>
      </c>
      <c r="G1001" t="s">
        <v>154</v>
      </c>
      <c r="H1001" t="s">
        <v>271</v>
      </c>
      <c r="I1001" t="s">
        <v>81</v>
      </c>
      <c r="J1001" t="s">
        <v>219</v>
      </c>
      <c r="L1001" s="2"/>
    </row>
    <row r="1002" spans="1:12" s="25" customFormat="1" x14ac:dyDescent="0.2">
      <c r="A1002">
        <v>2012</v>
      </c>
      <c r="B1002" t="s">
        <v>202</v>
      </c>
      <c r="C1002" t="s">
        <v>444</v>
      </c>
      <c r="D1002" s="22">
        <v>310</v>
      </c>
      <c r="E1002" s="16"/>
      <c r="G1002" t="s">
        <v>155</v>
      </c>
      <c r="I1002" t="s">
        <v>13</v>
      </c>
      <c r="J1002" t="s">
        <v>201</v>
      </c>
      <c r="L1002" s="2"/>
    </row>
    <row r="1003" spans="1:12" s="25" customFormat="1" x14ac:dyDescent="0.2">
      <c r="A1003">
        <v>2012</v>
      </c>
      <c r="B1003" t="s">
        <v>202</v>
      </c>
      <c r="C1003" t="s">
        <v>479</v>
      </c>
      <c r="D1003" s="22">
        <v>150</v>
      </c>
      <c r="E1003" s="16"/>
      <c r="G1003" t="s">
        <v>154</v>
      </c>
      <c r="H1003" t="s">
        <v>271</v>
      </c>
      <c r="I1003" t="s">
        <v>46</v>
      </c>
      <c r="J1003" t="s">
        <v>219</v>
      </c>
      <c r="L1003" s="2"/>
    </row>
    <row r="1004" spans="1:12" s="25" customFormat="1" x14ac:dyDescent="0.2">
      <c r="A1004">
        <v>2012</v>
      </c>
      <c r="B1004" t="s">
        <v>202</v>
      </c>
      <c r="C1004" t="s">
        <v>444</v>
      </c>
      <c r="D1004" s="22">
        <v>210</v>
      </c>
      <c r="E1004" s="16"/>
      <c r="G1004" t="s">
        <v>155</v>
      </c>
      <c r="I1004" t="s">
        <v>2554</v>
      </c>
      <c r="J1004" t="s">
        <v>219</v>
      </c>
      <c r="L1004" s="2"/>
    </row>
    <row r="1005" spans="1:12" s="25" customFormat="1" x14ac:dyDescent="0.2">
      <c r="A1005">
        <v>2012</v>
      </c>
      <c r="B1005" t="s">
        <v>202</v>
      </c>
      <c r="C1005" t="s">
        <v>199</v>
      </c>
      <c r="D1005" s="22">
        <v>2920</v>
      </c>
      <c r="E1005" s="16"/>
      <c r="G1005" t="s">
        <v>144</v>
      </c>
      <c r="H1005" t="s">
        <v>299</v>
      </c>
      <c r="I1005" t="s">
        <v>129</v>
      </c>
      <c r="J1005" t="s">
        <v>201</v>
      </c>
      <c r="L1005" s="2"/>
    </row>
    <row r="1006" spans="1:12" s="25" customFormat="1" x14ac:dyDescent="0.2">
      <c r="A1006">
        <v>2012</v>
      </c>
      <c r="B1006" t="s">
        <v>202</v>
      </c>
      <c r="C1006" t="s">
        <v>199</v>
      </c>
      <c r="D1006" s="22">
        <v>2040</v>
      </c>
      <c r="E1006" s="16"/>
      <c r="G1006" t="s">
        <v>144</v>
      </c>
      <c r="H1006" t="s">
        <v>299</v>
      </c>
      <c r="I1006" t="s">
        <v>134</v>
      </c>
      <c r="J1006" t="s">
        <v>201</v>
      </c>
      <c r="L1006" s="2"/>
    </row>
    <row r="1007" spans="1:12" s="25" customFormat="1" x14ac:dyDescent="0.2">
      <c r="A1007">
        <v>2012</v>
      </c>
      <c r="B1007" t="s">
        <v>202</v>
      </c>
      <c r="C1007" t="s">
        <v>199</v>
      </c>
      <c r="D1007" s="22">
        <v>150</v>
      </c>
      <c r="E1007" s="16"/>
      <c r="G1007" t="s">
        <v>144</v>
      </c>
      <c r="H1007" t="s">
        <v>299</v>
      </c>
      <c r="I1007" t="s">
        <v>63</v>
      </c>
      <c r="J1007" t="s">
        <v>201</v>
      </c>
      <c r="L1007" s="2"/>
    </row>
    <row r="1008" spans="1:12" s="25" customFormat="1" x14ac:dyDescent="0.2">
      <c r="A1008">
        <v>2012</v>
      </c>
      <c r="B1008" t="s">
        <v>202</v>
      </c>
      <c r="C1008" t="s">
        <v>1035</v>
      </c>
      <c r="D1008" s="22">
        <v>130</v>
      </c>
      <c r="E1008" s="16"/>
      <c r="G1008" t="s">
        <v>154</v>
      </c>
      <c r="H1008" t="s">
        <v>194</v>
      </c>
      <c r="I1008" t="s">
        <v>44</v>
      </c>
      <c r="J1008" t="s">
        <v>201</v>
      </c>
      <c r="L1008" s="2"/>
    </row>
    <row r="1009" spans="1:12" s="25" customFormat="1" x14ac:dyDescent="0.2">
      <c r="A1009">
        <v>2012</v>
      </c>
      <c r="B1009" t="s">
        <v>202</v>
      </c>
      <c r="C1009" t="s">
        <v>745</v>
      </c>
      <c r="D1009" s="22">
        <v>640</v>
      </c>
      <c r="E1009" s="16"/>
      <c r="G1009" t="s">
        <v>144</v>
      </c>
      <c r="H1009" t="s">
        <v>299</v>
      </c>
      <c r="I1009" t="s">
        <v>128</v>
      </c>
      <c r="J1009" t="s">
        <v>201</v>
      </c>
      <c r="L1009" s="2"/>
    </row>
    <row r="1010" spans="1:12" s="25" customFormat="1" x14ac:dyDescent="0.2">
      <c r="A1010">
        <v>2012</v>
      </c>
      <c r="B1010" t="s">
        <v>207</v>
      </c>
      <c r="C1010" t="s">
        <v>399</v>
      </c>
      <c r="D1010" s="22">
        <v>200</v>
      </c>
      <c r="E1010" s="16"/>
      <c r="F1010" t="s">
        <v>2585</v>
      </c>
      <c r="G1010" t="s">
        <v>144</v>
      </c>
      <c r="H1010" t="s">
        <v>273</v>
      </c>
      <c r="I1010" t="s">
        <v>130</v>
      </c>
      <c r="J1010" t="s">
        <v>214</v>
      </c>
      <c r="L1010" s="2"/>
    </row>
    <row r="1011" spans="1:12" s="25" customFormat="1" x14ac:dyDescent="0.2">
      <c r="A1011">
        <v>2012</v>
      </c>
      <c r="B1011" t="s">
        <v>207</v>
      </c>
      <c r="C1011" t="s">
        <v>180</v>
      </c>
      <c r="D1011" s="22">
        <v>2290</v>
      </c>
      <c r="E1011" s="16"/>
      <c r="F1011" t="s">
        <v>2586</v>
      </c>
      <c r="G1011" t="s">
        <v>149</v>
      </c>
      <c r="H1011" t="s">
        <v>182</v>
      </c>
      <c r="I1011" t="s">
        <v>136</v>
      </c>
      <c r="J1011" t="s">
        <v>183</v>
      </c>
      <c r="L1011" s="2"/>
    </row>
    <row r="1012" spans="1:12" s="25" customFormat="1" x14ac:dyDescent="0.2">
      <c r="A1012">
        <v>2012</v>
      </c>
      <c r="B1012" t="s">
        <v>207</v>
      </c>
      <c r="C1012" t="s">
        <v>449</v>
      </c>
      <c r="D1012" s="22">
        <v>150</v>
      </c>
      <c r="E1012" s="16"/>
      <c r="G1012" t="s">
        <v>155</v>
      </c>
      <c r="I1012" t="s">
        <v>138</v>
      </c>
      <c r="J1012" t="s">
        <v>219</v>
      </c>
      <c r="L1012" s="2"/>
    </row>
    <row r="1013" spans="1:12" s="25" customFormat="1" x14ac:dyDescent="0.2">
      <c r="A1013">
        <v>2012</v>
      </c>
      <c r="B1013" t="s">
        <v>207</v>
      </c>
      <c r="C1013" t="s">
        <v>444</v>
      </c>
      <c r="D1013" s="22">
        <v>320</v>
      </c>
      <c r="E1013" s="16"/>
      <c r="G1013" t="s">
        <v>142</v>
      </c>
      <c r="I1013" t="s">
        <v>116</v>
      </c>
      <c r="J1013" t="s">
        <v>214</v>
      </c>
      <c r="L1013" s="2"/>
    </row>
    <row r="1014" spans="1:12" s="25" customFormat="1" x14ac:dyDescent="0.2">
      <c r="A1014">
        <v>2012</v>
      </c>
      <c r="B1014" t="s">
        <v>207</v>
      </c>
      <c r="C1014" t="s">
        <v>875</v>
      </c>
      <c r="D1014" s="22">
        <v>210</v>
      </c>
      <c r="E1014" s="16"/>
      <c r="F1014" t="s">
        <v>2587</v>
      </c>
      <c r="G1014" t="s">
        <v>144</v>
      </c>
      <c r="H1014" t="s">
        <v>299</v>
      </c>
      <c r="I1014" t="s">
        <v>13</v>
      </c>
      <c r="J1014" t="s">
        <v>201</v>
      </c>
      <c r="L1014" s="2"/>
    </row>
    <row r="1015" spans="1:12" s="25" customFormat="1" x14ac:dyDescent="0.2">
      <c r="A1015">
        <v>2012</v>
      </c>
      <c r="B1015" t="s">
        <v>207</v>
      </c>
      <c r="C1015" t="s">
        <v>479</v>
      </c>
      <c r="D1015" s="22">
        <v>1150</v>
      </c>
      <c r="E1015" s="16"/>
      <c r="G1015" t="s">
        <v>154</v>
      </c>
      <c r="H1015" t="s">
        <v>529</v>
      </c>
      <c r="I1015" t="s">
        <v>64</v>
      </c>
      <c r="J1015" t="s">
        <v>219</v>
      </c>
      <c r="L1015" s="2"/>
    </row>
    <row r="1016" spans="1:12" s="25" customFormat="1" x14ac:dyDescent="0.2">
      <c r="A1016">
        <v>2012</v>
      </c>
      <c r="B1016" t="s">
        <v>207</v>
      </c>
      <c r="C1016" t="s">
        <v>444</v>
      </c>
      <c r="D1016" s="22">
        <v>100</v>
      </c>
      <c r="E1016" s="16"/>
      <c r="G1016" t="s">
        <v>153</v>
      </c>
      <c r="I1016" t="s">
        <v>67</v>
      </c>
      <c r="J1016" t="s">
        <v>183</v>
      </c>
      <c r="L1016" s="2"/>
    </row>
    <row r="1017" spans="1:12" s="25" customFormat="1" x14ac:dyDescent="0.2">
      <c r="A1017">
        <v>2012</v>
      </c>
      <c r="B1017" t="s">
        <v>207</v>
      </c>
      <c r="C1017" t="s">
        <v>2588</v>
      </c>
      <c r="D1017" s="22">
        <v>150</v>
      </c>
      <c r="E1017" s="16"/>
      <c r="G1017" t="s">
        <v>151</v>
      </c>
      <c r="H1017" t="s">
        <v>279</v>
      </c>
      <c r="I1017" t="s">
        <v>9</v>
      </c>
      <c r="J1017" t="s">
        <v>9</v>
      </c>
      <c r="L1017" s="2"/>
    </row>
    <row r="1018" spans="1:12" s="25" customFormat="1" x14ac:dyDescent="0.2">
      <c r="A1018">
        <v>2012</v>
      </c>
      <c r="B1018" t="s">
        <v>240</v>
      </c>
      <c r="C1018" t="s">
        <v>1035</v>
      </c>
      <c r="D1018" s="22">
        <v>590</v>
      </c>
      <c r="E1018" s="16"/>
      <c r="G1018" t="s">
        <v>144</v>
      </c>
      <c r="I1018" t="s">
        <v>138</v>
      </c>
      <c r="J1018" t="s">
        <v>219</v>
      </c>
      <c r="L1018" s="2"/>
    </row>
    <row r="1019" spans="1:12" s="25" customFormat="1" x14ac:dyDescent="0.2">
      <c r="A1019">
        <v>2012</v>
      </c>
      <c r="B1019" t="s">
        <v>240</v>
      </c>
      <c r="C1019" t="s">
        <v>397</v>
      </c>
      <c r="D1019" s="22">
        <v>110</v>
      </c>
      <c r="E1019" s="16"/>
      <c r="G1019" t="s">
        <v>151</v>
      </c>
      <c r="H1019" t="s">
        <v>279</v>
      </c>
      <c r="I1019" t="s">
        <v>108</v>
      </c>
      <c r="J1019" t="s">
        <v>183</v>
      </c>
      <c r="L1019" s="2"/>
    </row>
    <row r="1020" spans="1:12" s="25" customFormat="1" x14ac:dyDescent="0.2">
      <c r="A1020">
        <v>2012</v>
      </c>
      <c r="B1020" t="s">
        <v>240</v>
      </c>
      <c r="C1020" t="s">
        <v>530</v>
      </c>
      <c r="D1020" s="22">
        <v>500</v>
      </c>
      <c r="E1020" s="16"/>
      <c r="F1020" t="s">
        <v>2589</v>
      </c>
      <c r="G1020" t="s">
        <v>152</v>
      </c>
      <c r="H1020" t="s">
        <v>257</v>
      </c>
      <c r="I1020" t="s">
        <v>93</v>
      </c>
      <c r="J1020" t="s">
        <v>201</v>
      </c>
      <c r="L1020" s="2"/>
    </row>
    <row r="1021" spans="1:12" s="25" customFormat="1" x14ac:dyDescent="0.2">
      <c r="A1021">
        <v>2012</v>
      </c>
      <c r="B1021" t="s">
        <v>240</v>
      </c>
      <c r="C1021" t="s">
        <v>815</v>
      </c>
      <c r="D1021" s="22">
        <v>210</v>
      </c>
      <c r="E1021" s="16"/>
      <c r="F1021" t="s">
        <v>2590</v>
      </c>
      <c r="G1021" t="s">
        <v>151</v>
      </c>
      <c r="H1021" t="s">
        <v>279</v>
      </c>
      <c r="I1021" t="s">
        <v>53</v>
      </c>
      <c r="J1021" t="s">
        <v>183</v>
      </c>
      <c r="L1021" s="2"/>
    </row>
    <row r="1022" spans="1:12" s="25" customFormat="1" x14ac:dyDescent="0.2">
      <c r="A1022">
        <v>2012</v>
      </c>
      <c r="B1022" t="s">
        <v>240</v>
      </c>
      <c r="C1022" t="s">
        <v>745</v>
      </c>
      <c r="D1022" s="22">
        <v>340</v>
      </c>
      <c r="E1022" s="16"/>
      <c r="F1022" t="s">
        <v>625</v>
      </c>
      <c r="G1022" t="s">
        <v>154</v>
      </c>
      <c r="H1022" t="s">
        <v>271</v>
      </c>
      <c r="I1022" t="s">
        <v>105</v>
      </c>
      <c r="J1022" t="s">
        <v>214</v>
      </c>
      <c r="L1022" s="2"/>
    </row>
    <row r="1023" spans="1:12" s="25" customFormat="1" x14ac:dyDescent="0.2">
      <c r="A1023">
        <v>2012</v>
      </c>
      <c r="B1023" t="s">
        <v>240</v>
      </c>
      <c r="C1023" t="s">
        <v>399</v>
      </c>
      <c r="D1023" s="22">
        <v>990</v>
      </c>
      <c r="E1023" s="16">
        <v>0.33</v>
      </c>
      <c r="F1023" t="s">
        <v>2591</v>
      </c>
      <c r="G1023" t="s">
        <v>155</v>
      </c>
      <c r="I1023" t="s">
        <v>105</v>
      </c>
      <c r="J1023" t="s">
        <v>214</v>
      </c>
      <c r="L1023" s="2"/>
    </row>
    <row r="1024" spans="1:12" s="25" customFormat="1" x14ac:dyDescent="0.2">
      <c r="A1024">
        <v>2012</v>
      </c>
      <c r="B1024" t="s">
        <v>240</v>
      </c>
      <c r="C1024" t="s">
        <v>479</v>
      </c>
      <c r="D1024" s="22">
        <v>480</v>
      </c>
      <c r="E1024" s="16"/>
      <c r="G1024" t="s">
        <v>154</v>
      </c>
      <c r="H1024" t="s">
        <v>194</v>
      </c>
      <c r="I1024" t="s">
        <v>132</v>
      </c>
      <c r="J1024" t="s">
        <v>219</v>
      </c>
      <c r="L1024" s="2"/>
    </row>
    <row r="1025" spans="1:12" s="25" customFormat="1" x14ac:dyDescent="0.2">
      <c r="A1025">
        <v>2012</v>
      </c>
      <c r="B1025" t="s">
        <v>212</v>
      </c>
      <c r="C1025" t="s">
        <v>180</v>
      </c>
      <c r="D1025" s="22">
        <v>1480</v>
      </c>
      <c r="E1025" s="16"/>
      <c r="G1025" t="s">
        <v>150</v>
      </c>
      <c r="H1025" t="s">
        <v>226</v>
      </c>
      <c r="I1025" t="s">
        <v>72</v>
      </c>
      <c r="J1025" t="s">
        <v>183</v>
      </c>
      <c r="L1025" s="2"/>
    </row>
    <row r="1026" spans="1:12" s="25" customFormat="1" x14ac:dyDescent="0.2">
      <c r="A1026">
        <v>2012</v>
      </c>
      <c r="B1026" t="s">
        <v>212</v>
      </c>
      <c r="C1026" t="s">
        <v>2592</v>
      </c>
      <c r="D1026" s="22">
        <v>800</v>
      </c>
      <c r="E1026" s="16"/>
      <c r="G1026" t="s">
        <v>144</v>
      </c>
      <c r="I1026" t="s">
        <v>6</v>
      </c>
      <c r="J1026" t="s">
        <v>219</v>
      </c>
      <c r="L1026" s="2"/>
    </row>
    <row r="1027" spans="1:12" s="25" customFormat="1" x14ac:dyDescent="0.2">
      <c r="A1027">
        <v>2012</v>
      </c>
      <c r="B1027" t="s">
        <v>212</v>
      </c>
      <c r="C1027" t="s">
        <v>397</v>
      </c>
      <c r="D1027" s="22">
        <v>140</v>
      </c>
      <c r="E1027" s="16"/>
      <c r="G1027" t="s">
        <v>151</v>
      </c>
      <c r="H1027" t="s">
        <v>279</v>
      </c>
      <c r="I1027" t="s">
        <v>108</v>
      </c>
      <c r="J1027" t="s">
        <v>183</v>
      </c>
      <c r="L1027" s="2"/>
    </row>
    <row r="1028" spans="1:12" s="25" customFormat="1" x14ac:dyDescent="0.2">
      <c r="A1028">
        <v>2012</v>
      </c>
      <c r="B1028" t="s">
        <v>212</v>
      </c>
      <c r="C1028" t="s">
        <v>341</v>
      </c>
      <c r="D1028" s="22">
        <v>140</v>
      </c>
      <c r="E1028" s="16"/>
      <c r="G1028" t="s">
        <v>154</v>
      </c>
      <c r="H1028" t="s">
        <v>194</v>
      </c>
      <c r="I1028" t="s">
        <v>123</v>
      </c>
      <c r="J1028" t="s">
        <v>219</v>
      </c>
      <c r="L1028" s="2"/>
    </row>
    <row r="1029" spans="1:12" s="25" customFormat="1" x14ac:dyDescent="0.2">
      <c r="A1029">
        <v>2012</v>
      </c>
      <c r="B1029" t="s">
        <v>212</v>
      </c>
      <c r="C1029" t="s">
        <v>208</v>
      </c>
      <c r="D1029" s="22">
        <v>690</v>
      </c>
      <c r="E1029" s="16"/>
      <c r="G1029" t="s">
        <v>149</v>
      </c>
      <c r="H1029" t="s">
        <v>182</v>
      </c>
      <c r="I1029" t="s">
        <v>54</v>
      </c>
      <c r="J1029" t="s">
        <v>201</v>
      </c>
      <c r="L1029" s="78"/>
    </row>
    <row r="1030" spans="1:12" s="25" customFormat="1" x14ac:dyDescent="0.2">
      <c r="A1030">
        <v>2012</v>
      </c>
      <c r="B1030" t="s">
        <v>212</v>
      </c>
      <c r="C1030" t="s">
        <v>2414</v>
      </c>
      <c r="D1030" s="22">
        <v>100</v>
      </c>
      <c r="E1030" s="16"/>
      <c r="G1030" t="s">
        <v>152</v>
      </c>
      <c r="H1030" t="s">
        <v>257</v>
      </c>
      <c r="I1030" t="s">
        <v>115</v>
      </c>
      <c r="J1030" t="s">
        <v>201</v>
      </c>
      <c r="L1030" s="2"/>
    </row>
    <row r="1031" spans="1:12" s="25" customFormat="1" x14ac:dyDescent="0.2">
      <c r="A1031">
        <v>2012</v>
      </c>
      <c r="B1031" t="s">
        <v>212</v>
      </c>
      <c r="C1031" t="s">
        <v>479</v>
      </c>
      <c r="D1031" s="22">
        <v>730</v>
      </c>
      <c r="E1031" s="16"/>
      <c r="G1031" t="s">
        <v>154</v>
      </c>
      <c r="H1031" t="s">
        <v>194</v>
      </c>
      <c r="I1031" t="s">
        <v>81</v>
      </c>
      <c r="J1031" t="s">
        <v>219</v>
      </c>
      <c r="L1031" s="2"/>
    </row>
    <row r="1032" spans="1:12" s="25" customFormat="1" x14ac:dyDescent="0.2">
      <c r="A1032">
        <v>2012</v>
      </c>
      <c r="B1032" t="s">
        <v>212</v>
      </c>
      <c r="C1032" t="s">
        <v>1234</v>
      </c>
      <c r="D1032" s="22">
        <v>110</v>
      </c>
      <c r="E1032" s="16"/>
      <c r="G1032" t="s">
        <v>144</v>
      </c>
      <c r="H1032" t="s">
        <v>299</v>
      </c>
      <c r="I1032" t="s">
        <v>13</v>
      </c>
      <c r="J1032" t="s">
        <v>201</v>
      </c>
      <c r="L1032" s="2"/>
    </row>
    <row r="1033" spans="1:12" s="25" customFormat="1" x14ac:dyDescent="0.2">
      <c r="A1033">
        <v>2012</v>
      </c>
      <c r="B1033" t="s">
        <v>212</v>
      </c>
      <c r="C1033" t="s">
        <v>199</v>
      </c>
      <c r="D1033" s="22">
        <v>190</v>
      </c>
      <c r="E1033" s="16"/>
      <c r="F1033" t="s">
        <v>2593</v>
      </c>
      <c r="G1033" t="s">
        <v>144</v>
      </c>
      <c r="H1033" t="s">
        <v>187</v>
      </c>
      <c r="I1033" t="s">
        <v>55</v>
      </c>
      <c r="J1033" t="s">
        <v>214</v>
      </c>
      <c r="L1033" s="2"/>
    </row>
    <row r="1034" spans="1:12" s="25" customFormat="1" x14ac:dyDescent="0.2">
      <c r="A1034">
        <v>2012</v>
      </c>
      <c r="B1034" t="s">
        <v>212</v>
      </c>
      <c r="C1034" t="s">
        <v>815</v>
      </c>
      <c r="D1034" s="22">
        <v>420</v>
      </c>
      <c r="E1034" s="16"/>
      <c r="F1034" t="s">
        <v>2405</v>
      </c>
      <c r="G1034" t="s">
        <v>151</v>
      </c>
      <c r="H1034" t="s">
        <v>279</v>
      </c>
      <c r="I1034" t="s">
        <v>123</v>
      </c>
      <c r="J1034" t="s">
        <v>219</v>
      </c>
      <c r="L1034" s="2"/>
    </row>
    <row r="1035" spans="1:12" s="25" customFormat="1" x14ac:dyDescent="0.2">
      <c r="A1035">
        <v>2012</v>
      </c>
      <c r="B1035" t="s">
        <v>212</v>
      </c>
      <c r="C1035" t="s">
        <v>397</v>
      </c>
      <c r="D1035" s="22">
        <v>1200</v>
      </c>
      <c r="E1035" s="16"/>
      <c r="G1035" t="s">
        <v>154</v>
      </c>
      <c r="H1035" t="s">
        <v>194</v>
      </c>
      <c r="I1035" t="s">
        <v>5</v>
      </c>
      <c r="J1035" t="s">
        <v>214</v>
      </c>
      <c r="L1035" s="2"/>
    </row>
    <row r="1036" spans="1:12" s="25" customFormat="1" x14ac:dyDescent="0.2">
      <c r="A1036">
        <v>2013</v>
      </c>
      <c r="B1036" t="s">
        <v>172</v>
      </c>
      <c r="C1036" t="s">
        <v>175</v>
      </c>
      <c r="D1036" s="65">
        <v>1570</v>
      </c>
      <c r="E1036" s="33">
        <v>1</v>
      </c>
      <c r="G1036" t="s">
        <v>149</v>
      </c>
      <c r="I1036" t="s">
        <v>9</v>
      </c>
      <c r="J1036" t="s">
        <v>9</v>
      </c>
      <c r="K1036" s="17"/>
      <c r="L1036" s="28" t="s">
        <v>178</v>
      </c>
    </row>
    <row r="1037" spans="1:12" s="25" customFormat="1" x14ac:dyDescent="0.2">
      <c r="A1037">
        <v>2013</v>
      </c>
      <c r="B1037" t="s">
        <v>172</v>
      </c>
      <c r="C1037" t="s">
        <v>477</v>
      </c>
      <c r="D1037" s="65">
        <v>530</v>
      </c>
      <c r="E1037" s="33">
        <v>0.49</v>
      </c>
      <c r="F1037" t="s">
        <v>741</v>
      </c>
      <c r="G1037" t="s">
        <v>154</v>
      </c>
      <c r="H1037" t="s">
        <v>271</v>
      </c>
      <c r="I1037" t="s">
        <v>42</v>
      </c>
      <c r="J1037" t="s">
        <v>195</v>
      </c>
      <c r="K1037" s="17"/>
      <c r="L1037" s="28"/>
    </row>
    <row r="1038" spans="1:12" s="25" customFormat="1" x14ac:dyDescent="0.2">
      <c r="A1038">
        <v>2013</v>
      </c>
      <c r="B1038" t="s">
        <v>172</v>
      </c>
      <c r="C1038" t="s">
        <v>313</v>
      </c>
      <c r="D1038" s="65">
        <v>1700</v>
      </c>
      <c r="E1038" s="33">
        <v>0.4</v>
      </c>
      <c r="F1038" t="s">
        <v>742</v>
      </c>
      <c r="G1038" t="s">
        <v>144</v>
      </c>
      <c r="H1038" t="s">
        <v>187</v>
      </c>
      <c r="I1038" t="s">
        <v>131</v>
      </c>
      <c r="J1038" t="s">
        <v>131</v>
      </c>
      <c r="K1038" s="17"/>
      <c r="L1038" s="28"/>
    </row>
    <row r="1039" spans="1:12" s="25" customFormat="1" x14ac:dyDescent="0.2">
      <c r="A1039">
        <v>2013</v>
      </c>
      <c r="B1039" t="s">
        <v>172</v>
      </c>
      <c r="C1039" t="s">
        <v>743</v>
      </c>
      <c r="D1039" s="65">
        <v>190</v>
      </c>
      <c r="E1039" s="33"/>
      <c r="G1039" t="s">
        <v>150</v>
      </c>
      <c r="H1039" t="s">
        <v>744</v>
      </c>
      <c r="I1039" t="s">
        <v>72</v>
      </c>
      <c r="J1039" t="s">
        <v>183</v>
      </c>
      <c r="K1039" s="17"/>
      <c r="L1039" s="28" t="s">
        <v>178</v>
      </c>
    </row>
    <row r="1040" spans="1:12" s="25" customFormat="1" x14ac:dyDescent="0.2">
      <c r="A1040">
        <v>2013</v>
      </c>
      <c r="B1040" t="s">
        <v>172</v>
      </c>
      <c r="C1040" t="s">
        <v>745</v>
      </c>
      <c r="D1040" s="65">
        <v>350</v>
      </c>
      <c r="E1040" s="33">
        <v>0.26</v>
      </c>
      <c r="F1040" t="s">
        <v>746</v>
      </c>
      <c r="G1040" t="s">
        <v>143</v>
      </c>
      <c r="I1040" t="s">
        <v>128</v>
      </c>
      <c r="J1040" t="s">
        <v>201</v>
      </c>
      <c r="K1040" s="17"/>
      <c r="L1040" s="28" t="s">
        <v>178</v>
      </c>
    </row>
    <row r="1041" spans="1:12" s="25" customFormat="1" x14ac:dyDescent="0.2">
      <c r="A1041">
        <v>2013</v>
      </c>
      <c r="B1041" t="s">
        <v>258</v>
      </c>
      <c r="C1041" t="s">
        <v>300</v>
      </c>
      <c r="D1041" s="65">
        <v>110</v>
      </c>
      <c r="E1041" s="33">
        <v>0.49</v>
      </c>
      <c r="F1041" t="s">
        <v>747</v>
      </c>
      <c r="G1041" t="s">
        <v>151</v>
      </c>
      <c r="H1041" t="s">
        <v>224</v>
      </c>
      <c r="I1041" t="s">
        <v>20</v>
      </c>
      <c r="J1041" t="s">
        <v>195</v>
      </c>
      <c r="K1041" s="17"/>
      <c r="L1041" s="28"/>
    </row>
    <row r="1042" spans="1:12" s="25" customFormat="1" x14ac:dyDescent="0.2">
      <c r="A1042">
        <v>2013</v>
      </c>
      <c r="B1042" t="s">
        <v>258</v>
      </c>
      <c r="C1042" t="s">
        <v>438</v>
      </c>
      <c r="D1042" s="65">
        <v>150</v>
      </c>
      <c r="E1042" s="33">
        <v>1</v>
      </c>
      <c r="F1042" t="s">
        <v>748</v>
      </c>
      <c r="G1042" t="s">
        <v>154</v>
      </c>
      <c r="H1042" t="s">
        <v>194</v>
      </c>
      <c r="I1042" t="s">
        <v>20</v>
      </c>
      <c r="J1042" t="s">
        <v>195</v>
      </c>
      <c r="K1042" s="17"/>
      <c r="L1042" s="28"/>
    </row>
    <row r="1043" spans="1:12" s="25" customFormat="1" x14ac:dyDescent="0.2">
      <c r="A1043">
        <v>2013</v>
      </c>
      <c r="B1043" t="s">
        <v>258</v>
      </c>
      <c r="C1043" t="s">
        <v>221</v>
      </c>
      <c r="D1043" s="65">
        <v>470</v>
      </c>
      <c r="E1043" s="33">
        <v>0.13</v>
      </c>
      <c r="F1043" t="s">
        <v>749</v>
      </c>
      <c r="G1043" t="s">
        <v>149</v>
      </c>
      <c r="H1043" t="s">
        <v>238</v>
      </c>
      <c r="I1043" t="s">
        <v>9</v>
      </c>
      <c r="J1043" t="s">
        <v>9</v>
      </c>
      <c r="K1043" s="17"/>
      <c r="L1043" s="28"/>
    </row>
    <row r="1044" spans="1:12" s="25" customFormat="1" x14ac:dyDescent="0.2">
      <c r="A1044">
        <v>2013</v>
      </c>
      <c r="B1044" t="s">
        <v>258</v>
      </c>
      <c r="C1044" t="s">
        <v>373</v>
      </c>
      <c r="D1044" s="65">
        <v>310</v>
      </c>
      <c r="E1044" s="33">
        <v>0.2</v>
      </c>
      <c r="F1044" t="s">
        <v>750</v>
      </c>
      <c r="G1044" t="s">
        <v>153</v>
      </c>
      <c r="I1044" t="s">
        <v>114</v>
      </c>
      <c r="J1044" t="s">
        <v>195</v>
      </c>
      <c r="K1044" s="17"/>
      <c r="L1044" s="28"/>
    </row>
    <row r="1045" spans="1:12" s="25" customFormat="1" x14ac:dyDescent="0.2">
      <c r="A1045">
        <v>2013</v>
      </c>
      <c r="B1045" t="s">
        <v>258</v>
      </c>
      <c r="C1045" t="s">
        <v>189</v>
      </c>
      <c r="D1045" s="65">
        <v>1020</v>
      </c>
      <c r="E1045" s="33">
        <v>0.5</v>
      </c>
      <c r="F1045" t="s">
        <v>463</v>
      </c>
      <c r="G1045" t="s">
        <v>144</v>
      </c>
      <c r="H1045" t="s">
        <v>187</v>
      </c>
      <c r="I1045" t="s">
        <v>131</v>
      </c>
      <c r="J1045" t="s">
        <v>131</v>
      </c>
      <c r="K1045" s="17"/>
      <c r="L1045" s="28"/>
    </row>
    <row r="1046" spans="1:12" s="25" customFormat="1" x14ac:dyDescent="0.2">
      <c r="A1046">
        <v>2013</v>
      </c>
      <c r="B1046" t="s">
        <v>258</v>
      </c>
      <c r="C1046" t="s">
        <v>300</v>
      </c>
      <c r="D1046" s="65">
        <v>840</v>
      </c>
      <c r="E1046" s="33">
        <v>0.4</v>
      </c>
      <c r="F1046" t="s">
        <v>274</v>
      </c>
      <c r="G1046" t="s">
        <v>151</v>
      </c>
      <c r="H1046" t="s">
        <v>224</v>
      </c>
      <c r="I1046" t="s">
        <v>20</v>
      </c>
      <c r="J1046" t="s">
        <v>195</v>
      </c>
      <c r="K1046" s="17"/>
      <c r="L1046" s="28"/>
    </row>
    <row r="1047" spans="1:12" s="25" customFormat="1" x14ac:dyDescent="0.2">
      <c r="A1047">
        <v>2013</v>
      </c>
      <c r="B1047" t="s">
        <v>258</v>
      </c>
      <c r="C1047" t="s">
        <v>751</v>
      </c>
      <c r="D1047" s="65">
        <v>430</v>
      </c>
      <c r="E1047" s="33">
        <v>0.7</v>
      </c>
      <c r="F1047" t="s">
        <v>752</v>
      </c>
      <c r="G1047" t="s">
        <v>151</v>
      </c>
      <c r="H1047" t="s">
        <v>224</v>
      </c>
      <c r="I1047" t="s">
        <v>131</v>
      </c>
      <c r="J1047" t="s">
        <v>131</v>
      </c>
      <c r="K1047" s="17"/>
      <c r="L1047" s="28" t="s">
        <v>178</v>
      </c>
    </row>
    <row r="1048" spans="1:12" s="25" customFormat="1" x14ac:dyDescent="0.2">
      <c r="A1048">
        <v>2013</v>
      </c>
      <c r="B1048" t="s">
        <v>258</v>
      </c>
      <c r="C1048" t="s">
        <v>263</v>
      </c>
      <c r="D1048" s="65">
        <v>100</v>
      </c>
      <c r="E1048" s="33">
        <v>0.2</v>
      </c>
      <c r="F1048" t="s">
        <v>753</v>
      </c>
      <c r="G1048" t="s">
        <v>146</v>
      </c>
      <c r="H1048" t="s">
        <v>253</v>
      </c>
      <c r="I1048" t="s">
        <v>101</v>
      </c>
      <c r="J1048" t="s">
        <v>201</v>
      </c>
      <c r="K1048" s="17"/>
      <c r="L1048" s="28"/>
    </row>
    <row r="1049" spans="1:12" s="25" customFormat="1" x14ac:dyDescent="0.2">
      <c r="A1049">
        <v>2013</v>
      </c>
      <c r="B1049" t="s">
        <v>258</v>
      </c>
      <c r="C1049" t="s">
        <v>334</v>
      </c>
      <c r="D1049" s="65">
        <v>180</v>
      </c>
      <c r="E1049" s="33">
        <v>1</v>
      </c>
      <c r="G1049" t="s">
        <v>142</v>
      </c>
      <c r="I1049" t="s">
        <v>86</v>
      </c>
      <c r="J1049" t="s">
        <v>183</v>
      </c>
      <c r="K1049" s="17"/>
      <c r="L1049" s="28" t="s">
        <v>178</v>
      </c>
    </row>
    <row r="1050" spans="1:12" s="25" customFormat="1" x14ac:dyDescent="0.2">
      <c r="A1050">
        <v>2013</v>
      </c>
      <c r="B1050" t="s">
        <v>258</v>
      </c>
      <c r="C1050" t="s">
        <v>754</v>
      </c>
      <c r="D1050" s="65">
        <v>680</v>
      </c>
      <c r="E1050" s="33">
        <v>1</v>
      </c>
      <c r="G1050" t="s">
        <v>149</v>
      </c>
      <c r="I1050" t="s">
        <v>72</v>
      </c>
      <c r="J1050" t="s">
        <v>183</v>
      </c>
      <c r="K1050" s="17"/>
      <c r="L1050" s="28" t="s">
        <v>178</v>
      </c>
    </row>
    <row r="1051" spans="1:12" s="25" customFormat="1" x14ac:dyDescent="0.2">
      <c r="A1051">
        <v>2013</v>
      </c>
      <c r="B1051" t="s">
        <v>258</v>
      </c>
      <c r="C1051" t="s">
        <v>754</v>
      </c>
      <c r="D1051" s="65">
        <v>480</v>
      </c>
      <c r="E1051" s="33">
        <v>0.4</v>
      </c>
      <c r="F1051" t="s">
        <v>755</v>
      </c>
      <c r="G1051" t="s">
        <v>154</v>
      </c>
      <c r="H1051" t="s">
        <v>271</v>
      </c>
      <c r="I1051" t="s">
        <v>72</v>
      </c>
      <c r="J1051" t="s">
        <v>183</v>
      </c>
      <c r="K1051" s="17"/>
      <c r="L1051" s="28"/>
    </row>
    <row r="1052" spans="1:12" s="25" customFormat="1" x14ac:dyDescent="0.2">
      <c r="A1052">
        <v>2013</v>
      </c>
      <c r="B1052" t="s">
        <v>179</v>
      </c>
      <c r="C1052" t="s">
        <v>756</v>
      </c>
      <c r="D1052" s="65">
        <v>100</v>
      </c>
      <c r="E1052" s="33">
        <v>1</v>
      </c>
      <c r="F1052" t="s">
        <v>757</v>
      </c>
      <c r="G1052" t="s">
        <v>155</v>
      </c>
      <c r="I1052" t="s">
        <v>99</v>
      </c>
      <c r="J1052" t="s">
        <v>195</v>
      </c>
      <c r="K1052" s="17"/>
      <c r="L1052" s="28"/>
    </row>
    <row r="1053" spans="1:12" s="25" customFormat="1" x14ac:dyDescent="0.2">
      <c r="A1053">
        <v>2013</v>
      </c>
      <c r="B1053" t="s">
        <v>179</v>
      </c>
      <c r="C1053" t="s">
        <v>199</v>
      </c>
      <c r="D1053" s="65">
        <v>4210</v>
      </c>
      <c r="E1053" s="33">
        <v>0.28999999999999998</v>
      </c>
      <c r="F1053" t="s">
        <v>758</v>
      </c>
      <c r="G1053" t="s">
        <v>144</v>
      </c>
      <c r="H1053" t="s">
        <v>299</v>
      </c>
      <c r="I1053" t="s">
        <v>81</v>
      </c>
      <c r="J1053" t="s">
        <v>219</v>
      </c>
      <c r="K1053" s="17"/>
      <c r="L1053" s="28"/>
    </row>
    <row r="1054" spans="1:12" s="25" customFormat="1" x14ac:dyDescent="0.2">
      <c r="A1054">
        <v>2013</v>
      </c>
      <c r="B1054" t="s">
        <v>179</v>
      </c>
      <c r="C1054" t="s">
        <v>307</v>
      </c>
      <c r="D1054" s="65">
        <v>1140</v>
      </c>
      <c r="E1054" s="33"/>
      <c r="F1054" t="s">
        <v>759</v>
      </c>
      <c r="G1054" t="s">
        <v>144</v>
      </c>
      <c r="I1054" t="s">
        <v>101</v>
      </c>
      <c r="J1054" t="s">
        <v>201</v>
      </c>
      <c r="K1054" s="17"/>
      <c r="L1054" s="28"/>
    </row>
    <row r="1055" spans="1:12" s="25" customFormat="1" x14ac:dyDescent="0.2">
      <c r="A1055">
        <v>2013</v>
      </c>
      <c r="B1055" t="s">
        <v>179</v>
      </c>
      <c r="C1055" t="s">
        <v>612</v>
      </c>
      <c r="D1055" s="65">
        <v>170</v>
      </c>
      <c r="E1055" s="33"/>
      <c r="G1055" t="s">
        <v>149</v>
      </c>
      <c r="I1055" t="s">
        <v>34</v>
      </c>
      <c r="J1055" t="s">
        <v>219</v>
      </c>
      <c r="K1055" s="17"/>
      <c r="L1055" s="28" t="s">
        <v>178</v>
      </c>
    </row>
    <row r="1056" spans="1:12" s="25" customFormat="1" x14ac:dyDescent="0.2">
      <c r="A1056">
        <v>2013</v>
      </c>
      <c r="B1056" t="s">
        <v>179</v>
      </c>
      <c r="C1056" t="s">
        <v>397</v>
      </c>
      <c r="D1056" s="65">
        <v>250</v>
      </c>
      <c r="E1056" s="33"/>
      <c r="G1056" t="s">
        <v>151</v>
      </c>
      <c r="H1056" t="s">
        <v>224</v>
      </c>
      <c r="I1056" t="s">
        <v>20</v>
      </c>
      <c r="J1056" t="s">
        <v>195</v>
      </c>
      <c r="K1056" s="17"/>
      <c r="L1056" s="28"/>
    </row>
    <row r="1057" spans="1:12" s="25" customFormat="1" x14ac:dyDescent="0.2">
      <c r="A1057">
        <v>2013</v>
      </c>
      <c r="B1057" t="s">
        <v>179</v>
      </c>
      <c r="C1057" t="s">
        <v>760</v>
      </c>
      <c r="D1057" s="65">
        <v>200</v>
      </c>
      <c r="E1057" s="33"/>
      <c r="F1057" t="s">
        <v>761</v>
      </c>
      <c r="G1057" t="s">
        <v>151</v>
      </c>
      <c r="H1057" t="s">
        <v>224</v>
      </c>
      <c r="I1057" t="s">
        <v>9</v>
      </c>
      <c r="J1057" t="s">
        <v>9</v>
      </c>
      <c r="K1057" s="17"/>
      <c r="L1057" s="28"/>
    </row>
    <row r="1058" spans="1:12" s="25" customFormat="1" x14ac:dyDescent="0.2">
      <c r="A1058">
        <v>2013</v>
      </c>
      <c r="B1058" t="s">
        <v>179</v>
      </c>
      <c r="C1058" t="s">
        <v>300</v>
      </c>
      <c r="D1058" s="65">
        <v>240</v>
      </c>
      <c r="E1058" s="33">
        <v>0.33</v>
      </c>
      <c r="F1058" t="s">
        <v>762</v>
      </c>
      <c r="G1058" t="s">
        <v>151</v>
      </c>
      <c r="H1058" t="s">
        <v>224</v>
      </c>
      <c r="I1058" t="s">
        <v>20</v>
      </c>
      <c r="J1058" t="s">
        <v>195</v>
      </c>
      <c r="K1058" s="17"/>
      <c r="L1058" s="28"/>
    </row>
    <row r="1059" spans="1:12" s="25" customFormat="1" x14ac:dyDescent="0.2">
      <c r="A1059">
        <v>2013</v>
      </c>
      <c r="B1059" t="s">
        <v>179</v>
      </c>
      <c r="C1059" t="s">
        <v>705</v>
      </c>
      <c r="D1059" s="65">
        <v>250</v>
      </c>
      <c r="E1059" s="33"/>
      <c r="F1059" t="s">
        <v>436</v>
      </c>
      <c r="G1059" t="s">
        <v>151</v>
      </c>
      <c r="H1059" t="s">
        <v>224</v>
      </c>
      <c r="I1059" t="s">
        <v>9</v>
      </c>
      <c r="J1059" t="s">
        <v>9</v>
      </c>
      <c r="K1059" s="17"/>
      <c r="L1059" s="28"/>
    </row>
    <row r="1060" spans="1:12" s="25" customFormat="1" x14ac:dyDescent="0.2">
      <c r="A1060">
        <v>2013</v>
      </c>
      <c r="B1060" t="s">
        <v>179</v>
      </c>
      <c r="C1060" t="s">
        <v>763</v>
      </c>
      <c r="D1060" s="65">
        <v>150</v>
      </c>
      <c r="E1060" s="33"/>
      <c r="G1060" t="s">
        <v>150</v>
      </c>
      <c r="H1060" t="s">
        <v>556</v>
      </c>
      <c r="I1060" t="s">
        <v>112</v>
      </c>
      <c r="J1060" t="s">
        <v>219</v>
      </c>
      <c r="K1060" s="17"/>
      <c r="L1060" s="28" t="s">
        <v>178</v>
      </c>
    </row>
    <row r="1061" spans="1:12" s="25" customFormat="1" x14ac:dyDescent="0.2">
      <c r="A1061">
        <v>2013</v>
      </c>
      <c r="B1061" t="s">
        <v>184</v>
      </c>
      <c r="C1061" t="s">
        <v>554</v>
      </c>
      <c r="D1061" s="65">
        <v>240</v>
      </c>
      <c r="E1061" s="33">
        <v>0.96</v>
      </c>
      <c r="F1061" t="s">
        <v>764</v>
      </c>
      <c r="G1061" t="s">
        <v>147</v>
      </c>
      <c r="I1061" t="s">
        <v>57</v>
      </c>
      <c r="J1061" t="s">
        <v>195</v>
      </c>
      <c r="K1061" s="17"/>
      <c r="L1061" s="28"/>
    </row>
    <row r="1062" spans="1:12" s="25" customFormat="1" x14ac:dyDescent="0.2">
      <c r="A1062">
        <v>2013</v>
      </c>
      <c r="B1062" t="s">
        <v>184</v>
      </c>
      <c r="C1062" t="s">
        <v>334</v>
      </c>
      <c r="D1062" s="65">
        <v>320</v>
      </c>
      <c r="E1062" s="33"/>
      <c r="G1062" t="s">
        <v>142</v>
      </c>
      <c r="I1062" t="s">
        <v>19</v>
      </c>
      <c r="J1062" t="s">
        <v>205</v>
      </c>
      <c r="K1062" s="17"/>
      <c r="L1062" s="28" t="s">
        <v>178</v>
      </c>
    </row>
    <row r="1063" spans="1:12" s="25" customFormat="1" x14ac:dyDescent="0.2">
      <c r="A1063">
        <v>2013</v>
      </c>
      <c r="B1063" t="s">
        <v>184</v>
      </c>
      <c r="C1063" t="s">
        <v>751</v>
      </c>
      <c r="D1063" s="65">
        <v>110</v>
      </c>
      <c r="E1063" s="33">
        <v>0.3</v>
      </c>
      <c r="G1063" t="s">
        <v>151</v>
      </c>
      <c r="H1063" t="s">
        <v>224</v>
      </c>
      <c r="I1063" t="s">
        <v>108</v>
      </c>
      <c r="J1063" t="s">
        <v>183</v>
      </c>
      <c r="K1063" s="17"/>
      <c r="L1063" s="28"/>
    </row>
    <row r="1064" spans="1:12" s="25" customFormat="1" x14ac:dyDescent="0.2">
      <c r="A1064">
        <v>2013</v>
      </c>
      <c r="B1064" t="s">
        <v>184</v>
      </c>
      <c r="C1064" t="s">
        <v>765</v>
      </c>
      <c r="D1064" s="65">
        <v>130</v>
      </c>
      <c r="E1064" s="33">
        <v>0.26</v>
      </c>
      <c r="G1064" t="s">
        <v>144</v>
      </c>
      <c r="H1064" t="s">
        <v>187</v>
      </c>
      <c r="I1064" t="s">
        <v>113</v>
      </c>
      <c r="J1064" t="s">
        <v>183</v>
      </c>
      <c r="K1064" s="17"/>
      <c r="L1064" s="28" t="s">
        <v>178</v>
      </c>
    </row>
    <row r="1065" spans="1:12" s="25" customFormat="1" x14ac:dyDescent="0.2">
      <c r="A1065">
        <v>2013</v>
      </c>
      <c r="B1065" t="s">
        <v>184</v>
      </c>
      <c r="C1065" t="s">
        <v>244</v>
      </c>
      <c r="D1065" s="65">
        <v>750</v>
      </c>
      <c r="E1065" s="33">
        <v>0.5</v>
      </c>
      <c r="F1065" t="s">
        <v>766</v>
      </c>
      <c r="G1065" t="s">
        <v>149</v>
      </c>
      <c r="I1065" t="s">
        <v>101</v>
      </c>
      <c r="J1065" t="s">
        <v>201</v>
      </c>
      <c r="K1065" s="17"/>
      <c r="L1065" s="28" t="s">
        <v>178</v>
      </c>
    </row>
    <row r="1066" spans="1:12" s="25" customFormat="1" x14ac:dyDescent="0.2">
      <c r="A1066">
        <v>2013</v>
      </c>
      <c r="B1066" t="s">
        <v>184</v>
      </c>
      <c r="C1066" t="s">
        <v>767</v>
      </c>
      <c r="D1066" s="65">
        <v>100</v>
      </c>
      <c r="E1066" s="33"/>
      <c r="F1066" t="s">
        <v>768</v>
      </c>
      <c r="G1066" t="s">
        <v>146</v>
      </c>
      <c r="H1066" t="s">
        <v>253</v>
      </c>
      <c r="I1066" t="s">
        <v>131</v>
      </c>
      <c r="J1066" t="s">
        <v>131</v>
      </c>
      <c r="K1066" s="17"/>
      <c r="L1066" s="28"/>
    </row>
    <row r="1067" spans="1:12" s="25" customFormat="1" x14ac:dyDescent="0.2">
      <c r="A1067">
        <v>2013</v>
      </c>
      <c r="B1067" t="s">
        <v>184</v>
      </c>
      <c r="C1067" t="s">
        <v>263</v>
      </c>
      <c r="D1067" s="65">
        <v>100</v>
      </c>
      <c r="E1067" s="33">
        <v>0.21</v>
      </c>
      <c r="F1067" t="s">
        <v>769</v>
      </c>
      <c r="G1067" t="s">
        <v>150</v>
      </c>
      <c r="H1067" t="s">
        <v>226</v>
      </c>
      <c r="I1067" t="s">
        <v>101</v>
      </c>
      <c r="J1067" t="s">
        <v>201</v>
      </c>
      <c r="K1067" s="17"/>
      <c r="L1067" s="28"/>
    </row>
    <row r="1068" spans="1:12" s="25" customFormat="1" x14ac:dyDescent="0.2">
      <c r="A1068">
        <v>2013</v>
      </c>
      <c r="B1068" t="s">
        <v>225</v>
      </c>
      <c r="C1068" t="s">
        <v>307</v>
      </c>
      <c r="D1068" s="65">
        <v>810</v>
      </c>
      <c r="E1068" s="33">
        <v>0.19900000000000001</v>
      </c>
      <c r="F1068" t="s">
        <v>770</v>
      </c>
      <c r="G1068" t="s">
        <v>144</v>
      </c>
      <c r="I1068" t="s">
        <v>9</v>
      </c>
      <c r="J1068" t="s">
        <v>9</v>
      </c>
      <c r="K1068" s="17"/>
      <c r="L1068" s="28"/>
    </row>
    <row r="1069" spans="1:12" s="25" customFormat="1" x14ac:dyDescent="0.2">
      <c r="A1069">
        <v>2013</v>
      </c>
      <c r="B1069" t="s">
        <v>225</v>
      </c>
      <c r="C1069" t="s">
        <v>307</v>
      </c>
      <c r="D1069" s="65">
        <v>3810</v>
      </c>
      <c r="E1069" s="33">
        <v>0.6</v>
      </c>
      <c r="F1069" t="s">
        <v>770</v>
      </c>
      <c r="G1069" t="s">
        <v>144</v>
      </c>
      <c r="I1069" t="s">
        <v>9</v>
      </c>
      <c r="J1069" t="s">
        <v>9</v>
      </c>
      <c r="K1069" s="17"/>
      <c r="L1069" s="28"/>
    </row>
    <row r="1070" spans="1:12" s="25" customFormat="1" x14ac:dyDescent="0.2">
      <c r="A1070">
        <v>2013</v>
      </c>
      <c r="B1070" t="s">
        <v>225</v>
      </c>
      <c r="C1070" t="s">
        <v>771</v>
      </c>
      <c r="D1070" s="65">
        <v>7100</v>
      </c>
      <c r="E1070" s="33">
        <v>1</v>
      </c>
      <c r="F1070" t="s">
        <v>335</v>
      </c>
      <c r="G1070" t="s">
        <v>142</v>
      </c>
      <c r="I1070" t="s">
        <v>131</v>
      </c>
      <c r="J1070" t="s">
        <v>131</v>
      </c>
      <c r="K1070" s="17"/>
      <c r="L1070" s="28"/>
    </row>
    <row r="1071" spans="1:12" s="25" customFormat="1" x14ac:dyDescent="0.2">
      <c r="A1071">
        <v>2013</v>
      </c>
      <c r="B1071" t="s">
        <v>225</v>
      </c>
      <c r="C1071" t="s">
        <v>554</v>
      </c>
      <c r="D1071" s="65">
        <v>360</v>
      </c>
      <c r="E1071" s="33">
        <v>0.46</v>
      </c>
      <c r="F1071" t="s">
        <v>772</v>
      </c>
      <c r="G1071" t="s">
        <v>153</v>
      </c>
      <c r="I1071" t="s">
        <v>42</v>
      </c>
      <c r="J1071" t="s">
        <v>195</v>
      </c>
      <c r="K1071" s="17"/>
      <c r="L1071" s="28"/>
    </row>
    <row r="1072" spans="1:12" s="25" customFormat="1" x14ac:dyDescent="0.2">
      <c r="A1072">
        <v>2013</v>
      </c>
      <c r="B1072" t="s">
        <v>225</v>
      </c>
      <c r="C1072" t="s">
        <v>773</v>
      </c>
      <c r="D1072" s="65">
        <v>140</v>
      </c>
      <c r="E1072" s="33"/>
      <c r="F1072" t="s">
        <v>774</v>
      </c>
      <c r="G1072" t="s">
        <v>149</v>
      </c>
      <c r="I1072" t="s">
        <v>9</v>
      </c>
      <c r="J1072" t="s">
        <v>9</v>
      </c>
      <c r="K1072" s="17"/>
      <c r="L1072" s="28"/>
    </row>
    <row r="1073" spans="1:12" s="25" customFormat="1" x14ac:dyDescent="0.2">
      <c r="A1073">
        <v>2013</v>
      </c>
      <c r="B1073" t="s">
        <v>225</v>
      </c>
      <c r="C1073" t="s">
        <v>664</v>
      </c>
      <c r="D1073" s="65">
        <v>100</v>
      </c>
      <c r="E1073" s="33">
        <v>0.02</v>
      </c>
      <c r="F1073" t="s">
        <v>775</v>
      </c>
      <c r="G1073" t="s">
        <v>146</v>
      </c>
      <c r="H1073" t="s">
        <v>275</v>
      </c>
      <c r="I1073" t="s">
        <v>101</v>
      </c>
      <c r="J1073" t="s">
        <v>201</v>
      </c>
      <c r="K1073" s="17"/>
      <c r="L1073" s="28"/>
    </row>
    <row r="1074" spans="1:12" s="25" customFormat="1" x14ac:dyDescent="0.2">
      <c r="A1074">
        <v>2013</v>
      </c>
      <c r="B1074" t="s">
        <v>225</v>
      </c>
      <c r="C1074" t="s">
        <v>776</v>
      </c>
      <c r="D1074" s="65">
        <v>110</v>
      </c>
      <c r="E1074" s="33">
        <v>0.2</v>
      </c>
      <c r="F1074" t="s">
        <v>777</v>
      </c>
      <c r="G1074" t="s">
        <v>152</v>
      </c>
      <c r="H1074" t="s">
        <v>257</v>
      </c>
      <c r="I1074" t="s">
        <v>136</v>
      </c>
      <c r="J1074" t="s">
        <v>183</v>
      </c>
      <c r="K1074" s="17"/>
      <c r="L1074" s="28"/>
    </row>
    <row r="1075" spans="1:12" s="25" customFormat="1" x14ac:dyDescent="0.2">
      <c r="A1075">
        <v>2013</v>
      </c>
      <c r="B1075" t="s">
        <v>225</v>
      </c>
      <c r="C1075" t="s">
        <v>778</v>
      </c>
      <c r="D1075" s="65">
        <v>120</v>
      </c>
      <c r="E1075" s="33">
        <v>1</v>
      </c>
      <c r="G1075" t="s">
        <v>150</v>
      </c>
      <c r="H1075" t="s">
        <v>292</v>
      </c>
      <c r="I1075" t="s">
        <v>136</v>
      </c>
      <c r="J1075" t="s">
        <v>183</v>
      </c>
      <c r="K1075" s="17"/>
      <c r="L1075" s="28" t="s">
        <v>178</v>
      </c>
    </row>
    <row r="1076" spans="1:12" s="25" customFormat="1" x14ac:dyDescent="0.2">
      <c r="A1076">
        <v>2013</v>
      </c>
      <c r="B1076" t="s">
        <v>225</v>
      </c>
      <c r="C1076" t="s">
        <v>554</v>
      </c>
      <c r="D1076" s="65">
        <v>100</v>
      </c>
      <c r="E1076" s="33"/>
      <c r="F1076" t="s">
        <v>779</v>
      </c>
      <c r="G1076" t="s">
        <v>149</v>
      </c>
      <c r="H1076" t="s">
        <v>182</v>
      </c>
      <c r="I1076" t="s">
        <v>53</v>
      </c>
      <c r="J1076" t="s">
        <v>183</v>
      </c>
      <c r="K1076" s="17"/>
      <c r="L1076" s="28"/>
    </row>
    <row r="1077" spans="1:12" s="25" customFormat="1" x14ac:dyDescent="0.2">
      <c r="A1077">
        <v>2013</v>
      </c>
      <c r="B1077" t="s">
        <v>188</v>
      </c>
      <c r="C1077" t="s">
        <v>661</v>
      </c>
      <c r="D1077" s="65">
        <v>500</v>
      </c>
      <c r="E1077" s="33">
        <v>0.92</v>
      </c>
      <c r="F1077" t="s">
        <v>780</v>
      </c>
      <c r="G1077" t="s">
        <v>154</v>
      </c>
      <c r="H1077" t="s">
        <v>271</v>
      </c>
      <c r="I1077" t="s">
        <v>20</v>
      </c>
      <c r="J1077" t="s">
        <v>195</v>
      </c>
      <c r="K1077" s="17"/>
      <c r="L1077" s="28"/>
    </row>
    <row r="1078" spans="1:12" s="25" customFormat="1" x14ac:dyDescent="0.2">
      <c r="A1078">
        <v>2013</v>
      </c>
      <c r="B1078" t="s">
        <v>188</v>
      </c>
      <c r="C1078" t="s">
        <v>661</v>
      </c>
      <c r="D1078" s="65">
        <v>1090</v>
      </c>
      <c r="E1078" s="33"/>
      <c r="G1078" t="s">
        <v>153</v>
      </c>
      <c r="I1078" t="s">
        <v>20</v>
      </c>
      <c r="J1078" t="s">
        <v>195</v>
      </c>
      <c r="K1078" s="17"/>
      <c r="L1078" s="28" t="s">
        <v>178</v>
      </c>
    </row>
    <row r="1079" spans="1:12" s="25" customFormat="1" x14ac:dyDescent="0.2">
      <c r="A1079">
        <v>2013</v>
      </c>
      <c r="B1079" t="s">
        <v>188</v>
      </c>
      <c r="C1079" t="s">
        <v>321</v>
      </c>
      <c r="D1079" s="65">
        <v>110</v>
      </c>
      <c r="E1079" s="33">
        <v>1</v>
      </c>
      <c r="F1079" t="s">
        <v>781</v>
      </c>
      <c r="G1079" t="s">
        <v>147</v>
      </c>
      <c r="I1079" t="s">
        <v>131</v>
      </c>
      <c r="J1079" t="s">
        <v>131</v>
      </c>
      <c r="K1079" s="17"/>
      <c r="L1079" s="28"/>
    </row>
    <row r="1080" spans="1:12" s="25" customFormat="1" x14ac:dyDescent="0.2">
      <c r="A1080">
        <v>2013</v>
      </c>
      <c r="B1080" t="s">
        <v>188</v>
      </c>
      <c r="C1080" t="s">
        <v>189</v>
      </c>
      <c r="D1080" s="65">
        <v>1520</v>
      </c>
      <c r="E1080" s="33">
        <v>0.1</v>
      </c>
      <c r="F1080" t="s">
        <v>782</v>
      </c>
      <c r="G1080" t="s">
        <v>144</v>
      </c>
      <c r="H1080" t="s">
        <v>187</v>
      </c>
      <c r="I1080" t="s">
        <v>6</v>
      </c>
      <c r="J1080" t="s">
        <v>219</v>
      </c>
      <c r="K1080" s="17"/>
      <c r="L1080" s="28"/>
    </row>
    <row r="1081" spans="1:12" s="25" customFormat="1" x14ac:dyDescent="0.2">
      <c r="A1081">
        <v>2013</v>
      </c>
      <c r="B1081" t="s">
        <v>188</v>
      </c>
      <c r="C1081" t="s">
        <v>783</v>
      </c>
      <c r="D1081" s="65">
        <v>290</v>
      </c>
      <c r="E1081" s="33"/>
      <c r="F1081" t="s">
        <v>784</v>
      </c>
      <c r="G1081" t="s">
        <v>147</v>
      </c>
      <c r="I1081" t="s">
        <v>131</v>
      </c>
      <c r="J1081" t="s">
        <v>131</v>
      </c>
      <c r="K1081" s="17"/>
      <c r="L1081" s="28"/>
    </row>
    <row r="1082" spans="1:12" s="25" customFormat="1" x14ac:dyDescent="0.2">
      <c r="A1082">
        <v>2013</v>
      </c>
      <c r="B1082" t="s">
        <v>188</v>
      </c>
      <c r="C1082" t="s">
        <v>785</v>
      </c>
      <c r="D1082" s="65">
        <v>380</v>
      </c>
      <c r="E1082" s="33">
        <v>1</v>
      </c>
      <c r="G1082" t="s">
        <v>144</v>
      </c>
      <c r="H1082" t="s">
        <v>232</v>
      </c>
      <c r="I1082" t="s">
        <v>72</v>
      </c>
      <c r="J1082" t="s">
        <v>183</v>
      </c>
      <c r="K1082" s="17"/>
      <c r="L1082" s="28" t="s">
        <v>178</v>
      </c>
    </row>
    <row r="1083" spans="1:12" s="25" customFormat="1" x14ac:dyDescent="0.2">
      <c r="A1083">
        <v>2013</v>
      </c>
      <c r="B1083" t="s">
        <v>188</v>
      </c>
      <c r="C1083" t="s">
        <v>421</v>
      </c>
      <c r="D1083" s="65">
        <v>260</v>
      </c>
      <c r="E1083" s="33">
        <v>1</v>
      </c>
      <c r="G1083" t="s">
        <v>151</v>
      </c>
      <c r="H1083" t="s">
        <v>224</v>
      </c>
      <c r="I1083" t="s">
        <v>115</v>
      </c>
      <c r="J1083" t="s">
        <v>201</v>
      </c>
      <c r="K1083" s="17"/>
      <c r="L1083" s="28" t="s">
        <v>178</v>
      </c>
    </row>
    <row r="1084" spans="1:12" s="25" customFormat="1" x14ac:dyDescent="0.2">
      <c r="A1084">
        <v>2013</v>
      </c>
      <c r="B1084" t="s">
        <v>188</v>
      </c>
      <c r="C1084" t="s">
        <v>601</v>
      </c>
      <c r="D1084" s="65">
        <v>680</v>
      </c>
      <c r="E1084" s="33">
        <v>0.2</v>
      </c>
      <c r="F1084" t="s">
        <v>476</v>
      </c>
      <c r="G1084" t="s">
        <v>151</v>
      </c>
      <c r="H1084" t="s">
        <v>224</v>
      </c>
      <c r="I1084" t="s">
        <v>131</v>
      </c>
      <c r="J1084" t="s">
        <v>131</v>
      </c>
      <c r="K1084" s="17"/>
      <c r="L1084" s="28"/>
    </row>
    <row r="1085" spans="1:12" s="25" customFormat="1" x14ac:dyDescent="0.2">
      <c r="A1085">
        <v>2013</v>
      </c>
      <c r="B1085" t="s">
        <v>188</v>
      </c>
      <c r="C1085" t="s">
        <v>786</v>
      </c>
      <c r="D1085" s="65">
        <v>750</v>
      </c>
      <c r="E1085" s="33"/>
      <c r="F1085" t="s">
        <v>787</v>
      </c>
      <c r="G1085" t="s">
        <v>151</v>
      </c>
      <c r="H1085" t="s">
        <v>224</v>
      </c>
      <c r="I1085" t="s">
        <v>131</v>
      </c>
      <c r="J1085" t="s">
        <v>131</v>
      </c>
      <c r="K1085" s="17"/>
      <c r="L1085" s="28" t="s">
        <v>178</v>
      </c>
    </row>
    <row r="1086" spans="1:12" s="25" customFormat="1" x14ac:dyDescent="0.2">
      <c r="A1086">
        <v>2013</v>
      </c>
      <c r="B1086" t="s">
        <v>188</v>
      </c>
      <c r="C1086" t="s">
        <v>649</v>
      </c>
      <c r="D1086" s="65">
        <v>200</v>
      </c>
      <c r="E1086" s="33">
        <v>1</v>
      </c>
      <c r="G1086" t="s">
        <v>151</v>
      </c>
      <c r="H1086" t="s">
        <v>279</v>
      </c>
      <c r="I1086" t="s">
        <v>19</v>
      </c>
      <c r="J1086" t="s">
        <v>205</v>
      </c>
      <c r="K1086" s="17"/>
      <c r="L1086" s="28" t="s">
        <v>178</v>
      </c>
    </row>
    <row r="1087" spans="1:12" s="25" customFormat="1" x14ac:dyDescent="0.2">
      <c r="A1087">
        <v>2013</v>
      </c>
      <c r="B1087" t="s">
        <v>188</v>
      </c>
      <c r="C1087" t="s">
        <v>397</v>
      </c>
      <c r="D1087" s="65">
        <v>450</v>
      </c>
      <c r="E1087" s="33">
        <v>0.45</v>
      </c>
      <c r="F1087" t="s">
        <v>788</v>
      </c>
      <c r="G1087" t="s">
        <v>153</v>
      </c>
      <c r="I1087" t="s">
        <v>130</v>
      </c>
      <c r="J1087" t="s">
        <v>214</v>
      </c>
      <c r="K1087" s="17"/>
      <c r="L1087" s="28"/>
    </row>
    <row r="1088" spans="1:12" s="25" customFormat="1" x14ac:dyDescent="0.2">
      <c r="A1088">
        <v>2013</v>
      </c>
      <c r="B1088" t="s">
        <v>188</v>
      </c>
      <c r="C1088" t="s">
        <v>596</v>
      </c>
      <c r="D1088" s="65">
        <v>230</v>
      </c>
      <c r="E1088" s="33"/>
      <c r="G1088" t="s">
        <v>144</v>
      </c>
      <c r="H1088" t="s">
        <v>232</v>
      </c>
      <c r="I1088" t="s">
        <v>9</v>
      </c>
      <c r="J1088" t="s">
        <v>9</v>
      </c>
      <c r="K1088" s="17"/>
      <c r="L1088" s="28" t="s">
        <v>178</v>
      </c>
    </row>
    <row r="1089" spans="1:12" s="25" customFormat="1" x14ac:dyDescent="0.2">
      <c r="A1089">
        <v>2013</v>
      </c>
      <c r="B1089" t="s">
        <v>191</v>
      </c>
      <c r="C1089" t="s">
        <v>454</v>
      </c>
      <c r="D1089" s="65">
        <v>350</v>
      </c>
      <c r="E1089" s="33">
        <v>0.06</v>
      </c>
      <c r="F1089" t="s">
        <v>789</v>
      </c>
      <c r="G1089" t="s">
        <v>145</v>
      </c>
      <c r="I1089" t="s">
        <v>131</v>
      </c>
      <c r="J1089" t="s">
        <v>131</v>
      </c>
      <c r="K1089" s="17"/>
      <c r="L1089" s="28"/>
    </row>
    <row r="1090" spans="1:12" s="25" customFormat="1" x14ac:dyDescent="0.2">
      <c r="A1090">
        <v>2013</v>
      </c>
      <c r="B1090" t="s">
        <v>191</v>
      </c>
      <c r="C1090" t="s">
        <v>286</v>
      </c>
      <c r="D1090" s="65">
        <v>390</v>
      </c>
      <c r="E1090" s="33"/>
      <c r="F1090" t="s">
        <v>790</v>
      </c>
      <c r="G1090" t="s">
        <v>151</v>
      </c>
      <c r="H1090" t="s">
        <v>224</v>
      </c>
      <c r="I1090" t="s">
        <v>20</v>
      </c>
      <c r="J1090" t="s">
        <v>195</v>
      </c>
      <c r="K1090" s="17"/>
      <c r="L1090" s="28"/>
    </row>
    <row r="1091" spans="1:12" s="25" customFormat="1" x14ac:dyDescent="0.2">
      <c r="A1091">
        <v>2013</v>
      </c>
      <c r="B1091" t="s">
        <v>191</v>
      </c>
      <c r="C1091" t="s">
        <v>705</v>
      </c>
      <c r="D1091" s="65">
        <v>240</v>
      </c>
      <c r="E1091" s="33"/>
      <c r="F1091" t="s">
        <v>791</v>
      </c>
      <c r="G1091" t="s">
        <v>153</v>
      </c>
      <c r="I1091" t="s">
        <v>114</v>
      </c>
      <c r="J1091" t="s">
        <v>195</v>
      </c>
      <c r="K1091" s="17"/>
      <c r="L1091" s="28"/>
    </row>
    <row r="1092" spans="1:12" s="25" customFormat="1" x14ac:dyDescent="0.2">
      <c r="A1092">
        <v>2013</v>
      </c>
      <c r="B1092" t="s">
        <v>191</v>
      </c>
      <c r="C1092" t="s">
        <v>792</v>
      </c>
      <c r="D1092" s="65">
        <v>180</v>
      </c>
      <c r="E1092" s="33">
        <v>1</v>
      </c>
      <c r="G1092" t="s">
        <v>149</v>
      </c>
      <c r="H1092" t="s">
        <v>236</v>
      </c>
      <c r="I1092" t="s">
        <v>132</v>
      </c>
      <c r="J1092" t="s">
        <v>219</v>
      </c>
      <c r="K1092" s="17"/>
      <c r="L1092" s="28"/>
    </row>
    <row r="1093" spans="1:12" s="25" customFormat="1" x14ac:dyDescent="0.2">
      <c r="A1093">
        <v>2013</v>
      </c>
      <c r="B1093" t="s">
        <v>191</v>
      </c>
      <c r="C1093" t="s">
        <v>199</v>
      </c>
      <c r="D1093" s="65">
        <v>5300</v>
      </c>
      <c r="E1093" s="33">
        <v>0.08</v>
      </c>
      <c r="F1093" t="s">
        <v>793</v>
      </c>
      <c r="G1093" t="s">
        <v>144</v>
      </c>
      <c r="H1093" t="s">
        <v>187</v>
      </c>
      <c r="I1093" t="s">
        <v>63</v>
      </c>
      <c r="J1093" t="s">
        <v>201</v>
      </c>
      <c r="K1093" s="17"/>
      <c r="L1093" s="28"/>
    </row>
    <row r="1094" spans="1:12" s="25" customFormat="1" x14ac:dyDescent="0.2">
      <c r="A1094">
        <v>2013</v>
      </c>
      <c r="B1094" t="s">
        <v>191</v>
      </c>
      <c r="C1094" t="s">
        <v>794</v>
      </c>
      <c r="D1094" s="65">
        <v>140</v>
      </c>
      <c r="E1094" s="33">
        <v>1</v>
      </c>
      <c r="F1094" t="s">
        <v>795</v>
      </c>
      <c r="G1094" t="s">
        <v>144</v>
      </c>
      <c r="H1094" t="s">
        <v>187</v>
      </c>
      <c r="I1094" t="s">
        <v>131</v>
      </c>
      <c r="J1094" t="s">
        <v>131</v>
      </c>
      <c r="K1094" s="17"/>
      <c r="L1094" s="28"/>
    </row>
    <row r="1095" spans="1:12" s="25" customFormat="1" x14ac:dyDescent="0.2">
      <c r="A1095">
        <v>2013</v>
      </c>
      <c r="B1095" t="s">
        <v>191</v>
      </c>
      <c r="C1095" t="s">
        <v>705</v>
      </c>
      <c r="D1095" s="65">
        <v>1260</v>
      </c>
      <c r="E1095" s="33"/>
      <c r="F1095" t="s">
        <v>796</v>
      </c>
      <c r="G1095" t="s">
        <v>151</v>
      </c>
      <c r="H1095" t="s">
        <v>224</v>
      </c>
      <c r="I1095" t="s">
        <v>131</v>
      </c>
      <c r="J1095" t="s">
        <v>131</v>
      </c>
      <c r="K1095" s="17"/>
      <c r="L1095" s="28"/>
    </row>
    <row r="1096" spans="1:12" s="25" customFormat="1" x14ac:dyDescent="0.2">
      <c r="A1096">
        <v>2013</v>
      </c>
      <c r="B1096" t="s">
        <v>191</v>
      </c>
      <c r="C1096" t="s">
        <v>797</v>
      </c>
      <c r="D1096" s="65">
        <v>820</v>
      </c>
      <c r="E1096" s="33">
        <v>0.8</v>
      </c>
      <c r="F1096" t="s">
        <v>315</v>
      </c>
      <c r="G1096" t="s">
        <v>149</v>
      </c>
      <c r="H1096" t="s">
        <v>236</v>
      </c>
      <c r="I1096" t="s">
        <v>9</v>
      </c>
      <c r="J1096" t="s">
        <v>9</v>
      </c>
      <c r="K1096" s="17"/>
      <c r="L1096" s="28"/>
    </row>
    <row r="1097" spans="1:12" s="25" customFormat="1" x14ac:dyDescent="0.2">
      <c r="A1097">
        <v>2013</v>
      </c>
      <c r="B1097" t="s">
        <v>191</v>
      </c>
      <c r="C1097" t="s">
        <v>189</v>
      </c>
      <c r="D1097" s="65">
        <v>110</v>
      </c>
      <c r="E1097" s="33"/>
      <c r="G1097" t="s">
        <v>143</v>
      </c>
      <c r="I1097" t="s">
        <v>108</v>
      </c>
      <c r="J1097" t="s">
        <v>183</v>
      </c>
      <c r="K1097" s="17"/>
      <c r="L1097" s="28" t="s">
        <v>178</v>
      </c>
    </row>
    <row r="1098" spans="1:12" s="25" customFormat="1" x14ac:dyDescent="0.2">
      <c r="A1098">
        <v>2013</v>
      </c>
      <c r="B1098" t="s">
        <v>191</v>
      </c>
      <c r="C1098" t="s">
        <v>798</v>
      </c>
      <c r="D1098" s="65">
        <v>320</v>
      </c>
      <c r="E1098" s="33">
        <v>0.5</v>
      </c>
      <c r="F1098" t="s">
        <v>799</v>
      </c>
      <c r="G1098" t="s">
        <v>149</v>
      </c>
      <c r="H1098" t="s">
        <v>182</v>
      </c>
      <c r="I1098" t="s">
        <v>53</v>
      </c>
      <c r="J1098" t="s">
        <v>183</v>
      </c>
      <c r="K1098" s="17"/>
      <c r="L1098" s="28" t="s">
        <v>178</v>
      </c>
    </row>
    <row r="1099" spans="1:12" s="25" customFormat="1" x14ac:dyDescent="0.2">
      <c r="A1099">
        <v>2013</v>
      </c>
      <c r="B1099" t="s">
        <v>191</v>
      </c>
      <c r="C1099" t="s">
        <v>180</v>
      </c>
      <c r="D1099" s="65">
        <v>240</v>
      </c>
      <c r="E1099" s="33"/>
      <c r="G1099" t="s">
        <v>151</v>
      </c>
      <c r="H1099" t="s">
        <v>224</v>
      </c>
      <c r="I1099" t="s">
        <v>108</v>
      </c>
      <c r="J1099" t="s">
        <v>183</v>
      </c>
      <c r="K1099" s="17"/>
      <c r="L1099" s="28" t="s">
        <v>178</v>
      </c>
    </row>
    <row r="1100" spans="1:12" s="25" customFormat="1" x14ac:dyDescent="0.2">
      <c r="A1100">
        <v>2013</v>
      </c>
      <c r="B1100" t="s">
        <v>198</v>
      </c>
      <c r="C1100" t="s">
        <v>800</v>
      </c>
      <c r="D1100" s="65">
        <v>160</v>
      </c>
      <c r="E1100" s="33">
        <v>0.55000000000000004</v>
      </c>
      <c r="F1100" t="s">
        <v>801</v>
      </c>
      <c r="G1100" t="s">
        <v>150</v>
      </c>
      <c r="H1100" t="s">
        <v>292</v>
      </c>
      <c r="I1100" t="s">
        <v>61</v>
      </c>
      <c r="J1100" t="s">
        <v>183</v>
      </c>
      <c r="K1100" s="17"/>
      <c r="L1100" s="28"/>
    </row>
    <row r="1101" spans="1:12" s="25" customFormat="1" x14ac:dyDescent="0.2">
      <c r="A1101">
        <v>2013</v>
      </c>
      <c r="B1101" t="s">
        <v>198</v>
      </c>
      <c r="C1101" t="s">
        <v>189</v>
      </c>
      <c r="D1101" s="65">
        <v>3100</v>
      </c>
      <c r="E1101" s="33">
        <v>0.33</v>
      </c>
      <c r="F1101" t="s">
        <v>802</v>
      </c>
      <c r="G1101" t="s">
        <v>144</v>
      </c>
      <c r="I1101" t="s">
        <v>38</v>
      </c>
      <c r="J1101" t="s">
        <v>214</v>
      </c>
      <c r="K1101" s="17"/>
      <c r="L1101" s="28"/>
    </row>
    <row r="1102" spans="1:12" s="25" customFormat="1" x14ac:dyDescent="0.2">
      <c r="A1102">
        <v>2013</v>
      </c>
      <c r="B1102" t="s">
        <v>198</v>
      </c>
      <c r="C1102" t="s">
        <v>803</v>
      </c>
      <c r="D1102" s="65">
        <v>140</v>
      </c>
      <c r="E1102" s="33">
        <v>1</v>
      </c>
      <c r="F1102" t="s">
        <v>804</v>
      </c>
      <c r="G1102" t="s">
        <v>149</v>
      </c>
      <c r="I1102" t="s">
        <v>9</v>
      </c>
      <c r="J1102" t="s">
        <v>9</v>
      </c>
      <c r="K1102" s="17"/>
      <c r="L1102" s="28"/>
    </row>
    <row r="1103" spans="1:12" s="25" customFormat="1" x14ac:dyDescent="0.2">
      <c r="A1103">
        <v>2013</v>
      </c>
      <c r="B1103" t="s">
        <v>198</v>
      </c>
      <c r="C1103" t="s">
        <v>760</v>
      </c>
      <c r="D1103" s="65">
        <v>910</v>
      </c>
      <c r="E1103" s="33"/>
      <c r="F1103" t="s">
        <v>805</v>
      </c>
      <c r="G1103" t="s">
        <v>151</v>
      </c>
      <c r="H1103" t="s">
        <v>224</v>
      </c>
      <c r="I1103" t="s">
        <v>108</v>
      </c>
      <c r="J1103" t="s">
        <v>183</v>
      </c>
      <c r="K1103" s="17"/>
      <c r="L1103" s="28"/>
    </row>
    <row r="1104" spans="1:12" s="25" customFormat="1" x14ac:dyDescent="0.2">
      <c r="A1104">
        <v>2013</v>
      </c>
      <c r="B1104" t="s">
        <v>198</v>
      </c>
      <c r="C1104" t="s">
        <v>806</v>
      </c>
      <c r="D1104" s="65">
        <v>130</v>
      </c>
      <c r="E1104" s="33">
        <v>1</v>
      </c>
      <c r="G1104" t="s">
        <v>154</v>
      </c>
      <c r="H1104" t="s">
        <v>529</v>
      </c>
      <c r="I1104" t="s">
        <v>72</v>
      </c>
      <c r="J1104" t="s">
        <v>183</v>
      </c>
      <c r="K1104" s="17"/>
      <c r="L1104" s="28" t="s">
        <v>178</v>
      </c>
    </row>
    <row r="1105" spans="1:12" s="25" customFormat="1" x14ac:dyDescent="0.2">
      <c r="A1105">
        <v>2013</v>
      </c>
      <c r="B1105" t="s">
        <v>198</v>
      </c>
      <c r="C1105" t="s">
        <v>807</v>
      </c>
      <c r="D1105" s="65">
        <v>2020</v>
      </c>
      <c r="E1105" s="33" t="s">
        <v>808</v>
      </c>
      <c r="F1105" t="s">
        <v>809</v>
      </c>
      <c r="G1105" t="s">
        <v>144</v>
      </c>
      <c r="H1105" t="s">
        <v>187</v>
      </c>
      <c r="I1105" t="s">
        <v>29</v>
      </c>
      <c r="J1105" t="s">
        <v>219</v>
      </c>
      <c r="K1105" s="17"/>
      <c r="L1105" s="28" t="s">
        <v>178</v>
      </c>
    </row>
    <row r="1106" spans="1:12" s="25" customFormat="1" x14ac:dyDescent="0.2">
      <c r="A1106">
        <v>2013</v>
      </c>
      <c r="B1106" t="s">
        <v>202</v>
      </c>
      <c r="C1106" t="s">
        <v>810</v>
      </c>
      <c r="D1106" s="65">
        <v>300</v>
      </c>
      <c r="E1106" s="33">
        <v>1</v>
      </c>
      <c r="F1106" t="s">
        <v>811</v>
      </c>
      <c r="G1106" t="s">
        <v>144</v>
      </c>
      <c r="I1106" t="s">
        <v>25</v>
      </c>
      <c r="J1106" t="s">
        <v>177</v>
      </c>
      <c r="K1106" s="17"/>
      <c r="L1106" s="28"/>
    </row>
    <row r="1107" spans="1:12" s="25" customFormat="1" x14ac:dyDescent="0.2">
      <c r="A1107">
        <v>2013</v>
      </c>
      <c r="B1107" t="s">
        <v>202</v>
      </c>
      <c r="C1107" t="s">
        <v>280</v>
      </c>
      <c r="D1107" s="65">
        <v>230</v>
      </c>
      <c r="E1107" s="33">
        <v>0.12</v>
      </c>
      <c r="F1107" t="s">
        <v>281</v>
      </c>
      <c r="G1107" t="s">
        <v>149</v>
      </c>
      <c r="H1107" t="s">
        <v>182</v>
      </c>
      <c r="I1107" t="s">
        <v>9</v>
      </c>
      <c r="J1107" t="s">
        <v>9</v>
      </c>
      <c r="K1107" s="17"/>
      <c r="L1107" s="28"/>
    </row>
    <row r="1108" spans="1:12" s="25" customFormat="1" x14ac:dyDescent="0.2">
      <c r="A1108">
        <v>2013</v>
      </c>
      <c r="B1108" t="s">
        <v>202</v>
      </c>
      <c r="C1108" t="s">
        <v>812</v>
      </c>
      <c r="D1108" s="65">
        <v>110</v>
      </c>
      <c r="E1108" s="33">
        <v>0.47</v>
      </c>
      <c r="F1108" t="s">
        <v>813</v>
      </c>
      <c r="G1108" t="s">
        <v>149</v>
      </c>
      <c r="I1108" t="s">
        <v>9</v>
      </c>
      <c r="J1108" t="s">
        <v>9</v>
      </c>
      <c r="K1108" s="17"/>
      <c r="L1108" s="28"/>
    </row>
    <row r="1109" spans="1:12" s="25" customFormat="1" x14ac:dyDescent="0.2">
      <c r="A1109">
        <v>2013</v>
      </c>
      <c r="B1109" t="s">
        <v>202</v>
      </c>
      <c r="C1109" t="s">
        <v>263</v>
      </c>
      <c r="D1109" s="65">
        <v>2040</v>
      </c>
      <c r="E1109" s="33">
        <v>0.13</v>
      </c>
      <c r="F1109" t="s">
        <v>814</v>
      </c>
      <c r="G1109" t="s">
        <v>142</v>
      </c>
      <c r="I1109" t="s">
        <v>101</v>
      </c>
      <c r="J1109" t="s">
        <v>201</v>
      </c>
      <c r="K1109" s="17"/>
      <c r="L1109" s="28"/>
    </row>
    <row r="1110" spans="1:12" s="25" customFormat="1" x14ac:dyDescent="0.2">
      <c r="A1110">
        <v>2013</v>
      </c>
      <c r="B1110" t="s">
        <v>202</v>
      </c>
      <c r="C1110" t="s">
        <v>189</v>
      </c>
      <c r="D1110" s="65">
        <v>1400</v>
      </c>
      <c r="E1110" s="33"/>
      <c r="F1110" t="s">
        <v>453</v>
      </c>
      <c r="G1110" t="s">
        <v>144</v>
      </c>
      <c r="H1110" t="s">
        <v>187</v>
      </c>
      <c r="I1110" t="s">
        <v>135</v>
      </c>
      <c r="J1110" t="s">
        <v>205</v>
      </c>
      <c r="K1110" s="17"/>
      <c r="L1110" s="28" t="s">
        <v>178</v>
      </c>
    </row>
    <row r="1111" spans="1:12" s="25" customFormat="1" x14ac:dyDescent="0.2">
      <c r="A1111">
        <v>2013</v>
      </c>
      <c r="B1111" t="s">
        <v>202</v>
      </c>
      <c r="C1111" t="s">
        <v>815</v>
      </c>
      <c r="D1111" s="65">
        <v>140</v>
      </c>
      <c r="E1111" s="33">
        <v>0.59</v>
      </c>
      <c r="F1111" t="s">
        <v>816</v>
      </c>
      <c r="G1111" t="s">
        <v>151</v>
      </c>
      <c r="H1111" t="s">
        <v>279</v>
      </c>
      <c r="I1111" t="s">
        <v>45</v>
      </c>
      <c r="J1111" t="s">
        <v>195</v>
      </c>
      <c r="K1111" s="17"/>
      <c r="L1111" s="28"/>
    </row>
    <row r="1112" spans="1:12" s="25" customFormat="1" x14ac:dyDescent="0.2">
      <c r="A1112">
        <v>2013</v>
      </c>
      <c r="B1112" t="s">
        <v>202</v>
      </c>
      <c r="C1112" t="s">
        <v>562</v>
      </c>
      <c r="D1112" s="65">
        <v>600</v>
      </c>
      <c r="E1112" s="33">
        <v>0.7</v>
      </c>
      <c r="G1112" t="s">
        <v>151</v>
      </c>
      <c r="H1112" t="s">
        <v>224</v>
      </c>
      <c r="I1112" t="s">
        <v>6</v>
      </c>
      <c r="J1112" t="s">
        <v>219</v>
      </c>
      <c r="K1112" s="17"/>
      <c r="L1112" s="28" t="s">
        <v>178</v>
      </c>
    </row>
    <row r="1113" spans="1:12" s="25" customFormat="1" x14ac:dyDescent="0.2">
      <c r="A1113">
        <v>2013</v>
      </c>
      <c r="B1113" t="s">
        <v>207</v>
      </c>
      <c r="C1113" t="s">
        <v>554</v>
      </c>
      <c r="D1113" s="65">
        <v>100</v>
      </c>
      <c r="E1113" s="33"/>
      <c r="G1113" t="s">
        <v>151</v>
      </c>
      <c r="H1113" t="s">
        <v>224</v>
      </c>
      <c r="I1113" t="s">
        <v>20</v>
      </c>
      <c r="J1113" t="s">
        <v>195</v>
      </c>
      <c r="K1113" s="17">
        <v>0</v>
      </c>
      <c r="L1113" s="28"/>
    </row>
    <row r="1114" spans="1:12" s="25" customFormat="1" x14ac:dyDescent="0.2">
      <c r="A1114">
        <v>2013</v>
      </c>
      <c r="B1114" t="s">
        <v>207</v>
      </c>
      <c r="C1114" t="s">
        <v>199</v>
      </c>
      <c r="D1114" s="65">
        <v>620</v>
      </c>
      <c r="E1114" s="33">
        <v>0.49</v>
      </c>
      <c r="F1114" t="s">
        <v>228</v>
      </c>
      <c r="G1114" t="s">
        <v>144</v>
      </c>
      <c r="H1114" t="s">
        <v>187</v>
      </c>
      <c r="I1114" t="s">
        <v>101</v>
      </c>
      <c r="J1114" t="s">
        <v>201</v>
      </c>
      <c r="K1114" s="17">
        <v>1</v>
      </c>
      <c r="L1114" s="28"/>
    </row>
    <row r="1115" spans="1:12" s="25" customFormat="1" x14ac:dyDescent="0.2">
      <c r="A1115">
        <v>2013</v>
      </c>
      <c r="B1115" t="s">
        <v>207</v>
      </c>
      <c r="C1115" t="s">
        <v>185</v>
      </c>
      <c r="D1115" s="65">
        <v>120</v>
      </c>
      <c r="E1115" s="33">
        <v>0.1</v>
      </c>
      <c r="F1115" t="s">
        <v>817</v>
      </c>
      <c r="G1115" t="s">
        <v>144</v>
      </c>
      <c r="H1115" t="s">
        <v>299</v>
      </c>
      <c r="I1115" t="s">
        <v>8</v>
      </c>
      <c r="J1115" t="s">
        <v>205</v>
      </c>
      <c r="K1115" s="17">
        <v>1</v>
      </c>
      <c r="L1115" s="28"/>
    </row>
    <row r="1116" spans="1:12" s="25" customFormat="1" x14ac:dyDescent="0.2">
      <c r="A1116">
        <v>2013</v>
      </c>
      <c r="B1116" t="s">
        <v>207</v>
      </c>
      <c r="C1116" t="s">
        <v>530</v>
      </c>
      <c r="D1116" s="65">
        <v>200</v>
      </c>
      <c r="E1116" s="33">
        <v>1</v>
      </c>
      <c r="G1116" t="s">
        <v>152</v>
      </c>
      <c r="H1116" t="s">
        <v>257</v>
      </c>
      <c r="I1116" t="s">
        <v>20</v>
      </c>
      <c r="J1116" t="s">
        <v>195</v>
      </c>
      <c r="K1116" s="17">
        <v>0</v>
      </c>
      <c r="L1116" s="28" t="s">
        <v>178</v>
      </c>
    </row>
    <row r="1117" spans="1:12" s="25" customFormat="1" x14ac:dyDescent="0.2">
      <c r="A1117">
        <v>2013</v>
      </c>
      <c r="B1117" t="s">
        <v>207</v>
      </c>
      <c r="C1117" t="s">
        <v>818</v>
      </c>
      <c r="D1117" s="65">
        <v>1400</v>
      </c>
      <c r="E1117" s="33" t="s">
        <v>819</v>
      </c>
      <c r="F1117" t="s">
        <v>820</v>
      </c>
      <c r="G1117" t="s">
        <v>144</v>
      </c>
      <c r="H1117" t="s">
        <v>187</v>
      </c>
      <c r="I1117" t="s">
        <v>19</v>
      </c>
      <c r="J1117" t="s">
        <v>205</v>
      </c>
      <c r="K1117" s="17">
        <v>0</v>
      </c>
      <c r="L1117" s="28" t="s">
        <v>178</v>
      </c>
    </row>
    <row r="1118" spans="1:12" s="25" customFormat="1" x14ac:dyDescent="0.2">
      <c r="A1118">
        <v>2013</v>
      </c>
      <c r="B1118" t="s">
        <v>207</v>
      </c>
      <c r="C1118" t="s">
        <v>554</v>
      </c>
      <c r="D1118" s="65">
        <v>730</v>
      </c>
      <c r="E1118" s="33">
        <v>0.7</v>
      </c>
      <c r="F1118" t="s">
        <v>821</v>
      </c>
      <c r="G1118" t="s">
        <v>151</v>
      </c>
      <c r="H1118" t="s">
        <v>224</v>
      </c>
      <c r="I1118" t="s">
        <v>131</v>
      </c>
      <c r="J1118" t="s">
        <v>131</v>
      </c>
      <c r="K1118" s="17">
        <v>0</v>
      </c>
      <c r="L1118" s="28"/>
    </row>
    <row r="1119" spans="1:12" s="25" customFormat="1" x14ac:dyDescent="0.2">
      <c r="A1119">
        <v>2013</v>
      </c>
      <c r="B1119" t="s">
        <v>207</v>
      </c>
      <c r="C1119" t="s">
        <v>822</v>
      </c>
      <c r="D1119" s="65">
        <v>110</v>
      </c>
      <c r="E1119" s="33">
        <v>0.18</v>
      </c>
      <c r="F1119" t="s">
        <v>823</v>
      </c>
      <c r="G1119" t="s">
        <v>150</v>
      </c>
      <c r="H1119" t="s">
        <v>556</v>
      </c>
      <c r="I1119" t="s">
        <v>131</v>
      </c>
      <c r="J1119" t="s">
        <v>131</v>
      </c>
      <c r="K1119" s="17">
        <v>0</v>
      </c>
      <c r="L1119" s="28"/>
    </row>
    <row r="1120" spans="1:12" s="25" customFormat="1" x14ac:dyDescent="0.2">
      <c r="A1120">
        <v>2013</v>
      </c>
      <c r="B1120" t="s">
        <v>207</v>
      </c>
      <c r="C1120" t="s">
        <v>824</v>
      </c>
      <c r="D1120" s="65">
        <v>100</v>
      </c>
      <c r="E1120" s="33">
        <v>1</v>
      </c>
      <c r="F1120" t="s">
        <v>825</v>
      </c>
      <c r="G1120" t="s">
        <v>154</v>
      </c>
      <c r="H1120" t="s">
        <v>250</v>
      </c>
      <c r="I1120" t="s">
        <v>131</v>
      </c>
      <c r="J1120" t="s">
        <v>131</v>
      </c>
      <c r="K1120" s="17">
        <v>0</v>
      </c>
      <c r="L1120" s="28"/>
    </row>
    <row r="1121" spans="1:12" s="25" customFormat="1" x14ac:dyDescent="0.2">
      <c r="A1121">
        <v>2013</v>
      </c>
      <c r="B1121" t="s">
        <v>207</v>
      </c>
      <c r="C1121" t="s">
        <v>664</v>
      </c>
      <c r="D1121" s="65">
        <v>720</v>
      </c>
      <c r="E1121" s="33">
        <v>0.74</v>
      </c>
      <c r="F1121" t="s">
        <v>826</v>
      </c>
      <c r="G1121" t="s">
        <v>146</v>
      </c>
      <c r="H1121" t="s">
        <v>275</v>
      </c>
      <c r="I1121" t="s">
        <v>19</v>
      </c>
      <c r="J1121" t="s">
        <v>205</v>
      </c>
      <c r="K1121" s="17">
        <v>0</v>
      </c>
      <c r="L1121" s="28"/>
    </row>
    <row r="1122" spans="1:12" s="25" customFormat="1" x14ac:dyDescent="0.2">
      <c r="A1122">
        <v>2013</v>
      </c>
      <c r="B1122" t="s">
        <v>207</v>
      </c>
      <c r="C1122" t="s">
        <v>189</v>
      </c>
      <c r="D1122" s="65">
        <v>150</v>
      </c>
      <c r="E1122" s="33"/>
      <c r="G1122" t="s">
        <v>144</v>
      </c>
      <c r="H1122" t="s">
        <v>187</v>
      </c>
      <c r="I1122" t="s">
        <v>104</v>
      </c>
      <c r="J1122" t="s">
        <v>219</v>
      </c>
      <c r="K1122" s="17">
        <v>1</v>
      </c>
      <c r="L1122" s="28" t="s">
        <v>178</v>
      </c>
    </row>
    <row r="1123" spans="1:12" s="25" customFormat="1" x14ac:dyDescent="0.2">
      <c r="A1123">
        <v>2013</v>
      </c>
      <c r="B1123" t="s">
        <v>207</v>
      </c>
      <c r="C1123" t="s">
        <v>827</v>
      </c>
      <c r="D1123" s="65">
        <v>100</v>
      </c>
      <c r="E1123" s="33">
        <v>1</v>
      </c>
      <c r="G1123" t="s">
        <v>149</v>
      </c>
      <c r="H1123" t="s">
        <v>182</v>
      </c>
      <c r="I1123" t="s">
        <v>82</v>
      </c>
      <c r="J1123" t="s">
        <v>183</v>
      </c>
      <c r="K1123" s="17">
        <v>1</v>
      </c>
      <c r="L1123" s="28" t="s">
        <v>178</v>
      </c>
    </row>
    <row r="1124" spans="1:12" s="25" customFormat="1" x14ac:dyDescent="0.2">
      <c r="A1124">
        <v>2013</v>
      </c>
      <c r="B1124" t="s">
        <v>207</v>
      </c>
      <c r="C1124" t="s">
        <v>397</v>
      </c>
      <c r="D1124" s="65">
        <v>270</v>
      </c>
      <c r="E1124" s="33"/>
      <c r="G1124" t="s">
        <v>151</v>
      </c>
      <c r="H1124" t="s">
        <v>224</v>
      </c>
      <c r="I1124" t="s">
        <v>20</v>
      </c>
      <c r="J1124" t="s">
        <v>195</v>
      </c>
      <c r="K1124" s="17">
        <v>0</v>
      </c>
      <c r="L1124" s="28"/>
    </row>
    <row r="1125" spans="1:12" s="25" customFormat="1" x14ac:dyDescent="0.2">
      <c r="A1125">
        <v>2013</v>
      </c>
      <c r="B1125" t="s">
        <v>207</v>
      </c>
      <c r="C1125" t="s">
        <v>373</v>
      </c>
      <c r="D1125" s="65">
        <v>470</v>
      </c>
      <c r="E1125" s="33">
        <v>1</v>
      </c>
      <c r="F1125" t="s">
        <v>828</v>
      </c>
      <c r="G1125" t="s">
        <v>148</v>
      </c>
      <c r="I1125" t="s">
        <v>85</v>
      </c>
      <c r="J1125" t="s">
        <v>195</v>
      </c>
      <c r="K1125" s="17">
        <v>0</v>
      </c>
      <c r="L1125" s="28"/>
    </row>
    <row r="1126" spans="1:12" s="25" customFormat="1" x14ac:dyDescent="0.2">
      <c r="A1126">
        <v>2013</v>
      </c>
      <c r="B1126" t="s">
        <v>240</v>
      </c>
      <c r="C1126" t="s">
        <v>705</v>
      </c>
      <c r="D1126" s="65">
        <v>980</v>
      </c>
      <c r="E1126" s="33">
        <v>0.41</v>
      </c>
      <c r="F1126" t="s">
        <v>829</v>
      </c>
      <c r="G1126" t="s">
        <v>153</v>
      </c>
      <c r="I1126" t="s">
        <v>113</v>
      </c>
      <c r="J1126" t="s">
        <v>183</v>
      </c>
      <c r="K1126" s="17">
        <v>0</v>
      </c>
      <c r="L1126" s="28" t="s">
        <v>178</v>
      </c>
    </row>
    <row r="1127" spans="1:12" s="25" customFormat="1" x14ac:dyDescent="0.2">
      <c r="A1127">
        <v>2013</v>
      </c>
      <c r="B1127" t="s">
        <v>240</v>
      </c>
      <c r="C1127" t="s">
        <v>199</v>
      </c>
      <c r="D1127" s="65">
        <v>2890</v>
      </c>
      <c r="E1127" s="33"/>
      <c r="F1127" t="s">
        <v>830</v>
      </c>
      <c r="G1127" t="s">
        <v>144</v>
      </c>
      <c r="I1127" t="s">
        <v>96</v>
      </c>
      <c r="J1127" t="s">
        <v>205</v>
      </c>
      <c r="K1127" s="17">
        <v>1</v>
      </c>
      <c r="L1127" s="28"/>
    </row>
    <row r="1128" spans="1:12" s="25" customFormat="1" x14ac:dyDescent="0.2">
      <c r="A1128">
        <v>2013</v>
      </c>
      <c r="B1128" t="s">
        <v>240</v>
      </c>
      <c r="C1128" t="s">
        <v>831</v>
      </c>
      <c r="D1128" s="65">
        <v>110</v>
      </c>
      <c r="E1128" s="33"/>
      <c r="F1128" t="s">
        <v>832</v>
      </c>
      <c r="G1128" t="s">
        <v>151</v>
      </c>
      <c r="H1128" t="s">
        <v>224</v>
      </c>
      <c r="I1128" t="s">
        <v>112</v>
      </c>
      <c r="J1128" t="s">
        <v>219</v>
      </c>
      <c r="K1128" s="17">
        <v>1</v>
      </c>
      <c r="L1128" s="28" t="s">
        <v>178</v>
      </c>
    </row>
    <row r="1129" spans="1:12" s="25" customFormat="1" x14ac:dyDescent="0.2">
      <c r="A1129">
        <v>2013</v>
      </c>
      <c r="B1129" t="s">
        <v>240</v>
      </c>
      <c r="C1129" t="s">
        <v>199</v>
      </c>
      <c r="D1129" s="65">
        <v>1250</v>
      </c>
      <c r="E1129" s="33">
        <v>0.25</v>
      </c>
      <c r="F1129" t="s">
        <v>537</v>
      </c>
      <c r="G1129" t="s">
        <v>144</v>
      </c>
      <c r="H1129" t="s">
        <v>187</v>
      </c>
      <c r="I1129" t="s">
        <v>55</v>
      </c>
      <c r="J1129" t="s">
        <v>214</v>
      </c>
      <c r="K1129" s="17">
        <v>1</v>
      </c>
      <c r="L1129" s="28"/>
    </row>
    <row r="1130" spans="1:12" s="25" customFormat="1" x14ac:dyDescent="0.2">
      <c r="A1130">
        <v>2013</v>
      </c>
      <c r="B1130" t="s">
        <v>240</v>
      </c>
      <c r="C1130" t="s">
        <v>682</v>
      </c>
      <c r="D1130" s="65">
        <v>400</v>
      </c>
      <c r="E1130" s="33"/>
      <c r="F1130" t="s">
        <v>833</v>
      </c>
      <c r="G1130" t="s">
        <v>154</v>
      </c>
      <c r="H1130" t="s">
        <v>194</v>
      </c>
      <c r="I1130" t="s">
        <v>45</v>
      </c>
      <c r="J1130" t="s">
        <v>195</v>
      </c>
      <c r="K1130" s="17">
        <v>0</v>
      </c>
      <c r="L1130" s="28"/>
    </row>
    <row r="1131" spans="1:12" s="25" customFormat="1" x14ac:dyDescent="0.2">
      <c r="A1131">
        <v>2013</v>
      </c>
      <c r="B1131" t="s">
        <v>240</v>
      </c>
      <c r="C1131" t="s">
        <v>263</v>
      </c>
      <c r="D1131" s="65">
        <v>280</v>
      </c>
      <c r="E1131" s="33"/>
      <c r="G1131" t="s">
        <v>151</v>
      </c>
      <c r="H1131" t="s">
        <v>224</v>
      </c>
      <c r="I1131" t="s">
        <v>9</v>
      </c>
      <c r="J1131" t="s">
        <v>9</v>
      </c>
      <c r="K1131" s="17">
        <v>0</v>
      </c>
      <c r="L1131" s="28"/>
    </row>
    <row r="1132" spans="1:12" s="25" customFormat="1" x14ac:dyDescent="0.2">
      <c r="A1132">
        <v>2013</v>
      </c>
      <c r="B1132" t="s">
        <v>240</v>
      </c>
      <c r="C1132" t="s">
        <v>798</v>
      </c>
      <c r="D1132" s="65">
        <v>100</v>
      </c>
      <c r="E1132" s="33">
        <v>0.5</v>
      </c>
      <c r="F1132" t="s">
        <v>834</v>
      </c>
      <c r="G1132" t="s">
        <v>150</v>
      </c>
      <c r="H1132" t="s">
        <v>217</v>
      </c>
      <c r="I1132" t="s">
        <v>53</v>
      </c>
      <c r="J1132" t="s">
        <v>183</v>
      </c>
      <c r="K1132" s="17">
        <v>1</v>
      </c>
      <c r="L1132" s="28" t="s">
        <v>178</v>
      </c>
    </row>
    <row r="1133" spans="1:12" s="25" customFormat="1" x14ac:dyDescent="0.2">
      <c r="A1133">
        <v>2013</v>
      </c>
      <c r="B1133" t="s">
        <v>212</v>
      </c>
      <c r="C1133" t="s">
        <v>352</v>
      </c>
      <c r="D1133" s="65">
        <v>460</v>
      </c>
      <c r="E1133" s="33">
        <v>0.5</v>
      </c>
      <c r="F1133" t="s">
        <v>835</v>
      </c>
      <c r="G1133" t="s">
        <v>144</v>
      </c>
      <c r="H1133" t="s">
        <v>273</v>
      </c>
      <c r="I1133" t="s">
        <v>101</v>
      </c>
      <c r="J1133" t="s">
        <v>201</v>
      </c>
      <c r="K1133" s="17">
        <v>1</v>
      </c>
      <c r="L1133" s="28" t="s">
        <v>178</v>
      </c>
    </row>
    <row r="1134" spans="1:12" s="25" customFormat="1" x14ac:dyDescent="0.2">
      <c r="A1134">
        <v>2013</v>
      </c>
      <c r="B1134" t="s">
        <v>212</v>
      </c>
      <c r="C1134" t="s">
        <v>421</v>
      </c>
      <c r="D1134" s="65">
        <v>260</v>
      </c>
      <c r="E1134" s="33">
        <v>0.59</v>
      </c>
      <c r="F1134" t="s">
        <v>836</v>
      </c>
      <c r="G1134" t="s">
        <v>151</v>
      </c>
      <c r="H1134" t="s">
        <v>279</v>
      </c>
      <c r="I1134" t="s">
        <v>45</v>
      </c>
      <c r="J1134" t="s">
        <v>195</v>
      </c>
      <c r="K1134" s="17">
        <v>0</v>
      </c>
      <c r="L1134" s="28"/>
    </row>
    <row r="1135" spans="1:12" s="25" customFormat="1" x14ac:dyDescent="0.2">
      <c r="A1135">
        <v>2013</v>
      </c>
      <c r="B1135" t="s">
        <v>212</v>
      </c>
      <c r="C1135" t="s">
        <v>837</v>
      </c>
      <c r="D1135" s="65">
        <v>180</v>
      </c>
      <c r="E1135" s="33">
        <v>1</v>
      </c>
      <c r="G1135" t="s">
        <v>151</v>
      </c>
      <c r="H1135" t="s">
        <v>224</v>
      </c>
      <c r="I1135" t="s">
        <v>131</v>
      </c>
      <c r="J1135" t="s">
        <v>131</v>
      </c>
      <c r="K1135" s="17">
        <v>0</v>
      </c>
      <c r="L1135" s="28" t="s">
        <v>178</v>
      </c>
    </row>
    <row r="1136" spans="1:12" s="25" customFormat="1" x14ac:dyDescent="0.2">
      <c r="A1136">
        <v>2013</v>
      </c>
      <c r="B1136" t="s">
        <v>212</v>
      </c>
      <c r="C1136" t="s">
        <v>838</v>
      </c>
      <c r="D1136" s="65">
        <v>100</v>
      </c>
      <c r="E1136" s="33"/>
      <c r="G1136" t="s">
        <v>153</v>
      </c>
      <c r="I1136" t="s">
        <v>131</v>
      </c>
      <c r="J1136" t="s">
        <v>131</v>
      </c>
      <c r="K1136" s="17">
        <v>0</v>
      </c>
      <c r="L1136" s="28"/>
    </row>
    <row r="1137" spans="1:12" s="25" customFormat="1" x14ac:dyDescent="0.2">
      <c r="A1137">
        <v>2013</v>
      </c>
      <c r="B1137" t="s">
        <v>212</v>
      </c>
      <c r="C1137" t="s">
        <v>839</v>
      </c>
      <c r="D1137" s="65">
        <v>220</v>
      </c>
      <c r="E1137" s="33">
        <v>1</v>
      </c>
      <c r="G1137" t="s">
        <v>150</v>
      </c>
      <c r="H1137" t="s">
        <v>292</v>
      </c>
      <c r="I1137" t="s">
        <v>131</v>
      </c>
      <c r="J1137" t="s">
        <v>131</v>
      </c>
      <c r="K1137" s="17">
        <v>0</v>
      </c>
      <c r="L1137" s="28" t="s">
        <v>178</v>
      </c>
    </row>
    <row r="1138" spans="1:12" s="25" customFormat="1" x14ac:dyDescent="0.2">
      <c r="A1138">
        <v>2013</v>
      </c>
      <c r="B1138" t="s">
        <v>212</v>
      </c>
      <c r="C1138" t="s">
        <v>840</v>
      </c>
      <c r="D1138" s="65">
        <v>1370</v>
      </c>
      <c r="E1138" s="33">
        <v>1</v>
      </c>
      <c r="G1138" t="s">
        <v>151</v>
      </c>
      <c r="H1138" t="s">
        <v>224</v>
      </c>
      <c r="I1138" t="s">
        <v>72</v>
      </c>
      <c r="J1138" t="s">
        <v>183</v>
      </c>
      <c r="K1138" s="17">
        <v>1</v>
      </c>
      <c r="L1138" s="28" t="s">
        <v>178</v>
      </c>
    </row>
    <row r="1139" spans="1:12" s="25" customFormat="1" x14ac:dyDescent="0.2">
      <c r="A1139">
        <v>2013</v>
      </c>
      <c r="B1139" t="s">
        <v>212</v>
      </c>
      <c r="C1139" t="s">
        <v>841</v>
      </c>
      <c r="D1139" s="65">
        <v>220</v>
      </c>
      <c r="E1139" s="33">
        <v>0.35</v>
      </c>
      <c r="F1139" t="s">
        <v>842</v>
      </c>
      <c r="G1139" t="s">
        <v>154</v>
      </c>
      <c r="H1139" t="s">
        <v>250</v>
      </c>
      <c r="I1139" t="s">
        <v>69</v>
      </c>
      <c r="J1139" t="s">
        <v>195</v>
      </c>
      <c r="K1139" s="17">
        <v>1</v>
      </c>
      <c r="L1139" s="28"/>
    </row>
    <row r="1140" spans="1:12" s="25" customFormat="1" x14ac:dyDescent="0.2">
      <c r="A1140">
        <v>2013</v>
      </c>
      <c r="B1140" t="s">
        <v>212</v>
      </c>
      <c r="C1140" t="s">
        <v>246</v>
      </c>
      <c r="D1140" s="65">
        <v>130</v>
      </c>
      <c r="E1140" s="33">
        <v>0.5</v>
      </c>
      <c r="F1140" t="s">
        <v>843</v>
      </c>
      <c r="G1140" t="s">
        <v>144</v>
      </c>
      <c r="H1140" t="s">
        <v>197</v>
      </c>
      <c r="I1140" t="s">
        <v>19</v>
      </c>
      <c r="J1140" t="s">
        <v>205</v>
      </c>
      <c r="K1140" s="17">
        <v>0</v>
      </c>
      <c r="L1140" s="28"/>
    </row>
    <row r="1141" spans="1:12" s="25" customFormat="1" x14ac:dyDescent="0.2">
      <c r="A1141">
        <v>2013</v>
      </c>
      <c r="B1141" t="s">
        <v>212</v>
      </c>
      <c r="C1141" t="s">
        <v>246</v>
      </c>
      <c r="D1141" s="65">
        <v>250</v>
      </c>
      <c r="E1141" s="33">
        <v>0.5</v>
      </c>
      <c r="F1141" t="s">
        <v>844</v>
      </c>
      <c r="G1141" t="s">
        <v>144</v>
      </c>
      <c r="H1141" t="s">
        <v>197</v>
      </c>
      <c r="I1141" t="s">
        <v>19</v>
      </c>
      <c r="J1141" t="s">
        <v>205</v>
      </c>
      <c r="K1141" s="17">
        <v>0</v>
      </c>
      <c r="L1141" s="28"/>
    </row>
    <row r="1142" spans="1:12" s="25" customFormat="1" x14ac:dyDescent="0.2">
      <c r="A1142">
        <v>2013</v>
      </c>
      <c r="B1142" t="s">
        <v>212</v>
      </c>
      <c r="C1142" t="s">
        <v>612</v>
      </c>
      <c r="D1142" s="65">
        <v>400</v>
      </c>
      <c r="E1142" s="33">
        <v>1</v>
      </c>
      <c r="G1142" t="s">
        <v>149</v>
      </c>
      <c r="I1142" t="s">
        <v>81</v>
      </c>
      <c r="J1142" t="s">
        <v>219</v>
      </c>
      <c r="K1142" s="17">
        <v>1</v>
      </c>
      <c r="L1142" s="28" t="s">
        <v>178</v>
      </c>
    </row>
    <row r="1143" spans="1:12" s="25" customFormat="1" x14ac:dyDescent="0.2">
      <c r="A1143">
        <v>2013</v>
      </c>
      <c r="B1143" t="s">
        <v>212</v>
      </c>
      <c r="C1143" t="s">
        <v>845</v>
      </c>
      <c r="D1143" s="65">
        <v>340</v>
      </c>
      <c r="E1143" s="33">
        <v>1</v>
      </c>
      <c r="F1143" t="s">
        <v>846</v>
      </c>
      <c r="G1143" t="s">
        <v>147</v>
      </c>
      <c r="I1143" t="s">
        <v>131</v>
      </c>
      <c r="J1143" t="s">
        <v>131</v>
      </c>
      <c r="K1143" s="17">
        <v>0</v>
      </c>
      <c r="L1143" s="28"/>
    </row>
    <row r="1144" spans="1:12" s="25" customFormat="1" x14ac:dyDescent="0.2">
      <c r="A1144">
        <v>2013</v>
      </c>
      <c r="B1144" t="s">
        <v>212</v>
      </c>
      <c r="C1144" t="s">
        <v>847</v>
      </c>
      <c r="D1144" s="65">
        <v>100</v>
      </c>
      <c r="E1144" s="33">
        <v>1</v>
      </c>
      <c r="G1144" t="s">
        <v>154</v>
      </c>
      <c r="H1144" t="s">
        <v>194</v>
      </c>
      <c r="I1144" t="s">
        <v>20</v>
      </c>
      <c r="J1144" t="s">
        <v>195</v>
      </c>
      <c r="K1144" s="17">
        <v>0</v>
      </c>
      <c r="L1144" s="28" t="s">
        <v>178</v>
      </c>
    </row>
    <row r="1145" spans="1:12" s="25" customFormat="1" x14ac:dyDescent="0.2">
      <c r="A1145">
        <v>2013</v>
      </c>
      <c r="B1145" t="s">
        <v>212</v>
      </c>
      <c r="C1145" t="s">
        <v>352</v>
      </c>
      <c r="D1145" s="65">
        <v>120</v>
      </c>
      <c r="E1145" s="33">
        <v>0.51</v>
      </c>
      <c r="F1145" t="s">
        <v>848</v>
      </c>
      <c r="G1145" t="s">
        <v>144</v>
      </c>
      <c r="H1145" t="s">
        <v>299</v>
      </c>
      <c r="I1145" t="s">
        <v>131</v>
      </c>
      <c r="J1145" t="s">
        <v>131</v>
      </c>
      <c r="K1145" s="17">
        <v>0</v>
      </c>
      <c r="L1145" s="28" t="s">
        <v>178</v>
      </c>
    </row>
    <row r="1146" spans="1:12" s="25" customFormat="1" x14ac:dyDescent="0.2">
      <c r="A1146">
        <v>2013</v>
      </c>
      <c r="B1146" t="s">
        <v>212</v>
      </c>
      <c r="C1146" t="s">
        <v>483</v>
      </c>
      <c r="D1146" s="65">
        <v>180</v>
      </c>
      <c r="E1146" s="33">
        <v>0.85</v>
      </c>
      <c r="F1146" t="s">
        <v>849</v>
      </c>
      <c r="G1146" t="s">
        <v>144</v>
      </c>
      <c r="H1146" t="s">
        <v>197</v>
      </c>
      <c r="I1146" t="s">
        <v>67</v>
      </c>
      <c r="J1146" t="s">
        <v>183</v>
      </c>
      <c r="K1146" s="17">
        <v>1</v>
      </c>
      <c r="L1146" s="28" t="s">
        <v>178</v>
      </c>
    </row>
    <row r="1147" spans="1:12" s="25" customFormat="1" x14ac:dyDescent="0.2">
      <c r="A1147">
        <v>2013</v>
      </c>
      <c r="B1147" t="s">
        <v>212</v>
      </c>
      <c r="C1147" t="s">
        <v>627</v>
      </c>
      <c r="D1147" s="65">
        <v>170</v>
      </c>
      <c r="E1147" s="33">
        <v>1</v>
      </c>
      <c r="F1147" t="s">
        <v>850</v>
      </c>
      <c r="G1147" t="s">
        <v>154</v>
      </c>
      <c r="H1147" t="s">
        <v>194</v>
      </c>
      <c r="I1147" t="s">
        <v>25</v>
      </c>
      <c r="J1147" t="s">
        <v>177</v>
      </c>
      <c r="K1147" s="17">
        <v>0</v>
      </c>
      <c r="L1147" s="28"/>
    </row>
    <row r="1148" spans="1:12" s="25" customFormat="1" x14ac:dyDescent="0.2">
      <c r="A1148">
        <v>2013</v>
      </c>
      <c r="B1148" t="s">
        <v>212</v>
      </c>
      <c r="C1148" t="s">
        <v>705</v>
      </c>
      <c r="D1148" s="65">
        <v>810</v>
      </c>
      <c r="E1148" s="33"/>
      <c r="F1148" t="s">
        <v>851</v>
      </c>
      <c r="G1148" t="s">
        <v>151</v>
      </c>
      <c r="H1148" t="s">
        <v>224</v>
      </c>
      <c r="I1148" t="s">
        <v>20</v>
      </c>
      <c r="J1148" t="s">
        <v>195</v>
      </c>
      <c r="K1148" s="17">
        <v>0</v>
      </c>
      <c r="L1148" s="28" t="s">
        <v>178</v>
      </c>
    </row>
    <row r="1149" spans="1:12" s="25" customFormat="1" x14ac:dyDescent="0.2">
      <c r="A1149">
        <v>2013</v>
      </c>
      <c r="B1149" t="s">
        <v>212</v>
      </c>
      <c r="C1149" t="s">
        <v>263</v>
      </c>
      <c r="D1149" s="65">
        <v>1280</v>
      </c>
      <c r="E1149" s="33"/>
      <c r="F1149" t="s">
        <v>264</v>
      </c>
      <c r="G1149" t="s">
        <v>151</v>
      </c>
      <c r="H1149" t="s">
        <v>224</v>
      </c>
      <c r="I1149" t="s">
        <v>20</v>
      </c>
      <c r="J1149" t="s">
        <v>195</v>
      </c>
      <c r="K1149" s="17">
        <v>0</v>
      </c>
      <c r="L1149" s="28"/>
    </row>
    <row r="1150" spans="1:12" s="25" customFormat="1" x14ac:dyDescent="0.2">
      <c r="A1150">
        <v>2013</v>
      </c>
      <c r="B1150" t="s">
        <v>212</v>
      </c>
      <c r="C1150" t="s">
        <v>317</v>
      </c>
      <c r="D1150" s="65">
        <v>410</v>
      </c>
      <c r="E1150" s="33">
        <v>0.51</v>
      </c>
      <c r="F1150" t="s">
        <v>852</v>
      </c>
      <c r="G1150" t="s">
        <v>144</v>
      </c>
      <c r="H1150" t="s">
        <v>197</v>
      </c>
      <c r="I1150" t="s">
        <v>23</v>
      </c>
      <c r="J1150" t="s">
        <v>183</v>
      </c>
      <c r="K1150" s="17">
        <v>1</v>
      </c>
      <c r="L1150" s="28" t="s">
        <v>178</v>
      </c>
    </row>
    <row r="1151" spans="1:12" s="25" customFormat="1" x14ac:dyDescent="0.2">
      <c r="A1151">
        <v>2013</v>
      </c>
      <c r="B1151" t="s">
        <v>212</v>
      </c>
      <c r="C1151" t="s">
        <v>794</v>
      </c>
      <c r="D1151" s="65">
        <v>290</v>
      </c>
      <c r="E1151" s="33"/>
      <c r="F1151" t="s">
        <v>795</v>
      </c>
      <c r="G1151" t="s">
        <v>144</v>
      </c>
      <c r="H1151" t="s">
        <v>187</v>
      </c>
      <c r="I1151" t="s">
        <v>131</v>
      </c>
      <c r="J1151" t="s">
        <v>131</v>
      </c>
      <c r="K1151" s="17">
        <v>0</v>
      </c>
      <c r="L1151" s="28"/>
    </row>
    <row r="1152" spans="1:12" s="25" customFormat="1" x14ac:dyDescent="0.2">
      <c r="A1152">
        <v>2013</v>
      </c>
      <c r="B1152" t="s">
        <v>212</v>
      </c>
      <c r="C1152" t="s">
        <v>189</v>
      </c>
      <c r="D1152" s="65">
        <v>280</v>
      </c>
      <c r="E1152" s="33"/>
      <c r="F1152" t="s">
        <v>853</v>
      </c>
      <c r="G1152" t="s">
        <v>144</v>
      </c>
      <c r="H1152" t="s">
        <v>187</v>
      </c>
      <c r="I1152" t="s">
        <v>77</v>
      </c>
      <c r="J1152" t="s">
        <v>177</v>
      </c>
      <c r="K1152" s="17">
        <v>0</v>
      </c>
      <c r="L1152" s="28"/>
    </row>
    <row r="1153" spans="1:12" s="25" customFormat="1" x14ac:dyDescent="0.2">
      <c r="A1153">
        <v>2013</v>
      </c>
      <c r="B1153" t="s">
        <v>172</v>
      </c>
      <c r="C1153" t="s">
        <v>745</v>
      </c>
      <c r="D1153" s="22">
        <v>810</v>
      </c>
      <c r="E1153" s="16"/>
      <c r="F1153" t="s">
        <v>2594</v>
      </c>
      <c r="G1153" t="s">
        <v>143</v>
      </c>
      <c r="I1153" t="s">
        <v>128</v>
      </c>
      <c r="J1153" t="s">
        <v>201</v>
      </c>
      <c r="L1153" s="2"/>
    </row>
    <row r="1154" spans="1:12" s="25" customFormat="1" x14ac:dyDescent="0.2">
      <c r="A1154">
        <v>2013</v>
      </c>
      <c r="B1154" t="s">
        <v>172</v>
      </c>
      <c r="C1154" t="s">
        <v>397</v>
      </c>
      <c r="D1154" s="22">
        <v>160</v>
      </c>
      <c r="E1154" s="16"/>
      <c r="G1154" t="s">
        <v>154</v>
      </c>
      <c r="H1154" t="s">
        <v>250</v>
      </c>
      <c r="I1154" t="s">
        <v>130</v>
      </c>
      <c r="J1154" t="s">
        <v>214</v>
      </c>
      <c r="L1154" s="2"/>
    </row>
    <row r="1155" spans="1:12" s="25" customFormat="1" x14ac:dyDescent="0.2">
      <c r="A1155">
        <v>2013</v>
      </c>
      <c r="B1155" t="s">
        <v>172</v>
      </c>
      <c r="C1155" t="s">
        <v>246</v>
      </c>
      <c r="D1155" s="22">
        <v>260</v>
      </c>
      <c r="E1155" s="16"/>
      <c r="G1155" t="s">
        <v>148</v>
      </c>
      <c r="I1155" t="s">
        <v>93</v>
      </c>
      <c r="J1155" t="s">
        <v>201</v>
      </c>
      <c r="L1155" s="2"/>
    </row>
    <row r="1156" spans="1:12" s="25" customFormat="1" x14ac:dyDescent="0.2">
      <c r="A1156">
        <v>2013</v>
      </c>
      <c r="B1156" t="s">
        <v>172</v>
      </c>
      <c r="C1156" t="s">
        <v>479</v>
      </c>
      <c r="D1156" s="22">
        <v>930</v>
      </c>
      <c r="E1156" s="16"/>
      <c r="G1156" t="s">
        <v>154</v>
      </c>
      <c r="H1156" t="s">
        <v>271</v>
      </c>
      <c r="I1156" t="s">
        <v>59</v>
      </c>
      <c r="J1156" t="s">
        <v>219</v>
      </c>
      <c r="L1156" s="2"/>
    </row>
    <row r="1157" spans="1:12" s="25" customFormat="1" x14ac:dyDescent="0.2">
      <c r="A1157">
        <v>2013</v>
      </c>
      <c r="B1157" t="s">
        <v>172</v>
      </c>
      <c r="C1157" t="s">
        <v>397</v>
      </c>
      <c r="D1157" s="22">
        <v>320</v>
      </c>
      <c r="E1157" s="16"/>
      <c r="G1157" t="s">
        <v>151</v>
      </c>
      <c r="H1157" t="s">
        <v>279</v>
      </c>
      <c r="I1157" t="s">
        <v>81</v>
      </c>
      <c r="J1157" t="s">
        <v>219</v>
      </c>
      <c r="L1157" s="2"/>
    </row>
    <row r="1158" spans="1:12" s="25" customFormat="1" x14ac:dyDescent="0.2">
      <c r="A1158">
        <v>2013</v>
      </c>
      <c r="B1158" t="s">
        <v>172</v>
      </c>
      <c r="C1158" t="s">
        <v>479</v>
      </c>
      <c r="D1158" s="22">
        <v>300</v>
      </c>
      <c r="E1158" s="16">
        <v>0.8</v>
      </c>
      <c r="G1158" t="s">
        <v>144</v>
      </c>
      <c r="H1158" t="s">
        <v>197</v>
      </c>
      <c r="I1158" t="s">
        <v>93</v>
      </c>
      <c r="J1158" t="s">
        <v>201</v>
      </c>
      <c r="L1158" s="2"/>
    </row>
    <row r="1159" spans="1:12" s="25" customFormat="1" x14ac:dyDescent="0.2">
      <c r="A1159">
        <v>2013</v>
      </c>
      <c r="B1159" t="s">
        <v>172</v>
      </c>
      <c r="C1159" t="s">
        <v>244</v>
      </c>
      <c r="D1159" s="22">
        <v>710</v>
      </c>
      <c r="E1159" s="16"/>
      <c r="G1159" t="s">
        <v>149</v>
      </c>
      <c r="H1159" t="s">
        <v>182</v>
      </c>
      <c r="I1159" t="s">
        <v>54</v>
      </c>
      <c r="J1159" t="s">
        <v>201</v>
      </c>
      <c r="L1159" s="2"/>
    </row>
    <row r="1160" spans="1:12" s="25" customFormat="1" x14ac:dyDescent="0.2">
      <c r="A1160">
        <v>2013</v>
      </c>
      <c r="B1160" t="s">
        <v>172</v>
      </c>
      <c r="C1160" t="s">
        <v>1035</v>
      </c>
      <c r="D1160" s="22">
        <v>570</v>
      </c>
      <c r="E1160" s="16"/>
      <c r="G1160" t="s">
        <v>144</v>
      </c>
      <c r="H1160" t="s">
        <v>197</v>
      </c>
      <c r="I1160" t="s">
        <v>59</v>
      </c>
      <c r="J1160" t="s">
        <v>219</v>
      </c>
      <c r="L1160" s="2"/>
    </row>
    <row r="1161" spans="1:12" s="25" customFormat="1" x14ac:dyDescent="0.2">
      <c r="A1161">
        <v>2013</v>
      </c>
      <c r="B1161" t="s">
        <v>172</v>
      </c>
      <c r="C1161" t="s">
        <v>444</v>
      </c>
      <c r="D1161" s="22">
        <v>130</v>
      </c>
      <c r="E1161" s="16"/>
      <c r="F1161" t="s">
        <v>2595</v>
      </c>
      <c r="G1161" t="s">
        <v>151</v>
      </c>
      <c r="H1161" t="s">
        <v>279</v>
      </c>
      <c r="I1161" t="s">
        <v>25</v>
      </c>
      <c r="J1161" t="s">
        <v>177</v>
      </c>
      <c r="L1161" s="2"/>
    </row>
    <row r="1162" spans="1:12" s="25" customFormat="1" x14ac:dyDescent="0.2">
      <c r="A1162">
        <v>2013</v>
      </c>
      <c r="B1162" t="s">
        <v>172</v>
      </c>
      <c r="C1162" t="s">
        <v>246</v>
      </c>
      <c r="D1162" s="22">
        <v>390</v>
      </c>
      <c r="E1162" s="16"/>
      <c r="G1162" t="s">
        <v>144</v>
      </c>
      <c r="H1162" t="s">
        <v>197</v>
      </c>
      <c r="I1162" t="s">
        <v>37</v>
      </c>
      <c r="J1162" t="s">
        <v>205</v>
      </c>
      <c r="L1162" s="2"/>
    </row>
    <row r="1163" spans="1:12" s="25" customFormat="1" x14ac:dyDescent="0.2">
      <c r="A1163">
        <v>2013</v>
      </c>
      <c r="B1163" t="s">
        <v>172</v>
      </c>
      <c r="C1163" t="s">
        <v>2596</v>
      </c>
      <c r="D1163" s="22">
        <v>210</v>
      </c>
      <c r="E1163" s="16"/>
      <c r="G1163" t="s">
        <v>154</v>
      </c>
      <c r="H1163" t="s">
        <v>194</v>
      </c>
      <c r="I1163" t="s">
        <v>138</v>
      </c>
      <c r="J1163" t="s">
        <v>219</v>
      </c>
      <c r="L1163" s="2"/>
    </row>
    <row r="1164" spans="1:12" s="25" customFormat="1" x14ac:dyDescent="0.2">
      <c r="A1164">
        <v>2013</v>
      </c>
      <c r="B1164" t="s">
        <v>172</v>
      </c>
      <c r="C1164" t="s">
        <v>246</v>
      </c>
      <c r="D1164" s="22">
        <v>150</v>
      </c>
      <c r="E1164" s="16"/>
      <c r="G1164" t="s">
        <v>154</v>
      </c>
      <c r="H1164" t="s">
        <v>194</v>
      </c>
      <c r="I1164" t="s">
        <v>46</v>
      </c>
      <c r="J1164" t="s">
        <v>219</v>
      </c>
      <c r="L1164" s="2"/>
    </row>
    <row r="1165" spans="1:12" s="25" customFormat="1" x14ac:dyDescent="0.2">
      <c r="A1165">
        <v>2013</v>
      </c>
      <c r="B1165" t="s">
        <v>172</v>
      </c>
      <c r="C1165" t="s">
        <v>1035</v>
      </c>
      <c r="D1165" s="22">
        <v>250</v>
      </c>
      <c r="E1165" s="16"/>
      <c r="F1165" t="s">
        <v>1188</v>
      </c>
      <c r="G1165" t="s">
        <v>144</v>
      </c>
      <c r="H1165" t="s">
        <v>273</v>
      </c>
      <c r="I1165" t="s">
        <v>53</v>
      </c>
      <c r="J1165" t="s">
        <v>183</v>
      </c>
      <c r="L1165" s="2"/>
    </row>
    <row r="1166" spans="1:12" s="25" customFormat="1" x14ac:dyDescent="0.2">
      <c r="A1166">
        <v>2013</v>
      </c>
      <c r="B1166" t="s">
        <v>172</v>
      </c>
      <c r="C1166" t="s">
        <v>246</v>
      </c>
      <c r="D1166" s="22">
        <v>100</v>
      </c>
      <c r="E1166" s="16"/>
      <c r="G1166" t="s">
        <v>144</v>
      </c>
      <c r="H1166" t="s">
        <v>197</v>
      </c>
      <c r="I1166" t="s">
        <v>5</v>
      </c>
      <c r="J1166" t="s">
        <v>214</v>
      </c>
      <c r="L1166" s="2"/>
    </row>
    <row r="1167" spans="1:12" s="25" customFormat="1" x14ac:dyDescent="0.2">
      <c r="A1167">
        <v>2013</v>
      </c>
      <c r="B1167" t="s">
        <v>172</v>
      </c>
      <c r="C1167" t="s">
        <v>875</v>
      </c>
      <c r="D1167" s="22">
        <v>130</v>
      </c>
      <c r="E1167" s="16"/>
      <c r="G1167" t="s">
        <v>144</v>
      </c>
      <c r="H1167" t="s">
        <v>197</v>
      </c>
      <c r="I1167" t="s">
        <v>84</v>
      </c>
      <c r="J1167" t="s">
        <v>201</v>
      </c>
      <c r="L1167" s="2"/>
    </row>
    <row r="1168" spans="1:12" s="25" customFormat="1" x14ac:dyDescent="0.2">
      <c r="A1168">
        <v>2013</v>
      </c>
      <c r="B1168" t="s">
        <v>172</v>
      </c>
      <c r="C1168" t="s">
        <v>397</v>
      </c>
      <c r="D1168" s="22">
        <v>110</v>
      </c>
      <c r="E1168" s="16"/>
      <c r="G1168" t="s">
        <v>153</v>
      </c>
      <c r="I1168" t="s">
        <v>2406</v>
      </c>
      <c r="J1168" t="s">
        <v>219</v>
      </c>
      <c r="L1168" s="2"/>
    </row>
    <row r="1169" spans="1:12" s="25" customFormat="1" x14ac:dyDescent="0.2">
      <c r="A1169">
        <v>2013</v>
      </c>
      <c r="B1169" t="s">
        <v>258</v>
      </c>
      <c r="C1169" t="s">
        <v>1035</v>
      </c>
      <c r="D1169" s="22">
        <v>350</v>
      </c>
      <c r="E1169" s="16"/>
      <c r="G1169" t="s">
        <v>144</v>
      </c>
      <c r="H1169" t="s">
        <v>197</v>
      </c>
      <c r="I1169" t="s">
        <v>2597</v>
      </c>
      <c r="J1169" t="s">
        <v>177</v>
      </c>
      <c r="L1169" s="2"/>
    </row>
    <row r="1170" spans="1:12" s="25" customFormat="1" x14ac:dyDescent="0.2">
      <c r="A1170">
        <v>2013</v>
      </c>
      <c r="B1170" t="s">
        <v>258</v>
      </c>
      <c r="C1170" t="s">
        <v>444</v>
      </c>
      <c r="D1170" s="22">
        <v>250</v>
      </c>
      <c r="E1170" s="16"/>
      <c r="G1170" t="s">
        <v>147</v>
      </c>
      <c r="I1170" t="s">
        <v>37</v>
      </c>
      <c r="J1170" t="s">
        <v>205</v>
      </c>
      <c r="L1170" s="2"/>
    </row>
    <row r="1171" spans="1:12" s="25" customFormat="1" x14ac:dyDescent="0.2">
      <c r="A1171">
        <v>2013</v>
      </c>
      <c r="B1171" t="s">
        <v>258</v>
      </c>
      <c r="C1171" t="s">
        <v>397</v>
      </c>
      <c r="D1171" s="22">
        <v>400</v>
      </c>
      <c r="E1171" s="16"/>
      <c r="G1171" t="s">
        <v>153</v>
      </c>
      <c r="I1171" t="s">
        <v>5</v>
      </c>
      <c r="J1171" t="s">
        <v>214</v>
      </c>
      <c r="L1171" s="2"/>
    </row>
    <row r="1172" spans="1:12" s="25" customFormat="1" x14ac:dyDescent="0.2">
      <c r="A1172">
        <v>2013</v>
      </c>
      <c r="B1172" t="s">
        <v>258</v>
      </c>
      <c r="C1172" t="s">
        <v>1234</v>
      </c>
      <c r="D1172" s="22">
        <v>460</v>
      </c>
      <c r="E1172" s="16"/>
      <c r="F1172" t="s">
        <v>2598</v>
      </c>
      <c r="G1172" t="s">
        <v>144</v>
      </c>
      <c r="H1172" t="s">
        <v>197</v>
      </c>
      <c r="I1172" t="s">
        <v>128</v>
      </c>
      <c r="J1172" t="s">
        <v>201</v>
      </c>
      <c r="L1172" s="2"/>
    </row>
    <row r="1173" spans="1:12" s="25" customFormat="1" x14ac:dyDescent="0.2">
      <c r="A1173">
        <v>2013</v>
      </c>
      <c r="B1173" t="s">
        <v>179</v>
      </c>
      <c r="C1173" t="s">
        <v>1093</v>
      </c>
      <c r="D1173" s="22">
        <v>250</v>
      </c>
      <c r="E1173" s="16"/>
      <c r="G1173" t="s">
        <v>154</v>
      </c>
      <c r="H1173" t="s">
        <v>194</v>
      </c>
      <c r="I1173" t="s">
        <v>23</v>
      </c>
      <c r="J1173" t="s">
        <v>183</v>
      </c>
      <c r="L1173" s="2"/>
    </row>
    <row r="1174" spans="1:12" s="25" customFormat="1" x14ac:dyDescent="0.2">
      <c r="A1174">
        <v>2013</v>
      </c>
      <c r="B1174" t="s">
        <v>179</v>
      </c>
      <c r="C1174" t="s">
        <v>397</v>
      </c>
      <c r="D1174" s="22">
        <v>100</v>
      </c>
      <c r="E1174" s="16"/>
      <c r="G1174" t="s">
        <v>154</v>
      </c>
      <c r="H1174" t="s">
        <v>194</v>
      </c>
      <c r="I1174" t="s">
        <v>138</v>
      </c>
      <c r="J1174" t="s">
        <v>219</v>
      </c>
      <c r="L1174" s="2"/>
    </row>
    <row r="1175" spans="1:12" s="25" customFormat="1" x14ac:dyDescent="0.2">
      <c r="A1175">
        <v>2013</v>
      </c>
      <c r="B1175" t="s">
        <v>179</v>
      </c>
      <c r="C1175" t="s">
        <v>397</v>
      </c>
      <c r="D1175" s="22">
        <v>110</v>
      </c>
      <c r="E1175" s="16"/>
      <c r="G1175" t="s">
        <v>144</v>
      </c>
      <c r="H1175" t="s">
        <v>273</v>
      </c>
      <c r="I1175" t="s">
        <v>53</v>
      </c>
      <c r="J1175" t="s">
        <v>183</v>
      </c>
      <c r="L1175" s="2"/>
    </row>
    <row r="1176" spans="1:12" s="25" customFormat="1" x14ac:dyDescent="0.2">
      <c r="A1176">
        <v>2013</v>
      </c>
      <c r="B1176" t="s">
        <v>179</v>
      </c>
      <c r="C1176" t="s">
        <v>397</v>
      </c>
      <c r="D1176" s="22">
        <v>120</v>
      </c>
      <c r="E1176" s="16"/>
      <c r="G1176" t="s">
        <v>147</v>
      </c>
      <c r="I1176" t="s">
        <v>130</v>
      </c>
      <c r="J1176" t="s">
        <v>214</v>
      </c>
      <c r="L1176" s="2"/>
    </row>
    <row r="1177" spans="1:12" s="25" customFormat="1" x14ac:dyDescent="0.2">
      <c r="A1177">
        <v>2013</v>
      </c>
      <c r="B1177" t="s">
        <v>179</v>
      </c>
      <c r="C1177" t="s">
        <v>1035</v>
      </c>
      <c r="D1177" s="22">
        <v>300</v>
      </c>
      <c r="E1177" s="16"/>
      <c r="F1177" t="s">
        <v>2549</v>
      </c>
      <c r="G1177" t="s">
        <v>149</v>
      </c>
      <c r="I1177" t="s">
        <v>72</v>
      </c>
      <c r="J1177" t="s">
        <v>183</v>
      </c>
      <c r="L1177" s="2"/>
    </row>
    <row r="1178" spans="1:12" s="25" customFormat="1" x14ac:dyDescent="0.2">
      <c r="A1178">
        <v>2013</v>
      </c>
      <c r="B1178" t="s">
        <v>179</v>
      </c>
      <c r="C1178" t="s">
        <v>815</v>
      </c>
      <c r="D1178" s="22">
        <v>120</v>
      </c>
      <c r="E1178" s="16"/>
      <c r="F1178" t="s">
        <v>2599</v>
      </c>
      <c r="G1178" t="s">
        <v>151</v>
      </c>
      <c r="H1178" t="s">
        <v>279</v>
      </c>
      <c r="I1178" t="s">
        <v>53</v>
      </c>
      <c r="J1178" t="s">
        <v>183</v>
      </c>
      <c r="L1178" s="2"/>
    </row>
    <row r="1179" spans="1:12" s="25" customFormat="1" x14ac:dyDescent="0.2">
      <c r="A1179">
        <v>2013</v>
      </c>
      <c r="B1179" t="s">
        <v>179</v>
      </c>
      <c r="C1179" t="s">
        <v>474</v>
      </c>
      <c r="D1179" s="22">
        <v>680</v>
      </c>
      <c r="E1179" s="16"/>
      <c r="F1179" t="s">
        <v>2600</v>
      </c>
      <c r="G1179" t="s">
        <v>142</v>
      </c>
      <c r="I1179" t="s">
        <v>40</v>
      </c>
      <c r="J1179" t="s">
        <v>219</v>
      </c>
      <c r="L1179" s="2"/>
    </row>
    <row r="1180" spans="1:12" s="25" customFormat="1" x14ac:dyDescent="0.2">
      <c r="A1180">
        <v>2013</v>
      </c>
      <c r="B1180" t="s">
        <v>179</v>
      </c>
      <c r="C1180" t="s">
        <v>2601</v>
      </c>
      <c r="D1180" s="22">
        <v>100</v>
      </c>
      <c r="E1180" s="16"/>
      <c r="G1180" t="s">
        <v>142</v>
      </c>
      <c r="I1180" t="s">
        <v>95</v>
      </c>
      <c r="J1180" t="s">
        <v>183</v>
      </c>
      <c r="L1180" s="2"/>
    </row>
    <row r="1181" spans="1:12" s="25" customFormat="1" x14ac:dyDescent="0.2">
      <c r="A1181">
        <v>2013</v>
      </c>
      <c r="B1181" t="s">
        <v>179</v>
      </c>
      <c r="C1181" t="s">
        <v>1149</v>
      </c>
      <c r="D1181" s="22">
        <v>200</v>
      </c>
      <c r="E1181" s="16"/>
      <c r="G1181" t="s">
        <v>147</v>
      </c>
      <c r="I1181" t="s">
        <v>115</v>
      </c>
      <c r="J1181" t="s">
        <v>201</v>
      </c>
      <c r="L1181" s="2"/>
    </row>
    <row r="1182" spans="1:12" s="25" customFormat="1" x14ac:dyDescent="0.2">
      <c r="A1182">
        <v>2013</v>
      </c>
      <c r="B1182" t="s">
        <v>184</v>
      </c>
      <c r="C1182" t="s">
        <v>875</v>
      </c>
      <c r="D1182" s="22">
        <v>180</v>
      </c>
      <c r="E1182" s="16"/>
      <c r="G1182" t="s">
        <v>144</v>
      </c>
      <c r="H1182" t="s">
        <v>273</v>
      </c>
      <c r="I1182" t="s">
        <v>13</v>
      </c>
      <c r="J1182" t="s">
        <v>201</v>
      </c>
      <c r="L1182" s="2"/>
    </row>
    <row r="1183" spans="1:12" s="25" customFormat="1" x14ac:dyDescent="0.2">
      <c r="A1183">
        <v>2013</v>
      </c>
      <c r="B1183" t="s">
        <v>184</v>
      </c>
      <c r="C1183" t="s">
        <v>530</v>
      </c>
      <c r="D1183" s="22">
        <v>750</v>
      </c>
      <c r="E1183" s="16"/>
      <c r="F1183" t="s">
        <v>2602</v>
      </c>
      <c r="G1183" t="s">
        <v>152</v>
      </c>
      <c r="H1183" t="s">
        <v>257</v>
      </c>
      <c r="I1183" t="s">
        <v>89</v>
      </c>
      <c r="J1183" t="s">
        <v>219</v>
      </c>
      <c r="L1183" s="2"/>
    </row>
    <row r="1184" spans="1:12" s="25" customFormat="1" x14ac:dyDescent="0.2">
      <c r="A1184">
        <v>2013</v>
      </c>
      <c r="B1184" t="s">
        <v>184</v>
      </c>
      <c r="C1184" t="s">
        <v>543</v>
      </c>
      <c r="D1184" s="22">
        <v>480</v>
      </c>
      <c r="E1184" s="16"/>
      <c r="F1184" t="s">
        <v>2602</v>
      </c>
      <c r="G1184" t="s">
        <v>152</v>
      </c>
      <c r="H1184" t="s">
        <v>257</v>
      </c>
      <c r="I1184" t="s">
        <v>89</v>
      </c>
      <c r="J1184" t="s">
        <v>219</v>
      </c>
      <c r="L1184" s="2"/>
    </row>
    <row r="1185" spans="1:12" s="25" customFormat="1" ht="15" customHeight="1" x14ac:dyDescent="0.2">
      <c r="A1185">
        <v>2013</v>
      </c>
      <c r="B1185" t="s">
        <v>184</v>
      </c>
      <c r="C1185" t="s">
        <v>2391</v>
      </c>
      <c r="D1185" s="22">
        <v>150</v>
      </c>
      <c r="E1185" s="16"/>
      <c r="G1185" t="s">
        <v>154</v>
      </c>
      <c r="H1185" t="s">
        <v>250</v>
      </c>
      <c r="I1185" t="s">
        <v>139</v>
      </c>
      <c r="J1185" t="s">
        <v>219</v>
      </c>
      <c r="L1185" s="2"/>
    </row>
    <row r="1186" spans="1:12" s="25" customFormat="1" x14ac:dyDescent="0.2">
      <c r="A1186">
        <v>2013</v>
      </c>
      <c r="B1186" t="s">
        <v>184</v>
      </c>
      <c r="C1186" t="s">
        <v>530</v>
      </c>
      <c r="D1186" s="22">
        <v>1300</v>
      </c>
      <c r="E1186" s="16"/>
      <c r="F1186" t="s">
        <v>2603</v>
      </c>
      <c r="G1186" t="s">
        <v>152</v>
      </c>
      <c r="H1186" t="s">
        <v>257</v>
      </c>
      <c r="I1186" t="s">
        <v>58</v>
      </c>
      <c r="J1186" t="s">
        <v>195</v>
      </c>
      <c r="L1186" s="2"/>
    </row>
    <row r="1187" spans="1:12" s="25" customFormat="1" x14ac:dyDescent="0.2">
      <c r="A1187">
        <v>2013</v>
      </c>
      <c r="B1187" t="s">
        <v>184</v>
      </c>
      <c r="C1187" t="s">
        <v>444</v>
      </c>
      <c r="D1187" s="22">
        <v>220</v>
      </c>
      <c r="E1187" s="16"/>
      <c r="G1187" t="s">
        <v>147</v>
      </c>
      <c r="I1187" t="s">
        <v>2554</v>
      </c>
      <c r="J1187" t="s">
        <v>219</v>
      </c>
      <c r="L1187" s="2"/>
    </row>
    <row r="1188" spans="1:12" s="25" customFormat="1" x14ac:dyDescent="0.2">
      <c r="A1188">
        <v>2013</v>
      </c>
      <c r="B1188" t="s">
        <v>184</v>
      </c>
      <c r="C1188" t="s">
        <v>307</v>
      </c>
      <c r="D1188" s="22">
        <v>1460</v>
      </c>
      <c r="E1188" s="16"/>
      <c r="G1188" t="s">
        <v>144</v>
      </c>
      <c r="H1188" t="s">
        <v>197</v>
      </c>
      <c r="I1188" t="s">
        <v>40</v>
      </c>
      <c r="J1188" t="s">
        <v>219</v>
      </c>
      <c r="L1188" s="2"/>
    </row>
    <row r="1189" spans="1:12" s="25" customFormat="1" x14ac:dyDescent="0.2">
      <c r="A1189">
        <v>2013</v>
      </c>
      <c r="B1189" t="s">
        <v>184</v>
      </c>
      <c r="C1189" t="s">
        <v>875</v>
      </c>
      <c r="D1189" s="22">
        <v>600</v>
      </c>
      <c r="E1189" s="16"/>
      <c r="F1189" t="s">
        <v>2604</v>
      </c>
      <c r="G1189" t="s">
        <v>144</v>
      </c>
      <c r="H1189" t="s">
        <v>273</v>
      </c>
      <c r="I1189" t="s">
        <v>97</v>
      </c>
      <c r="J1189" t="s">
        <v>183</v>
      </c>
      <c r="L1189" s="2"/>
    </row>
    <row r="1190" spans="1:12" s="25" customFormat="1" x14ac:dyDescent="0.2">
      <c r="A1190">
        <v>2013</v>
      </c>
      <c r="B1190" t="s">
        <v>184</v>
      </c>
      <c r="C1190" t="s">
        <v>1035</v>
      </c>
      <c r="D1190" s="22">
        <v>130</v>
      </c>
      <c r="E1190" s="16"/>
      <c r="G1190" t="s">
        <v>144</v>
      </c>
      <c r="H1190" t="s">
        <v>187</v>
      </c>
      <c r="I1190" t="s">
        <v>88</v>
      </c>
      <c r="J1190" t="s">
        <v>219</v>
      </c>
      <c r="L1190" s="2"/>
    </row>
    <row r="1191" spans="1:12" s="25" customFormat="1" x14ac:dyDescent="0.2">
      <c r="A1191">
        <v>2013</v>
      </c>
      <c r="B1191" t="s">
        <v>225</v>
      </c>
      <c r="C1191" t="s">
        <v>444</v>
      </c>
      <c r="D1191" s="22">
        <v>130</v>
      </c>
      <c r="E1191" s="16"/>
      <c r="G1191" t="s">
        <v>152</v>
      </c>
      <c r="H1191" t="s">
        <v>257</v>
      </c>
      <c r="I1191" t="s">
        <v>13</v>
      </c>
      <c r="J1191" t="s">
        <v>201</v>
      </c>
      <c r="L1191" s="2"/>
    </row>
    <row r="1192" spans="1:12" s="25" customFormat="1" x14ac:dyDescent="0.2">
      <c r="A1192" s="17">
        <v>2013</v>
      </c>
      <c r="B1192" s="17" t="s">
        <v>225</v>
      </c>
      <c r="C1192" s="17" t="s">
        <v>1035</v>
      </c>
      <c r="D1192" s="24">
        <v>240</v>
      </c>
      <c r="E1192" s="18"/>
      <c r="F1192" s="17" t="s">
        <v>2511</v>
      </c>
      <c r="G1192" s="17" t="s">
        <v>144</v>
      </c>
      <c r="H1192" s="17" t="s">
        <v>299</v>
      </c>
      <c r="I1192" s="17" t="s">
        <v>72</v>
      </c>
      <c r="J1192" s="17" t="s">
        <v>183</v>
      </c>
      <c r="K1192" s="17"/>
      <c r="L1192" s="2"/>
    </row>
    <row r="1193" spans="1:12" s="25" customFormat="1" x14ac:dyDescent="0.2">
      <c r="A1193">
        <v>2013</v>
      </c>
      <c r="B1193" t="s">
        <v>225</v>
      </c>
      <c r="C1193" t="s">
        <v>703</v>
      </c>
      <c r="D1193" s="22">
        <v>2400</v>
      </c>
      <c r="E1193" s="16"/>
      <c r="F1193" t="s">
        <v>2605</v>
      </c>
      <c r="G1193" t="s">
        <v>144</v>
      </c>
      <c r="H1193" t="s">
        <v>273</v>
      </c>
      <c r="I1193" t="s">
        <v>128</v>
      </c>
      <c r="J1193" t="s">
        <v>201</v>
      </c>
      <c r="L1193" s="2"/>
    </row>
    <row r="1194" spans="1:12" s="25" customFormat="1" x14ac:dyDescent="0.2">
      <c r="A1194">
        <v>2013</v>
      </c>
      <c r="B1194" t="s">
        <v>225</v>
      </c>
      <c r="C1194" t="s">
        <v>397</v>
      </c>
      <c r="D1194" s="22">
        <v>130</v>
      </c>
      <c r="E1194" s="16"/>
      <c r="G1194" t="s">
        <v>154</v>
      </c>
      <c r="H1194" t="s">
        <v>194</v>
      </c>
      <c r="I1194" t="s">
        <v>131</v>
      </c>
      <c r="J1194" t="s">
        <v>131</v>
      </c>
      <c r="L1194" s="2"/>
    </row>
    <row r="1195" spans="1:12" s="25" customFormat="1" x14ac:dyDescent="0.2">
      <c r="A1195">
        <v>2013</v>
      </c>
      <c r="B1195" t="s">
        <v>225</v>
      </c>
      <c r="C1195" t="s">
        <v>479</v>
      </c>
      <c r="D1195" s="22">
        <v>120</v>
      </c>
      <c r="E1195" s="16"/>
      <c r="G1195" t="s">
        <v>154</v>
      </c>
      <c r="H1195" t="s">
        <v>271</v>
      </c>
      <c r="I1195" t="s">
        <v>43</v>
      </c>
      <c r="J1195" t="s">
        <v>219</v>
      </c>
      <c r="L1195" s="2"/>
    </row>
    <row r="1196" spans="1:12" s="25" customFormat="1" x14ac:dyDescent="0.2">
      <c r="A1196">
        <v>2013</v>
      </c>
      <c r="B1196" t="s">
        <v>225</v>
      </c>
      <c r="C1196" t="s">
        <v>175</v>
      </c>
      <c r="D1196" s="22">
        <v>250</v>
      </c>
      <c r="E1196" s="16"/>
      <c r="F1196" t="s">
        <v>2606</v>
      </c>
      <c r="G1196" t="s">
        <v>149</v>
      </c>
      <c r="H1196" t="s">
        <v>182</v>
      </c>
      <c r="I1196" t="s">
        <v>133</v>
      </c>
      <c r="J1196" t="s">
        <v>195</v>
      </c>
      <c r="L1196" s="2"/>
    </row>
    <row r="1197" spans="1:12" s="25" customFormat="1" x14ac:dyDescent="0.2">
      <c r="A1197">
        <v>2013</v>
      </c>
      <c r="B1197" t="s">
        <v>225</v>
      </c>
      <c r="C1197" t="s">
        <v>875</v>
      </c>
      <c r="D1197" s="22">
        <v>280</v>
      </c>
      <c r="E1197" s="16"/>
      <c r="G1197" t="s">
        <v>144</v>
      </c>
      <c r="H1197" t="s">
        <v>273</v>
      </c>
      <c r="I1197" t="s">
        <v>13</v>
      </c>
      <c r="J1197" t="s">
        <v>201</v>
      </c>
      <c r="L1197" s="2"/>
    </row>
    <row r="1198" spans="1:12" s="25" customFormat="1" x14ac:dyDescent="0.2">
      <c r="A1198">
        <v>2013</v>
      </c>
      <c r="B1198" t="s">
        <v>188</v>
      </c>
      <c r="C1198" t="s">
        <v>1035</v>
      </c>
      <c r="D1198" s="22">
        <v>120</v>
      </c>
      <c r="E1198" s="16"/>
      <c r="G1198" t="s">
        <v>145</v>
      </c>
      <c r="I1198" t="s">
        <v>29</v>
      </c>
      <c r="J1198" t="s">
        <v>219</v>
      </c>
      <c r="L1198" s="2"/>
    </row>
    <row r="1199" spans="1:12" s="25" customFormat="1" x14ac:dyDescent="0.2">
      <c r="A1199">
        <v>2013</v>
      </c>
      <c r="B1199" t="s">
        <v>188</v>
      </c>
      <c r="C1199" t="s">
        <v>397</v>
      </c>
      <c r="D1199" s="22">
        <v>240</v>
      </c>
      <c r="E1199" s="16"/>
      <c r="G1199" t="s">
        <v>150</v>
      </c>
      <c r="H1199" t="s">
        <v>744</v>
      </c>
      <c r="I1199" t="s">
        <v>2406</v>
      </c>
      <c r="J1199" t="s">
        <v>219</v>
      </c>
      <c r="L1199" s="2"/>
    </row>
    <row r="1200" spans="1:12" s="25" customFormat="1" x14ac:dyDescent="0.2">
      <c r="A1200">
        <v>2013</v>
      </c>
      <c r="B1200" t="s">
        <v>188</v>
      </c>
      <c r="C1200" t="s">
        <v>2228</v>
      </c>
      <c r="D1200" s="22">
        <v>330</v>
      </c>
      <c r="E1200" s="16">
        <v>0.19</v>
      </c>
      <c r="G1200" t="s">
        <v>154</v>
      </c>
      <c r="H1200" t="s">
        <v>194</v>
      </c>
      <c r="I1200" t="s">
        <v>106</v>
      </c>
      <c r="J1200" t="s">
        <v>195</v>
      </c>
      <c r="L1200" s="2"/>
    </row>
    <row r="1201" spans="1:12" s="25" customFormat="1" x14ac:dyDescent="0.2">
      <c r="A1201">
        <v>2013</v>
      </c>
      <c r="B1201" t="s">
        <v>188</v>
      </c>
      <c r="C1201" t="s">
        <v>479</v>
      </c>
      <c r="D1201" s="22">
        <v>140</v>
      </c>
      <c r="E1201" s="16"/>
      <c r="G1201" t="s">
        <v>154</v>
      </c>
      <c r="H1201" t="s">
        <v>194</v>
      </c>
      <c r="I1201" t="s">
        <v>95</v>
      </c>
      <c r="J1201" t="s">
        <v>183</v>
      </c>
      <c r="L1201" s="2"/>
    </row>
    <row r="1202" spans="1:12" s="25" customFormat="1" x14ac:dyDescent="0.2">
      <c r="A1202">
        <v>2013</v>
      </c>
      <c r="B1202" t="s">
        <v>188</v>
      </c>
      <c r="C1202" t="s">
        <v>479</v>
      </c>
      <c r="D1202" s="22">
        <v>600</v>
      </c>
      <c r="E1202" s="16"/>
      <c r="G1202" t="s">
        <v>154</v>
      </c>
      <c r="H1202" t="s">
        <v>194</v>
      </c>
      <c r="I1202" t="s">
        <v>100</v>
      </c>
      <c r="J1202" t="s">
        <v>214</v>
      </c>
      <c r="L1202" s="2"/>
    </row>
    <row r="1203" spans="1:12" s="25" customFormat="1" x14ac:dyDescent="0.2">
      <c r="A1203">
        <v>2013</v>
      </c>
      <c r="B1203" t="s">
        <v>188</v>
      </c>
      <c r="C1203" t="s">
        <v>246</v>
      </c>
      <c r="D1203" s="22">
        <v>110</v>
      </c>
      <c r="E1203" s="16"/>
      <c r="G1203" t="s">
        <v>144</v>
      </c>
      <c r="H1203" t="s">
        <v>197</v>
      </c>
      <c r="I1203" t="s">
        <v>124</v>
      </c>
      <c r="J1203" t="s">
        <v>183</v>
      </c>
      <c r="L1203" s="2"/>
    </row>
    <row r="1204" spans="1:12" s="25" customFormat="1" x14ac:dyDescent="0.2">
      <c r="A1204">
        <v>2013</v>
      </c>
      <c r="B1204" t="s">
        <v>188</v>
      </c>
      <c r="C1204" t="s">
        <v>341</v>
      </c>
      <c r="D1204" s="22">
        <v>460</v>
      </c>
      <c r="E1204" s="16"/>
      <c r="G1204" t="s">
        <v>154</v>
      </c>
      <c r="H1204" t="s">
        <v>529</v>
      </c>
      <c r="I1204" t="s">
        <v>134</v>
      </c>
      <c r="J1204" t="s">
        <v>201</v>
      </c>
      <c r="L1204" s="2"/>
    </row>
    <row r="1205" spans="1:12" s="25" customFormat="1" x14ac:dyDescent="0.2">
      <c r="A1205">
        <v>2013</v>
      </c>
      <c r="B1205" t="s">
        <v>188</v>
      </c>
      <c r="C1205" t="s">
        <v>444</v>
      </c>
      <c r="D1205" s="22">
        <v>650</v>
      </c>
      <c r="E1205" s="16"/>
      <c r="G1205" t="s">
        <v>144</v>
      </c>
      <c r="I1205" t="s">
        <v>29</v>
      </c>
      <c r="J1205" t="s">
        <v>219</v>
      </c>
      <c r="L1205" s="2"/>
    </row>
    <row r="1206" spans="1:12" s="25" customFormat="1" x14ac:dyDescent="0.2">
      <c r="A1206">
        <v>2013</v>
      </c>
      <c r="B1206" t="s">
        <v>188</v>
      </c>
      <c r="C1206" t="s">
        <v>444</v>
      </c>
      <c r="D1206" s="22">
        <v>140</v>
      </c>
      <c r="E1206" s="16"/>
      <c r="G1206" t="s">
        <v>155</v>
      </c>
      <c r="I1206" t="s">
        <v>139</v>
      </c>
      <c r="J1206" t="s">
        <v>219</v>
      </c>
      <c r="L1206" s="2"/>
    </row>
    <row r="1207" spans="1:12" s="25" customFormat="1" x14ac:dyDescent="0.2">
      <c r="A1207">
        <v>2013</v>
      </c>
      <c r="B1207" t="s">
        <v>188</v>
      </c>
      <c r="C1207" t="s">
        <v>444</v>
      </c>
      <c r="D1207" s="22">
        <v>100</v>
      </c>
      <c r="E1207" s="16"/>
      <c r="G1207" t="s">
        <v>147</v>
      </c>
      <c r="I1207" t="s">
        <v>139</v>
      </c>
      <c r="J1207" t="s">
        <v>219</v>
      </c>
      <c r="L1207" s="2"/>
    </row>
    <row r="1208" spans="1:12" s="25" customFormat="1" x14ac:dyDescent="0.2">
      <c r="A1208">
        <v>2013</v>
      </c>
      <c r="B1208" t="s">
        <v>188</v>
      </c>
      <c r="C1208" t="s">
        <v>208</v>
      </c>
      <c r="D1208" s="22">
        <v>290</v>
      </c>
      <c r="E1208" s="16"/>
      <c r="F1208" t="s">
        <v>2607</v>
      </c>
      <c r="G1208" t="s">
        <v>149</v>
      </c>
      <c r="I1208" t="s">
        <v>9</v>
      </c>
      <c r="J1208" t="s">
        <v>9</v>
      </c>
      <c r="L1208" s="2"/>
    </row>
    <row r="1209" spans="1:12" s="25" customFormat="1" x14ac:dyDescent="0.2">
      <c r="A1209">
        <v>2013</v>
      </c>
      <c r="B1209" t="s">
        <v>191</v>
      </c>
      <c r="C1209" t="s">
        <v>246</v>
      </c>
      <c r="D1209" s="22">
        <v>120</v>
      </c>
      <c r="E1209" s="16"/>
      <c r="G1209" t="s">
        <v>155</v>
      </c>
      <c r="I1209" t="s">
        <v>2554</v>
      </c>
      <c r="J1209" t="s">
        <v>219</v>
      </c>
      <c r="L1209" s="2"/>
    </row>
    <row r="1210" spans="1:12" s="25" customFormat="1" x14ac:dyDescent="0.2">
      <c r="A1210">
        <v>2013</v>
      </c>
      <c r="B1210" t="s">
        <v>191</v>
      </c>
      <c r="C1210" t="s">
        <v>2608</v>
      </c>
      <c r="D1210" s="22">
        <v>340</v>
      </c>
      <c r="E1210" s="16"/>
      <c r="F1210" t="s">
        <v>2609</v>
      </c>
      <c r="G1210" t="s">
        <v>144</v>
      </c>
      <c r="H1210" t="s">
        <v>232</v>
      </c>
      <c r="I1210" t="s">
        <v>40</v>
      </c>
      <c r="J1210" t="s">
        <v>219</v>
      </c>
      <c r="L1210" s="2"/>
    </row>
    <row r="1211" spans="1:12" s="25" customFormat="1" x14ac:dyDescent="0.2">
      <c r="A1211">
        <v>2013</v>
      </c>
      <c r="B1211" t="s">
        <v>191</v>
      </c>
      <c r="C1211" t="s">
        <v>199</v>
      </c>
      <c r="D1211" s="22">
        <v>340</v>
      </c>
      <c r="E1211" s="16"/>
      <c r="G1211" t="s">
        <v>144</v>
      </c>
      <c r="H1211" t="s">
        <v>187</v>
      </c>
      <c r="I1211" t="s">
        <v>55</v>
      </c>
      <c r="J1211" t="s">
        <v>214</v>
      </c>
      <c r="L1211" s="2"/>
    </row>
    <row r="1212" spans="1:12" s="25" customFormat="1" x14ac:dyDescent="0.2">
      <c r="A1212">
        <v>2013</v>
      </c>
      <c r="B1212" t="s">
        <v>191</v>
      </c>
      <c r="C1212" t="s">
        <v>246</v>
      </c>
      <c r="D1212" s="22">
        <v>560</v>
      </c>
      <c r="E1212" s="16"/>
      <c r="G1212" t="s">
        <v>144</v>
      </c>
      <c r="H1212" t="s">
        <v>197</v>
      </c>
      <c r="I1212" t="s">
        <v>132</v>
      </c>
      <c r="J1212" t="s">
        <v>219</v>
      </c>
      <c r="L1212" s="2"/>
    </row>
    <row r="1213" spans="1:12" s="25" customFormat="1" x14ac:dyDescent="0.2">
      <c r="A1213">
        <v>2013</v>
      </c>
      <c r="B1213" t="s">
        <v>191</v>
      </c>
      <c r="C1213" t="s">
        <v>444</v>
      </c>
      <c r="D1213" s="22">
        <v>420</v>
      </c>
      <c r="E1213" s="16"/>
      <c r="F1213" t="s">
        <v>2610</v>
      </c>
      <c r="G1213" t="s">
        <v>144</v>
      </c>
      <c r="I1213" t="s">
        <v>89</v>
      </c>
      <c r="J1213" t="s">
        <v>219</v>
      </c>
      <c r="L1213" s="2"/>
    </row>
    <row r="1214" spans="1:12" s="25" customFormat="1" x14ac:dyDescent="0.2">
      <c r="A1214">
        <v>2013</v>
      </c>
      <c r="B1214" t="s">
        <v>191</v>
      </c>
      <c r="C1214" t="s">
        <v>444</v>
      </c>
      <c r="D1214" s="22">
        <v>200</v>
      </c>
      <c r="E1214" s="16"/>
      <c r="G1214" t="s">
        <v>144</v>
      </c>
      <c r="I1214" t="s">
        <v>89</v>
      </c>
      <c r="J1214" t="s">
        <v>219</v>
      </c>
      <c r="L1214" s="2"/>
    </row>
    <row r="1215" spans="1:12" s="25" customFormat="1" x14ac:dyDescent="0.2">
      <c r="A1215">
        <v>2013</v>
      </c>
      <c r="B1215" t="s">
        <v>191</v>
      </c>
      <c r="C1215" t="s">
        <v>703</v>
      </c>
      <c r="D1215" s="22">
        <v>600</v>
      </c>
      <c r="E1215" s="16"/>
      <c r="F1215" t="s">
        <v>2543</v>
      </c>
      <c r="G1215" t="s">
        <v>144</v>
      </c>
      <c r="H1215" t="s">
        <v>197</v>
      </c>
      <c r="I1215" t="s">
        <v>37</v>
      </c>
      <c r="J1215" t="s">
        <v>205</v>
      </c>
      <c r="L1215" s="2"/>
    </row>
    <row r="1216" spans="1:12" s="25" customFormat="1" x14ac:dyDescent="0.2">
      <c r="A1216">
        <v>2013</v>
      </c>
      <c r="B1216" t="s">
        <v>191</v>
      </c>
      <c r="C1216" t="s">
        <v>1035</v>
      </c>
      <c r="D1216" s="22">
        <v>280</v>
      </c>
      <c r="E1216" s="16"/>
      <c r="F1216" t="s">
        <v>2611</v>
      </c>
      <c r="G1216" t="s">
        <v>144</v>
      </c>
      <c r="H1216" t="s">
        <v>299</v>
      </c>
      <c r="I1216" t="s">
        <v>17</v>
      </c>
      <c r="J1216" t="s">
        <v>195</v>
      </c>
      <c r="L1216" s="2"/>
    </row>
    <row r="1217" spans="1:12" s="25" customFormat="1" x14ac:dyDescent="0.2">
      <c r="A1217">
        <v>2013</v>
      </c>
      <c r="B1217" t="s">
        <v>191</v>
      </c>
      <c r="C1217" t="s">
        <v>479</v>
      </c>
      <c r="D1217" s="22">
        <v>100</v>
      </c>
      <c r="E1217" s="16"/>
      <c r="G1217" t="s">
        <v>154</v>
      </c>
      <c r="H1217" t="s">
        <v>271</v>
      </c>
      <c r="I1217" t="s">
        <v>72</v>
      </c>
      <c r="J1217" t="s">
        <v>183</v>
      </c>
      <c r="L1217" s="2"/>
    </row>
    <row r="1218" spans="1:12" s="25" customFormat="1" x14ac:dyDescent="0.2">
      <c r="A1218">
        <v>2013</v>
      </c>
      <c r="B1218" t="s">
        <v>191</v>
      </c>
      <c r="C1218" t="s">
        <v>479</v>
      </c>
      <c r="D1218" s="22">
        <v>500</v>
      </c>
      <c r="E1218" s="16"/>
      <c r="G1218" t="s">
        <v>155</v>
      </c>
      <c r="I1218" t="s">
        <v>105</v>
      </c>
      <c r="J1218" t="s">
        <v>214</v>
      </c>
      <c r="L1218" s="2"/>
    </row>
    <row r="1219" spans="1:12" s="25" customFormat="1" x14ac:dyDescent="0.2">
      <c r="A1219">
        <v>2013</v>
      </c>
      <c r="B1219" t="s">
        <v>191</v>
      </c>
      <c r="C1219" t="s">
        <v>397</v>
      </c>
      <c r="D1219" s="22">
        <v>160</v>
      </c>
      <c r="E1219" s="16"/>
      <c r="G1219" t="s">
        <v>145</v>
      </c>
      <c r="I1219" t="s">
        <v>5</v>
      </c>
      <c r="J1219" t="s">
        <v>214</v>
      </c>
      <c r="L1219" s="2"/>
    </row>
    <row r="1220" spans="1:12" s="25" customFormat="1" x14ac:dyDescent="0.2">
      <c r="A1220">
        <v>2013</v>
      </c>
      <c r="B1220" t="s">
        <v>191</v>
      </c>
      <c r="C1220" t="s">
        <v>246</v>
      </c>
      <c r="D1220" s="22">
        <v>330</v>
      </c>
      <c r="E1220" s="16"/>
      <c r="G1220" t="s">
        <v>144</v>
      </c>
      <c r="H1220" t="s">
        <v>197</v>
      </c>
      <c r="I1220" t="s">
        <v>24</v>
      </c>
      <c r="J1220" t="s">
        <v>219</v>
      </c>
      <c r="L1220" s="2"/>
    </row>
    <row r="1221" spans="1:12" s="25" customFormat="1" x14ac:dyDescent="0.2">
      <c r="A1221">
        <v>2013</v>
      </c>
      <c r="B1221" t="s">
        <v>191</v>
      </c>
      <c r="C1221" t="s">
        <v>703</v>
      </c>
      <c r="D1221" s="22">
        <v>300</v>
      </c>
      <c r="E1221" s="16"/>
      <c r="G1221" t="s">
        <v>144</v>
      </c>
      <c r="H1221" t="s">
        <v>273</v>
      </c>
      <c r="I1221" t="s">
        <v>13</v>
      </c>
      <c r="J1221" t="s">
        <v>201</v>
      </c>
      <c r="L1221" s="2"/>
    </row>
    <row r="1222" spans="1:12" s="25" customFormat="1" x14ac:dyDescent="0.2">
      <c r="A1222">
        <v>2013</v>
      </c>
      <c r="B1222" t="s">
        <v>191</v>
      </c>
      <c r="C1222" t="s">
        <v>875</v>
      </c>
      <c r="D1222" s="22">
        <v>250</v>
      </c>
      <c r="E1222" s="16"/>
      <c r="G1222" t="s">
        <v>144</v>
      </c>
      <c r="H1222" t="s">
        <v>197</v>
      </c>
      <c r="I1222" t="s">
        <v>67</v>
      </c>
      <c r="J1222" t="s">
        <v>183</v>
      </c>
      <c r="L1222" s="2"/>
    </row>
    <row r="1223" spans="1:12" s="25" customFormat="1" x14ac:dyDescent="0.2">
      <c r="A1223">
        <v>2013</v>
      </c>
      <c r="B1223" t="s">
        <v>198</v>
      </c>
      <c r="C1223" t="s">
        <v>530</v>
      </c>
      <c r="D1223" s="22">
        <v>800</v>
      </c>
      <c r="E1223" s="16"/>
      <c r="G1223" t="s">
        <v>152</v>
      </c>
      <c r="H1223" t="s">
        <v>257</v>
      </c>
      <c r="I1223" t="s">
        <v>40</v>
      </c>
      <c r="J1223" t="s">
        <v>219</v>
      </c>
      <c r="L1223" s="2"/>
    </row>
    <row r="1224" spans="1:12" s="25" customFormat="1" x14ac:dyDescent="0.2">
      <c r="A1224">
        <v>2013</v>
      </c>
      <c r="B1224" t="s">
        <v>198</v>
      </c>
      <c r="C1224" t="s">
        <v>444</v>
      </c>
      <c r="D1224" s="22">
        <v>320</v>
      </c>
      <c r="E1224" s="16"/>
      <c r="G1224" t="s">
        <v>150</v>
      </c>
      <c r="H1224" t="s">
        <v>744</v>
      </c>
      <c r="I1224" t="s">
        <v>2406</v>
      </c>
      <c r="J1224" t="s">
        <v>219</v>
      </c>
      <c r="L1224" s="2"/>
    </row>
    <row r="1225" spans="1:12" s="25" customFormat="1" x14ac:dyDescent="0.2">
      <c r="A1225">
        <v>2013</v>
      </c>
      <c r="B1225" t="s">
        <v>198</v>
      </c>
      <c r="C1225" t="s">
        <v>444</v>
      </c>
      <c r="D1225" s="22">
        <v>220</v>
      </c>
      <c r="E1225" s="16"/>
      <c r="G1225" t="s">
        <v>144</v>
      </c>
      <c r="I1225" t="s">
        <v>128</v>
      </c>
      <c r="J1225" t="s">
        <v>201</v>
      </c>
      <c r="L1225" s="2"/>
    </row>
    <row r="1226" spans="1:12" s="25" customFormat="1" x14ac:dyDescent="0.2">
      <c r="A1226">
        <v>2013</v>
      </c>
      <c r="B1226" t="s">
        <v>198</v>
      </c>
      <c r="C1226" t="s">
        <v>479</v>
      </c>
      <c r="D1226" s="22">
        <v>300</v>
      </c>
      <c r="E1226" s="16"/>
      <c r="G1226" t="s">
        <v>148</v>
      </c>
      <c r="I1226" t="s">
        <v>115</v>
      </c>
      <c r="J1226" t="s">
        <v>201</v>
      </c>
      <c r="L1226" s="2"/>
    </row>
    <row r="1227" spans="1:12" s="25" customFormat="1" x14ac:dyDescent="0.2">
      <c r="A1227">
        <v>2013</v>
      </c>
      <c r="B1227" t="s">
        <v>198</v>
      </c>
      <c r="C1227" t="s">
        <v>397</v>
      </c>
      <c r="D1227" s="22">
        <v>290</v>
      </c>
      <c r="E1227" s="16"/>
      <c r="G1227" t="s">
        <v>142</v>
      </c>
      <c r="I1227" t="s">
        <v>13</v>
      </c>
      <c r="J1227" t="s">
        <v>201</v>
      </c>
      <c r="L1227" s="2"/>
    </row>
    <row r="1228" spans="1:12" s="25" customFormat="1" x14ac:dyDescent="0.2">
      <c r="A1228">
        <v>2013</v>
      </c>
      <c r="B1228" t="s">
        <v>198</v>
      </c>
      <c r="C1228" t="s">
        <v>1035</v>
      </c>
      <c r="D1228" s="22">
        <v>100</v>
      </c>
      <c r="E1228" s="16"/>
      <c r="F1228" t="s">
        <v>2612</v>
      </c>
      <c r="G1228" t="s">
        <v>144</v>
      </c>
      <c r="I1228" t="s">
        <v>72</v>
      </c>
      <c r="J1228" t="s">
        <v>183</v>
      </c>
      <c r="L1228" s="2"/>
    </row>
    <row r="1229" spans="1:12" s="25" customFormat="1" x14ac:dyDescent="0.2">
      <c r="A1229">
        <v>2013</v>
      </c>
      <c r="B1229" t="s">
        <v>198</v>
      </c>
      <c r="C1229" t="s">
        <v>444</v>
      </c>
      <c r="D1229" s="22">
        <v>100</v>
      </c>
      <c r="E1229" s="16"/>
      <c r="G1229" t="s">
        <v>155</v>
      </c>
      <c r="I1229" t="s">
        <v>132</v>
      </c>
      <c r="J1229" t="s">
        <v>219</v>
      </c>
      <c r="L1229" s="2"/>
    </row>
    <row r="1230" spans="1:12" s="25" customFormat="1" x14ac:dyDescent="0.2">
      <c r="A1230">
        <v>2013</v>
      </c>
      <c r="B1230" t="s">
        <v>198</v>
      </c>
      <c r="C1230" t="s">
        <v>421</v>
      </c>
      <c r="D1230" s="22">
        <v>240</v>
      </c>
      <c r="E1230" s="16"/>
      <c r="G1230" t="s">
        <v>154</v>
      </c>
      <c r="H1230" t="s">
        <v>194</v>
      </c>
      <c r="I1230" t="s">
        <v>138</v>
      </c>
      <c r="J1230" t="s">
        <v>219</v>
      </c>
      <c r="L1230" s="2"/>
    </row>
    <row r="1231" spans="1:12" s="25" customFormat="1" x14ac:dyDescent="0.2">
      <c r="A1231">
        <v>2013</v>
      </c>
      <c r="B1231" t="s">
        <v>198</v>
      </c>
      <c r="C1231" t="s">
        <v>1035</v>
      </c>
      <c r="D1231" s="22">
        <v>2700</v>
      </c>
      <c r="E1231" s="16"/>
      <c r="G1231" t="s">
        <v>144</v>
      </c>
      <c r="H1231" t="s">
        <v>273</v>
      </c>
      <c r="I1231" t="s">
        <v>52</v>
      </c>
      <c r="J1231" t="s">
        <v>201</v>
      </c>
      <c r="L1231" s="2"/>
    </row>
    <row r="1232" spans="1:12" s="25" customFormat="1" x14ac:dyDescent="0.2">
      <c r="A1232">
        <v>2013</v>
      </c>
      <c r="B1232" t="s">
        <v>202</v>
      </c>
      <c r="C1232" t="s">
        <v>1035</v>
      </c>
      <c r="D1232" s="22">
        <v>1700</v>
      </c>
      <c r="E1232" s="16"/>
      <c r="F1232" t="s">
        <v>2613</v>
      </c>
      <c r="G1232" t="s">
        <v>144</v>
      </c>
      <c r="H1232" t="s">
        <v>187</v>
      </c>
      <c r="I1232" t="s">
        <v>62</v>
      </c>
      <c r="J1232" t="s">
        <v>214</v>
      </c>
      <c r="L1232" s="2"/>
    </row>
    <row r="1233" spans="1:12" s="25" customFormat="1" x14ac:dyDescent="0.2">
      <c r="A1233">
        <v>2013</v>
      </c>
      <c r="B1233" t="s">
        <v>202</v>
      </c>
      <c r="C1233" t="s">
        <v>479</v>
      </c>
      <c r="D1233" s="22">
        <v>140</v>
      </c>
      <c r="E1233" s="16"/>
      <c r="G1233" t="s">
        <v>154</v>
      </c>
      <c r="H1233" t="s">
        <v>194</v>
      </c>
      <c r="I1233" t="s">
        <v>136</v>
      </c>
      <c r="J1233" t="s">
        <v>183</v>
      </c>
      <c r="L1233" s="2"/>
    </row>
    <row r="1234" spans="1:12" s="25" customFormat="1" x14ac:dyDescent="0.2">
      <c r="A1234">
        <v>2013</v>
      </c>
      <c r="B1234" t="s">
        <v>202</v>
      </c>
      <c r="C1234" t="s">
        <v>479</v>
      </c>
      <c r="D1234" s="22">
        <v>100</v>
      </c>
      <c r="E1234" s="16"/>
      <c r="G1234" t="s">
        <v>154</v>
      </c>
      <c r="H1234" t="s">
        <v>250</v>
      </c>
      <c r="I1234" t="s">
        <v>115</v>
      </c>
      <c r="J1234" t="s">
        <v>201</v>
      </c>
      <c r="L1234" s="2"/>
    </row>
    <row r="1235" spans="1:12" s="25" customFormat="1" x14ac:dyDescent="0.2">
      <c r="A1235">
        <v>2013</v>
      </c>
      <c r="B1235" t="s">
        <v>202</v>
      </c>
      <c r="C1235" t="s">
        <v>479</v>
      </c>
      <c r="D1235" s="22">
        <v>390</v>
      </c>
      <c r="E1235" s="16"/>
      <c r="F1235" t="s">
        <v>2002</v>
      </c>
      <c r="G1235" t="s">
        <v>154</v>
      </c>
      <c r="H1235" t="s">
        <v>271</v>
      </c>
      <c r="I1235" t="s">
        <v>105</v>
      </c>
      <c r="J1235" t="s">
        <v>214</v>
      </c>
      <c r="L1235" s="2"/>
    </row>
    <row r="1236" spans="1:12" s="25" customFormat="1" x14ac:dyDescent="0.2">
      <c r="A1236">
        <v>2013</v>
      </c>
      <c r="B1236" t="s">
        <v>202</v>
      </c>
      <c r="C1236" t="s">
        <v>1035</v>
      </c>
      <c r="D1236" s="22">
        <v>1690</v>
      </c>
      <c r="E1236" s="16"/>
      <c r="G1236" t="s">
        <v>144</v>
      </c>
      <c r="H1236" t="s">
        <v>197</v>
      </c>
      <c r="I1236" t="s">
        <v>132</v>
      </c>
      <c r="J1236" t="s">
        <v>219</v>
      </c>
      <c r="L1236" s="2"/>
    </row>
    <row r="1237" spans="1:12" s="25" customFormat="1" x14ac:dyDescent="0.2">
      <c r="A1237">
        <v>2013</v>
      </c>
      <c r="B1237" t="s">
        <v>202</v>
      </c>
      <c r="C1237" t="s">
        <v>246</v>
      </c>
      <c r="D1237" s="22">
        <v>600</v>
      </c>
      <c r="E1237" s="16"/>
      <c r="F1237" t="s">
        <v>849</v>
      </c>
      <c r="G1237" t="s">
        <v>144</v>
      </c>
      <c r="I1237" t="s">
        <v>67</v>
      </c>
      <c r="J1237" t="s">
        <v>183</v>
      </c>
      <c r="L1237" s="2"/>
    </row>
    <row r="1238" spans="1:12" s="25" customFormat="1" x14ac:dyDescent="0.2">
      <c r="A1238">
        <v>2013</v>
      </c>
      <c r="B1238" t="s">
        <v>202</v>
      </c>
      <c r="C1238" t="s">
        <v>444</v>
      </c>
      <c r="D1238" s="22">
        <v>2470</v>
      </c>
      <c r="E1238" s="16"/>
      <c r="G1238" t="s">
        <v>154</v>
      </c>
      <c r="H1238" t="s">
        <v>529</v>
      </c>
      <c r="I1238" t="s">
        <v>8</v>
      </c>
      <c r="J1238" t="s">
        <v>205</v>
      </c>
      <c r="L1238" s="2"/>
    </row>
    <row r="1239" spans="1:12" s="25" customFormat="1" x14ac:dyDescent="0.2">
      <c r="A1239">
        <v>2013</v>
      </c>
      <c r="B1239" t="s">
        <v>202</v>
      </c>
      <c r="C1239" t="s">
        <v>479</v>
      </c>
      <c r="D1239" s="22">
        <v>210</v>
      </c>
      <c r="E1239" s="16"/>
      <c r="G1239" t="s">
        <v>154</v>
      </c>
      <c r="H1239" t="s">
        <v>194</v>
      </c>
      <c r="I1239" t="s">
        <v>4</v>
      </c>
      <c r="J1239" t="s">
        <v>201</v>
      </c>
      <c r="L1239" s="81"/>
    </row>
    <row r="1240" spans="1:12" s="25" customFormat="1" x14ac:dyDescent="0.2">
      <c r="A1240">
        <v>2013</v>
      </c>
      <c r="B1240" t="s">
        <v>202</v>
      </c>
      <c r="C1240" t="s">
        <v>1292</v>
      </c>
      <c r="D1240" s="22">
        <v>130</v>
      </c>
      <c r="E1240" s="16"/>
      <c r="G1240" t="s">
        <v>154</v>
      </c>
      <c r="H1240" t="s">
        <v>194</v>
      </c>
      <c r="I1240" t="s">
        <v>2557</v>
      </c>
      <c r="J1240" t="s">
        <v>219</v>
      </c>
      <c r="L1240" s="81"/>
    </row>
    <row r="1241" spans="1:12" s="25" customFormat="1" x14ac:dyDescent="0.2">
      <c r="A1241">
        <v>2013</v>
      </c>
      <c r="B1241" t="s">
        <v>202</v>
      </c>
      <c r="C1241" t="s">
        <v>244</v>
      </c>
      <c r="D1241" s="22">
        <v>930</v>
      </c>
      <c r="E1241" s="16"/>
      <c r="F1241" t="s">
        <v>2614</v>
      </c>
      <c r="G1241" t="s">
        <v>149</v>
      </c>
      <c r="H1241" t="s">
        <v>238</v>
      </c>
      <c r="I1241" t="s">
        <v>54</v>
      </c>
      <c r="J1241" t="s">
        <v>201</v>
      </c>
      <c r="L1241" s="81"/>
    </row>
    <row r="1242" spans="1:12" s="25" customFormat="1" x14ac:dyDescent="0.2">
      <c r="A1242">
        <v>2013</v>
      </c>
      <c r="B1242" t="s">
        <v>207</v>
      </c>
      <c r="C1242" t="s">
        <v>1581</v>
      </c>
      <c r="D1242" s="22">
        <v>300</v>
      </c>
      <c r="E1242" s="16"/>
      <c r="F1242" t="s">
        <v>2615</v>
      </c>
      <c r="G1242" t="s">
        <v>152</v>
      </c>
      <c r="H1242" t="s">
        <v>257</v>
      </c>
      <c r="I1242" t="s">
        <v>16</v>
      </c>
      <c r="J1242" t="s">
        <v>205</v>
      </c>
      <c r="K1242">
        <v>1</v>
      </c>
      <c r="L1242" s="2"/>
    </row>
    <row r="1243" spans="1:12" s="25" customFormat="1" x14ac:dyDescent="0.2">
      <c r="A1243">
        <v>2013</v>
      </c>
      <c r="B1243" t="s">
        <v>207</v>
      </c>
      <c r="C1243" t="s">
        <v>530</v>
      </c>
      <c r="D1243" s="22">
        <v>700</v>
      </c>
      <c r="E1243" s="16"/>
      <c r="F1243" t="s">
        <v>2616</v>
      </c>
      <c r="G1243" t="s">
        <v>152</v>
      </c>
      <c r="H1243" t="s">
        <v>257</v>
      </c>
      <c r="I1243" t="s">
        <v>35</v>
      </c>
      <c r="J1243" t="s">
        <v>195</v>
      </c>
      <c r="K1243">
        <v>0</v>
      </c>
      <c r="L1243" s="2"/>
    </row>
    <row r="1244" spans="1:12" s="25" customFormat="1" x14ac:dyDescent="0.2">
      <c r="A1244">
        <v>2013</v>
      </c>
      <c r="B1244" t="s">
        <v>207</v>
      </c>
      <c r="C1244" t="s">
        <v>246</v>
      </c>
      <c r="D1244" s="22">
        <v>240</v>
      </c>
      <c r="E1244" s="16"/>
      <c r="F1244" t="s">
        <v>2617</v>
      </c>
      <c r="G1244" t="s">
        <v>155</v>
      </c>
      <c r="I1244" t="s">
        <v>46</v>
      </c>
      <c r="J1244" t="s">
        <v>219</v>
      </c>
      <c r="K1244">
        <v>1</v>
      </c>
      <c r="L1244" s="2"/>
    </row>
    <row r="1245" spans="1:12" s="25" customFormat="1" x14ac:dyDescent="0.2">
      <c r="A1245">
        <v>2013</v>
      </c>
      <c r="B1245" t="s">
        <v>207</v>
      </c>
      <c r="C1245" t="s">
        <v>444</v>
      </c>
      <c r="D1245" s="22">
        <v>170</v>
      </c>
      <c r="E1245" s="16"/>
      <c r="G1245" t="s">
        <v>154</v>
      </c>
      <c r="H1245" t="s">
        <v>194</v>
      </c>
      <c r="I1245" t="s">
        <v>95</v>
      </c>
      <c r="J1245" t="s">
        <v>183</v>
      </c>
      <c r="K1245">
        <v>1</v>
      </c>
      <c r="L1245" s="2"/>
    </row>
    <row r="1246" spans="1:12" s="25" customFormat="1" x14ac:dyDescent="0.2">
      <c r="A1246">
        <v>2013</v>
      </c>
      <c r="B1246" t="s">
        <v>207</v>
      </c>
      <c r="C1246" t="s">
        <v>479</v>
      </c>
      <c r="D1246" s="22">
        <v>900</v>
      </c>
      <c r="E1246" s="16">
        <v>0.7</v>
      </c>
      <c r="F1246" t="s">
        <v>2618</v>
      </c>
      <c r="G1246" t="s">
        <v>154</v>
      </c>
      <c r="H1246" t="s">
        <v>271</v>
      </c>
      <c r="I1246" t="s">
        <v>53</v>
      </c>
      <c r="J1246" t="s">
        <v>183</v>
      </c>
      <c r="K1246">
        <v>1</v>
      </c>
      <c r="L1246" s="2"/>
    </row>
    <row r="1247" spans="1:12" s="25" customFormat="1" x14ac:dyDescent="0.2">
      <c r="A1247">
        <v>2013</v>
      </c>
      <c r="B1247" t="s">
        <v>207</v>
      </c>
      <c r="C1247" t="s">
        <v>2486</v>
      </c>
      <c r="D1247" s="22">
        <v>220</v>
      </c>
      <c r="E1247" s="16">
        <v>0.2</v>
      </c>
      <c r="F1247" t="s">
        <v>2619</v>
      </c>
      <c r="G1247" t="s">
        <v>151</v>
      </c>
      <c r="H1247" t="s">
        <v>279</v>
      </c>
      <c r="I1247" t="s">
        <v>20</v>
      </c>
      <c r="J1247" t="s">
        <v>195</v>
      </c>
      <c r="K1247">
        <v>0</v>
      </c>
      <c r="L1247" s="2"/>
    </row>
    <row r="1248" spans="1:12" s="25" customFormat="1" x14ac:dyDescent="0.2">
      <c r="A1248">
        <v>2013</v>
      </c>
      <c r="B1248" t="s">
        <v>207</v>
      </c>
      <c r="C1248" t="s">
        <v>692</v>
      </c>
      <c r="D1248" s="22">
        <v>400</v>
      </c>
      <c r="E1248" s="16"/>
      <c r="F1248" t="s">
        <v>2620</v>
      </c>
      <c r="G1248" t="s">
        <v>144</v>
      </c>
      <c r="H1248" t="s">
        <v>299</v>
      </c>
      <c r="I1248" t="s">
        <v>123</v>
      </c>
      <c r="J1248" t="s">
        <v>219</v>
      </c>
      <c r="K1248">
        <v>1</v>
      </c>
      <c r="L1248" s="81"/>
    </row>
    <row r="1249" spans="1:12" s="25" customFormat="1" x14ac:dyDescent="0.2">
      <c r="A1249">
        <v>2013</v>
      </c>
      <c r="B1249" t="s">
        <v>207</v>
      </c>
      <c r="C1249" t="s">
        <v>815</v>
      </c>
      <c r="D1249" s="22">
        <v>280</v>
      </c>
      <c r="E1249" s="16"/>
      <c r="F1249" t="s">
        <v>2621</v>
      </c>
      <c r="G1249" t="s">
        <v>151</v>
      </c>
      <c r="H1249" t="s">
        <v>279</v>
      </c>
      <c r="I1249" t="s">
        <v>89</v>
      </c>
      <c r="J1249" t="s">
        <v>219</v>
      </c>
      <c r="K1249">
        <v>1</v>
      </c>
      <c r="L1249" s="2"/>
    </row>
    <row r="1250" spans="1:12" s="25" customFormat="1" x14ac:dyDescent="0.2">
      <c r="A1250">
        <v>2013</v>
      </c>
      <c r="B1250" t="s">
        <v>207</v>
      </c>
      <c r="C1250" t="s">
        <v>2622</v>
      </c>
      <c r="D1250" s="22">
        <v>130</v>
      </c>
      <c r="E1250" s="16">
        <v>0.27</v>
      </c>
      <c r="G1250" t="s">
        <v>154</v>
      </c>
      <c r="H1250" t="s">
        <v>194</v>
      </c>
      <c r="I1250" t="s">
        <v>91</v>
      </c>
      <c r="J1250" t="s">
        <v>195</v>
      </c>
      <c r="K1250">
        <v>0</v>
      </c>
      <c r="L1250" s="2"/>
    </row>
    <row r="1251" spans="1:12" s="25" customFormat="1" x14ac:dyDescent="0.2">
      <c r="A1251">
        <v>2013</v>
      </c>
      <c r="B1251" t="s">
        <v>207</v>
      </c>
      <c r="C1251" t="s">
        <v>1035</v>
      </c>
      <c r="D1251" s="22">
        <v>140</v>
      </c>
      <c r="E1251" s="16"/>
      <c r="G1251" t="s">
        <v>144</v>
      </c>
      <c r="H1251" t="s">
        <v>197</v>
      </c>
      <c r="I1251" t="s">
        <v>123</v>
      </c>
      <c r="J1251" t="s">
        <v>219</v>
      </c>
      <c r="K1251">
        <v>1</v>
      </c>
      <c r="L1251" s="2"/>
    </row>
    <row r="1252" spans="1:12" s="25" customFormat="1" x14ac:dyDescent="0.2">
      <c r="A1252">
        <v>2013</v>
      </c>
      <c r="B1252" t="s">
        <v>207</v>
      </c>
      <c r="C1252" t="s">
        <v>444</v>
      </c>
      <c r="D1252" s="22">
        <v>100</v>
      </c>
      <c r="E1252" s="16"/>
      <c r="G1252" t="s">
        <v>154</v>
      </c>
      <c r="H1252" t="s">
        <v>529</v>
      </c>
      <c r="I1252" t="s">
        <v>16</v>
      </c>
      <c r="J1252" t="s">
        <v>205</v>
      </c>
      <c r="K1252">
        <v>1</v>
      </c>
      <c r="L1252" s="2"/>
    </row>
    <row r="1253" spans="1:12" s="25" customFormat="1" x14ac:dyDescent="0.2">
      <c r="A1253">
        <v>2013</v>
      </c>
      <c r="B1253" t="s">
        <v>207</v>
      </c>
      <c r="C1253" t="s">
        <v>285</v>
      </c>
      <c r="D1253" s="22">
        <v>300</v>
      </c>
      <c r="E1253" s="16"/>
      <c r="G1253" t="s">
        <v>144</v>
      </c>
      <c r="I1253" t="s">
        <v>67</v>
      </c>
      <c r="J1253" t="s">
        <v>183</v>
      </c>
      <c r="K1253">
        <v>1</v>
      </c>
      <c r="L1253" s="2"/>
    </row>
    <row r="1254" spans="1:12" s="25" customFormat="1" x14ac:dyDescent="0.2">
      <c r="A1254">
        <v>2013</v>
      </c>
      <c r="B1254" t="s">
        <v>207</v>
      </c>
      <c r="C1254" t="s">
        <v>2623</v>
      </c>
      <c r="D1254" s="22">
        <v>510</v>
      </c>
      <c r="E1254" s="16"/>
      <c r="F1254" t="s">
        <v>2624</v>
      </c>
      <c r="G1254" t="s">
        <v>144</v>
      </c>
      <c r="H1254" t="s">
        <v>232</v>
      </c>
      <c r="I1254" t="s">
        <v>5</v>
      </c>
      <c r="J1254" t="s">
        <v>214</v>
      </c>
      <c r="K1254">
        <v>1</v>
      </c>
      <c r="L1254" s="2"/>
    </row>
    <row r="1255" spans="1:12" s="25" customFormat="1" x14ac:dyDescent="0.2">
      <c r="A1255">
        <v>2013</v>
      </c>
      <c r="B1255" t="s">
        <v>207</v>
      </c>
      <c r="C1255" t="s">
        <v>2625</v>
      </c>
      <c r="D1255" s="22">
        <v>870</v>
      </c>
      <c r="E1255" s="16"/>
      <c r="F1255" t="s">
        <v>2626</v>
      </c>
      <c r="G1255" t="s">
        <v>144</v>
      </c>
      <c r="H1255" t="s">
        <v>273</v>
      </c>
      <c r="I1255" t="s">
        <v>136</v>
      </c>
      <c r="J1255" t="s">
        <v>183</v>
      </c>
      <c r="K1255">
        <v>1</v>
      </c>
      <c r="L1255" s="2"/>
    </row>
    <row r="1256" spans="1:12" s="25" customFormat="1" x14ac:dyDescent="0.2">
      <c r="A1256">
        <v>2013</v>
      </c>
      <c r="B1256" t="s">
        <v>207</v>
      </c>
      <c r="C1256" t="s">
        <v>815</v>
      </c>
      <c r="D1256" s="22">
        <v>350</v>
      </c>
      <c r="E1256" s="16"/>
      <c r="F1256" t="s">
        <v>2627</v>
      </c>
      <c r="G1256" t="s">
        <v>151</v>
      </c>
      <c r="H1256" t="s">
        <v>279</v>
      </c>
      <c r="I1256" t="s">
        <v>55</v>
      </c>
      <c r="J1256" t="s">
        <v>214</v>
      </c>
      <c r="K1256">
        <v>1</v>
      </c>
      <c r="L1256" s="2"/>
    </row>
    <row r="1257" spans="1:12" s="25" customFormat="1" x14ac:dyDescent="0.2">
      <c r="A1257">
        <v>2013</v>
      </c>
      <c r="B1257" t="s">
        <v>240</v>
      </c>
      <c r="C1257" t="s">
        <v>1035</v>
      </c>
      <c r="D1257" s="22">
        <v>370</v>
      </c>
      <c r="E1257" s="16">
        <v>0.51</v>
      </c>
      <c r="G1257" t="s">
        <v>154</v>
      </c>
      <c r="H1257" t="s">
        <v>194</v>
      </c>
      <c r="I1257" t="s">
        <v>2628</v>
      </c>
      <c r="J1257" t="s">
        <v>195</v>
      </c>
      <c r="K1257">
        <v>1</v>
      </c>
      <c r="L1257" s="2"/>
    </row>
    <row r="1258" spans="1:12" s="25" customFormat="1" x14ac:dyDescent="0.2">
      <c r="A1258">
        <v>2013</v>
      </c>
      <c r="B1258" t="s">
        <v>240</v>
      </c>
      <c r="C1258" t="s">
        <v>2629</v>
      </c>
      <c r="D1258" s="22">
        <v>540</v>
      </c>
      <c r="E1258" s="16"/>
      <c r="F1258" t="s">
        <v>2630</v>
      </c>
      <c r="G1258" t="s">
        <v>144</v>
      </c>
      <c r="H1258" t="s">
        <v>232</v>
      </c>
      <c r="I1258" t="s">
        <v>2571</v>
      </c>
      <c r="J1258" t="s">
        <v>195</v>
      </c>
      <c r="K1258">
        <v>1</v>
      </c>
      <c r="L1258" s="2"/>
    </row>
    <row r="1259" spans="1:12" s="25" customFormat="1" x14ac:dyDescent="0.2">
      <c r="A1259">
        <v>2013</v>
      </c>
      <c r="B1259" t="s">
        <v>240</v>
      </c>
      <c r="C1259" t="s">
        <v>444</v>
      </c>
      <c r="D1259" s="22">
        <v>270</v>
      </c>
      <c r="E1259" s="16"/>
      <c r="G1259" t="s">
        <v>150</v>
      </c>
      <c r="H1259" t="s">
        <v>744</v>
      </c>
      <c r="I1259" t="s">
        <v>62</v>
      </c>
      <c r="J1259" t="s">
        <v>214</v>
      </c>
      <c r="K1259">
        <v>1</v>
      </c>
      <c r="L1259" s="2"/>
    </row>
    <row r="1260" spans="1:12" s="25" customFormat="1" x14ac:dyDescent="0.2">
      <c r="A1260">
        <v>2013</v>
      </c>
      <c r="B1260" t="s">
        <v>240</v>
      </c>
      <c r="C1260" t="s">
        <v>444</v>
      </c>
      <c r="D1260" s="22">
        <v>290</v>
      </c>
      <c r="E1260" s="16"/>
      <c r="G1260" t="s">
        <v>147</v>
      </c>
      <c r="I1260" t="s">
        <v>64</v>
      </c>
      <c r="J1260" t="s">
        <v>219</v>
      </c>
      <c r="K1260">
        <v>1</v>
      </c>
      <c r="L1260" s="2"/>
    </row>
    <row r="1261" spans="1:12" s="25" customFormat="1" x14ac:dyDescent="0.2">
      <c r="A1261">
        <v>2013</v>
      </c>
      <c r="B1261" t="s">
        <v>240</v>
      </c>
      <c r="C1261" t="s">
        <v>479</v>
      </c>
      <c r="D1261" s="22">
        <v>540</v>
      </c>
      <c r="E1261" s="16"/>
      <c r="G1261" t="s">
        <v>153</v>
      </c>
      <c r="I1261" t="s">
        <v>115</v>
      </c>
      <c r="J1261" t="s">
        <v>201</v>
      </c>
      <c r="K1261">
        <v>1</v>
      </c>
      <c r="L1261" s="2"/>
    </row>
    <row r="1262" spans="1:12" s="25" customFormat="1" x14ac:dyDescent="0.2">
      <c r="A1262">
        <v>2013</v>
      </c>
      <c r="B1262" t="s">
        <v>240</v>
      </c>
      <c r="C1262" t="s">
        <v>479</v>
      </c>
      <c r="D1262" s="22">
        <v>510</v>
      </c>
      <c r="E1262" s="16"/>
      <c r="G1262" t="s">
        <v>154</v>
      </c>
      <c r="H1262" t="s">
        <v>271</v>
      </c>
      <c r="I1262" t="s">
        <v>137</v>
      </c>
      <c r="J1262" t="s">
        <v>214</v>
      </c>
      <c r="K1262">
        <v>1</v>
      </c>
      <c r="L1262" s="2"/>
    </row>
    <row r="1263" spans="1:12" s="25" customFormat="1" x14ac:dyDescent="0.2">
      <c r="A1263">
        <v>2013</v>
      </c>
      <c r="B1263" t="s">
        <v>240</v>
      </c>
      <c r="C1263" t="s">
        <v>479</v>
      </c>
      <c r="D1263" s="22">
        <v>170</v>
      </c>
      <c r="E1263" s="16"/>
      <c r="G1263" t="s">
        <v>155</v>
      </c>
      <c r="I1263" t="s">
        <v>55</v>
      </c>
      <c r="J1263" t="s">
        <v>214</v>
      </c>
      <c r="K1263">
        <v>1</v>
      </c>
      <c r="L1263" s="2"/>
    </row>
    <row r="1264" spans="1:12" s="25" customFormat="1" x14ac:dyDescent="0.2">
      <c r="A1264">
        <v>2013</v>
      </c>
      <c r="B1264" t="s">
        <v>240</v>
      </c>
      <c r="C1264" t="s">
        <v>479</v>
      </c>
      <c r="D1264" s="22">
        <v>400</v>
      </c>
      <c r="E1264" s="16"/>
      <c r="G1264" t="s">
        <v>154</v>
      </c>
      <c r="H1264" t="s">
        <v>194</v>
      </c>
      <c r="I1264" t="s">
        <v>115</v>
      </c>
      <c r="J1264" t="s">
        <v>201</v>
      </c>
      <c r="K1264">
        <v>1</v>
      </c>
      <c r="L1264" s="2"/>
    </row>
    <row r="1265" spans="1:12" s="25" customFormat="1" x14ac:dyDescent="0.2">
      <c r="A1265">
        <v>2013</v>
      </c>
      <c r="B1265" t="s">
        <v>240</v>
      </c>
      <c r="C1265" t="s">
        <v>444</v>
      </c>
      <c r="D1265" s="22">
        <v>200</v>
      </c>
      <c r="E1265" s="16"/>
      <c r="G1265" t="s">
        <v>155</v>
      </c>
      <c r="I1265" t="s">
        <v>2406</v>
      </c>
      <c r="J1265" t="s">
        <v>219</v>
      </c>
      <c r="K1265">
        <v>1</v>
      </c>
      <c r="L1265" s="2"/>
    </row>
    <row r="1266" spans="1:12" s="25" customFormat="1" x14ac:dyDescent="0.2">
      <c r="A1266">
        <v>2013</v>
      </c>
      <c r="B1266" t="s">
        <v>240</v>
      </c>
      <c r="C1266" t="s">
        <v>1149</v>
      </c>
      <c r="D1266" s="22">
        <v>200</v>
      </c>
      <c r="E1266" s="16"/>
      <c r="F1266" t="s">
        <v>2631</v>
      </c>
      <c r="G1266" t="s">
        <v>151</v>
      </c>
      <c r="H1266" t="s">
        <v>279</v>
      </c>
      <c r="I1266" t="s">
        <v>123</v>
      </c>
      <c r="J1266" t="s">
        <v>219</v>
      </c>
      <c r="K1266">
        <v>1</v>
      </c>
      <c r="L1266" s="2"/>
    </row>
    <row r="1267" spans="1:12" s="25" customFormat="1" x14ac:dyDescent="0.2">
      <c r="A1267">
        <v>2013</v>
      </c>
      <c r="B1267" t="s">
        <v>240</v>
      </c>
      <c r="C1267" t="s">
        <v>479</v>
      </c>
      <c r="D1267" s="22">
        <v>300</v>
      </c>
      <c r="E1267" s="16"/>
      <c r="G1267" t="s">
        <v>148</v>
      </c>
      <c r="I1267" t="s">
        <v>83</v>
      </c>
      <c r="J1267" t="s">
        <v>219</v>
      </c>
      <c r="K1267">
        <v>1</v>
      </c>
      <c r="L1267" s="2"/>
    </row>
    <row r="1268" spans="1:12" s="25" customFormat="1" x14ac:dyDescent="0.2">
      <c r="A1268">
        <v>2013</v>
      </c>
      <c r="B1268" t="s">
        <v>240</v>
      </c>
      <c r="C1268" t="s">
        <v>1035</v>
      </c>
      <c r="D1268" s="22">
        <v>150</v>
      </c>
      <c r="E1268" s="16"/>
      <c r="G1268" t="s">
        <v>154</v>
      </c>
      <c r="H1268" t="s">
        <v>529</v>
      </c>
      <c r="I1268" t="s">
        <v>108</v>
      </c>
      <c r="J1268" t="s">
        <v>183</v>
      </c>
      <c r="K1268">
        <v>1</v>
      </c>
      <c r="L1268" s="2"/>
    </row>
    <row r="1269" spans="1:12" s="25" customFormat="1" x14ac:dyDescent="0.2">
      <c r="A1269">
        <v>2013</v>
      </c>
      <c r="B1269" t="s">
        <v>240</v>
      </c>
      <c r="C1269" t="s">
        <v>444</v>
      </c>
      <c r="D1269" s="22">
        <v>180</v>
      </c>
      <c r="E1269" s="16"/>
      <c r="F1269" t="s">
        <v>2632</v>
      </c>
      <c r="G1269" t="s">
        <v>152</v>
      </c>
      <c r="H1269" t="s">
        <v>257</v>
      </c>
      <c r="I1269" t="s">
        <v>13</v>
      </c>
      <c r="J1269" t="s">
        <v>201</v>
      </c>
      <c r="K1269">
        <v>1</v>
      </c>
      <c r="L1269" s="2"/>
    </row>
    <row r="1270" spans="1:12" s="25" customFormat="1" x14ac:dyDescent="0.2">
      <c r="A1270">
        <v>2013</v>
      </c>
      <c r="B1270" t="s">
        <v>240</v>
      </c>
      <c r="C1270" t="s">
        <v>2588</v>
      </c>
      <c r="D1270" s="22">
        <v>120</v>
      </c>
      <c r="E1270" s="16"/>
      <c r="G1270" t="s">
        <v>151</v>
      </c>
      <c r="H1270" t="s">
        <v>279</v>
      </c>
      <c r="I1270" t="s">
        <v>108</v>
      </c>
      <c r="J1270" t="s">
        <v>183</v>
      </c>
      <c r="K1270">
        <v>1</v>
      </c>
      <c r="L1270" s="2"/>
    </row>
    <row r="1271" spans="1:12" s="25" customFormat="1" x14ac:dyDescent="0.2">
      <c r="A1271">
        <v>2013</v>
      </c>
      <c r="B1271" t="s">
        <v>240</v>
      </c>
      <c r="C1271" t="s">
        <v>189</v>
      </c>
      <c r="D1271" s="22">
        <v>170</v>
      </c>
      <c r="E1271" s="16">
        <v>0.7</v>
      </c>
      <c r="G1271" t="s">
        <v>144</v>
      </c>
      <c r="H1271" t="s">
        <v>299</v>
      </c>
      <c r="I1271" t="s">
        <v>124</v>
      </c>
      <c r="J1271" t="s">
        <v>183</v>
      </c>
      <c r="K1271">
        <v>1</v>
      </c>
      <c r="L1271" s="2"/>
    </row>
    <row r="1272" spans="1:12" s="25" customFormat="1" x14ac:dyDescent="0.2">
      <c r="A1272">
        <v>2013</v>
      </c>
      <c r="B1272" t="s">
        <v>212</v>
      </c>
      <c r="C1272" t="s">
        <v>815</v>
      </c>
      <c r="D1272" s="22">
        <v>540</v>
      </c>
      <c r="E1272" s="16"/>
      <c r="F1272" t="s">
        <v>2405</v>
      </c>
      <c r="G1272" t="s">
        <v>151</v>
      </c>
      <c r="H1272" t="s">
        <v>279</v>
      </c>
      <c r="I1272" t="s">
        <v>89</v>
      </c>
      <c r="J1272" t="s">
        <v>219</v>
      </c>
      <c r="K1272">
        <v>1</v>
      </c>
      <c r="L1272" s="2"/>
    </row>
    <row r="1273" spans="1:12" s="25" customFormat="1" x14ac:dyDescent="0.2">
      <c r="A1273">
        <v>2013</v>
      </c>
      <c r="B1273" t="s">
        <v>212</v>
      </c>
      <c r="C1273" t="s">
        <v>221</v>
      </c>
      <c r="D1273" s="22">
        <v>200</v>
      </c>
      <c r="E1273" s="16"/>
      <c r="F1273" t="s">
        <v>2633</v>
      </c>
      <c r="G1273" t="s">
        <v>151</v>
      </c>
      <c r="H1273" t="s">
        <v>279</v>
      </c>
      <c r="I1273" t="s">
        <v>82</v>
      </c>
      <c r="J1273" t="s">
        <v>183</v>
      </c>
      <c r="K1273">
        <v>1</v>
      </c>
      <c r="L1273" s="2"/>
    </row>
    <row r="1274" spans="1:12" s="25" customFormat="1" x14ac:dyDescent="0.2">
      <c r="A1274">
        <v>2013</v>
      </c>
      <c r="B1274" t="s">
        <v>212</v>
      </c>
      <c r="C1274" t="s">
        <v>449</v>
      </c>
      <c r="D1274" s="22">
        <v>1280</v>
      </c>
      <c r="E1274" s="16"/>
      <c r="G1274" t="s">
        <v>154</v>
      </c>
      <c r="H1274" t="s">
        <v>194</v>
      </c>
      <c r="I1274" t="s">
        <v>5</v>
      </c>
      <c r="J1274" t="s">
        <v>214</v>
      </c>
      <c r="K1274">
        <v>1</v>
      </c>
      <c r="L1274" s="2"/>
    </row>
    <row r="1275" spans="1:12" s="25" customFormat="1" x14ac:dyDescent="0.2">
      <c r="A1275">
        <v>2013</v>
      </c>
      <c r="B1275" t="s">
        <v>212</v>
      </c>
      <c r="C1275" t="s">
        <v>479</v>
      </c>
      <c r="D1275" s="22">
        <v>160</v>
      </c>
      <c r="E1275" s="16"/>
      <c r="G1275" t="s">
        <v>155</v>
      </c>
      <c r="I1275" t="s">
        <v>55</v>
      </c>
      <c r="J1275" t="s">
        <v>214</v>
      </c>
      <c r="K1275">
        <v>1</v>
      </c>
      <c r="L1275" s="2"/>
    </row>
    <row r="1276" spans="1:12" s="25" customFormat="1" x14ac:dyDescent="0.2">
      <c r="A1276">
        <v>2013</v>
      </c>
      <c r="B1276" t="s">
        <v>212</v>
      </c>
      <c r="C1276" t="s">
        <v>444</v>
      </c>
      <c r="D1276" s="22">
        <v>190</v>
      </c>
      <c r="E1276" s="16"/>
      <c r="F1276" t="s">
        <v>2634</v>
      </c>
      <c r="G1276" t="s">
        <v>144</v>
      </c>
      <c r="H1276" t="s">
        <v>232</v>
      </c>
      <c r="I1276" t="s">
        <v>98</v>
      </c>
      <c r="J1276" t="s">
        <v>195</v>
      </c>
      <c r="K1276">
        <v>1</v>
      </c>
      <c r="L1276" s="2"/>
    </row>
    <row r="1277" spans="1:12" s="25" customFormat="1" x14ac:dyDescent="0.2">
      <c r="A1277">
        <v>2013</v>
      </c>
      <c r="B1277" t="s">
        <v>212</v>
      </c>
      <c r="C1277" t="s">
        <v>2635</v>
      </c>
      <c r="D1277" s="22">
        <v>1640</v>
      </c>
      <c r="E1277" s="16"/>
      <c r="G1277" t="s">
        <v>154</v>
      </c>
      <c r="H1277" t="s">
        <v>529</v>
      </c>
      <c r="I1277" t="s">
        <v>40</v>
      </c>
      <c r="J1277" t="s">
        <v>219</v>
      </c>
      <c r="K1277">
        <v>1</v>
      </c>
      <c r="L1277" s="2"/>
    </row>
    <row r="1278" spans="1:12" s="25" customFormat="1" x14ac:dyDescent="0.2">
      <c r="A1278">
        <v>2013</v>
      </c>
      <c r="B1278" t="s">
        <v>212</v>
      </c>
      <c r="C1278" t="s">
        <v>479</v>
      </c>
      <c r="D1278" s="22">
        <v>100</v>
      </c>
      <c r="E1278" s="16"/>
      <c r="G1278" t="s">
        <v>148</v>
      </c>
      <c r="I1278" t="s">
        <v>93</v>
      </c>
      <c r="J1278" t="s">
        <v>201</v>
      </c>
      <c r="K1278">
        <v>1</v>
      </c>
      <c r="L1278" s="2"/>
    </row>
    <row r="1279" spans="1:12" s="25" customFormat="1" x14ac:dyDescent="0.2">
      <c r="A1279">
        <v>2013</v>
      </c>
      <c r="B1279" t="s">
        <v>212</v>
      </c>
      <c r="C1279" t="s">
        <v>449</v>
      </c>
      <c r="D1279" s="22">
        <v>1190</v>
      </c>
      <c r="E1279" s="16"/>
      <c r="G1279" t="s">
        <v>154</v>
      </c>
      <c r="H1279" t="s">
        <v>194</v>
      </c>
      <c r="I1279" t="s">
        <v>72</v>
      </c>
      <c r="J1279" t="s">
        <v>183</v>
      </c>
      <c r="K1279">
        <v>1</v>
      </c>
      <c r="L1279" s="2"/>
    </row>
    <row r="1280" spans="1:12" s="25" customFormat="1" x14ac:dyDescent="0.2">
      <c r="A1280" s="17">
        <v>2013</v>
      </c>
      <c r="B1280" s="17" t="s">
        <v>212</v>
      </c>
      <c r="C1280" s="17" t="s">
        <v>479</v>
      </c>
      <c r="D1280" s="24">
        <v>230</v>
      </c>
      <c r="E1280" s="18"/>
      <c r="F1280" s="17"/>
      <c r="G1280" s="17" t="s">
        <v>154</v>
      </c>
      <c r="H1280" s="17" t="s">
        <v>194</v>
      </c>
      <c r="I1280" s="17" t="s">
        <v>2406</v>
      </c>
      <c r="J1280" s="17" t="s">
        <v>219</v>
      </c>
      <c r="K1280" s="17">
        <v>1</v>
      </c>
      <c r="L1280" s="2"/>
    </row>
    <row r="1281" spans="1:12" s="25" customFormat="1" x14ac:dyDescent="0.2">
      <c r="A1281">
        <v>2013</v>
      </c>
      <c r="B1281" t="s">
        <v>212</v>
      </c>
      <c r="C1281" t="s">
        <v>180</v>
      </c>
      <c r="D1281" s="22">
        <v>180</v>
      </c>
      <c r="E1281" s="16"/>
      <c r="F1281" t="s">
        <v>2636</v>
      </c>
      <c r="G1281" t="s">
        <v>149</v>
      </c>
      <c r="H1281" t="s">
        <v>182</v>
      </c>
      <c r="I1281" t="s">
        <v>53</v>
      </c>
      <c r="J1281" t="s">
        <v>183</v>
      </c>
      <c r="K1281">
        <v>1</v>
      </c>
      <c r="L1281" s="2"/>
    </row>
    <row r="1282" spans="1:12" s="25" customFormat="1" x14ac:dyDescent="0.2">
      <c r="A1282">
        <v>2013</v>
      </c>
      <c r="B1282" t="s">
        <v>212</v>
      </c>
      <c r="C1282" t="s">
        <v>2637</v>
      </c>
      <c r="D1282" s="22">
        <v>1290</v>
      </c>
      <c r="E1282" s="16"/>
      <c r="G1282" t="s">
        <v>144</v>
      </c>
      <c r="H1282" t="s">
        <v>197</v>
      </c>
      <c r="I1282" t="s">
        <v>89</v>
      </c>
      <c r="J1282" t="s">
        <v>219</v>
      </c>
      <c r="K1282">
        <v>1</v>
      </c>
      <c r="L1282" s="2"/>
    </row>
    <row r="1283" spans="1:12" s="25" customFormat="1" x14ac:dyDescent="0.2">
      <c r="A1283">
        <v>2013</v>
      </c>
      <c r="B1283" t="s">
        <v>212</v>
      </c>
      <c r="C1283" t="s">
        <v>2638</v>
      </c>
      <c r="D1283" s="22">
        <v>1720</v>
      </c>
      <c r="E1283" s="16">
        <v>0.7</v>
      </c>
      <c r="F1283" t="s">
        <v>2639</v>
      </c>
      <c r="G1283" t="s">
        <v>144</v>
      </c>
      <c r="I1283" t="s">
        <v>105</v>
      </c>
      <c r="J1283" t="s">
        <v>214</v>
      </c>
      <c r="K1283">
        <v>1</v>
      </c>
      <c r="L1283" s="2"/>
    </row>
    <row r="1284" spans="1:12" s="25" customFormat="1" x14ac:dyDescent="0.2">
      <c r="A1284">
        <v>2013</v>
      </c>
      <c r="B1284" t="s">
        <v>212</v>
      </c>
      <c r="C1284" t="s">
        <v>189</v>
      </c>
      <c r="D1284" s="22">
        <v>1770</v>
      </c>
      <c r="E1284" s="16"/>
      <c r="F1284" t="s">
        <v>2002</v>
      </c>
      <c r="G1284" t="s">
        <v>144</v>
      </c>
      <c r="H1284" t="s">
        <v>187</v>
      </c>
      <c r="I1284" t="s">
        <v>105</v>
      </c>
      <c r="J1284" t="s">
        <v>214</v>
      </c>
      <c r="K1284">
        <v>1</v>
      </c>
      <c r="L1284" s="2"/>
    </row>
    <row r="1285" spans="1:12" s="25" customFormat="1" x14ac:dyDescent="0.2">
      <c r="A1285">
        <v>2013</v>
      </c>
      <c r="B1285" t="s">
        <v>212</v>
      </c>
      <c r="C1285" t="s">
        <v>479</v>
      </c>
      <c r="D1285" s="22">
        <v>570</v>
      </c>
      <c r="E1285" s="16"/>
      <c r="G1285" t="s">
        <v>154</v>
      </c>
      <c r="H1285" t="s">
        <v>194</v>
      </c>
      <c r="I1285" t="s">
        <v>24</v>
      </c>
      <c r="J1285" t="s">
        <v>219</v>
      </c>
      <c r="K1285">
        <v>1</v>
      </c>
      <c r="L1285" s="2"/>
    </row>
    <row r="1286" spans="1:12" s="25" customFormat="1" x14ac:dyDescent="0.2">
      <c r="A1286">
        <v>2013</v>
      </c>
      <c r="B1286" t="s">
        <v>212</v>
      </c>
      <c r="C1286" t="s">
        <v>221</v>
      </c>
      <c r="D1286" s="22">
        <v>150</v>
      </c>
      <c r="E1286" s="16"/>
      <c r="G1286" t="s">
        <v>154</v>
      </c>
      <c r="H1286" t="s">
        <v>194</v>
      </c>
      <c r="I1286" t="s">
        <v>63</v>
      </c>
      <c r="J1286" t="s">
        <v>201</v>
      </c>
      <c r="K1286">
        <v>1</v>
      </c>
      <c r="L1286" s="2"/>
    </row>
    <row r="1287" spans="1:12" s="25" customFormat="1" x14ac:dyDescent="0.2">
      <c r="A1287">
        <v>2014</v>
      </c>
      <c r="B1287" t="s">
        <v>172</v>
      </c>
      <c r="C1287" t="s">
        <v>520</v>
      </c>
      <c r="D1287" s="65">
        <v>2140</v>
      </c>
      <c r="E1287" s="33"/>
      <c r="F1287" t="s">
        <v>174</v>
      </c>
      <c r="G1287" t="s">
        <v>152</v>
      </c>
      <c r="I1287" t="s">
        <v>131</v>
      </c>
      <c r="J1287" t="s">
        <v>131</v>
      </c>
      <c r="K1287" s="17">
        <v>0</v>
      </c>
      <c r="L1287" s="28"/>
    </row>
    <row r="1288" spans="1:12" s="25" customFormat="1" x14ac:dyDescent="0.2">
      <c r="A1288">
        <v>2014</v>
      </c>
      <c r="B1288" t="s">
        <v>172</v>
      </c>
      <c r="C1288" t="s">
        <v>520</v>
      </c>
      <c r="D1288" s="65">
        <v>2910</v>
      </c>
      <c r="E1288" s="33">
        <v>1</v>
      </c>
      <c r="F1288" t="s">
        <v>854</v>
      </c>
      <c r="G1288" t="s">
        <v>152</v>
      </c>
      <c r="H1288" t="s">
        <v>257</v>
      </c>
      <c r="I1288" t="s">
        <v>131</v>
      </c>
      <c r="J1288" t="s">
        <v>131</v>
      </c>
      <c r="K1288" s="17">
        <v>0</v>
      </c>
      <c r="L1288" s="28"/>
    </row>
    <row r="1289" spans="1:12" s="25" customFormat="1" x14ac:dyDescent="0.2">
      <c r="A1289">
        <v>2014</v>
      </c>
      <c r="B1289" t="s">
        <v>172</v>
      </c>
      <c r="C1289" t="s">
        <v>564</v>
      </c>
      <c r="D1289" s="65">
        <v>200</v>
      </c>
      <c r="E1289" s="33">
        <v>1</v>
      </c>
      <c r="G1289" t="s">
        <v>154</v>
      </c>
      <c r="H1289" t="s">
        <v>194</v>
      </c>
      <c r="I1289" t="s">
        <v>131</v>
      </c>
      <c r="J1289" t="s">
        <v>131</v>
      </c>
      <c r="K1289" s="17">
        <v>0</v>
      </c>
      <c r="L1289" s="28" t="s">
        <v>178</v>
      </c>
    </row>
    <row r="1290" spans="1:12" s="25" customFormat="1" x14ac:dyDescent="0.2">
      <c r="A1290">
        <v>2014</v>
      </c>
      <c r="B1290" t="s">
        <v>172</v>
      </c>
      <c r="C1290" t="s">
        <v>554</v>
      </c>
      <c r="D1290" s="65">
        <v>2030</v>
      </c>
      <c r="E1290" s="33">
        <v>0.8</v>
      </c>
      <c r="F1290" t="s">
        <v>855</v>
      </c>
      <c r="G1290" t="s">
        <v>146</v>
      </c>
      <c r="I1290" t="s">
        <v>99</v>
      </c>
      <c r="J1290" t="s">
        <v>195</v>
      </c>
      <c r="K1290" s="17">
        <v>1</v>
      </c>
      <c r="L1290" s="28"/>
    </row>
    <row r="1291" spans="1:12" s="25" customFormat="1" x14ac:dyDescent="0.2">
      <c r="A1291">
        <v>2014</v>
      </c>
      <c r="B1291" t="s">
        <v>172</v>
      </c>
      <c r="C1291" t="s">
        <v>336</v>
      </c>
      <c r="D1291" s="65">
        <v>190</v>
      </c>
      <c r="E1291" s="33">
        <v>0.25</v>
      </c>
      <c r="F1291" t="s">
        <v>856</v>
      </c>
      <c r="G1291" t="s">
        <v>149</v>
      </c>
      <c r="I1291" t="s">
        <v>83</v>
      </c>
      <c r="J1291" t="s">
        <v>219</v>
      </c>
      <c r="K1291" s="17">
        <v>1</v>
      </c>
      <c r="L1291" s="28"/>
    </row>
    <row r="1292" spans="1:12" s="25" customFormat="1" x14ac:dyDescent="0.2">
      <c r="A1292">
        <v>2014</v>
      </c>
      <c r="B1292" t="s">
        <v>172</v>
      </c>
      <c r="C1292" t="s">
        <v>857</v>
      </c>
      <c r="D1292" s="65">
        <v>100</v>
      </c>
      <c r="E1292" s="33">
        <v>1</v>
      </c>
      <c r="F1292" t="s">
        <v>858</v>
      </c>
      <c r="G1292" t="s">
        <v>150</v>
      </c>
      <c r="H1292" t="s">
        <v>556</v>
      </c>
      <c r="I1292" t="s">
        <v>45</v>
      </c>
      <c r="J1292" t="s">
        <v>195</v>
      </c>
      <c r="K1292" s="17">
        <v>0</v>
      </c>
      <c r="L1292" s="28"/>
    </row>
    <row r="1293" spans="1:12" s="25" customFormat="1" x14ac:dyDescent="0.2">
      <c r="A1293">
        <v>2014</v>
      </c>
      <c r="B1293" t="s">
        <v>172</v>
      </c>
      <c r="C1293" t="s">
        <v>189</v>
      </c>
      <c r="D1293" s="65">
        <v>400</v>
      </c>
      <c r="E1293" s="33"/>
      <c r="F1293" t="s">
        <v>859</v>
      </c>
      <c r="G1293" t="s">
        <v>144</v>
      </c>
      <c r="H1293" t="s">
        <v>187</v>
      </c>
      <c r="I1293" t="s">
        <v>43</v>
      </c>
      <c r="J1293" t="s">
        <v>219</v>
      </c>
      <c r="K1293" s="17">
        <v>1</v>
      </c>
      <c r="L1293" s="28"/>
    </row>
    <row r="1294" spans="1:12" s="25" customFormat="1" x14ac:dyDescent="0.2">
      <c r="A1294">
        <v>2014</v>
      </c>
      <c r="B1294" t="s">
        <v>172</v>
      </c>
      <c r="C1294" t="s">
        <v>860</v>
      </c>
      <c r="D1294" s="65">
        <v>210</v>
      </c>
      <c r="E1294" s="33"/>
      <c r="G1294" t="s">
        <v>154</v>
      </c>
      <c r="H1294" t="s">
        <v>194</v>
      </c>
      <c r="I1294" t="s">
        <v>69</v>
      </c>
      <c r="J1294" t="s">
        <v>195</v>
      </c>
      <c r="K1294" s="17">
        <v>0</v>
      </c>
      <c r="L1294" s="28"/>
    </row>
    <row r="1295" spans="1:12" s="25" customFormat="1" x14ac:dyDescent="0.2">
      <c r="A1295">
        <v>2014</v>
      </c>
      <c r="B1295" t="s">
        <v>258</v>
      </c>
      <c r="C1295" t="s">
        <v>705</v>
      </c>
      <c r="D1295" s="65">
        <v>540</v>
      </c>
      <c r="E1295" s="33">
        <v>1</v>
      </c>
      <c r="G1295" t="s">
        <v>151</v>
      </c>
      <c r="H1295" t="s">
        <v>224</v>
      </c>
      <c r="I1295" t="s">
        <v>9</v>
      </c>
      <c r="J1295" t="s">
        <v>9</v>
      </c>
      <c r="K1295" s="17">
        <v>0</v>
      </c>
      <c r="L1295" s="28" t="s">
        <v>178</v>
      </c>
    </row>
    <row r="1296" spans="1:12" s="25" customFormat="1" x14ac:dyDescent="0.2">
      <c r="A1296">
        <v>2014</v>
      </c>
      <c r="B1296" t="s">
        <v>258</v>
      </c>
      <c r="C1296" t="s">
        <v>283</v>
      </c>
      <c r="D1296" s="65">
        <v>690</v>
      </c>
      <c r="E1296" s="33">
        <v>0.6</v>
      </c>
      <c r="F1296" t="s">
        <v>284</v>
      </c>
      <c r="G1296" t="s">
        <v>146</v>
      </c>
      <c r="H1296" t="s">
        <v>253</v>
      </c>
      <c r="I1296" t="s">
        <v>20</v>
      </c>
      <c r="J1296" t="s">
        <v>195</v>
      </c>
      <c r="K1296" s="17">
        <v>0</v>
      </c>
      <c r="L1296" s="28"/>
    </row>
    <row r="1297" spans="1:12" s="25" customFormat="1" x14ac:dyDescent="0.2">
      <c r="A1297">
        <v>2014</v>
      </c>
      <c r="B1297" t="s">
        <v>258</v>
      </c>
      <c r="C1297" t="s">
        <v>334</v>
      </c>
      <c r="D1297" s="65">
        <v>2040</v>
      </c>
      <c r="E1297" s="33">
        <v>0.51</v>
      </c>
      <c r="F1297" t="s">
        <v>861</v>
      </c>
      <c r="G1297" t="s">
        <v>142</v>
      </c>
      <c r="I1297" t="s">
        <v>85</v>
      </c>
      <c r="J1297" t="s">
        <v>195</v>
      </c>
      <c r="K1297" s="17">
        <v>0</v>
      </c>
      <c r="L1297" s="28"/>
    </row>
    <row r="1298" spans="1:12" s="25" customFormat="1" x14ac:dyDescent="0.2">
      <c r="A1298">
        <v>2014</v>
      </c>
      <c r="B1298" t="s">
        <v>258</v>
      </c>
      <c r="C1298" t="s">
        <v>862</v>
      </c>
      <c r="D1298" s="65">
        <v>670</v>
      </c>
      <c r="E1298" s="33">
        <v>0.95</v>
      </c>
      <c r="F1298" t="s">
        <v>863</v>
      </c>
      <c r="G1298" t="s">
        <v>144</v>
      </c>
      <c r="I1298" t="s">
        <v>131</v>
      </c>
      <c r="J1298" t="s">
        <v>131</v>
      </c>
      <c r="K1298" s="17">
        <v>0</v>
      </c>
      <c r="L1298" s="28"/>
    </row>
    <row r="1299" spans="1:12" s="25" customFormat="1" x14ac:dyDescent="0.2">
      <c r="A1299">
        <v>2014</v>
      </c>
      <c r="B1299" t="s">
        <v>258</v>
      </c>
      <c r="C1299" t="s">
        <v>864</v>
      </c>
      <c r="D1299" s="65">
        <v>1100</v>
      </c>
      <c r="E1299" s="33">
        <v>0.14000000000000001</v>
      </c>
      <c r="F1299" t="s">
        <v>865</v>
      </c>
      <c r="G1299" t="s">
        <v>154</v>
      </c>
      <c r="H1299" t="s">
        <v>194</v>
      </c>
      <c r="I1299" t="s">
        <v>42</v>
      </c>
      <c r="J1299" t="s">
        <v>195</v>
      </c>
      <c r="K1299" s="17">
        <v>0</v>
      </c>
      <c r="L1299" s="28"/>
    </row>
    <row r="1300" spans="1:12" s="25" customFormat="1" x14ac:dyDescent="0.2">
      <c r="A1300">
        <v>2014</v>
      </c>
      <c r="B1300" t="s">
        <v>258</v>
      </c>
      <c r="C1300" t="s">
        <v>657</v>
      </c>
      <c r="D1300" s="65">
        <v>150</v>
      </c>
      <c r="E1300" s="33">
        <v>1</v>
      </c>
      <c r="F1300" t="s">
        <v>866</v>
      </c>
      <c r="G1300" t="s">
        <v>154</v>
      </c>
      <c r="H1300" t="s">
        <v>194</v>
      </c>
      <c r="I1300" t="s">
        <v>131</v>
      </c>
      <c r="J1300" t="s">
        <v>131</v>
      </c>
      <c r="K1300" s="17">
        <v>0</v>
      </c>
      <c r="L1300" s="28"/>
    </row>
    <row r="1301" spans="1:12" s="25" customFormat="1" x14ac:dyDescent="0.2">
      <c r="A1301">
        <v>2014</v>
      </c>
      <c r="B1301" t="s">
        <v>258</v>
      </c>
      <c r="C1301" t="s">
        <v>867</v>
      </c>
      <c r="D1301" s="65">
        <v>310</v>
      </c>
      <c r="E1301" s="33">
        <v>0.85</v>
      </c>
      <c r="F1301" t="s">
        <v>868</v>
      </c>
      <c r="G1301" t="s">
        <v>152</v>
      </c>
      <c r="H1301" t="s">
        <v>257</v>
      </c>
      <c r="I1301" t="s">
        <v>42</v>
      </c>
      <c r="J1301" t="s">
        <v>195</v>
      </c>
      <c r="K1301" s="17">
        <v>0</v>
      </c>
      <c r="L1301" s="28"/>
    </row>
    <row r="1302" spans="1:12" s="25" customFormat="1" x14ac:dyDescent="0.2">
      <c r="A1302">
        <v>2014</v>
      </c>
      <c r="B1302" t="s">
        <v>258</v>
      </c>
      <c r="C1302" t="s">
        <v>246</v>
      </c>
      <c r="D1302" s="65">
        <v>390</v>
      </c>
      <c r="E1302" s="33">
        <v>0.33</v>
      </c>
      <c r="F1302" t="s">
        <v>737</v>
      </c>
      <c r="G1302" t="s">
        <v>144</v>
      </c>
      <c r="H1302" t="s">
        <v>197</v>
      </c>
      <c r="I1302" t="s">
        <v>19</v>
      </c>
      <c r="J1302" t="s">
        <v>205</v>
      </c>
      <c r="K1302" s="17">
        <v>0</v>
      </c>
      <c r="L1302" s="28"/>
    </row>
    <row r="1303" spans="1:12" s="25" customFormat="1" x14ac:dyDescent="0.2">
      <c r="A1303">
        <v>2014</v>
      </c>
      <c r="B1303" t="s">
        <v>258</v>
      </c>
      <c r="C1303" t="s">
        <v>869</v>
      </c>
      <c r="D1303" s="65">
        <v>100</v>
      </c>
      <c r="E1303" s="33"/>
      <c r="F1303" t="s">
        <v>870</v>
      </c>
      <c r="G1303" t="s">
        <v>151</v>
      </c>
      <c r="H1303" t="s">
        <v>224</v>
      </c>
      <c r="I1303" t="s">
        <v>131</v>
      </c>
      <c r="J1303" t="s">
        <v>131</v>
      </c>
      <c r="K1303" s="17">
        <v>0</v>
      </c>
      <c r="L1303" s="28"/>
    </row>
    <row r="1304" spans="1:12" s="25" customFormat="1" x14ac:dyDescent="0.2">
      <c r="A1304">
        <v>2014</v>
      </c>
      <c r="B1304" t="s">
        <v>258</v>
      </c>
      <c r="C1304" t="s">
        <v>871</v>
      </c>
      <c r="D1304" s="65">
        <v>160</v>
      </c>
      <c r="E1304" s="33">
        <v>0.02</v>
      </c>
      <c r="F1304" t="s">
        <v>872</v>
      </c>
      <c r="G1304" t="s">
        <v>148</v>
      </c>
      <c r="I1304" t="s">
        <v>108</v>
      </c>
      <c r="J1304" t="s">
        <v>183</v>
      </c>
      <c r="K1304" s="17">
        <v>1</v>
      </c>
      <c r="L1304" s="28"/>
    </row>
    <row r="1305" spans="1:12" s="25" customFormat="1" x14ac:dyDescent="0.2">
      <c r="A1305">
        <v>2014</v>
      </c>
      <c r="B1305" t="s">
        <v>258</v>
      </c>
      <c r="C1305" t="s">
        <v>873</v>
      </c>
      <c r="D1305" s="65">
        <v>1100</v>
      </c>
      <c r="E1305" s="33">
        <v>0.5</v>
      </c>
      <c r="F1305" t="s">
        <v>874</v>
      </c>
      <c r="G1305" t="s">
        <v>153</v>
      </c>
      <c r="I1305" t="s">
        <v>113</v>
      </c>
      <c r="J1305" t="s">
        <v>183</v>
      </c>
      <c r="K1305" s="17">
        <v>0</v>
      </c>
      <c r="L1305" s="28" t="s">
        <v>178</v>
      </c>
    </row>
    <row r="1306" spans="1:12" s="25" customFormat="1" x14ac:dyDescent="0.2">
      <c r="A1306">
        <v>2014</v>
      </c>
      <c r="B1306" t="s">
        <v>258</v>
      </c>
      <c r="C1306" t="s">
        <v>473</v>
      </c>
      <c r="D1306" s="65">
        <v>240</v>
      </c>
      <c r="E1306" s="33">
        <v>1</v>
      </c>
      <c r="G1306" t="s">
        <v>144</v>
      </c>
      <c r="H1306" t="s">
        <v>187</v>
      </c>
      <c r="I1306" t="s">
        <v>66</v>
      </c>
      <c r="J1306" t="s">
        <v>201</v>
      </c>
      <c r="K1306" s="17">
        <v>1</v>
      </c>
      <c r="L1306" s="28" t="s">
        <v>178</v>
      </c>
    </row>
    <row r="1307" spans="1:12" s="25" customFormat="1" x14ac:dyDescent="0.2">
      <c r="A1307">
        <v>2014</v>
      </c>
      <c r="B1307" t="s">
        <v>258</v>
      </c>
      <c r="C1307" t="s">
        <v>244</v>
      </c>
      <c r="D1307" s="65">
        <v>150</v>
      </c>
      <c r="E1307" s="33">
        <v>1</v>
      </c>
      <c r="G1307" t="s">
        <v>149</v>
      </c>
      <c r="H1307" t="s">
        <v>236</v>
      </c>
      <c r="I1307" t="s">
        <v>29</v>
      </c>
      <c r="J1307" t="s">
        <v>219</v>
      </c>
      <c r="K1307" s="17">
        <v>1</v>
      </c>
      <c r="L1307" s="28" t="s">
        <v>178</v>
      </c>
    </row>
    <row r="1308" spans="1:12" s="25" customFormat="1" x14ac:dyDescent="0.2">
      <c r="A1308">
        <v>2014</v>
      </c>
      <c r="B1308" t="s">
        <v>258</v>
      </c>
      <c r="C1308" t="s">
        <v>875</v>
      </c>
      <c r="D1308" s="65">
        <v>160</v>
      </c>
      <c r="E1308" s="33"/>
      <c r="G1308" t="s">
        <v>144</v>
      </c>
      <c r="H1308" t="s">
        <v>187</v>
      </c>
      <c r="I1308" t="s">
        <v>68</v>
      </c>
      <c r="J1308" t="s">
        <v>219</v>
      </c>
      <c r="K1308" s="17">
        <v>1</v>
      </c>
      <c r="L1308" s="28"/>
    </row>
    <row r="1309" spans="1:12" s="25" customFormat="1" x14ac:dyDescent="0.2">
      <c r="A1309">
        <v>2014</v>
      </c>
      <c r="B1309" t="s">
        <v>258</v>
      </c>
      <c r="C1309" t="s">
        <v>822</v>
      </c>
      <c r="D1309" s="65">
        <v>200</v>
      </c>
      <c r="E1309" s="33">
        <v>0.25</v>
      </c>
      <c r="F1309" t="s">
        <v>876</v>
      </c>
      <c r="G1309" t="s">
        <v>146</v>
      </c>
      <c r="I1309" t="s">
        <v>52</v>
      </c>
      <c r="J1309" t="s">
        <v>201</v>
      </c>
      <c r="K1309" s="17">
        <v>0</v>
      </c>
      <c r="L1309" s="28"/>
    </row>
    <row r="1310" spans="1:12" s="25" customFormat="1" x14ac:dyDescent="0.2">
      <c r="A1310">
        <v>2014</v>
      </c>
      <c r="B1310" t="s">
        <v>258</v>
      </c>
      <c r="C1310" t="s">
        <v>199</v>
      </c>
      <c r="D1310" s="65">
        <v>370</v>
      </c>
      <c r="E1310" s="33">
        <v>1</v>
      </c>
      <c r="G1310" t="s">
        <v>144</v>
      </c>
      <c r="H1310" t="s">
        <v>187</v>
      </c>
      <c r="I1310" t="s">
        <v>26</v>
      </c>
      <c r="J1310" t="s">
        <v>219</v>
      </c>
      <c r="K1310" s="17">
        <v>1</v>
      </c>
      <c r="L1310" s="28" t="s">
        <v>178</v>
      </c>
    </row>
    <row r="1311" spans="1:12" s="25" customFormat="1" x14ac:dyDescent="0.2">
      <c r="A1311">
        <v>2014</v>
      </c>
      <c r="B1311" t="s">
        <v>179</v>
      </c>
      <c r="C1311" t="s">
        <v>877</v>
      </c>
      <c r="D1311" s="65">
        <v>530</v>
      </c>
      <c r="E1311" s="33">
        <v>0.95</v>
      </c>
      <c r="F1311" t="s">
        <v>878</v>
      </c>
      <c r="G1311" t="s">
        <v>144</v>
      </c>
      <c r="H1311" t="s">
        <v>187</v>
      </c>
      <c r="I1311" t="s">
        <v>63</v>
      </c>
      <c r="J1311" t="s">
        <v>201</v>
      </c>
      <c r="K1311" s="17">
        <v>1</v>
      </c>
      <c r="L1311" s="28"/>
    </row>
    <row r="1312" spans="1:12" s="25" customFormat="1" x14ac:dyDescent="0.2">
      <c r="A1312">
        <v>2014</v>
      </c>
      <c r="B1312" t="s">
        <v>179</v>
      </c>
      <c r="C1312" t="s">
        <v>454</v>
      </c>
      <c r="D1312" s="65">
        <v>500</v>
      </c>
      <c r="E1312" s="33">
        <v>0.28000000000000003</v>
      </c>
      <c r="F1312" t="s">
        <v>879</v>
      </c>
      <c r="G1312" t="s">
        <v>145</v>
      </c>
      <c r="I1312" t="s">
        <v>113</v>
      </c>
      <c r="J1312" t="s">
        <v>183</v>
      </c>
      <c r="K1312" s="17">
        <v>0</v>
      </c>
      <c r="L1312" s="28"/>
    </row>
    <row r="1313" spans="1:12" s="25" customFormat="1" x14ac:dyDescent="0.2">
      <c r="A1313">
        <v>2014</v>
      </c>
      <c r="B1313" t="s">
        <v>179</v>
      </c>
      <c r="C1313" t="s">
        <v>880</v>
      </c>
      <c r="D1313" s="65">
        <v>210</v>
      </c>
      <c r="E1313" s="33">
        <v>0.7</v>
      </c>
      <c r="F1313" t="s">
        <v>881</v>
      </c>
      <c r="G1313" t="s">
        <v>151</v>
      </c>
      <c r="H1313" t="s">
        <v>224</v>
      </c>
      <c r="I1313" t="s">
        <v>131</v>
      </c>
      <c r="J1313" t="s">
        <v>131</v>
      </c>
      <c r="K1313" s="17">
        <v>0</v>
      </c>
      <c r="L1313" s="28"/>
    </row>
    <row r="1314" spans="1:12" s="25" customFormat="1" x14ac:dyDescent="0.2">
      <c r="A1314">
        <v>2014</v>
      </c>
      <c r="B1314" t="s">
        <v>179</v>
      </c>
      <c r="C1314" t="s">
        <v>554</v>
      </c>
      <c r="D1314" s="65">
        <v>140</v>
      </c>
      <c r="E1314" s="33">
        <v>0.19</v>
      </c>
      <c r="F1314" t="s">
        <v>716</v>
      </c>
      <c r="G1314" t="s">
        <v>146</v>
      </c>
      <c r="H1314" t="s">
        <v>275</v>
      </c>
      <c r="I1314" t="s">
        <v>45</v>
      </c>
      <c r="J1314" t="s">
        <v>195</v>
      </c>
      <c r="K1314" s="17">
        <v>0</v>
      </c>
      <c r="L1314" s="28"/>
    </row>
    <row r="1315" spans="1:12" s="25" customFormat="1" x14ac:dyDescent="0.2">
      <c r="A1315">
        <v>2014</v>
      </c>
      <c r="B1315" t="s">
        <v>179</v>
      </c>
      <c r="C1315" t="s">
        <v>300</v>
      </c>
      <c r="D1315" s="65">
        <v>2760</v>
      </c>
      <c r="E1315" s="33" t="s">
        <v>882</v>
      </c>
      <c r="F1315" t="s">
        <v>883</v>
      </c>
      <c r="G1315" t="s">
        <v>144</v>
      </c>
      <c r="I1315" t="s">
        <v>58</v>
      </c>
      <c r="J1315" t="s">
        <v>195</v>
      </c>
      <c r="K1315" s="17">
        <v>0</v>
      </c>
      <c r="L1315" s="28"/>
    </row>
    <row r="1316" spans="1:12" s="25" customFormat="1" x14ac:dyDescent="0.2">
      <c r="A1316">
        <v>2014</v>
      </c>
      <c r="B1316" t="s">
        <v>179</v>
      </c>
      <c r="C1316" t="s">
        <v>869</v>
      </c>
      <c r="D1316" s="65">
        <v>800</v>
      </c>
      <c r="E1316" s="33"/>
      <c r="F1316" t="s">
        <v>884</v>
      </c>
      <c r="G1316" t="s">
        <v>155</v>
      </c>
      <c r="I1316" t="s">
        <v>86</v>
      </c>
      <c r="J1316" t="s">
        <v>183</v>
      </c>
      <c r="K1316" s="17">
        <v>1</v>
      </c>
      <c r="L1316" s="28"/>
    </row>
    <row r="1317" spans="1:12" s="25" customFormat="1" x14ac:dyDescent="0.2">
      <c r="A1317">
        <v>2014</v>
      </c>
      <c r="B1317" t="s">
        <v>179</v>
      </c>
      <c r="C1317" t="s">
        <v>438</v>
      </c>
      <c r="D1317" s="65">
        <v>200</v>
      </c>
      <c r="E1317" s="33">
        <v>1</v>
      </c>
      <c r="F1317" t="s">
        <v>885</v>
      </c>
      <c r="G1317" t="s">
        <v>154</v>
      </c>
      <c r="H1317" t="s">
        <v>194</v>
      </c>
      <c r="I1317" t="s">
        <v>20</v>
      </c>
      <c r="J1317" t="s">
        <v>195</v>
      </c>
      <c r="K1317" s="17">
        <v>0</v>
      </c>
      <c r="L1317" s="28"/>
    </row>
    <row r="1318" spans="1:12" s="25" customFormat="1" x14ac:dyDescent="0.2">
      <c r="A1318">
        <v>2014</v>
      </c>
      <c r="B1318" t="s">
        <v>179</v>
      </c>
      <c r="C1318" t="s">
        <v>705</v>
      </c>
      <c r="D1318" s="65">
        <v>320</v>
      </c>
      <c r="E1318" s="33"/>
      <c r="G1318" t="s">
        <v>153</v>
      </c>
      <c r="I1318" t="s">
        <v>25</v>
      </c>
      <c r="J1318" t="s">
        <v>177</v>
      </c>
      <c r="K1318" s="17">
        <v>0</v>
      </c>
      <c r="L1318" s="28"/>
    </row>
    <row r="1319" spans="1:12" s="25" customFormat="1" x14ac:dyDescent="0.2">
      <c r="A1319">
        <v>2014</v>
      </c>
      <c r="B1319" t="s">
        <v>179</v>
      </c>
      <c r="C1319" t="s">
        <v>705</v>
      </c>
      <c r="D1319" s="65">
        <v>1060</v>
      </c>
      <c r="E1319" s="33"/>
      <c r="F1319" t="s">
        <v>886</v>
      </c>
      <c r="G1319" t="s">
        <v>151</v>
      </c>
      <c r="H1319" t="s">
        <v>224</v>
      </c>
      <c r="I1319" t="s">
        <v>20</v>
      </c>
      <c r="J1319" t="s">
        <v>195</v>
      </c>
      <c r="K1319" s="17">
        <v>0</v>
      </c>
      <c r="L1319" s="28" t="s">
        <v>178</v>
      </c>
    </row>
    <row r="1320" spans="1:12" s="25" customFormat="1" x14ac:dyDescent="0.2">
      <c r="A1320">
        <v>2014</v>
      </c>
      <c r="B1320" t="s">
        <v>179</v>
      </c>
      <c r="C1320" t="s">
        <v>822</v>
      </c>
      <c r="D1320" s="65">
        <v>220</v>
      </c>
      <c r="E1320" s="33">
        <v>0.2</v>
      </c>
      <c r="F1320" t="s">
        <v>887</v>
      </c>
      <c r="G1320" t="s">
        <v>152</v>
      </c>
      <c r="H1320" t="s">
        <v>257</v>
      </c>
      <c r="I1320" t="s">
        <v>131</v>
      </c>
      <c r="J1320" t="s">
        <v>131</v>
      </c>
      <c r="K1320" s="17">
        <v>0</v>
      </c>
      <c r="L1320" s="28"/>
    </row>
    <row r="1321" spans="1:12" s="25" customFormat="1" x14ac:dyDescent="0.2">
      <c r="A1321">
        <v>2014</v>
      </c>
      <c r="B1321" t="s">
        <v>179</v>
      </c>
      <c r="C1321" t="s">
        <v>888</v>
      </c>
      <c r="D1321" s="65">
        <v>250</v>
      </c>
      <c r="E1321" s="33">
        <v>1</v>
      </c>
      <c r="G1321" t="s">
        <v>144</v>
      </c>
      <c r="H1321" t="s">
        <v>232</v>
      </c>
      <c r="I1321" t="s">
        <v>139</v>
      </c>
      <c r="J1321" t="s">
        <v>219</v>
      </c>
      <c r="K1321" s="17">
        <v>1</v>
      </c>
      <c r="L1321" s="28" t="s">
        <v>178</v>
      </c>
    </row>
    <row r="1322" spans="1:12" s="25" customFormat="1" x14ac:dyDescent="0.2">
      <c r="A1322">
        <v>2014</v>
      </c>
      <c r="B1322" t="s">
        <v>179</v>
      </c>
      <c r="C1322" t="s">
        <v>698</v>
      </c>
      <c r="D1322" s="65">
        <v>120</v>
      </c>
      <c r="E1322" s="33"/>
      <c r="G1322" t="s">
        <v>150</v>
      </c>
      <c r="H1322" t="s">
        <v>292</v>
      </c>
      <c r="I1322" t="s">
        <v>93</v>
      </c>
      <c r="J1322" t="s">
        <v>201</v>
      </c>
      <c r="K1322" s="17">
        <v>1</v>
      </c>
      <c r="L1322" s="28"/>
    </row>
    <row r="1323" spans="1:12" s="25" customFormat="1" x14ac:dyDescent="0.2">
      <c r="A1323">
        <v>2014</v>
      </c>
      <c r="B1323" t="s">
        <v>179</v>
      </c>
      <c r="C1323" t="s">
        <v>692</v>
      </c>
      <c r="D1323" s="65">
        <v>440</v>
      </c>
      <c r="E1323" s="33">
        <v>0.33</v>
      </c>
      <c r="F1323" t="s">
        <v>889</v>
      </c>
      <c r="G1323" t="s">
        <v>144</v>
      </c>
      <c r="I1323" t="s">
        <v>75</v>
      </c>
      <c r="J1323" t="s">
        <v>195</v>
      </c>
      <c r="K1323" s="17">
        <v>1</v>
      </c>
      <c r="L1323" s="28"/>
    </row>
    <row r="1324" spans="1:12" s="25" customFormat="1" x14ac:dyDescent="0.2">
      <c r="A1324">
        <v>2014</v>
      </c>
      <c r="B1324" t="s">
        <v>184</v>
      </c>
      <c r="C1324" t="s">
        <v>890</v>
      </c>
      <c r="D1324" s="65">
        <v>6950</v>
      </c>
      <c r="E1324" s="33" t="s">
        <v>891</v>
      </c>
      <c r="F1324" t="s">
        <v>560</v>
      </c>
      <c r="G1324" t="s">
        <v>149</v>
      </c>
      <c r="H1324" t="s">
        <v>236</v>
      </c>
      <c r="I1324" t="s">
        <v>96</v>
      </c>
      <c r="J1324" t="s">
        <v>205</v>
      </c>
      <c r="K1324" s="17">
        <v>1</v>
      </c>
      <c r="L1324" s="28" t="s">
        <v>178</v>
      </c>
    </row>
    <row r="1325" spans="1:12" s="25" customFormat="1" x14ac:dyDescent="0.2">
      <c r="A1325">
        <v>2014</v>
      </c>
      <c r="B1325" t="s">
        <v>184</v>
      </c>
      <c r="C1325" t="s">
        <v>189</v>
      </c>
      <c r="D1325" s="65">
        <v>1090</v>
      </c>
      <c r="E1325" s="33">
        <v>0.5</v>
      </c>
      <c r="F1325" t="s">
        <v>892</v>
      </c>
      <c r="G1325" t="s">
        <v>144</v>
      </c>
      <c r="H1325" t="s">
        <v>187</v>
      </c>
      <c r="I1325" t="s">
        <v>63</v>
      </c>
      <c r="J1325" t="s">
        <v>201</v>
      </c>
      <c r="K1325" s="17">
        <v>1</v>
      </c>
      <c r="L1325" s="28"/>
    </row>
    <row r="1326" spans="1:12" s="25" customFormat="1" x14ac:dyDescent="0.2">
      <c r="A1326">
        <v>2014</v>
      </c>
      <c r="B1326" t="s">
        <v>184</v>
      </c>
      <c r="C1326" s="52" t="s">
        <v>255</v>
      </c>
      <c r="D1326" s="65">
        <v>520</v>
      </c>
      <c r="E1326" s="33">
        <v>1</v>
      </c>
      <c r="F1326" t="s">
        <v>893</v>
      </c>
      <c r="G1326" t="s">
        <v>152</v>
      </c>
      <c r="H1326" t="s">
        <v>257</v>
      </c>
      <c r="I1326" t="s">
        <v>93</v>
      </c>
      <c r="J1326" t="s">
        <v>201</v>
      </c>
      <c r="K1326" s="17">
        <v>1</v>
      </c>
      <c r="L1326" s="28"/>
    </row>
    <row r="1327" spans="1:12" s="25" customFormat="1" x14ac:dyDescent="0.2">
      <c r="A1327">
        <v>2014</v>
      </c>
      <c r="B1327" t="s">
        <v>184</v>
      </c>
      <c r="C1327" t="s">
        <v>283</v>
      </c>
      <c r="D1327" s="65">
        <v>320</v>
      </c>
      <c r="E1327" s="33">
        <v>0.76</v>
      </c>
      <c r="F1327" t="s">
        <v>894</v>
      </c>
      <c r="G1327" t="s">
        <v>146</v>
      </c>
      <c r="H1327" t="s">
        <v>275</v>
      </c>
      <c r="I1327" t="s">
        <v>128</v>
      </c>
      <c r="J1327" t="s">
        <v>201</v>
      </c>
      <c r="K1327" s="17">
        <v>1</v>
      </c>
      <c r="L1327" s="28"/>
    </row>
    <row r="1328" spans="1:12" s="25" customFormat="1" x14ac:dyDescent="0.2">
      <c r="A1328">
        <v>2014</v>
      </c>
      <c r="B1328" t="s">
        <v>184</v>
      </c>
      <c r="C1328" t="s">
        <v>895</v>
      </c>
      <c r="D1328" s="65">
        <v>760</v>
      </c>
      <c r="E1328" s="33">
        <v>0.89</v>
      </c>
      <c r="F1328" t="s">
        <v>896</v>
      </c>
      <c r="G1328" t="s">
        <v>150</v>
      </c>
      <c r="H1328" t="s">
        <v>556</v>
      </c>
      <c r="I1328" t="s">
        <v>20</v>
      </c>
      <c r="J1328" t="s">
        <v>195</v>
      </c>
      <c r="K1328" s="17">
        <v>0</v>
      </c>
      <c r="L1328" s="28"/>
    </row>
    <row r="1329" spans="1:12" s="25" customFormat="1" x14ac:dyDescent="0.2">
      <c r="A1329">
        <v>2014</v>
      </c>
      <c r="B1329" t="s">
        <v>184</v>
      </c>
      <c r="C1329" t="s">
        <v>477</v>
      </c>
      <c r="D1329" s="65">
        <v>820</v>
      </c>
      <c r="E1329" s="33">
        <v>0.5</v>
      </c>
      <c r="F1329" t="s">
        <v>897</v>
      </c>
      <c r="G1329" t="s">
        <v>154</v>
      </c>
      <c r="H1329" t="s">
        <v>271</v>
      </c>
      <c r="I1329" t="s">
        <v>9</v>
      </c>
      <c r="J1329" t="s">
        <v>9</v>
      </c>
      <c r="K1329" s="17">
        <v>0</v>
      </c>
      <c r="L1329" s="28"/>
    </row>
    <row r="1330" spans="1:12" s="25" customFormat="1" x14ac:dyDescent="0.2">
      <c r="A1330">
        <v>2014</v>
      </c>
      <c r="B1330" t="s">
        <v>184</v>
      </c>
      <c r="C1330" t="s">
        <v>898</v>
      </c>
      <c r="D1330" s="65">
        <v>510</v>
      </c>
      <c r="E1330" s="33">
        <v>1</v>
      </c>
      <c r="G1330" t="s">
        <v>151</v>
      </c>
      <c r="H1330" t="s">
        <v>224</v>
      </c>
      <c r="I1330" t="s">
        <v>9</v>
      </c>
      <c r="J1330" t="s">
        <v>9</v>
      </c>
      <c r="K1330" s="17">
        <v>0</v>
      </c>
      <c r="L1330" s="28" t="s">
        <v>178</v>
      </c>
    </row>
    <row r="1331" spans="1:12" s="25" customFormat="1" x14ac:dyDescent="0.2">
      <c r="A1331">
        <v>2014</v>
      </c>
      <c r="B1331" t="s">
        <v>184</v>
      </c>
      <c r="C1331" t="s">
        <v>899</v>
      </c>
      <c r="D1331" s="65">
        <v>440</v>
      </c>
      <c r="E1331" s="33"/>
      <c r="G1331" t="s">
        <v>144</v>
      </c>
      <c r="H1331" t="s">
        <v>299</v>
      </c>
      <c r="I1331" t="s">
        <v>25</v>
      </c>
      <c r="J1331" t="s">
        <v>177</v>
      </c>
      <c r="K1331" s="17">
        <v>0</v>
      </c>
      <c r="L1331" s="28" t="s">
        <v>178</v>
      </c>
    </row>
    <row r="1332" spans="1:12" s="25" customFormat="1" x14ac:dyDescent="0.2">
      <c r="A1332">
        <v>2014</v>
      </c>
      <c r="B1332" t="s">
        <v>184</v>
      </c>
      <c r="C1332" t="s">
        <v>900</v>
      </c>
      <c r="D1332" s="65">
        <v>750</v>
      </c>
      <c r="E1332" s="33"/>
      <c r="F1332" t="s">
        <v>901</v>
      </c>
      <c r="G1332" t="s">
        <v>142</v>
      </c>
      <c r="I1332" t="s">
        <v>19</v>
      </c>
      <c r="J1332" t="s">
        <v>205</v>
      </c>
      <c r="K1332" s="17">
        <v>0</v>
      </c>
      <c r="L1332" s="28"/>
    </row>
    <row r="1333" spans="1:12" s="25" customFormat="1" x14ac:dyDescent="0.2">
      <c r="A1333">
        <v>2014</v>
      </c>
      <c r="B1333" t="s">
        <v>225</v>
      </c>
      <c r="C1333" t="s">
        <v>902</v>
      </c>
      <c r="D1333" s="65">
        <v>1240</v>
      </c>
      <c r="E1333" s="33" t="s">
        <v>903</v>
      </c>
      <c r="F1333" t="s">
        <v>904</v>
      </c>
      <c r="G1333" t="s">
        <v>144</v>
      </c>
      <c r="H1333" t="s">
        <v>299</v>
      </c>
      <c r="I1333" t="s">
        <v>25</v>
      </c>
      <c r="J1333" t="s">
        <v>177</v>
      </c>
      <c r="K1333" s="17">
        <v>0</v>
      </c>
      <c r="L1333" s="28" t="s">
        <v>178</v>
      </c>
    </row>
    <row r="1334" spans="1:12" s="25" customFormat="1" x14ac:dyDescent="0.2">
      <c r="A1334">
        <v>2014</v>
      </c>
      <c r="B1334" t="s">
        <v>225</v>
      </c>
      <c r="C1334" t="s">
        <v>822</v>
      </c>
      <c r="D1334" s="65">
        <v>210</v>
      </c>
      <c r="E1334" s="33">
        <v>0.1</v>
      </c>
      <c r="F1334" t="s">
        <v>905</v>
      </c>
      <c r="G1334" t="s">
        <v>148</v>
      </c>
      <c r="I1334" t="s">
        <v>108</v>
      </c>
      <c r="J1334" t="s">
        <v>183</v>
      </c>
      <c r="K1334" s="17">
        <v>1</v>
      </c>
      <c r="L1334" s="28"/>
    </row>
    <row r="1335" spans="1:12" s="25" customFormat="1" x14ac:dyDescent="0.2">
      <c r="A1335">
        <v>2014</v>
      </c>
      <c r="B1335" t="s">
        <v>225</v>
      </c>
      <c r="C1335" t="s">
        <v>588</v>
      </c>
      <c r="D1335" s="65">
        <v>1560</v>
      </c>
      <c r="E1335" s="33">
        <v>0.78</v>
      </c>
      <c r="F1335" t="s">
        <v>906</v>
      </c>
      <c r="G1335" t="s">
        <v>142</v>
      </c>
      <c r="I1335" t="s">
        <v>57</v>
      </c>
      <c r="J1335" t="s">
        <v>195</v>
      </c>
      <c r="K1335" s="17">
        <v>0</v>
      </c>
      <c r="L1335" s="28"/>
    </row>
    <row r="1336" spans="1:12" s="25" customFormat="1" x14ac:dyDescent="0.2">
      <c r="A1336">
        <v>2014</v>
      </c>
      <c r="B1336" t="s">
        <v>225</v>
      </c>
      <c r="C1336" t="s">
        <v>180</v>
      </c>
      <c r="D1336" s="65">
        <v>350</v>
      </c>
      <c r="E1336" s="33"/>
      <c r="G1336" t="s">
        <v>149</v>
      </c>
      <c r="H1336" t="s">
        <v>182</v>
      </c>
      <c r="I1336" t="s">
        <v>54</v>
      </c>
      <c r="J1336" t="s">
        <v>201</v>
      </c>
      <c r="K1336" s="17">
        <v>1</v>
      </c>
      <c r="L1336" s="28" t="s">
        <v>178</v>
      </c>
    </row>
    <row r="1337" spans="1:12" s="25" customFormat="1" x14ac:dyDescent="0.2">
      <c r="A1337">
        <v>2014</v>
      </c>
      <c r="B1337" t="s">
        <v>225</v>
      </c>
      <c r="C1337" t="s">
        <v>399</v>
      </c>
      <c r="D1337" s="65">
        <v>560</v>
      </c>
      <c r="E1337" s="33">
        <v>0.4</v>
      </c>
      <c r="F1337" t="s">
        <v>907</v>
      </c>
      <c r="G1337" t="s">
        <v>144</v>
      </c>
      <c r="I1337" t="s">
        <v>58</v>
      </c>
      <c r="J1337" t="s">
        <v>195</v>
      </c>
      <c r="K1337" s="17">
        <v>0</v>
      </c>
      <c r="L1337" s="28"/>
    </row>
    <row r="1338" spans="1:12" s="25" customFormat="1" x14ac:dyDescent="0.2">
      <c r="A1338">
        <v>2014</v>
      </c>
      <c r="B1338" t="s">
        <v>225</v>
      </c>
      <c r="C1338" t="s">
        <v>908</v>
      </c>
      <c r="D1338" s="65">
        <v>510</v>
      </c>
      <c r="E1338" s="33"/>
      <c r="G1338" t="s">
        <v>149</v>
      </c>
      <c r="H1338" t="s">
        <v>238</v>
      </c>
      <c r="I1338" t="s">
        <v>48</v>
      </c>
      <c r="J1338" t="s">
        <v>219</v>
      </c>
      <c r="K1338" s="17">
        <v>1</v>
      </c>
      <c r="L1338" s="28" t="s">
        <v>178</v>
      </c>
    </row>
    <row r="1339" spans="1:12" s="25" customFormat="1" x14ac:dyDescent="0.2">
      <c r="A1339">
        <v>2014</v>
      </c>
      <c r="B1339" t="s">
        <v>225</v>
      </c>
      <c r="C1339" t="s">
        <v>909</v>
      </c>
      <c r="D1339" s="65">
        <v>350</v>
      </c>
      <c r="E1339" s="33">
        <v>0.95</v>
      </c>
      <c r="G1339" t="s">
        <v>151</v>
      </c>
      <c r="H1339" t="s">
        <v>224</v>
      </c>
      <c r="I1339" t="s">
        <v>131</v>
      </c>
      <c r="J1339" t="s">
        <v>131</v>
      </c>
      <c r="K1339" s="17">
        <v>0</v>
      </c>
      <c r="L1339" s="28"/>
    </row>
    <row r="1340" spans="1:12" s="25" customFormat="1" x14ac:dyDescent="0.2">
      <c r="A1340">
        <v>2014</v>
      </c>
      <c r="B1340" t="s">
        <v>225</v>
      </c>
      <c r="C1340" t="s">
        <v>910</v>
      </c>
      <c r="D1340" s="65">
        <v>300</v>
      </c>
      <c r="E1340" s="33">
        <v>1</v>
      </c>
      <c r="G1340" t="s">
        <v>152</v>
      </c>
      <c r="H1340" t="s">
        <v>257</v>
      </c>
      <c r="I1340" t="s">
        <v>131</v>
      </c>
      <c r="J1340" t="s">
        <v>131</v>
      </c>
      <c r="K1340" s="17">
        <v>0</v>
      </c>
      <c r="L1340" s="28" t="s">
        <v>178</v>
      </c>
    </row>
    <row r="1341" spans="1:12" s="25" customFormat="1" x14ac:dyDescent="0.2">
      <c r="A1341">
        <v>2014</v>
      </c>
      <c r="B1341" t="s">
        <v>225</v>
      </c>
      <c r="C1341" t="s">
        <v>373</v>
      </c>
      <c r="D1341" s="65">
        <v>180</v>
      </c>
      <c r="E1341" s="33"/>
      <c r="F1341" t="s">
        <v>911</v>
      </c>
      <c r="G1341" t="s">
        <v>153</v>
      </c>
      <c r="I1341" t="s">
        <v>114</v>
      </c>
      <c r="J1341" t="s">
        <v>195</v>
      </c>
      <c r="K1341" s="17">
        <v>0</v>
      </c>
      <c r="L1341" s="28"/>
    </row>
    <row r="1342" spans="1:12" s="25" customFormat="1" x14ac:dyDescent="0.2">
      <c r="A1342">
        <v>2014</v>
      </c>
      <c r="B1342" t="s">
        <v>225</v>
      </c>
      <c r="C1342" t="s">
        <v>421</v>
      </c>
      <c r="D1342" s="65">
        <v>640</v>
      </c>
      <c r="E1342" s="33">
        <v>1</v>
      </c>
      <c r="F1342" t="s">
        <v>912</v>
      </c>
      <c r="G1342" t="s">
        <v>154</v>
      </c>
      <c r="H1342" t="s">
        <v>194</v>
      </c>
      <c r="I1342" t="s">
        <v>45</v>
      </c>
      <c r="J1342" t="s">
        <v>195</v>
      </c>
      <c r="K1342" s="17">
        <v>0</v>
      </c>
      <c r="L1342" s="28"/>
    </row>
    <row r="1343" spans="1:12" s="25" customFormat="1" x14ac:dyDescent="0.2">
      <c r="A1343">
        <v>2014</v>
      </c>
      <c r="B1343" t="s">
        <v>225</v>
      </c>
      <c r="C1343" t="s">
        <v>199</v>
      </c>
      <c r="D1343" s="65">
        <v>600</v>
      </c>
      <c r="E1343" s="33">
        <v>1</v>
      </c>
      <c r="G1343" t="s">
        <v>144</v>
      </c>
      <c r="H1343" t="s">
        <v>299</v>
      </c>
      <c r="I1343" t="s">
        <v>129</v>
      </c>
      <c r="J1343" t="s">
        <v>201</v>
      </c>
      <c r="K1343" s="17">
        <v>1</v>
      </c>
      <c r="L1343" s="28" t="s">
        <v>178</v>
      </c>
    </row>
    <row r="1344" spans="1:12" s="25" customFormat="1" x14ac:dyDescent="0.2">
      <c r="A1344">
        <v>2014</v>
      </c>
      <c r="B1344" t="s">
        <v>188</v>
      </c>
      <c r="C1344" t="s">
        <v>913</v>
      </c>
      <c r="D1344" s="65">
        <v>200</v>
      </c>
      <c r="E1344" s="33"/>
      <c r="G1344" t="s">
        <v>145</v>
      </c>
      <c r="I1344" t="s">
        <v>131</v>
      </c>
      <c r="J1344" t="s">
        <v>131</v>
      </c>
      <c r="K1344" s="17">
        <v>0</v>
      </c>
      <c r="L1344" s="28" t="s">
        <v>178</v>
      </c>
    </row>
    <row r="1345" spans="1:12" s="25" customFormat="1" x14ac:dyDescent="0.2">
      <c r="A1345">
        <v>2014</v>
      </c>
      <c r="B1345" t="s">
        <v>188</v>
      </c>
      <c r="C1345" t="s">
        <v>914</v>
      </c>
      <c r="D1345" s="65">
        <v>740</v>
      </c>
      <c r="E1345" s="33">
        <v>1</v>
      </c>
      <c r="G1345" t="s">
        <v>153</v>
      </c>
      <c r="I1345" t="s">
        <v>7</v>
      </c>
      <c r="J1345" t="s">
        <v>177</v>
      </c>
      <c r="K1345" s="17">
        <v>1</v>
      </c>
      <c r="L1345" s="28" t="s">
        <v>178</v>
      </c>
    </row>
    <row r="1346" spans="1:12" s="25" customFormat="1" x14ac:dyDescent="0.2">
      <c r="A1346">
        <v>2014</v>
      </c>
      <c r="B1346" t="s">
        <v>188</v>
      </c>
      <c r="C1346" t="s">
        <v>661</v>
      </c>
      <c r="D1346" s="65">
        <v>360</v>
      </c>
      <c r="E1346" s="33"/>
      <c r="F1346" t="s">
        <v>915</v>
      </c>
      <c r="G1346" t="s">
        <v>151</v>
      </c>
      <c r="H1346" t="s">
        <v>224</v>
      </c>
      <c r="I1346" t="s">
        <v>114</v>
      </c>
      <c r="J1346" t="s">
        <v>195</v>
      </c>
      <c r="K1346" s="17">
        <v>0</v>
      </c>
      <c r="L1346" s="28"/>
    </row>
    <row r="1347" spans="1:12" s="25" customFormat="1" x14ac:dyDescent="0.2">
      <c r="A1347">
        <v>2014</v>
      </c>
      <c r="B1347" t="s">
        <v>188</v>
      </c>
      <c r="C1347" s="52" t="s">
        <v>255</v>
      </c>
      <c r="D1347" s="65">
        <v>880</v>
      </c>
      <c r="E1347" s="33">
        <v>0.18</v>
      </c>
      <c r="F1347" t="s">
        <v>916</v>
      </c>
      <c r="G1347" t="s">
        <v>152</v>
      </c>
      <c r="H1347" t="s">
        <v>257</v>
      </c>
      <c r="I1347" t="s">
        <v>124</v>
      </c>
      <c r="J1347" t="s">
        <v>183</v>
      </c>
      <c r="K1347" s="17">
        <v>1</v>
      </c>
      <c r="L1347" s="28"/>
    </row>
    <row r="1348" spans="1:12" s="25" customFormat="1" x14ac:dyDescent="0.2">
      <c r="A1348">
        <v>2014</v>
      </c>
      <c r="B1348" t="s">
        <v>188</v>
      </c>
      <c r="C1348" t="s">
        <v>917</v>
      </c>
      <c r="D1348" s="65">
        <v>170</v>
      </c>
      <c r="E1348" s="33">
        <v>1</v>
      </c>
      <c r="F1348" t="s">
        <v>918</v>
      </c>
      <c r="G1348" t="s">
        <v>150</v>
      </c>
      <c r="H1348" t="s">
        <v>556</v>
      </c>
      <c r="I1348" t="s">
        <v>131</v>
      </c>
      <c r="J1348" t="s">
        <v>131</v>
      </c>
      <c r="K1348" s="17">
        <v>0</v>
      </c>
      <c r="L1348" s="28"/>
    </row>
    <row r="1349" spans="1:12" s="25" customFormat="1" ht="15" customHeight="1" x14ac:dyDescent="0.2">
      <c r="A1349">
        <v>2014</v>
      </c>
      <c r="B1349" t="s">
        <v>188</v>
      </c>
      <c r="C1349" t="s">
        <v>319</v>
      </c>
      <c r="D1349" s="65">
        <v>950</v>
      </c>
      <c r="E1349" s="33">
        <v>0.7</v>
      </c>
      <c r="F1349" t="s">
        <v>919</v>
      </c>
      <c r="G1349" t="s">
        <v>151</v>
      </c>
      <c r="H1349" t="s">
        <v>224</v>
      </c>
      <c r="I1349" t="s">
        <v>20</v>
      </c>
      <c r="J1349" t="s">
        <v>195</v>
      </c>
      <c r="K1349" s="17">
        <v>0</v>
      </c>
      <c r="L1349" s="28"/>
    </row>
    <row r="1350" spans="1:12" s="25" customFormat="1" x14ac:dyDescent="0.2">
      <c r="A1350">
        <v>2014</v>
      </c>
      <c r="B1350" t="s">
        <v>188</v>
      </c>
      <c r="C1350" t="s">
        <v>664</v>
      </c>
      <c r="D1350" s="65">
        <v>190</v>
      </c>
      <c r="E1350" s="33"/>
      <c r="F1350" t="s">
        <v>920</v>
      </c>
      <c r="G1350" t="s">
        <v>151</v>
      </c>
      <c r="H1350" t="s">
        <v>224</v>
      </c>
      <c r="I1350" t="s">
        <v>20</v>
      </c>
      <c r="J1350" t="s">
        <v>195</v>
      </c>
      <c r="K1350" s="17">
        <v>0</v>
      </c>
      <c r="L1350" s="28"/>
    </row>
    <row r="1351" spans="1:12" s="25" customFormat="1" x14ac:dyDescent="0.2">
      <c r="A1351">
        <v>2014</v>
      </c>
      <c r="B1351" t="s">
        <v>188</v>
      </c>
      <c r="C1351" t="s">
        <v>668</v>
      </c>
      <c r="D1351" s="65">
        <v>100</v>
      </c>
      <c r="E1351" s="33"/>
      <c r="G1351" t="s">
        <v>144</v>
      </c>
      <c r="I1351" t="s">
        <v>52</v>
      </c>
      <c r="J1351" t="s">
        <v>201</v>
      </c>
      <c r="K1351" s="17">
        <v>0</v>
      </c>
      <c r="L1351" s="28"/>
    </row>
    <row r="1352" spans="1:12" s="25" customFormat="1" x14ac:dyDescent="0.2">
      <c r="A1352">
        <v>2014</v>
      </c>
      <c r="B1352" t="s">
        <v>188</v>
      </c>
      <c r="C1352" t="s">
        <v>857</v>
      </c>
      <c r="D1352" s="65">
        <v>140</v>
      </c>
      <c r="E1352" s="33">
        <v>1</v>
      </c>
      <c r="F1352" t="s">
        <v>921</v>
      </c>
      <c r="G1352" t="s">
        <v>150</v>
      </c>
      <c r="H1352" t="s">
        <v>556</v>
      </c>
      <c r="I1352" t="s">
        <v>131</v>
      </c>
      <c r="J1352" t="s">
        <v>131</v>
      </c>
      <c r="K1352" s="17">
        <v>0</v>
      </c>
      <c r="L1352" s="28"/>
    </row>
    <row r="1353" spans="1:12" s="25" customFormat="1" x14ac:dyDescent="0.2">
      <c r="A1353">
        <v>2014</v>
      </c>
      <c r="B1353" t="s">
        <v>188</v>
      </c>
      <c r="C1353" t="s">
        <v>922</v>
      </c>
      <c r="D1353" s="65">
        <v>190</v>
      </c>
      <c r="E1353" s="33">
        <v>0.2</v>
      </c>
      <c r="F1353" t="s">
        <v>923</v>
      </c>
      <c r="G1353" t="s">
        <v>142</v>
      </c>
      <c r="I1353" t="s">
        <v>9</v>
      </c>
      <c r="J1353" t="s">
        <v>9</v>
      </c>
      <c r="K1353" s="17">
        <v>0</v>
      </c>
      <c r="L1353" s="28"/>
    </row>
    <row r="1354" spans="1:12" s="25" customFormat="1" x14ac:dyDescent="0.2">
      <c r="A1354">
        <v>2014</v>
      </c>
      <c r="B1354" t="s">
        <v>188</v>
      </c>
      <c r="C1354" t="s">
        <v>924</v>
      </c>
      <c r="D1354" s="65">
        <v>2040</v>
      </c>
      <c r="E1354" s="33"/>
      <c r="G1354" t="s">
        <v>149</v>
      </c>
      <c r="H1354" t="s">
        <v>236</v>
      </c>
      <c r="I1354" t="s">
        <v>37</v>
      </c>
      <c r="J1354" t="s">
        <v>205</v>
      </c>
      <c r="K1354" s="17">
        <v>1</v>
      </c>
      <c r="L1354" s="28" t="s">
        <v>178</v>
      </c>
    </row>
    <row r="1355" spans="1:12" s="25" customFormat="1" x14ac:dyDescent="0.2">
      <c r="A1355">
        <v>2014</v>
      </c>
      <c r="B1355" t="s">
        <v>191</v>
      </c>
      <c r="C1355" t="s">
        <v>724</v>
      </c>
      <c r="D1355" s="65">
        <v>470</v>
      </c>
      <c r="E1355" s="33">
        <v>1</v>
      </c>
      <c r="G1355" t="s">
        <v>151</v>
      </c>
      <c r="H1355" t="s">
        <v>224</v>
      </c>
      <c r="I1355" t="s">
        <v>9</v>
      </c>
      <c r="J1355" t="s">
        <v>9</v>
      </c>
      <c r="K1355" s="17">
        <v>0</v>
      </c>
      <c r="L1355" s="28" t="s">
        <v>178</v>
      </c>
    </row>
    <row r="1356" spans="1:12" s="25" customFormat="1" x14ac:dyDescent="0.2">
      <c r="A1356">
        <v>2014</v>
      </c>
      <c r="B1356" t="s">
        <v>191</v>
      </c>
      <c r="C1356" t="s">
        <v>405</v>
      </c>
      <c r="D1356" s="65">
        <v>860</v>
      </c>
      <c r="E1356" s="33">
        <v>0.65</v>
      </c>
      <c r="F1356" t="s">
        <v>406</v>
      </c>
      <c r="G1356" t="s">
        <v>149</v>
      </c>
      <c r="H1356" t="s">
        <v>182</v>
      </c>
      <c r="I1356" t="s">
        <v>9</v>
      </c>
      <c r="J1356" t="s">
        <v>9</v>
      </c>
      <c r="K1356" s="17">
        <v>0</v>
      </c>
      <c r="L1356" s="28"/>
    </row>
    <row r="1357" spans="1:12" s="25" customFormat="1" x14ac:dyDescent="0.2">
      <c r="A1357">
        <v>2014</v>
      </c>
      <c r="B1357" t="s">
        <v>191</v>
      </c>
      <c r="C1357" t="s">
        <v>925</v>
      </c>
      <c r="D1357" s="65">
        <v>220</v>
      </c>
      <c r="E1357" s="33">
        <v>0.2</v>
      </c>
      <c r="F1357" t="s">
        <v>926</v>
      </c>
      <c r="G1357" t="s">
        <v>142</v>
      </c>
      <c r="I1357" t="s">
        <v>131</v>
      </c>
      <c r="J1357" t="s">
        <v>131</v>
      </c>
      <c r="K1357" s="17">
        <v>0</v>
      </c>
      <c r="L1357" s="28"/>
    </row>
    <row r="1358" spans="1:12" s="25" customFormat="1" x14ac:dyDescent="0.2">
      <c r="A1358">
        <v>2014</v>
      </c>
      <c r="B1358" t="s">
        <v>191</v>
      </c>
      <c r="C1358" t="s">
        <v>927</v>
      </c>
      <c r="D1358" s="65">
        <v>1540</v>
      </c>
      <c r="E1358" s="33">
        <v>1</v>
      </c>
      <c r="F1358" t="s">
        <v>928</v>
      </c>
      <c r="G1358" t="s">
        <v>142</v>
      </c>
      <c r="I1358" t="s">
        <v>20</v>
      </c>
      <c r="J1358" t="s">
        <v>195</v>
      </c>
      <c r="K1358" s="17">
        <v>0</v>
      </c>
      <c r="L1358" s="28"/>
    </row>
    <row r="1359" spans="1:12" s="25" customFormat="1" x14ac:dyDescent="0.2">
      <c r="A1359">
        <v>2014</v>
      </c>
      <c r="B1359" t="s">
        <v>191</v>
      </c>
      <c r="C1359" t="s">
        <v>929</v>
      </c>
      <c r="D1359" s="65">
        <v>200</v>
      </c>
      <c r="E1359" s="33">
        <v>1</v>
      </c>
      <c r="G1359" t="s">
        <v>150</v>
      </c>
      <c r="H1359" t="s">
        <v>292</v>
      </c>
      <c r="I1359" t="s">
        <v>72</v>
      </c>
      <c r="J1359" t="s">
        <v>183</v>
      </c>
      <c r="K1359" s="17">
        <v>1</v>
      </c>
      <c r="L1359" s="28" t="s">
        <v>178</v>
      </c>
    </row>
    <row r="1360" spans="1:12" s="25" customFormat="1" x14ac:dyDescent="0.2">
      <c r="A1360">
        <v>2014</v>
      </c>
      <c r="B1360" t="s">
        <v>191</v>
      </c>
      <c r="C1360" t="s">
        <v>278</v>
      </c>
      <c r="D1360" s="65">
        <v>300</v>
      </c>
      <c r="E1360" s="33">
        <v>1</v>
      </c>
      <c r="G1360" t="s">
        <v>151</v>
      </c>
      <c r="H1360" t="s">
        <v>279</v>
      </c>
      <c r="I1360" t="s">
        <v>19</v>
      </c>
      <c r="J1360" t="s">
        <v>205</v>
      </c>
      <c r="K1360" s="17">
        <v>0</v>
      </c>
      <c r="L1360" s="28" t="s">
        <v>178</v>
      </c>
    </row>
    <row r="1361" spans="1:12" s="25" customFormat="1" x14ac:dyDescent="0.2">
      <c r="A1361">
        <v>2014</v>
      </c>
      <c r="B1361" t="s">
        <v>191</v>
      </c>
      <c r="C1361" t="s">
        <v>822</v>
      </c>
      <c r="D1361" s="65">
        <v>120</v>
      </c>
      <c r="E1361" s="33"/>
      <c r="F1361" t="s">
        <v>930</v>
      </c>
      <c r="G1361" t="s">
        <v>145</v>
      </c>
      <c r="I1361" t="s">
        <v>131</v>
      </c>
      <c r="J1361" t="s">
        <v>131</v>
      </c>
      <c r="K1361" s="17">
        <v>0</v>
      </c>
      <c r="L1361" s="28"/>
    </row>
    <row r="1362" spans="1:12" s="25" customFormat="1" x14ac:dyDescent="0.2">
      <c r="A1362">
        <v>2014</v>
      </c>
      <c r="B1362" t="s">
        <v>191</v>
      </c>
      <c r="C1362" t="s">
        <v>263</v>
      </c>
      <c r="D1362" s="65">
        <v>1430</v>
      </c>
      <c r="E1362" s="33">
        <v>0.19</v>
      </c>
      <c r="F1362" t="s">
        <v>931</v>
      </c>
      <c r="G1362" t="s">
        <v>144</v>
      </c>
      <c r="H1362" t="s">
        <v>273</v>
      </c>
      <c r="I1362" t="s">
        <v>53</v>
      </c>
      <c r="J1362" t="s">
        <v>183</v>
      </c>
      <c r="K1362" s="17">
        <v>1</v>
      </c>
      <c r="L1362" s="28"/>
    </row>
    <row r="1363" spans="1:12" s="25" customFormat="1" x14ac:dyDescent="0.2">
      <c r="A1363">
        <v>2014</v>
      </c>
      <c r="B1363" t="s">
        <v>191</v>
      </c>
      <c r="C1363" t="s">
        <v>932</v>
      </c>
      <c r="D1363" s="65">
        <v>300</v>
      </c>
      <c r="E1363" s="33">
        <v>1</v>
      </c>
      <c r="G1363" t="s">
        <v>151</v>
      </c>
      <c r="H1363" t="s">
        <v>224</v>
      </c>
      <c r="I1363" t="s">
        <v>40</v>
      </c>
      <c r="J1363" t="s">
        <v>219</v>
      </c>
      <c r="K1363" s="17">
        <v>1</v>
      </c>
      <c r="L1363" s="28" t="s">
        <v>178</v>
      </c>
    </row>
    <row r="1364" spans="1:12" s="25" customFormat="1" x14ac:dyDescent="0.2">
      <c r="A1364">
        <v>2014</v>
      </c>
      <c r="B1364" t="s">
        <v>191</v>
      </c>
      <c r="C1364" t="s">
        <v>300</v>
      </c>
      <c r="D1364" s="65">
        <v>520</v>
      </c>
      <c r="E1364" s="33">
        <v>0.02</v>
      </c>
      <c r="F1364" t="s">
        <v>933</v>
      </c>
      <c r="G1364" t="s">
        <v>152</v>
      </c>
      <c r="H1364" t="s">
        <v>257</v>
      </c>
      <c r="I1364" t="s">
        <v>58</v>
      </c>
      <c r="J1364" t="s">
        <v>195</v>
      </c>
      <c r="K1364" s="17">
        <v>0</v>
      </c>
      <c r="L1364" s="28"/>
    </row>
    <row r="1365" spans="1:12" s="25" customFormat="1" x14ac:dyDescent="0.2">
      <c r="A1365">
        <v>2014</v>
      </c>
      <c r="B1365" t="s">
        <v>191</v>
      </c>
      <c r="C1365" t="s">
        <v>300</v>
      </c>
      <c r="D1365" s="65">
        <v>110</v>
      </c>
      <c r="E1365" s="33">
        <v>0.02</v>
      </c>
      <c r="F1365" t="s">
        <v>934</v>
      </c>
      <c r="G1365" t="s">
        <v>152</v>
      </c>
      <c r="H1365" t="s">
        <v>257</v>
      </c>
      <c r="I1365" t="s">
        <v>58</v>
      </c>
      <c r="J1365" t="s">
        <v>195</v>
      </c>
      <c r="K1365" s="17">
        <v>0</v>
      </c>
      <c r="L1365" s="28"/>
    </row>
    <row r="1366" spans="1:12" s="25" customFormat="1" x14ac:dyDescent="0.2">
      <c r="A1366">
        <v>2014</v>
      </c>
      <c r="B1366" t="s">
        <v>191</v>
      </c>
      <c r="C1366" t="s">
        <v>300</v>
      </c>
      <c r="D1366" s="65">
        <v>280</v>
      </c>
      <c r="E1366" s="33">
        <v>0.02</v>
      </c>
      <c r="F1366" t="s">
        <v>935</v>
      </c>
      <c r="G1366" t="s">
        <v>154</v>
      </c>
      <c r="H1366" t="s">
        <v>194</v>
      </c>
      <c r="I1366" t="s">
        <v>58</v>
      </c>
      <c r="J1366" t="s">
        <v>195</v>
      </c>
      <c r="K1366" s="17">
        <v>0</v>
      </c>
      <c r="L1366" s="28"/>
    </row>
    <row r="1367" spans="1:12" s="25" customFormat="1" x14ac:dyDescent="0.2">
      <c r="A1367">
        <v>2014</v>
      </c>
      <c r="B1367" t="s">
        <v>191</v>
      </c>
      <c r="C1367" t="s">
        <v>300</v>
      </c>
      <c r="D1367" s="65">
        <v>170</v>
      </c>
      <c r="E1367" s="33">
        <v>0.49</v>
      </c>
      <c r="F1367" t="s">
        <v>936</v>
      </c>
      <c r="G1367" t="s">
        <v>144</v>
      </c>
      <c r="H1367" t="s">
        <v>232</v>
      </c>
      <c r="I1367" t="s">
        <v>20</v>
      </c>
      <c r="J1367" t="s">
        <v>195</v>
      </c>
      <c r="K1367" s="17">
        <v>0</v>
      </c>
      <c r="L1367" s="28"/>
    </row>
    <row r="1368" spans="1:12" s="25" customFormat="1" x14ac:dyDescent="0.2">
      <c r="A1368">
        <v>2014</v>
      </c>
      <c r="B1368" t="s">
        <v>191</v>
      </c>
      <c r="C1368" t="s">
        <v>937</v>
      </c>
      <c r="D1368" s="65">
        <v>320</v>
      </c>
      <c r="E1368" s="33"/>
      <c r="G1368" t="s">
        <v>151</v>
      </c>
      <c r="H1368" t="s">
        <v>279</v>
      </c>
      <c r="I1368" t="s">
        <v>53</v>
      </c>
      <c r="J1368" t="s">
        <v>183</v>
      </c>
      <c r="K1368" s="17">
        <v>1</v>
      </c>
      <c r="L1368" s="28" t="s">
        <v>178</v>
      </c>
    </row>
    <row r="1369" spans="1:12" s="25" customFormat="1" x14ac:dyDescent="0.2">
      <c r="A1369">
        <v>2014</v>
      </c>
      <c r="B1369" t="s">
        <v>191</v>
      </c>
      <c r="C1369" t="s">
        <v>554</v>
      </c>
      <c r="D1369" s="65">
        <v>110</v>
      </c>
      <c r="E1369" s="33">
        <v>0.23</v>
      </c>
      <c r="F1369" t="s">
        <v>938</v>
      </c>
      <c r="G1369" t="s">
        <v>150</v>
      </c>
      <c r="H1369" t="s">
        <v>556</v>
      </c>
      <c r="I1369" t="s">
        <v>45</v>
      </c>
      <c r="J1369" t="s">
        <v>195</v>
      </c>
      <c r="K1369" s="17">
        <v>0</v>
      </c>
      <c r="L1369" s="28"/>
    </row>
    <row r="1370" spans="1:12" s="25" customFormat="1" x14ac:dyDescent="0.2">
      <c r="A1370">
        <v>2014</v>
      </c>
      <c r="B1370" t="s">
        <v>191</v>
      </c>
      <c r="C1370" t="s">
        <v>564</v>
      </c>
      <c r="D1370" s="65">
        <v>200</v>
      </c>
      <c r="E1370" s="33"/>
      <c r="F1370" t="s">
        <v>939</v>
      </c>
      <c r="G1370" t="s">
        <v>154</v>
      </c>
      <c r="H1370" t="s">
        <v>194</v>
      </c>
      <c r="I1370" t="s">
        <v>131</v>
      </c>
      <c r="J1370" t="s">
        <v>131</v>
      </c>
      <c r="K1370" s="17">
        <v>0</v>
      </c>
      <c r="L1370" s="28"/>
    </row>
    <row r="1371" spans="1:12" s="25" customFormat="1" x14ac:dyDescent="0.2">
      <c r="A1371">
        <v>2014</v>
      </c>
      <c r="B1371" t="s">
        <v>191</v>
      </c>
      <c r="C1371" t="s">
        <v>940</v>
      </c>
      <c r="D1371" s="65">
        <v>110</v>
      </c>
      <c r="E1371" s="33">
        <v>0.9</v>
      </c>
      <c r="G1371" t="s">
        <v>144</v>
      </c>
      <c r="H1371" t="s">
        <v>232</v>
      </c>
      <c r="I1371" t="s">
        <v>46</v>
      </c>
      <c r="J1371" t="s">
        <v>219</v>
      </c>
      <c r="K1371" s="17">
        <v>1</v>
      </c>
      <c r="L1371" s="28" t="s">
        <v>178</v>
      </c>
    </row>
    <row r="1372" spans="1:12" s="25" customFormat="1" x14ac:dyDescent="0.2">
      <c r="A1372">
        <v>2014</v>
      </c>
      <c r="B1372" t="s">
        <v>191</v>
      </c>
      <c r="C1372" t="s">
        <v>373</v>
      </c>
      <c r="D1372" s="65">
        <v>610</v>
      </c>
      <c r="E1372" s="33">
        <v>0.8</v>
      </c>
      <c r="F1372" t="s">
        <v>941</v>
      </c>
      <c r="G1372" t="s">
        <v>148</v>
      </c>
      <c r="I1372" t="s">
        <v>131</v>
      </c>
      <c r="J1372" t="s">
        <v>131</v>
      </c>
      <c r="K1372" s="17">
        <v>0</v>
      </c>
      <c r="L1372" s="28"/>
    </row>
    <row r="1373" spans="1:12" s="25" customFormat="1" x14ac:dyDescent="0.2">
      <c r="A1373">
        <v>2014</v>
      </c>
      <c r="B1373" t="s">
        <v>198</v>
      </c>
      <c r="C1373" t="s">
        <v>942</v>
      </c>
      <c r="D1373" s="65">
        <v>300</v>
      </c>
      <c r="E1373" s="33"/>
      <c r="G1373" t="s">
        <v>142</v>
      </c>
      <c r="I1373" t="s">
        <v>132</v>
      </c>
      <c r="J1373" t="s">
        <v>219</v>
      </c>
      <c r="K1373" s="17">
        <v>1</v>
      </c>
      <c r="L1373" s="28" t="s">
        <v>178</v>
      </c>
    </row>
    <row r="1374" spans="1:12" s="25" customFormat="1" x14ac:dyDescent="0.2">
      <c r="A1374">
        <v>2014</v>
      </c>
      <c r="B1374" t="s">
        <v>198</v>
      </c>
      <c r="C1374" t="s">
        <v>943</v>
      </c>
      <c r="D1374" s="65">
        <v>1970</v>
      </c>
      <c r="E1374" s="33">
        <v>0.9</v>
      </c>
      <c r="G1374" t="s">
        <v>149</v>
      </c>
      <c r="I1374" t="s">
        <v>83</v>
      </c>
      <c r="J1374" t="s">
        <v>219</v>
      </c>
      <c r="K1374" s="17">
        <v>1</v>
      </c>
      <c r="L1374" s="28" t="s">
        <v>178</v>
      </c>
    </row>
    <row r="1375" spans="1:12" s="25" customFormat="1" x14ac:dyDescent="0.2">
      <c r="A1375">
        <v>2014</v>
      </c>
      <c r="B1375" t="s">
        <v>198</v>
      </c>
      <c r="C1375" t="s">
        <v>319</v>
      </c>
      <c r="D1375" s="65">
        <v>250</v>
      </c>
      <c r="E1375" s="33">
        <v>0.02</v>
      </c>
      <c r="F1375" t="s">
        <v>333</v>
      </c>
      <c r="G1375" t="s">
        <v>146</v>
      </c>
      <c r="H1375" t="s">
        <v>253</v>
      </c>
      <c r="I1375" t="s">
        <v>131</v>
      </c>
      <c r="J1375" t="s">
        <v>131</v>
      </c>
      <c r="K1375" s="17">
        <v>0</v>
      </c>
      <c r="L1375" s="28"/>
    </row>
    <row r="1376" spans="1:12" s="25" customFormat="1" x14ac:dyDescent="0.2">
      <c r="A1376">
        <v>2014</v>
      </c>
      <c r="B1376" t="s">
        <v>198</v>
      </c>
      <c r="C1376" t="s">
        <v>300</v>
      </c>
      <c r="D1376" s="65">
        <v>630</v>
      </c>
      <c r="E1376" s="33">
        <v>0.02</v>
      </c>
      <c r="F1376" t="s">
        <v>944</v>
      </c>
      <c r="G1376" t="s">
        <v>146</v>
      </c>
      <c r="I1376" t="s">
        <v>58</v>
      </c>
      <c r="J1376" t="s">
        <v>195</v>
      </c>
      <c r="K1376" s="17">
        <v>0</v>
      </c>
      <c r="L1376" s="28"/>
    </row>
    <row r="1377" spans="1:12" s="25" customFormat="1" x14ac:dyDescent="0.2">
      <c r="A1377">
        <v>2014</v>
      </c>
      <c r="B1377" t="s">
        <v>198</v>
      </c>
      <c r="C1377" t="s">
        <v>199</v>
      </c>
      <c r="D1377" s="65">
        <v>1090</v>
      </c>
      <c r="E1377" s="33">
        <v>0.4</v>
      </c>
      <c r="F1377" t="s">
        <v>945</v>
      </c>
      <c r="G1377" t="s">
        <v>144</v>
      </c>
      <c r="H1377" t="s">
        <v>187</v>
      </c>
      <c r="I1377" t="s">
        <v>25</v>
      </c>
      <c r="J1377" t="s">
        <v>177</v>
      </c>
      <c r="K1377" s="17">
        <v>0</v>
      </c>
      <c r="L1377" s="28"/>
    </row>
    <row r="1378" spans="1:12" s="25" customFormat="1" x14ac:dyDescent="0.2">
      <c r="A1378">
        <v>2014</v>
      </c>
      <c r="B1378" t="s">
        <v>198</v>
      </c>
      <c r="C1378" t="s">
        <v>946</v>
      </c>
      <c r="D1378" s="65">
        <v>640</v>
      </c>
      <c r="E1378" s="33"/>
      <c r="G1378" t="s">
        <v>151</v>
      </c>
      <c r="H1378" t="s">
        <v>224</v>
      </c>
      <c r="I1378" t="s">
        <v>9</v>
      </c>
      <c r="J1378" t="s">
        <v>9</v>
      </c>
      <c r="K1378" s="17">
        <v>0</v>
      </c>
      <c r="L1378" s="28" t="s">
        <v>178</v>
      </c>
    </row>
    <row r="1379" spans="1:12" s="25" customFormat="1" x14ac:dyDescent="0.2">
      <c r="A1379">
        <v>2014</v>
      </c>
      <c r="B1379" t="s">
        <v>198</v>
      </c>
      <c r="C1379" t="s">
        <v>300</v>
      </c>
      <c r="D1379" s="65">
        <v>290</v>
      </c>
      <c r="E1379" s="33">
        <v>0.5</v>
      </c>
      <c r="F1379" t="s">
        <v>947</v>
      </c>
      <c r="G1379" t="s">
        <v>151</v>
      </c>
      <c r="H1379" t="s">
        <v>224</v>
      </c>
      <c r="I1379" t="s">
        <v>20</v>
      </c>
      <c r="J1379" t="s">
        <v>195</v>
      </c>
      <c r="K1379" s="17">
        <v>0</v>
      </c>
      <c r="L1379" s="28"/>
    </row>
    <row r="1380" spans="1:12" s="25" customFormat="1" x14ac:dyDescent="0.2">
      <c r="A1380">
        <v>2014</v>
      </c>
      <c r="B1380" t="s">
        <v>198</v>
      </c>
      <c r="C1380" t="s">
        <v>948</v>
      </c>
      <c r="D1380" s="65">
        <v>280</v>
      </c>
      <c r="E1380" s="33">
        <v>0.6</v>
      </c>
      <c r="F1380" t="s">
        <v>949</v>
      </c>
      <c r="G1380" t="s">
        <v>144</v>
      </c>
      <c r="H1380" t="s">
        <v>187</v>
      </c>
      <c r="I1380" t="s">
        <v>66</v>
      </c>
      <c r="J1380" t="s">
        <v>201</v>
      </c>
      <c r="K1380" s="17">
        <v>1</v>
      </c>
      <c r="L1380" s="28"/>
    </row>
    <row r="1381" spans="1:12" s="25" customFormat="1" x14ac:dyDescent="0.2">
      <c r="A1381">
        <v>2014</v>
      </c>
      <c r="B1381" t="s">
        <v>198</v>
      </c>
      <c r="C1381" t="s">
        <v>554</v>
      </c>
      <c r="D1381" s="65">
        <v>440</v>
      </c>
      <c r="E1381" s="33">
        <v>1</v>
      </c>
      <c r="F1381" t="s">
        <v>950</v>
      </c>
      <c r="G1381" t="s">
        <v>144</v>
      </c>
      <c r="H1381" t="s">
        <v>187</v>
      </c>
      <c r="I1381" t="s">
        <v>9</v>
      </c>
      <c r="J1381" t="s">
        <v>9</v>
      </c>
      <c r="K1381" s="17">
        <v>0</v>
      </c>
      <c r="L1381" s="28"/>
    </row>
    <row r="1382" spans="1:12" s="36" customFormat="1" x14ac:dyDescent="0.2">
      <c r="A1382">
        <v>2014</v>
      </c>
      <c r="B1382" t="s">
        <v>198</v>
      </c>
      <c r="C1382" t="s">
        <v>554</v>
      </c>
      <c r="D1382" s="65">
        <v>460</v>
      </c>
      <c r="E1382" s="33">
        <v>0.2</v>
      </c>
      <c r="F1382" t="s">
        <v>951</v>
      </c>
      <c r="G1382" t="s">
        <v>146</v>
      </c>
      <c r="I1382" t="s">
        <v>131</v>
      </c>
      <c r="J1382" t="s">
        <v>131</v>
      </c>
      <c r="K1382" s="17">
        <v>0</v>
      </c>
      <c r="L1382" s="28"/>
    </row>
    <row r="1383" spans="1:12" s="25" customFormat="1" x14ac:dyDescent="0.2">
      <c r="A1383">
        <v>2014</v>
      </c>
      <c r="B1383" t="s">
        <v>198</v>
      </c>
      <c r="C1383" t="s">
        <v>908</v>
      </c>
      <c r="D1383" s="65">
        <v>840</v>
      </c>
      <c r="E1383" s="33">
        <v>0.56000000000000005</v>
      </c>
      <c r="F1383" t="s">
        <v>952</v>
      </c>
      <c r="G1383" t="s">
        <v>149</v>
      </c>
      <c r="H1383" t="s">
        <v>238</v>
      </c>
      <c r="I1383" t="s">
        <v>53</v>
      </c>
      <c r="J1383" t="s">
        <v>183</v>
      </c>
      <c r="K1383" s="17">
        <v>1</v>
      </c>
      <c r="L1383" s="28" t="s">
        <v>178</v>
      </c>
    </row>
    <row r="1384" spans="1:12" s="25" customFormat="1" x14ac:dyDescent="0.2">
      <c r="A1384">
        <v>2014</v>
      </c>
      <c r="B1384" t="s">
        <v>198</v>
      </c>
      <c r="C1384" t="s">
        <v>953</v>
      </c>
      <c r="D1384" s="65">
        <v>120</v>
      </c>
      <c r="E1384" s="33"/>
      <c r="F1384" t="s">
        <v>954</v>
      </c>
      <c r="G1384" t="s">
        <v>151</v>
      </c>
      <c r="H1384" t="s">
        <v>224</v>
      </c>
      <c r="I1384" t="s">
        <v>9</v>
      </c>
      <c r="J1384" t="s">
        <v>9</v>
      </c>
      <c r="K1384" s="17">
        <v>0</v>
      </c>
      <c r="L1384" s="28"/>
    </row>
    <row r="1385" spans="1:12" s="25" customFormat="1" x14ac:dyDescent="0.2">
      <c r="A1385">
        <v>2014</v>
      </c>
      <c r="B1385" t="s">
        <v>198</v>
      </c>
      <c r="C1385" t="s">
        <v>180</v>
      </c>
      <c r="D1385" s="65">
        <v>380</v>
      </c>
      <c r="E1385" s="33"/>
      <c r="G1385" t="s">
        <v>151</v>
      </c>
      <c r="H1385" t="s">
        <v>224</v>
      </c>
      <c r="I1385" t="s">
        <v>108</v>
      </c>
      <c r="J1385" t="s">
        <v>183</v>
      </c>
      <c r="K1385" s="17">
        <v>1</v>
      </c>
      <c r="L1385" s="28" t="s">
        <v>178</v>
      </c>
    </row>
    <row r="1386" spans="1:12" s="25" customFormat="1" x14ac:dyDescent="0.2">
      <c r="A1386">
        <v>2014</v>
      </c>
      <c r="B1386" t="s">
        <v>198</v>
      </c>
      <c r="C1386" t="s">
        <v>245</v>
      </c>
      <c r="D1386" s="65">
        <v>200</v>
      </c>
      <c r="E1386" s="33">
        <v>0.5</v>
      </c>
      <c r="G1386" t="s">
        <v>144</v>
      </c>
      <c r="H1386" t="s">
        <v>232</v>
      </c>
      <c r="I1386" t="s">
        <v>98</v>
      </c>
      <c r="J1386" t="s">
        <v>195</v>
      </c>
      <c r="K1386" s="17">
        <v>1</v>
      </c>
      <c r="L1386" s="28" t="s">
        <v>178</v>
      </c>
    </row>
    <row r="1387" spans="1:12" s="25" customFormat="1" x14ac:dyDescent="0.2">
      <c r="A1387">
        <v>2014</v>
      </c>
      <c r="B1387" t="s">
        <v>198</v>
      </c>
      <c r="C1387" t="s">
        <v>838</v>
      </c>
      <c r="D1387" s="65">
        <v>110</v>
      </c>
      <c r="E1387" s="33">
        <v>1</v>
      </c>
      <c r="G1387" t="s">
        <v>153</v>
      </c>
      <c r="I1387" t="s">
        <v>131</v>
      </c>
      <c r="J1387" t="s">
        <v>131</v>
      </c>
      <c r="K1387" s="17">
        <v>0</v>
      </c>
      <c r="L1387" s="28"/>
    </row>
    <row r="1388" spans="1:12" s="25" customFormat="1" x14ac:dyDescent="0.2">
      <c r="A1388">
        <v>2014</v>
      </c>
      <c r="B1388" t="s">
        <v>202</v>
      </c>
      <c r="C1388" t="s">
        <v>199</v>
      </c>
      <c r="D1388" s="65">
        <v>990</v>
      </c>
      <c r="E1388" s="33">
        <v>0.1</v>
      </c>
      <c r="F1388" t="s">
        <v>228</v>
      </c>
      <c r="G1388" t="s">
        <v>144</v>
      </c>
      <c r="H1388" t="s">
        <v>187</v>
      </c>
      <c r="I1388" t="s">
        <v>101</v>
      </c>
      <c r="J1388" t="s">
        <v>201</v>
      </c>
      <c r="K1388" s="17">
        <v>1</v>
      </c>
      <c r="L1388" s="28"/>
    </row>
    <row r="1389" spans="1:12" s="25" customFormat="1" x14ac:dyDescent="0.2">
      <c r="A1389">
        <v>2014</v>
      </c>
      <c r="B1389" t="s">
        <v>202</v>
      </c>
      <c r="C1389" t="s">
        <v>661</v>
      </c>
      <c r="D1389" s="65">
        <v>480</v>
      </c>
      <c r="E1389" s="33"/>
      <c r="F1389" t="s">
        <v>955</v>
      </c>
      <c r="G1389" t="s">
        <v>151</v>
      </c>
      <c r="H1389" t="s">
        <v>224</v>
      </c>
      <c r="I1389" t="s">
        <v>131</v>
      </c>
      <c r="J1389" t="s">
        <v>131</v>
      </c>
      <c r="K1389" s="17">
        <v>0</v>
      </c>
      <c r="L1389" s="28" t="s">
        <v>178</v>
      </c>
    </row>
    <row r="1390" spans="1:12" s="25" customFormat="1" x14ac:dyDescent="0.2">
      <c r="A1390">
        <v>2014</v>
      </c>
      <c r="B1390" t="s">
        <v>202</v>
      </c>
      <c r="C1390" t="s">
        <v>651</v>
      </c>
      <c r="D1390" s="65">
        <v>400</v>
      </c>
      <c r="E1390" s="33">
        <v>0.51</v>
      </c>
      <c r="F1390" t="s">
        <v>956</v>
      </c>
      <c r="G1390" t="s">
        <v>149</v>
      </c>
      <c r="H1390" t="s">
        <v>182</v>
      </c>
      <c r="I1390" t="s">
        <v>119</v>
      </c>
      <c r="J1390" t="s">
        <v>195</v>
      </c>
      <c r="K1390" s="17">
        <v>0</v>
      </c>
      <c r="L1390" s="28"/>
    </row>
    <row r="1391" spans="1:12" s="25" customFormat="1" x14ac:dyDescent="0.2">
      <c r="A1391">
        <v>2014</v>
      </c>
      <c r="B1391" t="s">
        <v>202</v>
      </c>
      <c r="C1391" t="s">
        <v>957</v>
      </c>
      <c r="D1391" s="65">
        <v>130</v>
      </c>
      <c r="E1391" s="33">
        <v>1</v>
      </c>
      <c r="G1391" t="s">
        <v>145</v>
      </c>
      <c r="I1391" t="s">
        <v>131</v>
      </c>
      <c r="J1391" t="s">
        <v>131</v>
      </c>
      <c r="K1391" s="17">
        <v>0</v>
      </c>
      <c r="L1391" s="28" t="s">
        <v>178</v>
      </c>
    </row>
    <row r="1392" spans="1:12" s="25" customFormat="1" x14ac:dyDescent="0.2">
      <c r="A1392">
        <v>2014</v>
      </c>
      <c r="B1392" t="s">
        <v>202</v>
      </c>
      <c r="C1392" t="s">
        <v>554</v>
      </c>
      <c r="D1392" s="65">
        <v>200</v>
      </c>
      <c r="E1392" s="33">
        <v>0.48</v>
      </c>
      <c r="F1392" t="s">
        <v>958</v>
      </c>
      <c r="G1392" t="s">
        <v>145</v>
      </c>
      <c r="I1392" t="s">
        <v>131</v>
      </c>
      <c r="J1392" t="s">
        <v>131</v>
      </c>
      <c r="K1392" s="17">
        <v>0</v>
      </c>
      <c r="L1392" s="28"/>
    </row>
    <row r="1393" spans="1:12" s="25" customFormat="1" x14ac:dyDescent="0.2">
      <c r="A1393">
        <v>2014</v>
      </c>
      <c r="B1393" t="s">
        <v>202</v>
      </c>
      <c r="C1393" t="s">
        <v>479</v>
      </c>
      <c r="D1393" s="65">
        <v>390</v>
      </c>
      <c r="E1393" s="33"/>
      <c r="G1393" t="s">
        <v>148</v>
      </c>
      <c r="I1393" t="s">
        <v>115</v>
      </c>
      <c r="J1393" t="s">
        <v>201</v>
      </c>
      <c r="K1393" s="17">
        <v>1</v>
      </c>
      <c r="L1393" s="28" t="s">
        <v>178</v>
      </c>
    </row>
    <row r="1394" spans="1:12" s="44" customFormat="1" x14ac:dyDescent="0.2">
      <c r="A1394">
        <v>2014</v>
      </c>
      <c r="B1394" t="s">
        <v>202</v>
      </c>
      <c r="C1394" t="s">
        <v>953</v>
      </c>
      <c r="D1394" s="65">
        <v>150</v>
      </c>
      <c r="E1394" s="33"/>
      <c r="F1394" t="s">
        <v>959</v>
      </c>
      <c r="G1394" t="s">
        <v>151</v>
      </c>
      <c r="H1394" t="s">
        <v>224</v>
      </c>
      <c r="I1394" t="s">
        <v>9</v>
      </c>
      <c r="J1394" t="s">
        <v>9</v>
      </c>
      <c r="K1394" s="17">
        <v>0</v>
      </c>
      <c r="L1394" s="28"/>
    </row>
    <row r="1395" spans="1:12" s="25" customFormat="1" x14ac:dyDescent="0.2">
      <c r="A1395">
        <v>2014</v>
      </c>
      <c r="B1395" t="s">
        <v>202</v>
      </c>
      <c r="C1395" t="s">
        <v>513</v>
      </c>
      <c r="D1395" s="65">
        <v>220</v>
      </c>
      <c r="E1395" s="33">
        <v>1</v>
      </c>
      <c r="F1395" t="s">
        <v>960</v>
      </c>
      <c r="G1395" t="s">
        <v>145</v>
      </c>
      <c r="I1395" t="s">
        <v>20</v>
      </c>
      <c r="J1395" t="s">
        <v>195</v>
      </c>
      <c r="K1395" s="17">
        <v>0</v>
      </c>
      <c r="L1395" s="28"/>
    </row>
    <row r="1396" spans="1:12" s="25" customFormat="1" x14ac:dyDescent="0.2">
      <c r="A1396">
        <v>2014</v>
      </c>
      <c r="B1396" t="s">
        <v>202</v>
      </c>
      <c r="C1396" t="s">
        <v>221</v>
      </c>
      <c r="D1396" s="65">
        <v>190</v>
      </c>
      <c r="E1396" s="33"/>
      <c r="G1396" t="s">
        <v>154</v>
      </c>
      <c r="H1396" t="s">
        <v>194</v>
      </c>
      <c r="I1396" t="s">
        <v>131</v>
      </c>
      <c r="J1396" t="s">
        <v>131</v>
      </c>
      <c r="K1396" s="17">
        <v>0</v>
      </c>
      <c r="L1396" s="28" t="s">
        <v>178</v>
      </c>
    </row>
    <row r="1397" spans="1:12" s="25" customFormat="1" x14ac:dyDescent="0.2">
      <c r="A1397">
        <v>2014</v>
      </c>
      <c r="B1397" t="s">
        <v>202</v>
      </c>
      <c r="C1397" t="s">
        <v>705</v>
      </c>
      <c r="D1397" s="65">
        <v>130</v>
      </c>
      <c r="E1397" s="33"/>
      <c r="G1397" t="s">
        <v>151</v>
      </c>
      <c r="H1397" t="s">
        <v>279</v>
      </c>
      <c r="I1397" t="s">
        <v>9</v>
      </c>
      <c r="J1397" t="s">
        <v>9</v>
      </c>
      <c r="K1397" s="17">
        <v>0</v>
      </c>
      <c r="L1397" s="28" t="s">
        <v>178</v>
      </c>
    </row>
    <row r="1398" spans="1:12" s="25" customFormat="1" ht="14.25" customHeight="1" x14ac:dyDescent="0.2">
      <c r="A1398">
        <v>2014</v>
      </c>
      <c r="B1398" t="s">
        <v>207</v>
      </c>
      <c r="C1398" t="s">
        <v>554</v>
      </c>
      <c r="D1398" s="65">
        <v>590</v>
      </c>
      <c r="E1398" s="33">
        <v>0.96</v>
      </c>
      <c r="F1398" t="s">
        <v>961</v>
      </c>
      <c r="G1398" t="s">
        <v>147</v>
      </c>
      <c r="I1398" t="s">
        <v>99</v>
      </c>
      <c r="J1398" t="s">
        <v>195</v>
      </c>
      <c r="K1398" s="17">
        <v>1</v>
      </c>
      <c r="L1398" s="28"/>
    </row>
    <row r="1399" spans="1:12" s="25" customFormat="1" x14ac:dyDescent="0.2">
      <c r="A1399">
        <v>2014</v>
      </c>
      <c r="B1399" t="s">
        <v>207</v>
      </c>
      <c r="C1399" t="s">
        <v>962</v>
      </c>
      <c r="D1399" s="65">
        <v>1950</v>
      </c>
      <c r="E1399" s="33"/>
      <c r="F1399" t="s">
        <v>963</v>
      </c>
      <c r="G1399" t="s">
        <v>153</v>
      </c>
      <c r="I1399" t="s">
        <v>131</v>
      </c>
      <c r="J1399" t="s">
        <v>131</v>
      </c>
      <c r="K1399" s="17">
        <v>0</v>
      </c>
      <c r="L1399" s="28"/>
    </row>
    <row r="1400" spans="1:12" s="25" customFormat="1" x14ac:dyDescent="0.2">
      <c r="A1400">
        <v>2014</v>
      </c>
      <c r="B1400" t="s">
        <v>207</v>
      </c>
      <c r="C1400" t="s">
        <v>300</v>
      </c>
      <c r="D1400" s="65">
        <v>140</v>
      </c>
      <c r="E1400" s="33">
        <v>0.02</v>
      </c>
      <c r="F1400" t="s">
        <v>964</v>
      </c>
      <c r="G1400" t="s">
        <v>146</v>
      </c>
      <c r="H1400" t="s">
        <v>275</v>
      </c>
      <c r="I1400" t="s">
        <v>58</v>
      </c>
      <c r="J1400" t="s">
        <v>195</v>
      </c>
      <c r="K1400" s="17">
        <v>0</v>
      </c>
      <c r="L1400" s="28"/>
    </row>
    <row r="1401" spans="1:12" s="25" customFormat="1" x14ac:dyDescent="0.2">
      <c r="A1401">
        <v>2014</v>
      </c>
      <c r="B1401" t="s">
        <v>207</v>
      </c>
      <c r="C1401" t="s">
        <v>530</v>
      </c>
      <c r="D1401" s="65">
        <v>180</v>
      </c>
      <c r="E1401" s="33">
        <v>1</v>
      </c>
      <c r="G1401" t="s">
        <v>152</v>
      </c>
      <c r="H1401" t="s">
        <v>257</v>
      </c>
      <c r="I1401" t="s">
        <v>25</v>
      </c>
      <c r="J1401" t="s">
        <v>177</v>
      </c>
      <c r="K1401" s="17">
        <v>0</v>
      </c>
      <c r="L1401" s="28" t="s">
        <v>178</v>
      </c>
    </row>
    <row r="1402" spans="1:12" s="25" customFormat="1" x14ac:dyDescent="0.2">
      <c r="A1402">
        <v>2014</v>
      </c>
      <c r="B1402" t="s">
        <v>207</v>
      </c>
      <c r="C1402" t="s">
        <v>300</v>
      </c>
      <c r="D1402" s="65">
        <v>630</v>
      </c>
      <c r="E1402" s="33"/>
      <c r="F1402" t="s">
        <v>965</v>
      </c>
      <c r="G1402" t="s">
        <v>151</v>
      </c>
      <c r="H1402" t="s">
        <v>224</v>
      </c>
      <c r="I1402" t="s">
        <v>45</v>
      </c>
      <c r="J1402" t="s">
        <v>195</v>
      </c>
      <c r="K1402" s="17">
        <v>0</v>
      </c>
      <c r="L1402" s="28"/>
    </row>
    <row r="1403" spans="1:12" s="25" customFormat="1" x14ac:dyDescent="0.2">
      <c r="A1403">
        <v>2014</v>
      </c>
      <c r="B1403" t="s">
        <v>207</v>
      </c>
      <c r="C1403" t="s">
        <v>962</v>
      </c>
      <c r="D1403" s="65">
        <v>310</v>
      </c>
      <c r="E1403" s="33">
        <v>1</v>
      </c>
      <c r="F1403" t="s">
        <v>966</v>
      </c>
      <c r="G1403" t="s">
        <v>146</v>
      </c>
      <c r="I1403" t="s">
        <v>15</v>
      </c>
      <c r="J1403" t="s">
        <v>195</v>
      </c>
      <c r="K1403" s="17">
        <v>0</v>
      </c>
      <c r="L1403" s="28"/>
    </row>
    <row r="1404" spans="1:12" s="25" customFormat="1" x14ac:dyDescent="0.2">
      <c r="A1404">
        <v>2014</v>
      </c>
      <c r="B1404" t="s">
        <v>207</v>
      </c>
      <c r="C1404" t="s">
        <v>397</v>
      </c>
      <c r="D1404" s="65">
        <v>230</v>
      </c>
      <c r="E1404" s="33">
        <v>1</v>
      </c>
      <c r="G1404" t="s">
        <v>151</v>
      </c>
      <c r="H1404" t="s">
        <v>224</v>
      </c>
      <c r="I1404" t="s">
        <v>20</v>
      </c>
      <c r="J1404" t="s">
        <v>195</v>
      </c>
      <c r="K1404" s="17">
        <v>0</v>
      </c>
      <c r="L1404" s="28"/>
    </row>
    <row r="1405" spans="1:12" s="25" customFormat="1" x14ac:dyDescent="0.2">
      <c r="A1405">
        <v>2014</v>
      </c>
      <c r="B1405" t="s">
        <v>207</v>
      </c>
      <c r="C1405" t="s">
        <v>300</v>
      </c>
      <c r="D1405" s="65">
        <v>170</v>
      </c>
      <c r="E1405" s="33">
        <v>0.5</v>
      </c>
      <c r="F1405" t="s">
        <v>967</v>
      </c>
      <c r="G1405" t="s">
        <v>151</v>
      </c>
      <c r="H1405" t="s">
        <v>224</v>
      </c>
      <c r="I1405" t="s">
        <v>15</v>
      </c>
      <c r="J1405" t="s">
        <v>195</v>
      </c>
      <c r="K1405" s="17">
        <v>0</v>
      </c>
      <c r="L1405" s="28"/>
    </row>
    <row r="1406" spans="1:12" s="25" customFormat="1" x14ac:dyDescent="0.2">
      <c r="A1406">
        <v>2014</v>
      </c>
      <c r="B1406" t="s">
        <v>207</v>
      </c>
      <c r="C1406" t="s">
        <v>968</v>
      </c>
      <c r="D1406" s="65">
        <v>100</v>
      </c>
      <c r="E1406" s="33"/>
      <c r="F1406" t="s">
        <v>969</v>
      </c>
      <c r="G1406" t="s">
        <v>146</v>
      </c>
      <c r="I1406" t="s">
        <v>57</v>
      </c>
      <c r="J1406" t="s">
        <v>195</v>
      </c>
      <c r="K1406" s="17">
        <v>0</v>
      </c>
      <c r="L1406" s="28"/>
    </row>
    <row r="1407" spans="1:12" s="25" customFormat="1" x14ac:dyDescent="0.2">
      <c r="A1407">
        <v>2014</v>
      </c>
      <c r="B1407" t="s">
        <v>207</v>
      </c>
      <c r="C1407" t="s">
        <v>970</v>
      </c>
      <c r="D1407" s="65">
        <v>250</v>
      </c>
      <c r="E1407" s="33"/>
      <c r="G1407" t="s">
        <v>144</v>
      </c>
      <c r="H1407" t="s">
        <v>232</v>
      </c>
      <c r="I1407" t="s">
        <v>93</v>
      </c>
      <c r="J1407" t="s">
        <v>201</v>
      </c>
      <c r="K1407" s="17">
        <v>1</v>
      </c>
      <c r="L1407" s="28" t="s">
        <v>178</v>
      </c>
    </row>
    <row r="1408" spans="1:12" s="25" customFormat="1" x14ac:dyDescent="0.2">
      <c r="A1408">
        <v>2014</v>
      </c>
      <c r="B1408" t="s">
        <v>240</v>
      </c>
      <c r="C1408" t="s">
        <v>418</v>
      </c>
      <c r="D1408" s="65">
        <v>1490</v>
      </c>
      <c r="E1408" s="33">
        <v>1</v>
      </c>
      <c r="F1408" t="s">
        <v>971</v>
      </c>
      <c r="G1408" t="s">
        <v>153</v>
      </c>
      <c r="I1408" t="s">
        <v>42</v>
      </c>
      <c r="J1408" t="s">
        <v>195</v>
      </c>
      <c r="K1408" s="17">
        <v>0</v>
      </c>
      <c r="L1408" s="28"/>
    </row>
    <row r="1409" spans="1:12" s="25" customFormat="1" x14ac:dyDescent="0.2">
      <c r="A1409">
        <v>2014</v>
      </c>
      <c r="B1409" t="s">
        <v>240</v>
      </c>
      <c r="C1409" t="s">
        <v>972</v>
      </c>
      <c r="D1409" s="65">
        <v>400</v>
      </c>
      <c r="E1409" s="33"/>
      <c r="F1409" t="s">
        <v>973</v>
      </c>
      <c r="G1409" t="s">
        <v>153</v>
      </c>
      <c r="I1409" t="s">
        <v>9</v>
      </c>
      <c r="J1409" t="s">
        <v>9</v>
      </c>
      <c r="K1409" s="17">
        <v>0</v>
      </c>
      <c r="L1409" s="28"/>
    </row>
    <row r="1410" spans="1:12" s="25" customFormat="1" x14ac:dyDescent="0.2">
      <c r="A1410">
        <v>2014</v>
      </c>
      <c r="B1410" t="s">
        <v>240</v>
      </c>
      <c r="C1410" t="s">
        <v>307</v>
      </c>
      <c r="D1410" s="65">
        <v>2760</v>
      </c>
      <c r="E1410" s="33">
        <v>0.35</v>
      </c>
      <c r="F1410" t="s">
        <v>974</v>
      </c>
      <c r="G1410" t="s">
        <v>144</v>
      </c>
      <c r="I1410" t="s">
        <v>58</v>
      </c>
      <c r="J1410" t="s">
        <v>195</v>
      </c>
      <c r="K1410" s="17">
        <v>0</v>
      </c>
      <c r="L1410" s="28"/>
    </row>
    <row r="1411" spans="1:12" s="25" customFormat="1" x14ac:dyDescent="0.2">
      <c r="A1411">
        <v>2014</v>
      </c>
      <c r="B1411" t="s">
        <v>240</v>
      </c>
      <c r="C1411" t="s">
        <v>734</v>
      </c>
      <c r="D1411" s="65">
        <v>310</v>
      </c>
      <c r="E1411" s="33"/>
      <c r="G1411" t="s">
        <v>142</v>
      </c>
      <c r="I1411" t="s">
        <v>86</v>
      </c>
      <c r="J1411" t="s">
        <v>183</v>
      </c>
      <c r="K1411" s="17">
        <v>1</v>
      </c>
      <c r="L1411" s="28"/>
    </row>
    <row r="1412" spans="1:12" s="25" customFormat="1" x14ac:dyDescent="0.2">
      <c r="A1412">
        <v>2014</v>
      </c>
      <c r="B1412" t="s">
        <v>240</v>
      </c>
      <c r="C1412" t="s">
        <v>210</v>
      </c>
      <c r="D1412" s="65">
        <v>640</v>
      </c>
      <c r="E1412" s="33">
        <v>1</v>
      </c>
      <c r="F1412" t="s">
        <v>975</v>
      </c>
      <c r="G1412" t="s">
        <v>144</v>
      </c>
      <c r="H1412" t="s">
        <v>232</v>
      </c>
      <c r="I1412" t="s">
        <v>91</v>
      </c>
      <c r="J1412" t="s">
        <v>195</v>
      </c>
      <c r="K1412" s="17">
        <v>0</v>
      </c>
      <c r="L1412" s="28"/>
    </row>
    <row r="1413" spans="1:12" s="25" customFormat="1" x14ac:dyDescent="0.2">
      <c r="A1413">
        <v>2014</v>
      </c>
      <c r="B1413" t="s">
        <v>240</v>
      </c>
      <c r="C1413" t="s">
        <v>976</v>
      </c>
      <c r="D1413" s="65">
        <v>230</v>
      </c>
      <c r="E1413" s="33">
        <v>1</v>
      </c>
      <c r="F1413" t="s">
        <v>977</v>
      </c>
      <c r="G1413" t="s">
        <v>149</v>
      </c>
      <c r="I1413" t="s">
        <v>112</v>
      </c>
      <c r="J1413" t="s">
        <v>219</v>
      </c>
      <c r="K1413" s="17">
        <v>1</v>
      </c>
      <c r="L1413" s="28"/>
    </row>
    <row r="1414" spans="1:12" s="25" customFormat="1" x14ac:dyDescent="0.2">
      <c r="A1414">
        <v>2014</v>
      </c>
      <c r="B1414" t="s">
        <v>240</v>
      </c>
      <c r="C1414" t="s">
        <v>978</v>
      </c>
      <c r="D1414" s="65">
        <v>130</v>
      </c>
      <c r="E1414" s="33"/>
      <c r="G1414" t="s">
        <v>151</v>
      </c>
      <c r="H1414" t="s">
        <v>224</v>
      </c>
      <c r="I1414" t="s">
        <v>9</v>
      </c>
      <c r="J1414" t="s">
        <v>9</v>
      </c>
      <c r="K1414" s="17">
        <v>0</v>
      </c>
      <c r="L1414" s="28"/>
    </row>
    <row r="1415" spans="1:12" s="25" customFormat="1" x14ac:dyDescent="0.2">
      <c r="A1415">
        <v>2014</v>
      </c>
      <c r="B1415" t="s">
        <v>240</v>
      </c>
      <c r="C1415" t="s">
        <v>389</v>
      </c>
      <c r="D1415" s="65">
        <v>2960</v>
      </c>
      <c r="E1415" s="33"/>
      <c r="G1415" t="s">
        <v>144</v>
      </c>
      <c r="H1415" t="s">
        <v>273</v>
      </c>
      <c r="I1415" t="s">
        <v>9</v>
      </c>
      <c r="J1415" t="s">
        <v>9</v>
      </c>
      <c r="K1415" s="17">
        <v>0</v>
      </c>
      <c r="L1415" s="28"/>
    </row>
    <row r="1416" spans="1:12" s="25" customFormat="1" x14ac:dyDescent="0.2">
      <c r="A1416">
        <v>2014</v>
      </c>
      <c r="B1416" t="s">
        <v>240</v>
      </c>
      <c r="C1416" t="s">
        <v>221</v>
      </c>
      <c r="D1416" s="65">
        <v>120</v>
      </c>
      <c r="E1416" s="33"/>
      <c r="G1416" t="s">
        <v>142</v>
      </c>
      <c r="I1416" t="s">
        <v>6</v>
      </c>
      <c r="J1416" t="s">
        <v>219</v>
      </c>
      <c r="K1416" s="17">
        <v>1</v>
      </c>
      <c r="L1416" s="28"/>
    </row>
    <row r="1417" spans="1:12" s="25" customFormat="1" x14ac:dyDescent="0.2">
      <c r="A1417">
        <v>2014</v>
      </c>
      <c r="B1417" t="s">
        <v>240</v>
      </c>
      <c r="C1417" t="s">
        <v>703</v>
      </c>
      <c r="D1417" s="65">
        <v>450</v>
      </c>
      <c r="E1417" s="33">
        <v>1</v>
      </c>
      <c r="G1417" t="s">
        <v>144</v>
      </c>
      <c r="H1417" t="s">
        <v>232</v>
      </c>
      <c r="I1417" t="s">
        <v>101</v>
      </c>
      <c r="J1417" t="s">
        <v>201</v>
      </c>
      <c r="K1417" s="17">
        <v>1</v>
      </c>
      <c r="L1417" s="28" t="s">
        <v>178</v>
      </c>
    </row>
    <row r="1418" spans="1:12" s="25" customFormat="1" x14ac:dyDescent="0.2">
      <c r="A1418">
        <v>2014</v>
      </c>
      <c r="B1418" t="s">
        <v>240</v>
      </c>
      <c r="C1418" t="s">
        <v>979</v>
      </c>
      <c r="D1418" s="65">
        <v>210</v>
      </c>
      <c r="E1418" s="33"/>
      <c r="G1418" t="s">
        <v>150</v>
      </c>
      <c r="H1418" t="s">
        <v>292</v>
      </c>
      <c r="I1418" t="s">
        <v>136</v>
      </c>
      <c r="J1418" t="s">
        <v>183</v>
      </c>
      <c r="K1418" s="17">
        <v>1</v>
      </c>
      <c r="L1418" s="28" t="s">
        <v>178</v>
      </c>
    </row>
    <row r="1419" spans="1:12" s="25" customFormat="1" x14ac:dyDescent="0.2">
      <c r="A1419">
        <v>2014</v>
      </c>
      <c r="B1419" t="s">
        <v>240</v>
      </c>
      <c r="C1419" t="s">
        <v>980</v>
      </c>
      <c r="D1419" s="65">
        <v>170</v>
      </c>
      <c r="E1419" s="33">
        <v>1</v>
      </c>
      <c r="F1419" t="s">
        <v>981</v>
      </c>
      <c r="G1419" t="s">
        <v>144</v>
      </c>
      <c r="H1419" t="s">
        <v>299</v>
      </c>
      <c r="I1419" t="s">
        <v>9</v>
      </c>
      <c r="J1419" t="s">
        <v>9</v>
      </c>
      <c r="K1419" s="17">
        <v>0</v>
      </c>
      <c r="L1419" s="28"/>
    </row>
    <row r="1420" spans="1:12" s="25" customFormat="1" x14ac:dyDescent="0.2">
      <c r="A1420">
        <v>2014</v>
      </c>
      <c r="B1420" t="s">
        <v>240</v>
      </c>
      <c r="C1420" t="s">
        <v>982</v>
      </c>
      <c r="D1420" s="65">
        <v>200</v>
      </c>
      <c r="E1420" s="33">
        <v>1</v>
      </c>
      <c r="G1420" t="s">
        <v>151</v>
      </c>
      <c r="H1420" t="s">
        <v>279</v>
      </c>
      <c r="I1420" t="s">
        <v>72</v>
      </c>
      <c r="J1420" t="s">
        <v>183</v>
      </c>
      <c r="K1420" s="17">
        <v>1</v>
      </c>
      <c r="L1420" s="28" t="s">
        <v>178</v>
      </c>
    </row>
    <row r="1421" spans="1:12" s="25" customFormat="1" x14ac:dyDescent="0.2">
      <c r="A1421">
        <v>2014</v>
      </c>
      <c r="B1421" t="s">
        <v>240</v>
      </c>
      <c r="C1421" t="s">
        <v>562</v>
      </c>
      <c r="D1421" s="65">
        <v>2000</v>
      </c>
      <c r="E1421" s="33">
        <v>1</v>
      </c>
      <c r="G1421" t="s">
        <v>151</v>
      </c>
      <c r="H1421" t="s">
        <v>224</v>
      </c>
      <c r="I1421" t="s">
        <v>48</v>
      </c>
      <c r="J1421" t="s">
        <v>219</v>
      </c>
      <c r="K1421" s="17">
        <v>1</v>
      </c>
      <c r="L1421" s="28" t="s">
        <v>178</v>
      </c>
    </row>
    <row r="1422" spans="1:12" s="25" customFormat="1" x14ac:dyDescent="0.2">
      <c r="A1422">
        <v>2014</v>
      </c>
      <c r="B1422" t="s">
        <v>240</v>
      </c>
      <c r="C1422" t="s">
        <v>444</v>
      </c>
      <c r="D1422" s="65">
        <v>970</v>
      </c>
      <c r="E1422" s="33"/>
      <c r="G1422" t="s">
        <v>144</v>
      </c>
      <c r="I1422" t="s">
        <v>106</v>
      </c>
      <c r="J1422" t="s">
        <v>195</v>
      </c>
      <c r="K1422" s="17">
        <v>1</v>
      </c>
      <c r="L1422" s="28"/>
    </row>
    <row r="1423" spans="1:12" s="25" customFormat="1" x14ac:dyDescent="0.2">
      <c r="A1423">
        <v>2014</v>
      </c>
      <c r="B1423" t="s">
        <v>212</v>
      </c>
      <c r="C1423" t="s">
        <v>705</v>
      </c>
      <c r="D1423" s="65">
        <v>2580</v>
      </c>
      <c r="E1423" s="33">
        <v>0.56000000000000005</v>
      </c>
      <c r="F1423" t="s">
        <v>983</v>
      </c>
      <c r="G1423" t="s">
        <v>151</v>
      </c>
      <c r="H1423" t="s">
        <v>224</v>
      </c>
      <c r="I1423" t="s">
        <v>131</v>
      </c>
      <c r="J1423" t="s">
        <v>131</v>
      </c>
      <c r="K1423" s="17">
        <v>0</v>
      </c>
      <c r="L1423" s="28" t="s">
        <v>178</v>
      </c>
    </row>
    <row r="1424" spans="1:12" s="25" customFormat="1" x14ac:dyDescent="0.2">
      <c r="A1424">
        <v>2014</v>
      </c>
      <c r="B1424" t="s">
        <v>212</v>
      </c>
      <c r="C1424" t="s">
        <v>661</v>
      </c>
      <c r="D1424" s="65">
        <v>810</v>
      </c>
      <c r="E1424" s="33">
        <v>0.9</v>
      </c>
      <c r="G1424" t="s">
        <v>151</v>
      </c>
      <c r="H1424" t="s">
        <v>224</v>
      </c>
      <c r="I1424" t="s">
        <v>131</v>
      </c>
      <c r="J1424" t="s">
        <v>131</v>
      </c>
      <c r="K1424" s="17">
        <v>0</v>
      </c>
      <c r="L1424" s="28" t="s">
        <v>178</v>
      </c>
    </row>
    <row r="1425" spans="1:18" s="25" customFormat="1" x14ac:dyDescent="0.2">
      <c r="A1425">
        <v>2014</v>
      </c>
      <c r="B1425" t="s">
        <v>212</v>
      </c>
      <c r="C1425" t="s">
        <v>984</v>
      </c>
      <c r="D1425" s="65">
        <v>180</v>
      </c>
      <c r="E1425" s="33">
        <v>0.51</v>
      </c>
      <c r="F1425" t="s">
        <v>985</v>
      </c>
      <c r="G1425" t="s">
        <v>150</v>
      </c>
      <c r="I1425" t="s">
        <v>25</v>
      </c>
      <c r="J1425" t="s">
        <v>177</v>
      </c>
      <c r="K1425" s="17">
        <v>0</v>
      </c>
      <c r="L1425" s="28"/>
    </row>
    <row r="1426" spans="1:18" s="25" customFormat="1" x14ac:dyDescent="0.2">
      <c r="A1426">
        <v>2014</v>
      </c>
      <c r="B1426" t="s">
        <v>212</v>
      </c>
      <c r="C1426" t="s">
        <v>962</v>
      </c>
      <c r="D1426" s="65">
        <v>230</v>
      </c>
      <c r="E1426" s="33"/>
      <c r="F1426" t="s">
        <v>986</v>
      </c>
      <c r="G1426" t="s">
        <v>146</v>
      </c>
      <c r="H1426" t="s">
        <v>275</v>
      </c>
      <c r="I1426" t="s">
        <v>15</v>
      </c>
      <c r="J1426" t="s">
        <v>195</v>
      </c>
      <c r="K1426" s="17">
        <v>0</v>
      </c>
      <c r="L1426" s="28"/>
    </row>
    <row r="1427" spans="1:18" s="25" customFormat="1" x14ac:dyDescent="0.2">
      <c r="A1427">
        <v>2014</v>
      </c>
      <c r="B1427" t="s">
        <v>212</v>
      </c>
      <c r="C1427" t="s">
        <v>661</v>
      </c>
      <c r="D1427" s="65">
        <v>740</v>
      </c>
      <c r="E1427" s="33"/>
      <c r="F1427" t="s">
        <v>987</v>
      </c>
      <c r="G1427" t="s">
        <v>145</v>
      </c>
      <c r="I1427" t="s">
        <v>9</v>
      </c>
      <c r="J1427" t="s">
        <v>9</v>
      </c>
      <c r="K1427" s="17">
        <v>0</v>
      </c>
      <c r="L1427" s="28"/>
    </row>
    <row r="1428" spans="1:18" s="25" customFormat="1" x14ac:dyDescent="0.2">
      <c r="A1428">
        <v>2014</v>
      </c>
      <c r="B1428" t="s">
        <v>212</v>
      </c>
      <c r="C1428" t="s">
        <v>479</v>
      </c>
      <c r="D1428" s="65">
        <v>790</v>
      </c>
      <c r="E1428" s="33"/>
      <c r="F1428" t="s">
        <v>988</v>
      </c>
      <c r="G1428" t="s">
        <v>154</v>
      </c>
      <c r="I1428" t="s">
        <v>9</v>
      </c>
      <c r="J1428" t="s">
        <v>9</v>
      </c>
      <c r="K1428" s="17">
        <v>0</v>
      </c>
      <c r="L1428" s="28"/>
    </row>
    <row r="1429" spans="1:18" s="25" customFormat="1" x14ac:dyDescent="0.2">
      <c r="A1429">
        <v>2014</v>
      </c>
      <c r="B1429" t="s">
        <v>212</v>
      </c>
      <c r="C1429" t="s">
        <v>989</v>
      </c>
      <c r="D1429" s="65">
        <v>190</v>
      </c>
      <c r="E1429" s="33">
        <v>0.25</v>
      </c>
      <c r="G1429" t="s">
        <v>154</v>
      </c>
      <c r="H1429" t="s">
        <v>250</v>
      </c>
      <c r="I1429" t="s">
        <v>42</v>
      </c>
      <c r="J1429" t="s">
        <v>195</v>
      </c>
      <c r="K1429" s="17">
        <v>0</v>
      </c>
      <c r="L1429" s="28"/>
    </row>
    <row r="1430" spans="1:18" s="25" customFormat="1" x14ac:dyDescent="0.2">
      <c r="A1430">
        <v>2014</v>
      </c>
      <c r="B1430" t="s">
        <v>212</v>
      </c>
      <c r="C1430" t="s">
        <v>990</v>
      </c>
      <c r="D1430" s="65">
        <v>470</v>
      </c>
      <c r="E1430" s="33"/>
      <c r="F1430" t="s">
        <v>991</v>
      </c>
      <c r="G1430" t="s">
        <v>146</v>
      </c>
      <c r="H1430" t="s">
        <v>253</v>
      </c>
      <c r="I1430" t="s">
        <v>99</v>
      </c>
      <c r="J1430" t="s">
        <v>195</v>
      </c>
      <c r="K1430" s="17">
        <v>1</v>
      </c>
      <c r="L1430" s="28"/>
    </row>
    <row r="1431" spans="1:18" s="25" customFormat="1" x14ac:dyDescent="0.2">
      <c r="A1431">
        <v>2014</v>
      </c>
      <c r="B1431" t="s">
        <v>212</v>
      </c>
      <c r="C1431" t="s">
        <v>248</v>
      </c>
      <c r="D1431" s="65">
        <v>600</v>
      </c>
      <c r="E1431" s="33"/>
      <c r="G1431" t="s">
        <v>151</v>
      </c>
      <c r="H1431" t="s">
        <v>224</v>
      </c>
      <c r="I1431" t="s">
        <v>131</v>
      </c>
      <c r="J1431" t="s">
        <v>131</v>
      </c>
      <c r="K1431" s="17">
        <v>0</v>
      </c>
      <c r="L1431" s="28"/>
    </row>
    <row r="1432" spans="1:18" s="25" customFormat="1" x14ac:dyDescent="0.2">
      <c r="A1432">
        <v>2014</v>
      </c>
      <c r="B1432" t="s">
        <v>212</v>
      </c>
      <c r="C1432" t="s">
        <v>943</v>
      </c>
      <c r="D1432" s="65">
        <v>160</v>
      </c>
      <c r="E1432" s="33"/>
      <c r="F1432" t="s">
        <v>992</v>
      </c>
      <c r="G1432" t="s">
        <v>144</v>
      </c>
      <c r="H1432" t="s">
        <v>232</v>
      </c>
      <c r="I1432" t="s">
        <v>20</v>
      </c>
      <c r="J1432" t="s">
        <v>195</v>
      </c>
      <c r="K1432" s="17">
        <v>0</v>
      </c>
      <c r="L1432" s="28"/>
    </row>
    <row r="1433" spans="1:18" s="25" customFormat="1" x14ac:dyDescent="0.2">
      <c r="A1433">
        <v>2014</v>
      </c>
      <c r="B1433" t="s">
        <v>212</v>
      </c>
      <c r="C1433" t="s">
        <v>300</v>
      </c>
      <c r="D1433" s="65">
        <v>100</v>
      </c>
      <c r="E1433" s="33">
        <v>0.02</v>
      </c>
      <c r="F1433" t="s">
        <v>993</v>
      </c>
      <c r="G1433" t="s">
        <v>144</v>
      </c>
      <c r="H1433" t="s">
        <v>187</v>
      </c>
      <c r="I1433" t="s">
        <v>58</v>
      </c>
      <c r="J1433" t="s">
        <v>195</v>
      </c>
      <c r="K1433" s="17">
        <v>0</v>
      </c>
      <c r="L1433" s="28"/>
    </row>
    <row r="1434" spans="1:18" s="25" customFormat="1" x14ac:dyDescent="0.2">
      <c r="A1434">
        <v>2014</v>
      </c>
      <c r="B1434" t="s">
        <v>212</v>
      </c>
      <c r="C1434" t="s">
        <v>910</v>
      </c>
      <c r="D1434" s="65">
        <v>600</v>
      </c>
      <c r="E1434" s="33"/>
      <c r="F1434" t="s">
        <v>994</v>
      </c>
      <c r="G1434" t="s">
        <v>154</v>
      </c>
      <c r="H1434" t="s">
        <v>194</v>
      </c>
      <c r="I1434" t="s">
        <v>131</v>
      </c>
      <c r="J1434" t="s">
        <v>131</v>
      </c>
      <c r="K1434" s="17">
        <v>0</v>
      </c>
      <c r="L1434" s="28"/>
    </row>
    <row r="1435" spans="1:18" s="25" customFormat="1" x14ac:dyDescent="0.2">
      <c r="A1435">
        <v>2014</v>
      </c>
      <c r="B1435" t="s">
        <v>212</v>
      </c>
      <c r="C1435" t="s">
        <v>995</v>
      </c>
      <c r="D1435" s="65">
        <v>160</v>
      </c>
      <c r="E1435" s="33"/>
      <c r="G1435" t="s">
        <v>153</v>
      </c>
      <c r="I1435" t="s">
        <v>131</v>
      </c>
      <c r="J1435" t="s">
        <v>131</v>
      </c>
      <c r="K1435" s="17">
        <v>0</v>
      </c>
      <c r="L1435" s="28"/>
    </row>
    <row r="1436" spans="1:18" s="36" customFormat="1" x14ac:dyDescent="0.2">
      <c r="A1436">
        <v>2014</v>
      </c>
      <c r="B1436" t="s">
        <v>212</v>
      </c>
      <c r="C1436" t="s">
        <v>246</v>
      </c>
      <c r="D1436" s="65">
        <v>140</v>
      </c>
      <c r="E1436" s="33">
        <v>0.49</v>
      </c>
      <c r="F1436" t="s">
        <v>737</v>
      </c>
      <c r="G1436" t="s">
        <v>144</v>
      </c>
      <c r="H1436" t="s">
        <v>232</v>
      </c>
      <c r="I1436" t="s">
        <v>19</v>
      </c>
      <c r="J1436" t="s">
        <v>205</v>
      </c>
      <c r="K1436" s="17">
        <v>0</v>
      </c>
      <c r="L1436" s="28"/>
    </row>
    <row r="1437" spans="1:18" s="36" customFormat="1" x14ac:dyDescent="0.2">
      <c r="A1437">
        <v>2014</v>
      </c>
      <c r="B1437" t="s">
        <v>212</v>
      </c>
      <c r="C1437" t="s">
        <v>572</v>
      </c>
      <c r="D1437" s="65">
        <v>150</v>
      </c>
      <c r="E1437" s="33"/>
      <c r="G1437" t="s">
        <v>144</v>
      </c>
      <c r="H1437" t="s">
        <v>232</v>
      </c>
      <c r="I1437" t="s">
        <v>25</v>
      </c>
      <c r="J1437" t="s">
        <v>177</v>
      </c>
      <c r="K1437" s="17">
        <v>0</v>
      </c>
      <c r="L1437" s="28" t="s">
        <v>178</v>
      </c>
    </row>
    <row r="1438" spans="1:18" s="17" customFormat="1" x14ac:dyDescent="0.2">
      <c r="A1438">
        <v>2014</v>
      </c>
      <c r="B1438" t="s">
        <v>212</v>
      </c>
      <c r="C1438" t="s">
        <v>996</v>
      </c>
      <c r="D1438" s="65">
        <v>620</v>
      </c>
      <c r="E1438" s="33">
        <v>1</v>
      </c>
      <c r="G1438" t="s">
        <v>142</v>
      </c>
      <c r="I1438" t="s">
        <v>132</v>
      </c>
      <c r="J1438" t="s">
        <v>219</v>
      </c>
      <c r="K1438" s="17">
        <v>1</v>
      </c>
      <c r="L1438" s="28" t="s">
        <v>178</v>
      </c>
      <c r="N1438" s="2"/>
      <c r="O1438" s="4"/>
      <c r="P1438" s="4"/>
      <c r="Q1438" s="4"/>
      <c r="R1438" s="4"/>
    </row>
    <row r="1439" spans="1:18" s="17" customFormat="1" x14ac:dyDescent="0.2">
      <c r="A1439">
        <v>2014</v>
      </c>
      <c r="B1439" t="s">
        <v>212</v>
      </c>
      <c r="C1439" t="s">
        <v>997</v>
      </c>
      <c r="D1439" s="65">
        <v>300</v>
      </c>
      <c r="E1439" s="33"/>
      <c r="F1439" t="s">
        <v>998</v>
      </c>
      <c r="G1439" t="s">
        <v>151</v>
      </c>
      <c r="H1439" t="s">
        <v>224</v>
      </c>
      <c r="I1439" t="s">
        <v>20</v>
      </c>
      <c r="J1439" t="s">
        <v>195</v>
      </c>
      <c r="K1439" s="17">
        <v>0</v>
      </c>
      <c r="L1439" s="28"/>
      <c r="N1439" s="2"/>
      <c r="O1439" s="4"/>
      <c r="P1439" s="4"/>
      <c r="Q1439" s="4"/>
      <c r="R1439" s="4"/>
    </row>
    <row r="1440" spans="1:18" s="25" customFormat="1" x14ac:dyDescent="0.2">
      <c r="A1440">
        <v>2014</v>
      </c>
      <c r="B1440" t="s">
        <v>212</v>
      </c>
      <c r="C1440" t="s">
        <v>999</v>
      </c>
      <c r="D1440" s="65">
        <v>160</v>
      </c>
      <c r="E1440" s="33">
        <v>1</v>
      </c>
      <c r="F1440" t="s">
        <v>1000</v>
      </c>
      <c r="G1440" t="s">
        <v>153</v>
      </c>
      <c r="I1440" t="s">
        <v>20</v>
      </c>
      <c r="J1440" t="s">
        <v>195</v>
      </c>
      <c r="K1440" s="17">
        <v>0</v>
      </c>
      <c r="L1440" s="28"/>
    </row>
    <row r="1441" spans="1:12" s="25" customFormat="1" x14ac:dyDescent="0.2">
      <c r="A1441">
        <v>2014</v>
      </c>
      <c r="B1441" t="s">
        <v>212</v>
      </c>
      <c r="C1441" t="s">
        <v>263</v>
      </c>
      <c r="D1441" s="65">
        <v>190</v>
      </c>
      <c r="E1441" s="33">
        <v>0.08</v>
      </c>
      <c r="F1441" t="s">
        <v>1001</v>
      </c>
      <c r="G1441" t="s">
        <v>144</v>
      </c>
      <c r="I1441" t="s">
        <v>131</v>
      </c>
      <c r="J1441" t="s">
        <v>131</v>
      </c>
      <c r="K1441" s="17">
        <v>0</v>
      </c>
      <c r="L1441" s="28"/>
    </row>
    <row r="1442" spans="1:12" s="25" customFormat="1" x14ac:dyDescent="0.2">
      <c r="A1442">
        <v>2014</v>
      </c>
      <c r="B1442" t="s">
        <v>212</v>
      </c>
      <c r="C1442" t="s">
        <v>1002</v>
      </c>
      <c r="D1442" s="65">
        <v>3440</v>
      </c>
      <c r="E1442" s="33">
        <v>0.7</v>
      </c>
      <c r="G1442" t="s">
        <v>144</v>
      </c>
      <c r="H1442" t="s">
        <v>187</v>
      </c>
      <c r="I1442" t="s">
        <v>21</v>
      </c>
      <c r="J1442" t="s">
        <v>183</v>
      </c>
      <c r="K1442" s="17">
        <v>1</v>
      </c>
      <c r="L1442" s="28" t="s">
        <v>178</v>
      </c>
    </row>
    <row r="1443" spans="1:12" s="25" customFormat="1" x14ac:dyDescent="0.2">
      <c r="A1443">
        <v>2014</v>
      </c>
      <c r="B1443" t="s">
        <v>212</v>
      </c>
      <c r="C1443" t="s">
        <v>199</v>
      </c>
      <c r="D1443" s="65">
        <v>1940</v>
      </c>
      <c r="E1443" s="33">
        <v>0.2</v>
      </c>
      <c r="F1443" t="s">
        <v>1003</v>
      </c>
      <c r="G1443" t="s">
        <v>144</v>
      </c>
      <c r="H1443" t="s">
        <v>299</v>
      </c>
      <c r="I1443" t="s">
        <v>101</v>
      </c>
      <c r="J1443" t="s">
        <v>201</v>
      </c>
      <c r="K1443" s="17">
        <v>1</v>
      </c>
      <c r="L1443" s="28" t="s">
        <v>178</v>
      </c>
    </row>
    <row r="1444" spans="1:12" s="25" customFormat="1" x14ac:dyDescent="0.2">
      <c r="A1444">
        <v>2014</v>
      </c>
      <c r="B1444" t="s">
        <v>212</v>
      </c>
      <c r="C1444" t="s">
        <v>479</v>
      </c>
      <c r="D1444" s="65">
        <v>730</v>
      </c>
      <c r="E1444" s="33"/>
      <c r="G1444" t="s">
        <v>154</v>
      </c>
      <c r="H1444" t="s">
        <v>194</v>
      </c>
      <c r="I1444" t="s">
        <v>60</v>
      </c>
      <c r="J1444" t="s">
        <v>177</v>
      </c>
      <c r="K1444" s="17">
        <v>1</v>
      </c>
      <c r="L1444" s="28"/>
    </row>
    <row r="1445" spans="1:12" s="25" customFormat="1" x14ac:dyDescent="0.2">
      <c r="A1445">
        <v>2014</v>
      </c>
      <c r="B1445" t="s">
        <v>172</v>
      </c>
      <c r="C1445" t="s">
        <v>444</v>
      </c>
      <c r="D1445" s="22">
        <v>300</v>
      </c>
      <c r="E1445" s="16"/>
      <c r="F1445" t="s">
        <v>2640</v>
      </c>
      <c r="G1445" t="s">
        <v>155</v>
      </c>
      <c r="I1445" t="s">
        <v>46</v>
      </c>
      <c r="J1445" t="s">
        <v>219</v>
      </c>
      <c r="K1445">
        <v>1</v>
      </c>
      <c r="L1445" s="2"/>
    </row>
    <row r="1446" spans="1:12" s="25" customFormat="1" x14ac:dyDescent="0.2">
      <c r="A1446">
        <v>2014</v>
      </c>
      <c r="B1446" t="s">
        <v>172</v>
      </c>
      <c r="C1446" t="s">
        <v>1035</v>
      </c>
      <c r="D1446" s="22">
        <v>240</v>
      </c>
      <c r="E1446" s="16"/>
      <c r="G1446" t="s">
        <v>144</v>
      </c>
      <c r="H1446" t="s">
        <v>197</v>
      </c>
      <c r="I1446" t="s">
        <v>93</v>
      </c>
      <c r="J1446" t="s">
        <v>201</v>
      </c>
      <c r="K1446">
        <v>1</v>
      </c>
      <c r="L1446" s="2"/>
    </row>
    <row r="1447" spans="1:12" s="25" customFormat="1" x14ac:dyDescent="0.2">
      <c r="A1447">
        <v>2014</v>
      </c>
      <c r="B1447" t="s">
        <v>172</v>
      </c>
      <c r="C1447" t="s">
        <v>449</v>
      </c>
      <c r="D1447" s="22">
        <v>1450</v>
      </c>
      <c r="E1447" s="16"/>
      <c r="G1447" t="s">
        <v>154</v>
      </c>
      <c r="H1447" t="s">
        <v>529</v>
      </c>
      <c r="I1447" t="s">
        <v>116</v>
      </c>
      <c r="J1447" t="s">
        <v>214</v>
      </c>
      <c r="K1447">
        <v>1</v>
      </c>
      <c r="L1447" s="2"/>
    </row>
    <row r="1448" spans="1:12" s="25" customFormat="1" x14ac:dyDescent="0.2">
      <c r="A1448">
        <v>2014</v>
      </c>
      <c r="B1448" t="s">
        <v>172</v>
      </c>
      <c r="C1448" t="s">
        <v>444</v>
      </c>
      <c r="D1448" s="22">
        <v>130</v>
      </c>
      <c r="E1448" s="16"/>
      <c r="G1448" t="s">
        <v>144</v>
      </c>
      <c r="I1448" t="s">
        <v>26</v>
      </c>
      <c r="J1448" t="s">
        <v>219</v>
      </c>
      <c r="K1448">
        <v>1</v>
      </c>
      <c r="L1448" s="2"/>
    </row>
    <row r="1449" spans="1:12" s="25" customFormat="1" x14ac:dyDescent="0.2">
      <c r="A1449">
        <v>2014</v>
      </c>
      <c r="B1449" t="s">
        <v>172</v>
      </c>
      <c r="C1449" t="s">
        <v>815</v>
      </c>
      <c r="D1449" s="22">
        <v>190</v>
      </c>
      <c r="E1449" s="16"/>
      <c r="F1449" t="s">
        <v>2641</v>
      </c>
      <c r="G1449" t="s">
        <v>151</v>
      </c>
      <c r="H1449" t="s">
        <v>279</v>
      </c>
      <c r="I1449" t="s">
        <v>55</v>
      </c>
      <c r="J1449" t="s">
        <v>214</v>
      </c>
      <c r="K1449">
        <v>1</v>
      </c>
      <c r="L1449" s="2"/>
    </row>
    <row r="1450" spans="1:12" s="25" customFormat="1" x14ac:dyDescent="0.2">
      <c r="A1450">
        <v>2014</v>
      </c>
      <c r="B1450" t="s">
        <v>172</v>
      </c>
      <c r="C1450" t="s">
        <v>444</v>
      </c>
      <c r="D1450" s="22">
        <v>100</v>
      </c>
      <c r="E1450" s="16"/>
      <c r="F1450" t="s">
        <v>2642</v>
      </c>
      <c r="G1450" t="s">
        <v>144</v>
      </c>
      <c r="H1450" t="s">
        <v>232</v>
      </c>
      <c r="I1450" t="s">
        <v>65</v>
      </c>
      <c r="J1450" t="s">
        <v>214</v>
      </c>
      <c r="K1450">
        <v>1</v>
      </c>
      <c r="L1450" s="2"/>
    </row>
    <row r="1451" spans="1:12" s="25" customFormat="1" x14ac:dyDescent="0.2">
      <c r="A1451">
        <v>2014</v>
      </c>
      <c r="B1451" t="s">
        <v>172</v>
      </c>
      <c r="C1451" t="s">
        <v>246</v>
      </c>
      <c r="D1451" s="22">
        <v>100</v>
      </c>
      <c r="E1451" s="16"/>
      <c r="G1451" t="s">
        <v>144</v>
      </c>
      <c r="H1451" t="s">
        <v>197</v>
      </c>
      <c r="I1451" t="s">
        <v>84</v>
      </c>
      <c r="J1451" t="s">
        <v>201</v>
      </c>
      <c r="K1451">
        <v>1</v>
      </c>
      <c r="L1451" s="2"/>
    </row>
    <row r="1452" spans="1:12" s="25" customFormat="1" x14ac:dyDescent="0.2">
      <c r="A1452">
        <v>2014</v>
      </c>
      <c r="B1452" t="s">
        <v>172</v>
      </c>
      <c r="C1452" t="s">
        <v>2643</v>
      </c>
      <c r="D1452" s="22">
        <v>100</v>
      </c>
      <c r="E1452" s="16"/>
      <c r="G1452" t="s">
        <v>144</v>
      </c>
      <c r="H1452" t="s">
        <v>197</v>
      </c>
      <c r="I1452" t="s">
        <v>39</v>
      </c>
      <c r="J1452" t="s">
        <v>219</v>
      </c>
      <c r="K1452">
        <v>1</v>
      </c>
      <c r="L1452" s="2"/>
    </row>
    <row r="1453" spans="1:12" s="25" customFormat="1" x14ac:dyDescent="0.2">
      <c r="A1453">
        <v>2014</v>
      </c>
      <c r="B1453" t="s">
        <v>172</v>
      </c>
      <c r="C1453" t="s">
        <v>1234</v>
      </c>
      <c r="D1453" s="22">
        <v>210</v>
      </c>
      <c r="E1453" s="16"/>
      <c r="G1453" t="s">
        <v>144</v>
      </c>
      <c r="H1453" t="s">
        <v>273</v>
      </c>
      <c r="I1453" t="s">
        <v>97</v>
      </c>
      <c r="J1453" t="s">
        <v>183</v>
      </c>
      <c r="K1453">
        <v>1</v>
      </c>
      <c r="L1453" s="2"/>
    </row>
    <row r="1454" spans="1:12" s="25" customFormat="1" ht="14.25" customHeight="1" x14ac:dyDescent="0.2">
      <c r="A1454">
        <v>2014</v>
      </c>
      <c r="B1454" t="s">
        <v>172</v>
      </c>
      <c r="C1454" t="s">
        <v>668</v>
      </c>
      <c r="D1454" s="22">
        <v>780</v>
      </c>
      <c r="E1454" s="16"/>
      <c r="G1454" t="s">
        <v>144</v>
      </c>
      <c r="H1454" t="s">
        <v>197</v>
      </c>
      <c r="I1454" t="s">
        <v>6</v>
      </c>
      <c r="J1454" t="s">
        <v>219</v>
      </c>
      <c r="K1454">
        <v>1</v>
      </c>
      <c r="L1454" s="2"/>
    </row>
    <row r="1455" spans="1:12" s="25" customFormat="1" x14ac:dyDescent="0.2">
      <c r="A1455">
        <v>2014</v>
      </c>
      <c r="B1455" t="s">
        <v>172</v>
      </c>
      <c r="C1455" t="s">
        <v>1035</v>
      </c>
      <c r="D1455" s="22">
        <v>450</v>
      </c>
      <c r="E1455" s="16"/>
      <c r="F1455" t="s">
        <v>2190</v>
      </c>
      <c r="G1455" t="s">
        <v>144</v>
      </c>
      <c r="H1455" t="s">
        <v>273</v>
      </c>
      <c r="I1455" t="s">
        <v>138</v>
      </c>
      <c r="J1455" t="s">
        <v>219</v>
      </c>
      <c r="K1455">
        <v>1</v>
      </c>
      <c r="L1455" s="2"/>
    </row>
    <row r="1456" spans="1:12" s="25" customFormat="1" x14ac:dyDescent="0.2">
      <c r="A1456">
        <v>2014</v>
      </c>
      <c r="B1456" t="s">
        <v>172</v>
      </c>
      <c r="C1456" t="s">
        <v>2486</v>
      </c>
      <c r="D1456" s="22">
        <v>130</v>
      </c>
      <c r="E1456" s="16"/>
      <c r="G1456" t="s">
        <v>154</v>
      </c>
      <c r="H1456" t="s">
        <v>250</v>
      </c>
      <c r="I1456" t="s">
        <v>123</v>
      </c>
      <c r="J1456" t="s">
        <v>219</v>
      </c>
      <c r="K1456">
        <v>1</v>
      </c>
      <c r="L1456" s="2"/>
    </row>
    <row r="1457" spans="1:12" s="25" customFormat="1" x14ac:dyDescent="0.2">
      <c r="A1457">
        <v>2014</v>
      </c>
      <c r="B1457" t="s">
        <v>258</v>
      </c>
      <c r="C1457" t="s">
        <v>479</v>
      </c>
      <c r="D1457" s="22">
        <v>100</v>
      </c>
      <c r="E1457" s="16"/>
      <c r="G1457" t="s">
        <v>154</v>
      </c>
      <c r="H1457" t="s">
        <v>271</v>
      </c>
      <c r="I1457" t="s">
        <v>31</v>
      </c>
      <c r="J1457" t="s">
        <v>177</v>
      </c>
      <c r="K1457">
        <v>1</v>
      </c>
      <c r="L1457" s="2"/>
    </row>
    <row r="1458" spans="1:12" s="25" customFormat="1" x14ac:dyDescent="0.2">
      <c r="A1458">
        <v>2014</v>
      </c>
      <c r="B1458" t="s">
        <v>258</v>
      </c>
      <c r="C1458" t="s">
        <v>307</v>
      </c>
      <c r="D1458" s="22">
        <v>970</v>
      </c>
      <c r="E1458" s="16">
        <v>0.51</v>
      </c>
      <c r="F1458" t="s">
        <v>2644</v>
      </c>
      <c r="G1458" t="s">
        <v>144</v>
      </c>
      <c r="I1458" t="s">
        <v>19</v>
      </c>
      <c r="J1458" t="s">
        <v>205</v>
      </c>
      <c r="K1458">
        <v>0</v>
      </c>
      <c r="L1458" s="2"/>
    </row>
    <row r="1459" spans="1:12" s="25" customFormat="1" x14ac:dyDescent="0.2">
      <c r="A1459">
        <v>2014</v>
      </c>
      <c r="B1459" t="s">
        <v>258</v>
      </c>
      <c r="C1459" t="s">
        <v>479</v>
      </c>
      <c r="D1459" s="22">
        <v>400</v>
      </c>
      <c r="E1459" s="16"/>
      <c r="G1459" t="s">
        <v>154</v>
      </c>
      <c r="H1459" t="s">
        <v>271</v>
      </c>
      <c r="I1459" t="s">
        <v>39</v>
      </c>
      <c r="J1459" t="s">
        <v>219</v>
      </c>
      <c r="K1459">
        <v>1</v>
      </c>
      <c r="L1459" s="2"/>
    </row>
    <row r="1460" spans="1:12" s="25" customFormat="1" x14ac:dyDescent="0.2">
      <c r="A1460">
        <v>2014</v>
      </c>
      <c r="B1460" t="s">
        <v>258</v>
      </c>
      <c r="C1460" t="s">
        <v>479</v>
      </c>
      <c r="D1460" s="22">
        <v>200</v>
      </c>
      <c r="E1460" s="16"/>
      <c r="G1460" t="s">
        <v>154</v>
      </c>
      <c r="H1460" t="s">
        <v>271</v>
      </c>
      <c r="I1460" t="s">
        <v>123</v>
      </c>
      <c r="J1460" t="s">
        <v>219</v>
      </c>
      <c r="K1460">
        <v>1</v>
      </c>
      <c r="L1460" s="2"/>
    </row>
    <row r="1461" spans="1:12" s="25" customFormat="1" x14ac:dyDescent="0.2">
      <c r="A1461">
        <v>2014</v>
      </c>
      <c r="B1461" t="s">
        <v>258</v>
      </c>
      <c r="C1461" t="s">
        <v>479</v>
      </c>
      <c r="D1461" s="22">
        <v>200</v>
      </c>
      <c r="E1461" s="16"/>
      <c r="G1461" t="s">
        <v>154</v>
      </c>
      <c r="H1461" t="s">
        <v>271</v>
      </c>
      <c r="I1461" t="s">
        <v>105</v>
      </c>
      <c r="J1461" t="s">
        <v>214</v>
      </c>
      <c r="K1461">
        <v>1</v>
      </c>
      <c r="L1461" s="2"/>
    </row>
    <row r="1462" spans="1:12" s="25" customFormat="1" x14ac:dyDescent="0.2">
      <c r="A1462">
        <v>2014</v>
      </c>
      <c r="B1462" t="s">
        <v>258</v>
      </c>
      <c r="C1462" t="s">
        <v>397</v>
      </c>
      <c r="D1462" s="22">
        <v>520</v>
      </c>
      <c r="E1462" s="16"/>
      <c r="G1462" t="s">
        <v>145</v>
      </c>
      <c r="I1462" t="s">
        <v>29</v>
      </c>
      <c r="J1462" t="s">
        <v>219</v>
      </c>
      <c r="K1462">
        <v>1</v>
      </c>
      <c r="L1462" s="2"/>
    </row>
    <row r="1463" spans="1:12" s="25" customFormat="1" x14ac:dyDescent="0.2">
      <c r="A1463">
        <v>2014</v>
      </c>
      <c r="B1463" t="s">
        <v>258</v>
      </c>
      <c r="C1463" t="s">
        <v>244</v>
      </c>
      <c r="D1463" s="22">
        <v>490</v>
      </c>
      <c r="E1463" s="16"/>
      <c r="F1463" t="s">
        <v>448</v>
      </c>
      <c r="G1463" t="s">
        <v>149</v>
      </c>
      <c r="H1463" t="s">
        <v>236</v>
      </c>
      <c r="I1463" t="s">
        <v>63</v>
      </c>
      <c r="J1463" t="s">
        <v>201</v>
      </c>
      <c r="K1463">
        <v>1</v>
      </c>
      <c r="L1463" s="2"/>
    </row>
    <row r="1464" spans="1:12" s="25" customFormat="1" x14ac:dyDescent="0.2">
      <c r="A1464">
        <v>2014</v>
      </c>
      <c r="B1464" t="s">
        <v>258</v>
      </c>
      <c r="C1464" t="s">
        <v>1035</v>
      </c>
      <c r="D1464" s="22">
        <v>480</v>
      </c>
      <c r="E1464" s="16">
        <v>0.8</v>
      </c>
      <c r="F1464" t="s">
        <v>2645</v>
      </c>
      <c r="G1464" t="s">
        <v>154</v>
      </c>
      <c r="H1464" t="s">
        <v>194</v>
      </c>
      <c r="I1464" t="s">
        <v>135</v>
      </c>
      <c r="J1464" t="s">
        <v>205</v>
      </c>
      <c r="K1464">
        <v>1</v>
      </c>
      <c r="L1464" s="2"/>
    </row>
    <row r="1465" spans="1:12" s="25" customFormat="1" x14ac:dyDescent="0.2">
      <c r="A1465">
        <v>2014</v>
      </c>
      <c r="B1465" t="s">
        <v>258</v>
      </c>
      <c r="C1465" t="s">
        <v>444</v>
      </c>
      <c r="D1465" s="22">
        <v>130</v>
      </c>
      <c r="E1465" s="16"/>
      <c r="G1465" t="s">
        <v>154</v>
      </c>
      <c r="H1465" t="s">
        <v>194</v>
      </c>
      <c r="I1465" t="s">
        <v>29</v>
      </c>
      <c r="J1465" t="s">
        <v>219</v>
      </c>
      <c r="K1465">
        <v>1</v>
      </c>
      <c r="L1465" s="2"/>
    </row>
    <row r="1466" spans="1:12" s="25" customFormat="1" x14ac:dyDescent="0.2">
      <c r="A1466" s="17">
        <v>2014</v>
      </c>
      <c r="B1466" s="17" t="s">
        <v>258</v>
      </c>
      <c r="C1466" s="17" t="s">
        <v>199</v>
      </c>
      <c r="D1466" s="24">
        <v>1400</v>
      </c>
      <c r="E1466" s="18"/>
      <c r="F1466" s="17"/>
      <c r="G1466" s="17" t="s">
        <v>144</v>
      </c>
      <c r="H1466" s="17" t="s">
        <v>299</v>
      </c>
      <c r="I1466" s="17" t="s">
        <v>66</v>
      </c>
      <c r="J1466" s="17" t="s">
        <v>201</v>
      </c>
      <c r="K1466" s="17">
        <v>1</v>
      </c>
      <c r="L1466" s="2"/>
    </row>
    <row r="1467" spans="1:12" s="25" customFormat="1" x14ac:dyDescent="0.2">
      <c r="A1467">
        <v>2014</v>
      </c>
      <c r="B1467" t="s">
        <v>258</v>
      </c>
      <c r="C1467" t="s">
        <v>1035</v>
      </c>
      <c r="D1467" s="22">
        <v>240</v>
      </c>
      <c r="E1467" s="16"/>
      <c r="F1467" t="s">
        <v>2646</v>
      </c>
      <c r="G1467" t="s">
        <v>144</v>
      </c>
      <c r="H1467" t="s">
        <v>197</v>
      </c>
      <c r="I1467" t="s">
        <v>37</v>
      </c>
      <c r="J1467" t="s">
        <v>205</v>
      </c>
      <c r="K1467">
        <v>1</v>
      </c>
      <c r="L1467" s="2"/>
    </row>
    <row r="1468" spans="1:12" s="25" customFormat="1" ht="14.25" customHeight="1" x14ac:dyDescent="0.2">
      <c r="A1468">
        <v>2014</v>
      </c>
      <c r="B1468" t="s">
        <v>258</v>
      </c>
      <c r="C1468" t="s">
        <v>189</v>
      </c>
      <c r="D1468" s="22">
        <v>260</v>
      </c>
      <c r="E1468" s="16">
        <v>0.35</v>
      </c>
      <c r="F1468" t="s">
        <v>2422</v>
      </c>
      <c r="G1468" t="s">
        <v>143</v>
      </c>
      <c r="I1468" t="s">
        <v>105</v>
      </c>
      <c r="J1468" t="s">
        <v>214</v>
      </c>
      <c r="K1468">
        <v>1</v>
      </c>
      <c r="L1468" s="2"/>
    </row>
    <row r="1469" spans="1:12" s="25" customFormat="1" x14ac:dyDescent="0.2">
      <c r="A1469">
        <v>2014</v>
      </c>
      <c r="B1469" t="s">
        <v>179</v>
      </c>
      <c r="C1469" t="s">
        <v>479</v>
      </c>
      <c r="D1469" s="22">
        <v>1020</v>
      </c>
      <c r="E1469" s="16"/>
      <c r="G1469" t="s">
        <v>154</v>
      </c>
      <c r="H1469" t="s">
        <v>194</v>
      </c>
      <c r="I1469" t="s">
        <v>79</v>
      </c>
      <c r="J1469" t="s">
        <v>195</v>
      </c>
      <c r="K1469">
        <v>1</v>
      </c>
      <c r="L1469" s="2"/>
    </row>
    <row r="1470" spans="1:12" s="25" customFormat="1" x14ac:dyDescent="0.2">
      <c r="A1470">
        <v>2014</v>
      </c>
      <c r="B1470" t="s">
        <v>179</v>
      </c>
      <c r="C1470" t="s">
        <v>479</v>
      </c>
      <c r="D1470" s="22">
        <v>160</v>
      </c>
      <c r="E1470" s="16"/>
      <c r="G1470" t="s">
        <v>151</v>
      </c>
      <c r="H1470" t="s">
        <v>279</v>
      </c>
      <c r="I1470" t="s">
        <v>54</v>
      </c>
      <c r="J1470" t="s">
        <v>201</v>
      </c>
      <c r="K1470">
        <v>1</v>
      </c>
      <c r="L1470" s="2"/>
    </row>
    <row r="1471" spans="1:12" s="25" customFormat="1" x14ac:dyDescent="0.2">
      <c r="A1471">
        <v>2014</v>
      </c>
      <c r="B1471" t="s">
        <v>179</v>
      </c>
      <c r="C1471" t="s">
        <v>397</v>
      </c>
      <c r="D1471" s="22">
        <v>210</v>
      </c>
      <c r="E1471" s="16"/>
      <c r="G1471" t="s">
        <v>154</v>
      </c>
      <c r="H1471" t="s">
        <v>194</v>
      </c>
      <c r="I1471" t="s">
        <v>131</v>
      </c>
      <c r="J1471" t="s">
        <v>131</v>
      </c>
      <c r="K1471">
        <v>0</v>
      </c>
      <c r="L1471" s="2"/>
    </row>
    <row r="1472" spans="1:12" s="25" customFormat="1" x14ac:dyDescent="0.2">
      <c r="A1472">
        <v>2014</v>
      </c>
      <c r="B1472" t="s">
        <v>179</v>
      </c>
      <c r="C1472" t="s">
        <v>397</v>
      </c>
      <c r="D1472" s="22">
        <v>710</v>
      </c>
      <c r="E1472" s="16"/>
      <c r="G1472" t="s">
        <v>151</v>
      </c>
      <c r="H1472" t="s">
        <v>279</v>
      </c>
      <c r="I1472" t="s">
        <v>101</v>
      </c>
      <c r="J1472" t="s">
        <v>201</v>
      </c>
      <c r="K1472">
        <v>1</v>
      </c>
      <c r="L1472" s="2"/>
    </row>
    <row r="1473" spans="1:12" s="25" customFormat="1" x14ac:dyDescent="0.2">
      <c r="A1473">
        <v>2014</v>
      </c>
      <c r="B1473" t="s">
        <v>179</v>
      </c>
      <c r="C1473" t="s">
        <v>444</v>
      </c>
      <c r="D1473" s="22">
        <v>250</v>
      </c>
      <c r="E1473" s="16"/>
      <c r="G1473" t="s">
        <v>155</v>
      </c>
      <c r="I1473" t="s">
        <v>29</v>
      </c>
      <c r="J1473" t="s">
        <v>219</v>
      </c>
      <c r="K1473">
        <v>1</v>
      </c>
      <c r="L1473" s="2"/>
    </row>
    <row r="1474" spans="1:12" s="25" customFormat="1" x14ac:dyDescent="0.2">
      <c r="A1474">
        <v>2014</v>
      </c>
      <c r="B1474" t="s">
        <v>179</v>
      </c>
      <c r="C1474" t="s">
        <v>479</v>
      </c>
      <c r="D1474" s="22">
        <v>220</v>
      </c>
      <c r="E1474" s="16"/>
      <c r="G1474" t="s">
        <v>154</v>
      </c>
      <c r="H1474" t="s">
        <v>271</v>
      </c>
      <c r="I1474" t="s">
        <v>93</v>
      </c>
      <c r="J1474" t="s">
        <v>201</v>
      </c>
      <c r="K1474">
        <v>1</v>
      </c>
      <c r="L1474" s="2"/>
    </row>
    <row r="1475" spans="1:12" s="25" customFormat="1" x14ac:dyDescent="0.2">
      <c r="A1475">
        <v>2014</v>
      </c>
      <c r="B1475" t="s">
        <v>179</v>
      </c>
      <c r="C1475" t="s">
        <v>397</v>
      </c>
      <c r="D1475" s="22">
        <v>680</v>
      </c>
      <c r="E1475" s="16"/>
      <c r="G1475" t="s">
        <v>154</v>
      </c>
      <c r="H1475" t="s">
        <v>194</v>
      </c>
      <c r="I1475" t="s">
        <v>29</v>
      </c>
      <c r="J1475" t="s">
        <v>219</v>
      </c>
      <c r="K1475">
        <v>1</v>
      </c>
      <c r="L1475" s="2"/>
    </row>
    <row r="1476" spans="1:12" s="25" customFormat="1" x14ac:dyDescent="0.2">
      <c r="A1476">
        <v>2014</v>
      </c>
      <c r="B1476" t="s">
        <v>179</v>
      </c>
      <c r="C1476" t="s">
        <v>875</v>
      </c>
      <c r="D1476" s="22">
        <v>390</v>
      </c>
      <c r="E1476" s="16"/>
      <c r="G1476" t="s">
        <v>155</v>
      </c>
      <c r="I1476" t="s">
        <v>2406</v>
      </c>
      <c r="J1476" t="s">
        <v>219</v>
      </c>
      <c r="K1476">
        <v>1</v>
      </c>
      <c r="L1476" s="2"/>
    </row>
    <row r="1477" spans="1:12" s="25" customFormat="1" x14ac:dyDescent="0.2">
      <c r="A1477">
        <v>2014</v>
      </c>
      <c r="B1477" t="s">
        <v>179</v>
      </c>
      <c r="C1477" t="s">
        <v>2647</v>
      </c>
      <c r="D1477" s="22">
        <v>710</v>
      </c>
      <c r="E1477" s="16"/>
      <c r="G1477" t="s">
        <v>154</v>
      </c>
      <c r="H1477" t="s">
        <v>271</v>
      </c>
      <c r="I1477" t="s">
        <v>107</v>
      </c>
      <c r="J1477" t="s">
        <v>219</v>
      </c>
      <c r="K1477">
        <v>1</v>
      </c>
      <c r="L1477" s="2"/>
    </row>
    <row r="1478" spans="1:12" s="25" customFormat="1" x14ac:dyDescent="0.2">
      <c r="A1478">
        <v>2014</v>
      </c>
      <c r="B1478" t="s">
        <v>179</v>
      </c>
      <c r="C1478" t="s">
        <v>2389</v>
      </c>
      <c r="D1478" s="22">
        <v>200</v>
      </c>
      <c r="E1478" s="16"/>
      <c r="G1478" t="s">
        <v>154</v>
      </c>
      <c r="H1478" t="s">
        <v>250</v>
      </c>
      <c r="I1478" t="s">
        <v>2406</v>
      </c>
      <c r="J1478" t="s">
        <v>219</v>
      </c>
      <c r="K1478">
        <v>1</v>
      </c>
      <c r="L1478" s="2"/>
    </row>
    <row r="1479" spans="1:12" s="25" customFormat="1" x14ac:dyDescent="0.2">
      <c r="A1479">
        <v>2014</v>
      </c>
      <c r="B1479" t="s">
        <v>179</v>
      </c>
      <c r="C1479" t="s">
        <v>399</v>
      </c>
      <c r="D1479" s="22">
        <v>190</v>
      </c>
      <c r="E1479" s="16"/>
      <c r="F1479" t="s">
        <v>2648</v>
      </c>
      <c r="G1479" t="s">
        <v>144</v>
      </c>
      <c r="H1479" t="s">
        <v>299</v>
      </c>
      <c r="I1479" t="s">
        <v>13</v>
      </c>
      <c r="J1479" t="s">
        <v>201</v>
      </c>
      <c r="K1479">
        <v>1</v>
      </c>
      <c r="L1479" s="2"/>
    </row>
    <row r="1480" spans="1:12" s="25" customFormat="1" x14ac:dyDescent="0.2">
      <c r="A1480">
        <v>2014</v>
      </c>
      <c r="B1480" t="s">
        <v>179</v>
      </c>
      <c r="C1480" s="17" t="s">
        <v>199</v>
      </c>
      <c r="D1480" s="22">
        <v>1570</v>
      </c>
      <c r="E1480" s="16"/>
      <c r="G1480" t="s">
        <v>144</v>
      </c>
      <c r="H1480" t="s">
        <v>187</v>
      </c>
      <c r="I1480" t="s">
        <v>63</v>
      </c>
      <c r="J1480" t="s">
        <v>201</v>
      </c>
      <c r="K1480">
        <v>1</v>
      </c>
      <c r="L1480" s="2"/>
    </row>
    <row r="1481" spans="1:12" s="25" customFormat="1" x14ac:dyDescent="0.2">
      <c r="A1481">
        <v>2014</v>
      </c>
      <c r="B1481" t="s">
        <v>179</v>
      </c>
      <c r="C1481" t="s">
        <v>479</v>
      </c>
      <c r="D1481" s="22">
        <v>660</v>
      </c>
      <c r="E1481" s="16"/>
      <c r="G1481" t="s">
        <v>154</v>
      </c>
      <c r="H1481" t="s">
        <v>194</v>
      </c>
      <c r="I1481" t="s">
        <v>43</v>
      </c>
      <c r="J1481" t="s">
        <v>219</v>
      </c>
      <c r="K1481">
        <v>1</v>
      </c>
      <c r="L1481" s="2"/>
    </row>
    <row r="1482" spans="1:12" s="25" customFormat="1" x14ac:dyDescent="0.2">
      <c r="A1482">
        <v>2014</v>
      </c>
      <c r="B1482" t="s">
        <v>184</v>
      </c>
      <c r="C1482" t="s">
        <v>1035</v>
      </c>
      <c r="D1482" s="22">
        <v>110</v>
      </c>
      <c r="E1482" s="16"/>
      <c r="G1482" t="s">
        <v>154</v>
      </c>
      <c r="H1482" t="s">
        <v>194</v>
      </c>
      <c r="I1482" t="s">
        <v>16</v>
      </c>
      <c r="J1482" t="s">
        <v>205</v>
      </c>
      <c r="K1482">
        <v>1</v>
      </c>
      <c r="L1482" s="2"/>
    </row>
    <row r="1483" spans="1:12" s="25" customFormat="1" x14ac:dyDescent="0.2">
      <c r="A1483">
        <v>2014</v>
      </c>
      <c r="B1483" t="s">
        <v>184</v>
      </c>
      <c r="C1483" t="s">
        <v>444</v>
      </c>
      <c r="D1483" s="22">
        <v>670</v>
      </c>
      <c r="E1483" s="16"/>
      <c r="F1483" t="s">
        <v>2649</v>
      </c>
      <c r="G1483" t="s">
        <v>144</v>
      </c>
      <c r="H1483" t="s">
        <v>273</v>
      </c>
      <c r="I1483" t="s">
        <v>53</v>
      </c>
      <c r="J1483" t="s">
        <v>183</v>
      </c>
      <c r="K1483">
        <v>1</v>
      </c>
      <c r="L1483" s="2"/>
    </row>
    <row r="1484" spans="1:12" s="25" customFormat="1" x14ac:dyDescent="0.2">
      <c r="A1484">
        <v>2014</v>
      </c>
      <c r="B1484" t="s">
        <v>184</v>
      </c>
      <c r="C1484" t="s">
        <v>479</v>
      </c>
      <c r="D1484" s="22">
        <v>130</v>
      </c>
      <c r="E1484" s="16"/>
      <c r="G1484" t="s">
        <v>154</v>
      </c>
      <c r="H1484" t="s">
        <v>271</v>
      </c>
      <c r="I1484" t="s">
        <v>93</v>
      </c>
      <c r="J1484" t="s">
        <v>201</v>
      </c>
      <c r="K1484">
        <v>1</v>
      </c>
      <c r="L1484" s="2"/>
    </row>
    <row r="1485" spans="1:12" s="25" customFormat="1" x14ac:dyDescent="0.2">
      <c r="A1485">
        <v>2014</v>
      </c>
      <c r="B1485" t="s">
        <v>184</v>
      </c>
      <c r="C1485" t="s">
        <v>815</v>
      </c>
      <c r="D1485" s="22">
        <v>180</v>
      </c>
      <c r="E1485" s="16"/>
      <c r="G1485" t="s">
        <v>151</v>
      </c>
      <c r="H1485" t="s">
        <v>279</v>
      </c>
      <c r="I1485" t="s">
        <v>29</v>
      </c>
      <c r="J1485" t="s">
        <v>219</v>
      </c>
      <c r="K1485">
        <v>1</v>
      </c>
      <c r="L1485" s="2"/>
    </row>
    <row r="1486" spans="1:12" s="25" customFormat="1" x14ac:dyDescent="0.2">
      <c r="A1486">
        <v>2014</v>
      </c>
      <c r="B1486" t="s">
        <v>184</v>
      </c>
      <c r="C1486" t="s">
        <v>815</v>
      </c>
      <c r="D1486" s="22">
        <v>260</v>
      </c>
      <c r="E1486" s="16"/>
      <c r="F1486" t="s">
        <v>2650</v>
      </c>
      <c r="G1486" t="s">
        <v>151</v>
      </c>
      <c r="H1486" t="s">
        <v>279</v>
      </c>
      <c r="I1486" t="s">
        <v>5</v>
      </c>
      <c r="J1486" t="s">
        <v>214</v>
      </c>
      <c r="K1486">
        <v>1</v>
      </c>
      <c r="L1486" s="78"/>
    </row>
    <row r="1487" spans="1:12" s="25" customFormat="1" x14ac:dyDescent="0.2">
      <c r="A1487">
        <v>2014</v>
      </c>
      <c r="B1487" t="s">
        <v>184</v>
      </c>
      <c r="C1487" t="s">
        <v>341</v>
      </c>
      <c r="D1487" s="22">
        <v>480</v>
      </c>
      <c r="E1487" s="16"/>
      <c r="G1487" t="s">
        <v>154</v>
      </c>
      <c r="H1487" t="s">
        <v>529</v>
      </c>
      <c r="I1487" t="s">
        <v>40</v>
      </c>
      <c r="J1487" t="s">
        <v>219</v>
      </c>
      <c r="K1487">
        <v>1</v>
      </c>
      <c r="L1487" s="2"/>
    </row>
    <row r="1488" spans="1:12" s="25" customFormat="1" x14ac:dyDescent="0.2">
      <c r="A1488">
        <v>2014</v>
      </c>
      <c r="B1488" t="s">
        <v>184</v>
      </c>
      <c r="C1488" t="s">
        <v>267</v>
      </c>
      <c r="D1488" s="22">
        <v>500</v>
      </c>
      <c r="E1488" s="16"/>
      <c r="F1488" t="s">
        <v>2651</v>
      </c>
      <c r="G1488" t="s">
        <v>149</v>
      </c>
      <c r="H1488" t="s">
        <v>238</v>
      </c>
      <c r="I1488" t="s">
        <v>135</v>
      </c>
      <c r="J1488" t="s">
        <v>205</v>
      </c>
      <c r="K1488">
        <v>1</v>
      </c>
      <c r="L1488" s="2"/>
    </row>
    <row r="1489" spans="1:12" s="25" customFormat="1" x14ac:dyDescent="0.2">
      <c r="A1489">
        <v>2014</v>
      </c>
      <c r="B1489" t="s">
        <v>184</v>
      </c>
      <c r="C1489" t="s">
        <v>479</v>
      </c>
      <c r="D1489" s="22">
        <v>100</v>
      </c>
      <c r="E1489" s="16"/>
      <c r="G1489" t="s">
        <v>142</v>
      </c>
      <c r="I1489" t="s">
        <v>2554</v>
      </c>
      <c r="J1489" t="s">
        <v>219</v>
      </c>
      <c r="K1489">
        <v>1</v>
      </c>
      <c r="L1489" s="2"/>
    </row>
    <row r="1490" spans="1:12" s="25" customFormat="1" x14ac:dyDescent="0.2">
      <c r="A1490">
        <v>2014</v>
      </c>
      <c r="B1490" t="s">
        <v>184</v>
      </c>
      <c r="C1490" t="s">
        <v>397</v>
      </c>
      <c r="D1490" s="22">
        <v>100</v>
      </c>
      <c r="E1490" s="16"/>
      <c r="G1490" t="s">
        <v>154</v>
      </c>
      <c r="H1490" t="s">
        <v>250</v>
      </c>
      <c r="I1490" t="s">
        <v>130</v>
      </c>
      <c r="J1490" t="s">
        <v>214</v>
      </c>
      <c r="K1490">
        <v>1</v>
      </c>
      <c r="L1490" s="2"/>
    </row>
    <row r="1491" spans="1:12" s="25" customFormat="1" x14ac:dyDescent="0.2">
      <c r="A1491">
        <v>2014</v>
      </c>
      <c r="B1491" t="s">
        <v>184</v>
      </c>
      <c r="C1491" t="s">
        <v>397</v>
      </c>
      <c r="D1491" s="22">
        <v>110</v>
      </c>
      <c r="E1491" s="16"/>
      <c r="G1491" t="s">
        <v>154</v>
      </c>
      <c r="H1491" t="s">
        <v>194</v>
      </c>
      <c r="I1491" t="s">
        <v>130</v>
      </c>
      <c r="J1491" t="s">
        <v>214</v>
      </c>
      <c r="K1491">
        <v>1</v>
      </c>
      <c r="L1491" s="2"/>
    </row>
    <row r="1492" spans="1:12" s="25" customFormat="1" x14ac:dyDescent="0.2">
      <c r="A1492">
        <v>2014</v>
      </c>
      <c r="B1492" t="s">
        <v>184</v>
      </c>
      <c r="C1492" t="s">
        <v>397</v>
      </c>
      <c r="D1492" s="22">
        <v>230</v>
      </c>
      <c r="E1492" s="16"/>
      <c r="F1492" t="s">
        <v>2652</v>
      </c>
      <c r="G1492" t="s">
        <v>154</v>
      </c>
      <c r="H1492" t="s">
        <v>194</v>
      </c>
      <c r="I1492" t="s">
        <v>5</v>
      </c>
      <c r="J1492" t="s">
        <v>214</v>
      </c>
      <c r="K1492">
        <v>1</v>
      </c>
      <c r="L1492" s="2"/>
    </row>
    <row r="1493" spans="1:12" s="25" customFormat="1" x14ac:dyDescent="0.2">
      <c r="A1493">
        <v>2014</v>
      </c>
      <c r="B1493" t="s">
        <v>184</v>
      </c>
      <c r="C1493" t="s">
        <v>483</v>
      </c>
      <c r="D1493" s="22">
        <v>280</v>
      </c>
      <c r="E1493" s="16"/>
      <c r="G1493" t="s">
        <v>144</v>
      </c>
      <c r="H1493" t="s">
        <v>197</v>
      </c>
      <c r="I1493" t="s">
        <v>49</v>
      </c>
      <c r="J1493" t="s">
        <v>219</v>
      </c>
      <c r="K1493">
        <v>1</v>
      </c>
      <c r="L1493" s="2"/>
    </row>
    <row r="1494" spans="1:12" s="25" customFormat="1" x14ac:dyDescent="0.2">
      <c r="A1494">
        <v>2014</v>
      </c>
      <c r="B1494" t="s">
        <v>184</v>
      </c>
      <c r="C1494" t="s">
        <v>189</v>
      </c>
      <c r="D1494" s="22">
        <v>190</v>
      </c>
      <c r="E1494" s="16"/>
      <c r="F1494" t="s">
        <v>2002</v>
      </c>
      <c r="G1494" t="s">
        <v>144</v>
      </c>
      <c r="H1494" t="s">
        <v>187</v>
      </c>
      <c r="I1494" t="s">
        <v>105</v>
      </c>
      <c r="J1494" t="s">
        <v>214</v>
      </c>
      <c r="K1494">
        <v>1</v>
      </c>
      <c r="L1494" s="2"/>
    </row>
    <row r="1495" spans="1:12" s="25" customFormat="1" x14ac:dyDescent="0.2">
      <c r="A1495">
        <v>2014</v>
      </c>
      <c r="B1495" t="s">
        <v>184</v>
      </c>
      <c r="C1495" t="s">
        <v>875</v>
      </c>
      <c r="D1495" s="22">
        <v>340</v>
      </c>
      <c r="E1495" s="16"/>
      <c r="F1495" t="s">
        <v>2653</v>
      </c>
      <c r="G1495" t="s">
        <v>144</v>
      </c>
      <c r="I1495" t="s">
        <v>14</v>
      </c>
      <c r="J1495" t="s">
        <v>195</v>
      </c>
      <c r="K1495">
        <v>1</v>
      </c>
      <c r="L1495" s="2"/>
    </row>
    <row r="1496" spans="1:12" s="25" customFormat="1" x14ac:dyDescent="0.2">
      <c r="A1496">
        <v>2014</v>
      </c>
      <c r="B1496" t="s">
        <v>184</v>
      </c>
      <c r="C1496" t="s">
        <v>244</v>
      </c>
      <c r="D1496" s="22">
        <v>150</v>
      </c>
      <c r="E1496" s="16"/>
      <c r="F1496" t="s">
        <v>931</v>
      </c>
      <c r="G1496" t="s">
        <v>149</v>
      </c>
      <c r="I1496" t="s">
        <v>53</v>
      </c>
      <c r="J1496" t="s">
        <v>183</v>
      </c>
      <c r="K1496">
        <v>1</v>
      </c>
      <c r="L1496" s="2"/>
    </row>
    <row r="1497" spans="1:12" s="25" customFormat="1" x14ac:dyDescent="0.2">
      <c r="A1497">
        <v>2014</v>
      </c>
      <c r="B1497" t="s">
        <v>225</v>
      </c>
      <c r="C1497" t="s">
        <v>397</v>
      </c>
      <c r="D1497" s="22">
        <v>100</v>
      </c>
      <c r="E1497" s="16"/>
      <c r="G1497" t="s">
        <v>154</v>
      </c>
      <c r="H1497" t="s">
        <v>194</v>
      </c>
      <c r="I1497" t="s">
        <v>130</v>
      </c>
      <c r="J1497" t="s">
        <v>214</v>
      </c>
      <c r="K1497">
        <v>1</v>
      </c>
      <c r="L1497" s="2"/>
    </row>
    <row r="1498" spans="1:12" s="25" customFormat="1" x14ac:dyDescent="0.2">
      <c r="A1498">
        <v>2014</v>
      </c>
      <c r="B1498" t="s">
        <v>225</v>
      </c>
      <c r="C1498" t="s">
        <v>1035</v>
      </c>
      <c r="D1498" s="22">
        <v>1000</v>
      </c>
      <c r="E1498" s="16"/>
      <c r="F1498" t="s">
        <v>2654</v>
      </c>
      <c r="G1498" t="s">
        <v>144</v>
      </c>
      <c r="H1498" t="s">
        <v>273</v>
      </c>
      <c r="I1498" t="s">
        <v>97</v>
      </c>
      <c r="J1498" t="s">
        <v>183</v>
      </c>
      <c r="K1498">
        <v>1</v>
      </c>
      <c r="L1498" s="2"/>
    </row>
    <row r="1499" spans="1:12" s="25" customFormat="1" x14ac:dyDescent="0.2">
      <c r="A1499">
        <v>2014</v>
      </c>
      <c r="B1499" t="s">
        <v>225</v>
      </c>
      <c r="C1499" t="s">
        <v>479</v>
      </c>
      <c r="D1499" s="22">
        <v>500</v>
      </c>
      <c r="E1499" s="16"/>
      <c r="F1499" t="s">
        <v>2002</v>
      </c>
      <c r="G1499" t="s">
        <v>155</v>
      </c>
      <c r="I1499" t="s">
        <v>105</v>
      </c>
      <c r="J1499" t="s">
        <v>214</v>
      </c>
      <c r="K1499">
        <v>1</v>
      </c>
      <c r="L1499" s="2"/>
    </row>
    <row r="1500" spans="1:12" s="25" customFormat="1" x14ac:dyDescent="0.2">
      <c r="A1500">
        <v>2014</v>
      </c>
      <c r="B1500" t="s">
        <v>225</v>
      </c>
      <c r="C1500" t="s">
        <v>2655</v>
      </c>
      <c r="D1500" s="22">
        <v>290</v>
      </c>
      <c r="E1500" s="16"/>
      <c r="G1500" t="s">
        <v>154</v>
      </c>
      <c r="H1500" t="s">
        <v>529</v>
      </c>
      <c r="I1500" t="s">
        <v>108</v>
      </c>
      <c r="J1500" t="s">
        <v>183</v>
      </c>
      <c r="K1500">
        <v>1</v>
      </c>
      <c r="L1500" s="2"/>
    </row>
    <row r="1501" spans="1:12" s="25" customFormat="1" x14ac:dyDescent="0.2">
      <c r="A1501">
        <v>2014</v>
      </c>
      <c r="B1501" t="s">
        <v>225</v>
      </c>
      <c r="C1501" t="s">
        <v>444</v>
      </c>
      <c r="D1501" s="22">
        <v>180</v>
      </c>
      <c r="E1501" s="16"/>
      <c r="F1501" t="s">
        <v>2656</v>
      </c>
      <c r="G1501" t="s">
        <v>151</v>
      </c>
      <c r="H1501" t="s">
        <v>279</v>
      </c>
      <c r="I1501" t="s">
        <v>101</v>
      </c>
      <c r="J1501" t="s">
        <v>201</v>
      </c>
      <c r="K1501">
        <v>1</v>
      </c>
      <c r="L1501" s="2"/>
    </row>
    <row r="1502" spans="1:12" s="25" customFormat="1" x14ac:dyDescent="0.2">
      <c r="A1502">
        <v>2014</v>
      </c>
      <c r="B1502" t="s">
        <v>225</v>
      </c>
      <c r="C1502" t="s">
        <v>815</v>
      </c>
      <c r="D1502" s="22">
        <v>150</v>
      </c>
      <c r="E1502" s="16"/>
      <c r="F1502" t="s">
        <v>2656</v>
      </c>
      <c r="G1502" t="s">
        <v>151</v>
      </c>
      <c r="H1502" t="s">
        <v>279</v>
      </c>
      <c r="I1502" t="s">
        <v>101</v>
      </c>
      <c r="J1502" t="s">
        <v>201</v>
      </c>
      <c r="K1502">
        <v>1</v>
      </c>
      <c r="L1502" s="2"/>
    </row>
    <row r="1503" spans="1:12" s="25" customFormat="1" x14ac:dyDescent="0.2">
      <c r="A1503">
        <v>2014</v>
      </c>
      <c r="B1503" t="s">
        <v>225</v>
      </c>
      <c r="C1503" t="s">
        <v>199</v>
      </c>
      <c r="D1503" s="22">
        <v>420</v>
      </c>
      <c r="E1503" s="16"/>
      <c r="G1503" t="s">
        <v>144</v>
      </c>
      <c r="H1503" t="s">
        <v>187</v>
      </c>
      <c r="I1503" t="s">
        <v>55</v>
      </c>
      <c r="J1503" t="s">
        <v>214</v>
      </c>
      <c r="K1503">
        <v>1</v>
      </c>
      <c r="L1503" s="2"/>
    </row>
    <row r="1504" spans="1:12" s="25" customFormat="1" x14ac:dyDescent="0.2">
      <c r="A1504">
        <v>2014</v>
      </c>
      <c r="B1504" t="s">
        <v>225</v>
      </c>
      <c r="C1504" t="s">
        <v>479</v>
      </c>
      <c r="D1504" s="22">
        <v>170</v>
      </c>
      <c r="E1504" s="16"/>
      <c r="G1504" t="s">
        <v>154</v>
      </c>
      <c r="H1504" t="s">
        <v>271</v>
      </c>
      <c r="I1504" t="s">
        <v>100</v>
      </c>
      <c r="J1504" t="s">
        <v>214</v>
      </c>
      <c r="K1504">
        <v>1</v>
      </c>
      <c r="L1504" s="2"/>
    </row>
    <row r="1505" spans="1:12" s="25" customFormat="1" x14ac:dyDescent="0.2">
      <c r="A1505">
        <v>2014</v>
      </c>
      <c r="B1505" t="s">
        <v>225</v>
      </c>
      <c r="C1505" t="s">
        <v>444</v>
      </c>
      <c r="D1505" s="22">
        <v>300</v>
      </c>
      <c r="E1505" s="16"/>
      <c r="G1505" t="s">
        <v>144</v>
      </c>
      <c r="H1505" t="s">
        <v>197</v>
      </c>
      <c r="I1505" t="s">
        <v>34</v>
      </c>
      <c r="J1505" t="s">
        <v>219</v>
      </c>
      <c r="K1505">
        <v>1</v>
      </c>
      <c r="L1505" s="2"/>
    </row>
    <row r="1506" spans="1:12" s="25" customFormat="1" x14ac:dyDescent="0.2">
      <c r="A1506">
        <v>2014</v>
      </c>
      <c r="B1506" t="s">
        <v>225</v>
      </c>
      <c r="C1506" t="s">
        <v>815</v>
      </c>
      <c r="D1506" s="22">
        <v>300</v>
      </c>
      <c r="E1506" s="16"/>
      <c r="F1506" t="s">
        <v>2657</v>
      </c>
      <c r="G1506" t="s">
        <v>151</v>
      </c>
      <c r="H1506" t="s">
        <v>279</v>
      </c>
      <c r="I1506" t="s">
        <v>34</v>
      </c>
      <c r="J1506" t="s">
        <v>219</v>
      </c>
      <c r="K1506">
        <v>1</v>
      </c>
      <c r="L1506" s="2"/>
    </row>
    <row r="1507" spans="1:12" s="25" customFormat="1" x14ac:dyDescent="0.2">
      <c r="A1507">
        <v>2014</v>
      </c>
      <c r="B1507" t="s">
        <v>225</v>
      </c>
      <c r="C1507" t="s">
        <v>444</v>
      </c>
      <c r="D1507" s="22">
        <v>100</v>
      </c>
      <c r="E1507" s="16"/>
      <c r="G1507" t="s">
        <v>142</v>
      </c>
      <c r="I1507" t="s">
        <v>138</v>
      </c>
      <c r="J1507" t="s">
        <v>219</v>
      </c>
      <c r="K1507">
        <v>1</v>
      </c>
      <c r="L1507" s="2"/>
    </row>
    <row r="1508" spans="1:12" s="25" customFormat="1" x14ac:dyDescent="0.2">
      <c r="A1508">
        <v>2014</v>
      </c>
      <c r="B1508" t="s">
        <v>225</v>
      </c>
      <c r="C1508" t="s">
        <v>668</v>
      </c>
      <c r="D1508" s="22">
        <v>390</v>
      </c>
      <c r="E1508" s="16"/>
      <c r="G1508" t="s">
        <v>144</v>
      </c>
      <c r="H1508" t="s">
        <v>273</v>
      </c>
      <c r="I1508" t="s">
        <v>66</v>
      </c>
      <c r="J1508" t="s">
        <v>201</v>
      </c>
      <c r="K1508">
        <v>1</v>
      </c>
      <c r="L1508" s="2"/>
    </row>
    <row r="1509" spans="1:12" s="25" customFormat="1" x14ac:dyDescent="0.2">
      <c r="A1509">
        <v>2014</v>
      </c>
      <c r="B1509" t="s">
        <v>225</v>
      </c>
      <c r="C1509" t="s">
        <v>341</v>
      </c>
      <c r="D1509" s="22">
        <v>120</v>
      </c>
      <c r="E1509" s="16"/>
      <c r="G1509" t="s">
        <v>154</v>
      </c>
      <c r="H1509" t="s">
        <v>194</v>
      </c>
      <c r="I1509" t="s">
        <v>2449</v>
      </c>
      <c r="J1509" t="s">
        <v>183</v>
      </c>
      <c r="K1509">
        <v>1</v>
      </c>
      <c r="L1509" s="2"/>
    </row>
    <row r="1510" spans="1:12" s="25" customFormat="1" x14ac:dyDescent="0.2">
      <c r="A1510">
        <v>2014</v>
      </c>
      <c r="B1510" t="s">
        <v>225</v>
      </c>
      <c r="C1510" t="s">
        <v>703</v>
      </c>
      <c r="D1510" s="22">
        <v>230</v>
      </c>
      <c r="E1510" s="16"/>
      <c r="G1510" t="s">
        <v>144</v>
      </c>
      <c r="H1510" t="s">
        <v>273</v>
      </c>
      <c r="I1510" t="s">
        <v>134</v>
      </c>
      <c r="J1510" t="s">
        <v>201</v>
      </c>
      <c r="K1510">
        <v>1</v>
      </c>
      <c r="L1510" s="2"/>
    </row>
    <row r="1511" spans="1:12" s="25" customFormat="1" x14ac:dyDescent="0.2">
      <c r="A1511">
        <v>2014</v>
      </c>
      <c r="B1511" t="s">
        <v>188</v>
      </c>
      <c r="C1511" t="s">
        <v>397</v>
      </c>
      <c r="D1511" s="22">
        <v>890</v>
      </c>
      <c r="E1511" s="16"/>
      <c r="G1511" t="s">
        <v>154</v>
      </c>
      <c r="H1511" t="s">
        <v>250</v>
      </c>
      <c r="I1511" t="s">
        <v>5</v>
      </c>
      <c r="J1511" t="s">
        <v>214</v>
      </c>
      <c r="K1511">
        <v>1</v>
      </c>
      <c r="L1511" s="2"/>
    </row>
    <row r="1512" spans="1:12" s="25" customFormat="1" x14ac:dyDescent="0.2">
      <c r="A1512">
        <v>2014</v>
      </c>
      <c r="B1512" t="s">
        <v>188</v>
      </c>
      <c r="C1512" t="s">
        <v>1035</v>
      </c>
      <c r="D1512" s="22">
        <v>240</v>
      </c>
      <c r="E1512" s="16"/>
      <c r="F1512" t="s">
        <v>2658</v>
      </c>
      <c r="G1512" t="s">
        <v>144</v>
      </c>
      <c r="H1512" t="s">
        <v>197</v>
      </c>
      <c r="I1512" t="s">
        <v>16</v>
      </c>
      <c r="J1512" t="s">
        <v>205</v>
      </c>
      <c r="K1512">
        <v>1</v>
      </c>
      <c r="L1512" s="2"/>
    </row>
    <row r="1513" spans="1:12" s="25" customFormat="1" x14ac:dyDescent="0.2">
      <c r="A1513">
        <v>2014</v>
      </c>
      <c r="B1513" t="s">
        <v>188</v>
      </c>
      <c r="C1513" t="s">
        <v>397</v>
      </c>
      <c r="D1513" s="22">
        <v>250</v>
      </c>
      <c r="E1513" s="16"/>
      <c r="G1513" t="s">
        <v>151</v>
      </c>
      <c r="H1513" t="s">
        <v>279</v>
      </c>
      <c r="I1513" t="s">
        <v>95</v>
      </c>
      <c r="J1513" t="s">
        <v>183</v>
      </c>
      <c r="K1513">
        <v>1</v>
      </c>
      <c r="L1513" s="2"/>
    </row>
    <row r="1514" spans="1:12" s="25" customFormat="1" x14ac:dyDescent="0.2">
      <c r="A1514">
        <v>2014</v>
      </c>
      <c r="B1514" t="s">
        <v>188</v>
      </c>
      <c r="C1514" t="s">
        <v>479</v>
      </c>
      <c r="D1514" s="22">
        <v>170</v>
      </c>
      <c r="E1514" s="16"/>
      <c r="G1514" t="s">
        <v>155</v>
      </c>
      <c r="I1514" t="s">
        <v>100</v>
      </c>
      <c r="J1514" t="s">
        <v>214</v>
      </c>
      <c r="K1514">
        <v>1</v>
      </c>
      <c r="L1514" s="2"/>
    </row>
    <row r="1515" spans="1:12" s="25" customFormat="1" x14ac:dyDescent="0.2">
      <c r="A1515">
        <v>2014</v>
      </c>
      <c r="B1515" t="s">
        <v>188</v>
      </c>
      <c r="C1515" t="s">
        <v>2538</v>
      </c>
      <c r="D1515" s="22">
        <v>100</v>
      </c>
      <c r="E1515" s="16"/>
      <c r="G1515" t="s">
        <v>147</v>
      </c>
      <c r="I1515" t="s">
        <v>64</v>
      </c>
      <c r="J1515" t="s">
        <v>219</v>
      </c>
      <c r="K1515">
        <v>1</v>
      </c>
      <c r="L1515" s="2"/>
    </row>
    <row r="1516" spans="1:12" s="25" customFormat="1" x14ac:dyDescent="0.2">
      <c r="A1516">
        <v>2014</v>
      </c>
      <c r="B1516" t="s">
        <v>191</v>
      </c>
      <c r="C1516" t="s">
        <v>479</v>
      </c>
      <c r="D1516" s="22">
        <v>130</v>
      </c>
      <c r="E1516" s="16"/>
      <c r="G1516" t="s">
        <v>154</v>
      </c>
      <c r="H1516" t="s">
        <v>194</v>
      </c>
      <c r="I1516" t="s">
        <v>40</v>
      </c>
      <c r="J1516" t="s">
        <v>219</v>
      </c>
      <c r="K1516">
        <v>1</v>
      </c>
      <c r="L1516" s="2"/>
    </row>
    <row r="1517" spans="1:12" s="25" customFormat="1" x14ac:dyDescent="0.2">
      <c r="A1517">
        <v>2014</v>
      </c>
      <c r="B1517" t="s">
        <v>191</v>
      </c>
      <c r="C1517" t="s">
        <v>2547</v>
      </c>
      <c r="D1517" s="22">
        <v>990</v>
      </c>
      <c r="E1517" s="16"/>
      <c r="G1517" t="s">
        <v>154</v>
      </c>
      <c r="H1517" t="s">
        <v>250</v>
      </c>
      <c r="I1517" t="s">
        <v>66</v>
      </c>
      <c r="J1517" t="s">
        <v>201</v>
      </c>
      <c r="K1517">
        <v>1</v>
      </c>
      <c r="L1517" s="2"/>
    </row>
    <row r="1518" spans="1:12" s="25" customFormat="1" x14ac:dyDescent="0.2">
      <c r="A1518">
        <v>2014</v>
      </c>
      <c r="B1518" t="s">
        <v>191</v>
      </c>
      <c r="C1518" t="s">
        <v>444</v>
      </c>
      <c r="D1518" s="22">
        <v>300</v>
      </c>
      <c r="E1518" s="16"/>
      <c r="G1518" t="s">
        <v>154</v>
      </c>
      <c r="H1518" t="s">
        <v>250</v>
      </c>
      <c r="I1518" t="s">
        <v>66</v>
      </c>
      <c r="J1518" t="s">
        <v>201</v>
      </c>
      <c r="K1518">
        <v>1</v>
      </c>
      <c r="L1518" s="2"/>
    </row>
    <row r="1519" spans="1:12" s="25" customFormat="1" x14ac:dyDescent="0.2">
      <c r="A1519">
        <v>2014</v>
      </c>
      <c r="B1519" t="s">
        <v>191</v>
      </c>
      <c r="C1519" t="s">
        <v>185</v>
      </c>
      <c r="D1519" s="22">
        <v>1640</v>
      </c>
      <c r="E1519" s="16"/>
      <c r="G1519" t="s">
        <v>144</v>
      </c>
      <c r="H1519" t="s">
        <v>299</v>
      </c>
      <c r="I1519" t="s">
        <v>101</v>
      </c>
      <c r="J1519" t="s">
        <v>201</v>
      </c>
      <c r="K1519">
        <v>1</v>
      </c>
      <c r="L1519" s="2"/>
    </row>
    <row r="1520" spans="1:12" s="25" customFormat="1" x14ac:dyDescent="0.2">
      <c r="A1520">
        <v>2014</v>
      </c>
      <c r="B1520" t="s">
        <v>191</v>
      </c>
      <c r="C1520" t="s">
        <v>397</v>
      </c>
      <c r="D1520" s="22">
        <v>190</v>
      </c>
      <c r="E1520" s="16"/>
      <c r="G1520" t="s">
        <v>151</v>
      </c>
      <c r="H1520" t="s">
        <v>279</v>
      </c>
      <c r="I1520" t="s">
        <v>108</v>
      </c>
      <c r="J1520" t="s">
        <v>183</v>
      </c>
      <c r="K1520">
        <v>1</v>
      </c>
      <c r="L1520" s="2"/>
    </row>
    <row r="1521" spans="1:12" s="25" customFormat="1" x14ac:dyDescent="0.2">
      <c r="A1521">
        <v>2014</v>
      </c>
      <c r="B1521" t="s">
        <v>191</v>
      </c>
      <c r="C1521" t="s">
        <v>397</v>
      </c>
      <c r="D1521" s="22">
        <v>350</v>
      </c>
      <c r="E1521" s="16"/>
      <c r="G1521" t="s">
        <v>142</v>
      </c>
      <c r="I1521" t="s">
        <v>8</v>
      </c>
      <c r="J1521" t="s">
        <v>205</v>
      </c>
      <c r="K1521">
        <v>1</v>
      </c>
      <c r="L1521" s="2"/>
    </row>
    <row r="1522" spans="1:12" s="25" customFormat="1" x14ac:dyDescent="0.2">
      <c r="A1522">
        <v>2014</v>
      </c>
      <c r="B1522" t="s">
        <v>191</v>
      </c>
      <c r="C1522" t="s">
        <v>397</v>
      </c>
      <c r="D1522" s="22">
        <v>990</v>
      </c>
      <c r="E1522" s="16"/>
      <c r="G1522" t="s">
        <v>149</v>
      </c>
      <c r="H1522" t="s">
        <v>238</v>
      </c>
      <c r="I1522" t="s">
        <v>53</v>
      </c>
      <c r="J1522" t="s">
        <v>183</v>
      </c>
      <c r="K1522">
        <v>1</v>
      </c>
      <c r="L1522" s="2"/>
    </row>
    <row r="1523" spans="1:12" s="25" customFormat="1" x14ac:dyDescent="0.2">
      <c r="A1523">
        <v>2014</v>
      </c>
      <c r="B1523" t="s">
        <v>191</v>
      </c>
      <c r="C1523" t="s">
        <v>1035</v>
      </c>
      <c r="D1523" s="22">
        <v>200</v>
      </c>
      <c r="E1523" s="16">
        <v>0.5</v>
      </c>
      <c r="F1523" t="s">
        <v>2659</v>
      </c>
      <c r="G1523" t="s">
        <v>154</v>
      </c>
      <c r="H1523" t="s">
        <v>529</v>
      </c>
      <c r="I1523" t="s">
        <v>108</v>
      </c>
      <c r="J1523" t="s">
        <v>183</v>
      </c>
      <c r="K1523">
        <v>1</v>
      </c>
      <c r="L1523" s="2"/>
    </row>
    <row r="1524" spans="1:12" s="25" customFormat="1" x14ac:dyDescent="0.2">
      <c r="A1524">
        <v>2014</v>
      </c>
      <c r="B1524" t="s">
        <v>191</v>
      </c>
      <c r="C1524" t="s">
        <v>815</v>
      </c>
      <c r="D1524" s="22">
        <v>370</v>
      </c>
      <c r="E1524" s="16"/>
      <c r="G1524" t="s">
        <v>151</v>
      </c>
      <c r="H1524" t="s">
        <v>279</v>
      </c>
      <c r="I1524" t="s">
        <v>38</v>
      </c>
      <c r="J1524" t="s">
        <v>214</v>
      </c>
      <c r="K1524">
        <v>1</v>
      </c>
      <c r="L1524" s="2"/>
    </row>
    <row r="1525" spans="1:12" s="25" customFormat="1" x14ac:dyDescent="0.2">
      <c r="A1525">
        <v>2014</v>
      </c>
      <c r="B1525" t="s">
        <v>191</v>
      </c>
      <c r="C1525" t="s">
        <v>2660</v>
      </c>
      <c r="D1525" s="22">
        <v>140</v>
      </c>
      <c r="E1525" s="16"/>
      <c r="G1525" t="s">
        <v>146</v>
      </c>
      <c r="I1525" t="s">
        <v>65</v>
      </c>
      <c r="J1525" t="s">
        <v>214</v>
      </c>
      <c r="K1525">
        <v>1</v>
      </c>
      <c r="L1525" s="2"/>
    </row>
    <row r="1526" spans="1:12" s="25" customFormat="1" x14ac:dyDescent="0.2">
      <c r="A1526">
        <v>2014</v>
      </c>
      <c r="B1526" t="s">
        <v>198</v>
      </c>
      <c r="C1526" t="s">
        <v>745</v>
      </c>
      <c r="D1526" s="22">
        <v>240</v>
      </c>
      <c r="E1526" s="16"/>
      <c r="F1526" t="s">
        <v>2661</v>
      </c>
      <c r="G1526" t="s">
        <v>144</v>
      </c>
      <c r="H1526" t="s">
        <v>187</v>
      </c>
      <c r="I1526" t="s">
        <v>93</v>
      </c>
      <c r="J1526" t="s">
        <v>201</v>
      </c>
      <c r="K1526">
        <v>1</v>
      </c>
      <c r="L1526" s="2"/>
    </row>
    <row r="1527" spans="1:12" s="25" customFormat="1" x14ac:dyDescent="0.2">
      <c r="A1527">
        <v>2014</v>
      </c>
      <c r="B1527" t="s">
        <v>198</v>
      </c>
      <c r="C1527" t="s">
        <v>2662</v>
      </c>
      <c r="D1527" s="22">
        <v>480</v>
      </c>
      <c r="E1527" s="16"/>
      <c r="F1527" t="s">
        <v>2663</v>
      </c>
      <c r="G1527" t="s">
        <v>143</v>
      </c>
      <c r="I1527" t="s">
        <v>134</v>
      </c>
      <c r="J1527" t="s">
        <v>201</v>
      </c>
      <c r="K1527">
        <v>1</v>
      </c>
      <c r="L1527" s="2"/>
    </row>
    <row r="1528" spans="1:12" s="25" customFormat="1" x14ac:dyDescent="0.2">
      <c r="A1528">
        <v>2014</v>
      </c>
      <c r="B1528" t="s">
        <v>198</v>
      </c>
      <c r="C1528" t="s">
        <v>189</v>
      </c>
      <c r="D1528" s="22">
        <v>1330</v>
      </c>
      <c r="E1528" s="16"/>
      <c r="F1528" t="s">
        <v>904</v>
      </c>
      <c r="G1528" t="s">
        <v>144</v>
      </c>
      <c r="H1528" t="s">
        <v>187</v>
      </c>
      <c r="I1528" t="s">
        <v>72</v>
      </c>
      <c r="J1528" t="s">
        <v>183</v>
      </c>
      <c r="K1528">
        <v>1</v>
      </c>
      <c r="L1528" s="2"/>
    </row>
    <row r="1529" spans="1:12" s="25" customFormat="1" x14ac:dyDescent="0.2">
      <c r="A1529">
        <v>2014</v>
      </c>
      <c r="B1529" t="s">
        <v>198</v>
      </c>
      <c r="C1529" t="s">
        <v>397</v>
      </c>
      <c r="D1529" s="22">
        <v>330</v>
      </c>
      <c r="E1529" s="16"/>
      <c r="F1529" t="s">
        <v>2664</v>
      </c>
      <c r="G1529" t="s">
        <v>153</v>
      </c>
      <c r="I1529" t="s">
        <v>130</v>
      </c>
      <c r="J1529" t="s">
        <v>214</v>
      </c>
      <c r="K1529">
        <v>1</v>
      </c>
      <c r="L1529" s="2"/>
    </row>
    <row r="1530" spans="1:12" s="25" customFormat="1" x14ac:dyDescent="0.2">
      <c r="A1530">
        <v>2014</v>
      </c>
      <c r="B1530" t="s">
        <v>198</v>
      </c>
      <c r="C1530" t="s">
        <v>449</v>
      </c>
      <c r="D1530" s="22">
        <v>580</v>
      </c>
      <c r="E1530" s="16"/>
      <c r="G1530" t="s">
        <v>154</v>
      </c>
      <c r="H1530" t="s">
        <v>194</v>
      </c>
      <c r="I1530" t="s">
        <v>16</v>
      </c>
      <c r="J1530" t="s">
        <v>205</v>
      </c>
      <c r="K1530">
        <v>1</v>
      </c>
      <c r="L1530" s="2"/>
    </row>
    <row r="1531" spans="1:12" s="25" customFormat="1" x14ac:dyDescent="0.2">
      <c r="A1531">
        <v>2014</v>
      </c>
      <c r="B1531" t="s">
        <v>198</v>
      </c>
      <c r="C1531" s="52" t="s">
        <v>2392</v>
      </c>
      <c r="D1531" s="22">
        <v>1080</v>
      </c>
      <c r="E1531" s="16"/>
      <c r="F1531" t="s">
        <v>2665</v>
      </c>
      <c r="G1531" t="s">
        <v>144</v>
      </c>
      <c r="H1531" t="s">
        <v>197</v>
      </c>
      <c r="I1531" t="s">
        <v>135</v>
      </c>
      <c r="J1531" t="s">
        <v>205</v>
      </c>
      <c r="K1531">
        <v>1</v>
      </c>
      <c r="L1531" s="2"/>
    </row>
    <row r="1532" spans="1:12" s="25" customFormat="1" x14ac:dyDescent="0.2">
      <c r="A1532">
        <v>2014</v>
      </c>
      <c r="B1532" t="s">
        <v>198</v>
      </c>
      <c r="C1532" t="s">
        <v>1035</v>
      </c>
      <c r="D1532" s="22">
        <v>130</v>
      </c>
      <c r="E1532" s="16"/>
      <c r="G1532" t="s">
        <v>144</v>
      </c>
      <c r="H1532" t="s">
        <v>232</v>
      </c>
      <c r="I1532" t="s">
        <v>93</v>
      </c>
      <c r="J1532" t="s">
        <v>201</v>
      </c>
      <c r="K1532">
        <v>1</v>
      </c>
      <c r="L1532" s="2"/>
    </row>
    <row r="1533" spans="1:12" s="25" customFormat="1" x14ac:dyDescent="0.2">
      <c r="A1533">
        <v>2014</v>
      </c>
      <c r="B1533" t="s">
        <v>198</v>
      </c>
      <c r="C1533" t="s">
        <v>444</v>
      </c>
      <c r="D1533" s="22">
        <v>990</v>
      </c>
      <c r="E1533" s="16"/>
      <c r="G1533" t="s">
        <v>144</v>
      </c>
      <c r="H1533" t="s">
        <v>299</v>
      </c>
      <c r="I1533" t="s">
        <v>6</v>
      </c>
      <c r="J1533" t="s">
        <v>219</v>
      </c>
      <c r="K1533">
        <v>1</v>
      </c>
      <c r="L1533" s="2"/>
    </row>
    <row r="1534" spans="1:12" s="25" customFormat="1" x14ac:dyDescent="0.2">
      <c r="A1534">
        <v>2014</v>
      </c>
      <c r="B1534" t="s">
        <v>198</v>
      </c>
      <c r="C1534" t="s">
        <v>1149</v>
      </c>
      <c r="D1534" s="22">
        <v>180</v>
      </c>
      <c r="E1534" s="16"/>
      <c r="F1534" t="s">
        <v>2663</v>
      </c>
      <c r="G1534" t="s">
        <v>142</v>
      </c>
      <c r="I1534" t="s">
        <v>134</v>
      </c>
      <c r="J1534" t="s">
        <v>201</v>
      </c>
      <c r="K1534">
        <v>1</v>
      </c>
      <c r="L1534" s="2"/>
    </row>
    <row r="1535" spans="1:12" s="25" customFormat="1" x14ac:dyDescent="0.2">
      <c r="A1535">
        <v>2014</v>
      </c>
      <c r="B1535" t="s">
        <v>198</v>
      </c>
      <c r="C1535" t="s">
        <v>479</v>
      </c>
      <c r="D1535" s="22">
        <v>480</v>
      </c>
      <c r="E1535" s="16"/>
      <c r="G1535" t="s">
        <v>154</v>
      </c>
      <c r="H1535" t="s">
        <v>271</v>
      </c>
      <c r="I1535" t="s">
        <v>64</v>
      </c>
      <c r="J1535" t="s">
        <v>219</v>
      </c>
      <c r="K1535">
        <v>1</v>
      </c>
      <c r="L1535" s="2"/>
    </row>
    <row r="1536" spans="1:12" s="25" customFormat="1" x14ac:dyDescent="0.2">
      <c r="A1536">
        <v>2014</v>
      </c>
      <c r="B1536" t="s">
        <v>202</v>
      </c>
      <c r="C1536" t="s">
        <v>1035</v>
      </c>
      <c r="D1536" s="22">
        <v>530</v>
      </c>
      <c r="E1536" s="16"/>
      <c r="G1536" t="s">
        <v>144</v>
      </c>
      <c r="H1536" t="s">
        <v>197</v>
      </c>
      <c r="I1536" t="s">
        <v>139</v>
      </c>
      <c r="J1536" t="s">
        <v>219</v>
      </c>
      <c r="K1536">
        <v>1</v>
      </c>
      <c r="L1536" s="2"/>
    </row>
    <row r="1537" spans="1:12" s="25" customFormat="1" x14ac:dyDescent="0.2">
      <c r="A1537">
        <v>2014</v>
      </c>
      <c r="B1537" t="s">
        <v>202</v>
      </c>
      <c r="C1537" t="s">
        <v>244</v>
      </c>
      <c r="D1537" s="22">
        <v>560</v>
      </c>
      <c r="E1537" s="16"/>
      <c r="F1537" t="s">
        <v>2666</v>
      </c>
      <c r="G1537" t="s">
        <v>149</v>
      </c>
      <c r="H1537" t="s">
        <v>236</v>
      </c>
      <c r="I1537" t="s">
        <v>63</v>
      </c>
      <c r="J1537" t="s">
        <v>201</v>
      </c>
      <c r="K1537">
        <v>1</v>
      </c>
      <c r="L1537" s="2"/>
    </row>
    <row r="1538" spans="1:12" s="25" customFormat="1" x14ac:dyDescent="0.2">
      <c r="A1538">
        <v>2014</v>
      </c>
      <c r="B1538" t="s">
        <v>202</v>
      </c>
      <c r="C1538" t="s">
        <v>557</v>
      </c>
      <c r="D1538" s="22">
        <v>130</v>
      </c>
      <c r="E1538" s="16"/>
      <c r="G1538" t="s">
        <v>148</v>
      </c>
      <c r="I1538" t="s">
        <v>30</v>
      </c>
      <c r="J1538" t="s">
        <v>195</v>
      </c>
      <c r="K1538">
        <v>1</v>
      </c>
      <c r="L1538" s="2"/>
    </row>
    <row r="1539" spans="1:12" s="25" customFormat="1" ht="15" customHeight="1" x14ac:dyDescent="0.2">
      <c r="A1539">
        <v>2014</v>
      </c>
      <c r="B1539" t="s">
        <v>202</v>
      </c>
      <c r="C1539" t="s">
        <v>449</v>
      </c>
      <c r="D1539" s="22">
        <v>600</v>
      </c>
      <c r="E1539" s="16"/>
      <c r="G1539" t="s">
        <v>154</v>
      </c>
      <c r="H1539" t="s">
        <v>250</v>
      </c>
      <c r="I1539" t="s">
        <v>89</v>
      </c>
      <c r="J1539" t="s">
        <v>219</v>
      </c>
      <c r="K1539">
        <v>1</v>
      </c>
      <c r="L1539" s="2"/>
    </row>
    <row r="1540" spans="1:12" s="25" customFormat="1" x14ac:dyDescent="0.2">
      <c r="A1540">
        <v>2014</v>
      </c>
      <c r="B1540" t="s">
        <v>202</v>
      </c>
      <c r="C1540" t="s">
        <v>2667</v>
      </c>
      <c r="D1540" s="22">
        <v>440</v>
      </c>
      <c r="E1540" s="16">
        <v>0.75</v>
      </c>
      <c r="F1540" t="s">
        <v>2668</v>
      </c>
      <c r="G1540" t="s">
        <v>144</v>
      </c>
      <c r="H1540" t="s">
        <v>197</v>
      </c>
      <c r="I1540" t="s">
        <v>40</v>
      </c>
      <c r="J1540" t="s">
        <v>219</v>
      </c>
      <c r="K1540">
        <v>1</v>
      </c>
      <c r="L1540" s="2"/>
    </row>
    <row r="1541" spans="1:12" s="25" customFormat="1" x14ac:dyDescent="0.2">
      <c r="A1541">
        <v>2014</v>
      </c>
      <c r="B1541" t="s">
        <v>202</v>
      </c>
      <c r="C1541" t="s">
        <v>479</v>
      </c>
      <c r="D1541" s="22">
        <v>950</v>
      </c>
      <c r="E1541" s="16"/>
      <c r="G1541" t="s">
        <v>154</v>
      </c>
      <c r="H1541" t="s">
        <v>271</v>
      </c>
      <c r="I1541" t="s">
        <v>57</v>
      </c>
      <c r="J1541" t="s">
        <v>195</v>
      </c>
      <c r="K1541">
        <v>0</v>
      </c>
      <c r="L1541" s="2"/>
    </row>
    <row r="1542" spans="1:12" s="25" customFormat="1" x14ac:dyDescent="0.2">
      <c r="A1542">
        <v>2014</v>
      </c>
      <c r="B1542" t="s">
        <v>202</v>
      </c>
      <c r="C1542" t="s">
        <v>449</v>
      </c>
      <c r="D1542" s="22">
        <v>1210</v>
      </c>
      <c r="E1542" s="16"/>
      <c r="G1542" t="s">
        <v>154</v>
      </c>
      <c r="H1542" t="s">
        <v>194</v>
      </c>
      <c r="I1542" t="s">
        <v>89</v>
      </c>
      <c r="J1542" t="s">
        <v>219</v>
      </c>
      <c r="K1542">
        <v>1</v>
      </c>
      <c r="L1542" s="2"/>
    </row>
    <row r="1543" spans="1:12" s="25" customFormat="1" x14ac:dyDescent="0.2">
      <c r="A1543">
        <v>2014</v>
      </c>
      <c r="B1543" t="s">
        <v>202</v>
      </c>
      <c r="C1543" t="s">
        <v>397</v>
      </c>
      <c r="D1543" s="22">
        <v>100</v>
      </c>
      <c r="E1543" s="16"/>
      <c r="G1543" t="s">
        <v>151</v>
      </c>
      <c r="H1543" t="s">
        <v>279</v>
      </c>
      <c r="I1543" t="s">
        <v>108</v>
      </c>
      <c r="J1543" t="s">
        <v>183</v>
      </c>
      <c r="K1543">
        <v>1</v>
      </c>
      <c r="L1543" s="2"/>
    </row>
    <row r="1544" spans="1:12" s="25" customFormat="1" x14ac:dyDescent="0.2">
      <c r="A1544">
        <v>2014</v>
      </c>
      <c r="B1544" t="s">
        <v>202</v>
      </c>
      <c r="C1544" t="s">
        <v>2547</v>
      </c>
      <c r="D1544" s="22">
        <v>400</v>
      </c>
      <c r="E1544" s="16"/>
      <c r="G1544" t="s">
        <v>154</v>
      </c>
      <c r="H1544" t="s">
        <v>250</v>
      </c>
      <c r="I1544" t="s">
        <v>73</v>
      </c>
      <c r="J1544" t="s">
        <v>201</v>
      </c>
      <c r="K1544">
        <v>1</v>
      </c>
      <c r="L1544" s="2"/>
    </row>
    <row r="1545" spans="1:12" s="25" customFormat="1" x14ac:dyDescent="0.2">
      <c r="A1545">
        <v>2014</v>
      </c>
      <c r="B1545" t="s">
        <v>202</v>
      </c>
      <c r="C1545" t="s">
        <v>444</v>
      </c>
      <c r="D1545" s="22">
        <v>1130</v>
      </c>
      <c r="E1545" s="16"/>
      <c r="F1545" t="s">
        <v>2669</v>
      </c>
      <c r="G1545" t="s">
        <v>144</v>
      </c>
      <c r="H1545" t="s">
        <v>273</v>
      </c>
      <c r="I1545" t="s">
        <v>93</v>
      </c>
      <c r="J1545" t="s">
        <v>201</v>
      </c>
      <c r="K1545">
        <v>1</v>
      </c>
      <c r="L1545" s="2"/>
    </row>
    <row r="1546" spans="1:12" s="25" customFormat="1" x14ac:dyDescent="0.2">
      <c r="A1546">
        <v>2014</v>
      </c>
      <c r="B1546" t="s">
        <v>202</v>
      </c>
      <c r="C1546" t="s">
        <v>397</v>
      </c>
      <c r="D1546" s="22">
        <v>250</v>
      </c>
      <c r="E1546" s="16"/>
      <c r="G1546" t="s">
        <v>154</v>
      </c>
      <c r="H1546" t="s">
        <v>194</v>
      </c>
      <c r="I1546" t="s">
        <v>115</v>
      </c>
      <c r="J1546" t="s">
        <v>201</v>
      </c>
      <c r="K1546">
        <v>1</v>
      </c>
      <c r="L1546" s="2"/>
    </row>
    <row r="1547" spans="1:12" s="25" customFormat="1" x14ac:dyDescent="0.2">
      <c r="A1547">
        <v>2014</v>
      </c>
      <c r="B1547" t="s">
        <v>202</v>
      </c>
      <c r="C1547" t="s">
        <v>1035</v>
      </c>
      <c r="D1547" s="22">
        <v>120</v>
      </c>
      <c r="E1547" s="16"/>
      <c r="G1547" t="s">
        <v>144</v>
      </c>
      <c r="H1547" t="s">
        <v>197</v>
      </c>
      <c r="I1547" t="s">
        <v>67</v>
      </c>
      <c r="J1547" t="s">
        <v>183</v>
      </c>
      <c r="K1547">
        <v>1</v>
      </c>
      <c r="L1547" s="81"/>
    </row>
    <row r="1548" spans="1:12" s="25" customFormat="1" x14ac:dyDescent="0.2">
      <c r="A1548">
        <v>2014</v>
      </c>
      <c r="B1548" t="s">
        <v>202</v>
      </c>
      <c r="C1548" t="s">
        <v>1035</v>
      </c>
      <c r="D1548" s="22">
        <v>220</v>
      </c>
      <c r="E1548" s="16"/>
      <c r="G1548" t="s">
        <v>155</v>
      </c>
      <c r="I1548" t="s">
        <v>100</v>
      </c>
      <c r="J1548" t="s">
        <v>214</v>
      </c>
      <c r="K1548">
        <v>1</v>
      </c>
      <c r="L1548" s="81"/>
    </row>
    <row r="1549" spans="1:12" s="25" customFormat="1" x14ac:dyDescent="0.2">
      <c r="A1549">
        <v>2014</v>
      </c>
      <c r="B1549" t="s">
        <v>202</v>
      </c>
      <c r="C1549" t="s">
        <v>444</v>
      </c>
      <c r="D1549" s="22">
        <v>270</v>
      </c>
      <c r="E1549" s="16"/>
      <c r="G1549" t="s">
        <v>144</v>
      </c>
      <c r="H1549" t="s">
        <v>273</v>
      </c>
      <c r="I1549" t="s">
        <v>2571</v>
      </c>
      <c r="J1549" t="s">
        <v>195</v>
      </c>
      <c r="K1549">
        <v>1</v>
      </c>
      <c r="L1549" s="81"/>
    </row>
    <row r="1550" spans="1:12" s="25" customFormat="1" x14ac:dyDescent="0.2">
      <c r="A1550">
        <v>2014</v>
      </c>
      <c r="B1550" t="s">
        <v>202</v>
      </c>
      <c r="C1550" t="s">
        <v>2434</v>
      </c>
      <c r="D1550" s="22">
        <v>270</v>
      </c>
      <c r="E1550" s="16"/>
      <c r="G1550" t="s">
        <v>154</v>
      </c>
      <c r="H1550" t="s">
        <v>529</v>
      </c>
      <c r="I1550" t="s">
        <v>108</v>
      </c>
      <c r="J1550" t="s">
        <v>183</v>
      </c>
      <c r="K1550">
        <v>1</v>
      </c>
      <c r="L1550" s="81"/>
    </row>
    <row r="1551" spans="1:12" s="25" customFormat="1" x14ac:dyDescent="0.2">
      <c r="A1551">
        <v>2014</v>
      </c>
      <c r="B1551" t="s">
        <v>202</v>
      </c>
      <c r="C1551" t="s">
        <v>1035</v>
      </c>
      <c r="D1551" s="22">
        <v>140</v>
      </c>
      <c r="E1551" s="16"/>
      <c r="G1551" t="s">
        <v>154</v>
      </c>
      <c r="H1551" t="s">
        <v>194</v>
      </c>
      <c r="I1551" t="s">
        <v>37</v>
      </c>
      <c r="J1551" t="s">
        <v>205</v>
      </c>
      <c r="K1551">
        <v>1</v>
      </c>
      <c r="L1551" s="81"/>
    </row>
    <row r="1552" spans="1:12" s="25" customFormat="1" x14ac:dyDescent="0.2">
      <c r="A1552">
        <v>2014</v>
      </c>
      <c r="B1552" t="s">
        <v>202</v>
      </c>
      <c r="C1552" t="s">
        <v>444</v>
      </c>
      <c r="D1552" s="22">
        <v>100</v>
      </c>
      <c r="E1552" s="16"/>
      <c r="G1552" t="s">
        <v>144</v>
      </c>
      <c r="H1552" t="s">
        <v>232</v>
      </c>
      <c r="I1552" t="s">
        <v>40</v>
      </c>
      <c r="J1552" t="s">
        <v>219</v>
      </c>
      <c r="K1552">
        <v>1</v>
      </c>
      <c r="L1552" s="81"/>
    </row>
    <row r="1553" spans="1:12" s="25" customFormat="1" x14ac:dyDescent="0.2">
      <c r="A1553">
        <v>2014</v>
      </c>
      <c r="B1553" t="s">
        <v>202</v>
      </c>
      <c r="C1553" t="s">
        <v>1035</v>
      </c>
      <c r="D1553" s="22">
        <v>360</v>
      </c>
      <c r="E1553" s="16"/>
      <c r="F1553" t="s">
        <v>2670</v>
      </c>
      <c r="G1553" t="s">
        <v>144</v>
      </c>
      <c r="H1553" t="s">
        <v>273</v>
      </c>
      <c r="I1553" t="s">
        <v>80</v>
      </c>
      <c r="J1553" t="s">
        <v>214</v>
      </c>
      <c r="K1553">
        <v>1</v>
      </c>
      <c r="L1553" s="81"/>
    </row>
    <row r="1554" spans="1:12" s="25" customFormat="1" x14ac:dyDescent="0.2">
      <c r="A1554">
        <v>2014</v>
      </c>
      <c r="B1554" t="s">
        <v>202</v>
      </c>
      <c r="C1554" t="s">
        <v>875</v>
      </c>
      <c r="D1554" s="22">
        <v>210</v>
      </c>
      <c r="E1554" s="16"/>
      <c r="G1554" t="s">
        <v>144</v>
      </c>
      <c r="H1554" t="s">
        <v>197</v>
      </c>
      <c r="I1554" t="s">
        <v>6</v>
      </c>
      <c r="J1554" t="s">
        <v>219</v>
      </c>
      <c r="K1554">
        <v>1</v>
      </c>
      <c r="L1554" s="2"/>
    </row>
    <row r="1555" spans="1:12" s="25" customFormat="1" x14ac:dyDescent="0.2">
      <c r="A1555">
        <v>2014</v>
      </c>
      <c r="B1555" t="s">
        <v>207</v>
      </c>
      <c r="C1555" t="s">
        <v>479</v>
      </c>
      <c r="D1555" s="22">
        <v>360</v>
      </c>
      <c r="E1555" s="16"/>
      <c r="G1555" t="s">
        <v>154</v>
      </c>
      <c r="H1555" t="s">
        <v>271</v>
      </c>
      <c r="I1555" t="s">
        <v>83</v>
      </c>
      <c r="J1555" t="s">
        <v>219</v>
      </c>
      <c r="K1555">
        <v>1</v>
      </c>
      <c r="L1555" s="2"/>
    </row>
    <row r="1556" spans="1:12" s="25" customFormat="1" ht="15" customHeight="1" x14ac:dyDescent="0.2">
      <c r="A1556">
        <v>2014</v>
      </c>
      <c r="B1556" t="s">
        <v>207</v>
      </c>
      <c r="C1556" t="s">
        <v>341</v>
      </c>
      <c r="D1556" s="22">
        <v>990</v>
      </c>
      <c r="E1556" s="16"/>
      <c r="F1556" t="s">
        <v>2631</v>
      </c>
      <c r="G1556" t="s">
        <v>151</v>
      </c>
      <c r="H1556" t="s">
        <v>279</v>
      </c>
      <c r="I1556" t="s">
        <v>123</v>
      </c>
      <c r="J1556" t="s">
        <v>219</v>
      </c>
      <c r="K1556">
        <v>1</v>
      </c>
      <c r="L1556" s="2"/>
    </row>
    <row r="1557" spans="1:12" s="25" customFormat="1" x14ac:dyDescent="0.2">
      <c r="A1557">
        <v>2014</v>
      </c>
      <c r="B1557" t="s">
        <v>207</v>
      </c>
      <c r="C1557" t="s">
        <v>444</v>
      </c>
      <c r="D1557" s="22">
        <v>110</v>
      </c>
      <c r="E1557" s="16"/>
      <c r="G1557" t="s">
        <v>142</v>
      </c>
      <c r="I1557" t="s">
        <v>138</v>
      </c>
      <c r="J1557" t="s">
        <v>219</v>
      </c>
      <c r="K1557">
        <v>1</v>
      </c>
      <c r="L1557" s="2"/>
    </row>
    <row r="1558" spans="1:12" s="25" customFormat="1" x14ac:dyDescent="0.2">
      <c r="A1558">
        <v>2014</v>
      </c>
      <c r="B1558" t="s">
        <v>207</v>
      </c>
      <c r="C1558" t="s">
        <v>246</v>
      </c>
      <c r="D1558" s="22">
        <v>310</v>
      </c>
      <c r="E1558" s="16"/>
      <c r="G1558" t="s">
        <v>144</v>
      </c>
      <c r="H1558" t="s">
        <v>197</v>
      </c>
      <c r="I1558" t="s">
        <v>46</v>
      </c>
      <c r="J1558" t="s">
        <v>219</v>
      </c>
      <c r="K1558">
        <v>1</v>
      </c>
      <c r="L1558" s="2"/>
    </row>
    <row r="1559" spans="1:12" s="25" customFormat="1" x14ac:dyDescent="0.2">
      <c r="A1559">
        <v>2014</v>
      </c>
      <c r="B1559" t="s">
        <v>207</v>
      </c>
      <c r="C1559" t="s">
        <v>397</v>
      </c>
      <c r="D1559" s="22">
        <v>750</v>
      </c>
      <c r="E1559" s="16"/>
      <c r="F1559" t="s">
        <v>2671</v>
      </c>
      <c r="G1559" t="s">
        <v>153</v>
      </c>
      <c r="I1559" t="s">
        <v>5</v>
      </c>
      <c r="J1559" t="s">
        <v>214</v>
      </c>
      <c r="K1559">
        <v>1</v>
      </c>
      <c r="L1559" s="2"/>
    </row>
    <row r="1560" spans="1:12" s="25" customFormat="1" x14ac:dyDescent="0.2">
      <c r="A1560">
        <v>2014</v>
      </c>
      <c r="B1560" t="s">
        <v>207</v>
      </c>
      <c r="C1560" t="s">
        <v>185</v>
      </c>
      <c r="D1560" s="22">
        <v>370</v>
      </c>
      <c r="E1560" s="16"/>
      <c r="F1560" t="s">
        <v>2672</v>
      </c>
      <c r="G1560" t="s">
        <v>144</v>
      </c>
      <c r="H1560" t="s">
        <v>187</v>
      </c>
      <c r="I1560" t="s">
        <v>82</v>
      </c>
      <c r="J1560" t="s">
        <v>183</v>
      </c>
      <c r="K1560">
        <v>1</v>
      </c>
      <c r="L1560" s="2"/>
    </row>
    <row r="1561" spans="1:12" s="25" customFormat="1" x14ac:dyDescent="0.2">
      <c r="A1561">
        <v>2014</v>
      </c>
      <c r="B1561" t="s">
        <v>207</v>
      </c>
      <c r="C1561" t="s">
        <v>399</v>
      </c>
      <c r="D1561" s="22">
        <v>240</v>
      </c>
      <c r="E1561" s="16"/>
      <c r="F1561" t="s">
        <v>2427</v>
      </c>
      <c r="G1561" t="s">
        <v>144</v>
      </c>
      <c r="H1561" t="s">
        <v>273</v>
      </c>
      <c r="I1561" t="s">
        <v>72</v>
      </c>
      <c r="J1561" t="s">
        <v>183</v>
      </c>
      <c r="K1561">
        <v>1</v>
      </c>
      <c r="L1561" s="2"/>
    </row>
    <row r="1562" spans="1:12" s="25" customFormat="1" x14ac:dyDescent="0.2">
      <c r="A1562">
        <v>2014</v>
      </c>
      <c r="B1562" t="s">
        <v>207</v>
      </c>
      <c r="C1562" t="s">
        <v>1093</v>
      </c>
      <c r="D1562" s="22">
        <v>550</v>
      </c>
      <c r="E1562" s="16"/>
      <c r="G1562" t="s">
        <v>151</v>
      </c>
      <c r="H1562" t="s">
        <v>279</v>
      </c>
      <c r="I1562" t="s">
        <v>123</v>
      </c>
      <c r="J1562" t="s">
        <v>219</v>
      </c>
      <c r="K1562">
        <v>1</v>
      </c>
      <c r="L1562" s="2"/>
    </row>
    <row r="1563" spans="1:12" s="25" customFormat="1" x14ac:dyDescent="0.2">
      <c r="A1563">
        <v>2014</v>
      </c>
      <c r="B1563" t="s">
        <v>207</v>
      </c>
      <c r="C1563" t="s">
        <v>180</v>
      </c>
      <c r="D1563" s="22">
        <v>240</v>
      </c>
      <c r="E1563" s="16"/>
      <c r="F1563" t="s">
        <v>2673</v>
      </c>
      <c r="G1563" t="s">
        <v>149</v>
      </c>
      <c r="H1563" t="s">
        <v>182</v>
      </c>
      <c r="I1563" t="s">
        <v>52</v>
      </c>
      <c r="J1563" t="s">
        <v>201</v>
      </c>
      <c r="K1563">
        <v>0</v>
      </c>
      <c r="L1563" s="2"/>
    </row>
    <row r="1564" spans="1:12" s="25" customFormat="1" x14ac:dyDescent="0.2">
      <c r="A1564">
        <v>2014</v>
      </c>
      <c r="B1564" t="s">
        <v>207</v>
      </c>
      <c r="C1564" t="s">
        <v>479</v>
      </c>
      <c r="D1564" s="22">
        <v>130</v>
      </c>
      <c r="E1564" s="16"/>
      <c r="G1564" t="s">
        <v>148</v>
      </c>
      <c r="I1564" t="s">
        <v>5</v>
      </c>
      <c r="J1564" t="s">
        <v>214</v>
      </c>
      <c r="K1564">
        <v>1</v>
      </c>
      <c r="L1564" s="2"/>
    </row>
    <row r="1565" spans="1:12" s="25" customFormat="1" x14ac:dyDescent="0.2">
      <c r="A1565">
        <v>2014</v>
      </c>
      <c r="B1565" t="s">
        <v>240</v>
      </c>
      <c r="C1565" t="s">
        <v>444</v>
      </c>
      <c r="D1565" s="22">
        <v>690</v>
      </c>
      <c r="E1565" s="16"/>
      <c r="G1565" t="s">
        <v>142</v>
      </c>
      <c r="I1565" t="s">
        <v>115</v>
      </c>
      <c r="J1565" t="s">
        <v>201</v>
      </c>
      <c r="K1565">
        <v>1</v>
      </c>
      <c r="L1565" s="2"/>
    </row>
    <row r="1566" spans="1:12" s="25" customFormat="1" x14ac:dyDescent="0.2">
      <c r="A1566">
        <v>2014</v>
      </c>
      <c r="B1566" t="s">
        <v>240</v>
      </c>
      <c r="C1566" t="s">
        <v>397</v>
      </c>
      <c r="D1566" s="22">
        <v>210</v>
      </c>
      <c r="E1566" s="16"/>
      <c r="G1566" t="s">
        <v>153</v>
      </c>
      <c r="I1566" t="s">
        <v>2406</v>
      </c>
      <c r="J1566" t="s">
        <v>219</v>
      </c>
      <c r="K1566">
        <v>1</v>
      </c>
      <c r="L1566" s="2"/>
    </row>
    <row r="1567" spans="1:12" s="25" customFormat="1" x14ac:dyDescent="0.2">
      <c r="A1567">
        <v>2014</v>
      </c>
      <c r="B1567" t="s">
        <v>240</v>
      </c>
      <c r="C1567" t="s">
        <v>397</v>
      </c>
      <c r="D1567" s="22">
        <v>420</v>
      </c>
      <c r="E1567" s="16"/>
      <c r="G1567" t="s">
        <v>154</v>
      </c>
      <c r="H1567" t="s">
        <v>194</v>
      </c>
      <c r="I1567" t="s">
        <v>115</v>
      </c>
      <c r="J1567" t="s">
        <v>201</v>
      </c>
      <c r="K1567">
        <v>1</v>
      </c>
      <c r="L1567" s="2"/>
    </row>
    <row r="1568" spans="1:12" s="25" customFormat="1" x14ac:dyDescent="0.2">
      <c r="A1568">
        <v>2014</v>
      </c>
      <c r="B1568" t="s">
        <v>240</v>
      </c>
      <c r="C1568" t="s">
        <v>449</v>
      </c>
      <c r="D1568" s="22">
        <v>1980</v>
      </c>
      <c r="E1568" s="16"/>
      <c r="G1568" t="s">
        <v>151</v>
      </c>
      <c r="H1568" t="s">
        <v>279</v>
      </c>
      <c r="I1568" t="s">
        <v>105</v>
      </c>
      <c r="J1568" t="s">
        <v>214</v>
      </c>
      <c r="K1568">
        <v>1</v>
      </c>
      <c r="L1568" s="2"/>
    </row>
    <row r="1569" spans="1:12" s="25" customFormat="1" x14ac:dyDescent="0.2">
      <c r="A1569">
        <v>2014</v>
      </c>
      <c r="B1569" t="s">
        <v>240</v>
      </c>
      <c r="C1569" t="s">
        <v>875</v>
      </c>
      <c r="D1569" s="22">
        <v>140</v>
      </c>
      <c r="E1569" s="16"/>
      <c r="G1569" t="s">
        <v>154</v>
      </c>
      <c r="H1569" t="s">
        <v>194</v>
      </c>
      <c r="I1569" t="s">
        <v>93</v>
      </c>
      <c r="J1569" t="s">
        <v>201</v>
      </c>
      <c r="K1569">
        <v>1</v>
      </c>
      <c r="L1569" s="2"/>
    </row>
    <row r="1570" spans="1:12" s="25" customFormat="1" x14ac:dyDescent="0.2">
      <c r="A1570">
        <v>2014</v>
      </c>
      <c r="B1570" t="s">
        <v>240</v>
      </c>
      <c r="C1570" t="s">
        <v>444</v>
      </c>
      <c r="D1570" s="22">
        <v>320</v>
      </c>
      <c r="E1570" s="16"/>
      <c r="G1570" t="s">
        <v>154</v>
      </c>
      <c r="H1570" t="s">
        <v>529</v>
      </c>
      <c r="I1570" t="s">
        <v>54</v>
      </c>
      <c r="J1570" t="s">
        <v>201</v>
      </c>
      <c r="K1570">
        <v>1</v>
      </c>
      <c r="L1570" s="2"/>
    </row>
    <row r="1571" spans="1:12" s="25" customFormat="1" x14ac:dyDescent="0.2">
      <c r="A1571">
        <v>2014</v>
      </c>
      <c r="B1571" t="s">
        <v>240</v>
      </c>
      <c r="C1571" t="s">
        <v>875</v>
      </c>
      <c r="D1571" s="22">
        <v>1600</v>
      </c>
      <c r="E1571" s="16"/>
      <c r="G1571" t="s">
        <v>144</v>
      </c>
      <c r="H1571" t="s">
        <v>187</v>
      </c>
      <c r="I1571" t="s">
        <v>62</v>
      </c>
      <c r="J1571" t="s">
        <v>214</v>
      </c>
      <c r="K1571">
        <v>1</v>
      </c>
      <c r="L1571" s="2"/>
    </row>
    <row r="1572" spans="1:12" s="25" customFormat="1" x14ac:dyDescent="0.2">
      <c r="A1572">
        <v>2014</v>
      </c>
      <c r="B1572" t="s">
        <v>240</v>
      </c>
      <c r="C1572" t="s">
        <v>1035</v>
      </c>
      <c r="D1572" s="22">
        <v>100</v>
      </c>
      <c r="E1572" s="16"/>
      <c r="G1572" t="s">
        <v>144</v>
      </c>
      <c r="H1572" t="s">
        <v>187</v>
      </c>
      <c r="I1572" t="s">
        <v>105</v>
      </c>
      <c r="J1572" t="s">
        <v>214</v>
      </c>
      <c r="K1572">
        <v>1</v>
      </c>
      <c r="L1572" s="2"/>
    </row>
    <row r="1573" spans="1:12" s="25" customFormat="1" x14ac:dyDescent="0.2">
      <c r="A1573">
        <v>2014</v>
      </c>
      <c r="B1573" t="s">
        <v>240</v>
      </c>
      <c r="C1573" t="s">
        <v>208</v>
      </c>
      <c r="D1573" s="22">
        <v>120</v>
      </c>
      <c r="E1573" s="16"/>
      <c r="F1573" t="s">
        <v>2674</v>
      </c>
      <c r="G1573" t="s">
        <v>144</v>
      </c>
      <c r="I1573" t="s">
        <v>25</v>
      </c>
      <c r="J1573" t="s">
        <v>177</v>
      </c>
      <c r="K1573">
        <v>0</v>
      </c>
      <c r="L1573" s="2"/>
    </row>
    <row r="1574" spans="1:12" s="25" customFormat="1" x14ac:dyDescent="0.2">
      <c r="A1574">
        <v>2014</v>
      </c>
      <c r="B1574" t="s">
        <v>240</v>
      </c>
      <c r="C1574" t="s">
        <v>815</v>
      </c>
      <c r="D1574" s="22">
        <v>350</v>
      </c>
      <c r="E1574" s="16"/>
      <c r="F1574" t="s">
        <v>2675</v>
      </c>
      <c r="G1574" t="s">
        <v>151</v>
      </c>
      <c r="H1574" t="s">
        <v>279</v>
      </c>
      <c r="I1574" t="s">
        <v>53</v>
      </c>
      <c r="J1574" t="s">
        <v>183</v>
      </c>
      <c r="K1574">
        <v>1</v>
      </c>
      <c r="L1574" s="2"/>
    </row>
    <row r="1575" spans="1:12" s="25" customFormat="1" x14ac:dyDescent="0.2">
      <c r="A1575">
        <v>2014</v>
      </c>
      <c r="B1575" t="s">
        <v>240</v>
      </c>
      <c r="C1575" t="s">
        <v>1234</v>
      </c>
      <c r="D1575" s="22">
        <v>600</v>
      </c>
      <c r="E1575" s="16"/>
      <c r="G1575" t="s">
        <v>154</v>
      </c>
      <c r="H1575" t="s">
        <v>529</v>
      </c>
      <c r="I1575" t="s">
        <v>115</v>
      </c>
      <c r="J1575" t="s">
        <v>201</v>
      </c>
      <c r="K1575">
        <v>1</v>
      </c>
      <c r="L1575" s="2"/>
    </row>
    <row r="1576" spans="1:12" s="25" customFormat="1" x14ac:dyDescent="0.2">
      <c r="A1576">
        <v>2014</v>
      </c>
      <c r="B1576" t="s">
        <v>240</v>
      </c>
      <c r="C1576" t="s">
        <v>285</v>
      </c>
      <c r="D1576" s="22">
        <v>170</v>
      </c>
      <c r="E1576" s="16">
        <v>0.5</v>
      </c>
      <c r="G1576" t="s">
        <v>144</v>
      </c>
      <c r="H1576" t="s">
        <v>197</v>
      </c>
      <c r="I1576" t="s">
        <v>67</v>
      </c>
      <c r="J1576" t="s">
        <v>183</v>
      </c>
      <c r="K1576">
        <v>1</v>
      </c>
      <c r="L1576" s="2"/>
    </row>
    <row r="1577" spans="1:12" s="25" customFormat="1" x14ac:dyDescent="0.2">
      <c r="A1577">
        <v>2014</v>
      </c>
      <c r="B1577" t="s">
        <v>240</v>
      </c>
      <c r="C1577" t="s">
        <v>2486</v>
      </c>
      <c r="D1577" s="22">
        <v>390</v>
      </c>
      <c r="E1577" s="16"/>
      <c r="G1577" t="s">
        <v>151</v>
      </c>
      <c r="H1577" t="s">
        <v>279</v>
      </c>
      <c r="I1577" t="s">
        <v>29</v>
      </c>
      <c r="J1577" t="s">
        <v>219</v>
      </c>
      <c r="K1577">
        <v>1</v>
      </c>
      <c r="L1577" s="2"/>
    </row>
    <row r="1578" spans="1:12" s="25" customFormat="1" x14ac:dyDescent="0.2">
      <c r="A1578">
        <v>2014</v>
      </c>
      <c r="B1578" t="s">
        <v>212</v>
      </c>
      <c r="C1578" t="s">
        <v>444</v>
      </c>
      <c r="D1578" s="22">
        <v>120</v>
      </c>
      <c r="E1578" s="16"/>
      <c r="F1578" t="s">
        <v>2676</v>
      </c>
      <c r="G1578" t="s">
        <v>152</v>
      </c>
      <c r="H1578" t="s">
        <v>257</v>
      </c>
      <c r="I1578" t="s">
        <v>124</v>
      </c>
      <c r="J1578" t="s">
        <v>183</v>
      </c>
      <c r="K1578">
        <v>1</v>
      </c>
      <c r="L1578" s="2"/>
    </row>
    <row r="1579" spans="1:12" s="25" customFormat="1" x14ac:dyDescent="0.2">
      <c r="A1579">
        <v>2014</v>
      </c>
      <c r="B1579" t="s">
        <v>212</v>
      </c>
      <c r="C1579" t="s">
        <v>208</v>
      </c>
      <c r="D1579" s="22">
        <v>180</v>
      </c>
      <c r="E1579" s="16"/>
      <c r="F1579" t="s">
        <v>2677</v>
      </c>
      <c r="G1579" t="s">
        <v>144</v>
      </c>
      <c r="H1579" t="s">
        <v>273</v>
      </c>
      <c r="I1579" t="s">
        <v>54</v>
      </c>
      <c r="J1579" t="s">
        <v>201</v>
      </c>
      <c r="K1579">
        <v>1</v>
      </c>
      <c r="L1579" s="2"/>
    </row>
    <row r="1580" spans="1:12" s="25" customFormat="1" x14ac:dyDescent="0.2">
      <c r="A1580">
        <v>2014</v>
      </c>
      <c r="B1580" t="s">
        <v>212</v>
      </c>
      <c r="C1580" t="s">
        <v>444</v>
      </c>
      <c r="D1580" s="22">
        <v>610</v>
      </c>
      <c r="E1580" s="16"/>
      <c r="G1580" t="s">
        <v>144</v>
      </c>
      <c r="I1580" t="s">
        <v>81</v>
      </c>
      <c r="J1580" t="s">
        <v>219</v>
      </c>
      <c r="K1580">
        <v>1</v>
      </c>
      <c r="L1580" s="2"/>
    </row>
    <row r="1581" spans="1:12" x14ac:dyDescent="0.2">
      <c r="A1581">
        <v>2014</v>
      </c>
      <c r="B1581" t="s">
        <v>212</v>
      </c>
      <c r="C1581" t="s">
        <v>449</v>
      </c>
      <c r="D1581" s="22">
        <v>100</v>
      </c>
      <c r="E1581" s="16"/>
      <c r="G1581" t="s">
        <v>154</v>
      </c>
      <c r="H1581" t="s">
        <v>271</v>
      </c>
      <c r="I1581" t="s">
        <v>7</v>
      </c>
      <c r="J1581" t="s">
        <v>177</v>
      </c>
      <c r="K1581">
        <v>1</v>
      </c>
      <c r="L1581" s="2"/>
    </row>
    <row r="1582" spans="1:12" x14ac:dyDescent="0.2">
      <c r="A1582">
        <v>2014</v>
      </c>
      <c r="B1582" t="s">
        <v>212</v>
      </c>
      <c r="C1582" t="s">
        <v>221</v>
      </c>
      <c r="D1582" s="22">
        <v>550</v>
      </c>
      <c r="E1582" s="16"/>
      <c r="F1582" t="s">
        <v>2678</v>
      </c>
      <c r="G1582" t="s">
        <v>142</v>
      </c>
      <c r="I1582" t="s">
        <v>63</v>
      </c>
      <c r="J1582" t="s">
        <v>201</v>
      </c>
      <c r="K1582">
        <v>1</v>
      </c>
      <c r="L1582" s="2"/>
    </row>
    <row r="1583" spans="1:12" x14ac:dyDescent="0.2">
      <c r="A1583">
        <v>2014</v>
      </c>
      <c r="B1583" t="s">
        <v>212</v>
      </c>
      <c r="C1583" t="s">
        <v>1035</v>
      </c>
      <c r="D1583" s="22">
        <v>100</v>
      </c>
      <c r="E1583" s="16"/>
      <c r="G1583" t="s">
        <v>155</v>
      </c>
      <c r="I1583" t="s">
        <v>126</v>
      </c>
      <c r="J1583" t="s">
        <v>177</v>
      </c>
      <c r="K1583">
        <v>1</v>
      </c>
      <c r="L1583" s="2"/>
    </row>
    <row r="1584" spans="1:12" x14ac:dyDescent="0.2">
      <c r="A1584">
        <v>2014</v>
      </c>
      <c r="B1584" t="s">
        <v>212</v>
      </c>
      <c r="C1584" t="s">
        <v>745</v>
      </c>
      <c r="D1584" s="22">
        <v>440</v>
      </c>
      <c r="E1584" s="16"/>
      <c r="F1584" t="s">
        <v>2679</v>
      </c>
      <c r="G1584" t="s">
        <v>143</v>
      </c>
      <c r="I1584" t="s">
        <v>53</v>
      </c>
      <c r="J1584" t="s">
        <v>183</v>
      </c>
      <c r="K1584">
        <v>1</v>
      </c>
      <c r="L1584" s="2"/>
    </row>
    <row r="1585" spans="1:12" x14ac:dyDescent="0.2">
      <c r="A1585">
        <v>2014</v>
      </c>
      <c r="B1585" t="s">
        <v>212</v>
      </c>
      <c r="C1585" t="s">
        <v>2680</v>
      </c>
      <c r="D1585" s="22">
        <v>640</v>
      </c>
      <c r="E1585" s="16"/>
      <c r="G1585" t="s">
        <v>154</v>
      </c>
      <c r="H1585" t="s">
        <v>271</v>
      </c>
      <c r="I1585" t="s">
        <v>2557</v>
      </c>
      <c r="J1585" t="s">
        <v>219</v>
      </c>
      <c r="K1585">
        <v>1</v>
      </c>
      <c r="L1585" s="2"/>
    </row>
    <row r="1586" spans="1:12" x14ac:dyDescent="0.2">
      <c r="A1586">
        <v>2014</v>
      </c>
      <c r="B1586" t="s">
        <v>212</v>
      </c>
      <c r="C1586" t="s">
        <v>444</v>
      </c>
      <c r="D1586" s="22">
        <v>100</v>
      </c>
      <c r="E1586" s="16"/>
      <c r="F1586" t="s">
        <v>2511</v>
      </c>
      <c r="G1586" t="s">
        <v>144</v>
      </c>
      <c r="H1586" t="s">
        <v>232</v>
      </c>
      <c r="I1586" t="s">
        <v>93</v>
      </c>
      <c r="J1586" t="s">
        <v>201</v>
      </c>
      <c r="K1586">
        <v>1</v>
      </c>
      <c r="L1586" s="2"/>
    </row>
    <row r="1587" spans="1:12" x14ac:dyDescent="0.2">
      <c r="A1587">
        <v>2014</v>
      </c>
      <c r="B1587" t="s">
        <v>212</v>
      </c>
      <c r="C1587" t="s">
        <v>221</v>
      </c>
      <c r="D1587" s="22">
        <v>760</v>
      </c>
      <c r="E1587" s="16"/>
      <c r="G1587" t="s">
        <v>151</v>
      </c>
      <c r="H1587" t="s">
        <v>279</v>
      </c>
      <c r="I1587" t="s">
        <v>135</v>
      </c>
      <c r="J1587" t="s">
        <v>205</v>
      </c>
      <c r="K1587">
        <v>1</v>
      </c>
      <c r="L1587" s="2"/>
    </row>
    <row r="1588" spans="1:12" x14ac:dyDescent="0.2">
      <c r="A1588">
        <v>2014</v>
      </c>
      <c r="B1588" t="s">
        <v>212</v>
      </c>
      <c r="C1588" t="s">
        <v>2228</v>
      </c>
      <c r="D1588" s="22">
        <v>2100</v>
      </c>
      <c r="E1588" s="16"/>
      <c r="G1588" t="s">
        <v>154</v>
      </c>
      <c r="H1588" t="s">
        <v>194</v>
      </c>
      <c r="I1588" t="s">
        <v>2554</v>
      </c>
      <c r="J1588" t="s">
        <v>219</v>
      </c>
      <c r="K1588">
        <v>1</v>
      </c>
      <c r="L1588" s="2"/>
    </row>
    <row r="1589" spans="1:12" x14ac:dyDescent="0.2">
      <c r="A1589">
        <v>2014</v>
      </c>
      <c r="B1589" t="s">
        <v>212</v>
      </c>
      <c r="C1589" t="s">
        <v>1035</v>
      </c>
      <c r="D1589" s="22">
        <v>120</v>
      </c>
      <c r="E1589" s="16">
        <v>0.51</v>
      </c>
      <c r="G1589" t="s">
        <v>154</v>
      </c>
      <c r="H1589" t="s">
        <v>194</v>
      </c>
      <c r="I1589" t="s">
        <v>2628</v>
      </c>
      <c r="J1589" t="s">
        <v>195</v>
      </c>
      <c r="K1589">
        <v>1</v>
      </c>
      <c r="L1589" s="2"/>
    </row>
    <row r="1590" spans="1:12" x14ac:dyDescent="0.2">
      <c r="A1590">
        <v>2014</v>
      </c>
      <c r="B1590" t="s">
        <v>212</v>
      </c>
      <c r="C1590" t="s">
        <v>2681</v>
      </c>
      <c r="D1590" s="22">
        <v>220</v>
      </c>
      <c r="E1590" s="16"/>
      <c r="G1590" t="s">
        <v>151</v>
      </c>
      <c r="H1590" t="s">
        <v>279</v>
      </c>
      <c r="I1590" t="s">
        <v>78</v>
      </c>
      <c r="J1590" t="s">
        <v>183</v>
      </c>
      <c r="K1590">
        <v>1</v>
      </c>
      <c r="L1590" s="2"/>
    </row>
    <row r="1591" spans="1:12" x14ac:dyDescent="0.2">
      <c r="A1591">
        <v>2014</v>
      </c>
      <c r="B1591" t="s">
        <v>212</v>
      </c>
      <c r="C1591" t="s">
        <v>444</v>
      </c>
      <c r="D1591" s="22">
        <v>650</v>
      </c>
      <c r="E1591" s="16"/>
      <c r="G1591" t="s">
        <v>142</v>
      </c>
      <c r="I1591" t="s">
        <v>40</v>
      </c>
      <c r="J1591" t="s">
        <v>219</v>
      </c>
      <c r="K1591">
        <v>1</v>
      </c>
      <c r="L1591" s="2"/>
    </row>
    <row r="1592" spans="1:12" x14ac:dyDescent="0.2">
      <c r="A1592">
        <v>2014</v>
      </c>
      <c r="B1592" t="s">
        <v>212</v>
      </c>
      <c r="C1592" t="s">
        <v>479</v>
      </c>
      <c r="D1592" s="22">
        <v>730</v>
      </c>
      <c r="E1592" s="16"/>
      <c r="G1592" t="s">
        <v>154</v>
      </c>
      <c r="H1592" t="s">
        <v>194</v>
      </c>
      <c r="I1592" t="s">
        <v>24</v>
      </c>
      <c r="J1592" t="s">
        <v>219</v>
      </c>
      <c r="K1592">
        <v>1</v>
      </c>
      <c r="L1592" s="2"/>
    </row>
    <row r="1593" spans="1:12" x14ac:dyDescent="0.2">
      <c r="A1593">
        <v>2014</v>
      </c>
      <c r="B1593" t="s">
        <v>212</v>
      </c>
      <c r="C1593" t="s">
        <v>444</v>
      </c>
      <c r="D1593" s="22">
        <v>190</v>
      </c>
      <c r="E1593" s="16"/>
      <c r="F1593" t="s">
        <v>2682</v>
      </c>
      <c r="G1593" t="s">
        <v>144</v>
      </c>
      <c r="H1593" t="s">
        <v>197</v>
      </c>
      <c r="I1593" t="s">
        <v>138</v>
      </c>
      <c r="J1593" t="s">
        <v>219</v>
      </c>
      <c r="K1593">
        <v>1</v>
      </c>
      <c r="L1593" s="2"/>
    </row>
    <row r="1594" spans="1:12" x14ac:dyDescent="0.2">
      <c r="A1594">
        <v>2014</v>
      </c>
      <c r="B1594" t="s">
        <v>212</v>
      </c>
      <c r="C1594" t="s">
        <v>199</v>
      </c>
      <c r="D1594" s="22">
        <v>900</v>
      </c>
      <c r="E1594" s="16">
        <v>0.5</v>
      </c>
      <c r="F1594" t="s">
        <v>738</v>
      </c>
      <c r="G1594" t="s">
        <v>144</v>
      </c>
      <c r="H1594" t="s">
        <v>299</v>
      </c>
      <c r="I1594" t="s">
        <v>63</v>
      </c>
      <c r="J1594" t="s">
        <v>201</v>
      </c>
      <c r="K1594">
        <v>1</v>
      </c>
      <c r="L1594" s="2"/>
    </row>
    <row r="1595" spans="1:12" x14ac:dyDescent="0.2">
      <c r="A1595">
        <v>2015</v>
      </c>
      <c r="B1595" t="s">
        <v>172</v>
      </c>
      <c r="C1595" t="s">
        <v>286</v>
      </c>
      <c r="D1595" s="65">
        <v>480</v>
      </c>
      <c r="E1595" s="33">
        <v>1</v>
      </c>
      <c r="G1595" t="s">
        <v>151</v>
      </c>
      <c r="H1595" t="s">
        <v>224</v>
      </c>
      <c r="I1595" t="s">
        <v>20</v>
      </c>
      <c r="J1595" t="s">
        <v>195</v>
      </c>
      <c r="K1595" s="17">
        <v>0</v>
      </c>
      <c r="L1595" s="28"/>
    </row>
    <row r="1596" spans="1:12" x14ac:dyDescent="0.2">
      <c r="A1596">
        <v>2015</v>
      </c>
      <c r="B1596" t="s">
        <v>172</v>
      </c>
      <c r="C1596" t="s">
        <v>1004</v>
      </c>
      <c r="D1596" s="65">
        <v>100</v>
      </c>
      <c r="E1596" s="33"/>
      <c r="F1596" t="s">
        <v>1005</v>
      </c>
      <c r="G1596" t="s">
        <v>152</v>
      </c>
      <c r="I1596" t="s">
        <v>57</v>
      </c>
      <c r="J1596" t="s">
        <v>195</v>
      </c>
      <c r="K1596" s="17">
        <v>0</v>
      </c>
      <c r="L1596" s="28"/>
    </row>
    <row r="1597" spans="1:12" x14ac:dyDescent="0.2">
      <c r="A1597">
        <v>2015</v>
      </c>
      <c r="B1597" t="s">
        <v>172</v>
      </c>
      <c r="C1597" t="s">
        <v>661</v>
      </c>
      <c r="D1597" s="65">
        <v>790</v>
      </c>
      <c r="E1597" s="33">
        <v>1</v>
      </c>
      <c r="G1597" t="s">
        <v>151</v>
      </c>
      <c r="H1597" t="s">
        <v>224</v>
      </c>
      <c r="I1597" t="s">
        <v>9</v>
      </c>
      <c r="J1597" t="s">
        <v>9</v>
      </c>
      <c r="K1597" s="17">
        <v>0</v>
      </c>
      <c r="L1597" s="28"/>
    </row>
    <row r="1598" spans="1:12" x14ac:dyDescent="0.2">
      <c r="A1598">
        <v>2015</v>
      </c>
      <c r="B1598" t="s">
        <v>172</v>
      </c>
      <c r="C1598" t="s">
        <v>837</v>
      </c>
      <c r="D1598" s="65">
        <v>1260</v>
      </c>
      <c r="E1598" s="33"/>
      <c r="G1598" t="s">
        <v>151</v>
      </c>
      <c r="H1598" t="s">
        <v>224</v>
      </c>
      <c r="I1598" t="s">
        <v>131</v>
      </c>
      <c r="J1598" t="s">
        <v>131</v>
      </c>
      <c r="K1598" s="17">
        <v>0</v>
      </c>
      <c r="L1598" s="28" t="s">
        <v>178</v>
      </c>
    </row>
    <row r="1599" spans="1:12" x14ac:dyDescent="0.2">
      <c r="A1599">
        <v>2015</v>
      </c>
      <c r="B1599" t="s">
        <v>172</v>
      </c>
      <c r="C1599" t="s">
        <v>705</v>
      </c>
      <c r="D1599" s="65">
        <v>660</v>
      </c>
      <c r="E1599" s="33"/>
      <c r="G1599" t="s">
        <v>151</v>
      </c>
      <c r="H1599" t="s">
        <v>224</v>
      </c>
      <c r="I1599" t="s">
        <v>72</v>
      </c>
      <c r="J1599" t="s">
        <v>183</v>
      </c>
      <c r="K1599" s="17">
        <v>1</v>
      </c>
      <c r="L1599" s="28" t="s">
        <v>178</v>
      </c>
    </row>
    <row r="1600" spans="1:12" x14ac:dyDescent="0.2">
      <c r="A1600">
        <v>2015</v>
      </c>
      <c r="B1600" t="s">
        <v>172</v>
      </c>
      <c r="C1600" t="s">
        <v>547</v>
      </c>
      <c r="D1600" s="65">
        <v>110</v>
      </c>
      <c r="E1600" s="33">
        <v>0.75</v>
      </c>
      <c r="F1600" t="s">
        <v>1006</v>
      </c>
      <c r="G1600" t="s">
        <v>154</v>
      </c>
      <c r="H1600" t="s">
        <v>194</v>
      </c>
      <c r="I1600" t="s">
        <v>45</v>
      </c>
      <c r="J1600" t="s">
        <v>195</v>
      </c>
      <c r="K1600" s="17">
        <v>0</v>
      </c>
      <c r="L1600" s="28"/>
    </row>
    <row r="1601" spans="1:12" x14ac:dyDescent="0.2">
      <c r="A1601">
        <v>2015</v>
      </c>
      <c r="B1601" t="s">
        <v>172</v>
      </c>
      <c r="C1601" t="s">
        <v>1007</v>
      </c>
      <c r="D1601" s="65">
        <v>120</v>
      </c>
      <c r="E1601" s="33"/>
      <c r="G1601" t="s">
        <v>151</v>
      </c>
      <c r="H1601" t="s">
        <v>224</v>
      </c>
      <c r="I1601" t="s">
        <v>25</v>
      </c>
      <c r="J1601" t="s">
        <v>177</v>
      </c>
      <c r="K1601" s="17">
        <v>0</v>
      </c>
      <c r="L1601" s="28"/>
    </row>
    <row r="1602" spans="1:12" x14ac:dyDescent="0.2">
      <c r="A1602">
        <v>2015</v>
      </c>
      <c r="B1602" t="s">
        <v>172</v>
      </c>
      <c r="C1602" t="s">
        <v>1008</v>
      </c>
      <c r="D1602" s="65">
        <v>1660</v>
      </c>
      <c r="E1602" s="33">
        <v>1</v>
      </c>
      <c r="F1602" t="s">
        <v>318</v>
      </c>
      <c r="G1602" t="s">
        <v>152</v>
      </c>
      <c r="I1602" t="s">
        <v>108</v>
      </c>
      <c r="J1602" t="s">
        <v>183</v>
      </c>
      <c r="K1602" s="17">
        <v>1</v>
      </c>
      <c r="L1602" s="28"/>
    </row>
    <row r="1603" spans="1:12" s="17" customFormat="1" x14ac:dyDescent="0.2">
      <c r="A1603">
        <v>2015</v>
      </c>
      <c r="B1603" t="s">
        <v>172</v>
      </c>
      <c r="C1603" t="s">
        <v>559</v>
      </c>
      <c r="D1603" s="65">
        <v>150</v>
      </c>
      <c r="E1603" s="33">
        <v>0.6</v>
      </c>
      <c r="F1603" s="68" t="s">
        <v>1009</v>
      </c>
      <c r="G1603" t="s">
        <v>149</v>
      </c>
      <c r="I1603" t="s">
        <v>66</v>
      </c>
      <c r="J1603" t="s">
        <v>201</v>
      </c>
      <c r="K1603" s="17">
        <v>1</v>
      </c>
      <c r="L1603" s="28" t="s">
        <v>178</v>
      </c>
    </row>
    <row r="1604" spans="1:12" x14ac:dyDescent="0.2">
      <c r="A1604">
        <v>2015</v>
      </c>
      <c r="B1604" t="s">
        <v>172</v>
      </c>
      <c r="C1604" t="s">
        <v>554</v>
      </c>
      <c r="D1604" s="65">
        <v>1130</v>
      </c>
      <c r="E1604" s="33">
        <v>1</v>
      </c>
      <c r="F1604" s="68" t="s">
        <v>772</v>
      </c>
      <c r="G1604" t="s">
        <v>153</v>
      </c>
      <c r="I1604" t="s">
        <v>42</v>
      </c>
      <c r="J1604" t="s">
        <v>195</v>
      </c>
      <c r="K1604" s="17">
        <v>0</v>
      </c>
      <c r="L1604" s="28"/>
    </row>
    <row r="1605" spans="1:12" x14ac:dyDescent="0.2">
      <c r="A1605">
        <v>2015</v>
      </c>
      <c r="B1605" t="s">
        <v>172</v>
      </c>
      <c r="C1605" t="s">
        <v>189</v>
      </c>
      <c r="D1605" s="65">
        <v>530</v>
      </c>
      <c r="E1605" s="33"/>
      <c r="F1605" s="68" t="s">
        <v>1010</v>
      </c>
      <c r="G1605" t="s">
        <v>144</v>
      </c>
      <c r="H1605" t="s">
        <v>187</v>
      </c>
      <c r="I1605" t="s">
        <v>37</v>
      </c>
      <c r="J1605" t="s">
        <v>205</v>
      </c>
      <c r="K1605" s="17">
        <v>1</v>
      </c>
      <c r="L1605" s="28"/>
    </row>
    <row r="1606" spans="1:12" x14ac:dyDescent="0.2">
      <c r="A1606">
        <v>2015</v>
      </c>
      <c r="B1606" t="s">
        <v>172</v>
      </c>
      <c r="C1606" t="s">
        <v>1011</v>
      </c>
      <c r="D1606" s="65">
        <v>350</v>
      </c>
      <c r="E1606" s="33"/>
      <c r="F1606" s="68"/>
      <c r="G1606" t="s">
        <v>149</v>
      </c>
      <c r="I1606" t="s">
        <v>34</v>
      </c>
      <c r="J1606" t="s">
        <v>219</v>
      </c>
      <c r="K1606" s="17">
        <v>1</v>
      </c>
      <c r="L1606" s="28"/>
    </row>
    <row r="1607" spans="1:12" x14ac:dyDescent="0.2">
      <c r="A1607">
        <v>2015</v>
      </c>
      <c r="B1607" t="s">
        <v>172</v>
      </c>
      <c r="C1607" t="s">
        <v>405</v>
      </c>
      <c r="D1607" s="65">
        <v>510</v>
      </c>
      <c r="E1607" s="33"/>
      <c r="F1607" s="68"/>
      <c r="G1607" t="s">
        <v>154</v>
      </c>
      <c r="H1607" t="s">
        <v>271</v>
      </c>
      <c r="I1607" t="s">
        <v>9</v>
      </c>
      <c r="J1607" t="s">
        <v>9</v>
      </c>
      <c r="K1607" s="17">
        <v>0</v>
      </c>
      <c r="L1607" s="28"/>
    </row>
    <row r="1608" spans="1:12" x14ac:dyDescent="0.2">
      <c r="A1608">
        <v>2015</v>
      </c>
      <c r="B1608" t="s">
        <v>258</v>
      </c>
      <c r="C1608" t="s">
        <v>661</v>
      </c>
      <c r="D1608" s="65">
        <v>1190</v>
      </c>
      <c r="E1608" s="33">
        <v>0.68</v>
      </c>
      <c r="F1608" t="s">
        <v>1012</v>
      </c>
      <c r="G1608" t="s">
        <v>145</v>
      </c>
      <c r="I1608" t="s">
        <v>119</v>
      </c>
      <c r="J1608" t="s">
        <v>195</v>
      </c>
      <c r="K1608" s="17">
        <v>0</v>
      </c>
      <c r="L1608" s="28"/>
    </row>
    <row r="1609" spans="1:12" x14ac:dyDescent="0.2">
      <c r="A1609">
        <v>2015</v>
      </c>
      <c r="B1609" t="s">
        <v>258</v>
      </c>
      <c r="C1609" t="s">
        <v>972</v>
      </c>
      <c r="D1609" s="65">
        <v>230</v>
      </c>
      <c r="E1609" s="33">
        <v>1</v>
      </c>
      <c r="F1609" t="s">
        <v>1013</v>
      </c>
      <c r="G1609" t="s">
        <v>153</v>
      </c>
      <c r="I1609" t="s">
        <v>131</v>
      </c>
      <c r="J1609" t="s">
        <v>131</v>
      </c>
      <c r="K1609" s="17">
        <v>0</v>
      </c>
      <c r="L1609" s="28"/>
    </row>
    <row r="1610" spans="1:12" x14ac:dyDescent="0.2">
      <c r="A1610">
        <v>2015</v>
      </c>
      <c r="B1610" t="s">
        <v>258</v>
      </c>
      <c r="C1610" t="s">
        <v>263</v>
      </c>
      <c r="D1610" s="65">
        <v>1190</v>
      </c>
      <c r="E1610" s="33"/>
      <c r="F1610" t="s">
        <v>1014</v>
      </c>
      <c r="G1610" t="s">
        <v>151</v>
      </c>
      <c r="H1610" t="s">
        <v>224</v>
      </c>
      <c r="I1610" t="s">
        <v>61</v>
      </c>
      <c r="J1610" t="s">
        <v>183</v>
      </c>
      <c r="K1610" s="17">
        <v>0</v>
      </c>
      <c r="L1610" s="28"/>
    </row>
    <row r="1611" spans="1:12" x14ac:dyDescent="0.2">
      <c r="A1611">
        <v>2015</v>
      </c>
      <c r="B1611" t="s">
        <v>258</v>
      </c>
      <c r="C1611" t="s">
        <v>962</v>
      </c>
      <c r="D1611" s="65">
        <v>1030</v>
      </c>
      <c r="E1611" s="33">
        <v>0.63</v>
      </c>
      <c r="F1611" t="s">
        <v>1015</v>
      </c>
      <c r="G1611" t="s">
        <v>146</v>
      </c>
      <c r="I1611" t="s">
        <v>113</v>
      </c>
      <c r="J1611" t="s">
        <v>183</v>
      </c>
      <c r="K1611" s="17">
        <v>0</v>
      </c>
      <c r="L1611" s="28"/>
    </row>
    <row r="1612" spans="1:12" x14ac:dyDescent="0.2">
      <c r="A1612">
        <v>2015</v>
      </c>
      <c r="B1612" t="s">
        <v>258</v>
      </c>
      <c r="C1612" t="s">
        <v>962</v>
      </c>
      <c r="D1612" s="65">
        <v>400</v>
      </c>
      <c r="E1612" s="33"/>
      <c r="F1612" t="s">
        <v>264</v>
      </c>
      <c r="G1612" t="s">
        <v>151</v>
      </c>
      <c r="H1612" t="s">
        <v>224</v>
      </c>
      <c r="I1612" t="s">
        <v>131</v>
      </c>
      <c r="J1612" t="s">
        <v>131</v>
      </c>
      <c r="K1612" s="17">
        <v>0</v>
      </c>
      <c r="L1612" s="28"/>
    </row>
    <row r="1613" spans="1:12" x14ac:dyDescent="0.2">
      <c r="A1613">
        <v>2015</v>
      </c>
      <c r="B1613" t="s">
        <v>258</v>
      </c>
      <c r="C1613" t="s">
        <v>962</v>
      </c>
      <c r="D1613" s="65">
        <v>1670</v>
      </c>
      <c r="E1613" s="33">
        <v>1</v>
      </c>
      <c r="F1613" t="s">
        <v>1016</v>
      </c>
      <c r="G1613" t="s">
        <v>146</v>
      </c>
      <c r="I1613" t="s">
        <v>85</v>
      </c>
      <c r="J1613" t="s">
        <v>195</v>
      </c>
      <c r="K1613" s="17">
        <v>0</v>
      </c>
      <c r="L1613" s="28"/>
    </row>
    <row r="1614" spans="1:12" x14ac:dyDescent="0.2">
      <c r="A1614">
        <v>2015</v>
      </c>
      <c r="B1614" t="s">
        <v>258</v>
      </c>
      <c r="C1614" t="s">
        <v>530</v>
      </c>
      <c r="D1614" s="65">
        <v>170</v>
      </c>
      <c r="E1614" s="33"/>
      <c r="G1614" t="s">
        <v>152</v>
      </c>
      <c r="H1614" t="s">
        <v>257</v>
      </c>
      <c r="I1614" t="s">
        <v>52</v>
      </c>
      <c r="J1614" t="s">
        <v>201</v>
      </c>
      <c r="K1614" s="17">
        <v>0</v>
      </c>
      <c r="L1614" s="28" t="s">
        <v>178</v>
      </c>
    </row>
    <row r="1615" spans="1:12" x14ac:dyDescent="0.2">
      <c r="A1615">
        <v>2015</v>
      </c>
      <c r="B1615" t="s">
        <v>258</v>
      </c>
      <c r="C1615" t="s">
        <v>1017</v>
      </c>
      <c r="D1615" s="65">
        <v>300</v>
      </c>
      <c r="E1615" s="33"/>
      <c r="G1615" t="s">
        <v>152</v>
      </c>
      <c r="I1615" t="s">
        <v>8</v>
      </c>
      <c r="J1615" t="s">
        <v>205</v>
      </c>
      <c r="K1615" s="17">
        <v>1</v>
      </c>
      <c r="L1615" s="28"/>
    </row>
    <row r="1616" spans="1:12" x14ac:dyDescent="0.2">
      <c r="A1616">
        <v>2015</v>
      </c>
      <c r="B1616" t="s">
        <v>258</v>
      </c>
      <c r="C1616" t="s">
        <v>1018</v>
      </c>
      <c r="D1616" s="65">
        <v>110</v>
      </c>
      <c r="E1616" s="33">
        <v>1</v>
      </c>
      <c r="F1616" t="s">
        <v>1019</v>
      </c>
      <c r="G1616" t="s">
        <v>154</v>
      </c>
      <c r="H1616" t="s">
        <v>194</v>
      </c>
      <c r="I1616" t="s">
        <v>45</v>
      </c>
      <c r="J1616" t="s">
        <v>195</v>
      </c>
      <c r="K1616" s="17">
        <v>0</v>
      </c>
      <c r="L1616" s="28"/>
    </row>
    <row r="1617" spans="1:12" x14ac:dyDescent="0.2">
      <c r="A1617">
        <v>2015</v>
      </c>
      <c r="B1617" t="s">
        <v>258</v>
      </c>
      <c r="C1617" t="s">
        <v>444</v>
      </c>
      <c r="D1617" s="65">
        <v>380</v>
      </c>
      <c r="E1617" s="33">
        <v>0.75</v>
      </c>
      <c r="F1617" t="s">
        <v>1020</v>
      </c>
      <c r="G1617" t="s">
        <v>144</v>
      </c>
      <c r="I1617" t="s">
        <v>128</v>
      </c>
      <c r="J1617" t="s">
        <v>201</v>
      </c>
      <c r="K1617" s="17">
        <v>1</v>
      </c>
      <c r="L1617" s="28"/>
    </row>
    <row r="1618" spans="1:12" x14ac:dyDescent="0.2">
      <c r="A1618">
        <v>2015</v>
      </c>
      <c r="B1618" t="s">
        <v>258</v>
      </c>
      <c r="C1618" t="s">
        <v>479</v>
      </c>
      <c r="D1618" s="65">
        <v>100</v>
      </c>
      <c r="E1618" s="33"/>
      <c r="F1618" t="s">
        <v>1021</v>
      </c>
      <c r="G1618" t="s">
        <v>151</v>
      </c>
      <c r="H1618" t="s">
        <v>224</v>
      </c>
      <c r="I1618" t="s">
        <v>53</v>
      </c>
      <c r="J1618" t="s">
        <v>183</v>
      </c>
      <c r="K1618" s="17">
        <v>1</v>
      </c>
      <c r="L1618" s="28" t="s">
        <v>178</v>
      </c>
    </row>
    <row r="1619" spans="1:12" x14ac:dyDescent="0.2">
      <c r="A1619">
        <v>2015</v>
      </c>
      <c r="B1619" t="s">
        <v>258</v>
      </c>
      <c r="C1619" t="s">
        <v>1022</v>
      </c>
      <c r="D1619" s="65">
        <v>390</v>
      </c>
      <c r="E1619" s="33">
        <v>0.56000000000000005</v>
      </c>
      <c r="G1619" t="s">
        <v>154</v>
      </c>
      <c r="H1619" t="s">
        <v>194</v>
      </c>
      <c r="I1619" t="s">
        <v>53</v>
      </c>
      <c r="J1619" t="s">
        <v>183</v>
      </c>
      <c r="K1619" s="17">
        <v>1</v>
      </c>
      <c r="L1619" s="28" t="s">
        <v>178</v>
      </c>
    </row>
    <row r="1620" spans="1:12" x14ac:dyDescent="0.2">
      <c r="A1620">
        <v>2015</v>
      </c>
      <c r="B1620" t="s">
        <v>258</v>
      </c>
      <c r="C1620" t="s">
        <v>1023</v>
      </c>
      <c r="D1620" s="65">
        <v>400</v>
      </c>
      <c r="E1620" s="33"/>
      <c r="G1620" t="s">
        <v>154</v>
      </c>
      <c r="H1620" t="s">
        <v>194</v>
      </c>
      <c r="I1620" t="s">
        <v>124</v>
      </c>
      <c r="J1620" t="s">
        <v>183</v>
      </c>
      <c r="K1620" s="17">
        <v>1</v>
      </c>
      <c r="L1620" s="28" t="s">
        <v>178</v>
      </c>
    </row>
    <row r="1621" spans="1:12" x14ac:dyDescent="0.2">
      <c r="A1621">
        <v>2015</v>
      </c>
      <c r="B1621" t="s">
        <v>179</v>
      </c>
      <c r="C1621" t="s">
        <v>877</v>
      </c>
      <c r="D1621" s="65">
        <v>350</v>
      </c>
      <c r="E1621" s="33">
        <v>1</v>
      </c>
      <c r="F1621" t="s">
        <v>1024</v>
      </c>
      <c r="G1621" t="s">
        <v>144</v>
      </c>
      <c r="H1621" t="s">
        <v>187</v>
      </c>
      <c r="I1621" t="s">
        <v>63</v>
      </c>
      <c r="J1621" t="s">
        <v>201</v>
      </c>
      <c r="K1621" s="17">
        <v>1</v>
      </c>
      <c r="L1621" s="28"/>
    </row>
    <row r="1622" spans="1:12" x14ac:dyDescent="0.2">
      <c r="A1622">
        <v>2015</v>
      </c>
      <c r="B1622" t="s">
        <v>179</v>
      </c>
      <c r="C1622" t="s">
        <v>877</v>
      </c>
      <c r="D1622" s="65">
        <v>120</v>
      </c>
      <c r="E1622" s="33">
        <v>1</v>
      </c>
      <c r="F1622" t="s">
        <v>1025</v>
      </c>
      <c r="G1622" t="s">
        <v>144</v>
      </c>
      <c r="H1622" t="s">
        <v>187</v>
      </c>
      <c r="I1622" t="s">
        <v>63</v>
      </c>
      <c r="J1622" t="s">
        <v>201</v>
      </c>
      <c r="K1622" s="17">
        <v>1</v>
      </c>
      <c r="L1622" s="28"/>
    </row>
    <row r="1623" spans="1:12" x14ac:dyDescent="0.2">
      <c r="A1623">
        <v>2015</v>
      </c>
      <c r="B1623" t="s">
        <v>179</v>
      </c>
      <c r="C1623" t="s">
        <v>438</v>
      </c>
      <c r="D1623" s="65">
        <v>370</v>
      </c>
      <c r="E1623" s="33">
        <v>1</v>
      </c>
      <c r="G1623" t="s">
        <v>154</v>
      </c>
      <c r="H1623" t="s">
        <v>194</v>
      </c>
      <c r="I1623" t="s">
        <v>20</v>
      </c>
      <c r="J1623" t="s">
        <v>195</v>
      </c>
      <c r="K1623" s="17">
        <v>0</v>
      </c>
      <c r="L1623" s="28" t="s">
        <v>178</v>
      </c>
    </row>
    <row r="1624" spans="1:12" x14ac:dyDescent="0.2">
      <c r="A1624">
        <v>2015</v>
      </c>
      <c r="B1624" t="s">
        <v>179</v>
      </c>
      <c r="C1624" t="s">
        <v>221</v>
      </c>
      <c r="D1624" s="65">
        <v>730</v>
      </c>
      <c r="E1624" s="33">
        <v>0.55000000000000004</v>
      </c>
      <c r="F1624" t="s">
        <v>1026</v>
      </c>
      <c r="G1624" t="s">
        <v>155</v>
      </c>
      <c r="I1624" t="s">
        <v>108</v>
      </c>
      <c r="J1624" t="s">
        <v>183</v>
      </c>
      <c r="K1624" s="17">
        <v>1</v>
      </c>
      <c r="L1624" s="28"/>
    </row>
    <row r="1625" spans="1:12" x14ac:dyDescent="0.2">
      <c r="A1625">
        <v>2015</v>
      </c>
      <c r="B1625" t="s">
        <v>179</v>
      </c>
      <c r="C1625" t="s">
        <v>554</v>
      </c>
      <c r="D1625" s="65">
        <v>140</v>
      </c>
      <c r="E1625" s="33">
        <v>0.05</v>
      </c>
      <c r="F1625" t="s">
        <v>1027</v>
      </c>
      <c r="G1625" t="s">
        <v>153</v>
      </c>
      <c r="I1625" t="s">
        <v>20</v>
      </c>
      <c r="J1625" t="s">
        <v>195</v>
      </c>
      <c r="K1625" s="17">
        <v>0</v>
      </c>
      <c r="L1625" s="28"/>
    </row>
    <row r="1626" spans="1:12" x14ac:dyDescent="0.2">
      <c r="A1626">
        <v>2015</v>
      </c>
      <c r="B1626" t="s">
        <v>179</v>
      </c>
      <c r="C1626" t="s">
        <v>822</v>
      </c>
      <c r="D1626" s="65">
        <v>200</v>
      </c>
      <c r="E1626" s="33"/>
      <c r="F1626" t="s">
        <v>1028</v>
      </c>
      <c r="G1626" t="s">
        <v>145</v>
      </c>
      <c r="I1626" t="s">
        <v>131</v>
      </c>
      <c r="J1626" t="s">
        <v>131</v>
      </c>
      <c r="K1626" s="17">
        <v>0</v>
      </c>
      <c r="L1626" s="28"/>
    </row>
    <row r="1627" spans="1:12" x14ac:dyDescent="0.2">
      <c r="A1627">
        <v>2015</v>
      </c>
      <c r="B1627" t="s">
        <v>179</v>
      </c>
      <c r="C1627" t="s">
        <v>880</v>
      </c>
      <c r="D1627" s="65">
        <v>140</v>
      </c>
      <c r="E1627" s="33">
        <v>0.65</v>
      </c>
      <c r="G1627" t="s">
        <v>151</v>
      </c>
      <c r="H1627" t="s">
        <v>224</v>
      </c>
      <c r="I1627" t="s">
        <v>131</v>
      </c>
      <c r="J1627" t="s">
        <v>131</v>
      </c>
      <c r="K1627" s="17">
        <v>0</v>
      </c>
      <c r="L1627" s="28"/>
    </row>
    <row r="1628" spans="1:12" x14ac:dyDescent="0.2">
      <c r="A1628">
        <v>2015</v>
      </c>
      <c r="B1628" t="s">
        <v>179</v>
      </c>
      <c r="C1628" t="s">
        <v>1029</v>
      </c>
      <c r="D1628" s="65">
        <v>100</v>
      </c>
      <c r="E1628" s="33">
        <v>1</v>
      </c>
      <c r="G1628" t="s">
        <v>144</v>
      </c>
      <c r="H1628" t="s">
        <v>232</v>
      </c>
      <c r="I1628" t="s">
        <v>72</v>
      </c>
      <c r="J1628" t="s">
        <v>183</v>
      </c>
      <c r="K1628" s="17">
        <v>1</v>
      </c>
      <c r="L1628" s="28" t="s">
        <v>178</v>
      </c>
    </row>
    <row r="1629" spans="1:12" x14ac:dyDescent="0.2">
      <c r="A1629">
        <v>2015</v>
      </c>
      <c r="B1629" t="s">
        <v>179</v>
      </c>
      <c r="C1629" t="s">
        <v>1030</v>
      </c>
      <c r="D1629" s="65">
        <v>380</v>
      </c>
      <c r="E1629" s="33"/>
      <c r="F1629" t="s">
        <v>1031</v>
      </c>
      <c r="G1629" t="s">
        <v>145</v>
      </c>
      <c r="I1629" t="s">
        <v>131</v>
      </c>
      <c r="J1629" t="s">
        <v>131</v>
      </c>
      <c r="K1629" s="17">
        <v>0</v>
      </c>
      <c r="L1629" s="28"/>
    </row>
    <row r="1630" spans="1:12" x14ac:dyDescent="0.2">
      <c r="A1630">
        <v>2015</v>
      </c>
      <c r="B1630" t="s">
        <v>179</v>
      </c>
      <c r="C1630" t="s">
        <v>337</v>
      </c>
      <c r="D1630" s="65">
        <v>870</v>
      </c>
      <c r="E1630" s="33">
        <v>0.55000000000000004</v>
      </c>
      <c r="F1630" t="s">
        <v>1032</v>
      </c>
      <c r="G1630" t="s">
        <v>144</v>
      </c>
      <c r="H1630" t="s">
        <v>273</v>
      </c>
      <c r="I1630" t="s">
        <v>53</v>
      </c>
      <c r="J1630" t="s">
        <v>183</v>
      </c>
      <c r="K1630" s="17">
        <v>1</v>
      </c>
      <c r="L1630" s="28" t="s">
        <v>178</v>
      </c>
    </row>
    <row r="1631" spans="1:12" x14ac:dyDescent="0.2">
      <c r="A1631">
        <v>2015</v>
      </c>
      <c r="B1631" t="s">
        <v>179</v>
      </c>
      <c r="C1631" t="s">
        <v>572</v>
      </c>
      <c r="D1631" s="65">
        <v>380</v>
      </c>
      <c r="E1631" s="33"/>
      <c r="G1631" t="s">
        <v>144</v>
      </c>
      <c r="H1631" t="s">
        <v>232</v>
      </c>
      <c r="I1631" t="s">
        <v>112</v>
      </c>
      <c r="J1631" t="s">
        <v>219</v>
      </c>
      <c r="K1631" s="17">
        <v>1</v>
      </c>
      <c r="L1631" s="28" t="s">
        <v>178</v>
      </c>
    </row>
    <row r="1632" spans="1:12" x14ac:dyDescent="0.2">
      <c r="A1632">
        <v>2015</v>
      </c>
      <c r="B1632" t="s">
        <v>179</v>
      </c>
      <c r="C1632" t="s">
        <v>530</v>
      </c>
      <c r="D1632" s="65">
        <v>170</v>
      </c>
      <c r="E1632" s="33"/>
      <c r="G1632" t="s">
        <v>152</v>
      </c>
      <c r="H1632" t="s">
        <v>257</v>
      </c>
      <c r="I1632" t="s">
        <v>42</v>
      </c>
      <c r="J1632" t="s">
        <v>195</v>
      </c>
      <c r="K1632" s="17">
        <v>0</v>
      </c>
      <c r="L1632" s="28" t="s">
        <v>178</v>
      </c>
    </row>
    <row r="1633" spans="1:12" x14ac:dyDescent="0.2">
      <c r="A1633">
        <v>2015</v>
      </c>
      <c r="B1633" t="s">
        <v>184</v>
      </c>
      <c r="C1633" t="s">
        <v>550</v>
      </c>
      <c r="D1633" s="65">
        <v>540</v>
      </c>
      <c r="E1633" s="33">
        <v>0.75</v>
      </c>
      <c r="F1633" t="s">
        <v>450</v>
      </c>
      <c r="G1633" t="s">
        <v>149</v>
      </c>
      <c r="H1633" t="s">
        <v>182</v>
      </c>
      <c r="I1633" t="s">
        <v>107</v>
      </c>
      <c r="J1633" t="s">
        <v>219</v>
      </c>
      <c r="K1633" s="17">
        <v>1</v>
      </c>
      <c r="L1633" s="28"/>
    </row>
    <row r="1634" spans="1:12" s="25" customFormat="1" x14ac:dyDescent="0.2">
      <c r="A1634">
        <v>2015</v>
      </c>
      <c r="B1634" t="s">
        <v>184</v>
      </c>
      <c r="C1634" t="s">
        <v>1033</v>
      </c>
      <c r="D1634" s="65">
        <v>330</v>
      </c>
      <c r="E1634" s="33"/>
      <c r="F1634" t="s">
        <v>752</v>
      </c>
      <c r="G1634" t="s">
        <v>151</v>
      </c>
      <c r="H1634" t="s">
        <v>224</v>
      </c>
      <c r="I1634" t="s">
        <v>131</v>
      </c>
      <c r="J1634" t="s">
        <v>131</v>
      </c>
      <c r="K1634" s="17">
        <v>0</v>
      </c>
      <c r="L1634" s="28" t="s">
        <v>178</v>
      </c>
    </row>
    <row r="1635" spans="1:12" s="25" customFormat="1" x14ac:dyDescent="0.2">
      <c r="A1635">
        <v>2015</v>
      </c>
      <c r="B1635" t="s">
        <v>184</v>
      </c>
      <c r="C1635" t="s">
        <v>682</v>
      </c>
      <c r="D1635" s="65">
        <v>190</v>
      </c>
      <c r="E1635" s="33">
        <v>1</v>
      </c>
      <c r="F1635" t="s">
        <v>1034</v>
      </c>
      <c r="G1635" t="s">
        <v>154</v>
      </c>
      <c r="H1635" t="s">
        <v>271</v>
      </c>
      <c r="I1635" t="s">
        <v>20</v>
      </c>
      <c r="J1635" t="s">
        <v>195</v>
      </c>
      <c r="K1635" s="17">
        <v>0</v>
      </c>
      <c r="L1635" s="28"/>
    </row>
    <row r="1636" spans="1:12" s="25" customFormat="1" x14ac:dyDescent="0.2">
      <c r="A1636">
        <v>2015</v>
      </c>
      <c r="B1636" t="s">
        <v>184</v>
      </c>
      <c r="C1636" t="s">
        <v>1035</v>
      </c>
      <c r="D1636" s="65">
        <v>1070</v>
      </c>
      <c r="E1636" s="33">
        <v>0.51</v>
      </c>
      <c r="F1636" t="s">
        <v>1036</v>
      </c>
      <c r="G1636" t="s">
        <v>144</v>
      </c>
      <c r="H1636" t="s">
        <v>273</v>
      </c>
      <c r="I1636" t="s">
        <v>93</v>
      </c>
      <c r="J1636" t="s">
        <v>201</v>
      </c>
      <c r="K1636" s="17">
        <v>1</v>
      </c>
      <c r="L1636" s="28" t="s">
        <v>178</v>
      </c>
    </row>
    <row r="1637" spans="1:12" s="25" customFormat="1" x14ac:dyDescent="0.2">
      <c r="A1637">
        <v>2015</v>
      </c>
      <c r="B1637" t="s">
        <v>184</v>
      </c>
      <c r="C1637" t="s">
        <v>751</v>
      </c>
      <c r="D1637" s="65">
        <v>130</v>
      </c>
      <c r="E1637" s="33">
        <v>0.51</v>
      </c>
      <c r="F1637" t="s">
        <v>1037</v>
      </c>
      <c r="G1637" t="s">
        <v>151</v>
      </c>
      <c r="H1637" t="s">
        <v>224</v>
      </c>
      <c r="I1637" t="s">
        <v>131</v>
      </c>
      <c r="J1637" t="s">
        <v>131</v>
      </c>
      <c r="K1637" s="17">
        <v>0</v>
      </c>
      <c r="L1637" s="28"/>
    </row>
    <row r="1638" spans="1:12" s="25" customFormat="1" x14ac:dyDescent="0.2">
      <c r="A1638">
        <v>2015</v>
      </c>
      <c r="B1638" t="s">
        <v>184</v>
      </c>
      <c r="C1638" t="s">
        <v>554</v>
      </c>
      <c r="D1638" s="65">
        <v>300</v>
      </c>
      <c r="E1638" s="33">
        <v>0.2</v>
      </c>
      <c r="F1638" t="s">
        <v>1038</v>
      </c>
      <c r="G1638" t="s">
        <v>145</v>
      </c>
      <c r="I1638" t="s">
        <v>25</v>
      </c>
      <c r="J1638" t="s">
        <v>177</v>
      </c>
      <c r="K1638" s="17">
        <v>0</v>
      </c>
      <c r="L1638" s="28"/>
    </row>
    <row r="1639" spans="1:12" x14ac:dyDescent="0.2">
      <c r="A1639">
        <v>2015</v>
      </c>
      <c r="B1639" t="s">
        <v>184</v>
      </c>
      <c r="C1639" t="s">
        <v>454</v>
      </c>
      <c r="D1639" s="65">
        <v>130</v>
      </c>
      <c r="E1639" s="33">
        <v>0.15</v>
      </c>
      <c r="F1639" t="s">
        <v>1039</v>
      </c>
      <c r="G1639" t="s">
        <v>152</v>
      </c>
      <c r="H1639" t="s">
        <v>257</v>
      </c>
      <c r="I1639" t="s">
        <v>131</v>
      </c>
      <c r="J1639" t="s">
        <v>131</v>
      </c>
      <c r="K1639" s="17">
        <v>0</v>
      </c>
      <c r="L1639" s="28"/>
    </row>
    <row r="1640" spans="1:12" x14ac:dyDescent="0.2">
      <c r="A1640">
        <v>2015</v>
      </c>
      <c r="B1640" t="s">
        <v>184</v>
      </c>
      <c r="C1640" t="s">
        <v>1040</v>
      </c>
      <c r="D1640" s="65">
        <v>1900</v>
      </c>
      <c r="E1640" s="33">
        <v>1</v>
      </c>
      <c r="F1640" t="s">
        <v>1041</v>
      </c>
      <c r="G1640" t="s">
        <v>152</v>
      </c>
      <c r="I1640" t="s">
        <v>131</v>
      </c>
      <c r="J1640" t="s">
        <v>131</v>
      </c>
      <c r="K1640" s="17">
        <v>0</v>
      </c>
      <c r="L1640" s="28"/>
    </row>
    <row r="1641" spans="1:12" x14ac:dyDescent="0.2">
      <c r="A1641">
        <v>2015</v>
      </c>
      <c r="B1641" t="s">
        <v>184</v>
      </c>
      <c r="C1641" t="s">
        <v>1042</v>
      </c>
      <c r="D1641" s="65">
        <v>100</v>
      </c>
      <c r="E1641" s="33"/>
      <c r="F1641" t="s">
        <v>1043</v>
      </c>
      <c r="G1641" t="s">
        <v>152</v>
      </c>
      <c r="I1641" t="s">
        <v>101</v>
      </c>
      <c r="J1641" t="s">
        <v>201</v>
      </c>
      <c r="K1641" s="17">
        <v>1</v>
      </c>
      <c r="L1641" s="28" t="s">
        <v>178</v>
      </c>
    </row>
    <row r="1642" spans="1:12" x14ac:dyDescent="0.2">
      <c r="A1642">
        <v>2015</v>
      </c>
      <c r="B1642" t="s">
        <v>184</v>
      </c>
      <c r="C1642" t="s">
        <v>554</v>
      </c>
      <c r="D1642" s="65">
        <v>380</v>
      </c>
      <c r="E1642" s="33">
        <v>0.75</v>
      </c>
      <c r="F1642" t="s">
        <v>1044</v>
      </c>
      <c r="G1642" t="s">
        <v>151</v>
      </c>
      <c r="H1642" t="s">
        <v>224</v>
      </c>
      <c r="I1642" t="s">
        <v>9</v>
      </c>
      <c r="J1642" t="s">
        <v>9</v>
      </c>
      <c r="K1642" s="17">
        <v>0</v>
      </c>
      <c r="L1642" s="28"/>
    </row>
    <row r="1643" spans="1:12" x14ac:dyDescent="0.2">
      <c r="A1643">
        <v>2015</v>
      </c>
      <c r="B1643" t="s">
        <v>184</v>
      </c>
      <c r="C1643" t="s">
        <v>300</v>
      </c>
      <c r="D1643" s="65">
        <v>730</v>
      </c>
      <c r="E1643" s="33"/>
      <c r="F1643" t="s">
        <v>1045</v>
      </c>
      <c r="G1643" t="s">
        <v>144</v>
      </c>
      <c r="H1643" t="s">
        <v>299</v>
      </c>
      <c r="I1643" t="s">
        <v>114</v>
      </c>
      <c r="J1643" t="s">
        <v>195</v>
      </c>
      <c r="K1643" s="17">
        <v>0</v>
      </c>
      <c r="L1643" s="28"/>
    </row>
    <row r="1644" spans="1:12" x14ac:dyDescent="0.2">
      <c r="A1644">
        <v>2015</v>
      </c>
      <c r="B1644" t="s">
        <v>184</v>
      </c>
      <c r="C1644" t="s">
        <v>1046</v>
      </c>
      <c r="D1644" s="65">
        <v>320</v>
      </c>
      <c r="E1644" s="33"/>
      <c r="F1644" t="s">
        <v>1047</v>
      </c>
      <c r="G1644" t="s">
        <v>144</v>
      </c>
      <c r="H1644" t="s">
        <v>187</v>
      </c>
      <c r="I1644" t="s">
        <v>131</v>
      </c>
      <c r="J1644" t="s">
        <v>131</v>
      </c>
      <c r="K1644" s="17">
        <v>0</v>
      </c>
      <c r="L1644" s="28"/>
    </row>
    <row r="1645" spans="1:12" x14ac:dyDescent="0.2">
      <c r="A1645">
        <v>2015</v>
      </c>
      <c r="B1645" t="s">
        <v>184</v>
      </c>
      <c r="C1645" t="s">
        <v>421</v>
      </c>
      <c r="D1645" s="65">
        <v>220</v>
      </c>
      <c r="E1645" s="33">
        <v>1</v>
      </c>
      <c r="F1645" t="s">
        <v>1048</v>
      </c>
      <c r="G1645" t="s">
        <v>154</v>
      </c>
      <c r="H1645" t="s">
        <v>250</v>
      </c>
      <c r="I1645" t="s">
        <v>131</v>
      </c>
      <c r="J1645" t="s">
        <v>131</v>
      </c>
      <c r="K1645" s="17">
        <v>0</v>
      </c>
      <c r="L1645" s="28"/>
    </row>
    <row r="1646" spans="1:12" x14ac:dyDescent="0.2">
      <c r="A1646">
        <v>2015</v>
      </c>
      <c r="B1646" t="s">
        <v>184</v>
      </c>
      <c r="C1646" t="s">
        <v>943</v>
      </c>
      <c r="D1646" s="65">
        <v>130</v>
      </c>
      <c r="E1646" s="33">
        <v>0.49</v>
      </c>
      <c r="F1646" t="s">
        <v>1049</v>
      </c>
      <c r="G1646" t="s">
        <v>144</v>
      </c>
      <c r="I1646" t="s">
        <v>63</v>
      </c>
      <c r="J1646" t="s">
        <v>201</v>
      </c>
      <c r="K1646" s="17">
        <v>1</v>
      </c>
      <c r="L1646" s="28"/>
    </row>
    <row r="1647" spans="1:12" x14ac:dyDescent="0.2">
      <c r="A1647">
        <v>2015</v>
      </c>
      <c r="B1647" t="s">
        <v>225</v>
      </c>
      <c r="C1647" t="s">
        <v>554</v>
      </c>
      <c r="D1647" s="65">
        <v>1840</v>
      </c>
      <c r="E1647" s="33">
        <v>0.8</v>
      </c>
      <c r="F1647" t="s">
        <v>951</v>
      </c>
      <c r="G1647" t="s">
        <v>146</v>
      </c>
      <c r="I1647" t="s">
        <v>131</v>
      </c>
      <c r="J1647" t="s">
        <v>131</v>
      </c>
      <c r="K1647" s="17">
        <v>0</v>
      </c>
      <c r="L1647" s="28"/>
    </row>
    <row r="1648" spans="1:12" x14ac:dyDescent="0.2">
      <c r="A1648">
        <v>2015</v>
      </c>
      <c r="B1648" t="s">
        <v>225</v>
      </c>
      <c r="C1648" t="s">
        <v>370</v>
      </c>
      <c r="D1648" s="65">
        <v>810</v>
      </c>
      <c r="E1648" s="33"/>
      <c r="F1648" t="s">
        <v>1050</v>
      </c>
      <c r="G1648" t="s">
        <v>149</v>
      </c>
      <c r="H1648" t="s">
        <v>236</v>
      </c>
      <c r="I1648" t="s">
        <v>9</v>
      </c>
      <c r="J1648" t="s">
        <v>9</v>
      </c>
      <c r="K1648" s="17">
        <v>0</v>
      </c>
      <c r="L1648" s="28"/>
    </row>
    <row r="1649" spans="1:12" x14ac:dyDescent="0.2">
      <c r="A1649">
        <v>2015</v>
      </c>
      <c r="B1649" t="s">
        <v>225</v>
      </c>
      <c r="C1649" t="s">
        <v>416</v>
      </c>
      <c r="D1649" s="65">
        <v>280</v>
      </c>
      <c r="E1649" s="33">
        <v>0.49</v>
      </c>
      <c r="F1649" t="s">
        <v>1051</v>
      </c>
      <c r="G1649" t="s">
        <v>154</v>
      </c>
      <c r="H1649" t="s">
        <v>194</v>
      </c>
      <c r="I1649" t="s">
        <v>72</v>
      </c>
      <c r="J1649" t="s">
        <v>183</v>
      </c>
      <c r="K1649" s="17">
        <v>1</v>
      </c>
      <c r="L1649" s="28"/>
    </row>
    <row r="1650" spans="1:12" x14ac:dyDescent="0.2">
      <c r="A1650">
        <v>2015</v>
      </c>
      <c r="B1650" t="s">
        <v>225</v>
      </c>
      <c r="C1650" t="s">
        <v>953</v>
      </c>
      <c r="D1650" s="65">
        <v>140</v>
      </c>
      <c r="E1650" s="33"/>
      <c r="F1650" t="s">
        <v>1052</v>
      </c>
      <c r="G1650" t="s">
        <v>151</v>
      </c>
      <c r="H1650" t="s">
        <v>224</v>
      </c>
      <c r="I1650" t="s">
        <v>9</v>
      </c>
      <c r="J1650" t="s">
        <v>9</v>
      </c>
      <c r="K1650" s="17">
        <v>0</v>
      </c>
      <c r="L1650" s="28"/>
    </row>
    <row r="1651" spans="1:12" x14ac:dyDescent="0.2">
      <c r="A1651">
        <v>2015</v>
      </c>
      <c r="B1651" t="s">
        <v>225</v>
      </c>
      <c r="C1651" t="s">
        <v>1053</v>
      </c>
      <c r="D1651" s="65">
        <v>170</v>
      </c>
      <c r="E1651" s="33">
        <v>0.8</v>
      </c>
      <c r="F1651" t="s">
        <v>1054</v>
      </c>
      <c r="G1651" t="s">
        <v>146</v>
      </c>
      <c r="H1651" t="s">
        <v>275</v>
      </c>
      <c r="I1651" t="s">
        <v>19</v>
      </c>
      <c r="J1651" t="s">
        <v>205</v>
      </c>
      <c r="K1651" s="17">
        <v>0</v>
      </c>
      <c r="L1651" s="28"/>
    </row>
    <row r="1652" spans="1:12" x14ac:dyDescent="0.2">
      <c r="A1652">
        <v>2015</v>
      </c>
      <c r="B1652" t="s">
        <v>225</v>
      </c>
      <c r="C1652" t="s">
        <v>559</v>
      </c>
      <c r="D1652" s="65">
        <v>300</v>
      </c>
      <c r="E1652" s="33">
        <v>0.5</v>
      </c>
      <c r="F1652" t="s">
        <v>1055</v>
      </c>
      <c r="G1652" t="s">
        <v>149</v>
      </c>
      <c r="I1652" t="s">
        <v>95</v>
      </c>
      <c r="J1652" t="s">
        <v>183</v>
      </c>
      <c r="K1652" s="17">
        <v>1</v>
      </c>
      <c r="L1652" s="28"/>
    </row>
    <row r="1653" spans="1:12" x14ac:dyDescent="0.2">
      <c r="A1653">
        <v>2015</v>
      </c>
      <c r="B1653" t="s">
        <v>225</v>
      </c>
      <c r="C1653" t="s">
        <v>559</v>
      </c>
      <c r="D1653" s="65">
        <v>410</v>
      </c>
      <c r="E1653" s="33">
        <v>0.49</v>
      </c>
      <c r="F1653" t="s">
        <v>1056</v>
      </c>
      <c r="G1653" t="s">
        <v>149</v>
      </c>
      <c r="H1653" t="s">
        <v>236</v>
      </c>
      <c r="I1653" t="s">
        <v>34</v>
      </c>
      <c r="J1653" t="s">
        <v>219</v>
      </c>
      <c r="K1653" s="17">
        <v>1</v>
      </c>
      <c r="L1653" s="28"/>
    </row>
    <row r="1654" spans="1:12" x14ac:dyDescent="0.2">
      <c r="A1654">
        <v>2015</v>
      </c>
      <c r="B1654" t="s">
        <v>225</v>
      </c>
      <c r="C1654" t="s">
        <v>1057</v>
      </c>
      <c r="D1654" s="65">
        <v>160</v>
      </c>
      <c r="E1654" s="33">
        <v>1</v>
      </c>
      <c r="G1654" t="s">
        <v>144</v>
      </c>
      <c r="H1654" t="s">
        <v>232</v>
      </c>
      <c r="I1654" t="s">
        <v>124</v>
      </c>
      <c r="J1654" t="s">
        <v>183</v>
      </c>
      <c r="K1654" s="17">
        <v>1</v>
      </c>
      <c r="L1654" s="28" t="s">
        <v>178</v>
      </c>
    </row>
    <row r="1655" spans="1:12" x14ac:dyDescent="0.2">
      <c r="A1655">
        <v>2015</v>
      </c>
      <c r="B1655" t="s">
        <v>225</v>
      </c>
      <c r="C1655" t="s">
        <v>1058</v>
      </c>
      <c r="D1655" s="65">
        <v>1800</v>
      </c>
      <c r="E1655" s="33">
        <v>1</v>
      </c>
      <c r="F1655" t="s">
        <v>1059</v>
      </c>
      <c r="G1655" t="s">
        <v>152</v>
      </c>
      <c r="I1655" t="s">
        <v>85</v>
      </c>
      <c r="J1655" t="s">
        <v>195</v>
      </c>
      <c r="K1655" s="17">
        <v>0</v>
      </c>
      <c r="L1655" s="28"/>
    </row>
    <row r="1656" spans="1:12" x14ac:dyDescent="0.2">
      <c r="A1656">
        <v>2015</v>
      </c>
      <c r="B1656" t="s">
        <v>225</v>
      </c>
      <c r="C1656" t="s">
        <v>221</v>
      </c>
      <c r="D1656" s="65">
        <v>120</v>
      </c>
      <c r="E1656" s="33">
        <v>0.8</v>
      </c>
      <c r="F1656" t="s">
        <v>1060</v>
      </c>
      <c r="G1656" t="s">
        <v>151</v>
      </c>
      <c r="H1656" t="s">
        <v>224</v>
      </c>
      <c r="I1656" t="s">
        <v>102</v>
      </c>
      <c r="J1656" t="s">
        <v>219</v>
      </c>
      <c r="K1656" s="17">
        <v>1</v>
      </c>
      <c r="L1656" s="28" t="s">
        <v>178</v>
      </c>
    </row>
    <row r="1657" spans="1:12" x14ac:dyDescent="0.2">
      <c r="A1657">
        <v>2015</v>
      </c>
      <c r="B1657" t="s">
        <v>225</v>
      </c>
      <c r="C1657" t="s">
        <v>221</v>
      </c>
      <c r="D1657" s="65">
        <v>120</v>
      </c>
      <c r="E1657" s="33">
        <v>0.8</v>
      </c>
      <c r="F1657" t="s">
        <v>1060</v>
      </c>
      <c r="G1657" t="s">
        <v>151</v>
      </c>
      <c r="H1657" t="s">
        <v>224</v>
      </c>
      <c r="I1657" t="s">
        <v>64</v>
      </c>
      <c r="J1657" t="s">
        <v>219</v>
      </c>
      <c r="K1657" s="17">
        <v>1</v>
      </c>
      <c r="L1657" s="28" t="s">
        <v>178</v>
      </c>
    </row>
    <row r="1658" spans="1:12" x14ac:dyDescent="0.2">
      <c r="A1658">
        <v>2015</v>
      </c>
      <c r="B1658" t="s">
        <v>225</v>
      </c>
      <c r="C1658" t="s">
        <v>1061</v>
      </c>
      <c r="D1658" s="65">
        <v>100</v>
      </c>
      <c r="E1658" s="33"/>
      <c r="G1658" t="s">
        <v>144</v>
      </c>
      <c r="H1658" t="s">
        <v>232</v>
      </c>
      <c r="I1658" t="s">
        <v>19</v>
      </c>
      <c r="J1658" t="s">
        <v>205</v>
      </c>
      <c r="K1658" s="17">
        <v>0</v>
      </c>
      <c r="L1658" s="28" t="s">
        <v>178</v>
      </c>
    </row>
    <row r="1659" spans="1:12" x14ac:dyDescent="0.2">
      <c r="A1659">
        <v>2015</v>
      </c>
      <c r="B1659" t="s">
        <v>225</v>
      </c>
      <c r="C1659" t="s">
        <v>760</v>
      </c>
      <c r="D1659" s="65">
        <v>340</v>
      </c>
      <c r="E1659" s="33"/>
      <c r="F1659" t="s">
        <v>963</v>
      </c>
      <c r="G1659" t="s">
        <v>153</v>
      </c>
      <c r="I1659" t="s">
        <v>9</v>
      </c>
      <c r="J1659" t="s">
        <v>9</v>
      </c>
      <c r="K1659" s="17">
        <v>0</v>
      </c>
      <c r="L1659" s="28"/>
    </row>
    <row r="1660" spans="1:12" x14ac:dyDescent="0.2">
      <c r="A1660">
        <v>2015</v>
      </c>
      <c r="B1660" t="s">
        <v>225</v>
      </c>
      <c r="C1660" t="s">
        <v>438</v>
      </c>
      <c r="D1660" s="65">
        <v>500</v>
      </c>
      <c r="E1660" s="33">
        <v>1</v>
      </c>
      <c r="F1660" t="s">
        <v>1062</v>
      </c>
      <c r="G1660" t="s">
        <v>154</v>
      </c>
      <c r="H1660" t="s">
        <v>194</v>
      </c>
      <c r="I1660" t="s">
        <v>131</v>
      </c>
      <c r="J1660" t="s">
        <v>131</v>
      </c>
      <c r="K1660" s="17">
        <v>0</v>
      </c>
      <c r="L1660" s="28" t="s">
        <v>178</v>
      </c>
    </row>
    <row r="1661" spans="1:12" x14ac:dyDescent="0.2">
      <c r="A1661">
        <v>2015</v>
      </c>
      <c r="B1661" t="s">
        <v>225</v>
      </c>
      <c r="C1661" t="s">
        <v>1063</v>
      </c>
      <c r="D1661" s="65">
        <v>1940</v>
      </c>
      <c r="E1661" s="33"/>
      <c r="G1661" t="s">
        <v>149</v>
      </c>
      <c r="H1661" t="s">
        <v>182</v>
      </c>
      <c r="I1661" t="s">
        <v>78</v>
      </c>
      <c r="J1661" t="s">
        <v>183</v>
      </c>
      <c r="K1661" s="17">
        <v>1</v>
      </c>
      <c r="L1661" s="28"/>
    </row>
    <row r="1662" spans="1:12" x14ac:dyDescent="0.2">
      <c r="A1662">
        <v>2015</v>
      </c>
      <c r="B1662" t="s">
        <v>225</v>
      </c>
      <c r="C1662" t="s">
        <v>1064</v>
      </c>
      <c r="D1662" s="65">
        <v>130</v>
      </c>
      <c r="E1662" s="33"/>
      <c r="F1662" t="s">
        <v>1065</v>
      </c>
      <c r="G1662" t="s">
        <v>150</v>
      </c>
      <c r="H1662" t="s">
        <v>556</v>
      </c>
      <c r="I1662" t="s">
        <v>113</v>
      </c>
      <c r="J1662" t="s">
        <v>183</v>
      </c>
      <c r="K1662" s="17">
        <v>0</v>
      </c>
      <c r="L1662" s="28"/>
    </row>
    <row r="1663" spans="1:12" x14ac:dyDescent="0.2">
      <c r="A1663">
        <v>2015</v>
      </c>
      <c r="B1663" t="s">
        <v>225</v>
      </c>
      <c r="C1663" t="s">
        <v>1066</v>
      </c>
      <c r="D1663" s="65">
        <v>100</v>
      </c>
      <c r="E1663" s="33">
        <v>0.05</v>
      </c>
      <c r="F1663" t="s">
        <v>1067</v>
      </c>
      <c r="G1663" t="s">
        <v>146</v>
      </c>
      <c r="H1663" t="s">
        <v>253</v>
      </c>
      <c r="I1663" t="s">
        <v>33</v>
      </c>
      <c r="J1663" t="s">
        <v>195</v>
      </c>
      <c r="K1663" s="17">
        <v>1</v>
      </c>
      <c r="L1663" s="28"/>
    </row>
    <row r="1664" spans="1:12" x14ac:dyDescent="0.2">
      <c r="A1664">
        <v>2015</v>
      </c>
      <c r="B1664" t="s">
        <v>225</v>
      </c>
      <c r="C1664" t="s">
        <v>557</v>
      </c>
      <c r="D1664" s="65">
        <v>190</v>
      </c>
      <c r="E1664" s="33"/>
      <c r="G1664" t="s">
        <v>150</v>
      </c>
      <c r="H1664" t="s">
        <v>217</v>
      </c>
      <c r="I1664" t="s">
        <v>38</v>
      </c>
      <c r="J1664" t="s">
        <v>214</v>
      </c>
      <c r="K1664" s="17">
        <v>1</v>
      </c>
      <c r="L1664" s="28" t="s">
        <v>178</v>
      </c>
    </row>
    <row r="1665" spans="1:12" x14ac:dyDescent="0.2">
      <c r="A1665">
        <v>2015</v>
      </c>
      <c r="B1665" t="s">
        <v>225</v>
      </c>
      <c r="C1665" t="s">
        <v>180</v>
      </c>
      <c r="D1665" s="65">
        <v>230</v>
      </c>
      <c r="E1665" s="33"/>
      <c r="G1665" t="s">
        <v>151</v>
      </c>
      <c r="H1665" t="s">
        <v>224</v>
      </c>
      <c r="I1665" t="s">
        <v>108</v>
      </c>
      <c r="J1665" t="s">
        <v>183</v>
      </c>
      <c r="K1665" s="17">
        <v>1</v>
      </c>
      <c r="L1665" s="28" t="s">
        <v>178</v>
      </c>
    </row>
    <row r="1666" spans="1:12" x14ac:dyDescent="0.2">
      <c r="A1666">
        <v>2015</v>
      </c>
      <c r="B1666" t="s">
        <v>225</v>
      </c>
      <c r="C1666" t="s">
        <v>298</v>
      </c>
      <c r="D1666" s="65">
        <v>590</v>
      </c>
      <c r="E1666" s="33"/>
      <c r="G1666" t="s">
        <v>144</v>
      </c>
      <c r="H1666" t="s">
        <v>299</v>
      </c>
      <c r="I1666" t="s">
        <v>46</v>
      </c>
      <c r="J1666" t="s">
        <v>219</v>
      </c>
      <c r="K1666" s="17">
        <v>1</v>
      </c>
      <c r="L1666" s="28"/>
    </row>
    <row r="1667" spans="1:12" x14ac:dyDescent="0.2">
      <c r="A1667">
        <v>2015</v>
      </c>
      <c r="B1667" t="s">
        <v>225</v>
      </c>
      <c r="C1667" t="s">
        <v>410</v>
      </c>
      <c r="D1667" s="65">
        <v>510</v>
      </c>
      <c r="E1667" s="33"/>
      <c r="G1667" t="s">
        <v>154</v>
      </c>
      <c r="H1667" t="s">
        <v>194</v>
      </c>
      <c r="I1667" t="s">
        <v>101</v>
      </c>
      <c r="J1667" t="s">
        <v>201</v>
      </c>
      <c r="K1667" s="17">
        <v>1</v>
      </c>
      <c r="L1667" s="28" t="s">
        <v>178</v>
      </c>
    </row>
    <row r="1668" spans="1:12" x14ac:dyDescent="0.2">
      <c r="A1668">
        <v>2015</v>
      </c>
      <c r="B1668" t="s">
        <v>225</v>
      </c>
      <c r="C1668" t="s">
        <v>438</v>
      </c>
      <c r="D1668" s="65">
        <v>160</v>
      </c>
      <c r="E1668" s="33">
        <v>0.48</v>
      </c>
      <c r="F1668" t="s">
        <v>1068</v>
      </c>
      <c r="G1668" t="s">
        <v>154</v>
      </c>
      <c r="H1668" t="s">
        <v>194</v>
      </c>
      <c r="I1668" t="s">
        <v>14</v>
      </c>
      <c r="J1668" t="s">
        <v>195</v>
      </c>
      <c r="K1668" s="17">
        <v>1</v>
      </c>
      <c r="L1668" s="28" t="s">
        <v>178</v>
      </c>
    </row>
    <row r="1669" spans="1:12" x14ac:dyDescent="0.2">
      <c r="A1669">
        <v>2015</v>
      </c>
      <c r="B1669" t="s">
        <v>188</v>
      </c>
      <c r="C1669" t="s">
        <v>1069</v>
      </c>
      <c r="D1669" s="65">
        <v>7860</v>
      </c>
      <c r="E1669" s="33">
        <v>1</v>
      </c>
      <c r="F1669" t="s">
        <v>1070</v>
      </c>
      <c r="G1669" t="s">
        <v>154</v>
      </c>
      <c r="H1669" t="s">
        <v>194</v>
      </c>
      <c r="I1669" t="s">
        <v>58</v>
      </c>
      <c r="J1669" t="s">
        <v>195</v>
      </c>
      <c r="K1669" s="17">
        <v>0</v>
      </c>
      <c r="L1669" s="28"/>
    </row>
    <row r="1670" spans="1:12" x14ac:dyDescent="0.2">
      <c r="A1670">
        <v>2015</v>
      </c>
      <c r="B1670" t="s">
        <v>188</v>
      </c>
      <c r="C1670" t="s">
        <v>1071</v>
      </c>
      <c r="D1670" s="65">
        <v>1500</v>
      </c>
      <c r="E1670" s="33"/>
      <c r="G1670" t="s">
        <v>146</v>
      </c>
      <c r="H1670" t="s">
        <v>253</v>
      </c>
      <c r="I1670" t="s">
        <v>108</v>
      </c>
      <c r="J1670" t="s">
        <v>183</v>
      </c>
      <c r="K1670" s="17">
        <v>1</v>
      </c>
      <c r="L1670" s="28" t="s">
        <v>178</v>
      </c>
    </row>
    <row r="1671" spans="1:12" s="17" customFormat="1" x14ac:dyDescent="0.2">
      <c r="A1671">
        <v>2015</v>
      </c>
      <c r="B1671" t="s">
        <v>188</v>
      </c>
      <c r="C1671" t="s">
        <v>664</v>
      </c>
      <c r="D1671" s="65">
        <v>1500</v>
      </c>
      <c r="E1671" s="33"/>
      <c r="F1671" t="s">
        <v>1072</v>
      </c>
      <c r="G1671" t="s">
        <v>146</v>
      </c>
      <c r="H1671" t="s">
        <v>275</v>
      </c>
      <c r="I1671" t="s">
        <v>9</v>
      </c>
      <c r="J1671" t="s">
        <v>9</v>
      </c>
      <c r="K1671" s="17">
        <v>0</v>
      </c>
      <c r="L1671" s="28"/>
    </row>
    <row r="1672" spans="1:12" s="17" customFormat="1" x14ac:dyDescent="0.2">
      <c r="A1672">
        <v>2015</v>
      </c>
      <c r="B1672" t="s">
        <v>188</v>
      </c>
      <c r="C1672" t="s">
        <v>1073</v>
      </c>
      <c r="D1672" s="65">
        <v>730</v>
      </c>
      <c r="E1672" s="33">
        <v>1</v>
      </c>
      <c r="F1672" t="s">
        <v>1074</v>
      </c>
      <c r="G1672" t="s">
        <v>152</v>
      </c>
      <c r="I1672" t="s">
        <v>131</v>
      </c>
      <c r="J1672" t="s">
        <v>131</v>
      </c>
      <c r="K1672" s="17">
        <v>0</v>
      </c>
      <c r="L1672" s="28"/>
    </row>
    <row r="1673" spans="1:12" x14ac:dyDescent="0.2">
      <c r="A1673">
        <v>2015</v>
      </c>
      <c r="B1673" t="s">
        <v>188</v>
      </c>
      <c r="C1673" t="s">
        <v>1075</v>
      </c>
      <c r="D1673" s="65">
        <v>800</v>
      </c>
      <c r="E1673" s="33">
        <v>1</v>
      </c>
      <c r="F1673" t="s">
        <v>1076</v>
      </c>
      <c r="G1673" t="s">
        <v>154</v>
      </c>
      <c r="H1673" t="s">
        <v>194</v>
      </c>
      <c r="I1673" t="s">
        <v>131</v>
      </c>
      <c r="J1673" t="s">
        <v>131</v>
      </c>
      <c r="K1673" s="17">
        <v>0</v>
      </c>
      <c r="L1673" s="28"/>
    </row>
    <row r="1674" spans="1:12" x14ac:dyDescent="0.2">
      <c r="A1674">
        <v>2015</v>
      </c>
      <c r="B1674" t="s">
        <v>188</v>
      </c>
      <c r="C1674" t="s">
        <v>418</v>
      </c>
      <c r="D1674" s="65">
        <v>430</v>
      </c>
      <c r="E1674" s="33">
        <v>0.04</v>
      </c>
      <c r="F1674" t="s">
        <v>1077</v>
      </c>
      <c r="G1674" t="s">
        <v>153</v>
      </c>
      <c r="I1674" t="s">
        <v>42</v>
      </c>
      <c r="J1674" t="s">
        <v>195</v>
      </c>
      <c r="K1674" s="17">
        <v>0</v>
      </c>
      <c r="L1674" s="28"/>
    </row>
    <row r="1675" spans="1:12" x14ac:dyDescent="0.2">
      <c r="A1675">
        <v>2015</v>
      </c>
      <c r="B1675" t="s">
        <v>188</v>
      </c>
      <c r="C1675" t="s">
        <v>1078</v>
      </c>
      <c r="D1675" s="65">
        <v>440</v>
      </c>
      <c r="E1675" s="33"/>
      <c r="G1675" t="s">
        <v>142</v>
      </c>
      <c r="I1675" t="s">
        <v>101</v>
      </c>
      <c r="J1675" t="s">
        <v>201</v>
      </c>
      <c r="K1675" s="17">
        <v>1</v>
      </c>
      <c r="L1675" s="28" t="s">
        <v>178</v>
      </c>
    </row>
    <row r="1676" spans="1:12" x14ac:dyDescent="0.2">
      <c r="A1676">
        <v>2015</v>
      </c>
      <c r="B1676" t="s">
        <v>188</v>
      </c>
      <c r="C1676" t="s">
        <v>705</v>
      </c>
      <c r="D1676" s="65">
        <v>130</v>
      </c>
      <c r="E1676" s="33"/>
      <c r="G1676" t="s">
        <v>153</v>
      </c>
      <c r="I1676" t="s">
        <v>9</v>
      </c>
      <c r="J1676" t="s">
        <v>9</v>
      </c>
      <c r="K1676" s="17">
        <v>0</v>
      </c>
      <c r="L1676" s="28"/>
    </row>
    <row r="1677" spans="1:12" x14ac:dyDescent="0.2">
      <c r="A1677">
        <v>2015</v>
      </c>
      <c r="B1677" t="s">
        <v>188</v>
      </c>
      <c r="C1677" t="s">
        <v>657</v>
      </c>
      <c r="D1677" s="65">
        <v>100</v>
      </c>
      <c r="E1677" s="33"/>
      <c r="G1677" t="s">
        <v>154</v>
      </c>
      <c r="H1677" t="s">
        <v>194</v>
      </c>
      <c r="I1677" t="s">
        <v>131</v>
      </c>
      <c r="J1677" t="s">
        <v>131</v>
      </c>
      <c r="K1677" s="17">
        <v>0</v>
      </c>
      <c r="L1677" s="28" t="s">
        <v>178</v>
      </c>
    </row>
    <row r="1678" spans="1:12" x14ac:dyDescent="0.2">
      <c r="A1678">
        <v>2015</v>
      </c>
      <c r="B1678" t="s">
        <v>188</v>
      </c>
      <c r="C1678" t="s">
        <v>300</v>
      </c>
      <c r="D1678" s="65">
        <v>1220</v>
      </c>
      <c r="E1678" s="33">
        <v>0.02</v>
      </c>
      <c r="F1678" t="s">
        <v>911</v>
      </c>
      <c r="G1678" t="s">
        <v>146</v>
      </c>
      <c r="H1678" t="s">
        <v>275</v>
      </c>
      <c r="I1678" t="s">
        <v>58</v>
      </c>
      <c r="J1678" t="s">
        <v>195</v>
      </c>
      <c r="K1678" s="17">
        <v>0</v>
      </c>
      <c r="L1678" s="28"/>
    </row>
    <row r="1679" spans="1:12" x14ac:dyDescent="0.2">
      <c r="A1679">
        <v>2015</v>
      </c>
      <c r="B1679" t="s">
        <v>188</v>
      </c>
      <c r="C1679" t="s">
        <v>300</v>
      </c>
      <c r="D1679" s="65">
        <v>820</v>
      </c>
      <c r="E1679" s="33">
        <v>0.02</v>
      </c>
      <c r="F1679" t="s">
        <v>1079</v>
      </c>
      <c r="G1679" t="s">
        <v>146</v>
      </c>
      <c r="H1679" t="s">
        <v>275</v>
      </c>
      <c r="I1679" t="s">
        <v>58</v>
      </c>
      <c r="J1679" t="s">
        <v>195</v>
      </c>
      <c r="K1679" s="17">
        <v>0</v>
      </c>
      <c r="L1679" s="28"/>
    </row>
    <row r="1680" spans="1:12" x14ac:dyDescent="0.2">
      <c r="A1680">
        <v>2015</v>
      </c>
      <c r="B1680" t="s">
        <v>191</v>
      </c>
      <c r="C1680" t="s">
        <v>554</v>
      </c>
      <c r="D1680" s="65">
        <v>230</v>
      </c>
      <c r="E1680" s="33">
        <v>1</v>
      </c>
      <c r="F1680" t="s">
        <v>1080</v>
      </c>
      <c r="G1680" t="s">
        <v>146</v>
      </c>
      <c r="H1680" t="s">
        <v>275</v>
      </c>
      <c r="I1680" t="s">
        <v>45</v>
      </c>
      <c r="J1680" t="s">
        <v>195</v>
      </c>
      <c r="K1680" s="17">
        <v>0</v>
      </c>
      <c r="L1680" s="28"/>
    </row>
    <row r="1681" spans="1:12" x14ac:dyDescent="0.2">
      <c r="A1681">
        <v>2015</v>
      </c>
      <c r="B1681" t="s">
        <v>191</v>
      </c>
      <c r="C1681" t="s">
        <v>263</v>
      </c>
      <c r="D1681" s="65">
        <v>1150</v>
      </c>
      <c r="E1681" s="33">
        <v>1</v>
      </c>
      <c r="F1681" t="s">
        <v>1081</v>
      </c>
      <c r="G1681" t="s">
        <v>151</v>
      </c>
      <c r="H1681" t="s">
        <v>224</v>
      </c>
      <c r="I1681" t="s">
        <v>42</v>
      </c>
      <c r="J1681" t="s">
        <v>195</v>
      </c>
      <c r="K1681" s="17">
        <v>0</v>
      </c>
      <c r="L1681" s="28"/>
    </row>
    <row r="1682" spans="1:12" x14ac:dyDescent="0.2">
      <c r="A1682">
        <v>2015</v>
      </c>
      <c r="B1682" t="s">
        <v>191</v>
      </c>
      <c r="C1682" t="s">
        <v>263</v>
      </c>
      <c r="D1682" s="65">
        <v>290</v>
      </c>
      <c r="E1682" s="33">
        <v>1</v>
      </c>
      <c r="F1682" t="s">
        <v>1081</v>
      </c>
      <c r="G1682" t="s">
        <v>151</v>
      </c>
      <c r="H1682" t="s">
        <v>224</v>
      </c>
      <c r="I1682" t="s">
        <v>15</v>
      </c>
      <c r="J1682" t="s">
        <v>195</v>
      </c>
      <c r="K1682" s="17">
        <v>0</v>
      </c>
      <c r="L1682" s="28"/>
    </row>
    <row r="1683" spans="1:12" x14ac:dyDescent="0.2">
      <c r="A1683">
        <v>2015</v>
      </c>
      <c r="B1683" t="s">
        <v>191</v>
      </c>
      <c r="C1683" t="s">
        <v>1082</v>
      </c>
      <c r="D1683" s="65">
        <v>230</v>
      </c>
      <c r="E1683" s="33">
        <v>1</v>
      </c>
      <c r="F1683" t="s">
        <v>1083</v>
      </c>
      <c r="G1683" t="s">
        <v>151</v>
      </c>
      <c r="H1683" t="s">
        <v>224</v>
      </c>
      <c r="I1683" t="s">
        <v>131</v>
      </c>
      <c r="J1683" t="s">
        <v>131</v>
      </c>
      <c r="K1683" s="17">
        <v>0</v>
      </c>
      <c r="L1683" s="28"/>
    </row>
    <row r="1684" spans="1:12" x14ac:dyDescent="0.2">
      <c r="A1684">
        <v>2015</v>
      </c>
      <c r="B1684" t="s">
        <v>191</v>
      </c>
      <c r="C1684" t="s">
        <v>263</v>
      </c>
      <c r="D1684" s="65">
        <v>1790</v>
      </c>
      <c r="E1684" s="33">
        <v>1</v>
      </c>
      <c r="F1684" t="s">
        <v>293</v>
      </c>
      <c r="G1684" t="s">
        <v>151</v>
      </c>
      <c r="H1684" t="s">
        <v>224</v>
      </c>
      <c r="I1684" t="s">
        <v>9</v>
      </c>
      <c r="J1684" t="s">
        <v>9</v>
      </c>
      <c r="K1684" s="17">
        <v>0</v>
      </c>
      <c r="L1684" s="28"/>
    </row>
    <row r="1685" spans="1:12" s="41" customFormat="1" x14ac:dyDescent="0.2">
      <c r="A1685">
        <v>2015</v>
      </c>
      <c r="B1685" t="s">
        <v>191</v>
      </c>
      <c r="C1685" t="s">
        <v>1071</v>
      </c>
      <c r="D1685" s="65">
        <v>2590</v>
      </c>
      <c r="E1685" s="33">
        <v>1</v>
      </c>
      <c r="F1685" t="s">
        <v>1084</v>
      </c>
      <c r="G1685" t="s">
        <v>146</v>
      </c>
      <c r="I1685" t="s">
        <v>118</v>
      </c>
      <c r="J1685" t="s">
        <v>195</v>
      </c>
      <c r="K1685" s="17">
        <v>0</v>
      </c>
      <c r="L1685" s="28"/>
    </row>
    <row r="1686" spans="1:12" x14ac:dyDescent="0.2">
      <c r="A1686">
        <v>2015</v>
      </c>
      <c r="B1686" t="s">
        <v>191</v>
      </c>
      <c r="C1686" t="s">
        <v>373</v>
      </c>
      <c r="D1686" s="65">
        <v>2810</v>
      </c>
      <c r="E1686" s="33">
        <v>1</v>
      </c>
      <c r="F1686" t="s">
        <v>1085</v>
      </c>
      <c r="G1686" t="s">
        <v>148</v>
      </c>
      <c r="I1686" t="s">
        <v>119</v>
      </c>
      <c r="J1686" t="s">
        <v>195</v>
      </c>
      <c r="K1686" s="17">
        <v>0</v>
      </c>
      <c r="L1686" s="28"/>
    </row>
    <row r="1687" spans="1:12" x14ac:dyDescent="0.2">
      <c r="A1687">
        <v>2015</v>
      </c>
      <c r="B1687" t="s">
        <v>191</v>
      </c>
      <c r="C1687" t="s">
        <v>554</v>
      </c>
      <c r="D1687" s="65">
        <v>380</v>
      </c>
      <c r="E1687" s="33"/>
      <c r="G1687" t="s">
        <v>151</v>
      </c>
      <c r="H1687" t="s">
        <v>224</v>
      </c>
      <c r="I1687" t="s">
        <v>58</v>
      </c>
      <c r="J1687" t="s">
        <v>195</v>
      </c>
      <c r="K1687" s="17">
        <v>0</v>
      </c>
      <c r="L1687" s="28"/>
    </row>
    <row r="1688" spans="1:12" x14ac:dyDescent="0.2">
      <c r="A1688">
        <v>2015</v>
      </c>
      <c r="B1688" t="s">
        <v>191</v>
      </c>
      <c r="C1688" t="s">
        <v>1086</v>
      </c>
      <c r="D1688" s="65">
        <v>130</v>
      </c>
      <c r="E1688" s="33">
        <v>1</v>
      </c>
      <c r="F1688" t="s">
        <v>1087</v>
      </c>
      <c r="G1688" t="s">
        <v>145</v>
      </c>
      <c r="I1688" t="s">
        <v>20</v>
      </c>
      <c r="J1688" t="s">
        <v>195</v>
      </c>
      <c r="K1688" s="17">
        <v>0</v>
      </c>
      <c r="L1688" s="28"/>
    </row>
    <row r="1689" spans="1:12" x14ac:dyDescent="0.2">
      <c r="A1689">
        <v>2015</v>
      </c>
      <c r="B1689" t="s">
        <v>191</v>
      </c>
      <c r="C1689" t="s">
        <v>875</v>
      </c>
      <c r="D1689" s="65">
        <v>1310</v>
      </c>
      <c r="E1689" s="33">
        <v>0.7</v>
      </c>
      <c r="F1689" t="s">
        <v>1088</v>
      </c>
      <c r="G1689" t="s">
        <v>144</v>
      </c>
      <c r="H1689" t="s">
        <v>273</v>
      </c>
      <c r="I1689" t="s">
        <v>136</v>
      </c>
      <c r="J1689" t="s">
        <v>183</v>
      </c>
      <c r="K1689" s="17">
        <v>1</v>
      </c>
      <c r="L1689" s="28" t="s">
        <v>178</v>
      </c>
    </row>
    <row r="1690" spans="1:12" x14ac:dyDescent="0.2">
      <c r="A1690">
        <v>2015</v>
      </c>
      <c r="B1690" t="s">
        <v>191</v>
      </c>
      <c r="C1690" t="s">
        <v>1089</v>
      </c>
      <c r="D1690" s="65">
        <v>170</v>
      </c>
      <c r="E1690" s="33">
        <v>1</v>
      </c>
      <c r="F1690" t="s">
        <v>1090</v>
      </c>
      <c r="G1690" t="s">
        <v>144</v>
      </c>
      <c r="H1690" t="s">
        <v>299</v>
      </c>
      <c r="I1690" t="s">
        <v>25</v>
      </c>
      <c r="J1690" t="s">
        <v>177</v>
      </c>
      <c r="K1690" s="17">
        <v>0</v>
      </c>
      <c r="L1690" s="28"/>
    </row>
    <row r="1691" spans="1:12" x14ac:dyDescent="0.2">
      <c r="A1691">
        <v>2015</v>
      </c>
      <c r="B1691" t="s">
        <v>191</v>
      </c>
      <c r="C1691" t="s">
        <v>1091</v>
      </c>
      <c r="D1691" s="65">
        <v>250</v>
      </c>
      <c r="E1691" s="33">
        <v>0.7</v>
      </c>
      <c r="F1691" t="s">
        <v>1092</v>
      </c>
      <c r="G1691" t="s">
        <v>151</v>
      </c>
      <c r="H1691" t="s">
        <v>279</v>
      </c>
      <c r="I1691" t="s">
        <v>84</v>
      </c>
      <c r="J1691" t="s">
        <v>201</v>
      </c>
      <c r="K1691" s="17">
        <v>1</v>
      </c>
      <c r="L1691" s="28" t="s">
        <v>178</v>
      </c>
    </row>
    <row r="1692" spans="1:12" x14ac:dyDescent="0.2">
      <c r="A1692">
        <v>2015</v>
      </c>
      <c r="B1692" t="s">
        <v>191</v>
      </c>
      <c r="C1692" t="s">
        <v>1093</v>
      </c>
      <c r="D1692" s="65">
        <v>130</v>
      </c>
      <c r="E1692" s="33"/>
      <c r="F1692" t="s">
        <v>1094</v>
      </c>
      <c r="G1692" t="s">
        <v>151</v>
      </c>
      <c r="H1692" t="s">
        <v>224</v>
      </c>
      <c r="I1692" t="s">
        <v>131</v>
      </c>
      <c r="J1692" t="s">
        <v>131</v>
      </c>
      <c r="K1692" s="17">
        <v>0</v>
      </c>
      <c r="L1692" s="28"/>
    </row>
    <row r="1693" spans="1:12" x14ac:dyDescent="0.2">
      <c r="A1693">
        <v>2015</v>
      </c>
      <c r="B1693" t="s">
        <v>191</v>
      </c>
      <c r="C1693" t="s">
        <v>1095</v>
      </c>
      <c r="D1693" s="65">
        <v>750</v>
      </c>
      <c r="E1693" s="33">
        <v>0.3</v>
      </c>
      <c r="F1693" t="s">
        <v>1096</v>
      </c>
      <c r="G1693" t="s">
        <v>144</v>
      </c>
      <c r="H1693" t="s">
        <v>273</v>
      </c>
      <c r="I1693" t="s">
        <v>13</v>
      </c>
      <c r="J1693" t="s">
        <v>201</v>
      </c>
      <c r="K1693" s="17">
        <v>1</v>
      </c>
      <c r="L1693" s="28" t="s">
        <v>178</v>
      </c>
    </row>
    <row r="1694" spans="1:12" s="36" customFormat="1" x14ac:dyDescent="0.2">
      <c r="A1694">
        <v>2015</v>
      </c>
      <c r="B1694" t="s">
        <v>191</v>
      </c>
      <c r="C1694" t="s">
        <v>1097</v>
      </c>
      <c r="D1694" s="65">
        <v>220</v>
      </c>
      <c r="E1694" s="33"/>
      <c r="G1694" t="s">
        <v>149</v>
      </c>
      <c r="H1694" t="s">
        <v>236</v>
      </c>
      <c r="I1694" t="s">
        <v>34</v>
      </c>
      <c r="J1694" t="s">
        <v>219</v>
      </c>
      <c r="K1694" s="17">
        <v>1</v>
      </c>
      <c r="L1694" s="28"/>
    </row>
    <row r="1695" spans="1:12" s="36" customFormat="1" x14ac:dyDescent="0.2">
      <c r="A1695">
        <v>2015</v>
      </c>
      <c r="B1695" t="s">
        <v>191</v>
      </c>
      <c r="C1695" t="s">
        <v>1098</v>
      </c>
      <c r="D1695" s="65">
        <v>1760</v>
      </c>
      <c r="E1695" s="33" t="s">
        <v>1099</v>
      </c>
      <c r="F1695" t="s">
        <v>1100</v>
      </c>
      <c r="G1695" t="s">
        <v>144</v>
      </c>
      <c r="H1695" t="s">
        <v>273</v>
      </c>
      <c r="I1695" t="s">
        <v>136</v>
      </c>
      <c r="J1695" t="s">
        <v>183</v>
      </c>
      <c r="K1695" s="17">
        <v>1</v>
      </c>
      <c r="L1695" s="28" t="s">
        <v>178</v>
      </c>
    </row>
    <row r="1696" spans="1:12" s="36" customFormat="1" x14ac:dyDescent="0.2">
      <c r="A1696">
        <v>2015</v>
      </c>
      <c r="B1696" t="s">
        <v>191</v>
      </c>
      <c r="C1696" t="s">
        <v>822</v>
      </c>
      <c r="D1696" s="65">
        <v>150</v>
      </c>
      <c r="E1696" s="33"/>
      <c r="F1696" t="s">
        <v>905</v>
      </c>
      <c r="G1696" t="s">
        <v>148</v>
      </c>
      <c r="I1696" t="s">
        <v>108</v>
      </c>
      <c r="J1696" t="s">
        <v>183</v>
      </c>
      <c r="K1696" s="17">
        <v>1</v>
      </c>
      <c r="L1696" s="28"/>
    </row>
    <row r="1697" spans="1:12" x14ac:dyDescent="0.2">
      <c r="A1697">
        <v>2015</v>
      </c>
      <c r="B1697" t="s">
        <v>191</v>
      </c>
      <c r="C1697" t="s">
        <v>798</v>
      </c>
      <c r="D1697" s="65">
        <v>510</v>
      </c>
      <c r="E1697" s="33">
        <v>0.5</v>
      </c>
      <c r="F1697" t="s">
        <v>834</v>
      </c>
      <c r="G1697" t="s">
        <v>149</v>
      </c>
      <c r="H1697" t="s">
        <v>182</v>
      </c>
      <c r="I1697" t="s">
        <v>53</v>
      </c>
      <c r="J1697" t="s">
        <v>183</v>
      </c>
      <c r="K1697" s="17">
        <v>1</v>
      </c>
      <c r="L1697" s="28" t="s">
        <v>178</v>
      </c>
    </row>
    <row r="1698" spans="1:12" x14ac:dyDescent="0.2">
      <c r="A1698">
        <v>2015</v>
      </c>
      <c r="B1698" t="s">
        <v>191</v>
      </c>
      <c r="C1698" t="s">
        <v>317</v>
      </c>
      <c r="D1698" s="65">
        <v>1810</v>
      </c>
      <c r="E1698" s="33">
        <v>1</v>
      </c>
      <c r="G1698" t="s">
        <v>144</v>
      </c>
      <c r="H1698" t="s">
        <v>273</v>
      </c>
      <c r="I1698" t="s">
        <v>93</v>
      </c>
      <c r="J1698" t="s">
        <v>201</v>
      </c>
      <c r="K1698" s="17">
        <v>1</v>
      </c>
      <c r="L1698" s="28" t="s">
        <v>178</v>
      </c>
    </row>
    <row r="1699" spans="1:12" x14ac:dyDescent="0.2">
      <c r="A1699">
        <v>2015</v>
      </c>
      <c r="B1699" t="s">
        <v>191</v>
      </c>
      <c r="C1699" t="s">
        <v>554</v>
      </c>
      <c r="D1699" s="65">
        <v>440</v>
      </c>
      <c r="E1699" s="33"/>
      <c r="F1699" t="s">
        <v>1101</v>
      </c>
      <c r="G1699" t="s">
        <v>146</v>
      </c>
      <c r="I1699" t="s">
        <v>131</v>
      </c>
      <c r="J1699" t="s">
        <v>131</v>
      </c>
      <c r="K1699" s="17">
        <v>0</v>
      </c>
      <c r="L1699" s="28"/>
    </row>
    <row r="1700" spans="1:12" x14ac:dyDescent="0.2">
      <c r="A1700">
        <v>2015</v>
      </c>
      <c r="B1700" t="s">
        <v>191</v>
      </c>
      <c r="C1700" t="s">
        <v>1102</v>
      </c>
      <c r="D1700" s="65">
        <v>100</v>
      </c>
      <c r="E1700" s="33">
        <v>1</v>
      </c>
      <c r="G1700" t="s">
        <v>154</v>
      </c>
      <c r="H1700" t="s">
        <v>194</v>
      </c>
      <c r="I1700" t="s">
        <v>77</v>
      </c>
      <c r="J1700" t="s">
        <v>177</v>
      </c>
      <c r="K1700" s="17">
        <v>0</v>
      </c>
      <c r="L1700" s="28" t="s">
        <v>178</v>
      </c>
    </row>
    <row r="1701" spans="1:12" x14ac:dyDescent="0.2">
      <c r="A1701">
        <v>2015</v>
      </c>
      <c r="B1701" t="s">
        <v>191</v>
      </c>
      <c r="C1701" t="s">
        <v>1103</v>
      </c>
      <c r="D1701" s="65">
        <v>420</v>
      </c>
      <c r="E1701" s="33"/>
      <c r="G1701" t="s">
        <v>151</v>
      </c>
      <c r="H1701" t="s">
        <v>224</v>
      </c>
      <c r="I1701" t="s">
        <v>20</v>
      </c>
      <c r="J1701" t="s">
        <v>195</v>
      </c>
      <c r="K1701" s="17">
        <v>0</v>
      </c>
      <c r="L1701" s="28"/>
    </row>
    <row r="1702" spans="1:12" x14ac:dyDescent="0.2">
      <c r="A1702">
        <v>2015</v>
      </c>
      <c r="B1702" t="s">
        <v>198</v>
      </c>
      <c r="C1702" t="s">
        <v>837</v>
      </c>
      <c r="D1702" s="65">
        <v>390</v>
      </c>
      <c r="E1702" s="33"/>
      <c r="F1702" t="s">
        <v>1104</v>
      </c>
      <c r="G1702" t="s">
        <v>151</v>
      </c>
      <c r="H1702" t="s">
        <v>224</v>
      </c>
      <c r="I1702" t="s">
        <v>131</v>
      </c>
      <c r="J1702" t="s">
        <v>131</v>
      </c>
      <c r="K1702" s="17">
        <v>0</v>
      </c>
      <c r="L1702" s="28" t="s">
        <v>178</v>
      </c>
    </row>
    <row r="1703" spans="1:12" x14ac:dyDescent="0.2">
      <c r="A1703">
        <v>2015</v>
      </c>
      <c r="B1703" t="s">
        <v>198</v>
      </c>
      <c r="C1703" t="s">
        <v>1105</v>
      </c>
      <c r="D1703" s="65">
        <v>100</v>
      </c>
      <c r="E1703" s="33">
        <v>1</v>
      </c>
      <c r="G1703" t="s">
        <v>152</v>
      </c>
      <c r="H1703" t="s">
        <v>257</v>
      </c>
      <c r="I1703" t="s">
        <v>52</v>
      </c>
      <c r="J1703" t="s">
        <v>201</v>
      </c>
      <c r="K1703" s="17">
        <v>0</v>
      </c>
      <c r="L1703" s="28" t="s">
        <v>178</v>
      </c>
    </row>
    <row r="1704" spans="1:12" x14ac:dyDescent="0.2">
      <c r="A1704">
        <v>2015</v>
      </c>
      <c r="B1704" t="s">
        <v>198</v>
      </c>
      <c r="C1704" t="s">
        <v>661</v>
      </c>
      <c r="D1704" s="65">
        <v>900</v>
      </c>
      <c r="E1704" s="33">
        <v>1</v>
      </c>
      <c r="F1704" t="s">
        <v>1106</v>
      </c>
      <c r="G1704" t="s">
        <v>145</v>
      </c>
      <c r="I1704" t="s">
        <v>131</v>
      </c>
      <c r="J1704" t="s">
        <v>131</v>
      </c>
      <c r="K1704" s="17">
        <v>0</v>
      </c>
      <c r="L1704" s="28"/>
    </row>
    <row r="1705" spans="1:12" x14ac:dyDescent="0.2">
      <c r="A1705">
        <v>2015</v>
      </c>
      <c r="B1705" t="s">
        <v>198</v>
      </c>
      <c r="C1705" t="s">
        <v>822</v>
      </c>
      <c r="D1705" s="65">
        <v>200</v>
      </c>
      <c r="E1705" s="33">
        <v>0.04</v>
      </c>
      <c r="F1705" t="s">
        <v>1107</v>
      </c>
      <c r="G1705" t="s">
        <v>150</v>
      </c>
      <c r="H1705" t="s">
        <v>556</v>
      </c>
      <c r="I1705" t="s">
        <v>52</v>
      </c>
      <c r="J1705" t="s">
        <v>201</v>
      </c>
      <c r="K1705" s="17">
        <v>0</v>
      </c>
      <c r="L1705" s="28"/>
    </row>
    <row r="1706" spans="1:12" x14ac:dyDescent="0.2">
      <c r="A1706">
        <v>2015</v>
      </c>
      <c r="B1706" t="s">
        <v>198</v>
      </c>
      <c r="C1706" t="s">
        <v>246</v>
      </c>
      <c r="D1706" s="65">
        <v>490</v>
      </c>
      <c r="E1706" s="33"/>
      <c r="F1706" t="s">
        <v>1108</v>
      </c>
      <c r="G1706" t="s">
        <v>144</v>
      </c>
      <c r="I1706" t="s">
        <v>19</v>
      </c>
      <c r="J1706" t="s">
        <v>205</v>
      </c>
      <c r="K1706" s="17">
        <v>0</v>
      </c>
      <c r="L1706" s="28"/>
    </row>
    <row r="1707" spans="1:12" x14ac:dyDescent="0.2">
      <c r="A1707">
        <v>2015</v>
      </c>
      <c r="B1707" t="s">
        <v>198</v>
      </c>
      <c r="C1707" t="s">
        <v>1035</v>
      </c>
      <c r="D1707" s="65">
        <v>120</v>
      </c>
      <c r="E1707" s="33"/>
      <c r="G1707" t="s">
        <v>144</v>
      </c>
      <c r="H1707" t="s">
        <v>232</v>
      </c>
      <c r="I1707" t="s">
        <v>93</v>
      </c>
      <c r="J1707" t="s">
        <v>201</v>
      </c>
      <c r="K1707" s="17">
        <v>1</v>
      </c>
      <c r="L1707" s="28" t="s">
        <v>178</v>
      </c>
    </row>
    <row r="1708" spans="1:12" x14ac:dyDescent="0.2">
      <c r="A1708">
        <v>2015</v>
      </c>
      <c r="B1708" t="s">
        <v>198</v>
      </c>
      <c r="C1708" t="s">
        <v>397</v>
      </c>
      <c r="D1708" s="65">
        <v>250</v>
      </c>
      <c r="E1708" s="33"/>
      <c r="G1708" t="s">
        <v>153</v>
      </c>
      <c r="I1708" t="s">
        <v>12</v>
      </c>
      <c r="J1708" t="s">
        <v>177</v>
      </c>
      <c r="K1708" s="17">
        <v>0</v>
      </c>
      <c r="L1708" s="28" t="s">
        <v>178</v>
      </c>
    </row>
    <row r="1709" spans="1:12" x14ac:dyDescent="0.2">
      <c r="A1709">
        <v>2015</v>
      </c>
      <c r="B1709" t="s">
        <v>198</v>
      </c>
      <c r="C1709" t="s">
        <v>845</v>
      </c>
      <c r="D1709" s="65">
        <v>210</v>
      </c>
      <c r="E1709" s="33">
        <v>1</v>
      </c>
      <c r="F1709" t="s">
        <v>1109</v>
      </c>
      <c r="G1709" t="s">
        <v>147</v>
      </c>
      <c r="I1709" t="s">
        <v>131</v>
      </c>
      <c r="J1709" t="s">
        <v>131</v>
      </c>
      <c r="K1709" s="17">
        <v>0</v>
      </c>
      <c r="L1709" s="28"/>
    </row>
    <row r="1710" spans="1:12" x14ac:dyDescent="0.2">
      <c r="A1710">
        <v>2015</v>
      </c>
      <c r="B1710" t="s">
        <v>198</v>
      </c>
      <c r="C1710" t="s">
        <v>1110</v>
      </c>
      <c r="D1710" s="65">
        <v>150</v>
      </c>
      <c r="E1710" s="33"/>
      <c r="F1710" t="s">
        <v>1111</v>
      </c>
      <c r="G1710" t="s">
        <v>147</v>
      </c>
      <c r="I1710" t="s">
        <v>9</v>
      </c>
      <c r="J1710" t="s">
        <v>9</v>
      </c>
      <c r="K1710" s="17">
        <v>0</v>
      </c>
      <c r="L1710" s="28"/>
    </row>
    <row r="1711" spans="1:12" x14ac:dyDescent="0.2">
      <c r="A1711">
        <v>2015</v>
      </c>
      <c r="B1711" t="s">
        <v>198</v>
      </c>
      <c r="C1711" t="s">
        <v>581</v>
      </c>
      <c r="D1711" s="65">
        <v>170</v>
      </c>
      <c r="E1711" s="33">
        <v>0.05</v>
      </c>
      <c r="F1711" t="s">
        <v>1112</v>
      </c>
      <c r="G1711" t="s">
        <v>152</v>
      </c>
      <c r="I1711" t="s">
        <v>45</v>
      </c>
      <c r="J1711" t="s">
        <v>195</v>
      </c>
      <c r="K1711" s="17">
        <v>0</v>
      </c>
      <c r="L1711" s="28"/>
    </row>
    <row r="1712" spans="1:12" x14ac:dyDescent="0.2">
      <c r="A1712">
        <v>2015</v>
      </c>
      <c r="B1712" t="s">
        <v>198</v>
      </c>
      <c r="C1712" t="s">
        <v>1113</v>
      </c>
      <c r="D1712" s="65">
        <v>160</v>
      </c>
      <c r="E1712" s="33"/>
      <c r="F1712" t="s">
        <v>1114</v>
      </c>
      <c r="G1712" t="s">
        <v>151</v>
      </c>
      <c r="H1712" t="s">
        <v>224</v>
      </c>
      <c r="I1712" t="s">
        <v>131</v>
      </c>
      <c r="J1712" t="s">
        <v>131</v>
      </c>
      <c r="K1712" s="17">
        <v>0</v>
      </c>
      <c r="L1712" s="28" t="s">
        <v>178</v>
      </c>
    </row>
    <row r="1713" spans="1:12" x14ac:dyDescent="0.2">
      <c r="A1713">
        <v>2015</v>
      </c>
      <c r="B1713" t="s">
        <v>198</v>
      </c>
      <c r="C1713" t="s">
        <v>543</v>
      </c>
      <c r="D1713" s="65">
        <v>460</v>
      </c>
      <c r="E1713" s="33">
        <v>1</v>
      </c>
      <c r="G1713" t="s">
        <v>144</v>
      </c>
      <c r="H1713" t="s">
        <v>232</v>
      </c>
      <c r="I1713" t="s">
        <v>93</v>
      </c>
      <c r="J1713" t="s">
        <v>201</v>
      </c>
      <c r="K1713" s="17">
        <v>1</v>
      </c>
      <c r="L1713" s="28" t="s">
        <v>178</v>
      </c>
    </row>
    <row r="1714" spans="1:12" x14ac:dyDescent="0.2">
      <c r="A1714">
        <v>2015</v>
      </c>
      <c r="B1714" t="s">
        <v>198</v>
      </c>
      <c r="C1714" t="s">
        <v>263</v>
      </c>
      <c r="D1714" s="65">
        <v>590</v>
      </c>
      <c r="E1714" s="33">
        <v>0.15</v>
      </c>
      <c r="F1714" t="s">
        <v>1115</v>
      </c>
      <c r="G1714" t="s">
        <v>154</v>
      </c>
      <c r="H1714" t="s">
        <v>194</v>
      </c>
      <c r="I1714" t="s">
        <v>45</v>
      </c>
      <c r="J1714" t="s">
        <v>195</v>
      </c>
      <c r="K1714" s="17">
        <v>0</v>
      </c>
      <c r="L1714" s="28"/>
    </row>
    <row r="1715" spans="1:12" x14ac:dyDescent="0.2">
      <c r="A1715">
        <v>2015</v>
      </c>
      <c r="B1715" t="s">
        <v>198</v>
      </c>
      <c r="C1715" t="s">
        <v>373</v>
      </c>
      <c r="D1715" s="65">
        <v>330</v>
      </c>
      <c r="E1715" s="33"/>
      <c r="F1715" t="s">
        <v>1116</v>
      </c>
      <c r="G1715" t="s">
        <v>151</v>
      </c>
      <c r="H1715" t="s">
        <v>224</v>
      </c>
      <c r="I1715" t="s">
        <v>20</v>
      </c>
      <c r="J1715" t="s">
        <v>195</v>
      </c>
      <c r="K1715" s="17">
        <v>0</v>
      </c>
      <c r="L1715" s="28"/>
    </row>
    <row r="1716" spans="1:12" x14ac:dyDescent="0.2">
      <c r="A1716">
        <v>2015</v>
      </c>
      <c r="B1716" t="s">
        <v>198</v>
      </c>
      <c r="C1716" t="s">
        <v>479</v>
      </c>
      <c r="D1716" s="65">
        <v>200</v>
      </c>
      <c r="E1716" s="33"/>
      <c r="F1716" t="s">
        <v>1117</v>
      </c>
      <c r="G1716" t="s">
        <v>148</v>
      </c>
      <c r="I1716" t="s">
        <v>24</v>
      </c>
      <c r="J1716" t="s">
        <v>219</v>
      </c>
      <c r="K1716" s="17">
        <v>1</v>
      </c>
      <c r="L1716" s="28" t="s">
        <v>178</v>
      </c>
    </row>
    <row r="1717" spans="1:12" x14ac:dyDescent="0.2">
      <c r="A1717">
        <v>2015</v>
      </c>
      <c r="B1717" t="s">
        <v>202</v>
      </c>
      <c r="C1717" t="s">
        <v>373</v>
      </c>
      <c r="D1717" s="65">
        <v>5170</v>
      </c>
      <c r="E1717" s="33">
        <v>1</v>
      </c>
      <c r="F1717" t="s">
        <v>1118</v>
      </c>
      <c r="G1717" t="s">
        <v>154</v>
      </c>
      <c r="H1717" t="s">
        <v>250</v>
      </c>
      <c r="I1717" t="s">
        <v>56</v>
      </c>
      <c r="J1717" t="s">
        <v>195</v>
      </c>
      <c r="K1717" s="17">
        <v>0</v>
      </c>
      <c r="L1717" s="28"/>
    </row>
    <row r="1718" spans="1:12" x14ac:dyDescent="0.2">
      <c r="A1718">
        <v>2015</v>
      </c>
      <c r="B1718" t="s">
        <v>202</v>
      </c>
      <c r="C1718" t="s">
        <v>1119</v>
      </c>
      <c r="D1718" s="65">
        <v>120</v>
      </c>
      <c r="E1718" s="33">
        <v>1</v>
      </c>
      <c r="F1718" t="s">
        <v>1120</v>
      </c>
      <c r="G1718" t="s">
        <v>142</v>
      </c>
      <c r="I1718" t="s">
        <v>114</v>
      </c>
      <c r="J1718" t="s">
        <v>195</v>
      </c>
      <c r="K1718" s="17">
        <v>0</v>
      </c>
      <c r="L1718" s="28"/>
    </row>
    <row r="1719" spans="1:12" x14ac:dyDescent="0.2">
      <c r="A1719">
        <v>2015</v>
      </c>
      <c r="B1719" t="s">
        <v>202</v>
      </c>
      <c r="C1719" t="s">
        <v>1121</v>
      </c>
      <c r="D1719" s="65">
        <v>920</v>
      </c>
      <c r="E1719" s="33">
        <v>0.65</v>
      </c>
      <c r="F1719" t="s">
        <v>1122</v>
      </c>
      <c r="G1719" t="s">
        <v>148</v>
      </c>
      <c r="I1719" t="s">
        <v>128</v>
      </c>
      <c r="J1719" t="s">
        <v>201</v>
      </c>
      <c r="K1719" s="17">
        <v>1</v>
      </c>
      <c r="L1719" s="28"/>
    </row>
    <row r="1720" spans="1:12" x14ac:dyDescent="0.2">
      <c r="A1720">
        <v>2015</v>
      </c>
      <c r="B1720" t="s">
        <v>202</v>
      </c>
      <c r="C1720" t="s">
        <v>1123</v>
      </c>
      <c r="D1720" s="65">
        <v>990</v>
      </c>
      <c r="E1720" s="33">
        <v>0.83</v>
      </c>
      <c r="F1720" t="s">
        <v>1124</v>
      </c>
      <c r="G1720" t="s">
        <v>147</v>
      </c>
      <c r="I1720" t="s">
        <v>9</v>
      </c>
      <c r="J1720" t="s">
        <v>9</v>
      </c>
      <c r="K1720" s="17">
        <v>0</v>
      </c>
      <c r="L1720" s="28"/>
    </row>
    <row r="1721" spans="1:12" x14ac:dyDescent="0.2">
      <c r="A1721">
        <v>2015</v>
      </c>
      <c r="B1721" t="s">
        <v>202</v>
      </c>
      <c r="C1721" t="s">
        <v>300</v>
      </c>
      <c r="D1721" s="65">
        <v>1210</v>
      </c>
      <c r="E1721" s="33">
        <v>0.1</v>
      </c>
      <c r="F1721" t="s">
        <v>1003</v>
      </c>
      <c r="G1721" t="s">
        <v>144</v>
      </c>
      <c r="H1721" t="s">
        <v>299</v>
      </c>
      <c r="I1721" t="s">
        <v>101</v>
      </c>
      <c r="J1721" t="s">
        <v>201</v>
      </c>
      <c r="K1721" s="17">
        <v>1</v>
      </c>
      <c r="L1721" s="28"/>
    </row>
    <row r="1722" spans="1:12" x14ac:dyDescent="0.2">
      <c r="A1722">
        <v>2015</v>
      </c>
      <c r="B1722" t="s">
        <v>202</v>
      </c>
      <c r="C1722" t="s">
        <v>588</v>
      </c>
      <c r="D1722" s="65">
        <v>200</v>
      </c>
      <c r="E1722" s="33">
        <v>0.5</v>
      </c>
      <c r="F1722" t="s">
        <v>1125</v>
      </c>
      <c r="G1722" t="s">
        <v>142</v>
      </c>
      <c r="I1722" t="s">
        <v>86</v>
      </c>
      <c r="J1722" t="s">
        <v>183</v>
      </c>
      <c r="K1722" s="17">
        <v>1</v>
      </c>
      <c r="L1722" s="28"/>
    </row>
    <row r="1723" spans="1:12" x14ac:dyDescent="0.2">
      <c r="A1723">
        <v>2015</v>
      </c>
      <c r="B1723" t="s">
        <v>202</v>
      </c>
      <c r="C1723" t="s">
        <v>1126</v>
      </c>
      <c r="D1723" s="65">
        <v>100</v>
      </c>
      <c r="E1723" s="33"/>
      <c r="F1723" t="s">
        <v>1127</v>
      </c>
      <c r="G1723" t="s">
        <v>154</v>
      </c>
      <c r="H1723" t="s">
        <v>194</v>
      </c>
      <c r="I1723" t="s">
        <v>131</v>
      </c>
      <c r="J1723" t="s">
        <v>131</v>
      </c>
      <c r="K1723" s="17">
        <v>0</v>
      </c>
      <c r="L1723" s="28"/>
    </row>
    <row r="1724" spans="1:12" x14ac:dyDescent="0.2">
      <c r="A1724">
        <v>2015</v>
      </c>
      <c r="B1724" t="s">
        <v>202</v>
      </c>
      <c r="C1724" t="s">
        <v>1128</v>
      </c>
      <c r="D1724" s="65">
        <v>350</v>
      </c>
      <c r="E1724" s="33"/>
      <c r="G1724" t="s">
        <v>150</v>
      </c>
      <c r="H1724" t="s">
        <v>217</v>
      </c>
      <c r="I1724" t="s">
        <v>62</v>
      </c>
      <c r="J1724" t="s">
        <v>214</v>
      </c>
      <c r="K1724" s="17">
        <v>1</v>
      </c>
      <c r="L1724" s="28" t="s">
        <v>178</v>
      </c>
    </row>
    <row r="1725" spans="1:12" ht="15" customHeight="1" x14ac:dyDescent="0.2">
      <c r="A1725">
        <v>2015</v>
      </c>
      <c r="B1725" t="s">
        <v>202</v>
      </c>
      <c r="C1725" t="s">
        <v>1129</v>
      </c>
      <c r="D1725" s="65">
        <v>250</v>
      </c>
      <c r="E1725" s="33">
        <v>1</v>
      </c>
      <c r="G1725" t="s">
        <v>144</v>
      </c>
      <c r="H1725" t="s">
        <v>232</v>
      </c>
      <c r="I1725" t="s">
        <v>52</v>
      </c>
      <c r="J1725" t="s">
        <v>201</v>
      </c>
      <c r="K1725" s="17">
        <v>0</v>
      </c>
      <c r="L1725" s="28" t="s">
        <v>178</v>
      </c>
    </row>
    <row r="1726" spans="1:12" x14ac:dyDescent="0.2">
      <c r="A1726">
        <v>2015</v>
      </c>
      <c r="B1726" t="s">
        <v>202</v>
      </c>
      <c r="C1726" t="s">
        <v>822</v>
      </c>
      <c r="D1726" s="65">
        <v>680</v>
      </c>
      <c r="E1726" s="33">
        <v>0.16</v>
      </c>
      <c r="F1726" t="s">
        <v>1130</v>
      </c>
      <c r="G1726" t="s">
        <v>146</v>
      </c>
      <c r="I1726" t="s">
        <v>52</v>
      </c>
      <c r="J1726" t="s">
        <v>201</v>
      </c>
      <c r="K1726" s="17">
        <v>0</v>
      </c>
      <c r="L1726" s="28"/>
    </row>
    <row r="1727" spans="1:12" x14ac:dyDescent="0.2">
      <c r="A1727">
        <v>2015</v>
      </c>
      <c r="B1727" t="s">
        <v>202</v>
      </c>
      <c r="C1727" t="s">
        <v>1131</v>
      </c>
      <c r="D1727" s="65">
        <v>100</v>
      </c>
      <c r="E1727" s="33">
        <v>0.52</v>
      </c>
      <c r="F1727" t="s">
        <v>1132</v>
      </c>
      <c r="G1727" t="s">
        <v>147</v>
      </c>
      <c r="I1727" t="s">
        <v>131</v>
      </c>
      <c r="J1727" t="s">
        <v>131</v>
      </c>
      <c r="K1727" s="17">
        <v>0</v>
      </c>
      <c r="L1727" s="28"/>
    </row>
    <row r="1728" spans="1:12" ht="14.25" customHeight="1" x14ac:dyDescent="0.2">
      <c r="A1728">
        <v>2015</v>
      </c>
      <c r="B1728" t="s">
        <v>202</v>
      </c>
      <c r="C1728" t="s">
        <v>1066</v>
      </c>
      <c r="D1728" s="65">
        <v>100</v>
      </c>
      <c r="E1728" s="33">
        <v>0.05</v>
      </c>
      <c r="F1728" t="s">
        <v>1067</v>
      </c>
      <c r="G1728" t="s">
        <v>146</v>
      </c>
      <c r="H1728" t="s">
        <v>253</v>
      </c>
      <c r="I1728" t="s">
        <v>33</v>
      </c>
      <c r="J1728" t="s">
        <v>195</v>
      </c>
      <c r="K1728" s="17">
        <v>1</v>
      </c>
      <c r="L1728" s="28"/>
    </row>
    <row r="1729" spans="1:12" x14ac:dyDescent="0.2">
      <c r="A1729">
        <v>2015</v>
      </c>
      <c r="B1729" t="s">
        <v>202</v>
      </c>
      <c r="C1729" t="s">
        <v>1133</v>
      </c>
      <c r="D1729" s="65">
        <v>250</v>
      </c>
      <c r="E1729" s="33">
        <v>1</v>
      </c>
      <c r="F1729" t="s">
        <v>1134</v>
      </c>
      <c r="G1729" t="s">
        <v>152</v>
      </c>
      <c r="I1729" t="s">
        <v>131</v>
      </c>
      <c r="J1729" t="s">
        <v>131</v>
      </c>
      <c r="K1729" s="17">
        <v>0</v>
      </c>
      <c r="L1729" s="28"/>
    </row>
    <row r="1730" spans="1:12" x14ac:dyDescent="0.2">
      <c r="A1730">
        <v>2015</v>
      </c>
      <c r="B1730" t="s">
        <v>202</v>
      </c>
      <c r="C1730" t="s">
        <v>1035</v>
      </c>
      <c r="D1730" s="65">
        <v>510</v>
      </c>
      <c r="E1730" s="33"/>
      <c r="F1730" t="s">
        <v>1135</v>
      </c>
      <c r="G1730" t="s">
        <v>144</v>
      </c>
      <c r="H1730" t="s">
        <v>273</v>
      </c>
      <c r="I1730" t="s">
        <v>78</v>
      </c>
      <c r="J1730" t="s">
        <v>183</v>
      </c>
      <c r="K1730" s="17">
        <v>1</v>
      </c>
      <c r="L1730" s="28" t="s">
        <v>178</v>
      </c>
    </row>
    <row r="1731" spans="1:12" x14ac:dyDescent="0.2">
      <c r="A1731">
        <v>2015</v>
      </c>
      <c r="B1731" t="s">
        <v>202</v>
      </c>
      <c r="C1731" t="s">
        <v>1136</v>
      </c>
      <c r="D1731" s="65">
        <v>100</v>
      </c>
      <c r="E1731" s="33"/>
      <c r="G1731" t="s">
        <v>142</v>
      </c>
      <c r="I1731" t="s">
        <v>101</v>
      </c>
      <c r="J1731" t="s">
        <v>201</v>
      </c>
      <c r="K1731" s="17">
        <v>1</v>
      </c>
      <c r="L1731" s="28" t="s">
        <v>178</v>
      </c>
    </row>
    <row r="1732" spans="1:12" x14ac:dyDescent="0.2">
      <c r="A1732">
        <v>2015</v>
      </c>
      <c r="B1732" t="s">
        <v>207</v>
      </c>
      <c r="C1732" t="s">
        <v>1137</v>
      </c>
      <c r="D1732" s="65">
        <v>150</v>
      </c>
      <c r="E1732" s="33">
        <v>1</v>
      </c>
      <c r="F1732" t="s">
        <v>1138</v>
      </c>
      <c r="G1732" t="s">
        <v>150</v>
      </c>
      <c r="H1732" t="s">
        <v>556</v>
      </c>
      <c r="I1732" t="s">
        <v>20</v>
      </c>
      <c r="J1732" t="s">
        <v>195</v>
      </c>
      <c r="K1732" s="17">
        <v>0</v>
      </c>
      <c r="L1732" s="28"/>
    </row>
    <row r="1733" spans="1:12" x14ac:dyDescent="0.2">
      <c r="A1733">
        <v>2015</v>
      </c>
      <c r="B1733" t="s">
        <v>207</v>
      </c>
      <c r="C1733" t="s">
        <v>221</v>
      </c>
      <c r="D1733" s="65">
        <v>470</v>
      </c>
      <c r="E1733" s="33"/>
      <c r="F1733" t="s">
        <v>1139</v>
      </c>
      <c r="G1733" t="s">
        <v>151</v>
      </c>
      <c r="H1733" t="s">
        <v>224</v>
      </c>
      <c r="I1733" t="s">
        <v>20</v>
      </c>
      <c r="J1733" t="s">
        <v>195</v>
      </c>
      <c r="K1733" s="17">
        <v>0</v>
      </c>
      <c r="L1733" s="28" t="s">
        <v>178</v>
      </c>
    </row>
    <row r="1734" spans="1:12" x14ac:dyDescent="0.2">
      <c r="A1734">
        <v>2015</v>
      </c>
      <c r="B1734" t="s">
        <v>207</v>
      </c>
      <c r="C1734" t="s">
        <v>815</v>
      </c>
      <c r="D1734" s="65">
        <v>500</v>
      </c>
      <c r="E1734" s="33">
        <v>1</v>
      </c>
      <c r="G1734" t="s">
        <v>151</v>
      </c>
      <c r="H1734" t="s">
        <v>279</v>
      </c>
      <c r="I1734" t="s">
        <v>138</v>
      </c>
      <c r="J1734" t="s">
        <v>219</v>
      </c>
      <c r="K1734" s="17">
        <v>1</v>
      </c>
      <c r="L1734" s="28" t="s">
        <v>178</v>
      </c>
    </row>
    <row r="1735" spans="1:12" x14ac:dyDescent="0.2">
      <c r="A1735">
        <v>2015</v>
      </c>
      <c r="B1735" t="s">
        <v>207</v>
      </c>
      <c r="C1735" t="s">
        <v>1140</v>
      </c>
      <c r="D1735" s="65">
        <v>200</v>
      </c>
      <c r="E1735" s="33"/>
      <c r="F1735" t="s">
        <v>1141</v>
      </c>
      <c r="G1735" t="s">
        <v>142</v>
      </c>
      <c r="I1735" t="s">
        <v>9</v>
      </c>
      <c r="J1735" t="s">
        <v>9</v>
      </c>
      <c r="K1735" s="17">
        <v>0</v>
      </c>
      <c r="L1735" s="28"/>
    </row>
    <row r="1736" spans="1:12" x14ac:dyDescent="0.2">
      <c r="A1736">
        <v>2015</v>
      </c>
      <c r="B1736" t="s">
        <v>207</v>
      </c>
      <c r="C1736" t="s">
        <v>980</v>
      </c>
      <c r="D1736" s="65">
        <v>370</v>
      </c>
      <c r="E1736" s="33">
        <v>0.8</v>
      </c>
      <c r="G1736" t="s">
        <v>154</v>
      </c>
      <c r="H1736" t="s">
        <v>271</v>
      </c>
      <c r="I1736" t="s">
        <v>9</v>
      </c>
      <c r="J1736" t="s">
        <v>9</v>
      </c>
      <c r="K1736" s="17">
        <v>0</v>
      </c>
      <c r="L1736" s="28"/>
    </row>
    <row r="1737" spans="1:12" x14ac:dyDescent="0.2">
      <c r="A1737">
        <v>2015</v>
      </c>
      <c r="B1737" t="s">
        <v>207</v>
      </c>
      <c r="C1737" t="s">
        <v>283</v>
      </c>
      <c r="D1737" s="65">
        <v>2000</v>
      </c>
      <c r="E1737" s="33"/>
      <c r="F1737" t="s">
        <v>830</v>
      </c>
      <c r="G1737" t="s">
        <v>144</v>
      </c>
      <c r="H1737" t="s">
        <v>187</v>
      </c>
      <c r="I1737" t="s">
        <v>19</v>
      </c>
      <c r="J1737" t="s">
        <v>205</v>
      </c>
      <c r="K1737" s="17">
        <v>0</v>
      </c>
      <c r="L1737" s="28"/>
    </row>
    <row r="1738" spans="1:12" x14ac:dyDescent="0.2">
      <c r="A1738">
        <v>2015</v>
      </c>
      <c r="B1738" t="s">
        <v>207</v>
      </c>
      <c r="C1738" t="s">
        <v>1142</v>
      </c>
      <c r="D1738" s="65">
        <v>100</v>
      </c>
      <c r="E1738" s="33"/>
      <c r="F1738" t="s">
        <v>1143</v>
      </c>
      <c r="G1738" t="s">
        <v>154</v>
      </c>
      <c r="H1738" t="s">
        <v>194</v>
      </c>
      <c r="I1738" t="s">
        <v>108</v>
      </c>
      <c r="J1738" t="s">
        <v>183</v>
      </c>
      <c r="K1738" s="17">
        <v>1</v>
      </c>
      <c r="L1738" s="28"/>
    </row>
    <row r="1739" spans="1:12" x14ac:dyDescent="0.2">
      <c r="A1739">
        <v>2015</v>
      </c>
      <c r="B1739" t="s">
        <v>207</v>
      </c>
      <c r="C1739" t="s">
        <v>1046</v>
      </c>
      <c r="D1739" s="65">
        <v>1080</v>
      </c>
      <c r="E1739" s="33"/>
      <c r="F1739" t="s">
        <v>1144</v>
      </c>
      <c r="G1739" t="s">
        <v>144</v>
      </c>
      <c r="H1739" t="s">
        <v>187</v>
      </c>
      <c r="I1739" t="s">
        <v>131</v>
      </c>
      <c r="J1739" t="s">
        <v>131</v>
      </c>
      <c r="K1739" s="17">
        <v>0</v>
      </c>
      <c r="L1739" s="28"/>
    </row>
    <row r="1740" spans="1:12" x14ac:dyDescent="0.2">
      <c r="A1740">
        <v>2015</v>
      </c>
      <c r="B1740" t="s">
        <v>207</v>
      </c>
      <c r="C1740" t="s">
        <v>1145</v>
      </c>
      <c r="D1740" s="65">
        <v>270</v>
      </c>
      <c r="E1740" s="33">
        <v>1</v>
      </c>
      <c r="F1740" t="s">
        <v>1146</v>
      </c>
      <c r="G1740" t="s">
        <v>147</v>
      </c>
      <c r="I1740" t="s">
        <v>131</v>
      </c>
      <c r="J1740" t="s">
        <v>131</v>
      </c>
      <c r="K1740" s="17">
        <v>0</v>
      </c>
      <c r="L1740" s="28"/>
    </row>
    <row r="1741" spans="1:12" x14ac:dyDescent="0.2">
      <c r="A1741">
        <v>2015</v>
      </c>
      <c r="B1741" t="s">
        <v>207</v>
      </c>
      <c r="C1741" s="52" t="s">
        <v>255</v>
      </c>
      <c r="D1741" s="65">
        <v>280</v>
      </c>
      <c r="E1741" s="33">
        <v>0.4</v>
      </c>
      <c r="F1741" t="s">
        <v>1147</v>
      </c>
      <c r="G1741" t="s">
        <v>152</v>
      </c>
      <c r="H1741" t="s">
        <v>257</v>
      </c>
      <c r="I1741" t="s">
        <v>113</v>
      </c>
      <c r="J1741" t="s">
        <v>183</v>
      </c>
      <c r="K1741" s="17">
        <v>0</v>
      </c>
      <c r="L1741" s="28"/>
    </row>
    <row r="1742" spans="1:12" x14ac:dyDescent="0.2">
      <c r="A1742">
        <v>2015</v>
      </c>
      <c r="B1742" t="s">
        <v>207</v>
      </c>
      <c r="C1742" t="s">
        <v>1071</v>
      </c>
      <c r="D1742" s="65">
        <v>130</v>
      </c>
      <c r="E1742" s="33">
        <v>0.34</v>
      </c>
      <c r="F1742" t="s">
        <v>1148</v>
      </c>
      <c r="G1742" t="s">
        <v>154</v>
      </c>
      <c r="H1742" t="s">
        <v>250</v>
      </c>
      <c r="I1742" t="s">
        <v>69</v>
      </c>
      <c r="J1742" t="s">
        <v>195</v>
      </c>
      <c r="K1742" s="17">
        <v>1</v>
      </c>
      <c r="L1742" s="28"/>
    </row>
    <row r="1743" spans="1:12" x14ac:dyDescent="0.2">
      <c r="A1743">
        <v>2015</v>
      </c>
      <c r="B1743" t="s">
        <v>207</v>
      </c>
      <c r="C1743" t="s">
        <v>1149</v>
      </c>
      <c r="D1743" s="65">
        <v>240</v>
      </c>
      <c r="E1743" s="33"/>
      <c r="F1743" t="s">
        <v>1150</v>
      </c>
      <c r="G1743" t="s">
        <v>145</v>
      </c>
      <c r="I1743" t="s">
        <v>131</v>
      </c>
      <c r="J1743" t="s">
        <v>131</v>
      </c>
      <c r="K1743" s="17">
        <v>0</v>
      </c>
      <c r="L1743" s="28"/>
    </row>
    <row r="1744" spans="1:12" x14ac:dyDescent="0.2">
      <c r="A1744">
        <v>2015</v>
      </c>
      <c r="B1744" t="s">
        <v>207</v>
      </c>
      <c r="C1744" t="s">
        <v>1151</v>
      </c>
      <c r="D1744" s="65">
        <v>370</v>
      </c>
      <c r="E1744" s="33">
        <v>0.85</v>
      </c>
      <c r="F1744" t="s">
        <v>1152</v>
      </c>
      <c r="G1744" t="s">
        <v>152</v>
      </c>
      <c r="I1744" t="s">
        <v>72</v>
      </c>
      <c r="J1744" t="s">
        <v>183</v>
      </c>
      <c r="K1744" s="17">
        <v>1</v>
      </c>
      <c r="L1744" s="28"/>
    </row>
    <row r="1745" spans="1:12" x14ac:dyDescent="0.2">
      <c r="A1745">
        <v>2015</v>
      </c>
      <c r="B1745" t="s">
        <v>207</v>
      </c>
      <c r="C1745" t="s">
        <v>444</v>
      </c>
      <c r="D1745" s="65">
        <v>150</v>
      </c>
      <c r="E1745" s="33">
        <v>0.35</v>
      </c>
      <c r="F1745" t="s">
        <v>1153</v>
      </c>
      <c r="G1745" t="s">
        <v>144</v>
      </c>
      <c r="I1745" t="s">
        <v>93</v>
      </c>
      <c r="J1745" t="s">
        <v>201</v>
      </c>
      <c r="K1745" s="17">
        <v>1</v>
      </c>
      <c r="L1745" s="28"/>
    </row>
    <row r="1746" spans="1:12" x14ac:dyDescent="0.2">
      <c r="A1746">
        <v>2015</v>
      </c>
      <c r="B1746" t="s">
        <v>207</v>
      </c>
      <c r="C1746" t="s">
        <v>479</v>
      </c>
      <c r="D1746" s="65">
        <v>120</v>
      </c>
      <c r="E1746" s="33"/>
      <c r="G1746" t="s">
        <v>154</v>
      </c>
      <c r="H1746" t="s">
        <v>271</v>
      </c>
      <c r="I1746" t="s">
        <v>104</v>
      </c>
      <c r="J1746" t="s">
        <v>219</v>
      </c>
      <c r="K1746" s="17">
        <v>1</v>
      </c>
      <c r="L1746" s="28" t="s">
        <v>178</v>
      </c>
    </row>
    <row r="1747" spans="1:12" x14ac:dyDescent="0.2">
      <c r="A1747">
        <v>2015</v>
      </c>
      <c r="B1747" t="s">
        <v>207</v>
      </c>
      <c r="C1747" t="s">
        <v>300</v>
      </c>
      <c r="D1747" s="65">
        <v>200</v>
      </c>
      <c r="E1747" s="33">
        <v>0.02</v>
      </c>
      <c r="F1747" t="s">
        <v>1154</v>
      </c>
      <c r="G1747" t="s">
        <v>148</v>
      </c>
      <c r="I1747" t="s">
        <v>58</v>
      </c>
      <c r="J1747" t="s">
        <v>195</v>
      </c>
      <c r="K1747" s="17">
        <v>0</v>
      </c>
      <c r="L1747" s="28"/>
    </row>
    <row r="1748" spans="1:12" x14ac:dyDescent="0.2">
      <c r="A1748">
        <v>2015</v>
      </c>
      <c r="B1748" t="s">
        <v>207</v>
      </c>
      <c r="C1748" t="s">
        <v>1155</v>
      </c>
      <c r="D1748" s="65">
        <v>150</v>
      </c>
      <c r="E1748" s="33">
        <v>0.13</v>
      </c>
      <c r="F1748" t="s">
        <v>1156</v>
      </c>
      <c r="G1748" t="s">
        <v>146</v>
      </c>
      <c r="I1748" t="s">
        <v>131</v>
      </c>
      <c r="J1748" t="s">
        <v>131</v>
      </c>
      <c r="K1748" s="17">
        <v>0</v>
      </c>
      <c r="L1748" s="28"/>
    </row>
    <row r="1749" spans="1:12" x14ac:dyDescent="0.2">
      <c r="A1749">
        <v>2015</v>
      </c>
      <c r="B1749" t="s">
        <v>207</v>
      </c>
      <c r="C1749" t="s">
        <v>1157</v>
      </c>
      <c r="D1749" s="65">
        <v>270</v>
      </c>
      <c r="E1749" s="33"/>
      <c r="G1749" t="s">
        <v>151</v>
      </c>
      <c r="H1749" t="s">
        <v>279</v>
      </c>
      <c r="I1749" t="s">
        <v>83</v>
      </c>
      <c r="J1749" t="s">
        <v>219</v>
      </c>
      <c r="K1749" s="17">
        <v>1</v>
      </c>
      <c r="L1749" s="28" t="s">
        <v>178</v>
      </c>
    </row>
    <row r="1750" spans="1:12" x14ac:dyDescent="0.2">
      <c r="A1750">
        <v>2015</v>
      </c>
      <c r="B1750" t="s">
        <v>207</v>
      </c>
      <c r="C1750" t="s">
        <v>414</v>
      </c>
      <c r="D1750" s="65">
        <v>480</v>
      </c>
      <c r="E1750" s="33"/>
      <c r="F1750" t="s">
        <v>1158</v>
      </c>
      <c r="G1750" t="s">
        <v>154</v>
      </c>
      <c r="H1750" t="s">
        <v>194</v>
      </c>
      <c r="I1750" t="s">
        <v>45</v>
      </c>
      <c r="J1750" t="s">
        <v>195</v>
      </c>
      <c r="K1750" s="17">
        <v>0</v>
      </c>
      <c r="L1750" s="28"/>
    </row>
    <row r="1751" spans="1:12" x14ac:dyDescent="0.2">
      <c r="A1751">
        <v>2015</v>
      </c>
      <c r="B1751" t="s">
        <v>207</v>
      </c>
      <c r="C1751" t="s">
        <v>1093</v>
      </c>
      <c r="D1751" s="65">
        <v>140</v>
      </c>
      <c r="E1751" s="33"/>
      <c r="F1751" t="s">
        <v>1159</v>
      </c>
      <c r="G1751" t="s">
        <v>153</v>
      </c>
      <c r="I1751" t="s">
        <v>131</v>
      </c>
      <c r="J1751" t="s">
        <v>131</v>
      </c>
      <c r="K1751" s="17">
        <v>0</v>
      </c>
      <c r="L1751" s="28"/>
    </row>
    <row r="1752" spans="1:12" x14ac:dyDescent="0.2">
      <c r="A1752">
        <v>2015</v>
      </c>
      <c r="B1752" t="s">
        <v>207</v>
      </c>
      <c r="C1752" t="s">
        <v>1160</v>
      </c>
      <c r="D1752" s="65">
        <v>300</v>
      </c>
      <c r="E1752" s="33"/>
      <c r="G1752" t="s">
        <v>150</v>
      </c>
      <c r="H1752" t="s">
        <v>217</v>
      </c>
      <c r="I1752" t="s">
        <v>77</v>
      </c>
      <c r="J1752" t="s">
        <v>177</v>
      </c>
      <c r="K1752" s="17">
        <v>0</v>
      </c>
      <c r="L1752" s="28" t="s">
        <v>178</v>
      </c>
    </row>
    <row r="1753" spans="1:12" x14ac:dyDescent="0.2">
      <c r="A1753">
        <v>2015</v>
      </c>
      <c r="B1753" t="s">
        <v>240</v>
      </c>
      <c r="C1753" t="s">
        <v>319</v>
      </c>
      <c r="D1753" s="65">
        <v>1010</v>
      </c>
      <c r="E1753" s="33">
        <v>0.3</v>
      </c>
      <c r="F1753" t="s">
        <v>1161</v>
      </c>
      <c r="G1753" t="s">
        <v>148</v>
      </c>
      <c r="I1753" t="s">
        <v>131</v>
      </c>
      <c r="J1753" t="s">
        <v>131</v>
      </c>
      <c r="K1753" s="17">
        <v>0</v>
      </c>
      <c r="L1753" s="28"/>
    </row>
    <row r="1754" spans="1:12" x14ac:dyDescent="0.2">
      <c r="A1754">
        <v>2015</v>
      </c>
      <c r="B1754" t="s">
        <v>240</v>
      </c>
      <c r="C1754" t="s">
        <v>806</v>
      </c>
      <c r="D1754" s="65">
        <v>100</v>
      </c>
      <c r="E1754" s="33">
        <v>1</v>
      </c>
      <c r="G1754" t="s">
        <v>154</v>
      </c>
      <c r="H1754" t="s">
        <v>529</v>
      </c>
      <c r="I1754" t="s">
        <v>131</v>
      </c>
      <c r="J1754" t="s">
        <v>131</v>
      </c>
      <c r="K1754" s="17">
        <v>0</v>
      </c>
      <c r="L1754" s="28" t="s">
        <v>178</v>
      </c>
    </row>
    <row r="1755" spans="1:12" x14ac:dyDescent="0.2">
      <c r="A1755">
        <v>2015</v>
      </c>
      <c r="B1755" t="s">
        <v>240</v>
      </c>
      <c r="C1755" t="s">
        <v>1057</v>
      </c>
      <c r="D1755" s="65">
        <v>230</v>
      </c>
      <c r="E1755" s="33"/>
      <c r="F1755" t="s">
        <v>1162</v>
      </c>
      <c r="G1755" t="s">
        <v>144</v>
      </c>
      <c r="H1755" t="s">
        <v>232</v>
      </c>
      <c r="I1755" t="s">
        <v>52</v>
      </c>
      <c r="J1755" t="s">
        <v>201</v>
      </c>
      <c r="K1755" s="17">
        <v>0</v>
      </c>
      <c r="L1755" s="28" t="s">
        <v>178</v>
      </c>
    </row>
    <row r="1756" spans="1:12" x14ac:dyDescent="0.2">
      <c r="A1756">
        <v>2015</v>
      </c>
      <c r="B1756" t="s">
        <v>240</v>
      </c>
      <c r="C1756" t="s">
        <v>1163</v>
      </c>
      <c r="D1756" s="65">
        <v>150</v>
      </c>
      <c r="E1756" s="33">
        <v>1</v>
      </c>
      <c r="F1756" t="s">
        <v>1164</v>
      </c>
      <c r="G1756" t="s">
        <v>153</v>
      </c>
      <c r="I1756" t="s">
        <v>61</v>
      </c>
      <c r="J1756" t="s">
        <v>183</v>
      </c>
      <c r="K1756" s="17">
        <v>0</v>
      </c>
      <c r="L1756" s="28"/>
    </row>
    <row r="1757" spans="1:12" x14ac:dyDescent="0.2">
      <c r="A1757">
        <v>2015</v>
      </c>
      <c r="B1757" t="s">
        <v>240</v>
      </c>
      <c r="C1757" t="s">
        <v>477</v>
      </c>
      <c r="D1757" s="65">
        <v>140</v>
      </c>
      <c r="E1757" s="33">
        <v>1</v>
      </c>
      <c r="G1757" t="s">
        <v>148</v>
      </c>
      <c r="I1757" t="s">
        <v>14</v>
      </c>
      <c r="J1757" t="s">
        <v>195</v>
      </c>
      <c r="K1757" s="17">
        <v>1</v>
      </c>
      <c r="L1757" s="28" t="s">
        <v>178</v>
      </c>
    </row>
    <row r="1758" spans="1:12" x14ac:dyDescent="0.2">
      <c r="A1758">
        <v>2015</v>
      </c>
      <c r="B1758" t="s">
        <v>240</v>
      </c>
      <c r="C1758" t="s">
        <v>373</v>
      </c>
      <c r="D1758" s="65">
        <v>460</v>
      </c>
      <c r="E1758" s="33">
        <v>0.24</v>
      </c>
      <c r="F1758" t="s">
        <v>1165</v>
      </c>
      <c r="G1758" t="s">
        <v>154</v>
      </c>
      <c r="H1758" t="s">
        <v>250</v>
      </c>
      <c r="I1758" t="s">
        <v>19</v>
      </c>
      <c r="J1758" t="s">
        <v>205</v>
      </c>
      <c r="K1758" s="17">
        <v>0</v>
      </c>
      <c r="L1758" s="28"/>
    </row>
    <row r="1759" spans="1:12" x14ac:dyDescent="0.2">
      <c r="A1759">
        <v>2015</v>
      </c>
      <c r="B1759" t="s">
        <v>240</v>
      </c>
      <c r="C1759" t="s">
        <v>1166</v>
      </c>
      <c r="D1759" s="65">
        <v>5260</v>
      </c>
      <c r="E1759" s="33">
        <v>1</v>
      </c>
      <c r="F1759" t="s">
        <v>1167</v>
      </c>
      <c r="G1759" t="s">
        <v>144</v>
      </c>
      <c r="I1759" t="s">
        <v>72</v>
      </c>
      <c r="J1759" t="s">
        <v>183</v>
      </c>
      <c r="K1759" s="17">
        <v>1</v>
      </c>
      <c r="L1759" s="28"/>
    </row>
    <row r="1760" spans="1:12" s="36" customFormat="1" x14ac:dyDescent="0.2">
      <c r="A1760">
        <v>2015</v>
      </c>
      <c r="B1760" t="s">
        <v>240</v>
      </c>
      <c r="C1760" t="s">
        <v>1168</v>
      </c>
      <c r="D1760" s="65">
        <v>750</v>
      </c>
      <c r="E1760" s="33"/>
      <c r="G1760" t="s">
        <v>153</v>
      </c>
      <c r="I1760" t="s">
        <v>25</v>
      </c>
      <c r="J1760" t="s">
        <v>177</v>
      </c>
      <c r="K1760" s="17">
        <v>0</v>
      </c>
      <c r="L1760" s="28" t="s">
        <v>178</v>
      </c>
    </row>
    <row r="1761" spans="1:12" x14ac:dyDescent="0.2">
      <c r="A1761">
        <v>2015</v>
      </c>
      <c r="B1761" t="s">
        <v>240</v>
      </c>
      <c r="C1761" t="s">
        <v>421</v>
      </c>
      <c r="D1761" s="65">
        <v>260</v>
      </c>
      <c r="E1761" s="33">
        <v>1</v>
      </c>
      <c r="F1761" t="s">
        <v>1169</v>
      </c>
      <c r="G1761" t="s">
        <v>154</v>
      </c>
      <c r="H1761" t="s">
        <v>250</v>
      </c>
      <c r="I1761" t="s">
        <v>20</v>
      </c>
      <c r="J1761" t="s">
        <v>195</v>
      </c>
      <c r="K1761" s="17">
        <v>0</v>
      </c>
      <c r="L1761" s="28"/>
    </row>
    <row r="1762" spans="1:12" x14ac:dyDescent="0.2">
      <c r="A1762">
        <v>2015</v>
      </c>
      <c r="B1762" t="s">
        <v>240</v>
      </c>
      <c r="C1762" t="s">
        <v>1170</v>
      </c>
      <c r="D1762" s="65">
        <v>400</v>
      </c>
      <c r="E1762" s="33">
        <v>0.13</v>
      </c>
      <c r="F1762" t="s">
        <v>1171</v>
      </c>
      <c r="G1762" t="s">
        <v>145</v>
      </c>
      <c r="I1762" t="s">
        <v>20</v>
      </c>
      <c r="J1762" t="s">
        <v>195</v>
      </c>
      <c r="K1762" s="17">
        <v>0</v>
      </c>
      <c r="L1762" s="28"/>
    </row>
    <row r="1763" spans="1:12" x14ac:dyDescent="0.2">
      <c r="A1763">
        <v>2015</v>
      </c>
      <c r="B1763" t="s">
        <v>240</v>
      </c>
      <c r="C1763" t="s">
        <v>1172</v>
      </c>
      <c r="D1763" s="65">
        <v>620</v>
      </c>
      <c r="E1763" s="33"/>
      <c r="G1763" t="s">
        <v>154</v>
      </c>
      <c r="H1763" t="s">
        <v>271</v>
      </c>
      <c r="I1763" t="s">
        <v>93</v>
      </c>
      <c r="J1763" t="s">
        <v>201</v>
      </c>
      <c r="K1763" s="17">
        <v>1</v>
      </c>
      <c r="L1763" s="28" t="s">
        <v>178</v>
      </c>
    </row>
    <row r="1764" spans="1:12" x14ac:dyDescent="0.2">
      <c r="A1764">
        <v>2015</v>
      </c>
      <c r="B1764" t="s">
        <v>240</v>
      </c>
      <c r="C1764" t="s">
        <v>1173</v>
      </c>
      <c r="D1764" s="65">
        <v>180</v>
      </c>
      <c r="E1764" s="33"/>
      <c r="G1764" t="s">
        <v>151</v>
      </c>
      <c r="H1764" t="s">
        <v>224</v>
      </c>
      <c r="I1764" t="s">
        <v>131</v>
      </c>
      <c r="J1764" t="s">
        <v>131</v>
      </c>
      <c r="K1764" s="17">
        <v>0</v>
      </c>
      <c r="L1764" s="28" t="s">
        <v>178</v>
      </c>
    </row>
    <row r="1765" spans="1:12" x14ac:dyDescent="0.2">
      <c r="A1765">
        <v>2015</v>
      </c>
      <c r="B1765" t="s">
        <v>240</v>
      </c>
      <c r="C1765" t="s">
        <v>1174</v>
      </c>
      <c r="D1765" s="65">
        <v>160</v>
      </c>
      <c r="E1765" s="33">
        <v>1</v>
      </c>
      <c r="F1765" t="s">
        <v>1175</v>
      </c>
      <c r="G1765" t="s">
        <v>152</v>
      </c>
      <c r="I1765" t="s">
        <v>131</v>
      </c>
      <c r="J1765" t="s">
        <v>131</v>
      </c>
      <c r="K1765" s="17">
        <v>0</v>
      </c>
      <c r="L1765" s="28"/>
    </row>
    <row r="1766" spans="1:12" x14ac:dyDescent="0.2">
      <c r="A1766">
        <v>2015</v>
      </c>
      <c r="B1766" t="s">
        <v>240</v>
      </c>
      <c r="C1766" t="s">
        <v>837</v>
      </c>
      <c r="D1766" s="65">
        <v>950</v>
      </c>
      <c r="E1766" s="33"/>
      <c r="G1766" t="s">
        <v>151</v>
      </c>
      <c r="H1766" t="s">
        <v>224</v>
      </c>
      <c r="I1766" t="s">
        <v>131</v>
      </c>
      <c r="J1766" t="s">
        <v>131</v>
      </c>
      <c r="K1766" s="17">
        <v>0</v>
      </c>
      <c r="L1766" s="28" t="s">
        <v>178</v>
      </c>
    </row>
    <row r="1767" spans="1:12" x14ac:dyDescent="0.2">
      <c r="A1767">
        <v>2015</v>
      </c>
      <c r="B1767" t="s">
        <v>240</v>
      </c>
      <c r="C1767" t="s">
        <v>840</v>
      </c>
      <c r="D1767" s="65">
        <v>250</v>
      </c>
      <c r="E1767" s="33"/>
      <c r="G1767" t="s">
        <v>151</v>
      </c>
      <c r="H1767" t="s">
        <v>224</v>
      </c>
      <c r="I1767" t="s">
        <v>131</v>
      </c>
      <c r="J1767" t="s">
        <v>131</v>
      </c>
      <c r="K1767" s="17">
        <v>0</v>
      </c>
      <c r="L1767" s="28" t="s">
        <v>178</v>
      </c>
    </row>
    <row r="1768" spans="1:12" x14ac:dyDescent="0.2">
      <c r="A1768">
        <v>2015</v>
      </c>
      <c r="B1768" t="s">
        <v>212</v>
      </c>
      <c r="C1768" t="s">
        <v>189</v>
      </c>
      <c r="D1768" s="65">
        <v>1340</v>
      </c>
      <c r="E1768" s="33">
        <v>0.1</v>
      </c>
      <c r="F1768" t="s">
        <v>1176</v>
      </c>
      <c r="G1768" t="s">
        <v>144</v>
      </c>
      <c r="H1768" t="s">
        <v>299</v>
      </c>
      <c r="I1768" t="s">
        <v>101</v>
      </c>
      <c r="J1768" t="s">
        <v>201</v>
      </c>
      <c r="K1768" s="17">
        <v>1</v>
      </c>
      <c r="L1768" s="28"/>
    </row>
    <row r="1769" spans="1:12" x14ac:dyDescent="0.2">
      <c r="A1769">
        <v>2015</v>
      </c>
      <c r="B1769" t="s">
        <v>212</v>
      </c>
      <c r="C1769" t="s">
        <v>1177</v>
      </c>
      <c r="D1769" s="65">
        <v>110</v>
      </c>
      <c r="E1769" s="33">
        <v>0.34</v>
      </c>
      <c r="F1769" t="s">
        <v>713</v>
      </c>
      <c r="G1769" t="s">
        <v>144</v>
      </c>
      <c r="H1769" t="s">
        <v>273</v>
      </c>
      <c r="I1769" t="s">
        <v>112</v>
      </c>
      <c r="J1769" t="s">
        <v>219</v>
      </c>
      <c r="K1769" s="17">
        <v>1</v>
      </c>
      <c r="L1769" s="28" t="s">
        <v>178</v>
      </c>
    </row>
    <row r="1770" spans="1:12" x14ac:dyDescent="0.2">
      <c r="A1770">
        <v>2015</v>
      </c>
      <c r="B1770" t="s">
        <v>212</v>
      </c>
      <c r="C1770" t="s">
        <v>1178</v>
      </c>
      <c r="D1770" s="65">
        <v>690</v>
      </c>
      <c r="E1770" s="33">
        <v>1</v>
      </c>
      <c r="F1770" t="s">
        <v>1179</v>
      </c>
      <c r="G1770" t="s">
        <v>147</v>
      </c>
      <c r="I1770" t="s">
        <v>9</v>
      </c>
      <c r="J1770" t="s">
        <v>9</v>
      </c>
      <c r="K1770" s="17">
        <v>0</v>
      </c>
      <c r="L1770" s="28"/>
    </row>
    <row r="1771" spans="1:12" x14ac:dyDescent="0.2">
      <c r="A1771">
        <v>2015</v>
      </c>
      <c r="B1771" t="s">
        <v>212</v>
      </c>
      <c r="C1771" t="s">
        <v>1180</v>
      </c>
      <c r="D1771" s="65">
        <v>2200</v>
      </c>
      <c r="E1771" s="33">
        <v>1</v>
      </c>
      <c r="F1771" t="s">
        <v>1181</v>
      </c>
      <c r="G1771" t="s">
        <v>144</v>
      </c>
      <c r="H1771" t="s">
        <v>197</v>
      </c>
      <c r="I1771" t="s">
        <v>9</v>
      </c>
      <c r="J1771" t="s">
        <v>9</v>
      </c>
      <c r="K1771" s="17">
        <v>0</v>
      </c>
      <c r="L1771" s="28"/>
    </row>
    <row r="1772" spans="1:12" x14ac:dyDescent="0.2">
      <c r="A1772">
        <v>2015</v>
      </c>
      <c r="B1772" t="s">
        <v>212</v>
      </c>
      <c r="C1772" t="s">
        <v>661</v>
      </c>
      <c r="D1772" s="65">
        <v>120</v>
      </c>
      <c r="E1772" s="33">
        <v>1</v>
      </c>
      <c r="G1772" t="s">
        <v>151</v>
      </c>
      <c r="H1772" t="s">
        <v>224</v>
      </c>
      <c r="I1772" t="s">
        <v>20</v>
      </c>
      <c r="J1772" t="s">
        <v>195</v>
      </c>
      <c r="K1772" s="17">
        <v>0</v>
      </c>
      <c r="L1772" s="28"/>
    </row>
    <row r="1773" spans="1:12" x14ac:dyDescent="0.2">
      <c r="A1773">
        <v>2015</v>
      </c>
      <c r="B1773" t="s">
        <v>212</v>
      </c>
      <c r="C1773" t="s">
        <v>1182</v>
      </c>
      <c r="D1773" s="65">
        <v>100</v>
      </c>
      <c r="E1773" s="33">
        <v>0.13</v>
      </c>
      <c r="F1773" t="s">
        <v>1183</v>
      </c>
      <c r="G1773" t="s">
        <v>149</v>
      </c>
      <c r="I1773" t="s">
        <v>101</v>
      </c>
      <c r="J1773" t="s">
        <v>201</v>
      </c>
      <c r="K1773" s="17">
        <v>1</v>
      </c>
      <c r="L1773" s="28" t="s">
        <v>178</v>
      </c>
    </row>
    <row r="1774" spans="1:12" x14ac:dyDescent="0.2">
      <c r="A1774">
        <v>2015</v>
      </c>
      <c r="B1774" t="s">
        <v>212</v>
      </c>
      <c r="C1774" t="s">
        <v>1184</v>
      </c>
      <c r="D1774" s="65">
        <v>100</v>
      </c>
      <c r="E1774" s="33">
        <v>0.75</v>
      </c>
      <c r="F1774" t="s">
        <v>1185</v>
      </c>
      <c r="G1774" t="s">
        <v>151</v>
      </c>
      <c r="H1774" t="s">
        <v>279</v>
      </c>
      <c r="I1774" t="s">
        <v>67</v>
      </c>
      <c r="J1774" t="s">
        <v>183</v>
      </c>
      <c r="K1774" s="17">
        <v>1</v>
      </c>
      <c r="L1774" s="28" t="s">
        <v>178</v>
      </c>
    </row>
    <row r="1775" spans="1:12" x14ac:dyDescent="0.2">
      <c r="A1775">
        <v>2015</v>
      </c>
      <c r="B1775" t="s">
        <v>212</v>
      </c>
      <c r="C1775" t="s">
        <v>1186</v>
      </c>
      <c r="D1775" s="65">
        <v>130</v>
      </c>
      <c r="E1775" s="33">
        <v>0.2</v>
      </c>
      <c r="F1775" t="s">
        <v>1187</v>
      </c>
      <c r="G1775" t="s">
        <v>142</v>
      </c>
      <c r="I1775" t="s">
        <v>131</v>
      </c>
      <c r="J1775" t="s">
        <v>131</v>
      </c>
      <c r="K1775" s="17">
        <v>0</v>
      </c>
      <c r="L1775" s="28"/>
    </row>
    <row r="1776" spans="1:12" x14ac:dyDescent="0.2">
      <c r="A1776">
        <v>2015</v>
      </c>
      <c r="B1776" t="s">
        <v>212</v>
      </c>
      <c r="C1776" t="s">
        <v>352</v>
      </c>
      <c r="D1776" s="65">
        <v>1320</v>
      </c>
      <c r="E1776" s="33">
        <v>0.7</v>
      </c>
      <c r="F1776" t="s">
        <v>1188</v>
      </c>
      <c r="G1776" t="s">
        <v>144</v>
      </c>
      <c r="H1776" t="s">
        <v>273</v>
      </c>
      <c r="I1776" t="s">
        <v>53</v>
      </c>
      <c r="J1776" t="s">
        <v>183</v>
      </c>
      <c r="K1776" s="17">
        <v>1</v>
      </c>
      <c r="L1776" s="28" t="s">
        <v>178</v>
      </c>
    </row>
    <row r="1777" spans="1:12" x14ac:dyDescent="0.2">
      <c r="A1777">
        <v>2015</v>
      </c>
      <c r="B1777" t="s">
        <v>212</v>
      </c>
      <c r="C1777" t="s">
        <v>714</v>
      </c>
      <c r="D1777" s="65">
        <v>190</v>
      </c>
      <c r="E1777" s="33"/>
      <c r="G1777" t="s">
        <v>154</v>
      </c>
      <c r="H1777" t="s">
        <v>194</v>
      </c>
      <c r="I1777" t="s">
        <v>136</v>
      </c>
      <c r="J1777" t="s">
        <v>183</v>
      </c>
      <c r="K1777" s="17">
        <v>1</v>
      </c>
      <c r="L1777" s="28"/>
    </row>
    <row r="1778" spans="1:12" x14ac:dyDescent="0.2">
      <c r="A1778">
        <v>2015</v>
      </c>
      <c r="B1778" t="s">
        <v>212</v>
      </c>
      <c r="C1778" t="s">
        <v>246</v>
      </c>
      <c r="D1778" s="65">
        <v>340</v>
      </c>
      <c r="E1778" s="33">
        <v>0.49</v>
      </c>
      <c r="F1778" t="s">
        <v>737</v>
      </c>
      <c r="G1778" t="s">
        <v>144</v>
      </c>
      <c r="H1778" t="s">
        <v>232</v>
      </c>
      <c r="I1778" t="s">
        <v>98</v>
      </c>
      <c r="J1778" t="s">
        <v>195</v>
      </c>
      <c r="K1778" s="17">
        <v>1</v>
      </c>
      <c r="L1778" s="28"/>
    </row>
    <row r="1779" spans="1:12" x14ac:dyDescent="0.2">
      <c r="A1779">
        <v>2015</v>
      </c>
      <c r="B1779" t="s">
        <v>212</v>
      </c>
      <c r="C1779" t="s">
        <v>246</v>
      </c>
      <c r="D1779" s="65">
        <v>100</v>
      </c>
      <c r="E1779" s="33">
        <v>0.49</v>
      </c>
      <c r="F1779" t="s">
        <v>737</v>
      </c>
      <c r="G1779" t="s">
        <v>144</v>
      </c>
      <c r="H1779" t="s">
        <v>232</v>
      </c>
      <c r="I1779" t="s">
        <v>58</v>
      </c>
      <c r="J1779" t="s">
        <v>195</v>
      </c>
      <c r="K1779" s="17">
        <v>0</v>
      </c>
      <c r="L1779" s="28"/>
    </row>
    <row r="1780" spans="1:12" x14ac:dyDescent="0.2">
      <c r="A1780">
        <v>2015</v>
      </c>
      <c r="B1780" t="s">
        <v>212</v>
      </c>
      <c r="C1780" t="s">
        <v>479</v>
      </c>
      <c r="D1780" s="65">
        <v>100</v>
      </c>
      <c r="E1780" s="33">
        <v>1</v>
      </c>
      <c r="G1780" t="s">
        <v>151</v>
      </c>
      <c r="H1780" t="s">
        <v>224</v>
      </c>
      <c r="I1780" t="s">
        <v>108</v>
      </c>
      <c r="J1780" t="s">
        <v>183</v>
      </c>
      <c r="K1780" s="17">
        <v>1</v>
      </c>
      <c r="L1780" s="28" t="s">
        <v>178</v>
      </c>
    </row>
    <row r="1781" spans="1:12" x14ac:dyDescent="0.2">
      <c r="A1781">
        <v>2015</v>
      </c>
      <c r="B1781" t="s">
        <v>212</v>
      </c>
      <c r="C1781" t="s">
        <v>1189</v>
      </c>
      <c r="D1781" s="65">
        <v>160</v>
      </c>
      <c r="E1781" s="33">
        <v>0.8</v>
      </c>
      <c r="F1781" t="s">
        <v>1190</v>
      </c>
      <c r="G1781" t="s">
        <v>150</v>
      </c>
      <c r="H1781" t="s">
        <v>217</v>
      </c>
      <c r="I1781" t="s">
        <v>20</v>
      </c>
      <c r="J1781" t="s">
        <v>195</v>
      </c>
      <c r="K1781" s="17">
        <v>0</v>
      </c>
      <c r="L1781" s="28"/>
    </row>
    <row r="1782" spans="1:12" x14ac:dyDescent="0.2">
      <c r="A1782">
        <v>2015</v>
      </c>
      <c r="B1782" t="s">
        <v>212</v>
      </c>
      <c r="C1782" t="s">
        <v>1149</v>
      </c>
      <c r="D1782" s="65">
        <v>210</v>
      </c>
      <c r="E1782" s="33"/>
      <c r="G1782" t="s">
        <v>151</v>
      </c>
      <c r="H1782" t="s">
        <v>224</v>
      </c>
      <c r="I1782" t="s">
        <v>20</v>
      </c>
      <c r="J1782" t="s">
        <v>195</v>
      </c>
      <c r="K1782" s="17">
        <v>0</v>
      </c>
      <c r="L1782" s="28"/>
    </row>
    <row r="1783" spans="1:12" x14ac:dyDescent="0.2">
      <c r="A1783">
        <v>2015</v>
      </c>
      <c r="B1783" t="s">
        <v>212</v>
      </c>
      <c r="C1783" t="s">
        <v>1191</v>
      </c>
      <c r="D1783" s="65">
        <v>590</v>
      </c>
      <c r="E1783" s="33">
        <v>0.05</v>
      </c>
      <c r="F1783" t="s">
        <v>620</v>
      </c>
      <c r="G1783" t="s">
        <v>144</v>
      </c>
      <c r="I1783" t="s">
        <v>99</v>
      </c>
      <c r="J1783" t="s">
        <v>195</v>
      </c>
      <c r="K1783" s="17">
        <v>1</v>
      </c>
      <c r="L1783" s="28"/>
    </row>
    <row r="1784" spans="1:12" x14ac:dyDescent="0.2">
      <c r="A1784">
        <v>2015</v>
      </c>
      <c r="B1784" t="s">
        <v>212</v>
      </c>
      <c r="C1784" t="s">
        <v>210</v>
      </c>
      <c r="D1784" s="65">
        <v>360</v>
      </c>
      <c r="E1784" s="33">
        <v>0.12</v>
      </c>
      <c r="F1784" t="s">
        <v>709</v>
      </c>
      <c r="G1784" t="s">
        <v>144</v>
      </c>
      <c r="H1784" t="s">
        <v>187</v>
      </c>
      <c r="I1784" t="s">
        <v>119</v>
      </c>
      <c r="J1784" t="s">
        <v>195</v>
      </c>
      <c r="K1784" s="17">
        <v>0</v>
      </c>
      <c r="L1784" s="28"/>
    </row>
    <row r="1785" spans="1:12" x14ac:dyDescent="0.2">
      <c r="A1785">
        <v>2015</v>
      </c>
      <c r="B1785" t="s">
        <v>212</v>
      </c>
      <c r="C1785" t="s">
        <v>418</v>
      </c>
      <c r="D1785" s="65">
        <v>110</v>
      </c>
      <c r="E1785" s="33">
        <v>1.4999999999999999E-2</v>
      </c>
      <c r="F1785" t="s">
        <v>1192</v>
      </c>
      <c r="G1785" t="s">
        <v>153</v>
      </c>
      <c r="I1785" t="s">
        <v>42</v>
      </c>
      <c r="J1785" t="s">
        <v>195</v>
      </c>
      <c r="K1785" s="17">
        <v>0</v>
      </c>
      <c r="L1785" s="28"/>
    </row>
    <row r="1786" spans="1:12" x14ac:dyDescent="0.2">
      <c r="A1786">
        <v>2015</v>
      </c>
      <c r="B1786" t="s">
        <v>212</v>
      </c>
      <c r="C1786" t="s">
        <v>185</v>
      </c>
      <c r="D1786" s="65">
        <v>1350</v>
      </c>
      <c r="E1786" s="33">
        <v>0.25</v>
      </c>
      <c r="G1786" t="s">
        <v>144</v>
      </c>
      <c r="H1786" t="s">
        <v>187</v>
      </c>
      <c r="I1786" t="s">
        <v>131</v>
      </c>
      <c r="J1786" t="s">
        <v>131</v>
      </c>
      <c r="K1786" s="17">
        <v>0</v>
      </c>
      <c r="L1786" s="28"/>
    </row>
    <row r="1787" spans="1:12" x14ac:dyDescent="0.2">
      <c r="A1787">
        <v>2015</v>
      </c>
      <c r="B1787" t="s">
        <v>212</v>
      </c>
      <c r="C1787" t="s">
        <v>1193</v>
      </c>
      <c r="D1787" s="65">
        <v>300</v>
      </c>
      <c r="E1787" s="33"/>
      <c r="G1787" t="s">
        <v>144</v>
      </c>
      <c r="H1787" t="s">
        <v>232</v>
      </c>
      <c r="I1787" t="s">
        <v>124</v>
      </c>
      <c r="J1787" t="s">
        <v>183</v>
      </c>
      <c r="K1787" s="17">
        <v>1</v>
      </c>
      <c r="L1787" s="28" t="s">
        <v>178</v>
      </c>
    </row>
    <row r="1788" spans="1:12" x14ac:dyDescent="0.2">
      <c r="A1788">
        <v>2015</v>
      </c>
      <c r="B1788" t="s">
        <v>212</v>
      </c>
      <c r="C1788" t="s">
        <v>1194</v>
      </c>
      <c r="D1788" s="65">
        <v>300</v>
      </c>
      <c r="E1788" s="33"/>
      <c r="F1788" t="s">
        <v>1195</v>
      </c>
      <c r="G1788" t="s">
        <v>152</v>
      </c>
      <c r="I1788" t="s">
        <v>131</v>
      </c>
      <c r="J1788" t="s">
        <v>131</v>
      </c>
      <c r="K1788" s="17">
        <v>0</v>
      </c>
      <c r="L1788" s="28"/>
    </row>
    <row r="1789" spans="1:12" x14ac:dyDescent="0.2">
      <c r="A1789">
        <v>2015</v>
      </c>
      <c r="B1789" t="s">
        <v>212</v>
      </c>
      <c r="C1789" t="s">
        <v>837</v>
      </c>
      <c r="D1789" s="65">
        <v>200</v>
      </c>
      <c r="E1789" s="33"/>
      <c r="G1789" t="s">
        <v>153</v>
      </c>
      <c r="I1789" t="s">
        <v>131</v>
      </c>
      <c r="J1789" t="s">
        <v>131</v>
      </c>
      <c r="K1789" s="17">
        <v>0</v>
      </c>
      <c r="L1789" s="28" t="s">
        <v>178</v>
      </c>
    </row>
    <row r="1790" spans="1:12" x14ac:dyDescent="0.2">
      <c r="A1790">
        <v>2015</v>
      </c>
      <c r="B1790" t="s">
        <v>212</v>
      </c>
      <c r="C1790" t="s">
        <v>739</v>
      </c>
      <c r="D1790" s="65">
        <v>210</v>
      </c>
      <c r="E1790" s="33">
        <v>1</v>
      </c>
      <c r="G1790" t="s">
        <v>151</v>
      </c>
      <c r="H1790" t="s">
        <v>279</v>
      </c>
      <c r="I1790" t="s">
        <v>101</v>
      </c>
      <c r="J1790" t="s">
        <v>201</v>
      </c>
      <c r="K1790" s="17">
        <v>1</v>
      </c>
      <c r="L1790" s="28" t="s">
        <v>178</v>
      </c>
    </row>
    <row r="1791" spans="1:12" x14ac:dyDescent="0.2">
      <c r="A1791">
        <v>2015</v>
      </c>
      <c r="B1791" t="s">
        <v>212</v>
      </c>
      <c r="C1791" t="s">
        <v>199</v>
      </c>
      <c r="D1791" s="65">
        <v>100</v>
      </c>
      <c r="E1791" s="33"/>
      <c r="G1791" t="s">
        <v>151</v>
      </c>
      <c r="H1791" t="s">
        <v>279</v>
      </c>
      <c r="I1791" t="s">
        <v>101</v>
      </c>
      <c r="J1791" t="s">
        <v>201</v>
      </c>
      <c r="K1791" s="17">
        <v>1</v>
      </c>
      <c r="L1791" s="28" t="s">
        <v>178</v>
      </c>
    </row>
    <row r="1792" spans="1:12" x14ac:dyDescent="0.2">
      <c r="A1792">
        <v>2015</v>
      </c>
      <c r="B1792" t="s">
        <v>172</v>
      </c>
      <c r="C1792" t="s">
        <v>449</v>
      </c>
      <c r="D1792" s="22">
        <v>600</v>
      </c>
      <c r="E1792" s="16"/>
      <c r="G1792" t="s">
        <v>154</v>
      </c>
      <c r="H1792" t="s">
        <v>250</v>
      </c>
      <c r="I1792" t="s">
        <v>36</v>
      </c>
      <c r="J1792" t="s">
        <v>219</v>
      </c>
      <c r="K1792">
        <v>1</v>
      </c>
      <c r="L1792" s="2"/>
    </row>
    <row r="1793" spans="1:12" x14ac:dyDescent="0.2">
      <c r="A1793">
        <v>2015</v>
      </c>
      <c r="B1793" t="s">
        <v>172</v>
      </c>
      <c r="C1793" t="s">
        <v>397</v>
      </c>
      <c r="D1793" s="22">
        <v>430</v>
      </c>
      <c r="E1793" s="16"/>
      <c r="G1793" t="s">
        <v>151</v>
      </c>
      <c r="H1793" t="s">
        <v>279</v>
      </c>
      <c r="I1793" t="s">
        <v>72</v>
      </c>
      <c r="J1793" t="s">
        <v>183</v>
      </c>
      <c r="K1793">
        <v>1</v>
      </c>
      <c r="L1793" s="2"/>
    </row>
    <row r="1794" spans="1:12" x14ac:dyDescent="0.2">
      <c r="A1794">
        <v>2015</v>
      </c>
      <c r="B1794" t="s">
        <v>172</v>
      </c>
      <c r="C1794" t="s">
        <v>397</v>
      </c>
      <c r="D1794" s="22">
        <v>170</v>
      </c>
      <c r="E1794" s="16"/>
      <c r="G1794" t="s">
        <v>154</v>
      </c>
      <c r="H1794" t="s">
        <v>194</v>
      </c>
      <c r="I1794" t="s">
        <v>131</v>
      </c>
      <c r="J1794" t="s">
        <v>131</v>
      </c>
      <c r="K1794">
        <v>0</v>
      </c>
      <c r="L1794" s="2"/>
    </row>
    <row r="1795" spans="1:12" ht="14.25" customHeight="1" x14ac:dyDescent="0.2">
      <c r="A1795">
        <v>2015</v>
      </c>
      <c r="B1795" t="s">
        <v>172</v>
      </c>
      <c r="C1795" t="s">
        <v>444</v>
      </c>
      <c r="D1795" s="22">
        <v>790</v>
      </c>
      <c r="E1795" s="16"/>
      <c r="G1795" t="s">
        <v>155</v>
      </c>
      <c r="I1795" t="s">
        <v>24</v>
      </c>
      <c r="J1795" t="s">
        <v>219</v>
      </c>
      <c r="K1795">
        <v>1</v>
      </c>
      <c r="L1795" s="2"/>
    </row>
    <row r="1796" spans="1:12" x14ac:dyDescent="0.2">
      <c r="A1796">
        <v>2015</v>
      </c>
      <c r="B1796" t="s">
        <v>258</v>
      </c>
      <c r="C1796" t="s">
        <v>1035</v>
      </c>
      <c r="D1796" s="22">
        <v>650</v>
      </c>
      <c r="E1796" s="16"/>
      <c r="G1796" t="s">
        <v>144</v>
      </c>
      <c r="H1796" t="s">
        <v>197</v>
      </c>
      <c r="I1796" t="s">
        <v>24</v>
      </c>
      <c r="J1796" t="s">
        <v>219</v>
      </c>
      <c r="K1796">
        <v>1</v>
      </c>
      <c r="L1796" s="2"/>
    </row>
    <row r="1797" spans="1:12" x14ac:dyDescent="0.2">
      <c r="A1797">
        <v>2015</v>
      </c>
      <c r="B1797" t="s">
        <v>258</v>
      </c>
      <c r="C1797" t="s">
        <v>397</v>
      </c>
      <c r="D1797" s="22">
        <v>170</v>
      </c>
      <c r="E1797" s="16"/>
      <c r="F1797" t="s">
        <v>2683</v>
      </c>
      <c r="G1797" t="s">
        <v>153</v>
      </c>
      <c r="I1797" t="s">
        <v>130</v>
      </c>
      <c r="J1797" t="s">
        <v>214</v>
      </c>
      <c r="K1797">
        <v>1</v>
      </c>
      <c r="L1797" s="2"/>
    </row>
    <row r="1798" spans="1:12" x14ac:dyDescent="0.2">
      <c r="A1798">
        <v>2015</v>
      </c>
      <c r="B1798" t="s">
        <v>258</v>
      </c>
      <c r="C1798" t="s">
        <v>479</v>
      </c>
      <c r="D1798" s="22">
        <v>230</v>
      </c>
      <c r="E1798" s="16"/>
      <c r="G1798" t="s">
        <v>154</v>
      </c>
      <c r="H1798" t="s">
        <v>250</v>
      </c>
      <c r="I1798" t="s">
        <v>40</v>
      </c>
      <c r="J1798" t="s">
        <v>219</v>
      </c>
      <c r="K1798">
        <v>1</v>
      </c>
      <c r="L1798" s="2"/>
    </row>
    <row r="1799" spans="1:12" x14ac:dyDescent="0.2">
      <c r="A1799">
        <v>2015</v>
      </c>
      <c r="B1799" t="s">
        <v>258</v>
      </c>
      <c r="C1799" t="s">
        <v>444</v>
      </c>
      <c r="D1799" s="22">
        <v>110</v>
      </c>
      <c r="E1799" s="16"/>
      <c r="G1799" t="s">
        <v>144</v>
      </c>
      <c r="I1799" t="s">
        <v>74</v>
      </c>
      <c r="J1799" t="s">
        <v>219</v>
      </c>
      <c r="K1799">
        <v>1</v>
      </c>
      <c r="L1799" s="2"/>
    </row>
    <row r="1800" spans="1:12" x14ac:dyDescent="0.2">
      <c r="A1800">
        <v>2015</v>
      </c>
      <c r="B1800" t="s">
        <v>258</v>
      </c>
      <c r="C1800" t="s">
        <v>341</v>
      </c>
      <c r="D1800" s="22">
        <v>290</v>
      </c>
      <c r="E1800" s="16"/>
      <c r="G1800" t="s">
        <v>154</v>
      </c>
      <c r="H1800" t="s">
        <v>194</v>
      </c>
      <c r="I1800" t="s">
        <v>2684</v>
      </c>
      <c r="J1800" t="s">
        <v>183</v>
      </c>
      <c r="K1800">
        <v>1</v>
      </c>
      <c r="L1800" s="2"/>
    </row>
    <row r="1801" spans="1:12" x14ac:dyDescent="0.2">
      <c r="A1801">
        <v>2015</v>
      </c>
      <c r="B1801" t="s">
        <v>258</v>
      </c>
      <c r="C1801" t="s">
        <v>341</v>
      </c>
      <c r="D1801" s="22">
        <v>150</v>
      </c>
      <c r="E1801" s="16"/>
      <c r="G1801" t="s">
        <v>149</v>
      </c>
      <c r="I1801" t="s">
        <v>63</v>
      </c>
      <c r="J1801" t="s">
        <v>201</v>
      </c>
      <c r="K1801">
        <v>1</v>
      </c>
      <c r="L1801" s="2"/>
    </row>
    <row r="1802" spans="1:12" x14ac:dyDescent="0.2">
      <c r="A1802">
        <v>2015</v>
      </c>
      <c r="B1802" t="s">
        <v>258</v>
      </c>
      <c r="C1802" t="s">
        <v>444</v>
      </c>
      <c r="D1802" s="22">
        <v>160</v>
      </c>
      <c r="E1802" s="16"/>
      <c r="G1802" t="s">
        <v>147</v>
      </c>
      <c r="I1802" t="s">
        <v>138</v>
      </c>
      <c r="J1802" t="s">
        <v>219</v>
      </c>
      <c r="K1802">
        <v>1</v>
      </c>
      <c r="L1802" s="2"/>
    </row>
    <row r="1803" spans="1:12" x14ac:dyDescent="0.2">
      <c r="A1803">
        <v>2015</v>
      </c>
      <c r="B1803" t="s">
        <v>179</v>
      </c>
      <c r="C1803" t="s">
        <v>2685</v>
      </c>
      <c r="D1803" s="22">
        <v>160</v>
      </c>
      <c r="E1803" s="16"/>
      <c r="G1803" t="s">
        <v>154</v>
      </c>
      <c r="H1803" t="s">
        <v>194</v>
      </c>
      <c r="I1803" t="s">
        <v>93</v>
      </c>
      <c r="J1803" t="s">
        <v>201</v>
      </c>
      <c r="K1803">
        <v>1</v>
      </c>
      <c r="L1803" s="2"/>
    </row>
    <row r="1804" spans="1:12" x14ac:dyDescent="0.2">
      <c r="A1804">
        <v>2015</v>
      </c>
      <c r="B1804" t="s">
        <v>179</v>
      </c>
      <c r="C1804" t="s">
        <v>1035</v>
      </c>
      <c r="D1804" s="22">
        <v>300</v>
      </c>
      <c r="E1804" s="16"/>
      <c r="G1804" t="s">
        <v>144</v>
      </c>
      <c r="H1804" t="s">
        <v>232</v>
      </c>
      <c r="I1804" t="s">
        <v>8</v>
      </c>
      <c r="J1804" t="s">
        <v>205</v>
      </c>
      <c r="K1804">
        <v>1</v>
      </c>
      <c r="L1804" s="2"/>
    </row>
    <row r="1805" spans="1:12" x14ac:dyDescent="0.2">
      <c r="A1805">
        <v>2015</v>
      </c>
      <c r="B1805" t="s">
        <v>179</v>
      </c>
      <c r="C1805" t="s">
        <v>221</v>
      </c>
      <c r="D1805" s="22">
        <v>300</v>
      </c>
      <c r="E1805" s="16"/>
      <c r="G1805" t="s">
        <v>154</v>
      </c>
      <c r="H1805" t="s">
        <v>194</v>
      </c>
      <c r="I1805" t="s">
        <v>14</v>
      </c>
      <c r="J1805" t="s">
        <v>195</v>
      </c>
      <c r="K1805">
        <v>1</v>
      </c>
      <c r="L1805" s="2"/>
    </row>
    <row r="1806" spans="1:12" x14ac:dyDescent="0.2">
      <c r="A1806">
        <v>2015</v>
      </c>
      <c r="B1806" t="s">
        <v>184</v>
      </c>
      <c r="C1806" t="s">
        <v>449</v>
      </c>
      <c r="D1806" s="22">
        <v>600</v>
      </c>
      <c r="E1806" s="16"/>
      <c r="F1806" t="s">
        <v>2686</v>
      </c>
      <c r="G1806" t="s">
        <v>154</v>
      </c>
      <c r="H1806" t="s">
        <v>529</v>
      </c>
      <c r="I1806" t="s">
        <v>38</v>
      </c>
      <c r="J1806" t="s">
        <v>214</v>
      </c>
      <c r="K1806">
        <v>1</v>
      </c>
      <c r="L1806" s="2"/>
    </row>
    <row r="1807" spans="1:12" x14ac:dyDescent="0.2">
      <c r="A1807">
        <v>2015</v>
      </c>
      <c r="B1807" t="s">
        <v>184</v>
      </c>
      <c r="C1807" t="s">
        <v>479</v>
      </c>
      <c r="D1807" s="22">
        <v>350</v>
      </c>
      <c r="E1807" s="16"/>
      <c r="G1807" t="s">
        <v>154</v>
      </c>
      <c r="H1807" t="s">
        <v>271</v>
      </c>
      <c r="I1807" t="s">
        <v>46</v>
      </c>
      <c r="J1807" t="s">
        <v>219</v>
      </c>
      <c r="K1807">
        <v>1</v>
      </c>
      <c r="L1807" s="2"/>
    </row>
    <row r="1808" spans="1:12" x14ac:dyDescent="0.2">
      <c r="A1808">
        <v>2015</v>
      </c>
      <c r="B1808" t="s">
        <v>184</v>
      </c>
      <c r="C1808" t="s">
        <v>397</v>
      </c>
      <c r="D1808" s="22">
        <v>270</v>
      </c>
      <c r="E1808" s="16"/>
      <c r="G1808" t="s">
        <v>146</v>
      </c>
      <c r="I1808" t="s">
        <v>40</v>
      </c>
      <c r="J1808" t="s">
        <v>219</v>
      </c>
      <c r="K1808">
        <v>1</v>
      </c>
      <c r="L1808" s="2"/>
    </row>
    <row r="1809" spans="1:12" x14ac:dyDescent="0.2">
      <c r="A1809">
        <v>2015</v>
      </c>
      <c r="B1809" t="s">
        <v>184</v>
      </c>
      <c r="C1809" t="s">
        <v>397</v>
      </c>
      <c r="D1809" s="22">
        <v>160</v>
      </c>
      <c r="E1809" s="16"/>
      <c r="G1809" t="s">
        <v>151</v>
      </c>
      <c r="H1809" t="s">
        <v>279</v>
      </c>
      <c r="I1809" t="s">
        <v>115</v>
      </c>
      <c r="J1809" t="s">
        <v>201</v>
      </c>
      <c r="K1809">
        <v>1</v>
      </c>
      <c r="L1809" s="2"/>
    </row>
    <row r="1810" spans="1:12" x14ac:dyDescent="0.2">
      <c r="A1810">
        <v>2015</v>
      </c>
      <c r="B1810" t="s">
        <v>184</v>
      </c>
      <c r="C1810" t="s">
        <v>449</v>
      </c>
      <c r="D1810" s="22">
        <v>1930</v>
      </c>
      <c r="E1810" s="16"/>
      <c r="G1810" t="s">
        <v>151</v>
      </c>
      <c r="H1810" t="s">
        <v>279</v>
      </c>
      <c r="I1810" t="s">
        <v>139</v>
      </c>
      <c r="J1810" t="s">
        <v>219</v>
      </c>
      <c r="K1810">
        <v>1</v>
      </c>
      <c r="L1810" s="2"/>
    </row>
    <row r="1811" spans="1:12" x14ac:dyDescent="0.2">
      <c r="A1811">
        <v>2015</v>
      </c>
      <c r="B1811" t="s">
        <v>184</v>
      </c>
      <c r="C1811" t="s">
        <v>397</v>
      </c>
      <c r="D1811" s="22">
        <v>460</v>
      </c>
      <c r="E1811" s="16"/>
      <c r="G1811" t="s">
        <v>150</v>
      </c>
      <c r="H1811" t="s">
        <v>744</v>
      </c>
      <c r="I1811" t="s">
        <v>65</v>
      </c>
      <c r="J1811" t="s">
        <v>214</v>
      </c>
      <c r="K1811">
        <v>1</v>
      </c>
      <c r="L1811" s="2"/>
    </row>
    <row r="1812" spans="1:12" x14ac:dyDescent="0.2">
      <c r="A1812">
        <v>2015</v>
      </c>
      <c r="B1812" t="s">
        <v>184</v>
      </c>
      <c r="C1812" t="s">
        <v>2687</v>
      </c>
      <c r="D1812" s="22">
        <v>410</v>
      </c>
      <c r="E1812" s="16"/>
      <c r="G1812" t="s">
        <v>154</v>
      </c>
      <c r="H1812" t="s">
        <v>194</v>
      </c>
      <c r="I1812" t="s">
        <v>81</v>
      </c>
      <c r="J1812" t="s">
        <v>219</v>
      </c>
      <c r="K1812">
        <v>1</v>
      </c>
      <c r="L1812" s="2"/>
    </row>
    <row r="1813" spans="1:12" x14ac:dyDescent="0.2">
      <c r="A1813">
        <v>2015</v>
      </c>
      <c r="B1813" t="s">
        <v>184</v>
      </c>
      <c r="C1813" t="s">
        <v>557</v>
      </c>
      <c r="D1813" s="22">
        <v>100</v>
      </c>
      <c r="E1813" s="16"/>
      <c r="F1813" t="s">
        <v>2688</v>
      </c>
      <c r="G1813" t="s">
        <v>151</v>
      </c>
      <c r="H1813" t="s">
        <v>279</v>
      </c>
      <c r="I1813" t="s">
        <v>105</v>
      </c>
      <c r="J1813" t="s">
        <v>214</v>
      </c>
      <c r="K1813">
        <v>1</v>
      </c>
      <c r="L1813" s="2"/>
    </row>
    <row r="1814" spans="1:12" x14ac:dyDescent="0.2">
      <c r="A1814">
        <v>2015</v>
      </c>
      <c r="B1814" t="s">
        <v>184</v>
      </c>
      <c r="C1814" t="s">
        <v>1035</v>
      </c>
      <c r="D1814" s="22">
        <v>1500</v>
      </c>
      <c r="E1814" s="16"/>
      <c r="F1814" t="s">
        <v>453</v>
      </c>
      <c r="G1814" t="s">
        <v>144</v>
      </c>
      <c r="H1814" t="s">
        <v>273</v>
      </c>
      <c r="I1814" t="s">
        <v>135</v>
      </c>
      <c r="J1814" t="s">
        <v>205</v>
      </c>
      <c r="K1814">
        <v>1</v>
      </c>
      <c r="L1814" s="2"/>
    </row>
    <row r="1815" spans="1:12" x14ac:dyDescent="0.2">
      <c r="A1815">
        <v>2015</v>
      </c>
      <c r="B1815" t="s">
        <v>184</v>
      </c>
      <c r="C1815" t="s">
        <v>189</v>
      </c>
      <c r="D1815" s="22">
        <v>450</v>
      </c>
      <c r="E1815" s="16"/>
      <c r="G1815" t="s">
        <v>143</v>
      </c>
      <c r="I1815" t="s">
        <v>105</v>
      </c>
      <c r="J1815" t="s">
        <v>214</v>
      </c>
      <c r="K1815">
        <v>1</v>
      </c>
      <c r="L1815" s="2"/>
    </row>
    <row r="1816" spans="1:12" x14ac:dyDescent="0.2">
      <c r="A1816">
        <v>2015</v>
      </c>
      <c r="B1816" t="s">
        <v>184</v>
      </c>
      <c r="C1816" t="s">
        <v>2538</v>
      </c>
      <c r="D1816" s="22">
        <v>390</v>
      </c>
      <c r="E1816" s="16"/>
      <c r="G1816" t="s">
        <v>154</v>
      </c>
      <c r="H1816" t="s">
        <v>250</v>
      </c>
      <c r="I1816" t="s">
        <v>138</v>
      </c>
      <c r="J1816" t="s">
        <v>219</v>
      </c>
      <c r="K1816">
        <v>1</v>
      </c>
      <c r="L1816" s="2"/>
    </row>
    <row r="1817" spans="1:12" s="41" customFormat="1" x14ac:dyDescent="0.2">
      <c r="A1817">
        <v>2015</v>
      </c>
      <c r="B1817" t="s">
        <v>184</v>
      </c>
      <c r="C1817" t="s">
        <v>668</v>
      </c>
      <c r="D1817" s="22">
        <v>350</v>
      </c>
      <c r="E1817" s="16"/>
      <c r="G1817" t="s">
        <v>144</v>
      </c>
      <c r="H1817" t="s">
        <v>273</v>
      </c>
      <c r="I1817" t="s">
        <v>122</v>
      </c>
      <c r="J1817" t="s">
        <v>201</v>
      </c>
      <c r="K1817">
        <v>1</v>
      </c>
      <c r="L1817" s="2"/>
    </row>
    <row r="1818" spans="1:12" x14ac:dyDescent="0.2">
      <c r="A1818">
        <v>2015</v>
      </c>
      <c r="B1818" t="s">
        <v>225</v>
      </c>
      <c r="C1818" t="s">
        <v>479</v>
      </c>
      <c r="D1818" s="22">
        <v>200</v>
      </c>
      <c r="E1818" s="16"/>
      <c r="G1818" t="s">
        <v>154</v>
      </c>
      <c r="H1818" t="s">
        <v>194</v>
      </c>
      <c r="I1818" t="s">
        <v>21</v>
      </c>
      <c r="J1818" t="s">
        <v>183</v>
      </c>
      <c r="K1818">
        <v>1</v>
      </c>
      <c r="L1818" s="2"/>
    </row>
    <row r="1819" spans="1:12" x14ac:dyDescent="0.2">
      <c r="A1819">
        <v>2015</v>
      </c>
      <c r="B1819" t="s">
        <v>225</v>
      </c>
      <c r="C1819" t="s">
        <v>199</v>
      </c>
      <c r="D1819" s="22">
        <v>330</v>
      </c>
      <c r="E1819" s="16"/>
      <c r="F1819" t="s">
        <v>2689</v>
      </c>
      <c r="G1819" t="s">
        <v>144</v>
      </c>
      <c r="H1819" t="s">
        <v>187</v>
      </c>
      <c r="I1819" t="s">
        <v>130</v>
      </c>
      <c r="J1819" t="s">
        <v>214</v>
      </c>
      <c r="K1819">
        <v>1</v>
      </c>
      <c r="L1819" s="2"/>
    </row>
    <row r="1820" spans="1:12" x14ac:dyDescent="0.2">
      <c r="A1820">
        <v>2015</v>
      </c>
      <c r="B1820" t="s">
        <v>225</v>
      </c>
      <c r="C1820" t="s">
        <v>815</v>
      </c>
      <c r="D1820" s="22">
        <v>160</v>
      </c>
      <c r="E1820" s="16"/>
      <c r="F1820" t="s">
        <v>2690</v>
      </c>
      <c r="G1820" t="s">
        <v>151</v>
      </c>
      <c r="H1820" t="s">
        <v>279</v>
      </c>
      <c r="I1820" t="s">
        <v>128</v>
      </c>
      <c r="J1820" t="s">
        <v>201</v>
      </c>
      <c r="K1820">
        <v>1</v>
      </c>
      <c r="L1820" s="2"/>
    </row>
    <row r="1821" spans="1:12" ht="14.25" customHeight="1" x14ac:dyDescent="0.2">
      <c r="A1821">
        <v>2015</v>
      </c>
      <c r="B1821" t="s">
        <v>225</v>
      </c>
      <c r="C1821" t="s">
        <v>2414</v>
      </c>
      <c r="D1821" s="22">
        <v>100</v>
      </c>
      <c r="E1821" s="16"/>
      <c r="G1821" t="s">
        <v>151</v>
      </c>
      <c r="H1821" t="s">
        <v>279</v>
      </c>
      <c r="I1821" t="s">
        <v>19</v>
      </c>
      <c r="J1821" t="s">
        <v>205</v>
      </c>
      <c r="K1821">
        <v>0</v>
      </c>
      <c r="L1821" s="2"/>
    </row>
    <row r="1822" spans="1:12" x14ac:dyDescent="0.2">
      <c r="A1822">
        <v>2015</v>
      </c>
      <c r="B1822" t="s">
        <v>225</v>
      </c>
      <c r="C1822" t="s">
        <v>208</v>
      </c>
      <c r="D1822" s="22">
        <v>670</v>
      </c>
      <c r="E1822" s="16"/>
      <c r="F1822" t="s">
        <v>2691</v>
      </c>
      <c r="G1822" t="s">
        <v>149</v>
      </c>
      <c r="H1822" t="s">
        <v>182</v>
      </c>
      <c r="I1822" t="s">
        <v>101</v>
      </c>
      <c r="J1822" t="s">
        <v>201</v>
      </c>
      <c r="K1822">
        <v>1</v>
      </c>
      <c r="L1822" s="2"/>
    </row>
    <row r="1823" spans="1:12" x14ac:dyDescent="0.2">
      <c r="A1823">
        <v>2015</v>
      </c>
      <c r="B1823" t="s">
        <v>225</v>
      </c>
      <c r="C1823" t="s">
        <v>208</v>
      </c>
      <c r="D1823" s="22">
        <v>210</v>
      </c>
      <c r="E1823" s="16"/>
      <c r="F1823" t="s">
        <v>2692</v>
      </c>
      <c r="G1823" t="s">
        <v>144</v>
      </c>
      <c r="H1823" t="s">
        <v>197</v>
      </c>
      <c r="I1823" t="s">
        <v>71</v>
      </c>
      <c r="J1823" t="s">
        <v>219</v>
      </c>
      <c r="K1823">
        <v>1</v>
      </c>
      <c r="L1823" s="2"/>
    </row>
    <row r="1824" spans="1:12" x14ac:dyDescent="0.2">
      <c r="A1824">
        <v>2015</v>
      </c>
      <c r="B1824" t="s">
        <v>225</v>
      </c>
      <c r="C1824" t="s">
        <v>208</v>
      </c>
      <c r="D1824" s="22">
        <v>120</v>
      </c>
      <c r="E1824" s="16"/>
      <c r="F1824" t="s">
        <v>2693</v>
      </c>
      <c r="G1824" t="s">
        <v>149</v>
      </c>
      <c r="H1824" t="s">
        <v>182</v>
      </c>
      <c r="I1824" t="s">
        <v>53</v>
      </c>
      <c r="J1824" t="s">
        <v>183</v>
      </c>
      <c r="K1824">
        <v>1</v>
      </c>
      <c r="L1824" s="2"/>
    </row>
    <row r="1825" spans="1:12" x14ac:dyDescent="0.2">
      <c r="A1825">
        <v>2015</v>
      </c>
      <c r="B1825" t="s">
        <v>225</v>
      </c>
      <c r="C1825" t="s">
        <v>189</v>
      </c>
      <c r="D1825" s="22">
        <v>220</v>
      </c>
      <c r="E1825" s="16"/>
      <c r="F1825" t="s">
        <v>2694</v>
      </c>
      <c r="G1825" t="s">
        <v>143</v>
      </c>
      <c r="I1825" t="s">
        <v>124</v>
      </c>
      <c r="J1825" t="s">
        <v>183</v>
      </c>
      <c r="K1825">
        <v>1</v>
      </c>
      <c r="L1825" s="2"/>
    </row>
    <row r="1826" spans="1:12" x14ac:dyDescent="0.2">
      <c r="A1826">
        <v>2015</v>
      </c>
      <c r="B1826" t="s">
        <v>225</v>
      </c>
      <c r="C1826" t="s">
        <v>444</v>
      </c>
      <c r="D1826" s="22">
        <v>480</v>
      </c>
      <c r="E1826" s="16"/>
      <c r="F1826" t="s">
        <v>849</v>
      </c>
      <c r="G1826" t="s">
        <v>144</v>
      </c>
      <c r="I1826" t="s">
        <v>67</v>
      </c>
      <c r="J1826" t="s">
        <v>183</v>
      </c>
      <c r="K1826">
        <v>1</v>
      </c>
      <c r="L1826" s="2"/>
    </row>
    <row r="1827" spans="1:12" x14ac:dyDescent="0.2">
      <c r="A1827">
        <v>2015</v>
      </c>
      <c r="B1827" t="s">
        <v>225</v>
      </c>
      <c r="C1827" t="s">
        <v>479</v>
      </c>
      <c r="D1827" s="22">
        <v>130</v>
      </c>
      <c r="E1827" s="16"/>
      <c r="G1827" t="s">
        <v>154</v>
      </c>
      <c r="H1827" t="s">
        <v>194</v>
      </c>
      <c r="I1827" t="s">
        <v>23</v>
      </c>
      <c r="J1827" t="s">
        <v>183</v>
      </c>
      <c r="K1827">
        <v>1</v>
      </c>
      <c r="L1827" s="2"/>
    </row>
    <row r="1828" spans="1:12" x14ac:dyDescent="0.2">
      <c r="A1828">
        <v>2015</v>
      </c>
      <c r="B1828" t="s">
        <v>225</v>
      </c>
      <c r="C1828" t="s">
        <v>1035</v>
      </c>
      <c r="D1828" s="22">
        <v>130</v>
      </c>
      <c r="E1828" s="16"/>
      <c r="F1828" t="s">
        <v>2695</v>
      </c>
      <c r="G1828" t="s">
        <v>144</v>
      </c>
      <c r="H1828" t="s">
        <v>232</v>
      </c>
      <c r="I1828" t="s">
        <v>64</v>
      </c>
      <c r="J1828" t="s">
        <v>219</v>
      </c>
      <c r="K1828">
        <v>1</v>
      </c>
      <c r="L1828" s="2"/>
    </row>
    <row r="1829" spans="1:12" x14ac:dyDescent="0.2">
      <c r="A1829">
        <v>2015</v>
      </c>
      <c r="B1829" t="s">
        <v>225</v>
      </c>
      <c r="C1829" t="s">
        <v>2329</v>
      </c>
      <c r="D1829" s="22">
        <v>530</v>
      </c>
      <c r="E1829" s="16"/>
      <c r="G1829" t="s">
        <v>144</v>
      </c>
      <c r="H1829" t="s">
        <v>187</v>
      </c>
      <c r="I1829" t="s">
        <v>55</v>
      </c>
      <c r="J1829" t="s">
        <v>214</v>
      </c>
      <c r="K1829">
        <v>1</v>
      </c>
      <c r="L1829" s="2"/>
    </row>
    <row r="1830" spans="1:12" x14ac:dyDescent="0.2">
      <c r="A1830">
        <v>2015</v>
      </c>
      <c r="B1830" t="s">
        <v>225</v>
      </c>
      <c r="C1830" t="s">
        <v>815</v>
      </c>
      <c r="D1830" s="22">
        <v>100</v>
      </c>
      <c r="E1830" s="16"/>
      <c r="F1830" t="s">
        <v>2696</v>
      </c>
      <c r="G1830" t="s">
        <v>151</v>
      </c>
      <c r="H1830" t="s">
        <v>279</v>
      </c>
      <c r="I1830" t="s">
        <v>128</v>
      </c>
      <c r="J1830" t="s">
        <v>201</v>
      </c>
      <c r="K1830">
        <v>1</v>
      </c>
      <c r="L1830" s="2"/>
    </row>
    <row r="1831" spans="1:12" x14ac:dyDescent="0.2">
      <c r="A1831">
        <v>2015</v>
      </c>
      <c r="B1831" t="s">
        <v>225</v>
      </c>
      <c r="C1831" t="s">
        <v>875</v>
      </c>
      <c r="D1831" s="22">
        <v>240</v>
      </c>
      <c r="E1831" s="16"/>
      <c r="G1831" t="s">
        <v>144</v>
      </c>
      <c r="H1831" t="s">
        <v>273</v>
      </c>
      <c r="I1831" t="s">
        <v>53</v>
      </c>
      <c r="J1831" t="s">
        <v>183</v>
      </c>
      <c r="K1831">
        <v>1</v>
      </c>
      <c r="L1831" s="2"/>
    </row>
    <row r="1832" spans="1:12" ht="15" customHeight="1" x14ac:dyDescent="0.2">
      <c r="A1832">
        <v>2015</v>
      </c>
      <c r="B1832" t="s">
        <v>225</v>
      </c>
      <c r="C1832" t="s">
        <v>449</v>
      </c>
      <c r="D1832" s="22">
        <v>230</v>
      </c>
      <c r="E1832" s="16"/>
      <c r="G1832" t="s">
        <v>147</v>
      </c>
      <c r="I1832" t="s">
        <v>126</v>
      </c>
      <c r="J1832" t="s">
        <v>177</v>
      </c>
      <c r="K1832">
        <v>1</v>
      </c>
      <c r="L1832" s="2"/>
    </row>
    <row r="1833" spans="1:12" x14ac:dyDescent="0.2">
      <c r="A1833">
        <v>2015</v>
      </c>
      <c r="B1833" t="s">
        <v>188</v>
      </c>
      <c r="C1833" t="s">
        <v>1149</v>
      </c>
      <c r="D1833" s="22">
        <v>300</v>
      </c>
      <c r="E1833" s="16"/>
      <c r="F1833" t="s">
        <v>2697</v>
      </c>
      <c r="G1833" t="s">
        <v>142</v>
      </c>
      <c r="I1833" t="s">
        <v>92</v>
      </c>
      <c r="J1833" t="s">
        <v>214</v>
      </c>
      <c r="K1833">
        <v>1</v>
      </c>
      <c r="L1833" s="2"/>
    </row>
    <row r="1834" spans="1:12" x14ac:dyDescent="0.2">
      <c r="A1834">
        <v>2015</v>
      </c>
      <c r="B1834" t="s">
        <v>188</v>
      </c>
      <c r="C1834" t="s">
        <v>341</v>
      </c>
      <c r="D1834" s="22">
        <v>380</v>
      </c>
      <c r="E1834" s="16"/>
      <c r="F1834" t="s">
        <v>2698</v>
      </c>
      <c r="G1834" t="s">
        <v>154</v>
      </c>
      <c r="H1834" t="s">
        <v>529</v>
      </c>
      <c r="I1834" t="s">
        <v>101</v>
      </c>
      <c r="J1834" t="s">
        <v>201</v>
      </c>
      <c r="K1834">
        <v>1</v>
      </c>
      <c r="L1834" s="2"/>
    </row>
    <row r="1835" spans="1:12" x14ac:dyDescent="0.2">
      <c r="A1835">
        <v>2015</v>
      </c>
      <c r="B1835" t="s">
        <v>188</v>
      </c>
      <c r="C1835" t="s">
        <v>341</v>
      </c>
      <c r="D1835" s="22">
        <v>1400</v>
      </c>
      <c r="E1835" s="16"/>
      <c r="G1835" t="s">
        <v>154</v>
      </c>
      <c r="H1835" t="s">
        <v>529</v>
      </c>
      <c r="I1835" t="s">
        <v>123</v>
      </c>
      <c r="J1835" t="s">
        <v>219</v>
      </c>
      <c r="K1835">
        <v>1</v>
      </c>
      <c r="L1835" s="2"/>
    </row>
    <row r="1836" spans="1:12" x14ac:dyDescent="0.2">
      <c r="A1836">
        <v>2015</v>
      </c>
      <c r="B1836" t="s">
        <v>188</v>
      </c>
      <c r="C1836" t="s">
        <v>479</v>
      </c>
      <c r="D1836" s="22">
        <v>670</v>
      </c>
      <c r="E1836" s="16">
        <v>0.33</v>
      </c>
      <c r="F1836" t="s">
        <v>2699</v>
      </c>
      <c r="G1836" t="s">
        <v>154</v>
      </c>
      <c r="H1836" t="s">
        <v>194</v>
      </c>
      <c r="I1836" t="s">
        <v>9</v>
      </c>
      <c r="J1836" t="s">
        <v>9</v>
      </c>
      <c r="K1836">
        <v>0</v>
      </c>
      <c r="L1836" s="2"/>
    </row>
    <row r="1837" spans="1:12" x14ac:dyDescent="0.2">
      <c r="A1837">
        <v>2015</v>
      </c>
      <c r="B1837" t="s">
        <v>188</v>
      </c>
      <c r="C1837" t="s">
        <v>815</v>
      </c>
      <c r="D1837" s="22">
        <v>270</v>
      </c>
      <c r="E1837" s="16"/>
      <c r="F1837" t="s">
        <v>2700</v>
      </c>
      <c r="G1837" t="s">
        <v>151</v>
      </c>
      <c r="H1837" t="s">
        <v>279</v>
      </c>
      <c r="I1837" t="s">
        <v>5</v>
      </c>
      <c r="J1837" t="s">
        <v>214</v>
      </c>
      <c r="K1837">
        <v>1</v>
      </c>
      <c r="L1837" s="2"/>
    </row>
    <row r="1838" spans="1:12" x14ac:dyDescent="0.2">
      <c r="A1838">
        <v>2015</v>
      </c>
      <c r="B1838" t="s">
        <v>188</v>
      </c>
      <c r="C1838" t="s">
        <v>2701</v>
      </c>
      <c r="D1838" s="22">
        <v>1620</v>
      </c>
      <c r="E1838" s="16"/>
      <c r="G1838" t="s">
        <v>154</v>
      </c>
      <c r="H1838" t="s">
        <v>529</v>
      </c>
      <c r="I1838" t="s">
        <v>93</v>
      </c>
      <c r="J1838" t="s">
        <v>201</v>
      </c>
      <c r="K1838">
        <v>1</v>
      </c>
      <c r="L1838" s="2"/>
    </row>
    <row r="1839" spans="1:12" x14ac:dyDescent="0.2">
      <c r="A1839">
        <v>2015</v>
      </c>
      <c r="B1839" t="s">
        <v>188</v>
      </c>
      <c r="C1839" t="s">
        <v>1234</v>
      </c>
      <c r="D1839" s="22">
        <v>100</v>
      </c>
      <c r="E1839" s="16"/>
      <c r="G1839" t="s">
        <v>155</v>
      </c>
      <c r="I1839" t="s">
        <v>115</v>
      </c>
      <c r="J1839" t="s">
        <v>201</v>
      </c>
      <c r="K1839">
        <v>1</v>
      </c>
      <c r="L1839" s="2"/>
    </row>
    <row r="1840" spans="1:12" x14ac:dyDescent="0.2">
      <c r="A1840">
        <v>2015</v>
      </c>
      <c r="B1840" t="s">
        <v>188</v>
      </c>
      <c r="C1840" t="s">
        <v>189</v>
      </c>
      <c r="D1840" s="22">
        <v>140</v>
      </c>
      <c r="E1840" s="16"/>
      <c r="G1840" t="s">
        <v>144</v>
      </c>
      <c r="H1840" t="s">
        <v>187</v>
      </c>
      <c r="I1840" t="s">
        <v>105</v>
      </c>
      <c r="J1840" t="s">
        <v>214</v>
      </c>
      <c r="K1840">
        <v>1</v>
      </c>
      <c r="L1840" s="2"/>
    </row>
    <row r="1841" spans="1:12" x14ac:dyDescent="0.2">
      <c r="A1841">
        <v>2015</v>
      </c>
      <c r="B1841" t="s">
        <v>188</v>
      </c>
      <c r="C1841" t="s">
        <v>1093</v>
      </c>
      <c r="D1841" s="22">
        <v>120</v>
      </c>
      <c r="E1841" s="16"/>
      <c r="G1841" t="s">
        <v>154</v>
      </c>
      <c r="H1841" t="s">
        <v>194</v>
      </c>
      <c r="I1841" t="s">
        <v>23</v>
      </c>
      <c r="J1841" t="s">
        <v>183</v>
      </c>
      <c r="K1841">
        <v>1</v>
      </c>
      <c r="L1841" s="2"/>
    </row>
    <row r="1842" spans="1:12" x14ac:dyDescent="0.2">
      <c r="A1842">
        <v>2015</v>
      </c>
      <c r="B1842" t="s">
        <v>188</v>
      </c>
      <c r="C1842" t="s">
        <v>208</v>
      </c>
      <c r="D1842" s="22">
        <v>510</v>
      </c>
      <c r="E1842" s="16"/>
      <c r="F1842" t="s">
        <v>2702</v>
      </c>
      <c r="G1842" t="s">
        <v>149</v>
      </c>
      <c r="H1842" t="s">
        <v>182</v>
      </c>
      <c r="I1842" t="s">
        <v>5</v>
      </c>
      <c r="J1842" t="s">
        <v>214</v>
      </c>
      <c r="K1842">
        <v>1</v>
      </c>
      <c r="L1842" s="2"/>
    </row>
    <row r="1843" spans="1:12" x14ac:dyDescent="0.2">
      <c r="A1843">
        <v>2015</v>
      </c>
      <c r="B1843" t="s">
        <v>188</v>
      </c>
      <c r="C1843" t="s">
        <v>2547</v>
      </c>
      <c r="D1843" s="22">
        <v>180</v>
      </c>
      <c r="E1843" s="16"/>
      <c r="G1843" t="s">
        <v>151</v>
      </c>
      <c r="H1843" t="s">
        <v>279</v>
      </c>
      <c r="I1843" t="s">
        <v>72</v>
      </c>
      <c r="J1843" t="s">
        <v>183</v>
      </c>
      <c r="K1843">
        <v>1</v>
      </c>
      <c r="L1843" s="2"/>
    </row>
    <row r="1844" spans="1:12" x14ac:dyDescent="0.2">
      <c r="A1844">
        <v>2015</v>
      </c>
      <c r="B1844" t="s">
        <v>191</v>
      </c>
      <c r="C1844" t="s">
        <v>397</v>
      </c>
      <c r="D1844" s="22">
        <v>1100</v>
      </c>
      <c r="E1844" s="16"/>
      <c r="G1844" t="s">
        <v>144</v>
      </c>
      <c r="H1844" t="s">
        <v>273</v>
      </c>
      <c r="I1844" t="s">
        <v>139</v>
      </c>
      <c r="J1844" t="s">
        <v>219</v>
      </c>
      <c r="K1844">
        <v>1</v>
      </c>
      <c r="L1844" s="2"/>
    </row>
    <row r="1845" spans="1:12" ht="14.25" customHeight="1" x14ac:dyDescent="0.2">
      <c r="A1845">
        <v>2015</v>
      </c>
      <c r="B1845" t="s">
        <v>191</v>
      </c>
      <c r="C1845" t="s">
        <v>397</v>
      </c>
      <c r="D1845" s="22">
        <v>130</v>
      </c>
      <c r="E1845" s="16"/>
      <c r="F1845" t="s">
        <v>2703</v>
      </c>
      <c r="G1845" t="s">
        <v>153</v>
      </c>
      <c r="I1845" t="s">
        <v>130</v>
      </c>
      <c r="J1845" t="s">
        <v>214</v>
      </c>
      <c r="K1845">
        <v>1</v>
      </c>
      <c r="L1845" s="2"/>
    </row>
    <row r="1846" spans="1:12" x14ac:dyDescent="0.2">
      <c r="A1846">
        <v>2015</v>
      </c>
      <c r="B1846" t="s">
        <v>191</v>
      </c>
      <c r="C1846" t="s">
        <v>397</v>
      </c>
      <c r="D1846" s="22">
        <v>100</v>
      </c>
      <c r="E1846" s="16"/>
      <c r="G1846" t="s">
        <v>151</v>
      </c>
      <c r="H1846" t="s">
        <v>279</v>
      </c>
      <c r="I1846" t="s">
        <v>72</v>
      </c>
      <c r="J1846" t="s">
        <v>183</v>
      </c>
      <c r="K1846">
        <v>1</v>
      </c>
      <c r="L1846" s="2"/>
    </row>
    <row r="1847" spans="1:12" x14ac:dyDescent="0.2">
      <c r="A1847">
        <v>2015</v>
      </c>
      <c r="B1847" t="s">
        <v>191</v>
      </c>
      <c r="C1847" t="s">
        <v>2704</v>
      </c>
      <c r="D1847" s="22">
        <v>180</v>
      </c>
      <c r="E1847" s="16"/>
      <c r="F1847" t="s">
        <v>2705</v>
      </c>
      <c r="G1847" t="s">
        <v>144</v>
      </c>
      <c r="H1847" t="s">
        <v>232</v>
      </c>
      <c r="I1847" t="s">
        <v>124</v>
      </c>
      <c r="J1847" t="s">
        <v>183</v>
      </c>
      <c r="K1847">
        <v>1</v>
      </c>
      <c r="L1847" s="2"/>
    </row>
    <row r="1848" spans="1:12" x14ac:dyDescent="0.2">
      <c r="A1848">
        <v>2015</v>
      </c>
      <c r="B1848" t="s">
        <v>191</v>
      </c>
      <c r="C1848" t="s">
        <v>530</v>
      </c>
      <c r="D1848" s="22">
        <v>240</v>
      </c>
      <c r="E1848" s="16"/>
      <c r="G1848" t="s">
        <v>152</v>
      </c>
      <c r="H1848" t="s">
        <v>257</v>
      </c>
      <c r="I1848" t="s">
        <v>48</v>
      </c>
      <c r="J1848" t="s">
        <v>219</v>
      </c>
      <c r="K1848">
        <v>1</v>
      </c>
      <c r="L1848" s="78"/>
    </row>
    <row r="1849" spans="1:12" x14ac:dyDescent="0.2">
      <c r="A1849">
        <v>2015</v>
      </c>
      <c r="B1849" t="s">
        <v>191</v>
      </c>
      <c r="C1849" t="s">
        <v>1035</v>
      </c>
      <c r="D1849" s="22">
        <v>1360</v>
      </c>
      <c r="E1849" s="16"/>
      <c r="F1849" t="s">
        <v>1096</v>
      </c>
      <c r="G1849" t="s">
        <v>144</v>
      </c>
      <c r="H1849" t="s">
        <v>273</v>
      </c>
      <c r="I1849" t="s">
        <v>13</v>
      </c>
      <c r="J1849" t="s">
        <v>201</v>
      </c>
      <c r="K1849">
        <v>1</v>
      </c>
      <c r="L1849" s="2"/>
    </row>
    <row r="1850" spans="1:12" x14ac:dyDescent="0.2">
      <c r="A1850">
        <v>2015</v>
      </c>
      <c r="B1850" t="s">
        <v>191</v>
      </c>
      <c r="C1850" t="s">
        <v>479</v>
      </c>
      <c r="D1850" s="22">
        <v>190</v>
      </c>
      <c r="E1850" s="16"/>
      <c r="G1850" t="s">
        <v>144</v>
      </c>
      <c r="I1850" t="s">
        <v>81</v>
      </c>
      <c r="J1850" t="s">
        <v>219</v>
      </c>
      <c r="K1850">
        <v>1</v>
      </c>
      <c r="L1850" s="2"/>
    </row>
    <row r="1851" spans="1:12" x14ac:dyDescent="0.2">
      <c r="A1851">
        <v>2015</v>
      </c>
      <c r="B1851" t="s">
        <v>191</v>
      </c>
      <c r="C1851" t="s">
        <v>397</v>
      </c>
      <c r="D1851" s="22">
        <v>100</v>
      </c>
      <c r="E1851" s="16"/>
      <c r="G1851" t="s">
        <v>145</v>
      </c>
      <c r="I1851" t="s">
        <v>43</v>
      </c>
      <c r="J1851" t="s">
        <v>219</v>
      </c>
      <c r="K1851">
        <v>1</v>
      </c>
      <c r="L1851" s="2"/>
    </row>
    <row r="1852" spans="1:12" x14ac:dyDescent="0.2">
      <c r="A1852">
        <v>2015</v>
      </c>
      <c r="B1852" t="s">
        <v>191</v>
      </c>
      <c r="C1852" t="s">
        <v>444</v>
      </c>
      <c r="D1852" s="22">
        <v>180</v>
      </c>
      <c r="E1852" s="16"/>
      <c r="G1852" t="s">
        <v>142</v>
      </c>
      <c r="I1852" t="s">
        <v>16</v>
      </c>
      <c r="J1852" t="s">
        <v>205</v>
      </c>
      <c r="K1852">
        <v>1</v>
      </c>
      <c r="L1852" s="2"/>
    </row>
    <row r="1853" spans="1:12" x14ac:dyDescent="0.2">
      <c r="A1853">
        <v>2015</v>
      </c>
      <c r="B1853" t="s">
        <v>191</v>
      </c>
      <c r="C1853" t="s">
        <v>2706</v>
      </c>
      <c r="D1853" s="22">
        <v>140</v>
      </c>
      <c r="E1853" s="16"/>
      <c r="G1853" t="s">
        <v>144</v>
      </c>
      <c r="H1853" t="s">
        <v>187</v>
      </c>
      <c r="I1853" t="s">
        <v>55</v>
      </c>
      <c r="J1853" t="s">
        <v>214</v>
      </c>
      <c r="K1853">
        <v>1</v>
      </c>
      <c r="L1853" s="2"/>
    </row>
    <row r="1854" spans="1:12" x14ac:dyDescent="0.2">
      <c r="A1854">
        <v>2015</v>
      </c>
      <c r="B1854" t="s">
        <v>198</v>
      </c>
      <c r="C1854" t="s">
        <v>479</v>
      </c>
      <c r="D1854" s="22">
        <v>230</v>
      </c>
      <c r="E1854" s="16"/>
      <c r="F1854" t="s">
        <v>2707</v>
      </c>
      <c r="G1854" t="s">
        <v>154</v>
      </c>
      <c r="H1854" t="s">
        <v>271</v>
      </c>
      <c r="I1854" t="s">
        <v>24</v>
      </c>
      <c r="J1854" t="s">
        <v>219</v>
      </c>
      <c r="K1854">
        <v>1</v>
      </c>
      <c r="L1854" s="2"/>
    </row>
    <row r="1855" spans="1:12" x14ac:dyDescent="0.2">
      <c r="A1855">
        <v>2015</v>
      </c>
      <c r="B1855" t="s">
        <v>198</v>
      </c>
      <c r="C1855" t="s">
        <v>397</v>
      </c>
      <c r="D1855" s="22">
        <v>140</v>
      </c>
      <c r="E1855" s="16"/>
      <c r="G1855" t="s">
        <v>151</v>
      </c>
      <c r="H1855" t="s">
        <v>279</v>
      </c>
      <c r="I1855" t="s">
        <v>94</v>
      </c>
      <c r="J1855" t="s">
        <v>177</v>
      </c>
      <c r="K1855">
        <v>0</v>
      </c>
      <c r="L1855" s="2"/>
    </row>
    <row r="1856" spans="1:12" x14ac:dyDescent="0.2">
      <c r="A1856">
        <v>2015</v>
      </c>
      <c r="B1856" t="s">
        <v>198</v>
      </c>
      <c r="C1856" t="s">
        <v>815</v>
      </c>
      <c r="D1856" s="22">
        <v>290</v>
      </c>
      <c r="E1856" s="16"/>
      <c r="F1856" t="s">
        <v>2405</v>
      </c>
      <c r="G1856" t="s">
        <v>151</v>
      </c>
      <c r="H1856" t="s">
        <v>279</v>
      </c>
      <c r="I1856" t="s">
        <v>64</v>
      </c>
      <c r="J1856" t="s">
        <v>219</v>
      </c>
      <c r="K1856">
        <v>1</v>
      </c>
      <c r="L1856" s="2"/>
    </row>
    <row r="1857" spans="1:12" x14ac:dyDescent="0.2">
      <c r="A1857">
        <v>2015</v>
      </c>
      <c r="B1857" t="s">
        <v>198</v>
      </c>
      <c r="C1857" t="s">
        <v>815</v>
      </c>
      <c r="D1857" s="22">
        <v>290</v>
      </c>
      <c r="E1857" s="16"/>
      <c r="F1857" t="s">
        <v>2405</v>
      </c>
      <c r="G1857" t="s">
        <v>151</v>
      </c>
      <c r="H1857" t="s">
        <v>279</v>
      </c>
      <c r="I1857" t="s">
        <v>84</v>
      </c>
      <c r="J1857" t="s">
        <v>201</v>
      </c>
      <c r="K1857">
        <v>1</v>
      </c>
      <c r="L1857" s="2"/>
    </row>
    <row r="1858" spans="1:12" x14ac:dyDescent="0.2">
      <c r="A1858">
        <v>2015</v>
      </c>
      <c r="B1858" t="s">
        <v>198</v>
      </c>
      <c r="C1858" t="s">
        <v>815</v>
      </c>
      <c r="D1858" s="22">
        <v>240</v>
      </c>
      <c r="E1858" s="16"/>
      <c r="F1858" t="s">
        <v>2405</v>
      </c>
      <c r="G1858" t="s">
        <v>151</v>
      </c>
      <c r="H1858" t="s">
        <v>279</v>
      </c>
      <c r="I1858" t="s">
        <v>40</v>
      </c>
      <c r="J1858" t="s">
        <v>219</v>
      </c>
      <c r="K1858">
        <v>1</v>
      </c>
      <c r="L1858" s="2"/>
    </row>
    <row r="1859" spans="1:12" x14ac:dyDescent="0.2">
      <c r="A1859">
        <v>2015</v>
      </c>
      <c r="B1859" t="s">
        <v>198</v>
      </c>
      <c r="C1859" t="s">
        <v>815</v>
      </c>
      <c r="D1859" s="22">
        <v>140</v>
      </c>
      <c r="E1859" s="16"/>
      <c r="F1859" t="s">
        <v>2405</v>
      </c>
      <c r="G1859" t="s">
        <v>151</v>
      </c>
      <c r="H1859" t="s">
        <v>279</v>
      </c>
      <c r="I1859" t="s">
        <v>88</v>
      </c>
      <c r="J1859" t="s">
        <v>219</v>
      </c>
      <c r="K1859">
        <v>1</v>
      </c>
      <c r="L1859" s="2"/>
    </row>
    <row r="1860" spans="1:12" x14ac:dyDescent="0.2">
      <c r="A1860">
        <v>2015</v>
      </c>
      <c r="B1860" t="s">
        <v>198</v>
      </c>
      <c r="C1860" t="s">
        <v>815</v>
      </c>
      <c r="D1860" s="22">
        <v>140</v>
      </c>
      <c r="E1860" s="16"/>
      <c r="F1860" t="s">
        <v>2405</v>
      </c>
      <c r="G1860" t="s">
        <v>151</v>
      </c>
      <c r="H1860" t="s">
        <v>279</v>
      </c>
      <c r="I1860" t="s">
        <v>138</v>
      </c>
      <c r="J1860" t="s">
        <v>219</v>
      </c>
      <c r="K1860">
        <v>1</v>
      </c>
      <c r="L1860" s="2"/>
    </row>
    <row r="1861" spans="1:12" x14ac:dyDescent="0.2">
      <c r="A1861">
        <v>2015</v>
      </c>
      <c r="B1861" t="s">
        <v>198</v>
      </c>
      <c r="C1861" t="s">
        <v>815</v>
      </c>
      <c r="D1861" s="22">
        <v>120</v>
      </c>
      <c r="E1861" s="16"/>
      <c r="F1861" t="s">
        <v>2405</v>
      </c>
      <c r="G1861" t="s">
        <v>151</v>
      </c>
      <c r="H1861" t="s">
        <v>279</v>
      </c>
      <c r="I1861" t="s">
        <v>24</v>
      </c>
      <c r="J1861" t="s">
        <v>219</v>
      </c>
      <c r="K1861">
        <v>1</v>
      </c>
      <c r="L1861" s="2"/>
    </row>
    <row r="1862" spans="1:12" x14ac:dyDescent="0.2">
      <c r="A1862">
        <v>2015</v>
      </c>
      <c r="B1862" t="s">
        <v>198</v>
      </c>
      <c r="C1862" t="s">
        <v>815</v>
      </c>
      <c r="D1862" s="22">
        <v>120</v>
      </c>
      <c r="E1862" s="16"/>
      <c r="F1862" t="s">
        <v>2405</v>
      </c>
      <c r="G1862" t="s">
        <v>151</v>
      </c>
      <c r="H1862" t="s">
        <v>279</v>
      </c>
      <c r="I1862" t="s">
        <v>74</v>
      </c>
      <c r="J1862" t="s">
        <v>219</v>
      </c>
      <c r="K1862">
        <v>1</v>
      </c>
      <c r="L1862" s="2"/>
    </row>
    <row r="1863" spans="1:12" x14ac:dyDescent="0.2">
      <c r="A1863">
        <v>2015</v>
      </c>
      <c r="B1863" t="s">
        <v>198</v>
      </c>
      <c r="C1863" t="s">
        <v>479</v>
      </c>
      <c r="D1863" s="22">
        <v>120</v>
      </c>
      <c r="E1863" s="16"/>
      <c r="F1863" t="s">
        <v>2708</v>
      </c>
      <c r="G1863" t="s">
        <v>154</v>
      </c>
      <c r="H1863" t="s">
        <v>194</v>
      </c>
      <c r="I1863" t="s">
        <v>53</v>
      </c>
      <c r="J1863" t="s">
        <v>183</v>
      </c>
      <c r="K1863">
        <v>1</v>
      </c>
      <c r="L1863" s="2"/>
    </row>
    <row r="1864" spans="1:12" x14ac:dyDescent="0.2">
      <c r="A1864">
        <v>2015</v>
      </c>
      <c r="B1864" t="s">
        <v>198</v>
      </c>
      <c r="C1864" t="s">
        <v>483</v>
      </c>
      <c r="D1864" s="22">
        <v>230</v>
      </c>
      <c r="E1864" s="16"/>
      <c r="F1864" t="s">
        <v>2609</v>
      </c>
      <c r="G1864" t="s">
        <v>144</v>
      </c>
      <c r="I1864" t="s">
        <v>40</v>
      </c>
      <c r="J1864" t="s">
        <v>219</v>
      </c>
      <c r="K1864">
        <v>1</v>
      </c>
      <c r="L1864" s="2"/>
    </row>
    <row r="1865" spans="1:12" x14ac:dyDescent="0.2">
      <c r="A1865">
        <v>2015</v>
      </c>
      <c r="B1865" t="s">
        <v>198</v>
      </c>
      <c r="C1865" t="s">
        <v>479</v>
      </c>
      <c r="D1865" s="22">
        <v>100</v>
      </c>
      <c r="E1865" s="16"/>
      <c r="G1865" t="s">
        <v>154</v>
      </c>
      <c r="H1865" t="s">
        <v>194</v>
      </c>
      <c r="I1865" t="s">
        <v>95</v>
      </c>
      <c r="J1865" t="s">
        <v>183</v>
      </c>
      <c r="K1865">
        <v>1</v>
      </c>
      <c r="L1865" s="2"/>
    </row>
    <row r="1866" spans="1:12" s="17" customFormat="1" x14ac:dyDescent="0.2">
      <c r="A1866">
        <v>2015</v>
      </c>
      <c r="B1866" t="s">
        <v>198</v>
      </c>
      <c r="C1866" t="s">
        <v>2704</v>
      </c>
      <c r="D1866" s="22">
        <v>570</v>
      </c>
      <c r="E1866" s="16"/>
      <c r="F1866" t="s">
        <v>2709</v>
      </c>
      <c r="G1866" t="s">
        <v>144</v>
      </c>
      <c r="I1866" t="s">
        <v>2462</v>
      </c>
      <c r="J1866" t="s">
        <v>219</v>
      </c>
      <c r="K1866">
        <v>1</v>
      </c>
      <c r="L1866" s="2"/>
    </row>
    <row r="1867" spans="1:12" x14ac:dyDescent="0.2">
      <c r="A1867">
        <v>2015</v>
      </c>
      <c r="B1867" t="s">
        <v>198</v>
      </c>
      <c r="C1867" t="s">
        <v>1035</v>
      </c>
      <c r="D1867" s="22">
        <v>110</v>
      </c>
      <c r="E1867" s="16"/>
      <c r="G1867" t="s">
        <v>144</v>
      </c>
      <c r="H1867" t="s">
        <v>197</v>
      </c>
      <c r="I1867" t="s">
        <v>53</v>
      </c>
      <c r="J1867" t="s">
        <v>183</v>
      </c>
      <c r="K1867">
        <v>1</v>
      </c>
      <c r="L1867" s="2"/>
    </row>
    <row r="1868" spans="1:12" x14ac:dyDescent="0.2">
      <c r="A1868">
        <v>2015</v>
      </c>
      <c r="B1868" t="s">
        <v>198</v>
      </c>
      <c r="C1868" t="s">
        <v>530</v>
      </c>
      <c r="D1868" s="22">
        <v>190</v>
      </c>
      <c r="E1868" s="16"/>
      <c r="F1868" t="s">
        <v>2463</v>
      </c>
      <c r="G1868" t="s">
        <v>152</v>
      </c>
      <c r="H1868" t="s">
        <v>257</v>
      </c>
      <c r="I1868" t="s">
        <v>52</v>
      </c>
      <c r="J1868" t="s">
        <v>201</v>
      </c>
      <c r="K1868">
        <v>0</v>
      </c>
      <c r="L1868" s="2"/>
    </row>
    <row r="1869" spans="1:12" s="17" customFormat="1" x14ac:dyDescent="0.2">
      <c r="A1869">
        <v>2015</v>
      </c>
      <c r="B1869" t="s">
        <v>202</v>
      </c>
      <c r="C1869" t="s">
        <v>2596</v>
      </c>
      <c r="D1869" s="22">
        <v>280</v>
      </c>
      <c r="E1869" s="16"/>
      <c r="G1869" t="s">
        <v>154</v>
      </c>
      <c r="H1869" t="s">
        <v>194</v>
      </c>
      <c r="I1869" t="s">
        <v>138</v>
      </c>
      <c r="J1869" t="s">
        <v>219</v>
      </c>
      <c r="K1869">
        <v>1</v>
      </c>
      <c r="L1869" s="2"/>
    </row>
    <row r="1870" spans="1:12" x14ac:dyDescent="0.2">
      <c r="A1870">
        <v>2015</v>
      </c>
      <c r="B1870" t="s">
        <v>202</v>
      </c>
      <c r="C1870" t="s">
        <v>397</v>
      </c>
      <c r="D1870" s="22">
        <v>330</v>
      </c>
      <c r="E1870" s="16"/>
      <c r="G1870" t="s">
        <v>154</v>
      </c>
      <c r="H1870" t="s">
        <v>194</v>
      </c>
      <c r="I1870" t="s">
        <v>21</v>
      </c>
      <c r="J1870" t="s">
        <v>183</v>
      </c>
      <c r="K1870">
        <v>1</v>
      </c>
      <c r="L1870" s="2"/>
    </row>
    <row r="1871" spans="1:12" ht="15" customHeight="1" x14ac:dyDescent="0.2">
      <c r="A1871">
        <v>2015</v>
      </c>
      <c r="B1871" t="s">
        <v>202</v>
      </c>
      <c r="C1871" t="s">
        <v>479</v>
      </c>
      <c r="D1871" s="22">
        <v>500</v>
      </c>
      <c r="E1871" s="16"/>
      <c r="G1871" t="s">
        <v>154</v>
      </c>
      <c r="H1871" t="s">
        <v>194</v>
      </c>
      <c r="I1871" t="s">
        <v>54</v>
      </c>
      <c r="J1871" t="s">
        <v>201</v>
      </c>
      <c r="K1871">
        <v>1</v>
      </c>
      <c r="L1871" s="2"/>
    </row>
    <row r="1872" spans="1:12" x14ac:dyDescent="0.2">
      <c r="A1872">
        <v>2015</v>
      </c>
      <c r="B1872" t="s">
        <v>202</v>
      </c>
      <c r="C1872" t="s">
        <v>246</v>
      </c>
      <c r="D1872" s="22">
        <v>1380</v>
      </c>
      <c r="E1872" s="16"/>
      <c r="G1872" t="s">
        <v>144</v>
      </c>
      <c r="H1872" t="s">
        <v>197</v>
      </c>
      <c r="I1872" t="s">
        <v>48</v>
      </c>
      <c r="J1872" t="s">
        <v>219</v>
      </c>
      <c r="K1872">
        <v>1</v>
      </c>
      <c r="L1872" s="2"/>
    </row>
    <row r="1873" spans="1:12" x14ac:dyDescent="0.2">
      <c r="A1873">
        <v>2015</v>
      </c>
      <c r="B1873" t="s">
        <v>202</v>
      </c>
      <c r="C1873" t="s">
        <v>444</v>
      </c>
      <c r="D1873" s="22">
        <v>220</v>
      </c>
      <c r="E1873" s="16"/>
      <c r="G1873" t="s">
        <v>146</v>
      </c>
      <c r="I1873" t="s">
        <v>37</v>
      </c>
      <c r="J1873" t="s">
        <v>205</v>
      </c>
      <c r="K1873">
        <v>1</v>
      </c>
      <c r="L1873" s="2"/>
    </row>
    <row r="1874" spans="1:12" x14ac:dyDescent="0.2">
      <c r="A1874">
        <v>2015</v>
      </c>
      <c r="B1874" t="s">
        <v>202</v>
      </c>
      <c r="C1874" t="s">
        <v>703</v>
      </c>
      <c r="D1874" s="22">
        <v>1100</v>
      </c>
      <c r="E1874" s="16"/>
      <c r="G1874" t="s">
        <v>144</v>
      </c>
      <c r="H1874" t="s">
        <v>299</v>
      </c>
      <c r="I1874" t="s">
        <v>93</v>
      </c>
      <c r="J1874" t="s">
        <v>201</v>
      </c>
      <c r="K1874">
        <v>1</v>
      </c>
      <c r="L1874" s="2"/>
    </row>
    <row r="1875" spans="1:12" x14ac:dyDescent="0.2">
      <c r="A1875">
        <v>2015</v>
      </c>
      <c r="B1875" t="s">
        <v>202</v>
      </c>
      <c r="C1875" t="s">
        <v>1035</v>
      </c>
      <c r="D1875" s="22">
        <v>170</v>
      </c>
      <c r="E1875" s="16"/>
      <c r="G1875" t="s">
        <v>144</v>
      </c>
      <c r="H1875" t="s">
        <v>232</v>
      </c>
      <c r="I1875" t="s">
        <v>124</v>
      </c>
      <c r="J1875" t="s">
        <v>183</v>
      </c>
      <c r="K1875">
        <v>1</v>
      </c>
      <c r="L1875" s="2"/>
    </row>
    <row r="1876" spans="1:12" x14ac:dyDescent="0.2">
      <c r="A1876">
        <v>2015</v>
      </c>
      <c r="B1876" t="s">
        <v>202</v>
      </c>
      <c r="C1876" t="s">
        <v>341</v>
      </c>
      <c r="D1876" s="22">
        <v>250</v>
      </c>
      <c r="E1876" s="16"/>
      <c r="G1876" t="s">
        <v>154</v>
      </c>
      <c r="H1876" t="s">
        <v>194</v>
      </c>
      <c r="I1876" t="s">
        <v>16</v>
      </c>
      <c r="J1876" t="s">
        <v>205</v>
      </c>
      <c r="K1876">
        <v>1</v>
      </c>
      <c r="L1876" s="2"/>
    </row>
    <row r="1877" spans="1:12" x14ac:dyDescent="0.2">
      <c r="A1877">
        <v>2015</v>
      </c>
      <c r="B1877" t="s">
        <v>202</v>
      </c>
      <c r="C1877" t="s">
        <v>336</v>
      </c>
      <c r="D1877" s="22">
        <v>9580</v>
      </c>
      <c r="E1877" s="16"/>
      <c r="G1877" t="s">
        <v>144</v>
      </c>
      <c r="I1877" t="s">
        <v>93</v>
      </c>
      <c r="J1877" t="s">
        <v>201</v>
      </c>
      <c r="K1877">
        <v>1</v>
      </c>
      <c r="L1877" s="2"/>
    </row>
    <row r="1878" spans="1:12" x14ac:dyDescent="0.2">
      <c r="A1878">
        <v>2015</v>
      </c>
      <c r="B1878" t="s">
        <v>202</v>
      </c>
      <c r="C1878" t="s">
        <v>444</v>
      </c>
      <c r="D1878" s="22">
        <v>220</v>
      </c>
      <c r="E1878" s="16"/>
      <c r="G1878" t="s">
        <v>154</v>
      </c>
      <c r="H1878" t="s">
        <v>250</v>
      </c>
      <c r="I1878" t="s">
        <v>84</v>
      </c>
      <c r="J1878" t="s">
        <v>201</v>
      </c>
      <c r="K1878">
        <v>1</v>
      </c>
      <c r="L1878" s="2"/>
    </row>
    <row r="1879" spans="1:12" x14ac:dyDescent="0.2">
      <c r="A1879">
        <v>2015</v>
      </c>
      <c r="B1879" t="s">
        <v>207</v>
      </c>
      <c r="C1879" t="s">
        <v>2710</v>
      </c>
      <c r="D1879" s="22">
        <v>100</v>
      </c>
      <c r="E1879" s="16"/>
      <c r="G1879" t="s">
        <v>144</v>
      </c>
      <c r="H1879" t="s">
        <v>232</v>
      </c>
      <c r="I1879" t="s">
        <v>139</v>
      </c>
      <c r="J1879" t="s">
        <v>219</v>
      </c>
      <c r="K1879">
        <v>1</v>
      </c>
      <c r="L1879" s="2"/>
    </row>
    <row r="1880" spans="1:12" x14ac:dyDescent="0.2">
      <c r="A1880">
        <v>2015</v>
      </c>
      <c r="B1880" t="s">
        <v>207</v>
      </c>
      <c r="C1880" t="s">
        <v>444</v>
      </c>
      <c r="D1880" s="22">
        <v>140</v>
      </c>
      <c r="E1880" s="16"/>
      <c r="F1880" t="s">
        <v>2711</v>
      </c>
      <c r="G1880" t="s">
        <v>149</v>
      </c>
      <c r="I1880" t="s">
        <v>9</v>
      </c>
      <c r="J1880" t="s">
        <v>9</v>
      </c>
      <c r="K1880">
        <v>0</v>
      </c>
      <c r="L1880" s="2"/>
    </row>
    <row r="1881" spans="1:12" x14ac:dyDescent="0.2">
      <c r="A1881">
        <v>2015</v>
      </c>
      <c r="B1881" t="s">
        <v>207</v>
      </c>
      <c r="C1881" t="s">
        <v>392</v>
      </c>
      <c r="D1881" s="22">
        <v>490</v>
      </c>
      <c r="E1881" s="16"/>
      <c r="F1881" t="s">
        <v>2516</v>
      </c>
      <c r="G1881" t="s">
        <v>152</v>
      </c>
      <c r="H1881" t="s">
        <v>257</v>
      </c>
      <c r="I1881" t="s">
        <v>24</v>
      </c>
      <c r="J1881" t="s">
        <v>219</v>
      </c>
      <c r="K1881">
        <v>1</v>
      </c>
      <c r="L1881" s="2"/>
    </row>
    <row r="1882" spans="1:12" x14ac:dyDescent="0.2">
      <c r="A1882">
        <v>2015</v>
      </c>
      <c r="B1882" t="s">
        <v>207</v>
      </c>
      <c r="C1882" t="s">
        <v>421</v>
      </c>
      <c r="D1882" s="22">
        <v>320</v>
      </c>
      <c r="E1882" s="16"/>
      <c r="G1882" t="s">
        <v>151</v>
      </c>
      <c r="H1882" t="s">
        <v>279</v>
      </c>
      <c r="I1882" t="s">
        <v>138</v>
      </c>
      <c r="J1882" t="s">
        <v>219</v>
      </c>
      <c r="K1882">
        <v>1</v>
      </c>
      <c r="L1882" s="2"/>
    </row>
    <row r="1883" spans="1:12" x14ac:dyDescent="0.2">
      <c r="A1883">
        <v>2015</v>
      </c>
      <c r="B1883" t="s">
        <v>207</v>
      </c>
      <c r="C1883" t="s">
        <v>2486</v>
      </c>
      <c r="D1883" s="22">
        <v>110</v>
      </c>
      <c r="E1883" s="16"/>
      <c r="F1883" t="s">
        <v>2712</v>
      </c>
      <c r="G1883" t="s">
        <v>151</v>
      </c>
      <c r="H1883" t="s">
        <v>279</v>
      </c>
      <c r="I1883" t="s">
        <v>20</v>
      </c>
      <c r="J1883" t="s">
        <v>195</v>
      </c>
      <c r="K1883">
        <v>0</v>
      </c>
      <c r="L1883" s="2"/>
    </row>
    <row r="1884" spans="1:12" x14ac:dyDescent="0.2">
      <c r="A1884">
        <v>2015</v>
      </c>
      <c r="B1884" t="s">
        <v>207</v>
      </c>
      <c r="C1884" t="s">
        <v>2486</v>
      </c>
      <c r="D1884" s="22">
        <v>200</v>
      </c>
      <c r="E1884" s="16"/>
      <c r="G1884" t="s">
        <v>154</v>
      </c>
      <c r="H1884" t="s">
        <v>250</v>
      </c>
      <c r="I1884" t="s">
        <v>20</v>
      </c>
      <c r="J1884" t="s">
        <v>195</v>
      </c>
      <c r="K1884">
        <v>0</v>
      </c>
      <c r="L1884" s="2"/>
    </row>
    <row r="1885" spans="1:12" x14ac:dyDescent="0.2">
      <c r="A1885">
        <v>2015</v>
      </c>
      <c r="B1885" t="s">
        <v>207</v>
      </c>
      <c r="C1885" t="s">
        <v>1035</v>
      </c>
      <c r="D1885" s="22">
        <v>720</v>
      </c>
      <c r="E1885" s="16"/>
      <c r="F1885" t="s">
        <v>2713</v>
      </c>
      <c r="G1885" t="s">
        <v>144</v>
      </c>
      <c r="H1885" t="s">
        <v>197</v>
      </c>
      <c r="I1885" t="s">
        <v>67</v>
      </c>
      <c r="J1885" t="s">
        <v>183</v>
      </c>
      <c r="K1885">
        <v>1</v>
      </c>
      <c r="L1885" s="2"/>
    </row>
    <row r="1886" spans="1:12" x14ac:dyDescent="0.2">
      <c r="A1886">
        <v>2015</v>
      </c>
      <c r="B1886" t="s">
        <v>207</v>
      </c>
      <c r="C1886" t="s">
        <v>479</v>
      </c>
      <c r="D1886" s="22">
        <v>550</v>
      </c>
      <c r="E1886" s="16"/>
      <c r="F1886" t="s">
        <v>2714</v>
      </c>
      <c r="G1886" t="s">
        <v>151</v>
      </c>
      <c r="H1886" t="s">
        <v>279</v>
      </c>
      <c r="I1886" t="s">
        <v>72</v>
      </c>
      <c r="J1886" t="s">
        <v>183</v>
      </c>
      <c r="K1886">
        <v>1</v>
      </c>
      <c r="L1886" s="2"/>
    </row>
    <row r="1887" spans="1:12" x14ac:dyDescent="0.2">
      <c r="A1887">
        <v>2015</v>
      </c>
      <c r="B1887" t="s">
        <v>207</v>
      </c>
      <c r="C1887" t="s">
        <v>208</v>
      </c>
      <c r="D1887" s="22">
        <v>380</v>
      </c>
      <c r="E1887" s="16"/>
      <c r="F1887" t="s">
        <v>2715</v>
      </c>
      <c r="G1887" t="s">
        <v>144</v>
      </c>
      <c r="H1887" t="s">
        <v>187</v>
      </c>
      <c r="I1887" t="s">
        <v>2554</v>
      </c>
      <c r="J1887" t="s">
        <v>219</v>
      </c>
      <c r="K1887">
        <v>1</v>
      </c>
      <c r="L1887" s="2"/>
    </row>
    <row r="1888" spans="1:12" x14ac:dyDescent="0.2">
      <c r="A1888">
        <v>2015</v>
      </c>
      <c r="B1888" t="s">
        <v>207</v>
      </c>
      <c r="C1888" t="s">
        <v>815</v>
      </c>
      <c r="D1888" s="22">
        <v>390</v>
      </c>
      <c r="E1888" s="16"/>
      <c r="F1888" t="s">
        <v>2716</v>
      </c>
      <c r="G1888" t="s">
        <v>151</v>
      </c>
      <c r="H1888" t="s">
        <v>279</v>
      </c>
      <c r="I1888" t="s">
        <v>89</v>
      </c>
      <c r="J1888" t="s">
        <v>219</v>
      </c>
      <c r="K1888">
        <v>1</v>
      </c>
      <c r="L1888" s="2"/>
    </row>
    <row r="1889" spans="1:12" x14ac:dyDescent="0.2">
      <c r="A1889">
        <v>2015</v>
      </c>
      <c r="B1889" t="s">
        <v>207</v>
      </c>
      <c r="C1889" t="s">
        <v>1035</v>
      </c>
      <c r="D1889" s="22">
        <v>700</v>
      </c>
      <c r="E1889" s="16"/>
      <c r="F1889" t="s">
        <v>2002</v>
      </c>
      <c r="G1889" t="s">
        <v>144</v>
      </c>
      <c r="H1889" t="s">
        <v>299</v>
      </c>
      <c r="I1889" t="s">
        <v>105</v>
      </c>
      <c r="J1889" t="s">
        <v>214</v>
      </c>
      <c r="K1889">
        <v>1</v>
      </c>
      <c r="L1889" s="2"/>
    </row>
    <row r="1890" spans="1:12" x14ac:dyDescent="0.2">
      <c r="A1890">
        <v>2015</v>
      </c>
      <c r="B1890" t="s">
        <v>207</v>
      </c>
      <c r="C1890" t="s">
        <v>444</v>
      </c>
      <c r="D1890" s="22">
        <v>1780</v>
      </c>
      <c r="E1890" s="16"/>
      <c r="F1890" t="s">
        <v>2717</v>
      </c>
      <c r="G1890" t="s">
        <v>150</v>
      </c>
      <c r="H1890" t="s">
        <v>226</v>
      </c>
      <c r="I1890" t="s">
        <v>101</v>
      </c>
      <c r="J1890" t="s">
        <v>201</v>
      </c>
      <c r="K1890">
        <v>1</v>
      </c>
      <c r="L1890" s="2"/>
    </row>
    <row r="1891" spans="1:12" x14ac:dyDescent="0.2">
      <c r="A1891">
        <v>2015</v>
      </c>
      <c r="B1891" t="s">
        <v>207</v>
      </c>
      <c r="C1891" t="s">
        <v>397</v>
      </c>
      <c r="D1891" s="22">
        <v>130</v>
      </c>
      <c r="E1891" s="16"/>
      <c r="G1891" t="s">
        <v>154</v>
      </c>
      <c r="H1891" t="s">
        <v>194</v>
      </c>
      <c r="I1891" t="s">
        <v>130</v>
      </c>
      <c r="J1891" t="s">
        <v>214</v>
      </c>
      <c r="K1891">
        <v>1</v>
      </c>
      <c r="L1891" s="2"/>
    </row>
    <row r="1892" spans="1:12" x14ac:dyDescent="0.2">
      <c r="A1892">
        <v>2015</v>
      </c>
      <c r="B1892" t="s">
        <v>207</v>
      </c>
      <c r="C1892" t="s">
        <v>189</v>
      </c>
      <c r="D1892" s="22">
        <v>1700</v>
      </c>
      <c r="E1892" s="16">
        <v>0.4</v>
      </c>
      <c r="F1892" t="s">
        <v>2642</v>
      </c>
      <c r="G1892" t="s">
        <v>144</v>
      </c>
      <c r="H1892" t="s">
        <v>187</v>
      </c>
      <c r="I1892" t="s">
        <v>65</v>
      </c>
      <c r="J1892" t="s">
        <v>214</v>
      </c>
      <c r="K1892">
        <v>1</v>
      </c>
      <c r="L1892" s="2"/>
    </row>
    <row r="1893" spans="1:12" x14ac:dyDescent="0.2">
      <c r="A1893">
        <v>2015</v>
      </c>
      <c r="B1893" t="s">
        <v>207</v>
      </c>
      <c r="C1893" t="s">
        <v>1035</v>
      </c>
      <c r="D1893" s="22">
        <v>550</v>
      </c>
      <c r="E1893" s="16"/>
      <c r="G1893" t="s">
        <v>144</v>
      </c>
      <c r="H1893" t="s">
        <v>273</v>
      </c>
      <c r="I1893" t="s">
        <v>46</v>
      </c>
      <c r="J1893" t="s">
        <v>219</v>
      </c>
      <c r="K1893">
        <v>1</v>
      </c>
      <c r="L1893" s="2"/>
    </row>
    <row r="1894" spans="1:12" x14ac:dyDescent="0.2">
      <c r="A1894">
        <v>2015</v>
      </c>
      <c r="B1894" t="s">
        <v>207</v>
      </c>
      <c r="C1894" t="s">
        <v>1035</v>
      </c>
      <c r="D1894" s="22">
        <v>580</v>
      </c>
      <c r="E1894" s="16"/>
      <c r="F1894" s="16" t="s">
        <v>2718</v>
      </c>
      <c r="G1894" t="s">
        <v>144</v>
      </c>
      <c r="I1894" t="s">
        <v>89</v>
      </c>
      <c r="J1894" t="s">
        <v>219</v>
      </c>
      <c r="K1894">
        <v>1</v>
      </c>
      <c r="L1894" s="2"/>
    </row>
    <row r="1895" spans="1:12" x14ac:dyDescent="0.2">
      <c r="A1895">
        <v>2015</v>
      </c>
      <c r="B1895" t="s">
        <v>207</v>
      </c>
      <c r="C1895" t="s">
        <v>1035</v>
      </c>
      <c r="D1895" s="22">
        <v>100</v>
      </c>
      <c r="E1895" s="16"/>
      <c r="G1895" t="s">
        <v>154</v>
      </c>
      <c r="H1895" t="s">
        <v>194</v>
      </c>
      <c r="I1895" t="s">
        <v>44</v>
      </c>
      <c r="J1895" t="s">
        <v>201</v>
      </c>
      <c r="K1895">
        <v>1</v>
      </c>
      <c r="L1895" s="2"/>
    </row>
    <row r="1896" spans="1:12" x14ac:dyDescent="0.2">
      <c r="A1896">
        <v>2015</v>
      </c>
      <c r="B1896" t="s">
        <v>207</v>
      </c>
      <c r="C1896" t="s">
        <v>1035</v>
      </c>
      <c r="D1896" s="22">
        <v>150</v>
      </c>
      <c r="E1896" s="16"/>
      <c r="G1896" t="s">
        <v>154</v>
      </c>
      <c r="H1896" t="s">
        <v>194</v>
      </c>
      <c r="I1896" t="s">
        <v>52</v>
      </c>
      <c r="J1896" t="s">
        <v>201</v>
      </c>
      <c r="K1896">
        <v>0</v>
      </c>
      <c r="L1896" s="2"/>
    </row>
    <row r="1897" spans="1:12" x14ac:dyDescent="0.2">
      <c r="A1897">
        <v>2015</v>
      </c>
      <c r="B1897" t="s">
        <v>207</v>
      </c>
      <c r="C1897" t="s">
        <v>1035</v>
      </c>
      <c r="D1897" s="22">
        <v>1290</v>
      </c>
      <c r="E1897" s="16"/>
      <c r="F1897" t="s">
        <v>2002</v>
      </c>
      <c r="G1897" t="s">
        <v>144</v>
      </c>
      <c r="H1897" t="s">
        <v>299</v>
      </c>
      <c r="I1897" t="s">
        <v>105</v>
      </c>
      <c r="J1897" t="s">
        <v>214</v>
      </c>
      <c r="K1897">
        <v>1</v>
      </c>
      <c r="L1897" s="2"/>
    </row>
    <row r="1898" spans="1:12" x14ac:dyDescent="0.2">
      <c r="A1898">
        <v>2015</v>
      </c>
      <c r="B1898" t="s">
        <v>207</v>
      </c>
      <c r="C1898" s="17" t="s">
        <v>307</v>
      </c>
      <c r="D1898" s="24">
        <v>2200</v>
      </c>
      <c r="E1898" s="18"/>
      <c r="F1898" s="17"/>
      <c r="G1898" s="17" t="s">
        <v>144</v>
      </c>
      <c r="H1898" s="17"/>
      <c r="I1898" s="17" t="s">
        <v>19</v>
      </c>
      <c r="J1898" s="17" t="s">
        <v>205</v>
      </c>
      <c r="K1898" s="17">
        <v>0</v>
      </c>
      <c r="L1898" s="2"/>
    </row>
    <row r="1899" spans="1:12" x14ac:dyDescent="0.2">
      <c r="A1899">
        <v>2015</v>
      </c>
      <c r="B1899" t="s">
        <v>240</v>
      </c>
      <c r="C1899" t="s">
        <v>1035</v>
      </c>
      <c r="D1899" s="22">
        <v>1180</v>
      </c>
      <c r="E1899" s="16"/>
      <c r="G1899" t="s">
        <v>155</v>
      </c>
      <c r="I1899" t="s">
        <v>100</v>
      </c>
      <c r="J1899" t="s">
        <v>214</v>
      </c>
      <c r="K1899">
        <v>1</v>
      </c>
      <c r="L1899" s="2"/>
    </row>
    <row r="1900" spans="1:12" x14ac:dyDescent="0.2">
      <c r="A1900">
        <v>2015</v>
      </c>
      <c r="B1900" t="s">
        <v>240</v>
      </c>
      <c r="C1900" t="s">
        <v>1035</v>
      </c>
      <c r="D1900" s="22">
        <v>270</v>
      </c>
      <c r="E1900" s="16"/>
      <c r="F1900" t="s">
        <v>247</v>
      </c>
      <c r="G1900" t="s">
        <v>144</v>
      </c>
      <c r="H1900" t="s">
        <v>197</v>
      </c>
      <c r="I1900" t="s">
        <v>67</v>
      </c>
      <c r="J1900" t="s">
        <v>183</v>
      </c>
      <c r="K1900">
        <v>1</v>
      </c>
      <c r="L1900" s="2"/>
    </row>
    <row r="1901" spans="1:12" x14ac:dyDescent="0.2">
      <c r="A1901">
        <v>2015</v>
      </c>
      <c r="B1901" t="s">
        <v>240</v>
      </c>
      <c r="C1901" t="s">
        <v>341</v>
      </c>
      <c r="D1901" s="22">
        <v>260</v>
      </c>
      <c r="E1901" s="16"/>
      <c r="G1901" t="s">
        <v>154</v>
      </c>
      <c r="H1901" t="s">
        <v>529</v>
      </c>
      <c r="I1901" t="s">
        <v>136</v>
      </c>
      <c r="J1901" t="s">
        <v>183</v>
      </c>
      <c r="K1901">
        <v>1</v>
      </c>
      <c r="L1901" s="2"/>
    </row>
    <row r="1902" spans="1:12" x14ac:dyDescent="0.2">
      <c r="A1902">
        <v>2015</v>
      </c>
      <c r="B1902" t="s">
        <v>240</v>
      </c>
      <c r="C1902" t="s">
        <v>341</v>
      </c>
      <c r="D1902" s="22">
        <v>180</v>
      </c>
      <c r="E1902" s="16"/>
      <c r="G1902" t="s">
        <v>154</v>
      </c>
      <c r="H1902" t="s">
        <v>194</v>
      </c>
      <c r="I1902" t="s">
        <v>40</v>
      </c>
      <c r="J1902" t="s">
        <v>219</v>
      </c>
      <c r="K1902">
        <v>1</v>
      </c>
      <c r="L1902" s="2"/>
    </row>
    <row r="1903" spans="1:12" x14ac:dyDescent="0.2">
      <c r="A1903">
        <v>2015</v>
      </c>
      <c r="B1903" t="s">
        <v>240</v>
      </c>
      <c r="C1903" t="s">
        <v>875</v>
      </c>
      <c r="D1903" s="22">
        <v>200</v>
      </c>
      <c r="E1903" s="16"/>
      <c r="G1903" t="s">
        <v>151</v>
      </c>
      <c r="H1903" t="s">
        <v>279</v>
      </c>
      <c r="I1903" t="s">
        <v>37</v>
      </c>
      <c r="J1903" t="s">
        <v>205</v>
      </c>
      <c r="K1903">
        <v>1</v>
      </c>
      <c r="L1903" s="2"/>
    </row>
    <row r="1904" spans="1:12" x14ac:dyDescent="0.2">
      <c r="A1904">
        <v>2015</v>
      </c>
      <c r="B1904" t="s">
        <v>240</v>
      </c>
      <c r="C1904" t="s">
        <v>444</v>
      </c>
      <c r="D1904" s="22">
        <v>190</v>
      </c>
      <c r="E1904" s="16"/>
      <c r="G1904" t="s">
        <v>151</v>
      </c>
      <c r="H1904" t="s">
        <v>279</v>
      </c>
      <c r="I1904" t="s">
        <v>73</v>
      </c>
      <c r="J1904" t="s">
        <v>201</v>
      </c>
      <c r="K1904">
        <v>1</v>
      </c>
      <c r="L1904" s="2"/>
    </row>
    <row r="1905" spans="1:12" x14ac:dyDescent="0.2">
      <c r="A1905">
        <v>2015</v>
      </c>
      <c r="B1905" t="s">
        <v>240</v>
      </c>
      <c r="C1905" t="s">
        <v>199</v>
      </c>
      <c r="D1905" s="22">
        <v>180</v>
      </c>
      <c r="E1905" s="16">
        <v>0.4</v>
      </c>
      <c r="G1905" t="s">
        <v>143</v>
      </c>
      <c r="I1905" t="s">
        <v>72</v>
      </c>
      <c r="J1905" t="s">
        <v>183</v>
      </c>
      <c r="K1905">
        <v>1</v>
      </c>
      <c r="L1905" s="2"/>
    </row>
    <row r="1906" spans="1:12" x14ac:dyDescent="0.2">
      <c r="A1906">
        <v>2015</v>
      </c>
      <c r="B1906" t="s">
        <v>240</v>
      </c>
      <c r="C1906" t="s">
        <v>479</v>
      </c>
      <c r="D1906" s="22">
        <v>140</v>
      </c>
      <c r="E1906" s="16"/>
      <c r="G1906" t="s">
        <v>154</v>
      </c>
      <c r="H1906" t="s">
        <v>194</v>
      </c>
      <c r="I1906" t="s">
        <v>73</v>
      </c>
      <c r="J1906" t="s">
        <v>201</v>
      </c>
      <c r="K1906">
        <v>1</v>
      </c>
      <c r="L1906" s="2"/>
    </row>
    <row r="1907" spans="1:12" x14ac:dyDescent="0.2">
      <c r="A1907">
        <v>2015</v>
      </c>
      <c r="B1907" t="s">
        <v>240</v>
      </c>
      <c r="C1907" t="s">
        <v>180</v>
      </c>
      <c r="D1907" s="22">
        <v>260</v>
      </c>
      <c r="E1907" s="16"/>
      <c r="G1907" t="s">
        <v>154</v>
      </c>
      <c r="H1907" t="s">
        <v>194</v>
      </c>
      <c r="I1907" t="s">
        <v>53</v>
      </c>
      <c r="J1907" t="s">
        <v>183</v>
      </c>
      <c r="K1907">
        <v>1</v>
      </c>
      <c r="L1907" s="2"/>
    </row>
    <row r="1908" spans="1:12" x14ac:dyDescent="0.2">
      <c r="A1908">
        <v>2015</v>
      </c>
      <c r="B1908" t="s">
        <v>240</v>
      </c>
      <c r="C1908" t="s">
        <v>180</v>
      </c>
      <c r="D1908" s="22">
        <v>110</v>
      </c>
      <c r="E1908" s="16"/>
      <c r="G1908" t="s">
        <v>149</v>
      </c>
      <c r="H1908" t="s">
        <v>182</v>
      </c>
      <c r="I1908" t="s">
        <v>53</v>
      </c>
      <c r="J1908" t="s">
        <v>183</v>
      </c>
      <c r="K1908">
        <v>1</v>
      </c>
      <c r="L1908" s="2"/>
    </row>
    <row r="1909" spans="1:12" x14ac:dyDescent="0.2">
      <c r="A1909">
        <v>2015</v>
      </c>
      <c r="B1909" t="s">
        <v>240</v>
      </c>
      <c r="C1909" t="s">
        <v>479</v>
      </c>
      <c r="D1909" s="22">
        <v>140</v>
      </c>
      <c r="E1909" s="16"/>
      <c r="G1909" t="s">
        <v>154</v>
      </c>
      <c r="H1909" t="s">
        <v>194</v>
      </c>
      <c r="I1909" t="s">
        <v>70</v>
      </c>
      <c r="J1909" t="s">
        <v>219</v>
      </c>
      <c r="K1909">
        <v>1</v>
      </c>
      <c r="L1909" s="2"/>
    </row>
    <row r="1910" spans="1:12" x14ac:dyDescent="0.2">
      <c r="A1910">
        <v>2015</v>
      </c>
      <c r="B1910" t="s">
        <v>240</v>
      </c>
      <c r="C1910" t="s">
        <v>2719</v>
      </c>
      <c r="D1910" s="22">
        <v>340</v>
      </c>
      <c r="E1910" s="16"/>
      <c r="G1910" t="s">
        <v>144</v>
      </c>
      <c r="H1910" t="s">
        <v>197</v>
      </c>
      <c r="I1910" t="s">
        <v>102</v>
      </c>
      <c r="J1910" t="s">
        <v>219</v>
      </c>
      <c r="K1910">
        <v>1</v>
      </c>
      <c r="L1910" s="2"/>
    </row>
    <row r="1911" spans="1:12" x14ac:dyDescent="0.2">
      <c r="A1911">
        <v>2015</v>
      </c>
      <c r="B1911" t="s">
        <v>240</v>
      </c>
      <c r="C1911" t="s">
        <v>208</v>
      </c>
      <c r="D1911" s="22">
        <v>180</v>
      </c>
      <c r="E1911" s="16"/>
      <c r="F1911" t="s">
        <v>2720</v>
      </c>
      <c r="G1911" t="s">
        <v>144</v>
      </c>
      <c r="H1911" t="s">
        <v>232</v>
      </c>
      <c r="I1911" t="s">
        <v>53</v>
      </c>
      <c r="J1911" t="s">
        <v>183</v>
      </c>
      <c r="K1911">
        <v>1</v>
      </c>
      <c r="L1911" s="2"/>
    </row>
    <row r="1912" spans="1:12" x14ac:dyDescent="0.2">
      <c r="A1912">
        <v>2015</v>
      </c>
      <c r="B1912" t="s">
        <v>240</v>
      </c>
      <c r="C1912" t="s">
        <v>1035</v>
      </c>
      <c r="D1912" s="22">
        <v>110</v>
      </c>
      <c r="E1912" s="16"/>
      <c r="F1912" t="s">
        <v>2721</v>
      </c>
      <c r="G1912" t="s">
        <v>154</v>
      </c>
      <c r="H1912" t="s">
        <v>194</v>
      </c>
      <c r="I1912" t="s">
        <v>65</v>
      </c>
      <c r="J1912" t="s">
        <v>214</v>
      </c>
      <c r="K1912">
        <v>1</v>
      </c>
      <c r="L1912" s="2"/>
    </row>
    <row r="1913" spans="1:12" x14ac:dyDescent="0.2">
      <c r="A1913">
        <v>2015</v>
      </c>
      <c r="B1913" t="s">
        <v>240</v>
      </c>
      <c r="C1913" t="s">
        <v>341</v>
      </c>
      <c r="D1913" s="22">
        <v>110</v>
      </c>
      <c r="E1913" s="16"/>
      <c r="G1913" t="s">
        <v>142</v>
      </c>
      <c r="I1913" t="s">
        <v>84</v>
      </c>
      <c r="J1913" t="s">
        <v>201</v>
      </c>
      <c r="K1913">
        <v>1</v>
      </c>
      <c r="L1913" s="2"/>
    </row>
    <row r="1914" spans="1:12" x14ac:dyDescent="0.2">
      <c r="A1914">
        <v>2015</v>
      </c>
      <c r="B1914" t="s">
        <v>240</v>
      </c>
      <c r="C1914" t="s">
        <v>543</v>
      </c>
      <c r="D1914" s="22">
        <v>150</v>
      </c>
      <c r="E1914" s="16"/>
      <c r="G1914" t="s">
        <v>152</v>
      </c>
      <c r="H1914" t="s">
        <v>257</v>
      </c>
      <c r="I1914" t="s">
        <v>13</v>
      </c>
      <c r="J1914" t="s">
        <v>201</v>
      </c>
      <c r="K1914">
        <v>1</v>
      </c>
      <c r="L1914" s="2"/>
    </row>
    <row r="1915" spans="1:12" x14ac:dyDescent="0.2">
      <c r="A1915">
        <v>2015</v>
      </c>
      <c r="B1915" t="s">
        <v>240</v>
      </c>
      <c r="C1915" t="s">
        <v>479</v>
      </c>
      <c r="D1915" s="22">
        <v>400</v>
      </c>
      <c r="E1915" s="16"/>
      <c r="G1915" t="s">
        <v>154</v>
      </c>
      <c r="H1915" t="s">
        <v>194</v>
      </c>
      <c r="I1915" t="s">
        <v>66</v>
      </c>
      <c r="J1915" t="s">
        <v>201</v>
      </c>
      <c r="K1915">
        <v>1</v>
      </c>
      <c r="L1915" s="2"/>
    </row>
    <row r="1916" spans="1:12" x14ac:dyDescent="0.2">
      <c r="A1916">
        <v>2015</v>
      </c>
      <c r="B1916" t="s">
        <v>240</v>
      </c>
      <c r="C1916" t="s">
        <v>444</v>
      </c>
      <c r="D1916" s="22">
        <v>640</v>
      </c>
      <c r="E1916" s="16"/>
      <c r="G1916" t="s">
        <v>144</v>
      </c>
      <c r="H1916" t="s">
        <v>273</v>
      </c>
      <c r="I1916" t="s">
        <v>106</v>
      </c>
      <c r="J1916" t="s">
        <v>183</v>
      </c>
      <c r="K1916">
        <v>1</v>
      </c>
      <c r="L1916" s="2"/>
    </row>
    <row r="1917" spans="1:12" x14ac:dyDescent="0.2">
      <c r="A1917">
        <v>2015</v>
      </c>
      <c r="B1917" t="s">
        <v>212</v>
      </c>
      <c r="C1917" t="s">
        <v>221</v>
      </c>
      <c r="D1917" s="22">
        <v>260</v>
      </c>
      <c r="E1917" s="16"/>
      <c r="F1917" t="s">
        <v>2722</v>
      </c>
      <c r="G1917" t="s">
        <v>151</v>
      </c>
      <c r="H1917" t="s">
        <v>279</v>
      </c>
      <c r="I1917" t="s">
        <v>23</v>
      </c>
      <c r="J1917" t="s">
        <v>183</v>
      </c>
      <c r="K1917">
        <v>1</v>
      </c>
      <c r="L1917" s="2"/>
    </row>
    <row r="1918" spans="1:12" x14ac:dyDescent="0.2">
      <c r="A1918">
        <v>2015</v>
      </c>
      <c r="B1918" t="s">
        <v>212</v>
      </c>
      <c r="C1918" t="s">
        <v>449</v>
      </c>
      <c r="D1918" s="22">
        <v>1460</v>
      </c>
      <c r="E1918" s="16"/>
      <c r="F1918" t="s">
        <v>2723</v>
      </c>
      <c r="G1918" t="s">
        <v>154</v>
      </c>
      <c r="H1918" t="s">
        <v>194</v>
      </c>
      <c r="I1918" t="s">
        <v>93</v>
      </c>
      <c r="J1918" t="s">
        <v>201</v>
      </c>
      <c r="K1918">
        <v>1</v>
      </c>
      <c r="L1918" s="2"/>
    </row>
    <row r="1919" spans="1:12" x14ac:dyDescent="0.2">
      <c r="A1919">
        <v>2015</v>
      </c>
      <c r="B1919" t="s">
        <v>212</v>
      </c>
      <c r="C1919" t="s">
        <v>397</v>
      </c>
      <c r="D1919" s="22">
        <v>110</v>
      </c>
      <c r="E1919" s="16"/>
      <c r="G1919" t="s">
        <v>151</v>
      </c>
      <c r="H1919" t="s">
        <v>279</v>
      </c>
      <c r="I1919" t="s">
        <v>108</v>
      </c>
      <c r="J1919" t="s">
        <v>183</v>
      </c>
      <c r="K1919">
        <v>1</v>
      </c>
      <c r="L1919" s="2"/>
    </row>
    <row r="1920" spans="1:12" x14ac:dyDescent="0.2">
      <c r="A1920">
        <v>2015</v>
      </c>
      <c r="B1920" t="s">
        <v>212</v>
      </c>
      <c r="C1920" t="s">
        <v>444</v>
      </c>
      <c r="D1920" s="22">
        <v>1160</v>
      </c>
      <c r="E1920" s="16"/>
      <c r="F1920" t="s">
        <v>2724</v>
      </c>
      <c r="G1920" t="s">
        <v>144</v>
      </c>
      <c r="H1920" t="s">
        <v>273</v>
      </c>
      <c r="I1920" t="s">
        <v>53</v>
      </c>
      <c r="J1920" t="s">
        <v>183</v>
      </c>
      <c r="K1920">
        <v>1</v>
      </c>
      <c r="L1920" s="2"/>
    </row>
    <row r="1921" spans="1:12" ht="14.25" customHeight="1" x14ac:dyDescent="0.2">
      <c r="A1921">
        <v>2015</v>
      </c>
      <c r="B1921" t="s">
        <v>212</v>
      </c>
      <c r="C1921" t="s">
        <v>336</v>
      </c>
      <c r="D1921" s="22">
        <v>990</v>
      </c>
      <c r="E1921" s="16"/>
      <c r="G1921" t="s">
        <v>144</v>
      </c>
      <c r="H1921" t="s">
        <v>273</v>
      </c>
      <c r="I1921" t="s">
        <v>78</v>
      </c>
      <c r="J1921" t="s">
        <v>183</v>
      </c>
      <c r="K1921">
        <v>1</v>
      </c>
      <c r="L1921" s="2"/>
    </row>
    <row r="1922" spans="1:12" x14ac:dyDescent="0.2">
      <c r="A1922">
        <v>2015</v>
      </c>
      <c r="B1922" t="s">
        <v>212</v>
      </c>
      <c r="C1922" t="s">
        <v>449</v>
      </c>
      <c r="D1922" s="22">
        <v>1460</v>
      </c>
      <c r="E1922" s="16"/>
      <c r="G1922" t="s">
        <v>154</v>
      </c>
      <c r="H1922" t="s">
        <v>529</v>
      </c>
      <c r="I1922" t="s">
        <v>2462</v>
      </c>
      <c r="J1922" t="s">
        <v>219</v>
      </c>
      <c r="K1922">
        <v>1</v>
      </c>
      <c r="L1922" s="2"/>
    </row>
    <row r="1923" spans="1:12" x14ac:dyDescent="0.2">
      <c r="A1923">
        <v>2015</v>
      </c>
      <c r="B1923" t="s">
        <v>212</v>
      </c>
      <c r="C1923" t="s">
        <v>397</v>
      </c>
      <c r="D1923" s="22">
        <v>2890</v>
      </c>
      <c r="E1923" s="16"/>
      <c r="G1923" t="s">
        <v>154</v>
      </c>
      <c r="H1923" t="s">
        <v>194</v>
      </c>
      <c r="I1923" t="s">
        <v>93</v>
      </c>
      <c r="J1923" t="s">
        <v>201</v>
      </c>
      <c r="K1923">
        <v>1</v>
      </c>
      <c r="L1923" s="2"/>
    </row>
    <row r="1924" spans="1:12" x14ac:dyDescent="0.2">
      <c r="A1924">
        <v>2015</v>
      </c>
      <c r="B1924" t="s">
        <v>212</v>
      </c>
      <c r="C1924" t="s">
        <v>479</v>
      </c>
      <c r="D1924" s="22">
        <v>140</v>
      </c>
      <c r="E1924" s="16"/>
      <c r="F1924" t="s">
        <v>2725</v>
      </c>
      <c r="G1924" t="s">
        <v>147</v>
      </c>
      <c r="I1924" t="s">
        <v>9</v>
      </c>
      <c r="J1924" t="s">
        <v>9</v>
      </c>
      <c r="K1924">
        <v>0</v>
      </c>
      <c r="L1924" s="2"/>
    </row>
    <row r="1925" spans="1:12" x14ac:dyDescent="0.2">
      <c r="A1925">
        <v>2015</v>
      </c>
      <c r="B1925" t="s">
        <v>212</v>
      </c>
      <c r="C1925" t="s">
        <v>1035</v>
      </c>
      <c r="D1925" s="22">
        <v>160</v>
      </c>
      <c r="E1925" s="16"/>
      <c r="G1925" t="s">
        <v>144</v>
      </c>
      <c r="H1925" t="s">
        <v>197</v>
      </c>
      <c r="I1925" t="s">
        <v>2557</v>
      </c>
      <c r="J1925" t="s">
        <v>219</v>
      </c>
      <c r="K1925">
        <v>1</v>
      </c>
      <c r="L1925" s="2"/>
    </row>
    <row r="1926" spans="1:12" x14ac:dyDescent="0.2">
      <c r="A1926">
        <v>2015</v>
      </c>
      <c r="B1926" t="s">
        <v>212</v>
      </c>
      <c r="C1926" t="s">
        <v>1035</v>
      </c>
      <c r="D1926" s="22">
        <v>1190</v>
      </c>
      <c r="E1926" s="16"/>
      <c r="G1926" t="s">
        <v>144</v>
      </c>
      <c r="H1926" t="s">
        <v>197</v>
      </c>
      <c r="I1926" t="s">
        <v>67</v>
      </c>
      <c r="J1926" t="s">
        <v>183</v>
      </c>
      <c r="K1926">
        <v>1</v>
      </c>
      <c r="L1926" s="2"/>
    </row>
    <row r="1927" spans="1:12" x14ac:dyDescent="0.2">
      <c r="A1927">
        <v>2015</v>
      </c>
      <c r="B1927" t="s">
        <v>212</v>
      </c>
      <c r="C1927" t="s">
        <v>307</v>
      </c>
      <c r="D1927" s="22">
        <v>240</v>
      </c>
      <c r="E1927" s="16"/>
      <c r="G1927" t="s">
        <v>155</v>
      </c>
      <c r="I1927" t="s">
        <v>67</v>
      </c>
      <c r="J1927" t="s">
        <v>183</v>
      </c>
      <c r="K1927">
        <v>1</v>
      </c>
      <c r="L1927" s="2"/>
    </row>
    <row r="1928" spans="1:12" x14ac:dyDescent="0.2">
      <c r="A1928">
        <v>2015</v>
      </c>
      <c r="B1928" t="s">
        <v>212</v>
      </c>
      <c r="C1928" t="s">
        <v>1035</v>
      </c>
      <c r="D1928" s="22">
        <v>1550</v>
      </c>
      <c r="E1928" s="16"/>
      <c r="G1928" t="s">
        <v>154</v>
      </c>
      <c r="H1928" t="s">
        <v>271</v>
      </c>
      <c r="I1928" t="s">
        <v>13</v>
      </c>
      <c r="J1928" t="s">
        <v>201</v>
      </c>
      <c r="K1928">
        <v>1</v>
      </c>
      <c r="L1928" s="2"/>
    </row>
    <row r="1929" spans="1:12" x14ac:dyDescent="0.2">
      <c r="A1929">
        <v>2015</v>
      </c>
      <c r="B1929" t="s">
        <v>212</v>
      </c>
      <c r="C1929" t="s">
        <v>1480</v>
      </c>
      <c r="D1929" s="22">
        <v>120</v>
      </c>
      <c r="E1929" s="16"/>
      <c r="G1929" t="s">
        <v>151</v>
      </c>
      <c r="H1929" t="s">
        <v>279</v>
      </c>
      <c r="I1929" t="s">
        <v>67</v>
      </c>
      <c r="J1929" t="s">
        <v>183</v>
      </c>
      <c r="K1929">
        <v>1</v>
      </c>
      <c r="L1929" s="2"/>
    </row>
    <row r="1930" spans="1:12" x14ac:dyDescent="0.2">
      <c r="A1930">
        <v>2015</v>
      </c>
      <c r="B1930" t="s">
        <v>212</v>
      </c>
      <c r="C1930" t="s">
        <v>1035</v>
      </c>
      <c r="D1930" s="22">
        <v>170</v>
      </c>
      <c r="E1930" s="16"/>
      <c r="G1930" t="s">
        <v>144</v>
      </c>
      <c r="I1930" t="s">
        <v>138</v>
      </c>
      <c r="J1930" t="s">
        <v>219</v>
      </c>
      <c r="K1930">
        <v>1</v>
      </c>
      <c r="L1930" s="2"/>
    </row>
    <row r="1931" spans="1:12" x14ac:dyDescent="0.2">
      <c r="A1931">
        <v>2015</v>
      </c>
      <c r="B1931" t="s">
        <v>212</v>
      </c>
      <c r="C1931" t="s">
        <v>221</v>
      </c>
      <c r="D1931" s="22">
        <v>610</v>
      </c>
      <c r="E1931" s="16"/>
      <c r="G1931" t="s">
        <v>155</v>
      </c>
      <c r="I1931" t="s">
        <v>6</v>
      </c>
      <c r="J1931" t="s">
        <v>219</v>
      </c>
      <c r="K1931">
        <v>1</v>
      </c>
      <c r="L1931" s="2"/>
    </row>
    <row r="1932" spans="1:12" x14ac:dyDescent="0.2">
      <c r="A1932">
        <v>2015</v>
      </c>
      <c r="B1932" t="s">
        <v>212</v>
      </c>
      <c r="C1932" t="s">
        <v>2660</v>
      </c>
      <c r="D1932" s="22">
        <v>250</v>
      </c>
      <c r="E1932" s="16"/>
      <c r="F1932" t="s">
        <v>2726</v>
      </c>
      <c r="G1932" t="s">
        <v>151</v>
      </c>
      <c r="H1932" t="s">
        <v>279</v>
      </c>
      <c r="I1932" t="s">
        <v>115</v>
      </c>
      <c r="J1932" t="s">
        <v>201</v>
      </c>
      <c r="K1932">
        <v>1</v>
      </c>
      <c r="L1932" s="2"/>
    </row>
    <row r="1933" spans="1:12" x14ac:dyDescent="0.2">
      <c r="A1933">
        <v>2015</v>
      </c>
      <c r="B1933" t="s">
        <v>212</v>
      </c>
      <c r="C1933" t="s">
        <v>1035</v>
      </c>
      <c r="D1933" s="22">
        <v>100</v>
      </c>
      <c r="E1933" s="16"/>
      <c r="G1933" t="s">
        <v>144</v>
      </c>
      <c r="H1933" t="s">
        <v>232</v>
      </c>
      <c r="I1933" t="s">
        <v>93</v>
      </c>
      <c r="J1933" t="s">
        <v>201</v>
      </c>
      <c r="K1933">
        <v>1</v>
      </c>
      <c r="L1933" s="2"/>
    </row>
    <row r="1934" spans="1:12" ht="14.25" customHeight="1" x14ac:dyDescent="0.2">
      <c r="A1934">
        <v>2015</v>
      </c>
      <c r="B1934" t="s">
        <v>212</v>
      </c>
      <c r="C1934" t="s">
        <v>189</v>
      </c>
      <c r="D1934" s="22">
        <v>430</v>
      </c>
      <c r="E1934" s="16"/>
      <c r="G1934" t="s">
        <v>155</v>
      </c>
      <c r="I1934" t="s">
        <v>105</v>
      </c>
      <c r="J1934" t="s">
        <v>214</v>
      </c>
      <c r="K1934">
        <v>1</v>
      </c>
      <c r="L1934" s="2"/>
    </row>
    <row r="1935" spans="1:12" x14ac:dyDescent="0.2">
      <c r="A1935">
        <v>2015</v>
      </c>
      <c r="B1935" t="s">
        <v>212</v>
      </c>
      <c r="C1935" t="s">
        <v>189</v>
      </c>
      <c r="D1935" s="22">
        <v>200</v>
      </c>
      <c r="E1935" s="16"/>
      <c r="G1935" t="s">
        <v>142</v>
      </c>
      <c r="I1935" t="s">
        <v>105</v>
      </c>
      <c r="J1935" t="s">
        <v>214</v>
      </c>
      <c r="K1935">
        <v>1</v>
      </c>
      <c r="L1935" s="2"/>
    </row>
    <row r="1936" spans="1:12" x14ac:dyDescent="0.2">
      <c r="A1936">
        <v>2015</v>
      </c>
      <c r="B1936" t="s">
        <v>212</v>
      </c>
      <c r="C1936" t="s">
        <v>196</v>
      </c>
      <c r="D1936" s="22">
        <v>2010</v>
      </c>
      <c r="E1936" s="16"/>
      <c r="F1936" t="s">
        <v>2435</v>
      </c>
      <c r="G1936" t="s">
        <v>144</v>
      </c>
      <c r="H1936" t="s">
        <v>197</v>
      </c>
      <c r="I1936" t="s">
        <v>138</v>
      </c>
      <c r="J1936" t="s">
        <v>219</v>
      </c>
      <c r="K1936">
        <v>1</v>
      </c>
      <c r="L1936" s="2"/>
    </row>
    <row r="1937" spans="1:12" x14ac:dyDescent="0.2">
      <c r="A1937">
        <v>2015</v>
      </c>
      <c r="B1937" t="s">
        <v>212</v>
      </c>
      <c r="C1937" t="s">
        <v>341</v>
      </c>
      <c r="D1937" s="22">
        <v>350</v>
      </c>
      <c r="E1937" s="16"/>
      <c r="G1937" t="s">
        <v>154</v>
      </c>
      <c r="H1937" t="s">
        <v>529</v>
      </c>
      <c r="I1937" t="s">
        <v>67</v>
      </c>
      <c r="J1937" t="s">
        <v>183</v>
      </c>
      <c r="K1937">
        <v>1</v>
      </c>
      <c r="L1937" s="2"/>
    </row>
    <row r="1938" spans="1:12" x14ac:dyDescent="0.2">
      <c r="A1938">
        <v>2016</v>
      </c>
      <c r="B1938" t="s">
        <v>172</v>
      </c>
      <c r="C1938" t="s">
        <v>999</v>
      </c>
      <c r="D1938" s="65">
        <v>180</v>
      </c>
      <c r="E1938" s="33">
        <v>0.27</v>
      </c>
      <c r="F1938" t="s">
        <v>1196</v>
      </c>
      <c r="G1938" t="s">
        <v>153</v>
      </c>
      <c r="I1938" t="s">
        <v>52</v>
      </c>
      <c r="J1938" t="s">
        <v>201</v>
      </c>
      <c r="K1938" s="17">
        <v>0</v>
      </c>
      <c r="L1938" s="28"/>
    </row>
    <row r="1939" spans="1:12" x14ac:dyDescent="0.2">
      <c r="A1939">
        <v>2016</v>
      </c>
      <c r="B1939" t="s">
        <v>172</v>
      </c>
      <c r="C1939" t="s">
        <v>1197</v>
      </c>
      <c r="D1939" s="65">
        <v>100</v>
      </c>
      <c r="E1939" s="33">
        <v>1</v>
      </c>
      <c r="G1939" t="s">
        <v>145</v>
      </c>
      <c r="I1939" t="s">
        <v>52</v>
      </c>
      <c r="J1939" t="s">
        <v>201</v>
      </c>
      <c r="K1939" s="17">
        <v>0</v>
      </c>
      <c r="L1939" s="28" t="s">
        <v>178</v>
      </c>
    </row>
    <row r="1940" spans="1:12" x14ac:dyDescent="0.2">
      <c r="A1940">
        <v>2016</v>
      </c>
      <c r="B1940" t="s">
        <v>172</v>
      </c>
      <c r="C1940" t="s">
        <v>319</v>
      </c>
      <c r="D1940" s="65">
        <v>260</v>
      </c>
      <c r="E1940" s="33"/>
      <c r="F1940" t="s">
        <v>436</v>
      </c>
      <c r="G1940" t="s">
        <v>151</v>
      </c>
      <c r="H1940" t="s">
        <v>224</v>
      </c>
      <c r="I1940" t="s">
        <v>20</v>
      </c>
      <c r="J1940" t="s">
        <v>195</v>
      </c>
      <c r="K1940" s="17">
        <v>0</v>
      </c>
      <c r="L1940" s="28"/>
    </row>
    <row r="1941" spans="1:12" x14ac:dyDescent="0.2">
      <c r="A1941">
        <v>2016</v>
      </c>
      <c r="B1941" t="s">
        <v>172</v>
      </c>
      <c r="C1941" t="s">
        <v>1198</v>
      </c>
      <c r="D1941" s="65">
        <v>100</v>
      </c>
      <c r="E1941" s="33">
        <v>1</v>
      </c>
      <c r="G1941" t="s">
        <v>151</v>
      </c>
      <c r="H1941" t="s">
        <v>224</v>
      </c>
      <c r="I1941" t="s">
        <v>71</v>
      </c>
      <c r="J1941" t="s">
        <v>219</v>
      </c>
      <c r="K1941" s="17">
        <v>1</v>
      </c>
      <c r="L1941" s="28" t="s">
        <v>178</v>
      </c>
    </row>
    <row r="1942" spans="1:12" x14ac:dyDescent="0.2">
      <c r="A1942">
        <v>2016</v>
      </c>
      <c r="B1942" t="s">
        <v>172</v>
      </c>
      <c r="C1942" t="s">
        <v>661</v>
      </c>
      <c r="D1942" s="65">
        <v>3500</v>
      </c>
      <c r="E1942" s="33">
        <v>1</v>
      </c>
      <c r="F1942" t="s">
        <v>1199</v>
      </c>
      <c r="G1942" t="s">
        <v>145</v>
      </c>
      <c r="I1942" t="s">
        <v>131</v>
      </c>
      <c r="J1942" t="s">
        <v>131</v>
      </c>
      <c r="K1942" s="17">
        <v>0</v>
      </c>
      <c r="L1942" s="28"/>
    </row>
    <row r="1943" spans="1:12" x14ac:dyDescent="0.2">
      <c r="A1943">
        <v>2016</v>
      </c>
      <c r="B1943" t="s">
        <v>172</v>
      </c>
      <c r="C1943" t="s">
        <v>210</v>
      </c>
      <c r="D1943" s="65">
        <v>1000</v>
      </c>
      <c r="E1943" s="33">
        <v>1</v>
      </c>
      <c r="F1943" t="s">
        <v>1200</v>
      </c>
      <c r="G1943" t="s">
        <v>151</v>
      </c>
      <c r="H1943" t="s">
        <v>279</v>
      </c>
      <c r="I1943" t="s">
        <v>45</v>
      </c>
      <c r="J1943" t="s">
        <v>195</v>
      </c>
      <c r="K1943" s="17">
        <v>0</v>
      </c>
      <c r="L1943" s="28"/>
    </row>
    <row r="1944" spans="1:12" x14ac:dyDescent="0.2">
      <c r="A1944">
        <v>2016</v>
      </c>
      <c r="B1944" t="s">
        <v>172</v>
      </c>
      <c r="C1944" t="s">
        <v>513</v>
      </c>
      <c r="D1944" s="65">
        <v>110</v>
      </c>
      <c r="E1944" s="33">
        <v>0.51</v>
      </c>
      <c r="F1944" t="s">
        <v>1201</v>
      </c>
      <c r="G1944" t="s">
        <v>150</v>
      </c>
      <c r="H1944" t="s">
        <v>556</v>
      </c>
      <c r="I1944" t="s">
        <v>91</v>
      </c>
      <c r="J1944" t="s">
        <v>195</v>
      </c>
      <c r="K1944" s="17">
        <v>0</v>
      </c>
      <c r="L1944" s="28"/>
    </row>
    <row r="1945" spans="1:12" x14ac:dyDescent="0.2">
      <c r="A1945">
        <v>2016</v>
      </c>
      <c r="B1945" t="s">
        <v>172</v>
      </c>
      <c r="C1945" t="s">
        <v>577</v>
      </c>
      <c r="D1945" s="65">
        <v>5400</v>
      </c>
      <c r="E1945" s="33"/>
      <c r="F1945" t="s">
        <v>1202</v>
      </c>
      <c r="G1945" t="s">
        <v>150</v>
      </c>
      <c r="H1945" t="s">
        <v>556</v>
      </c>
      <c r="I1945" t="s">
        <v>131</v>
      </c>
      <c r="J1945" t="s">
        <v>131</v>
      </c>
      <c r="K1945" s="17">
        <v>0</v>
      </c>
      <c r="L1945" s="28"/>
    </row>
    <row r="1946" spans="1:12" x14ac:dyDescent="0.2">
      <c r="A1946">
        <v>2016</v>
      </c>
      <c r="B1946" t="s">
        <v>172</v>
      </c>
      <c r="C1946" t="s">
        <v>373</v>
      </c>
      <c r="D1946" s="65">
        <v>1200</v>
      </c>
      <c r="E1946" s="33"/>
      <c r="F1946" t="s">
        <v>1118</v>
      </c>
      <c r="G1946" t="s">
        <v>154</v>
      </c>
      <c r="H1946" t="s">
        <v>250</v>
      </c>
      <c r="I1946" t="s">
        <v>56</v>
      </c>
      <c r="J1946" t="s">
        <v>195</v>
      </c>
      <c r="K1946" s="17">
        <v>0</v>
      </c>
      <c r="L1946" s="28"/>
    </row>
    <row r="1947" spans="1:12" x14ac:dyDescent="0.2">
      <c r="A1947">
        <v>2016</v>
      </c>
      <c r="B1947" t="s">
        <v>172</v>
      </c>
      <c r="C1947" t="s">
        <v>880</v>
      </c>
      <c r="D1947" s="65">
        <v>140</v>
      </c>
      <c r="E1947" s="33">
        <v>0.3</v>
      </c>
      <c r="G1947" t="s">
        <v>151</v>
      </c>
      <c r="H1947" t="s">
        <v>224</v>
      </c>
      <c r="I1947" t="s">
        <v>131</v>
      </c>
      <c r="J1947" t="s">
        <v>131</v>
      </c>
      <c r="K1947" s="17">
        <v>0</v>
      </c>
      <c r="L1947" s="28"/>
    </row>
    <row r="1948" spans="1:12" x14ac:dyDescent="0.2">
      <c r="A1948">
        <v>2016</v>
      </c>
      <c r="B1948" t="s">
        <v>172</v>
      </c>
      <c r="C1948" t="s">
        <v>246</v>
      </c>
      <c r="D1948" s="65">
        <v>3660</v>
      </c>
      <c r="E1948" s="33"/>
      <c r="G1948" t="s">
        <v>144</v>
      </c>
      <c r="H1948" t="s">
        <v>197</v>
      </c>
      <c r="I1948" t="s">
        <v>19</v>
      </c>
      <c r="J1948" t="s">
        <v>205</v>
      </c>
      <c r="K1948" s="17">
        <v>0</v>
      </c>
      <c r="L1948" s="28"/>
    </row>
    <row r="1949" spans="1:12" x14ac:dyDescent="0.2">
      <c r="A1949">
        <v>2016</v>
      </c>
      <c r="B1949" t="s">
        <v>172</v>
      </c>
      <c r="C1949" t="s">
        <v>1203</v>
      </c>
      <c r="D1949" s="65">
        <v>210</v>
      </c>
      <c r="E1949" s="33">
        <v>1</v>
      </c>
      <c r="G1949" t="s">
        <v>151</v>
      </c>
      <c r="H1949" t="s">
        <v>279</v>
      </c>
      <c r="I1949" t="s">
        <v>72</v>
      </c>
      <c r="J1949" t="s">
        <v>183</v>
      </c>
      <c r="K1949" s="17">
        <v>1</v>
      </c>
      <c r="L1949" s="28" t="s">
        <v>178</v>
      </c>
    </row>
    <row r="1950" spans="1:12" x14ac:dyDescent="0.2">
      <c r="A1950">
        <v>2016</v>
      </c>
      <c r="B1950" t="s">
        <v>172</v>
      </c>
      <c r="C1950" t="s">
        <v>875</v>
      </c>
      <c r="D1950" s="65">
        <v>390</v>
      </c>
      <c r="E1950" s="33">
        <v>0.2</v>
      </c>
      <c r="F1950" t="s">
        <v>1204</v>
      </c>
      <c r="G1950" t="s">
        <v>144</v>
      </c>
      <c r="H1950" t="s">
        <v>197</v>
      </c>
      <c r="I1950" t="s">
        <v>93</v>
      </c>
      <c r="J1950" t="s">
        <v>201</v>
      </c>
      <c r="K1950" s="17">
        <v>1</v>
      </c>
      <c r="L1950" s="28"/>
    </row>
    <row r="1951" spans="1:12" x14ac:dyDescent="0.2">
      <c r="A1951">
        <v>2016</v>
      </c>
      <c r="B1951" t="s">
        <v>172</v>
      </c>
      <c r="C1951" t="s">
        <v>414</v>
      </c>
      <c r="D1951" s="65">
        <v>300</v>
      </c>
      <c r="E1951" s="33">
        <v>1</v>
      </c>
      <c r="G1951" t="s">
        <v>154</v>
      </c>
      <c r="H1951" t="s">
        <v>194</v>
      </c>
      <c r="I1951" t="s">
        <v>52</v>
      </c>
      <c r="J1951" t="s">
        <v>201</v>
      </c>
      <c r="K1951" s="17">
        <v>0</v>
      </c>
      <c r="L1951" s="28" t="s">
        <v>178</v>
      </c>
    </row>
    <row r="1952" spans="1:12" x14ac:dyDescent="0.2">
      <c r="A1952">
        <v>2016</v>
      </c>
      <c r="B1952" t="s">
        <v>172</v>
      </c>
      <c r="C1952" t="s">
        <v>255</v>
      </c>
      <c r="D1952" s="65">
        <v>300</v>
      </c>
      <c r="E1952" s="33"/>
      <c r="G1952" t="s">
        <v>152</v>
      </c>
      <c r="H1952" t="s">
        <v>257</v>
      </c>
      <c r="I1952" t="s">
        <v>93</v>
      </c>
      <c r="J1952" t="s">
        <v>201</v>
      </c>
      <c r="K1952" s="17">
        <v>1</v>
      </c>
      <c r="L1952" s="28"/>
    </row>
    <row r="1953" spans="1:12" x14ac:dyDescent="0.2">
      <c r="A1953">
        <v>2016</v>
      </c>
      <c r="B1953" t="s">
        <v>258</v>
      </c>
      <c r="C1953" t="s">
        <v>547</v>
      </c>
      <c r="D1953" s="65">
        <v>920</v>
      </c>
      <c r="E1953" s="33">
        <v>1</v>
      </c>
      <c r="F1953" t="s">
        <v>1205</v>
      </c>
      <c r="G1953" t="s">
        <v>154</v>
      </c>
      <c r="H1953" t="s">
        <v>194</v>
      </c>
      <c r="I1953" t="s">
        <v>131</v>
      </c>
      <c r="J1953" t="s">
        <v>131</v>
      </c>
      <c r="K1953" s="17">
        <v>0</v>
      </c>
      <c r="L1953" s="28"/>
    </row>
    <row r="1954" spans="1:12" x14ac:dyDescent="0.2">
      <c r="A1954">
        <v>2016</v>
      </c>
      <c r="B1954" t="s">
        <v>258</v>
      </c>
      <c r="C1954" t="s">
        <v>547</v>
      </c>
      <c r="D1954" s="65">
        <v>200</v>
      </c>
      <c r="E1954" s="33">
        <v>1</v>
      </c>
      <c r="F1954" t="s">
        <v>1206</v>
      </c>
      <c r="G1954" t="s">
        <v>154</v>
      </c>
      <c r="H1954" t="s">
        <v>194</v>
      </c>
      <c r="I1954" t="s">
        <v>45</v>
      </c>
      <c r="J1954" t="s">
        <v>195</v>
      </c>
      <c r="K1954" s="17">
        <v>0</v>
      </c>
      <c r="L1954" s="28"/>
    </row>
    <row r="1955" spans="1:12" x14ac:dyDescent="0.2">
      <c r="A1955">
        <v>2016</v>
      </c>
      <c r="B1955" t="s">
        <v>258</v>
      </c>
      <c r="C1955" t="s">
        <v>756</v>
      </c>
      <c r="D1955" s="65">
        <v>1590</v>
      </c>
      <c r="E1955" s="33">
        <v>1</v>
      </c>
      <c r="F1955" t="s">
        <v>1207</v>
      </c>
      <c r="G1955" t="s">
        <v>144</v>
      </c>
      <c r="H1955" t="s">
        <v>232</v>
      </c>
      <c r="I1955" t="s">
        <v>45</v>
      </c>
      <c r="J1955" t="s">
        <v>195</v>
      </c>
      <c r="K1955" s="17">
        <v>0</v>
      </c>
      <c r="L1955" s="28"/>
    </row>
    <row r="1956" spans="1:12" x14ac:dyDescent="0.2">
      <c r="A1956">
        <v>2016</v>
      </c>
      <c r="B1956" t="s">
        <v>258</v>
      </c>
      <c r="C1956" t="s">
        <v>1208</v>
      </c>
      <c r="D1956" s="65">
        <v>220</v>
      </c>
      <c r="E1956" s="33"/>
      <c r="F1956" t="s">
        <v>1209</v>
      </c>
      <c r="G1956" t="s">
        <v>155</v>
      </c>
      <c r="I1956" t="s">
        <v>45</v>
      </c>
      <c r="J1956" t="s">
        <v>195</v>
      </c>
      <c r="K1956" s="17">
        <v>0</v>
      </c>
      <c r="L1956" s="28"/>
    </row>
    <row r="1957" spans="1:12" x14ac:dyDescent="0.2">
      <c r="A1957">
        <v>2016</v>
      </c>
      <c r="B1957" t="s">
        <v>258</v>
      </c>
      <c r="C1957" t="s">
        <v>822</v>
      </c>
      <c r="D1957" s="65">
        <v>130</v>
      </c>
      <c r="E1957" s="33">
        <v>0.06</v>
      </c>
      <c r="F1957" t="s">
        <v>1210</v>
      </c>
      <c r="G1957" t="s">
        <v>150</v>
      </c>
      <c r="H1957" t="s">
        <v>556</v>
      </c>
      <c r="I1957" t="s">
        <v>131</v>
      </c>
      <c r="J1957" t="s">
        <v>131</v>
      </c>
      <c r="K1957" s="17">
        <v>0</v>
      </c>
      <c r="L1957" s="28"/>
    </row>
    <row r="1958" spans="1:12" x14ac:dyDescent="0.2">
      <c r="A1958">
        <v>2016</v>
      </c>
      <c r="B1958" t="s">
        <v>258</v>
      </c>
      <c r="C1958" t="s">
        <v>1211</v>
      </c>
      <c r="D1958" s="65">
        <v>250</v>
      </c>
      <c r="E1958" s="33"/>
      <c r="F1958" t="s">
        <v>1212</v>
      </c>
      <c r="G1958" t="s">
        <v>145</v>
      </c>
      <c r="I1958" t="s">
        <v>131</v>
      </c>
      <c r="J1958" t="s">
        <v>131</v>
      </c>
      <c r="K1958" s="17">
        <v>0</v>
      </c>
      <c r="L1958" s="28"/>
    </row>
    <row r="1959" spans="1:12" x14ac:dyDescent="0.2">
      <c r="A1959">
        <v>2016</v>
      </c>
      <c r="B1959" t="s">
        <v>258</v>
      </c>
      <c r="C1959" t="s">
        <v>418</v>
      </c>
      <c r="D1959" s="65">
        <v>450</v>
      </c>
      <c r="E1959" s="33">
        <v>0.06</v>
      </c>
      <c r="F1959" t="s">
        <v>1192</v>
      </c>
      <c r="G1959" t="s">
        <v>153</v>
      </c>
      <c r="I1959" t="s">
        <v>42</v>
      </c>
      <c r="J1959" t="s">
        <v>195</v>
      </c>
      <c r="K1959" s="17">
        <v>0</v>
      </c>
      <c r="L1959" s="28"/>
    </row>
    <row r="1960" spans="1:12" x14ac:dyDescent="0.2">
      <c r="A1960">
        <v>2016</v>
      </c>
      <c r="B1960" t="s">
        <v>258</v>
      </c>
      <c r="C1960" t="s">
        <v>581</v>
      </c>
      <c r="D1960" s="65">
        <v>140</v>
      </c>
      <c r="E1960" s="33">
        <v>4.8000000000000001E-2</v>
      </c>
      <c r="F1960" t="s">
        <v>1112</v>
      </c>
      <c r="G1960" t="s">
        <v>152</v>
      </c>
      <c r="I1960" t="s">
        <v>45</v>
      </c>
      <c r="J1960" t="s">
        <v>195</v>
      </c>
      <c r="K1960" s="17">
        <v>0</v>
      </c>
      <c r="L1960" s="28"/>
    </row>
    <row r="1961" spans="1:12" x14ac:dyDescent="0.2">
      <c r="A1961">
        <v>2016</v>
      </c>
      <c r="B1961" t="s">
        <v>258</v>
      </c>
      <c r="C1961" t="s">
        <v>373</v>
      </c>
      <c r="D1961" s="65">
        <v>6000</v>
      </c>
      <c r="E1961" s="33">
        <v>1</v>
      </c>
      <c r="F1961" t="s">
        <v>1213</v>
      </c>
      <c r="G1961" t="s">
        <v>152</v>
      </c>
      <c r="I1961" t="s">
        <v>131</v>
      </c>
      <c r="J1961" t="s">
        <v>131</v>
      </c>
      <c r="K1961" s="17">
        <v>0</v>
      </c>
      <c r="L1961" s="28"/>
    </row>
    <row r="1962" spans="1:12" x14ac:dyDescent="0.2">
      <c r="A1962">
        <v>2016</v>
      </c>
      <c r="B1962" t="s">
        <v>258</v>
      </c>
      <c r="C1962" t="s">
        <v>278</v>
      </c>
      <c r="D1962" s="65">
        <v>100</v>
      </c>
      <c r="E1962" s="33">
        <v>1</v>
      </c>
      <c r="G1962" t="s">
        <v>151</v>
      </c>
      <c r="H1962" t="s">
        <v>279</v>
      </c>
      <c r="I1962" t="s">
        <v>52</v>
      </c>
      <c r="J1962" t="s">
        <v>201</v>
      </c>
      <c r="K1962" s="17">
        <v>0</v>
      </c>
      <c r="L1962" s="28" t="s">
        <v>178</v>
      </c>
    </row>
    <row r="1963" spans="1:12" x14ac:dyDescent="0.2">
      <c r="A1963">
        <v>2016</v>
      </c>
      <c r="B1963" t="s">
        <v>258</v>
      </c>
      <c r="C1963" t="s">
        <v>1089</v>
      </c>
      <c r="D1963" s="65">
        <v>560</v>
      </c>
      <c r="E1963" s="33">
        <v>1</v>
      </c>
      <c r="F1963" t="s">
        <v>1214</v>
      </c>
      <c r="G1963" t="s">
        <v>144</v>
      </c>
      <c r="I1963" t="s">
        <v>25</v>
      </c>
      <c r="J1963" t="s">
        <v>177</v>
      </c>
      <c r="K1963" s="17">
        <v>0</v>
      </c>
      <c r="L1963" s="28"/>
    </row>
    <row r="1964" spans="1:12" x14ac:dyDescent="0.2">
      <c r="A1964">
        <v>2016</v>
      </c>
      <c r="B1964" t="s">
        <v>258</v>
      </c>
      <c r="C1964" t="s">
        <v>1215</v>
      </c>
      <c r="D1964" s="65">
        <v>100</v>
      </c>
      <c r="E1964" s="33"/>
      <c r="F1964" t="s">
        <v>1216</v>
      </c>
      <c r="G1964" t="s">
        <v>145</v>
      </c>
      <c r="I1964" t="s">
        <v>131</v>
      </c>
      <c r="J1964" t="s">
        <v>131</v>
      </c>
      <c r="K1964" s="17">
        <v>0</v>
      </c>
      <c r="L1964" s="28"/>
    </row>
    <row r="1965" spans="1:12" x14ac:dyDescent="0.2">
      <c r="A1965">
        <v>2016</v>
      </c>
      <c r="B1965" t="s">
        <v>258</v>
      </c>
      <c r="C1965" t="s">
        <v>474</v>
      </c>
      <c r="D1965" s="65">
        <v>260</v>
      </c>
      <c r="E1965" s="33">
        <v>1</v>
      </c>
      <c r="F1965" t="s">
        <v>1217</v>
      </c>
      <c r="G1965" t="s">
        <v>144</v>
      </c>
      <c r="H1965" t="s">
        <v>232</v>
      </c>
      <c r="I1965" t="s">
        <v>20</v>
      </c>
      <c r="J1965" t="s">
        <v>195</v>
      </c>
      <c r="K1965" s="17">
        <v>0</v>
      </c>
      <c r="L1965" s="28"/>
    </row>
    <row r="1966" spans="1:12" x14ac:dyDescent="0.2">
      <c r="A1966">
        <v>2016</v>
      </c>
      <c r="B1966" t="s">
        <v>258</v>
      </c>
      <c r="C1966" t="s">
        <v>822</v>
      </c>
      <c r="D1966" s="65">
        <v>160</v>
      </c>
      <c r="E1966" s="33"/>
      <c r="F1966" t="s">
        <v>1218</v>
      </c>
      <c r="G1966" t="s">
        <v>145</v>
      </c>
      <c r="I1966" t="s">
        <v>131</v>
      </c>
      <c r="J1966" t="s">
        <v>131</v>
      </c>
      <c r="K1966" s="17">
        <v>0</v>
      </c>
      <c r="L1966" s="28"/>
    </row>
    <row r="1967" spans="1:12" x14ac:dyDescent="0.2">
      <c r="A1967">
        <v>2016</v>
      </c>
      <c r="B1967" t="s">
        <v>258</v>
      </c>
      <c r="C1967" t="s">
        <v>1219</v>
      </c>
      <c r="D1967" s="65">
        <v>140</v>
      </c>
      <c r="E1967" s="33">
        <v>1</v>
      </c>
      <c r="G1967" t="s">
        <v>154</v>
      </c>
      <c r="H1967" t="s">
        <v>194</v>
      </c>
      <c r="I1967" t="s">
        <v>101</v>
      </c>
      <c r="J1967" t="s">
        <v>201</v>
      </c>
      <c r="K1967" s="17">
        <v>1</v>
      </c>
      <c r="L1967" s="28" t="s">
        <v>178</v>
      </c>
    </row>
    <row r="1968" spans="1:12" x14ac:dyDescent="0.2">
      <c r="A1968">
        <v>2016</v>
      </c>
      <c r="B1968" t="s">
        <v>179</v>
      </c>
      <c r="C1968" t="s">
        <v>880</v>
      </c>
      <c r="D1968" s="65">
        <v>570</v>
      </c>
      <c r="E1968" s="33">
        <v>0.7</v>
      </c>
      <c r="F1968" t="s">
        <v>1220</v>
      </c>
      <c r="G1968" t="s">
        <v>153</v>
      </c>
      <c r="I1968" t="s">
        <v>131</v>
      </c>
      <c r="J1968" t="s">
        <v>131</v>
      </c>
      <c r="K1968" s="17">
        <v>0</v>
      </c>
      <c r="L1968" s="28"/>
    </row>
    <row r="1969" spans="1:12" x14ac:dyDescent="0.2">
      <c r="A1969">
        <v>2016</v>
      </c>
      <c r="B1969" t="s">
        <v>179</v>
      </c>
      <c r="C1969" t="s">
        <v>581</v>
      </c>
      <c r="D1969" s="65">
        <v>470</v>
      </c>
      <c r="E1969" s="33">
        <v>0.8</v>
      </c>
      <c r="F1969" t="s">
        <v>1221</v>
      </c>
      <c r="G1969" t="s">
        <v>150</v>
      </c>
      <c r="H1969" t="s">
        <v>556</v>
      </c>
      <c r="I1969" t="s">
        <v>61</v>
      </c>
      <c r="J1969" t="s">
        <v>183</v>
      </c>
      <c r="K1969" s="17">
        <v>0</v>
      </c>
      <c r="L1969" s="28"/>
    </row>
    <row r="1970" spans="1:12" x14ac:dyDescent="0.2">
      <c r="A1970">
        <v>2016</v>
      </c>
      <c r="B1970" t="s">
        <v>179</v>
      </c>
      <c r="C1970" t="s">
        <v>373</v>
      </c>
      <c r="D1970" s="65">
        <v>420</v>
      </c>
      <c r="E1970" s="33">
        <v>0.9</v>
      </c>
      <c r="F1970" t="s">
        <v>1222</v>
      </c>
      <c r="G1970" t="s">
        <v>151</v>
      </c>
      <c r="H1970" t="s">
        <v>224</v>
      </c>
      <c r="I1970" t="s">
        <v>131</v>
      </c>
      <c r="J1970" t="s">
        <v>131</v>
      </c>
      <c r="K1970" s="17">
        <v>0</v>
      </c>
      <c r="L1970" s="28"/>
    </row>
    <row r="1971" spans="1:12" x14ac:dyDescent="0.2">
      <c r="A1971">
        <v>2016</v>
      </c>
      <c r="B1971" t="s">
        <v>179</v>
      </c>
      <c r="C1971" t="s">
        <v>1223</v>
      </c>
      <c r="D1971" s="65">
        <v>500</v>
      </c>
      <c r="E1971" s="33"/>
      <c r="F1971" t="s">
        <v>1224</v>
      </c>
      <c r="G1971" t="s">
        <v>145</v>
      </c>
      <c r="I1971" t="s">
        <v>131</v>
      </c>
      <c r="J1971" t="s">
        <v>131</v>
      </c>
      <c r="K1971" s="17">
        <v>0</v>
      </c>
      <c r="L1971" s="28"/>
    </row>
    <row r="1972" spans="1:12" x14ac:dyDescent="0.2">
      <c r="A1972">
        <v>2016</v>
      </c>
      <c r="B1972" t="s">
        <v>179</v>
      </c>
      <c r="C1972" t="s">
        <v>564</v>
      </c>
      <c r="D1972" s="65">
        <v>250</v>
      </c>
      <c r="E1972" s="33"/>
      <c r="G1972" t="s">
        <v>154</v>
      </c>
      <c r="H1972" t="s">
        <v>194</v>
      </c>
      <c r="I1972" t="s">
        <v>131</v>
      </c>
      <c r="J1972" t="s">
        <v>131</v>
      </c>
      <c r="K1972" s="17">
        <v>0</v>
      </c>
      <c r="L1972" s="28"/>
    </row>
    <row r="1973" spans="1:12" x14ac:dyDescent="0.2">
      <c r="A1973">
        <v>2016</v>
      </c>
      <c r="B1973" t="s">
        <v>179</v>
      </c>
      <c r="C1973" t="s">
        <v>554</v>
      </c>
      <c r="D1973" s="65">
        <v>430</v>
      </c>
      <c r="E1973" s="33"/>
      <c r="G1973" t="s">
        <v>151</v>
      </c>
      <c r="H1973" t="s">
        <v>224</v>
      </c>
      <c r="I1973" t="s">
        <v>20</v>
      </c>
      <c r="J1973" t="s">
        <v>195</v>
      </c>
      <c r="K1973" s="17">
        <v>0</v>
      </c>
      <c r="L1973" s="28"/>
    </row>
    <row r="1974" spans="1:12" x14ac:dyDescent="0.2">
      <c r="A1974">
        <v>2016</v>
      </c>
      <c r="B1974" t="s">
        <v>179</v>
      </c>
      <c r="C1974" t="s">
        <v>877</v>
      </c>
      <c r="D1974" s="65">
        <v>440</v>
      </c>
      <c r="E1974" s="33">
        <v>1</v>
      </c>
      <c r="F1974" t="s">
        <v>1225</v>
      </c>
      <c r="G1974" t="s">
        <v>144</v>
      </c>
      <c r="H1974" t="s">
        <v>187</v>
      </c>
      <c r="I1974" t="s">
        <v>25</v>
      </c>
      <c r="J1974" t="s">
        <v>177</v>
      </c>
      <c r="K1974" s="17">
        <v>0</v>
      </c>
      <c r="L1974" s="28"/>
    </row>
    <row r="1975" spans="1:12" x14ac:dyDescent="0.2">
      <c r="A1975">
        <v>2016</v>
      </c>
      <c r="B1975" t="s">
        <v>179</v>
      </c>
      <c r="C1975" t="s">
        <v>698</v>
      </c>
      <c r="D1975" s="65">
        <v>1480</v>
      </c>
      <c r="E1975" s="33">
        <v>0.7</v>
      </c>
      <c r="F1975" t="s">
        <v>1226</v>
      </c>
      <c r="G1975" t="s">
        <v>150</v>
      </c>
      <c r="H1975" t="s">
        <v>292</v>
      </c>
      <c r="I1975" t="s">
        <v>42</v>
      </c>
      <c r="J1975" t="s">
        <v>195</v>
      </c>
      <c r="K1975" s="17">
        <v>0</v>
      </c>
      <c r="L1975" s="28"/>
    </row>
    <row r="1976" spans="1:12" x14ac:dyDescent="0.2">
      <c r="A1976">
        <v>2016</v>
      </c>
      <c r="B1976" t="s">
        <v>179</v>
      </c>
      <c r="C1976" t="s">
        <v>1110</v>
      </c>
      <c r="D1976" s="65">
        <v>130</v>
      </c>
      <c r="E1976" s="33">
        <v>0.11</v>
      </c>
      <c r="F1976" t="s">
        <v>1227</v>
      </c>
      <c r="G1976" t="s">
        <v>147</v>
      </c>
      <c r="I1976" t="s">
        <v>9</v>
      </c>
      <c r="J1976" t="s">
        <v>9</v>
      </c>
      <c r="K1976" s="17">
        <v>0</v>
      </c>
      <c r="L1976" s="28"/>
    </row>
    <row r="1977" spans="1:12" x14ac:dyDescent="0.2">
      <c r="A1977">
        <v>2016</v>
      </c>
      <c r="B1977" t="s">
        <v>179</v>
      </c>
      <c r="C1977" t="s">
        <v>927</v>
      </c>
      <c r="D1977" s="65">
        <v>110</v>
      </c>
      <c r="E1977" s="33">
        <v>0.9</v>
      </c>
      <c r="F1977" t="s">
        <v>1228</v>
      </c>
      <c r="G1977" t="s">
        <v>142</v>
      </c>
      <c r="I1977" t="s">
        <v>9</v>
      </c>
      <c r="J1977" t="s">
        <v>9</v>
      </c>
      <c r="K1977" s="17">
        <v>0</v>
      </c>
      <c r="L1977" s="28"/>
    </row>
    <row r="1978" spans="1:12" x14ac:dyDescent="0.2">
      <c r="A1978">
        <v>2016</v>
      </c>
      <c r="B1978" t="s">
        <v>179</v>
      </c>
      <c r="C1978" t="s">
        <v>1189</v>
      </c>
      <c r="D1978" s="65">
        <v>120</v>
      </c>
      <c r="E1978" s="33"/>
      <c r="F1978" t="s">
        <v>1229</v>
      </c>
      <c r="G1978" t="s">
        <v>152</v>
      </c>
      <c r="I1978" t="s">
        <v>9</v>
      </c>
      <c r="J1978" t="s">
        <v>9</v>
      </c>
      <c r="K1978" s="17">
        <v>0</v>
      </c>
      <c r="L1978" s="28"/>
    </row>
    <row r="1979" spans="1:12" x14ac:dyDescent="0.2">
      <c r="A1979">
        <v>2016</v>
      </c>
      <c r="B1979" t="s">
        <v>179</v>
      </c>
      <c r="C1979" t="s">
        <v>1180</v>
      </c>
      <c r="D1979" s="65">
        <v>230</v>
      </c>
      <c r="E1979" s="33">
        <v>1</v>
      </c>
      <c r="F1979" t="s">
        <v>1230</v>
      </c>
      <c r="G1979" t="s">
        <v>144</v>
      </c>
      <c r="H1979" t="s">
        <v>232</v>
      </c>
      <c r="I1979" t="s">
        <v>9</v>
      </c>
      <c r="J1979" t="s">
        <v>9</v>
      </c>
      <c r="K1979" s="17">
        <v>0</v>
      </c>
      <c r="L1979" s="28"/>
    </row>
    <row r="1980" spans="1:12" x14ac:dyDescent="0.2">
      <c r="A1980">
        <v>2016</v>
      </c>
      <c r="B1980" t="s">
        <v>179</v>
      </c>
      <c r="C1980" t="s">
        <v>1231</v>
      </c>
      <c r="D1980" s="65">
        <v>750</v>
      </c>
      <c r="E1980" s="33">
        <v>0.12</v>
      </c>
      <c r="F1980" t="s">
        <v>1232</v>
      </c>
      <c r="G1980" t="s">
        <v>144</v>
      </c>
      <c r="H1980" t="s">
        <v>299</v>
      </c>
      <c r="I1980" t="s">
        <v>9</v>
      </c>
      <c r="J1980" t="s">
        <v>9</v>
      </c>
      <c r="K1980" s="17">
        <v>0</v>
      </c>
      <c r="L1980" s="28"/>
    </row>
    <row r="1981" spans="1:12" x14ac:dyDescent="0.2">
      <c r="A1981">
        <v>2016</v>
      </c>
      <c r="B1981" t="s">
        <v>179</v>
      </c>
      <c r="C1981" t="s">
        <v>263</v>
      </c>
      <c r="D1981" s="65">
        <v>610</v>
      </c>
      <c r="E1981" s="33">
        <v>0.16</v>
      </c>
      <c r="F1981" t="s">
        <v>1233</v>
      </c>
      <c r="G1981" t="s">
        <v>154</v>
      </c>
      <c r="H1981" t="s">
        <v>529</v>
      </c>
      <c r="I1981" t="s">
        <v>9</v>
      </c>
      <c r="J1981" t="s">
        <v>9</v>
      </c>
      <c r="K1981" s="17">
        <v>0</v>
      </c>
      <c r="L1981" s="28"/>
    </row>
    <row r="1982" spans="1:12" x14ac:dyDescent="0.2">
      <c r="A1982">
        <v>2016</v>
      </c>
      <c r="B1982" t="s">
        <v>179</v>
      </c>
      <c r="C1982" t="s">
        <v>1234</v>
      </c>
      <c r="D1982" s="65">
        <v>990</v>
      </c>
      <c r="E1982" s="33">
        <v>0.5</v>
      </c>
      <c r="F1982" t="s">
        <v>1235</v>
      </c>
      <c r="G1982" t="s">
        <v>144</v>
      </c>
      <c r="H1982" t="s">
        <v>273</v>
      </c>
      <c r="I1982" t="s">
        <v>13</v>
      </c>
      <c r="J1982" t="s">
        <v>201</v>
      </c>
      <c r="K1982" s="17">
        <v>1</v>
      </c>
      <c r="L1982" s="28" t="s">
        <v>178</v>
      </c>
    </row>
    <row r="1983" spans="1:12" x14ac:dyDescent="0.2">
      <c r="A1983">
        <v>2016</v>
      </c>
      <c r="B1983" t="s">
        <v>179</v>
      </c>
      <c r="C1983" t="s">
        <v>397</v>
      </c>
      <c r="D1983" s="65">
        <v>690</v>
      </c>
      <c r="E1983" s="33"/>
      <c r="G1983" t="s">
        <v>151</v>
      </c>
      <c r="H1983" t="s">
        <v>224</v>
      </c>
      <c r="I1983" t="s">
        <v>131</v>
      </c>
      <c r="J1983" t="s">
        <v>131</v>
      </c>
      <c r="K1983" s="17">
        <v>0</v>
      </c>
      <c r="L1983" s="28" t="s">
        <v>178</v>
      </c>
    </row>
    <row r="1984" spans="1:12" x14ac:dyDescent="0.2">
      <c r="A1984">
        <v>2016</v>
      </c>
      <c r="B1984" t="s">
        <v>179</v>
      </c>
      <c r="C1984" t="s">
        <v>962</v>
      </c>
      <c r="D1984" s="65">
        <v>5520</v>
      </c>
      <c r="E1984" s="33"/>
      <c r="F1984" t="s">
        <v>264</v>
      </c>
      <c r="G1984" t="s">
        <v>153</v>
      </c>
      <c r="I1984" t="s">
        <v>131</v>
      </c>
      <c r="J1984" t="s">
        <v>131</v>
      </c>
      <c r="K1984" s="17">
        <v>0</v>
      </c>
      <c r="L1984" s="28"/>
    </row>
    <row r="1985" spans="1:12" x14ac:dyDescent="0.2">
      <c r="A1985">
        <v>2016</v>
      </c>
      <c r="B1985" t="s">
        <v>179</v>
      </c>
      <c r="C1985" t="s">
        <v>1236</v>
      </c>
      <c r="D1985" s="65">
        <v>280</v>
      </c>
      <c r="E1985" s="33">
        <v>0.5</v>
      </c>
      <c r="F1985" t="s">
        <v>1237</v>
      </c>
      <c r="G1985" t="s">
        <v>147</v>
      </c>
      <c r="I1985" t="s">
        <v>131</v>
      </c>
      <c r="J1985" t="s">
        <v>131</v>
      </c>
      <c r="K1985" s="17">
        <v>0</v>
      </c>
      <c r="L1985" s="28"/>
    </row>
    <row r="1986" spans="1:12" x14ac:dyDescent="0.2">
      <c r="A1986">
        <v>2016</v>
      </c>
      <c r="B1986" t="s">
        <v>179</v>
      </c>
      <c r="C1986" t="s">
        <v>313</v>
      </c>
      <c r="D1986" s="65">
        <v>180</v>
      </c>
      <c r="E1986" s="33">
        <v>0.55000000000000004</v>
      </c>
      <c r="F1986" t="s">
        <v>1238</v>
      </c>
      <c r="G1986" t="s">
        <v>142</v>
      </c>
      <c r="I1986" t="s">
        <v>108</v>
      </c>
      <c r="J1986" t="s">
        <v>183</v>
      </c>
      <c r="K1986" s="17">
        <v>1</v>
      </c>
      <c r="L1986" s="28"/>
    </row>
    <row r="1987" spans="1:12" x14ac:dyDescent="0.2">
      <c r="A1987">
        <v>2016</v>
      </c>
      <c r="B1987" t="s">
        <v>179</v>
      </c>
      <c r="C1987" t="s">
        <v>913</v>
      </c>
      <c r="D1987" s="65">
        <v>160</v>
      </c>
      <c r="E1987" s="33"/>
      <c r="G1987" t="s">
        <v>154</v>
      </c>
      <c r="H1987" t="s">
        <v>194</v>
      </c>
      <c r="I1987" t="s">
        <v>131</v>
      </c>
      <c r="J1987" t="s">
        <v>131</v>
      </c>
      <c r="K1987" s="17">
        <v>0</v>
      </c>
      <c r="L1987" s="28" t="s">
        <v>178</v>
      </c>
    </row>
    <row r="1988" spans="1:12" x14ac:dyDescent="0.2">
      <c r="A1988">
        <v>2016</v>
      </c>
      <c r="B1988" t="s">
        <v>179</v>
      </c>
      <c r="C1988" t="s">
        <v>943</v>
      </c>
      <c r="D1988" s="65">
        <v>100</v>
      </c>
      <c r="E1988" s="33"/>
      <c r="G1988" t="s">
        <v>144</v>
      </c>
      <c r="H1988" t="s">
        <v>232</v>
      </c>
      <c r="I1988" t="s">
        <v>72</v>
      </c>
      <c r="J1988" t="s">
        <v>183</v>
      </c>
      <c r="K1988" s="17">
        <v>1</v>
      </c>
      <c r="L1988" s="28" t="s">
        <v>178</v>
      </c>
    </row>
    <row r="1989" spans="1:12" x14ac:dyDescent="0.2">
      <c r="A1989">
        <v>2016</v>
      </c>
      <c r="B1989" t="s">
        <v>184</v>
      </c>
      <c r="C1989" t="s">
        <v>1239</v>
      </c>
      <c r="D1989" s="65">
        <v>2100</v>
      </c>
      <c r="E1989" s="33">
        <v>0.7</v>
      </c>
      <c r="G1989" t="s">
        <v>144</v>
      </c>
      <c r="H1989" t="s">
        <v>187</v>
      </c>
      <c r="I1989" t="s">
        <v>82</v>
      </c>
      <c r="J1989" t="s">
        <v>183</v>
      </c>
      <c r="K1989" s="17">
        <v>1</v>
      </c>
      <c r="L1989" s="28"/>
    </row>
    <row r="1990" spans="1:12" x14ac:dyDescent="0.2">
      <c r="A1990">
        <v>2016</v>
      </c>
      <c r="B1990" t="s">
        <v>184</v>
      </c>
      <c r="C1990" t="s">
        <v>1240</v>
      </c>
      <c r="D1990" s="65">
        <v>190</v>
      </c>
      <c r="E1990" s="33">
        <v>1</v>
      </c>
      <c r="F1990" t="s">
        <v>1241</v>
      </c>
      <c r="G1990" t="s">
        <v>152</v>
      </c>
      <c r="I1990" t="s">
        <v>41</v>
      </c>
      <c r="J1990" t="s">
        <v>195</v>
      </c>
      <c r="K1990" s="17">
        <v>0</v>
      </c>
      <c r="L1990" s="28"/>
    </row>
    <row r="1991" spans="1:12" x14ac:dyDescent="0.2">
      <c r="A1991">
        <v>2016</v>
      </c>
      <c r="B1991" t="s">
        <v>184</v>
      </c>
      <c r="C1991" t="s">
        <v>307</v>
      </c>
      <c r="D1991" s="65">
        <v>110</v>
      </c>
      <c r="E1991" s="33"/>
      <c r="G1991" t="s">
        <v>144</v>
      </c>
      <c r="I1991" t="s">
        <v>19</v>
      </c>
      <c r="J1991" t="s">
        <v>205</v>
      </c>
      <c r="K1991" s="17">
        <v>0</v>
      </c>
      <c r="L1991" s="28"/>
    </row>
    <row r="1992" spans="1:12" x14ac:dyDescent="0.2">
      <c r="A1992">
        <v>2016</v>
      </c>
      <c r="B1992" t="s">
        <v>184</v>
      </c>
      <c r="C1992" t="s">
        <v>1242</v>
      </c>
      <c r="D1992" s="65">
        <v>350</v>
      </c>
      <c r="E1992" s="33">
        <v>1</v>
      </c>
      <c r="G1992" t="s">
        <v>150</v>
      </c>
      <c r="H1992" t="s">
        <v>292</v>
      </c>
      <c r="I1992" t="s">
        <v>40</v>
      </c>
      <c r="J1992" t="s">
        <v>219</v>
      </c>
      <c r="K1992" s="17">
        <v>1</v>
      </c>
      <c r="L1992" s="28" t="s">
        <v>178</v>
      </c>
    </row>
    <row r="1993" spans="1:12" x14ac:dyDescent="0.2">
      <c r="A1993">
        <v>2016</v>
      </c>
      <c r="B1993" t="s">
        <v>184</v>
      </c>
      <c r="C1993" t="s">
        <v>1110</v>
      </c>
      <c r="D1993" s="65">
        <v>100</v>
      </c>
      <c r="E1993" s="33">
        <v>0.06</v>
      </c>
      <c r="F1993" t="s">
        <v>1227</v>
      </c>
      <c r="G1993" t="s">
        <v>147</v>
      </c>
      <c r="I1993" t="s">
        <v>9</v>
      </c>
      <c r="J1993" t="s">
        <v>9</v>
      </c>
      <c r="K1993" s="17">
        <v>0</v>
      </c>
      <c r="L1993" s="28"/>
    </row>
    <row r="1994" spans="1:12" x14ac:dyDescent="0.2">
      <c r="A1994">
        <v>2016</v>
      </c>
      <c r="B1994" t="s">
        <v>184</v>
      </c>
      <c r="C1994" t="s">
        <v>418</v>
      </c>
      <c r="D1994" s="65">
        <v>280</v>
      </c>
      <c r="E1994" s="33">
        <v>3.3000000000000002E-2</v>
      </c>
      <c r="F1994" t="s">
        <v>1192</v>
      </c>
      <c r="G1994" t="s">
        <v>153</v>
      </c>
      <c r="I1994" t="s">
        <v>42</v>
      </c>
      <c r="J1994" t="s">
        <v>195</v>
      </c>
      <c r="K1994" s="17">
        <v>0</v>
      </c>
      <c r="L1994" s="28"/>
    </row>
    <row r="1995" spans="1:12" x14ac:dyDescent="0.2">
      <c r="A1995">
        <v>2016</v>
      </c>
      <c r="B1995" t="s">
        <v>184</v>
      </c>
      <c r="C1995" t="s">
        <v>373</v>
      </c>
      <c r="D1995" s="65">
        <v>190</v>
      </c>
      <c r="E1995" s="33"/>
      <c r="G1995" t="s">
        <v>151</v>
      </c>
      <c r="H1995" t="s">
        <v>224</v>
      </c>
      <c r="I1995" t="s">
        <v>20</v>
      </c>
      <c r="J1995" t="s">
        <v>195</v>
      </c>
      <c r="K1995" s="17">
        <v>0</v>
      </c>
      <c r="L1995" s="28"/>
    </row>
    <row r="1996" spans="1:12" x14ac:dyDescent="0.2">
      <c r="A1996">
        <v>2016</v>
      </c>
      <c r="B1996" t="s">
        <v>184</v>
      </c>
      <c r="C1996" t="s">
        <v>822</v>
      </c>
      <c r="D1996" s="65">
        <v>1000</v>
      </c>
      <c r="E1996" s="33">
        <v>0.51</v>
      </c>
      <c r="F1996" t="s">
        <v>1243</v>
      </c>
      <c r="G1996" t="s">
        <v>150</v>
      </c>
      <c r="H1996" t="s">
        <v>556</v>
      </c>
      <c r="I1996" t="s">
        <v>108</v>
      </c>
      <c r="J1996" t="s">
        <v>183</v>
      </c>
      <c r="K1996" s="17">
        <v>1</v>
      </c>
      <c r="L1996" s="28"/>
    </row>
    <row r="1997" spans="1:12" x14ac:dyDescent="0.2">
      <c r="A1997">
        <v>2016</v>
      </c>
      <c r="B1997" t="s">
        <v>184</v>
      </c>
      <c r="C1997" t="s">
        <v>373</v>
      </c>
      <c r="D1997" s="65">
        <v>1440</v>
      </c>
      <c r="E1997" s="33">
        <v>1</v>
      </c>
      <c r="F1997" t="s">
        <v>1244</v>
      </c>
      <c r="G1997" t="s">
        <v>153</v>
      </c>
      <c r="I1997" t="s">
        <v>119</v>
      </c>
      <c r="J1997" t="s">
        <v>195</v>
      </c>
      <c r="K1997" s="17">
        <v>0</v>
      </c>
      <c r="L1997" s="28"/>
    </row>
    <row r="1998" spans="1:12" x14ac:dyDescent="0.2">
      <c r="A1998">
        <v>2016</v>
      </c>
      <c r="B1998" t="s">
        <v>184</v>
      </c>
      <c r="C1998" t="s">
        <v>797</v>
      </c>
      <c r="D1998" s="65">
        <v>1540</v>
      </c>
      <c r="E1998" s="33"/>
      <c r="F1998" t="s">
        <v>1245</v>
      </c>
      <c r="G1998" t="s">
        <v>143</v>
      </c>
      <c r="I1998" t="s">
        <v>19</v>
      </c>
      <c r="J1998" t="s">
        <v>205</v>
      </c>
      <c r="K1998" s="17">
        <v>0</v>
      </c>
      <c r="L1998" s="28"/>
    </row>
    <row r="1999" spans="1:12" x14ac:dyDescent="0.2">
      <c r="A1999">
        <v>2016</v>
      </c>
      <c r="B1999" t="s">
        <v>184</v>
      </c>
      <c r="C1999" t="s">
        <v>1246</v>
      </c>
      <c r="D1999" s="65">
        <v>820</v>
      </c>
      <c r="E1999" s="33"/>
      <c r="F1999" t="s">
        <v>1247</v>
      </c>
      <c r="G1999" t="s">
        <v>144</v>
      </c>
      <c r="H1999" t="s">
        <v>273</v>
      </c>
      <c r="I1999" t="s">
        <v>130</v>
      </c>
      <c r="J1999" t="s">
        <v>214</v>
      </c>
      <c r="K1999" s="17">
        <v>1</v>
      </c>
      <c r="L1999" s="28" t="s">
        <v>178</v>
      </c>
    </row>
    <row r="2000" spans="1:12" x14ac:dyDescent="0.2">
      <c r="A2000">
        <v>2016</v>
      </c>
      <c r="B2000" t="s">
        <v>184</v>
      </c>
      <c r="C2000" t="s">
        <v>962</v>
      </c>
      <c r="D2000" s="65">
        <v>510</v>
      </c>
      <c r="E2000" s="33">
        <v>0.66</v>
      </c>
      <c r="F2000" t="s">
        <v>1248</v>
      </c>
      <c r="G2000" t="s">
        <v>151</v>
      </c>
      <c r="H2000" t="s">
        <v>224</v>
      </c>
      <c r="I2000" t="s">
        <v>25</v>
      </c>
      <c r="J2000" t="s">
        <v>177</v>
      </c>
      <c r="K2000" s="17">
        <v>0</v>
      </c>
      <c r="L2000" s="28"/>
    </row>
    <row r="2001" spans="1:12" x14ac:dyDescent="0.2">
      <c r="A2001">
        <v>2016</v>
      </c>
      <c r="B2001" t="s">
        <v>184</v>
      </c>
      <c r="C2001" t="s">
        <v>488</v>
      </c>
      <c r="D2001" s="65">
        <v>350</v>
      </c>
      <c r="E2001" s="33">
        <v>0.1</v>
      </c>
      <c r="F2001" t="s">
        <v>1249</v>
      </c>
      <c r="G2001" t="s">
        <v>146</v>
      </c>
      <c r="H2001" t="s">
        <v>253</v>
      </c>
      <c r="I2001" t="s">
        <v>131</v>
      </c>
      <c r="J2001" t="s">
        <v>131</v>
      </c>
      <c r="K2001" s="17">
        <v>0</v>
      </c>
      <c r="L2001" s="28"/>
    </row>
    <row r="2002" spans="1:12" x14ac:dyDescent="0.2">
      <c r="A2002">
        <v>2016</v>
      </c>
      <c r="B2002" t="s">
        <v>184</v>
      </c>
      <c r="C2002" t="s">
        <v>1250</v>
      </c>
      <c r="D2002" s="65">
        <v>270</v>
      </c>
      <c r="E2002" s="33">
        <v>0.49</v>
      </c>
      <c r="F2002" t="s">
        <v>1251</v>
      </c>
      <c r="G2002" t="s">
        <v>151</v>
      </c>
      <c r="H2002" t="s">
        <v>224</v>
      </c>
      <c r="I2002" t="s">
        <v>131</v>
      </c>
      <c r="J2002" t="s">
        <v>131</v>
      </c>
      <c r="K2002" s="17">
        <v>0</v>
      </c>
      <c r="L2002" s="28"/>
    </row>
    <row r="2003" spans="1:12" x14ac:dyDescent="0.2">
      <c r="A2003">
        <v>2016</v>
      </c>
      <c r="B2003" t="s">
        <v>184</v>
      </c>
      <c r="C2003" t="s">
        <v>1252</v>
      </c>
      <c r="D2003" s="65">
        <v>780</v>
      </c>
      <c r="E2003" s="33">
        <v>1</v>
      </c>
      <c r="F2003" t="s">
        <v>1253</v>
      </c>
      <c r="G2003" t="s">
        <v>146</v>
      </c>
      <c r="H2003" t="s">
        <v>253</v>
      </c>
      <c r="I2003" t="s">
        <v>131</v>
      </c>
      <c r="J2003" t="s">
        <v>131</v>
      </c>
      <c r="K2003" s="17">
        <v>0</v>
      </c>
      <c r="L2003" s="28"/>
    </row>
    <row r="2004" spans="1:12" x14ac:dyDescent="0.2">
      <c r="A2004">
        <v>2016</v>
      </c>
      <c r="B2004" t="s">
        <v>184</v>
      </c>
      <c r="C2004" t="s">
        <v>1254</v>
      </c>
      <c r="D2004" s="65">
        <v>3400</v>
      </c>
      <c r="E2004" s="33"/>
      <c r="F2004" t="s">
        <v>1255</v>
      </c>
      <c r="G2004" t="s">
        <v>152</v>
      </c>
      <c r="I2004" t="s">
        <v>131</v>
      </c>
      <c r="J2004" t="s">
        <v>131</v>
      </c>
      <c r="K2004" s="17">
        <v>0</v>
      </c>
      <c r="L2004" s="28"/>
    </row>
    <row r="2005" spans="1:12" x14ac:dyDescent="0.2">
      <c r="A2005">
        <v>2016</v>
      </c>
      <c r="B2005" t="s">
        <v>184</v>
      </c>
      <c r="C2005" t="s">
        <v>627</v>
      </c>
      <c r="D2005" s="65">
        <v>300</v>
      </c>
      <c r="E2005" s="33">
        <v>1</v>
      </c>
      <c r="F2005" t="s">
        <v>1256</v>
      </c>
      <c r="G2005" t="s">
        <v>154</v>
      </c>
      <c r="H2005" t="s">
        <v>194</v>
      </c>
      <c r="I2005" t="s">
        <v>131</v>
      </c>
      <c r="J2005" t="s">
        <v>131</v>
      </c>
      <c r="K2005" s="17">
        <v>0</v>
      </c>
      <c r="L2005" s="28"/>
    </row>
    <row r="2006" spans="1:12" ht="14.25" customHeight="1" x14ac:dyDescent="0.2">
      <c r="A2006">
        <v>2016</v>
      </c>
      <c r="B2006" t="s">
        <v>184</v>
      </c>
      <c r="C2006" t="s">
        <v>1257</v>
      </c>
      <c r="D2006" s="65">
        <v>1990</v>
      </c>
      <c r="E2006" s="33">
        <v>1</v>
      </c>
      <c r="F2006" t="s">
        <v>1258</v>
      </c>
      <c r="G2006" t="s">
        <v>153</v>
      </c>
      <c r="I2006" t="s">
        <v>131</v>
      </c>
      <c r="J2006" t="s">
        <v>131</v>
      </c>
      <c r="K2006" s="17">
        <v>0</v>
      </c>
      <c r="L2006" s="28"/>
    </row>
    <row r="2007" spans="1:12" x14ac:dyDescent="0.2">
      <c r="A2007">
        <v>2016</v>
      </c>
      <c r="B2007" t="s">
        <v>184</v>
      </c>
      <c r="C2007" t="s">
        <v>1259</v>
      </c>
      <c r="D2007" s="65">
        <v>360</v>
      </c>
      <c r="E2007" s="33">
        <v>1</v>
      </c>
      <c r="G2007" t="s">
        <v>142</v>
      </c>
      <c r="I2007" t="s">
        <v>23</v>
      </c>
      <c r="J2007" t="s">
        <v>183</v>
      </c>
      <c r="K2007" s="17">
        <v>1</v>
      </c>
      <c r="L2007" s="28" t="s">
        <v>178</v>
      </c>
    </row>
    <row r="2008" spans="1:12" x14ac:dyDescent="0.2">
      <c r="A2008">
        <v>2016</v>
      </c>
      <c r="B2008" t="s">
        <v>184</v>
      </c>
      <c r="C2008" t="s">
        <v>1035</v>
      </c>
      <c r="D2008" s="65">
        <v>2030</v>
      </c>
      <c r="E2008" s="33">
        <v>0.85</v>
      </c>
      <c r="G2008" t="s">
        <v>144</v>
      </c>
      <c r="H2008" t="s">
        <v>197</v>
      </c>
      <c r="I2008" t="s">
        <v>67</v>
      </c>
      <c r="J2008" t="s">
        <v>183</v>
      </c>
      <c r="K2008" s="17">
        <v>1</v>
      </c>
      <c r="L2008" s="28" t="s">
        <v>178</v>
      </c>
    </row>
    <row r="2009" spans="1:12" x14ac:dyDescent="0.2">
      <c r="A2009">
        <v>2016</v>
      </c>
      <c r="B2009" t="s">
        <v>184</v>
      </c>
      <c r="C2009" t="s">
        <v>269</v>
      </c>
      <c r="D2009" s="65">
        <v>190</v>
      </c>
      <c r="E2009" s="33">
        <v>0.77</v>
      </c>
      <c r="F2009" t="s">
        <v>1260</v>
      </c>
      <c r="G2009" t="s">
        <v>148</v>
      </c>
      <c r="I2009" t="s">
        <v>108</v>
      </c>
      <c r="J2009" t="s">
        <v>183</v>
      </c>
      <c r="K2009" s="17">
        <v>1</v>
      </c>
      <c r="L2009" s="28"/>
    </row>
    <row r="2010" spans="1:12" x14ac:dyDescent="0.2">
      <c r="A2010">
        <v>2016</v>
      </c>
      <c r="B2010" t="s">
        <v>184</v>
      </c>
      <c r="C2010" t="s">
        <v>1261</v>
      </c>
      <c r="D2010" s="65">
        <v>120</v>
      </c>
      <c r="E2010" s="33">
        <v>0.95</v>
      </c>
      <c r="F2010" t="s">
        <v>1262</v>
      </c>
      <c r="G2010" t="s">
        <v>154</v>
      </c>
      <c r="H2010" t="s">
        <v>250</v>
      </c>
      <c r="I2010" t="s">
        <v>114</v>
      </c>
      <c r="J2010" t="s">
        <v>195</v>
      </c>
      <c r="K2010" s="17">
        <v>0</v>
      </c>
      <c r="L2010" s="28"/>
    </row>
    <row r="2011" spans="1:12" x14ac:dyDescent="0.2">
      <c r="A2011">
        <v>2016</v>
      </c>
      <c r="B2011" t="s">
        <v>184</v>
      </c>
      <c r="C2011" t="s">
        <v>210</v>
      </c>
      <c r="D2011" s="65">
        <v>200</v>
      </c>
      <c r="E2011" s="33">
        <v>1</v>
      </c>
      <c r="G2011" t="s">
        <v>154</v>
      </c>
      <c r="H2011" t="s">
        <v>194</v>
      </c>
      <c r="I2011" t="s">
        <v>77</v>
      </c>
      <c r="J2011" t="s">
        <v>177</v>
      </c>
      <c r="K2011" s="17">
        <v>0</v>
      </c>
      <c r="L2011" s="28" t="s">
        <v>178</v>
      </c>
    </row>
    <row r="2012" spans="1:12" x14ac:dyDescent="0.2">
      <c r="A2012">
        <v>2016</v>
      </c>
      <c r="B2012" t="s">
        <v>184</v>
      </c>
      <c r="C2012" t="s">
        <v>444</v>
      </c>
      <c r="D2012" s="65">
        <v>420</v>
      </c>
      <c r="E2012" s="33">
        <v>0.35</v>
      </c>
      <c r="F2012" t="s">
        <v>1153</v>
      </c>
      <c r="G2012" t="s">
        <v>144</v>
      </c>
      <c r="H2012" t="s">
        <v>273</v>
      </c>
      <c r="I2012" t="s">
        <v>93</v>
      </c>
      <c r="J2012" t="s">
        <v>201</v>
      </c>
      <c r="K2012" s="17">
        <v>1</v>
      </c>
      <c r="L2012" s="28" t="s">
        <v>178</v>
      </c>
    </row>
    <row r="2013" spans="1:12" x14ac:dyDescent="0.2">
      <c r="A2013">
        <v>2016</v>
      </c>
      <c r="B2013" t="s">
        <v>184</v>
      </c>
      <c r="C2013" t="s">
        <v>286</v>
      </c>
      <c r="D2013" s="65">
        <v>290</v>
      </c>
      <c r="E2013" s="33">
        <v>1</v>
      </c>
      <c r="F2013" t="s">
        <v>912</v>
      </c>
      <c r="G2013" t="s">
        <v>150</v>
      </c>
      <c r="H2013" t="s">
        <v>556</v>
      </c>
      <c r="I2013" t="s">
        <v>20</v>
      </c>
      <c r="J2013" t="s">
        <v>195</v>
      </c>
      <c r="K2013" s="17">
        <v>0</v>
      </c>
      <c r="L2013" s="28"/>
    </row>
    <row r="2014" spans="1:12" x14ac:dyDescent="0.2">
      <c r="A2014">
        <v>2016</v>
      </c>
      <c r="B2014" t="s">
        <v>184</v>
      </c>
      <c r="C2014" t="s">
        <v>1263</v>
      </c>
      <c r="D2014" s="65">
        <v>790</v>
      </c>
      <c r="E2014" s="33">
        <v>0.95</v>
      </c>
      <c r="F2014" t="s">
        <v>1264</v>
      </c>
      <c r="G2014" t="s">
        <v>144</v>
      </c>
      <c r="H2014" t="s">
        <v>232</v>
      </c>
      <c r="I2014" t="s">
        <v>53</v>
      </c>
      <c r="J2014" t="s">
        <v>183</v>
      </c>
      <c r="K2014" s="17">
        <v>1</v>
      </c>
      <c r="L2014" s="28"/>
    </row>
    <row r="2015" spans="1:12" x14ac:dyDescent="0.2">
      <c r="A2015">
        <v>2016</v>
      </c>
      <c r="B2015" t="s">
        <v>225</v>
      </c>
      <c r="C2015" t="s">
        <v>797</v>
      </c>
      <c r="D2015" s="65">
        <v>2550</v>
      </c>
      <c r="E2015" s="33">
        <v>0.56000000000000005</v>
      </c>
      <c r="F2015" t="s">
        <v>1265</v>
      </c>
      <c r="G2015" t="s">
        <v>149</v>
      </c>
      <c r="H2015" t="s">
        <v>236</v>
      </c>
      <c r="I2015" t="s">
        <v>34</v>
      </c>
      <c r="J2015" t="s">
        <v>219</v>
      </c>
      <c r="K2015" s="17">
        <v>1</v>
      </c>
      <c r="L2015" s="28"/>
    </row>
    <row r="2016" spans="1:12" x14ac:dyDescent="0.2">
      <c r="A2016">
        <v>2016</v>
      </c>
      <c r="B2016" t="s">
        <v>225</v>
      </c>
      <c r="C2016" t="s">
        <v>581</v>
      </c>
      <c r="D2016" s="65">
        <v>150</v>
      </c>
      <c r="E2016" s="33">
        <v>3.4000000000000002E-2</v>
      </c>
      <c r="F2016" t="s">
        <v>1112</v>
      </c>
      <c r="G2016" t="s">
        <v>152</v>
      </c>
      <c r="I2016" t="s">
        <v>45</v>
      </c>
      <c r="J2016" t="s">
        <v>195</v>
      </c>
      <c r="K2016" s="17">
        <v>0</v>
      </c>
      <c r="L2016" s="28"/>
    </row>
    <row r="2017" spans="1:12" x14ac:dyDescent="0.2">
      <c r="A2017">
        <v>2016</v>
      </c>
      <c r="B2017" t="s">
        <v>225</v>
      </c>
      <c r="C2017" t="s">
        <v>653</v>
      </c>
      <c r="D2017" s="65">
        <v>290</v>
      </c>
      <c r="E2017" s="33">
        <v>0.56999999999999995</v>
      </c>
      <c r="F2017" t="s">
        <v>1266</v>
      </c>
      <c r="G2017" t="s">
        <v>142</v>
      </c>
      <c r="I2017" t="s">
        <v>19</v>
      </c>
      <c r="J2017" t="s">
        <v>205</v>
      </c>
      <c r="K2017" s="17">
        <v>0</v>
      </c>
      <c r="L2017" s="28"/>
    </row>
    <row r="2018" spans="1:12" x14ac:dyDescent="0.2">
      <c r="A2018">
        <v>2016</v>
      </c>
      <c r="B2018" t="s">
        <v>225</v>
      </c>
      <c r="C2018" t="s">
        <v>1267</v>
      </c>
      <c r="D2018" s="65">
        <v>300</v>
      </c>
      <c r="E2018" s="33">
        <v>1</v>
      </c>
      <c r="F2018" t="s">
        <v>1268</v>
      </c>
      <c r="G2018" t="s">
        <v>145</v>
      </c>
      <c r="I2018" t="s">
        <v>20</v>
      </c>
      <c r="J2018" t="s">
        <v>195</v>
      </c>
      <c r="K2018" s="17">
        <v>0</v>
      </c>
      <c r="L2018" s="28"/>
    </row>
    <row r="2019" spans="1:12" x14ac:dyDescent="0.2">
      <c r="A2019">
        <v>2016</v>
      </c>
      <c r="B2019" t="s">
        <v>225</v>
      </c>
      <c r="C2019" t="s">
        <v>334</v>
      </c>
      <c r="D2019" s="65">
        <v>220</v>
      </c>
      <c r="E2019" s="33">
        <v>0.79</v>
      </c>
      <c r="F2019" t="s">
        <v>1269</v>
      </c>
      <c r="G2019" t="s">
        <v>142</v>
      </c>
      <c r="I2019" t="s">
        <v>9</v>
      </c>
      <c r="J2019" t="s">
        <v>9</v>
      </c>
      <c r="K2019" s="17">
        <v>0</v>
      </c>
      <c r="L2019" s="28"/>
    </row>
    <row r="2020" spans="1:12" x14ac:dyDescent="0.2">
      <c r="A2020">
        <v>2016</v>
      </c>
      <c r="B2020" t="s">
        <v>225</v>
      </c>
      <c r="C2020" t="s">
        <v>1270</v>
      </c>
      <c r="D2020" s="65">
        <v>120</v>
      </c>
      <c r="E2020" s="33">
        <v>0.02</v>
      </c>
      <c r="F2020" t="s">
        <v>1271</v>
      </c>
      <c r="G2020" t="s">
        <v>152</v>
      </c>
      <c r="I2020" t="s">
        <v>131</v>
      </c>
      <c r="J2020" t="s">
        <v>131</v>
      </c>
      <c r="K2020" s="17">
        <v>0</v>
      </c>
      <c r="L2020" s="28"/>
    </row>
    <row r="2021" spans="1:12" x14ac:dyDescent="0.2">
      <c r="A2021">
        <v>2016</v>
      </c>
      <c r="B2021" t="s">
        <v>225</v>
      </c>
      <c r="C2021" t="s">
        <v>1272</v>
      </c>
      <c r="D2021" s="65">
        <v>140</v>
      </c>
      <c r="E2021" s="33">
        <v>0.35</v>
      </c>
      <c r="F2021" t="s">
        <v>1273</v>
      </c>
      <c r="G2021" t="s">
        <v>148</v>
      </c>
      <c r="I2021" t="s">
        <v>85</v>
      </c>
      <c r="J2021" t="s">
        <v>195</v>
      </c>
      <c r="K2021" s="17">
        <v>0</v>
      </c>
      <c r="L2021" s="28"/>
    </row>
    <row r="2022" spans="1:12" x14ac:dyDescent="0.2">
      <c r="A2022">
        <v>2016</v>
      </c>
      <c r="B2022" t="s">
        <v>225</v>
      </c>
      <c r="C2022" t="s">
        <v>1274</v>
      </c>
      <c r="D2022" s="65">
        <v>200</v>
      </c>
      <c r="E2022" s="33"/>
      <c r="G2022" t="s">
        <v>154</v>
      </c>
      <c r="H2022" t="s">
        <v>271</v>
      </c>
      <c r="I2022" t="s">
        <v>53</v>
      </c>
      <c r="J2022" t="s">
        <v>183</v>
      </c>
      <c r="K2022" s="17">
        <v>1</v>
      </c>
      <c r="L2022" s="28" t="s">
        <v>178</v>
      </c>
    </row>
    <row r="2023" spans="1:12" x14ac:dyDescent="0.2">
      <c r="A2023">
        <v>2016</v>
      </c>
      <c r="B2023" t="s">
        <v>225</v>
      </c>
      <c r="C2023" t="s">
        <v>1275</v>
      </c>
      <c r="D2023" s="65">
        <v>100</v>
      </c>
      <c r="E2023" s="33">
        <v>1</v>
      </c>
      <c r="F2023" t="s">
        <v>1276</v>
      </c>
      <c r="G2023" t="s">
        <v>145</v>
      </c>
      <c r="I2023" t="s">
        <v>20</v>
      </c>
      <c r="J2023" t="s">
        <v>195</v>
      </c>
      <c r="K2023" s="17">
        <v>0</v>
      </c>
      <c r="L2023" s="28"/>
    </row>
    <row r="2024" spans="1:12" x14ac:dyDescent="0.2">
      <c r="A2024">
        <v>2016</v>
      </c>
      <c r="B2024" t="s">
        <v>225</v>
      </c>
      <c r="C2024" t="s">
        <v>263</v>
      </c>
      <c r="D2024" s="65">
        <v>680</v>
      </c>
      <c r="E2024" s="33">
        <v>0.49</v>
      </c>
      <c r="F2024" t="s">
        <v>1277</v>
      </c>
      <c r="G2024" t="s">
        <v>151</v>
      </c>
      <c r="H2024" t="s">
        <v>224</v>
      </c>
      <c r="I2024" t="s">
        <v>131</v>
      </c>
      <c r="J2024" t="s">
        <v>131</v>
      </c>
      <c r="K2024" s="17">
        <v>0</v>
      </c>
      <c r="L2024" s="28"/>
    </row>
    <row r="2025" spans="1:12" x14ac:dyDescent="0.2">
      <c r="A2025">
        <v>2016</v>
      </c>
      <c r="B2025" t="s">
        <v>225</v>
      </c>
      <c r="C2025" t="s">
        <v>1278</v>
      </c>
      <c r="D2025" s="65">
        <v>660</v>
      </c>
      <c r="E2025" s="33">
        <v>0.65</v>
      </c>
      <c r="F2025" t="s">
        <v>1279</v>
      </c>
      <c r="G2025" t="s">
        <v>145</v>
      </c>
      <c r="I2025" t="s">
        <v>20</v>
      </c>
      <c r="J2025" t="s">
        <v>195</v>
      </c>
      <c r="K2025" s="17">
        <v>0</v>
      </c>
      <c r="L2025" s="28"/>
    </row>
    <row r="2026" spans="1:12" x14ac:dyDescent="0.2">
      <c r="A2026">
        <v>2016</v>
      </c>
      <c r="B2026" t="s">
        <v>225</v>
      </c>
      <c r="C2026" t="s">
        <v>488</v>
      </c>
      <c r="D2026" s="65">
        <v>150</v>
      </c>
      <c r="E2026" s="33">
        <v>0.12</v>
      </c>
      <c r="F2026" t="s">
        <v>1280</v>
      </c>
      <c r="G2026" t="s">
        <v>146</v>
      </c>
      <c r="I2026" t="s">
        <v>131</v>
      </c>
      <c r="J2026" t="s">
        <v>131</v>
      </c>
      <c r="K2026" s="17">
        <v>0</v>
      </c>
      <c r="L2026" s="28"/>
    </row>
    <row r="2027" spans="1:12" x14ac:dyDescent="0.2">
      <c r="A2027">
        <v>2016</v>
      </c>
      <c r="B2027" t="s">
        <v>225</v>
      </c>
      <c r="C2027" t="s">
        <v>373</v>
      </c>
      <c r="D2027" s="65">
        <v>110</v>
      </c>
      <c r="E2027" s="33">
        <v>0.13</v>
      </c>
      <c r="F2027" t="s">
        <v>1281</v>
      </c>
      <c r="G2027" t="s">
        <v>154</v>
      </c>
      <c r="H2027" t="s">
        <v>250</v>
      </c>
      <c r="I2027" t="s">
        <v>9</v>
      </c>
      <c r="J2027" t="s">
        <v>9</v>
      </c>
      <c r="K2027" s="17">
        <v>0</v>
      </c>
      <c r="L2027" s="28"/>
    </row>
    <row r="2028" spans="1:12" x14ac:dyDescent="0.2">
      <c r="A2028">
        <v>2016</v>
      </c>
      <c r="B2028" t="s">
        <v>225</v>
      </c>
      <c r="C2028" t="s">
        <v>927</v>
      </c>
      <c r="D2028" s="65">
        <v>160</v>
      </c>
      <c r="E2028" s="33"/>
      <c r="F2028" t="s">
        <v>1282</v>
      </c>
      <c r="G2028" t="s">
        <v>146</v>
      </c>
      <c r="H2028" t="s">
        <v>253</v>
      </c>
      <c r="I2028" t="s">
        <v>20</v>
      </c>
      <c r="J2028" t="s">
        <v>195</v>
      </c>
      <c r="K2028" s="17">
        <v>0</v>
      </c>
      <c r="L2028" s="28"/>
    </row>
    <row r="2029" spans="1:12" x14ac:dyDescent="0.2">
      <c r="A2029">
        <v>2016</v>
      </c>
      <c r="B2029" t="s">
        <v>225</v>
      </c>
      <c r="C2029" t="s">
        <v>248</v>
      </c>
      <c r="D2029" s="65">
        <v>110</v>
      </c>
      <c r="E2029" s="33">
        <v>1</v>
      </c>
      <c r="G2029" t="s">
        <v>146</v>
      </c>
      <c r="H2029" t="s">
        <v>275</v>
      </c>
      <c r="I2029" t="s">
        <v>128</v>
      </c>
      <c r="J2029" t="s">
        <v>201</v>
      </c>
      <c r="K2029" s="17">
        <v>1</v>
      </c>
      <c r="L2029" s="28"/>
    </row>
    <row r="2030" spans="1:12" x14ac:dyDescent="0.2">
      <c r="A2030">
        <v>2016</v>
      </c>
      <c r="B2030" t="s">
        <v>225</v>
      </c>
      <c r="C2030" t="s">
        <v>557</v>
      </c>
      <c r="D2030" s="65">
        <v>300</v>
      </c>
      <c r="E2030" s="33">
        <v>1</v>
      </c>
      <c r="G2030" t="s">
        <v>150</v>
      </c>
      <c r="H2030" t="s">
        <v>217</v>
      </c>
      <c r="I2030" t="s">
        <v>131</v>
      </c>
      <c r="J2030" t="s">
        <v>131</v>
      </c>
      <c r="K2030" s="17">
        <v>0</v>
      </c>
      <c r="L2030" s="28" t="s">
        <v>178</v>
      </c>
    </row>
    <row r="2031" spans="1:12" x14ac:dyDescent="0.2">
      <c r="A2031">
        <v>2016</v>
      </c>
      <c r="B2031" t="s">
        <v>225</v>
      </c>
      <c r="C2031" t="s">
        <v>1283</v>
      </c>
      <c r="D2031" s="65">
        <v>950</v>
      </c>
      <c r="E2031" s="33">
        <v>0.45</v>
      </c>
      <c r="G2031" t="s">
        <v>144</v>
      </c>
      <c r="H2031" t="s">
        <v>187</v>
      </c>
      <c r="I2031" t="s">
        <v>62</v>
      </c>
      <c r="J2031" t="s">
        <v>214</v>
      </c>
      <c r="K2031" s="17">
        <v>1</v>
      </c>
      <c r="L2031" s="28"/>
    </row>
    <row r="2032" spans="1:12" x14ac:dyDescent="0.2">
      <c r="A2032">
        <v>2016</v>
      </c>
      <c r="B2032" t="s">
        <v>225</v>
      </c>
      <c r="C2032" t="s">
        <v>1284</v>
      </c>
      <c r="D2032" s="65">
        <v>140</v>
      </c>
      <c r="E2032" s="33"/>
      <c r="G2032" t="s">
        <v>149</v>
      </c>
      <c r="H2032" t="s">
        <v>238</v>
      </c>
      <c r="I2032" t="s">
        <v>72</v>
      </c>
      <c r="J2032" t="s">
        <v>183</v>
      </c>
      <c r="K2032" s="17">
        <v>1</v>
      </c>
      <c r="L2032" s="28" t="s">
        <v>178</v>
      </c>
    </row>
    <row r="2033" spans="1:12" x14ac:dyDescent="0.2">
      <c r="A2033">
        <v>2016</v>
      </c>
      <c r="B2033" t="s">
        <v>225</v>
      </c>
      <c r="C2033" t="s">
        <v>319</v>
      </c>
      <c r="D2033" s="65">
        <v>720</v>
      </c>
      <c r="E2033" s="33"/>
      <c r="G2033" t="s">
        <v>151</v>
      </c>
      <c r="H2033" t="s">
        <v>224</v>
      </c>
      <c r="I2033" t="s">
        <v>131</v>
      </c>
      <c r="J2033" t="s">
        <v>131</v>
      </c>
      <c r="K2033" s="17">
        <v>0</v>
      </c>
      <c r="L2033" s="28"/>
    </row>
    <row r="2034" spans="1:12" x14ac:dyDescent="0.2">
      <c r="A2034">
        <v>2016</v>
      </c>
      <c r="B2034" t="s">
        <v>225</v>
      </c>
      <c r="C2034" t="s">
        <v>962</v>
      </c>
      <c r="D2034" s="65">
        <v>270</v>
      </c>
      <c r="E2034" s="33">
        <v>0.33</v>
      </c>
      <c r="F2034" t="s">
        <v>1285</v>
      </c>
      <c r="G2034" t="s">
        <v>151</v>
      </c>
      <c r="H2034" t="s">
        <v>224</v>
      </c>
      <c r="I2034" t="s">
        <v>25</v>
      </c>
      <c r="J2034" t="s">
        <v>177</v>
      </c>
      <c r="K2034" s="17">
        <v>0</v>
      </c>
      <c r="L2034" s="28"/>
    </row>
    <row r="2035" spans="1:12" x14ac:dyDescent="0.2">
      <c r="A2035">
        <v>2016</v>
      </c>
      <c r="B2035" t="s">
        <v>225</v>
      </c>
      <c r="C2035" t="s">
        <v>313</v>
      </c>
      <c r="D2035" s="65">
        <v>110</v>
      </c>
      <c r="E2035" s="33"/>
      <c r="F2035" t="s">
        <v>1286</v>
      </c>
      <c r="G2035" t="s">
        <v>143</v>
      </c>
      <c r="I2035" t="s">
        <v>131</v>
      </c>
      <c r="J2035" t="s">
        <v>131</v>
      </c>
      <c r="K2035" s="17">
        <v>0</v>
      </c>
      <c r="L2035" s="28"/>
    </row>
    <row r="2036" spans="1:12" x14ac:dyDescent="0.2">
      <c r="A2036">
        <v>2016</v>
      </c>
      <c r="B2036" t="s">
        <v>225</v>
      </c>
      <c r="C2036" t="s">
        <v>1287</v>
      </c>
      <c r="D2036" s="65">
        <v>100</v>
      </c>
      <c r="E2036" s="33">
        <v>0.5</v>
      </c>
      <c r="F2036" t="s">
        <v>1288</v>
      </c>
      <c r="G2036" t="s">
        <v>144</v>
      </c>
      <c r="H2036" t="s">
        <v>232</v>
      </c>
      <c r="I2036" t="s">
        <v>77</v>
      </c>
      <c r="J2036" t="s">
        <v>177</v>
      </c>
      <c r="K2036" s="17">
        <v>0</v>
      </c>
      <c r="L2036" s="28" t="s">
        <v>178</v>
      </c>
    </row>
    <row r="2037" spans="1:12" x14ac:dyDescent="0.2">
      <c r="A2037">
        <v>2016</v>
      </c>
      <c r="B2037" t="s">
        <v>225</v>
      </c>
      <c r="C2037" t="s">
        <v>980</v>
      </c>
      <c r="D2037" s="65">
        <v>200</v>
      </c>
      <c r="E2037" s="33"/>
      <c r="G2037" t="s">
        <v>154</v>
      </c>
      <c r="H2037" t="s">
        <v>271</v>
      </c>
      <c r="I2037" t="s">
        <v>94</v>
      </c>
      <c r="J2037" t="s">
        <v>177</v>
      </c>
      <c r="K2037" s="17">
        <v>0</v>
      </c>
      <c r="L2037" s="28"/>
    </row>
    <row r="2038" spans="1:12" x14ac:dyDescent="0.2">
      <c r="A2038">
        <v>2016</v>
      </c>
      <c r="B2038" t="s">
        <v>225</v>
      </c>
      <c r="C2038" t="s">
        <v>1289</v>
      </c>
      <c r="D2038" s="65">
        <v>460</v>
      </c>
      <c r="E2038" s="33"/>
      <c r="G2038" t="s">
        <v>151</v>
      </c>
      <c r="H2038" t="s">
        <v>224</v>
      </c>
      <c r="I2038" t="s">
        <v>108</v>
      </c>
      <c r="J2038" t="s">
        <v>183</v>
      </c>
      <c r="K2038" s="17">
        <v>1</v>
      </c>
      <c r="L2038" s="28"/>
    </row>
    <row r="2039" spans="1:12" x14ac:dyDescent="0.2">
      <c r="A2039">
        <v>2016</v>
      </c>
      <c r="B2039" t="s">
        <v>225</v>
      </c>
      <c r="C2039" t="s">
        <v>397</v>
      </c>
      <c r="D2039" s="65">
        <v>340</v>
      </c>
      <c r="E2039" s="33">
        <v>1</v>
      </c>
      <c r="G2039" t="s">
        <v>151</v>
      </c>
      <c r="H2039" t="s">
        <v>224</v>
      </c>
      <c r="I2039" t="s">
        <v>131</v>
      </c>
      <c r="J2039" t="s">
        <v>131</v>
      </c>
      <c r="K2039" s="17">
        <v>0</v>
      </c>
      <c r="L2039" s="28" t="s">
        <v>178</v>
      </c>
    </row>
    <row r="2040" spans="1:12" x14ac:dyDescent="0.2">
      <c r="A2040">
        <v>2016</v>
      </c>
      <c r="B2040" t="s">
        <v>225</v>
      </c>
      <c r="C2040" t="s">
        <v>1290</v>
      </c>
      <c r="D2040" s="65">
        <v>310</v>
      </c>
      <c r="E2040" s="33"/>
      <c r="F2040" t="s">
        <v>1291</v>
      </c>
      <c r="G2040" t="s">
        <v>144</v>
      </c>
      <c r="H2040" t="s">
        <v>232</v>
      </c>
      <c r="I2040" t="s">
        <v>9</v>
      </c>
      <c r="J2040" t="s">
        <v>9</v>
      </c>
      <c r="K2040" s="17">
        <v>0</v>
      </c>
      <c r="L2040" s="28" t="s">
        <v>178</v>
      </c>
    </row>
    <row r="2041" spans="1:12" x14ac:dyDescent="0.2">
      <c r="A2041">
        <v>2016</v>
      </c>
      <c r="B2041" t="s">
        <v>225</v>
      </c>
      <c r="C2041" t="s">
        <v>1292</v>
      </c>
      <c r="D2041" s="65">
        <v>140</v>
      </c>
      <c r="E2041" s="33">
        <v>1</v>
      </c>
      <c r="F2041" t="s">
        <v>1293</v>
      </c>
      <c r="G2041" t="s">
        <v>147</v>
      </c>
      <c r="I2041" t="s">
        <v>131</v>
      </c>
      <c r="J2041" t="s">
        <v>131</v>
      </c>
      <c r="K2041" s="17">
        <v>0</v>
      </c>
      <c r="L2041" s="28"/>
    </row>
    <row r="2042" spans="1:12" s="41" customFormat="1" x14ac:dyDescent="0.2">
      <c r="A2042">
        <v>2016</v>
      </c>
      <c r="B2042" t="s">
        <v>225</v>
      </c>
      <c r="C2042" t="s">
        <v>1294</v>
      </c>
      <c r="D2042" s="65">
        <v>1190</v>
      </c>
      <c r="E2042" s="33">
        <v>0.8</v>
      </c>
      <c r="F2042" t="s">
        <v>1295</v>
      </c>
      <c r="G2042" t="s">
        <v>147</v>
      </c>
      <c r="I2042" t="s">
        <v>20</v>
      </c>
      <c r="J2042" t="s">
        <v>195</v>
      </c>
      <c r="K2042" s="17">
        <v>0</v>
      </c>
      <c r="L2042" s="28"/>
    </row>
    <row r="2043" spans="1:12" s="17" customFormat="1" x14ac:dyDescent="0.2">
      <c r="A2043">
        <v>2016</v>
      </c>
      <c r="B2043" t="s">
        <v>225</v>
      </c>
      <c r="C2043" t="s">
        <v>319</v>
      </c>
      <c r="D2043" s="65">
        <v>810</v>
      </c>
      <c r="E2043" s="33">
        <v>0.49</v>
      </c>
      <c r="G2043" t="s">
        <v>151</v>
      </c>
      <c r="H2043" t="s">
        <v>224</v>
      </c>
      <c r="I2043" t="s">
        <v>131</v>
      </c>
      <c r="J2043" t="s">
        <v>131</v>
      </c>
      <c r="K2043" s="17">
        <v>0</v>
      </c>
      <c r="L2043" s="28"/>
    </row>
    <row r="2044" spans="1:12" x14ac:dyDescent="0.2">
      <c r="A2044">
        <v>2016</v>
      </c>
      <c r="B2044" t="s">
        <v>225</v>
      </c>
      <c r="C2044" t="s">
        <v>474</v>
      </c>
      <c r="D2044" s="65">
        <v>120</v>
      </c>
      <c r="E2044" s="33">
        <v>0.4</v>
      </c>
      <c r="F2044" t="s">
        <v>874</v>
      </c>
      <c r="G2044" t="s">
        <v>144</v>
      </c>
      <c r="H2044" t="s">
        <v>273</v>
      </c>
      <c r="I2044" t="s">
        <v>53</v>
      </c>
      <c r="J2044" t="s">
        <v>183</v>
      </c>
      <c r="K2044" s="17">
        <v>1</v>
      </c>
      <c r="L2044" s="28"/>
    </row>
    <row r="2045" spans="1:12" x14ac:dyDescent="0.2">
      <c r="A2045">
        <v>2016</v>
      </c>
      <c r="B2045" t="s">
        <v>188</v>
      </c>
      <c r="C2045" t="s">
        <v>565</v>
      </c>
      <c r="D2045" s="65">
        <v>310</v>
      </c>
      <c r="E2045" s="33">
        <v>0.69</v>
      </c>
      <c r="F2045" t="s">
        <v>1296</v>
      </c>
      <c r="G2045" t="s">
        <v>145</v>
      </c>
      <c r="I2045" t="s">
        <v>58</v>
      </c>
      <c r="J2045" t="s">
        <v>195</v>
      </c>
      <c r="K2045" s="17">
        <v>0</v>
      </c>
      <c r="L2045" s="28"/>
    </row>
    <row r="2046" spans="1:12" x14ac:dyDescent="0.2">
      <c r="A2046">
        <v>2016</v>
      </c>
      <c r="B2046" t="s">
        <v>188</v>
      </c>
      <c r="C2046" t="s">
        <v>538</v>
      </c>
      <c r="D2046" s="65">
        <v>200</v>
      </c>
      <c r="E2046" s="33">
        <v>0.2</v>
      </c>
      <c r="F2046" t="s">
        <v>1281</v>
      </c>
      <c r="G2046" t="s">
        <v>154</v>
      </c>
      <c r="H2046" t="s">
        <v>250</v>
      </c>
      <c r="I2046" t="s">
        <v>9</v>
      </c>
      <c r="J2046" t="s">
        <v>9</v>
      </c>
      <c r="K2046" s="17">
        <v>0</v>
      </c>
      <c r="L2046" s="28"/>
    </row>
    <row r="2047" spans="1:12" x14ac:dyDescent="0.2">
      <c r="A2047">
        <v>2016</v>
      </c>
      <c r="B2047" t="s">
        <v>188</v>
      </c>
      <c r="C2047" t="s">
        <v>1297</v>
      </c>
      <c r="D2047" s="65">
        <v>150</v>
      </c>
      <c r="E2047" s="33"/>
      <c r="F2047" t="s">
        <v>1298</v>
      </c>
      <c r="G2047" t="s">
        <v>152</v>
      </c>
      <c r="I2047" t="s">
        <v>131</v>
      </c>
      <c r="J2047" t="s">
        <v>131</v>
      </c>
      <c r="K2047" s="17">
        <v>0</v>
      </c>
      <c r="L2047" s="28"/>
    </row>
    <row r="2048" spans="1:12" x14ac:dyDescent="0.2">
      <c r="A2048">
        <v>2016</v>
      </c>
      <c r="B2048" t="s">
        <v>188</v>
      </c>
      <c r="C2048" t="s">
        <v>909</v>
      </c>
      <c r="D2048" s="65">
        <v>250</v>
      </c>
      <c r="E2048" s="33"/>
      <c r="F2048" t="s">
        <v>913</v>
      </c>
      <c r="G2048" t="s">
        <v>151</v>
      </c>
      <c r="H2048" t="s">
        <v>224</v>
      </c>
      <c r="I2048" t="s">
        <v>131</v>
      </c>
      <c r="J2048" t="s">
        <v>131</v>
      </c>
      <c r="K2048" s="17">
        <v>0</v>
      </c>
      <c r="L2048" s="28"/>
    </row>
    <row r="2049" spans="1:12" x14ac:dyDescent="0.2">
      <c r="A2049">
        <v>2016</v>
      </c>
      <c r="B2049" t="s">
        <v>188</v>
      </c>
      <c r="C2049" t="s">
        <v>1299</v>
      </c>
      <c r="D2049" s="65">
        <v>2750</v>
      </c>
      <c r="E2049" s="33"/>
      <c r="F2049" t="s">
        <v>1300</v>
      </c>
      <c r="G2049" t="s">
        <v>152</v>
      </c>
      <c r="I2049" t="s">
        <v>85</v>
      </c>
      <c r="J2049" t="s">
        <v>195</v>
      </c>
      <c r="K2049" s="17">
        <v>0</v>
      </c>
      <c r="L2049" s="28"/>
    </row>
    <row r="2050" spans="1:12" x14ac:dyDescent="0.2">
      <c r="A2050">
        <v>2016</v>
      </c>
      <c r="B2050" t="s">
        <v>188</v>
      </c>
      <c r="C2050" t="s">
        <v>286</v>
      </c>
      <c r="D2050" s="65">
        <v>210</v>
      </c>
      <c r="E2050" s="33"/>
      <c r="F2050" t="s">
        <v>1301</v>
      </c>
      <c r="G2050" t="s">
        <v>150</v>
      </c>
      <c r="H2050" t="s">
        <v>556</v>
      </c>
      <c r="I2050" t="s">
        <v>131</v>
      </c>
      <c r="J2050" t="s">
        <v>131</v>
      </c>
      <c r="K2050" s="17">
        <v>0</v>
      </c>
      <c r="L2050" s="28"/>
    </row>
    <row r="2051" spans="1:12" x14ac:dyDescent="0.2">
      <c r="A2051">
        <v>2016</v>
      </c>
      <c r="B2051" t="s">
        <v>188</v>
      </c>
      <c r="C2051" t="s">
        <v>246</v>
      </c>
      <c r="D2051" s="65">
        <v>1540</v>
      </c>
      <c r="E2051" s="33">
        <v>0.8</v>
      </c>
      <c r="F2051" t="s">
        <v>1302</v>
      </c>
      <c r="G2051" t="s">
        <v>144</v>
      </c>
      <c r="H2051" t="s">
        <v>232</v>
      </c>
      <c r="I2051" t="s">
        <v>45</v>
      </c>
      <c r="J2051" t="s">
        <v>195</v>
      </c>
      <c r="K2051" s="17">
        <v>0</v>
      </c>
      <c r="L2051" s="28"/>
    </row>
    <row r="2052" spans="1:12" x14ac:dyDescent="0.2">
      <c r="A2052">
        <v>2016</v>
      </c>
      <c r="B2052" t="s">
        <v>188</v>
      </c>
      <c r="C2052" s="17" t="s">
        <v>630</v>
      </c>
      <c r="D2052" s="65">
        <v>2060</v>
      </c>
      <c r="E2052" s="33"/>
      <c r="F2052" t="s">
        <v>1303</v>
      </c>
      <c r="G2052" t="s">
        <v>148</v>
      </c>
      <c r="I2052" t="s">
        <v>131</v>
      </c>
      <c r="J2052" t="s">
        <v>131</v>
      </c>
      <c r="K2052" s="17">
        <v>0</v>
      </c>
      <c r="L2052" s="28"/>
    </row>
    <row r="2053" spans="1:12" x14ac:dyDescent="0.2">
      <c r="A2053">
        <v>2016</v>
      </c>
      <c r="B2053" t="s">
        <v>188</v>
      </c>
      <c r="C2053" t="s">
        <v>1304</v>
      </c>
      <c r="D2053" s="65">
        <v>140</v>
      </c>
      <c r="E2053" s="33"/>
      <c r="F2053" t="s">
        <v>1305</v>
      </c>
      <c r="G2053" t="s">
        <v>155</v>
      </c>
      <c r="I2053" t="s">
        <v>98</v>
      </c>
      <c r="J2053" t="s">
        <v>195</v>
      </c>
      <c r="K2053" s="17">
        <v>1</v>
      </c>
      <c r="L2053" s="28"/>
    </row>
    <row r="2054" spans="1:12" x14ac:dyDescent="0.2">
      <c r="A2054">
        <v>2016</v>
      </c>
      <c r="B2054" t="s">
        <v>188</v>
      </c>
      <c r="C2054" t="s">
        <v>739</v>
      </c>
      <c r="D2054" s="65">
        <v>120</v>
      </c>
      <c r="E2054" s="33"/>
      <c r="F2054" t="s">
        <v>1306</v>
      </c>
      <c r="G2054" t="s">
        <v>151</v>
      </c>
      <c r="H2054" t="s">
        <v>279</v>
      </c>
      <c r="I2054" t="s">
        <v>23</v>
      </c>
      <c r="J2054" t="s">
        <v>183</v>
      </c>
      <c r="K2054" s="17">
        <v>1</v>
      </c>
      <c r="L2054" s="28" t="s">
        <v>178</v>
      </c>
    </row>
    <row r="2055" spans="1:12" x14ac:dyDescent="0.2">
      <c r="A2055">
        <v>2016</v>
      </c>
      <c r="B2055" t="s">
        <v>188</v>
      </c>
      <c r="C2055" t="s">
        <v>1307</v>
      </c>
      <c r="D2055" s="65">
        <v>8600</v>
      </c>
      <c r="E2055" s="33">
        <v>0.84</v>
      </c>
      <c r="F2055" t="s">
        <v>1308</v>
      </c>
      <c r="G2055" t="s">
        <v>145</v>
      </c>
      <c r="I2055" t="s">
        <v>41</v>
      </c>
      <c r="J2055" t="s">
        <v>195</v>
      </c>
      <c r="K2055" s="17">
        <v>0</v>
      </c>
      <c r="L2055" s="28"/>
    </row>
    <row r="2056" spans="1:12" x14ac:dyDescent="0.2">
      <c r="A2056">
        <v>2016</v>
      </c>
      <c r="B2056" t="s">
        <v>188</v>
      </c>
      <c r="C2056" t="s">
        <v>1309</v>
      </c>
      <c r="D2056" s="65">
        <v>580</v>
      </c>
      <c r="E2056" s="33" t="s">
        <v>1310</v>
      </c>
      <c r="F2056" t="s">
        <v>1311</v>
      </c>
      <c r="G2056" t="s">
        <v>142</v>
      </c>
      <c r="I2056" t="s">
        <v>25</v>
      </c>
      <c r="J2056" t="s">
        <v>177</v>
      </c>
      <c r="K2056" s="17">
        <v>0</v>
      </c>
      <c r="L2056" s="28"/>
    </row>
    <row r="2057" spans="1:12" x14ac:dyDescent="0.2">
      <c r="A2057">
        <v>2016</v>
      </c>
      <c r="B2057" t="s">
        <v>188</v>
      </c>
      <c r="C2057" t="s">
        <v>1018</v>
      </c>
      <c r="D2057" s="65">
        <v>150</v>
      </c>
      <c r="E2057" s="33">
        <v>1</v>
      </c>
      <c r="F2057" t="s">
        <v>1312</v>
      </c>
      <c r="G2057" t="s">
        <v>154</v>
      </c>
      <c r="H2057" t="s">
        <v>194</v>
      </c>
      <c r="I2057" t="s">
        <v>45</v>
      </c>
      <c r="J2057" t="s">
        <v>195</v>
      </c>
      <c r="K2057" s="17">
        <v>0</v>
      </c>
      <c r="L2057" s="28"/>
    </row>
    <row r="2058" spans="1:12" x14ac:dyDescent="0.2">
      <c r="A2058">
        <v>2016</v>
      </c>
      <c r="B2058" t="s">
        <v>188</v>
      </c>
      <c r="C2058" t="s">
        <v>649</v>
      </c>
      <c r="D2058" s="65">
        <v>250</v>
      </c>
      <c r="E2058" s="33">
        <v>1</v>
      </c>
      <c r="G2058" t="s">
        <v>151</v>
      </c>
      <c r="H2058" t="s">
        <v>279</v>
      </c>
      <c r="I2058" t="s">
        <v>52</v>
      </c>
      <c r="J2058" t="s">
        <v>201</v>
      </c>
      <c r="K2058" s="17">
        <v>0</v>
      </c>
      <c r="L2058" s="28" t="s">
        <v>178</v>
      </c>
    </row>
    <row r="2059" spans="1:12" x14ac:dyDescent="0.2">
      <c r="A2059">
        <v>2016</v>
      </c>
      <c r="B2059" t="s">
        <v>188</v>
      </c>
      <c r="C2059" t="s">
        <v>1129</v>
      </c>
      <c r="D2059" s="65">
        <v>240</v>
      </c>
      <c r="E2059" s="33">
        <v>1</v>
      </c>
      <c r="G2059" t="s">
        <v>144</v>
      </c>
      <c r="H2059" t="s">
        <v>232</v>
      </c>
      <c r="I2059" t="s">
        <v>72</v>
      </c>
      <c r="J2059" t="s">
        <v>183</v>
      </c>
      <c r="K2059" s="17">
        <v>1</v>
      </c>
      <c r="L2059" s="28" t="s">
        <v>178</v>
      </c>
    </row>
    <row r="2060" spans="1:12" x14ac:dyDescent="0.2">
      <c r="A2060">
        <v>2016</v>
      </c>
      <c r="B2060" t="s">
        <v>188</v>
      </c>
      <c r="C2060" t="s">
        <v>980</v>
      </c>
      <c r="D2060" s="65">
        <v>110</v>
      </c>
      <c r="E2060" s="33"/>
      <c r="G2060" t="s">
        <v>154</v>
      </c>
      <c r="H2060" t="s">
        <v>271</v>
      </c>
      <c r="I2060" t="s">
        <v>94</v>
      </c>
      <c r="J2060" t="s">
        <v>177</v>
      </c>
      <c r="K2060" s="17">
        <v>0</v>
      </c>
      <c r="L2060" s="28"/>
    </row>
    <row r="2061" spans="1:12" x14ac:dyDescent="0.2">
      <c r="A2061">
        <v>2016</v>
      </c>
      <c r="B2061" t="s">
        <v>188</v>
      </c>
      <c r="C2061" t="s">
        <v>397</v>
      </c>
      <c r="D2061" s="65">
        <v>200</v>
      </c>
      <c r="E2061" s="33"/>
      <c r="G2061" t="s">
        <v>151</v>
      </c>
      <c r="H2061" t="s">
        <v>224</v>
      </c>
      <c r="I2061" t="s">
        <v>20</v>
      </c>
      <c r="J2061" t="s">
        <v>195</v>
      </c>
      <c r="K2061" s="17">
        <v>0</v>
      </c>
      <c r="L2061" s="28"/>
    </row>
    <row r="2062" spans="1:12" x14ac:dyDescent="0.2">
      <c r="A2062">
        <v>2016</v>
      </c>
      <c r="B2062" t="s">
        <v>188</v>
      </c>
      <c r="C2062" t="s">
        <v>1149</v>
      </c>
      <c r="D2062" s="65">
        <v>130</v>
      </c>
      <c r="E2062" s="33"/>
      <c r="F2062" t="s">
        <v>1313</v>
      </c>
      <c r="G2062" t="s">
        <v>151</v>
      </c>
      <c r="H2062" t="s">
        <v>224</v>
      </c>
      <c r="I2062" t="s">
        <v>9</v>
      </c>
      <c r="J2062" t="s">
        <v>9</v>
      </c>
      <c r="K2062" s="17">
        <v>0</v>
      </c>
      <c r="L2062" s="28"/>
    </row>
    <row r="2063" spans="1:12" x14ac:dyDescent="0.2">
      <c r="A2063">
        <v>2016</v>
      </c>
      <c r="B2063" t="s">
        <v>188</v>
      </c>
      <c r="C2063" t="s">
        <v>175</v>
      </c>
      <c r="D2063" s="65">
        <v>180</v>
      </c>
      <c r="E2063" s="33"/>
      <c r="G2063" t="s">
        <v>149</v>
      </c>
      <c r="I2063" t="s">
        <v>9</v>
      </c>
      <c r="J2063" t="s">
        <v>9</v>
      </c>
      <c r="K2063" s="17">
        <v>0</v>
      </c>
      <c r="L2063" s="28"/>
    </row>
    <row r="2064" spans="1:12" x14ac:dyDescent="0.2">
      <c r="A2064">
        <v>2016</v>
      </c>
      <c r="B2064" t="s">
        <v>191</v>
      </c>
      <c r="C2064" t="s">
        <v>1314</v>
      </c>
      <c r="D2064" s="65">
        <v>610</v>
      </c>
      <c r="E2064" s="33"/>
      <c r="F2064" t="s">
        <v>1315</v>
      </c>
      <c r="G2064" t="s">
        <v>152</v>
      </c>
      <c r="H2064" t="s">
        <v>257</v>
      </c>
      <c r="I2064" t="s">
        <v>91</v>
      </c>
      <c r="J2064" t="s">
        <v>195</v>
      </c>
      <c r="K2064" s="17">
        <v>0</v>
      </c>
      <c r="L2064" s="28"/>
    </row>
    <row r="2065" spans="1:12" x14ac:dyDescent="0.2">
      <c r="A2065">
        <v>2016</v>
      </c>
      <c r="B2065" t="s">
        <v>191</v>
      </c>
      <c r="C2065" t="s">
        <v>661</v>
      </c>
      <c r="D2065" s="65">
        <v>1210</v>
      </c>
      <c r="E2065" s="33">
        <v>1</v>
      </c>
      <c r="F2065" t="s">
        <v>1316</v>
      </c>
      <c r="G2065" t="s">
        <v>145</v>
      </c>
      <c r="I2065" t="s">
        <v>20</v>
      </c>
      <c r="J2065" t="s">
        <v>195</v>
      </c>
      <c r="K2065" s="17">
        <v>0</v>
      </c>
      <c r="L2065" s="28"/>
    </row>
    <row r="2066" spans="1:12" x14ac:dyDescent="0.2">
      <c r="A2066">
        <v>2016</v>
      </c>
      <c r="B2066" t="s">
        <v>191</v>
      </c>
      <c r="C2066" t="s">
        <v>997</v>
      </c>
      <c r="D2066" s="65">
        <v>230</v>
      </c>
      <c r="E2066" s="33">
        <v>0.14000000000000001</v>
      </c>
      <c r="F2066" t="s">
        <v>1317</v>
      </c>
      <c r="G2066" t="s">
        <v>150</v>
      </c>
      <c r="I2066" t="s">
        <v>131</v>
      </c>
      <c r="J2066" t="s">
        <v>131</v>
      </c>
      <c r="K2066" s="17">
        <v>0</v>
      </c>
      <c r="L2066" s="28"/>
    </row>
    <row r="2067" spans="1:12" x14ac:dyDescent="0.2">
      <c r="A2067">
        <v>2016</v>
      </c>
      <c r="B2067" t="s">
        <v>191</v>
      </c>
      <c r="C2067" t="s">
        <v>1318</v>
      </c>
      <c r="D2067" s="65">
        <v>370</v>
      </c>
      <c r="E2067" s="33">
        <v>0.28999999999999998</v>
      </c>
      <c r="F2067" t="s">
        <v>1319</v>
      </c>
      <c r="G2067" t="s">
        <v>147</v>
      </c>
      <c r="I2067" t="s">
        <v>9</v>
      </c>
      <c r="J2067" t="s">
        <v>9</v>
      </c>
      <c r="K2067" s="17">
        <v>0</v>
      </c>
      <c r="L2067" s="28"/>
    </row>
    <row r="2068" spans="1:12" x14ac:dyDescent="0.2">
      <c r="A2068">
        <v>2016</v>
      </c>
      <c r="B2068" t="s">
        <v>191</v>
      </c>
      <c r="C2068" t="s">
        <v>1178</v>
      </c>
      <c r="D2068" s="65">
        <v>270</v>
      </c>
      <c r="E2068" s="33"/>
      <c r="F2068" t="s">
        <v>1320</v>
      </c>
      <c r="G2068" t="s">
        <v>147</v>
      </c>
      <c r="I2068" t="s">
        <v>119</v>
      </c>
      <c r="J2068" t="s">
        <v>195</v>
      </c>
      <c r="K2068" s="17">
        <v>0</v>
      </c>
      <c r="L2068" s="28"/>
    </row>
    <row r="2069" spans="1:12" x14ac:dyDescent="0.2">
      <c r="A2069">
        <v>2016</v>
      </c>
      <c r="B2069" t="s">
        <v>191</v>
      </c>
      <c r="C2069" t="s">
        <v>1321</v>
      </c>
      <c r="D2069" s="65">
        <v>180</v>
      </c>
      <c r="E2069" s="33">
        <v>0.72</v>
      </c>
      <c r="F2069" t="s">
        <v>1322</v>
      </c>
      <c r="G2069" t="s">
        <v>142</v>
      </c>
      <c r="I2069" t="s">
        <v>86</v>
      </c>
      <c r="J2069" t="s">
        <v>183</v>
      </c>
      <c r="K2069" s="17">
        <v>1</v>
      </c>
      <c r="L2069" s="28"/>
    </row>
    <row r="2070" spans="1:12" x14ac:dyDescent="0.2">
      <c r="A2070">
        <v>2016</v>
      </c>
      <c r="B2070" t="s">
        <v>191</v>
      </c>
      <c r="C2070" t="s">
        <v>210</v>
      </c>
      <c r="D2070" s="65">
        <v>1400</v>
      </c>
      <c r="E2070" s="33">
        <v>0.4</v>
      </c>
      <c r="F2070" t="s">
        <v>1323</v>
      </c>
      <c r="G2070" t="s">
        <v>142</v>
      </c>
      <c r="I2070" t="s">
        <v>57</v>
      </c>
      <c r="J2070" t="s">
        <v>195</v>
      </c>
      <c r="K2070" s="17">
        <v>0</v>
      </c>
      <c r="L2070" s="28"/>
    </row>
    <row r="2071" spans="1:12" x14ac:dyDescent="0.2">
      <c r="A2071">
        <v>2016</v>
      </c>
      <c r="B2071" t="s">
        <v>191</v>
      </c>
      <c r="C2071" t="s">
        <v>1324</v>
      </c>
      <c r="D2071" s="65">
        <v>300</v>
      </c>
      <c r="E2071" s="33">
        <v>1</v>
      </c>
      <c r="F2071" t="s">
        <v>1325</v>
      </c>
      <c r="G2071" t="s">
        <v>149</v>
      </c>
      <c r="I2071" t="s">
        <v>60</v>
      </c>
      <c r="J2071" t="s">
        <v>177</v>
      </c>
      <c r="K2071" s="17">
        <v>1</v>
      </c>
      <c r="L2071" s="28"/>
    </row>
    <row r="2072" spans="1:12" x14ac:dyDescent="0.2">
      <c r="A2072">
        <v>2016</v>
      </c>
      <c r="B2072" t="s">
        <v>191</v>
      </c>
      <c r="C2072" t="s">
        <v>246</v>
      </c>
      <c r="D2072" s="65">
        <v>220</v>
      </c>
      <c r="E2072" s="33">
        <v>1</v>
      </c>
      <c r="G2072" t="s">
        <v>144</v>
      </c>
      <c r="H2072" t="s">
        <v>232</v>
      </c>
      <c r="I2072" t="s">
        <v>93</v>
      </c>
      <c r="J2072" t="s">
        <v>201</v>
      </c>
      <c r="K2072" s="17">
        <v>1</v>
      </c>
      <c r="L2072" s="28" t="s">
        <v>178</v>
      </c>
    </row>
    <row r="2073" spans="1:12" x14ac:dyDescent="0.2">
      <c r="A2073">
        <v>2016</v>
      </c>
      <c r="B2073" t="s">
        <v>191</v>
      </c>
      <c r="C2073" t="s">
        <v>649</v>
      </c>
      <c r="D2073" s="65">
        <v>100</v>
      </c>
      <c r="E2073" s="33"/>
      <c r="G2073" t="s">
        <v>151</v>
      </c>
      <c r="H2073" t="s">
        <v>279</v>
      </c>
      <c r="I2073" t="s">
        <v>19</v>
      </c>
      <c r="J2073" t="s">
        <v>205</v>
      </c>
      <c r="K2073" s="17">
        <v>0</v>
      </c>
      <c r="L2073" s="28"/>
    </row>
    <row r="2074" spans="1:12" x14ac:dyDescent="0.2">
      <c r="A2074">
        <v>2016</v>
      </c>
      <c r="B2074" t="s">
        <v>191</v>
      </c>
      <c r="C2074" t="s">
        <v>661</v>
      </c>
      <c r="D2074" s="65">
        <v>1160</v>
      </c>
      <c r="E2074" s="33"/>
      <c r="F2074" t="s">
        <v>1326</v>
      </c>
      <c r="G2074" t="s">
        <v>145</v>
      </c>
      <c r="I2074" t="s">
        <v>131</v>
      </c>
      <c r="J2074" t="s">
        <v>131</v>
      </c>
      <c r="K2074" s="17">
        <v>0</v>
      </c>
      <c r="L2074" s="28"/>
    </row>
    <row r="2075" spans="1:12" x14ac:dyDescent="0.2">
      <c r="A2075">
        <v>2016</v>
      </c>
      <c r="B2075" t="s">
        <v>191</v>
      </c>
      <c r="C2075" t="s">
        <v>1327</v>
      </c>
      <c r="D2075" s="65">
        <v>440</v>
      </c>
      <c r="E2075" s="33"/>
      <c r="F2075" t="s">
        <v>1328</v>
      </c>
      <c r="G2075" t="s">
        <v>150</v>
      </c>
      <c r="H2075" t="s">
        <v>217</v>
      </c>
      <c r="I2075" t="s">
        <v>45</v>
      </c>
      <c r="J2075" t="s">
        <v>195</v>
      </c>
      <c r="K2075" s="17">
        <v>0</v>
      </c>
      <c r="L2075" s="28"/>
    </row>
    <row r="2076" spans="1:12" x14ac:dyDescent="0.2">
      <c r="A2076">
        <v>2016</v>
      </c>
      <c r="B2076" t="s">
        <v>191</v>
      </c>
      <c r="C2076" t="s">
        <v>520</v>
      </c>
      <c r="D2076" s="65">
        <v>200</v>
      </c>
      <c r="E2076" s="33">
        <v>0.44</v>
      </c>
      <c r="F2076" t="s">
        <v>521</v>
      </c>
      <c r="G2076" t="s">
        <v>152</v>
      </c>
      <c r="I2076" t="s">
        <v>61</v>
      </c>
      <c r="J2076" t="s">
        <v>183</v>
      </c>
      <c r="K2076" s="17">
        <v>0</v>
      </c>
      <c r="L2076" s="28"/>
    </row>
    <row r="2077" spans="1:12" x14ac:dyDescent="0.2">
      <c r="A2077">
        <v>2016</v>
      </c>
      <c r="B2077" t="s">
        <v>191</v>
      </c>
      <c r="C2077" t="s">
        <v>1329</v>
      </c>
      <c r="D2077" s="65">
        <v>140</v>
      </c>
      <c r="E2077" s="33"/>
      <c r="G2077" t="s">
        <v>151</v>
      </c>
      <c r="H2077" t="s">
        <v>224</v>
      </c>
      <c r="I2077" t="s">
        <v>9</v>
      </c>
      <c r="J2077" t="s">
        <v>9</v>
      </c>
      <c r="K2077" s="17">
        <v>0</v>
      </c>
      <c r="L2077" s="28" t="s">
        <v>178</v>
      </c>
    </row>
    <row r="2078" spans="1:12" x14ac:dyDescent="0.2">
      <c r="A2078">
        <v>2016</v>
      </c>
      <c r="B2078" t="s">
        <v>191</v>
      </c>
      <c r="C2078" t="s">
        <v>1330</v>
      </c>
      <c r="D2078" s="65">
        <v>410</v>
      </c>
      <c r="E2078" s="33">
        <v>0.91</v>
      </c>
      <c r="F2078" t="s">
        <v>1331</v>
      </c>
      <c r="G2078" t="s">
        <v>153</v>
      </c>
      <c r="I2078" t="s">
        <v>131</v>
      </c>
      <c r="J2078" t="s">
        <v>131</v>
      </c>
      <c r="K2078" s="17">
        <v>0</v>
      </c>
      <c r="L2078" s="28"/>
    </row>
    <row r="2079" spans="1:12" x14ac:dyDescent="0.2">
      <c r="A2079">
        <v>2016</v>
      </c>
      <c r="B2079" t="s">
        <v>191</v>
      </c>
      <c r="C2079" t="s">
        <v>953</v>
      </c>
      <c r="D2079" s="65">
        <v>110</v>
      </c>
      <c r="E2079" s="33"/>
      <c r="G2079" t="s">
        <v>151</v>
      </c>
      <c r="H2079" t="s">
        <v>279</v>
      </c>
      <c r="I2079" t="s">
        <v>9</v>
      </c>
      <c r="J2079" t="s">
        <v>9</v>
      </c>
      <c r="K2079" s="17">
        <v>0</v>
      </c>
      <c r="L2079" s="28"/>
    </row>
    <row r="2080" spans="1:12" x14ac:dyDescent="0.2">
      <c r="A2080">
        <v>2016</v>
      </c>
      <c r="B2080" t="s">
        <v>191</v>
      </c>
      <c r="C2080" t="s">
        <v>1332</v>
      </c>
      <c r="D2080" s="65">
        <v>130</v>
      </c>
      <c r="E2080" s="33"/>
      <c r="G2080" t="s">
        <v>151</v>
      </c>
      <c r="H2080" t="s">
        <v>224</v>
      </c>
      <c r="I2080" t="s">
        <v>9</v>
      </c>
      <c r="J2080" t="s">
        <v>9</v>
      </c>
      <c r="K2080" s="17">
        <v>0</v>
      </c>
      <c r="L2080" s="28"/>
    </row>
    <row r="2081" spans="1:12" x14ac:dyDescent="0.2">
      <c r="A2081">
        <v>2016</v>
      </c>
      <c r="B2081" t="s">
        <v>191</v>
      </c>
      <c r="C2081" t="s">
        <v>373</v>
      </c>
      <c r="D2081" s="65">
        <v>700</v>
      </c>
      <c r="E2081" s="33">
        <v>0.8</v>
      </c>
      <c r="F2081" t="s">
        <v>1333</v>
      </c>
      <c r="G2081" t="s">
        <v>154</v>
      </c>
      <c r="H2081" t="s">
        <v>250</v>
      </c>
      <c r="I2081" t="s">
        <v>119</v>
      </c>
      <c r="J2081" t="s">
        <v>195</v>
      </c>
      <c r="K2081" s="17">
        <v>0</v>
      </c>
      <c r="L2081" s="28"/>
    </row>
    <row r="2082" spans="1:12" x14ac:dyDescent="0.2">
      <c r="A2082">
        <v>2016</v>
      </c>
      <c r="B2082" t="s">
        <v>191</v>
      </c>
      <c r="C2082" t="s">
        <v>1334</v>
      </c>
      <c r="D2082" s="65">
        <v>4400</v>
      </c>
      <c r="E2082" s="33"/>
      <c r="F2082" t="s">
        <v>1335</v>
      </c>
      <c r="G2082" t="s">
        <v>145</v>
      </c>
      <c r="I2082" t="s">
        <v>57</v>
      </c>
      <c r="J2082" t="s">
        <v>195</v>
      </c>
      <c r="K2082" s="17">
        <v>0</v>
      </c>
      <c r="L2082" s="28"/>
    </row>
    <row r="2083" spans="1:12" x14ac:dyDescent="0.2">
      <c r="A2083">
        <v>2016</v>
      </c>
      <c r="B2083" t="s">
        <v>191</v>
      </c>
      <c r="C2083" t="s">
        <v>554</v>
      </c>
      <c r="D2083" s="65">
        <v>500</v>
      </c>
      <c r="E2083" s="33">
        <v>0.67</v>
      </c>
      <c r="G2083" t="s">
        <v>151</v>
      </c>
      <c r="H2083" t="s">
        <v>224</v>
      </c>
      <c r="I2083" t="s">
        <v>61</v>
      </c>
      <c r="J2083" t="s">
        <v>183</v>
      </c>
      <c r="K2083" s="17">
        <v>0</v>
      </c>
      <c r="L2083" s="28"/>
    </row>
    <row r="2084" spans="1:12" x14ac:dyDescent="0.2">
      <c r="A2084">
        <v>2016</v>
      </c>
      <c r="B2084" t="s">
        <v>191</v>
      </c>
      <c r="C2084" t="s">
        <v>269</v>
      </c>
      <c r="D2084" s="65">
        <v>120</v>
      </c>
      <c r="E2084" s="33">
        <v>1</v>
      </c>
      <c r="F2084" t="s">
        <v>1336</v>
      </c>
      <c r="G2084" t="s">
        <v>154</v>
      </c>
      <c r="H2084" t="s">
        <v>194</v>
      </c>
      <c r="I2084" t="s">
        <v>20</v>
      </c>
      <c r="J2084" t="s">
        <v>195</v>
      </c>
      <c r="K2084" s="17">
        <v>0</v>
      </c>
      <c r="L2084" s="28"/>
    </row>
    <row r="2085" spans="1:12" x14ac:dyDescent="0.2">
      <c r="A2085">
        <v>2016</v>
      </c>
      <c r="B2085" t="s">
        <v>191</v>
      </c>
      <c r="C2085" t="s">
        <v>1337</v>
      </c>
      <c r="D2085" s="65">
        <v>610</v>
      </c>
      <c r="E2085" s="33"/>
      <c r="F2085" t="s">
        <v>1338</v>
      </c>
      <c r="G2085" t="s">
        <v>152</v>
      </c>
      <c r="I2085" t="s">
        <v>131</v>
      </c>
      <c r="J2085" t="s">
        <v>131</v>
      </c>
      <c r="K2085" s="17">
        <v>0</v>
      </c>
      <c r="L2085" s="28"/>
    </row>
    <row r="2086" spans="1:12" x14ac:dyDescent="0.2">
      <c r="A2086">
        <v>2016</v>
      </c>
      <c r="B2086" t="s">
        <v>191</v>
      </c>
      <c r="C2086" t="s">
        <v>269</v>
      </c>
      <c r="D2086" s="65">
        <v>320</v>
      </c>
      <c r="E2086" s="33">
        <v>0.51</v>
      </c>
      <c r="G2086" t="s">
        <v>154</v>
      </c>
      <c r="H2086" t="s">
        <v>271</v>
      </c>
      <c r="I2086" t="s">
        <v>47</v>
      </c>
      <c r="J2086" t="s">
        <v>195</v>
      </c>
      <c r="K2086" s="17">
        <v>1</v>
      </c>
      <c r="L2086" s="28"/>
    </row>
    <row r="2087" spans="1:12" x14ac:dyDescent="0.2">
      <c r="A2087">
        <v>2016</v>
      </c>
      <c r="B2087" t="s">
        <v>191</v>
      </c>
      <c r="C2087" t="s">
        <v>754</v>
      </c>
      <c r="D2087" s="65">
        <v>150</v>
      </c>
      <c r="E2087" s="33"/>
      <c r="G2087" t="s">
        <v>149</v>
      </c>
      <c r="H2087" t="s">
        <v>182</v>
      </c>
      <c r="I2087" t="s">
        <v>72</v>
      </c>
      <c r="J2087" t="s">
        <v>183</v>
      </c>
      <c r="K2087" s="17">
        <v>1</v>
      </c>
      <c r="L2087" s="28"/>
    </row>
    <row r="2088" spans="1:12" x14ac:dyDescent="0.2">
      <c r="A2088">
        <v>2016</v>
      </c>
      <c r="B2088" t="s">
        <v>198</v>
      </c>
      <c r="C2088" t="s">
        <v>1339</v>
      </c>
      <c r="D2088" s="65">
        <v>150</v>
      </c>
      <c r="E2088" s="33"/>
      <c r="F2088" t="s">
        <v>1340</v>
      </c>
      <c r="G2088" t="s">
        <v>149</v>
      </c>
      <c r="H2088" t="s">
        <v>182</v>
      </c>
      <c r="I2088" t="s">
        <v>52</v>
      </c>
      <c r="J2088" t="s">
        <v>201</v>
      </c>
      <c r="K2088" s="17">
        <v>0</v>
      </c>
      <c r="L2088" s="28"/>
    </row>
    <row r="2089" spans="1:12" x14ac:dyDescent="0.2">
      <c r="A2089">
        <v>2016</v>
      </c>
      <c r="B2089" t="s">
        <v>198</v>
      </c>
      <c r="C2089" t="s">
        <v>1341</v>
      </c>
      <c r="D2089" s="65">
        <v>230</v>
      </c>
      <c r="E2089" s="33"/>
      <c r="F2089" t="s">
        <v>1342</v>
      </c>
      <c r="G2089" t="s">
        <v>142</v>
      </c>
      <c r="I2089" t="s">
        <v>9</v>
      </c>
      <c r="J2089" t="s">
        <v>9</v>
      </c>
      <c r="K2089" s="17">
        <v>0</v>
      </c>
      <c r="L2089" s="28"/>
    </row>
    <row r="2090" spans="1:12" x14ac:dyDescent="0.2">
      <c r="A2090">
        <v>2016</v>
      </c>
      <c r="B2090" t="s">
        <v>198</v>
      </c>
      <c r="C2090" t="s">
        <v>373</v>
      </c>
      <c r="D2090" s="65">
        <v>340</v>
      </c>
      <c r="E2090" s="33"/>
      <c r="F2090" t="s">
        <v>1343</v>
      </c>
      <c r="G2090" t="s">
        <v>152</v>
      </c>
      <c r="I2090" t="s">
        <v>131</v>
      </c>
      <c r="J2090" t="s">
        <v>131</v>
      </c>
      <c r="K2090" s="17">
        <v>0</v>
      </c>
      <c r="L2090" s="28"/>
    </row>
    <row r="2091" spans="1:12" x14ac:dyDescent="0.2">
      <c r="A2091">
        <v>2016</v>
      </c>
      <c r="B2091" t="s">
        <v>198</v>
      </c>
      <c r="C2091" t="s">
        <v>1344</v>
      </c>
      <c r="D2091" s="65">
        <v>1000</v>
      </c>
      <c r="E2091" s="33">
        <v>1.4999999999999999E-2</v>
      </c>
      <c r="F2091" t="s">
        <v>1345</v>
      </c>
      <c r="G2091" t="s">
        <v>154</v>
      </c>
      <c r="H2091" t="s">
        <v>194</v>
      </c>
      <c r="I2091" t="s">
        <v>131</v>
      </c>
      <c r="J2091" t="s">
        <v>131</v>
      </c>
      <c r="K2091" s="17">
        <v>0</v>
      </c>
      <c r="L2091" s="28"/>
    </row>
    <row r="2092" spans="1:12" x14ac:dyDescent="0.2">
      <c r="A2092">
        <v>2016</v>
      </c>
      <c r="B2092" t="s">
        <v>198</v>
      </c>
      <c r="C2092" t="s">
        <v>1346</v>
      </c>
      <c r="D2092" s="65">
        <v>170</v>
      </c>
      <c r="E2092" s="33"/>
      <c r="G2092" t="s">
        <v>152</v>
      </c>
      <c r="I2092" t="s">
        <v>131</v>
      </c>
      <c r="J2092" t="s">
        <v>131</v>
      </c>
      <c r="K2092" s="17">
        <v>0</v>
      </c>
      <c r="L2092" s="28" t="s">
        <v>178</v>
      </c>
    </row>
    <row r="2093" spans="1:12" x14ac:dyDescent="0.2">
      <c r="A2093">
        <v>2016</v>
      </c>
      <c r="B2093" t="s">
        <v>198</v>
      </c>
      <c r="C2093" t="s">
        <v>1347</v>
      </c>
      <c r="D2093" s="65">
        <v>150</v>
      </c>
      <c r="E2093" s="33"/>
      <c r="F2093" t="s">
        <v>1348</v>
      </c>
      <c r="G2093" t="s">
        <v>144</v>
      </c>
      <c r="H2093" t="s">
        <v>232</v>
      </c>
      <c r="I2093" t="s">
        <v>131</v>
      </c>
      <c r="J2093" t="s">
        <v>131</v>
      </c>
      <c r="K2093" s="17">
        <v>0</v>
      </c>
      <c r="L2093" s="28"/>
    </row>
    <row r="2094" spans="1:12" x14ac:dyDescent="0.2">
      <c r="A2094">
        <v>2016</v>
      </c>
      <c r="B2094" t="s">
        <v>198</v>
      </c>
      <c r="C2094" t="s">
        <v>488</v>
      </c>
      <c r="D2094" s="65">
        <v>120</v>
      </c>
      <c r="E2094" s="33">
        <v>9.9000000000000005E-2</v>
      </c>
      <c r="F2094" t="s">
        <v>1349</v>
      </c>
      <c r="G2094" t="s">
        <v>147</v>
      </c>
      <c r="I2094" t="s">
        <v>131</v>
      </c>
      <c r="J2094" t="s">
        <v>131</v>
      </c>
      <c r="K2094" s="17">
        <v>0</v>
      </c>
      <c r="L2094" s="28"/>
    </row>
    <row r="2095" spans="1:12" x14ac:dyDescent="0.2">
      <c r="A2095">
        <v>2016</v>
      </c>
      <c r="B2095" t="s">
        <v>198</v>
      </c>
      <c r="C2095" t="s">
        <v>1250</v>
      </c>
      <c r="D2095" s="65">
        <v>140</v>
      </c>
      <c r="E2095" s="33"/>
      <c r="F2095" t="s">
        <v>1350</v>
      </c>
      <c r="G2095" t="s">
        <v>151</v>
      </c>
      <c r="H2095" t="s">
        <v>224</v>
      </c>
      <c r="I2095" t="s">
        <v>131</v>
      </c>
      <c r="J2095" t="s">
        <v>131</v>
      </c>
      <c r="K2095" s="17">
        <v>0</v>
      </c>
      <c r="L2095" s="28"/>
    </row>
    <row r="2096" spans="1:12" x14ac:dyDescent="0.2">
      <c r="A2096">
        <v>2016</v>
      </c>
      <c r="B2096" t="s">
        <v>198</v>
      </c>
      <c r="C2096" t="s">
        <v>1351</v>
      </c>
      <c r="D2096" s="65">
        <v>190</v>
      </c>
      <c r="E2096" s="33"/>
      <c r="F2096" t="s">
        <v>1352</v>
      </c>
      <c r="G2096" t="s">
        <v>145</v>
      </c>
      <c r="I2096" t="s">
        <v>20</v>
      </c>
      <c r="J2096" t="s">
        <v>195</v>
      </c>
      <c r="K2096" s="17">
        <v>0</v>
      </c>
      <c r="L2096" s="28"/>
    </row>
    <row r="2097" spans="1:12" x14ac:dyDescent="0.2">
      <c r="A2097">
        <v>2016</v>
      </c>
      <c r="B2097" t="s">
        <v>198</v>
      </c>
      <c r="C2097" t="s">
        <v>1353</v>
      </c>
      <c r="D2097" s="65">
        <v>4680</v>
      </c>
      <c r="E2097" s="33">
        <v>0.82</v>
      </c>
      <c r="F2097" t="s">
        <v>1112</v>
      </c>
      <c r="G2097" t="s">
        <v>152</v>
      </c>
      <c r="I2097" t="s">
        <v>45</v>
      </c>
      <c r="J2097" t="s">
        <v>195</v>
      </c>
      <c r="K2097" s="17">
        <v>0</v>
      </c>
      <c r="L2097" s="28"/>
    </row>
    <row r="2098" spans="1:12" x14ac:dyDescent="0.2">
      <c r="A2098">
        <v>2016</v>
      </c>
      <c r="B2098" t="s">
        <v>198</v>
      </c>
      <c r="C2098" t="s">
        <v>414</v>
      </c>
      <c r="D2098" s="65">
        <v>520</v>
      </c>
      <c r="E2098" s="33">
        <v>0.65</v>
      </c>
      <c r="F2098" t="s">
        <v>1354</v>
      </c>
      <c r="G2098" t="s">
        <v>154</v>
      </c>
      <c r="H2098" t="s">
        <v>194</v>
      </c>
      <c r="I2098" t="s">
        <v>112</v>
      </c>
      <c r="J2098" t="s">
        <v>219</v>
      </c>
      <c r="K2098" s="17">
        <v>1</v>
      </c>
      <c r="L2098" s="28" t="s">
        <v>178</v>
      </c>
    </row>
    <row r="2099" spans="1:12" x14ac:dyDescent="0.2">
      <c r="A2099">
        <v>2016</v>
      </c>
      <c r="B2099" t="s">
        <v>198</v>
      </c>
      <c r="C2099" t="s">
        <v>399</v>
      </c>
      <c r="D2099" s="65">
        <v>220</v>
      </c>
      <c r="E2099" s="33">
        <v>1</v>
      </c>
      <c r="F2099" t="s">
        <v>1355</v>
      </c>
      <c r="G2099" t="s">
        <v>154</v>
      </c>
      <c r="H2099" t="s">
        <v>250</v>
      </c>
      <c r="I2099" t="s">
        <v>45</v>
      </c>
      <c r="J2099" t="s">
        <v>195</v>
      </c>
      <c r="K2099" s="17">
        <v>0</v>
      </c>
      <c r="L2099" s="28"/>
    </row>
    <row r="2100" spans="1:12" x14ac:dyDescent="0.2">
      <c r="A2100">
        <v>2016</v>
      </c>
      <c r="B2100" t="s">
        <v>198</v>
      </c>
      <c r="C2100" t="s">
        <v>334</v>
      </c>
      <c r="D2100" s="65">
        <v>1440</v>
      </c>
      <c r="E2100" s="33">
        <v>0.49</v>
      </c>
      <c r="F2100" t="s">
        <v>861</v>
      </c>
      <c r="G2100" t="s">
        <v>142</v>
      </c>
      <c r="I2100" t="s">
        <v>85</v>
      </c>
      <c r="J2100" t="s">
        <v>195</v>
      </c>
      <c r="K2100" s="17">
        <v>0</v>
      </c>
      <c r="L2100" s="28"/>
    </row>
    <row r="2101" spans="1:12" x14ac:dyDescent="0.2">
      <c r="A2101">
        <v>2016</v>
      </c>
      <c r="B2101" t="s">
        <v>198</v>
      </c>
      <c r="C2101" t="s">
        <v>1356</v>
      </c>
      <c r="D2101" s="65">
        <v>100</v>
      </c>
      <c r="E2101" s="33">
        <v>1</v>
      </c>
      <c r="G2101" t="s">
        <v>151</v>
      </c>
      <c r="H2101" t="s">
        <v>279</v>
      </c>
      <c r="I2101" t="s">
        <v>64</v>
      </c>
      <c r="J2101" t="s">
        <v>219</v>
      </c>
      <c r="K2101" s="17">
        <v>1</v>
      </c>
      <c r="L2101" s="28" t="s">
        <v>178</v>
      </c>
    </row>
    <row r="2102" spans="1:12" x14ac:dyDescent="0.2">
      <c r="A2102">
        <v>2016</v>
      </c>
      <c r="B2102" t="s">
        <v>198</v>
      </c>
      <c r="C2102" t="s">
        <v>1357</v>
      </c>
      <c r="D2102" s="65">
        <v>130</v>
      </c>
      <c r="E2102" s="33">
        <v>0.51</v>
      </c>
      <c r="F2102" t="s">
        <v>1358</v>
      </c>
      <c r="G2102" t="s">
        <v>144</v>
      </c>
      <c r="I2102" t="s">
        <v>52</v>
      </c>
      <c r="J2102" t="s">
        <v>201</v>
      </c>
      <c r="K2102" s="17">
        <v>0</v>
      </c>
      <c r="L2102" s="28"/>
    </row>
    <row r="2103" spans="1:12" x14ac:dyDescent="0.2">
      <c r="A2103">
        <v>2016</v>
      </c>
      <c r="B2103" t="s">
        <v>198</v>
      </c>
      <c r="C2103" t="s">
        <v>1359</v>
      </c>
      <c r="D2103" s="65">
        <v>110</v>
      </c>
      <c r="E2103" s="33">
        <v>0.2</v>
      </c>
      <c r="F2103" t="s">
        <v>1360</v>
      </c>
      <c r="G2103" t="s">
        <v>145</v>
      </c>
      <c r="I2103" t="s">
        <v>42</v>
      </c>
      <c r="J2103" t="s">
        <v>195</v>
      </c>
      <c r="K2103" s="17">
        <v>0</v>
      </c>
      <c r="L2103" s="28"/>
    </row>
    <row r="2104" spans="1:12" x14ac:dyDescent="0.2">
      <c r="A2104">
        <v>2016</v>
      </c>
      <c r="B2104" t="s">
        <v>198</v>
      </c>
      <c r="C2104" t="s">
        <v>875</v>
      </c>
      <c r="D2104" s="65">
        <v>100</v>
      </c>
      <c r="E2104" s="33">
        <v>1</v>
      </c>
      <c r="G2104" t="s">
        <v>144</v>
      </c>
      <c r="H2104" t="s">
        <v>197</v>
      </c>
      <c r="I2104" t="s">
        <v>78</v>
      </c>
      <c r="J2104" t="s">
        <v>183</v>
      </c>
      <c r="K2104" s="17">
        <v>1</v>
      </c>
      <c r="L2104" s="28" t="s">
        <v>178</v>
      </c>
    </row>
    <row r="2105" spans="1:12" x14ac:dyDescent="0.2">
      <c r="A2105">
        <v>2016</v>
      </c>
      <c r="B2105" t="s">
        <v>198</v>
      </c>
      <c r="C2105" t="s">
        <v>875</v>
      </c>
      <c r="D2105" s="65">
        <v>180</v>
      </c>
      <c r="E2105" s="33">
        <v>0.7</v>
      </c>
      <c r="F2105" t="s">
        <v>1361</v>
      </c>
      <c r="G2105" t="s">
        <v>151</v>
      </c>
      <c r="H2105" t="s">
        <v>279</v>
      </c>
      <c r="I2105" t="s">
        <v>63</v>
      </c>
      <c r="J2105" t="s">
        <v>201</v>
      </c>
      <c r="K2105" s="17">
        <v>1</v>
      </c>
      <c r="L2105" s="28" t="s">
        <v>178</v>
      </c>
    </row>
    <row r="2106" spans="1:12" ht="14.5" customHeight="1" x14ac:dyDescent="0.2">
      <c r="A2106">
        <v>2016</v>
      </c>
      <c r="B2106" t="s">
        <v>198</v>
      </c>
      <c r="C2106" t="s">
        <v>223</v>
      </c>
      <c r="D2106" s="65">
        <v>300</v>
      </c>
      <c r="E2106" s="33">
        <v>0.13</v>
      </c>
      <c r="G2106" t="s">
        <v>151</v>
      </c>
      <c r="H2106" t="s">
        <v>224</v>
      </c>
      <c r="I2106" t="s">
        <v>131</v>
      </c>
      <c r="J2106" t="s">
        <v>131</v>
      </c>
      <c r="K2106" s="17">
        <v>0</v>
      </c>
      <c r="L2106" s="28"/>
    </row>
    <row r="2107" spans="1:12" x14ac:dyDescent="0.2">
      <c r="A2107">
        <v>2016</v>
      </c>
      <c r="B2107" t="s">
        <v>198</v>
      </c>
      <c r="C2107" t="s">
        <v>373</v>
      </c>
      <c r="D2107" s="65">
        <v>260</v>
      </c>
      <c r="E2107" s="33"/>
      <c r="G2107" t="s">
        <v>151</v>
      </c>
      <c r="H2107" t="s">
        <v>224</v>
      </c>
      <c r="I2107" t="s">
        <v>131</v>
      </c>
      <c r="J2107" t="s">
        <v>131</v>
      </c>
      <c r="K2107" s="17">
        <v>0</v>
      </c>
      <c r="L2107" s="28"/>
    </row>
    <row r="2108" spans="1:12" x14ac:dyDescent="0.2">
      <c r="A2108">
        <v>2016</v>
      </c>
      <c r="B2108" t="s">
        <v>198</v>
      </c>
      <c r="C2108" t="s">
        <v>1362</v>
      </c>
      <c r="D2108" s="65">
        <v>110</v>
      </c>
      <c r="E2108" s="33">
        <v>0.85</v>
      </c>
      <c r="F2108" t="s">
        <v>1363</v>
      </c>
      <c r="G2108" t="s">
        <v>150</v>
      </c>
      <c r="H2108" t="s">
        <v>217</v>
      </c>
      <c r="I2108" t="s">
        <v>45</v>
      </c>
      <c r="J2108" t="s">
        <v>195</v>
      </c>
      <c r="K2108" s="17">
        <v>0</v>
      </c>
      <c r="L2108" s="28"/>
    </row>
    <row r="2109" spans="1:12" x14ac:dyDescent="0.2">
      <c r="A2109">
        <v>2016</v>
      </c>
      <c r="B2109" t="s">
        <v>198</v>
      </c>
      <c r="C2109" t="s">
        <v>1364</v>
      </c>
      <c r="D2109" s="65">
        <v>100</v>
      </c>
      <c r="E2109" s="33"/>
      <c r="F2109" t="s">
        <v>1365</v>
      </c>
      <c r="G2109" t="s">
        <v>145</v>
      </c>
      <c r="I2109" t="s">
        <v>131</v>
      </c>
      <c r="J2109" t="s">
        <v>131</v>
      </c>
      <c r="K2109" s="17">
        <v>0</v>
      </c>
      <c r="L2109" s="28"/>
    </row>
    <row r="2110" spans="1:12" x14ac:dyDescent="0.2">
      <c r="A2110">
        <v>2016</v>
      </c>
      <c r="B2110" t="s">
        <v>198</v>
      </c>
      <c r="C2110" t="s">
        <v>1366</v>
      </c>
      <c r="D2110" s="65">
        <v>660</v>
      </c>
      <c r="E2110" s="33"/>
      <c r="G2110" t="s">
        <v>144</v>
      </c>
      <c r="H2110" t="s">
        <v>197</v>
      </c>
      <c r="I2110" t="s">
        <v>34</v>
      </c>
      <c r="J2110" t="s">
        <v>219</v>
      </c>
      <c r="K2110" s="17">
        <v>1</v>
      </c>
      <c r="L2110" s="28" t="s">
        <v>178</v>
      </c>
    </row>
    <row r="2111" spans="1:12" x14ac:dyDescent="0.2">
      <c r="A2111">
        <v>2016</v>
      </c>
      <c r="B2111" t="s">
        <v>202</v>
      </c>
      <c r="C2111" t="s">
        <v>263</v>
      </c>
      <c r="D2111" s="65">
        <v>1460</v>
      </c>
      <c r="E2111" s="33">
        <v>0.2</v>
      </c>
      <c r="G2111" t="s">
        <v>154</v>
      </c>
      <c r="H2111" t="s">
        <v>271</v>
      </c>
      <c r="I2111" t="s">
        <v>9</v>
      </c>
      <c r="J2111" t="s">
        <v>9</v>
      </c>
      <c r="K2111" s="17">
        <v>0</v>
      </c>
      <c r="L2111" s="28"/>
    </row>
    <row r="2112" spans="1:12" x14ac:dyDescent="0.2">
      <c r="A2112">
        <v>2016</v>
      </c>
      <c r="B2112" t="s">
        <v>202</v>
      </c>
      <c r="C2112" t="s">
        <v>1367</v>
      </c>
      <c r="D2112" s="65">
        <v>210</v>
      </c>
      <c r="E2112" s="33"/>
      <c r="G2112" t="s">
        <v>149</v>
      </c>
      <c r="I2112" t="s">
        <v>9</v>
      </c>
      <c r="J2112" t="s">
        <v>9</v>
      </c>
      <c r="K2112" s="17">
        <v>0</v>
      </c>
      <c r="L2112" s="28" t="s">
        <v>178</v>
      </c>
    </row>
    <row r="2113" spans="1:12" x14ac:dyDescent="0.2">
      <c r="A2113">
        <v>2016</v>
      </c>
      <c r="B2113" t="s">
        <v>202</v>
      </c>
      <c r="C2113" t="s">
        <v>1367</v>
      </c>
      <c r="D2113" s="65">
        <v>210</v>
      </c>
      <c r="E2113" s="33">
        <v>0.02</v>
      </c>
      <c r="F2113" t="s">
        <v>1368</v>
      </c>
      <c r="G2113" t="s">
        <v>149</v>
      </c>
      <c r="I2113" t="s">
        <v>27</v>
      </c>
      <c r="J2113" t="s">
        <v>205</v>
      </c>
      <c r="K2113" s="17">
        <v>1</v>
      </c>
      <c r="L2113" s="28"/>
    </row>
    <row r="2114" spans="1:12" x14ac:dyDescent="0.2">
      <c r="A2114">
        <v>2016</v>
      </c>
      <c r="B2114" t="s">
        <v>202</v>
      </c>
      <c r="C2114" t="s">
        <v>269</v>
      </c>
      <c r="D2114" s="65">
        <v>670</v>
      </c>
      <c r="E2114" s="33">
        <v>0.9</v>
      </c>
      <c r="G2114" t="s">
        <v>148</v>
      </c>
      <c r="I2114" t="s">
        <v>130</v>
      </c>
      <c r="J2114" t="s">
        <v>214</v>
      </c>
      <c r="K2114" s="17">
        <v>1</v>
      </c>
      <c r="L2114" s="28"/>
    </row>
    <row r="2115" spans="1:12" x14ac:dyDescent="0.2">
      <c r="A2115">
        <v>2016</v>
      </c>
      <c r="B2115" t="s">
        <v>202</v>
      </c>
      <c r="C2115" t="s">
        <v>1071</v>
      </c>
      <c r="D2115" s="65">
        <v>110</v>
      </c>
      <c r="E2115" s="33"/>
      <c r="F2115" t="s">
        <v>1369</v>
      </c>
      <c r="G2115" t="s">
        <v>151</v>
      </c>
      <c r="H2115" t="s">
        <v>224</v>
      </c>
      <c r="I2115" t="s">
        <v>20</v>
      </c>
      <c r="J2115" t="s">
        <v>195</v>
      </c>
      <c r="K2115" s="17">
        <v>0</v>
      </c>
      <c r="L2115" s="28"/>
    </row>
    <row r="2116" spans="1:12" x14ac:dyDescent="0.2">
      <c r="A2116">
        <v>2016</v>
      </c>
      <c r="B2116" t="s">
        <v>202</v>
      </c>
      <c r="C2116" t="s">
        <v>751</v>
      </c>
      <c r="D2116" s="65">
        <v>150</v>
      </c>
      <c r="E2116" s="33"/>
      <c r="F2116" t="s">
        <v>1370</v>
      </c>
      <c r="G2116" t="s">
        <v>151</v>
      </c>
      <c r="H2116" t="s">
        <v>224</v>
      </c>
      <c r="I2116" t="s">
        <v>20</v>
      </c>
      <c r="J2116" t="s">
        <v>195</v>
      </c>
      <c r="K2116" s="17">
        <v>0</v>
      </c>
      <c r="L2116" s="28"/>
    </row>
    <row r="2117" spans="1:12" x14ac:dyDescent="0.2">
      <c r="A2117">
        <v>2016</v>
      </c>
      <c r="B2117" t="s">
        <v>202</v>
      </c>
      <c r="C2117" t="s">
        <v>1066</v>
      </c>
      <c r="D2117" s="65">
        <v>110</v>
      </c>
      <c r="E2117" s="33">
        <v>0.35</v>
      </c>
      <c r="F2117" t="s">
        <v>1371</v>
      </c>
      <c r="G2117" t="s">
        <v>144</v>
      </c>
      <c r="H2117" t="s">
        <v>187</v>
      </c>
      <c r="I2117" t="s">
        <v>26</v>
      </c>
      <c r="J2117" t="s">
        <v>219</v>
      </c>
      <c r="K2117" s="17">
        <v>1</v>
      </c>
      <c r="L2117" s="28"/>
    </row>
    <row r="2118" spans="1:12" x14ac:dyDescent="0.2">
      <c r="A2118">
        <v>2016</v>
      </c>
      <c r="B2118" t="s">
        <v>202</v>
      </c>
      <c r="C2118" t="s">
        <v>1372</v>
      </c>
      <c r="D2118" s="65">
        <v>260</v>
      </c>
      <c r="E2118" s="33"/>
      <c r="F2118" t="s">
        <v>1373</v>
      </c>
      <c r="G2118" t="s">
        <v>150</v>
      </c>
      <c r="H2118" t="s">
        <v>217</v>
      </c>
      <c r="I2118" t="s">
        <v>45</v>
      </c>
      <c r="J2118" t="s">
        <v>195</v>
      </c>
      <c r="K2118" s="17">
        <v>0</v>
      </c>
      <c r="L2118" s="28"/>
    </row>
    <row r="2119" spans="1:12" x14ac:dyDescent="0.2">
      <c r="A2119">
        <v>2016</v>
      </c>
      <c r="B2119" t="s">
        <v>202</v>
      </c>
      <c r="C2119" t="s">
        <v>1374</v>
      </c>
      <c r="D2119" s="65">
        <v>260</v>
      </c>
      <c r="E2119" s="33">
        <v>0.56000000000000005</v>
      </c>
      <c r="F2119" t="s">
        <v>1375</v>
      </c>
      <c r="G2119" t="s">
        <v>150</v>
      </c>
      <c r="H2119" t="s">
        <v>556</v>
      </c>
      <c r="I2119" t="s">
        <v>131</v>
      </c>
      <c r="J2119" t="s">
        <v>131</v>
      </c>
      <c r="K2119" s="17">
        <v>0</v>
      </c>
      <c r="L2119" s="28"/>
    </row>
    <row r="2120" spans="1:12" x14ac:dyDescent="0.2">
      <c r="A2120">
        <v>2016</v>
      </c>
      <c r="B2120" t="s">
        <v>202</v>
      </c>
      <c r="C2120" t="s">
        <v>1376</v>
      </c>
      <c r="D2120" s="65">
        <v>430</v>
      </c>
      <c r="E2120" s="33">
        <v>1</v>
      </c>
      <c r="F2120" t="s">
        <v>1377</v>
      </c>
      <c r="G2120" t="s">
        <v>150</v>
      </c>
      <c r="I2120" t="s">
        <v>131</v>
      </c>
      <c r="J2120" t="s">
        <v>131</v>
      </c>
      <c r="K2120" s="17">
        <v>0</v>
      </c>
      <c r="L2120" s="28"/>
    </row>
    <row r="2121" spans="1:12" x14ac:dyDescent="0.2">
      <c r="A2121">
        <v>2016</v>
      </c>
      <c r="B2121" t="s">
        <v>202</v>
      </c>
      <c r="C2121" t="s">
        <v>943</v>
      </c>
      <c r="D2121" s="65">
        <v>110</v>
      </c>
      <c r="E2121" s="33"/>
      <c r="F2121" t="s">
        <v>1378</v>
      </c>
      <c r="G2121" t="s">
        <v>144</v>
      </c>
      <c r="H2121" t="s">
        <v>232</v>
      </c>
      <c r="I2121" t="s">
        <v>42</v>
      </c>
      <c r="J2121" t="s">
        <v>195</v>
      </c>
      <c r="K2121" s="17">
        <v>0</v>
      </c>
      <c r="L2121" s="28" t="s">
        <v>178</v>
      </c>
    </row>
    <row r="2122" spans="1:12" x14ac:dyDescent="0.2">
      <c r="A2122">
        <v>2016</v>
      </c>
      <c r="B2122" t="s">
        <v>202</v>
      </c>
      <c r="C2122" t="s">
        <v>263</v>
      </c>
      <c r="D2122" s="65">
        <v>1090</v>
      </c>
      <c r="E2122" s="33"/>
      <c r="F2122" t="s">
        <v>830</v>
      </c>
      <c r="G2122" t="s">
        <v>144</v>
      </c>
      <c r="H2122" t="s">
        <v>299</v>
      </c>
      <c r="I2122" t="s">
        <v>19</v>
      </c>
      <c r="J2122" t="s">
        <v>205</v>
      </c>
      <c r="K2122" s="17">
        <v>0</v>
      </c>
      <c r="L2122" s="28"/>
    </row>
    <row r="2123" spans="1:12" x14ac:dyDescent="0.2">
      <c r="A2123">
        <v>2016</v>
      </c>
      <c r="B2123" t="s">
        <v>202</v>
      </c>
      <c r="C2123" t="s">
        <v>1379</v>
      </c>
      <c r="D2123" s="65">
        <v>1570</v>
      </c>
      <c r="E2123" s="33"/>
      <c r="F2123" t="s">
        <v>663</v>
      </c>
      <c r="G2123" t="s">
        <v>155</v>
      </c>
      <c r="I2123" t="s">
        <v>114</v>
      </c>
      <c r="J2123" t="s">
        <v>195</v>
      </c>
      <c r="K2123" s="17">
        <v>0</v>
      </c>
      <c r="L2123" s="28"/>
    </row>
    <row r="2124" spans="1:12" x14ac:dyDescent="0.2">
      <c r="A2124">
        <v>2016</v>
      </c>
      <c r="B2124" t="s">
        <v>202</v>
      </c>
      <c r="C2124" t="s">
        <v>1380</v>
      </c>
      <c r="D2124" s="65">
        <v>510</v>
      </c>
      <c r="E2124" s="33">
        <v>1</v>
      </c>
      <c r="F2124" t="s">
        <v>1381</v>
      </c>
      <c r="G2124" t="s">
        <v>152</v>
      </c>
      <c r="I2124" t="s">
        <v>131</v>
      </c>
      <c r="J2124" t="s">
        <v>131</v>
      </c>
      <c r="K2124" s="17">
        <v>0</v>
      </c>
      <c r="L2124" s="28"/>
    </row>
    <row r="2125" spans="1:12" x14ac:dyDescent="0.2">
      <c r="A2125">
        <v>2016</v>
      </c>
      <c r="B2125" t="s">
        <v>202</v>
      </c>
      <c r="C2125" t="s">
        <v>248</v>
      </c>
      <c r="D2125" s="65">
        <v>100</v>
      </c>
      <c r="E2125" s="33"/>
      <c r="G2125" t="s">
        <v>146</v>
      </c>
      <c r="H2125" t="s">
        <v>275</v>
      </c>
      <c r="I2125" t="s">
        <v>9</v>
      </c>
      <c r="J2125" t="s">
        <v>9</v>
      </c>
      <c r="K2125" s="17">
        <v>0</v>
      </c>
      <c r="L2125" s="28" t="s">
        <v>178</v>
      </c>
    </row>
    <row r="2126" spans="1:12" x14ac:dyDescent="0.2">
      <c r="A2126">
        <v>2016</v>
      </c>
      <c r="B2126" t="s">
        <v>202</v>
      </c>
      <c r="C2126" t="s">
        <v>1382</v>
      </c>
      <c r="D2126" s="65">
        <v>100</v>
      </c>
      <c r="E2126" s="33"/>
      <c r="F2126" t="s">
        <v>1383</v>
      </c>
      <c r="G2126" t="s">
        <v>144</v>
      </c>
      <c r="H2126" t="s">
        <v>299</v>
      </c>
      <c r="I2126" t="s">
        <v>25</v>
      </c>
      <c r="J2126" t="s">
        <v>177</v>
      </c>
      <c r="K2126" s="17">
        <v>0</v>
      </c>
      <c r="L2126" s="28"/>
    </row>
    <row r="2127" spans="1:12" x14ac:dyDescent="0.2">
      <c r="A2127">
        <v>2016</v>
      </c>
      <c r="B2127" t="s">
        <v>202</v>
      </c>
      <c r="C2127" t="s">
        <v>1384</v>
      </c>
      <c r="D2127" s="65">
        <v>210</v>
      </c>
      <c r="E2127" s="33"/>
      <c r="F2127" t="s">
        <v>1385</v>
      </c>
      <c r="G2127" t="s">
        <v>154</v>
      </c>
      <c r="H2127" t="s">
        <v>194</v>
      </c>
      <c r="I2127" t="s">
        <v>45</v>
      </c>
      <c r="J2127" t="s">
        <v>195</v>
      </c>
      <c r="K2127" s="17">
        <v>0</v>
      </c>
      <c r="L2127" s="28"/>
    </row>
    <row r="2128" spans="1:12" x14ac:dyDescent="0.2">
      <c r="A2128">
        <v>2016</v>
      </c>
      <c r="B2128" t="s">
        <v>202</v>
      </c>
      <c r="C2128" t="s">
        <v>263</v>
      </c>
      <c r="D2128" s="65">
        <v>410</v>
      </c>
      <c r="E2128" s="33"/>
      <c r="G2128" t="s">
        <v>144</v>
      </c>
      <c r="H2128" t="s">
        <v>299</v>
      </c>
      <c r="I2128" t="s">
        <v>19</v>
      </c>
      <c r="J2128" t="s">
        <v>205</v>
      </c>
      <c r="K2128" s="17">
        <v>0</v>
      </c>
      <c r="L2128" s="28"/>
    </row>
    <row r="2129" spans="1:12" x14ac:dyDescent="0.2">
      <c r="A2129">
        <v>2016</v>
      </c>
      <c r="B2129" t="s">
        <v>202</v>
      </c>
      <c r="C2129" t="s">
        <v>837</v>
      </c>
      <c r="D2129" s="65">
        <v>280</v>
      </c>
      <c r="E2129" s="33"/>
      <c r="G2129" t="s">
        <v>153</v>
      </c>
      <c r="I2129" t="s">
        <v>131</v>
      </c>
      <c r="J2129" t="s">
        <v>131</v>
      </c>
      <c r="K2129" s="17">
        <v>0</v>
      </c>
      <c r="L2129" s="28" t="s">
        <v>178</v>
      </c>
    </row>
    <row r="2130" spans="1:12" x14ac:dyDescent="0.2">
      <c r="A2130">
        <v>2016</v>
      </c>
      <c r="B2130" t="s">
        <v>202</v>
      </c>
      <c r="C2130" t="s">
        <v>943</v>
      </c>
      <c r="D2130" s="65">
        <v>120</v>
      </c>
      <c r="E2130" s="33">
        <v>0.2</v>
      </c>
      <c r="F2130" t="s">
        <v>1386</v>
      </c>
      <c r="G2130" t="s">
        <v>144</v>
      </c>
      <c r="I2130" t="s">
        <v>20</v>
      </c>
      <c r="J2130" t="s">
        <v>195</v>
      </c>
      <c r="K2130" s="17">
        <v>0</v>
      </c>
      <c r="L2130" s="28" t="s">
        <v>178</v>
      </c>
    </row>
    <row r="2131" spans="1:12" x14ac:dyDescent="0.2">
      <c r="A2131">
        <v>2016</v>
      </c>
      <c r="B2131" t="s">
        <v>207</v>
      </c>
      <c r="C2131" t="s">
        <v>1128</v>
      </c>
      <c r="D2131" s="65">
        <v>990</v>
      </c>
      <c r="E2131" s="33">
        <v>1</v>
      </c>
      <c r="F2131" t="s">
        <v>1387</v>
      </c>
      <c r="G2131" t="s">
        <v>146</v>
      </c>
      <c r="I2131" t="s">
        <v>108</v>
      </c>
      <c r="J2131" t="s">
        <v>183</v>
      </c>
      <c r="K2131" s="17">
        <v>1</v>
      </c>
      <c r="L2131" s="28"/>
    </row>
    <row r="2132" spans="1:12" x14ac:dyDescent="0.2">
      <c r="A2132">
        <v>2016</v>
      </c>
      <c r="B2132" t="s">
        <v>207</v>
      </c>
      <c r="C2132" t="s">
        <v>1388</v>
      </c>
      <c r="D2132" s="65">
        <v>1200</v>
      </c>
      <c r="E2132" s="33"/>
      <c r="F2132" t="s">
        <v>1389</v>
      </c>
      <c r="G2132" t="s">
        <v>144</v>
      </c>
      <c r="I2132" t="s">
        <v>19</v>
      </c>
      <c r="J2132" t="s">
        <v>205</v>
      </c>
      <c r="K2132" s="17">
        <v>0</v>
      </c>
      <c r="L2132" s="28"/>
    </row>
    <row r="2133" spans="1:12" x14ac:dyDescent="0.2">
      <c r="A2133">
        <v>2016</v>
      </c>
      <c r="B2133" t="s">
        <v>207</v>
      </c>
      <c r="C2133" t="s">
        <v>373</v>
      </c>
      <c r="D2133" s="65">
        <v>140</v>
      </c>
      <c r="E2133" s="33"/>
      <c r="G2133" t="s">
        <v>145</v>
      </c>
      <c r="I2133" t="s">
        <v>131</v>
      </c>
      <c r="J2133" t="s">
        <v>131</v>
      </c>
      <c r="K2133" s="17">
        <v>0</v>
      </c>
      <c r="L2133" s="28"/>
    </row>
    <row r="2134" spans="1:12" x14ac:dyDescent="0.2">
      <c r="A2134">
        <v>2016</v>
      </c>
      <c r="B2134" t="s">
        <v>207</v>
      </c>
      <c r="C2134" t="s">
        <v>1208</v>
      </c>
      <c r="D2134" s="65">
        <v>340</v>
      </c>
      <c r="E2134" s="33">
        <v>0.6</v>
      </c>
      <c r="F2134" t="s">
        <v>1390</v>
      </c>
      <c r="G2134" t="s">
        <v>150</v>
      </c>
      <c r="H2134" t="s">
        <v>217</v>
      </c>
      <c r="I2134" t="s">
        <v>45</v>
      </c>
      <c r="J2134" t="s">
        <v>195</v>
      </c>
      <c r="K2134" s="17">
        <v>0</v>
      </c>
      <c r="L2134" s="28"/>
    </row>
    <row r="2135" spans="1:12" x14ac:dyDescent="0.2">
      <c r="A2135">
        <v>2016</v>
      </c>
      <c r="B2135" t="s">
        <v>207</v>
      </c>
      <c r="C2135" t="s">
        <v>307</v>
      </c>
      <c r="D2135" s="65">
        <v>350</v>
      </c>
      <c r="E2135" s="33">
        <v>0.24</v>
      </c>
      <c r="F2135" t="s">
        <v>1391</v>
      </c>
      <c r="G2135" t="s">
        <v>144</v>
      </c>
      <c r="I2135" t="s">
        <v>47</v>
      </c>
      <c r="J2135" t="s">
        <v>195</v>
      </c>
      <c r="K2135" s="17">
        <v>1</v>
      </c>
      <c r="L2135" s="28"/>
    </row>
    <row r="2136" spans="1:12" x14ac:dyDescent="0.2">
      <c r="A2136">
        <v>2016</v>
      </c>
      <c r="B2136" t="s">
        <v>207</v>
      </c>
      <c r="C2136" t="s">
        <v>962</v>
      </c>
      <c r="D2136" s="65">
        <v>560</v>
      </c>
      <c r="E2136" s="33"/>
      <c r="F2136" t="s">
        <v>264</v>
      </c>
      <c r="G2136" t="s">
        <v>151</v>
      </c>
      <c r="H2136" t="s">
        <v>224</v>
      </c>
      <c r="I2136" t="s">
        <v>85</v>
      </c>
      <c r="J2136" t="s">
        <v>195</v>
      </c>
      <c r="K2136" s="17">
        <v>0</v>
      </c>
      <c r="L2136" s="28"/>
    </row>
    <row r="2137" spans="1:12" x14ac:dyDescent="0.2">
      <c r="A2137">
        <v>2016</v>
      </c>
      <c r="B2137" t="s">
        <v>207</v>
      </c>
      <c r="C2137" t="s">
        <v>373</v>
      </c>
      <c r="D2137" s="65">
        <v>6500</v>
      </c>
      <c r="E2137" s="33">
        <v>0.25</v>
      </c>
      <c r="F2137" t="s">
        <v>264</v>
      </c>
      <c r="G2137" t="s">
        <v>153</v>
      </c>
      <c r="I2137" t="s">
        <v>131</v>
      </c>
      <c r="J2137" t="s">
        <v>131</v>
      </c>
      <c r="K2137" s="17">
        <v>0</v>
      </c>
      <c r="L2137" s="28"/>
    </row>
    <row r="2138" spans="1:12" x14ac:dyDescent="0.2">
      <c r="A2138">
        <v>2016</v>
      </c>
      <c r="B2138" t="s">
        <v>207</v>
      </c>
      <c r="C2138" t="s">
        <v>319</v>
      </c>
      <c r="D2138" s="65">
        <v>810</v>
      </c>
      <c r="E2138" s="33"/>
      <c r="F2138" t="s">
        <v>973</v>
      </c>
      <c r="G2138" t="s">
        <v>153</v>
      </c>
      <c r="I2138" t="s">
        <v>131</v>
      </c>
      <c r="J2138" t="s">
        <v>131</v>
      </c>
      <c r="K2138" s="17">
        <v>0</v>
      </c>
      <c r="L2138" s="28"/>
    </row>
    <row r="2139" spans="1:12" x14ac:dyDescent="0.2">
      <c r="A2139">
        <v>2016</v>
      </c>
      <c r="B2139" t="s">
        <v>207</v>
      </c>
      <c r="C2139" t="s">
        <v>1287</v>
      </c>
      <c r="D2139" s="65">
        <v>290</v>
      </c>
      <c r="E2139" s="33">
        <v>1</v>
      </c>
      <c r="G2139" t="s">
        <v>144</v>
      </c>
      <c r="H2139" t="s">
        <v>232</v>
      </c>
      <c r="I2139" t="s">
        <v>8</v>
      </c>
      <c r="J2139" t="s">
        <v>205</v>
      </c>
      <c r="K2139" s="17">
        <v>1</v>
      </c>
      <c r="L2139" s="28" t="s">
        <v>178</v>
      </c>
    </row>
    <row r="2140" spans="1:12" x14ac:dyDescent="0.2">
      <c r="A2140">
        <v>2016</v>
      </c>
      <c r="B2140" t="s">
        <v>207</v>
      </c>
      <c r="C2140" t="s">
        <v>263</v>
      </c>
      <c r="D2140" s="65">
        <v>1130</v>
      </c>
      <c r="E2140" s="33"/>
      <c r="F2140" t="s">
        <v>1392</v>
      </c>
      <c r="G2140" t="s">
        <v>151</v>
      </c>
      <c r="H2140" t="s">
        <v>224</v>
      </c>
      <c r="I2140" t="s">
        <v>45</v>
      </c>
      <c r="J2140" t="s">
        <v>195</v>
      </c>
      <c r="K2140" s="17">
        <v>0</v>
      </c>
      <c r="L2140" s="28"/>
    </row>
    <row r="2141" spans="1:12" x14ac:dyDescent="0.2">
      <c r="A2141">
        <v>2016</v>
      </c>
      <c r="B2141" t="s">
        <v>207</v>
      </c>
      <c r="C2141" t="s">
        <v>751</v>
      </c>
      <c r="D2141" s="65">
        <v>100</v>
      </c>
      <c r="E2141" s="33">
        <v>0.33</v>
      </c>
      <c r="F2141" t="s">
        <v>1393</v>
      </c>
      <c r="G2141" t="s">
        <v>142</v>
      </c>
      <c r="I2141" t="s">
        <v>9</v>
      </c>
      <c r="J2141" t="s">
        <v>9</v>
      </c>
      <c r="K2141" s="17">
        <v>0</v>
      </c>
      <c r="L2141" s="28"/>
    </row>
    <row r="2142" spans="1:12" x14ac:dyDescent="0.2">
      <c r="A2142">
        <v>2016</v>
      </c>
      <c r="B2142" t="s">
        <v>207</v>
      </c>
      <c r="C2142" t="s">
        <v>1035</v>
      </c>
      <c r="D2142" s="65">
        <v>250</v>
      </c>
      <c r="E2142" s="33">
        <v>0.7</v>
      </c>
      <c r="F2142" t="s">
        <v>1188</v>
      </c>
      <c r="G2142" t="s">
        <v>144</v>
      </c>
      <c r="H2142" t="s">
        <v>273</v>
      </c>
      <c r="I2142" t="s">
        <v>53</v>
      </c>
      <c r="J2142" t="s">
        <v>183</v>
      </c>
      <c r="K2142" s="17">
        <v>1</v>
      </c>
      <c r="L2142" s="28" t="s">
        <v>178</v>
      </c>
    </row>
    <row r="2143" spans="1:12" x14ac:dyDescent="0.2">
      <c r="A2143">
        <v>2016</v>
      </c>
      <c r="B2143" t="s">
        <v>207</v>
      </c>
      <c r="C2143" t="s">
        <v>418</v>
      </c>
      <c r="D2143" s="65">
        <v>130</v>
      </c>
      <c r="E2143" s="33"/>
      <c r="F2143" t="s">
        <v>1394</v>
      </c>
      <c r="G2143" t="s">
        <v>150</v>
      </c>
      <c r="I2143" t="s">
        <v>131</v>
      </c>
      <c r="J2143" t="s">
        <v>131</v>
      </c>
      <c r="K2143" s="17">
        <v>0</v>
      </c>
      <c r="L2143" s="28"/>
    </row>
    <row r="2144" spans="1:12" x14ac:dyDescent="0.2">
      <c r="A2144">
        <v>2016</v>
      </c>
      <c r="B2144" t="s">
        <v>207</v>
      </c>
      <c r="C2144" t="s">
        <v>1395</v>
      </c>
      <c r="D2144" s="65">
        <v>190</v>
      </c>
      <c r="E2144" s="33"/>
      <c r="G2144" t="s">
        <v>151</v>
      </c>
      <c r="H2144" t="s">
        <v>224</v>
      </c>
      <c r="I2144" t="s">
        <v>9</v>
      </c>
      <c r="J2144" t="s">
        <v>9</v>
      </c>
      <c r="K2144" s="17">
        <v>0</v>
      </c>
      <c r="L2144" s="28" t="s">
        <v>178</v>
      </c>
    </row>
    <row r="2145" spans="1:12" x14ac:dyDescent="0.2">
      <c r="A2145">
        <v>2016</v>
      </c>
      <c r="B2145" t="s">
        <v>207</v>
      </c>
      <c r="C2145" t="s">
        <v>269</v>
      </c>
      <c r="D2145" s="65">
        <v>150</v>
      </c>
      <c r="E2145" s="33">
        <v>0.4</v>
      </c>
      <c r="F2145" t="s">
        <v>1396</v>
      </c>
      <c r="G2145" t="s">
        <v>154</v>
      </c>
      <c r="H2145" t="s">
        <v>271</v>
      </c>
      <c r="I2145" t="s">
        <v>58</v>
      </c>
      <c r="J2145" t="s">
        <v>195</v>
      </c>
      <c r="K2145" s="17">
        <v>0</v>
      </c>
      <c r="L2145" s="28" t="s">
        <v>178</v>
      </c>
    </row>
    <row r="2146" spans="1:12" x14ac:dyDescent="0.2">
      <c r="A2146">
        <v>2016</v>
      </c>
      <c r="B2146" t="s">
        <v>207</v>
      </c>
      <c r="C2146" t="s">
        <v>837</v>
      </c>
      <c r="D2146" s="65">
        <v>100</v>
      </c>
      <c r="E2146" s="33"/>
      <c r="G2146" t="s">
        <v>153</v>
      </c>
      <c r="I2146" t="s">
        <v>131</v>
      </c>
      <c r="J2146" t="s">
        <v>131</v>
      </c>
      <c r="K2146" s="17">
        <v>0</v>
      </c>
      <c r="L2146" s="28" t="s">
        <v>178</v>
      </c>
    </row>
    <row r="2147" spans="1:12" x14ac:dyDescent="0.2">
      <c r="A2147">
        <v>2016</v>
      </c>
      <c r="B2147" t="s">
        <v>240</v>
      </c>
      <c r="C2147" t="s">
        <v>199</v>
      </c>
      <c r="D2147" s="65">
        <v>600</v>
      </c>
      <c r="E2147" s="33">
        <v>0.3</v>
      </c>
      <c r="F2147" t="s">
        <v>325</v>
      </c>
      <c r="G2147" t="s">
        <v>144</v>
      </c>
      <c r="H2147" t="s">
        <v>299</v>
      </c>
      <c r="I2147" t="s">
        <v>54</v>
      </c>
      <c r="J2147" t="s">
        <v>201</v>
      </c>
      <c r="K2147" s="17">
        <v>1</v>
      </c>
      <c r="L2147" s="28"/>
    </row>
    <row r="2148" spans="1:12" x14ac:dyDescent="0.2">
      <c r="A2148">
        <v>2016</v>
      </c>
      <c r="B2148" t="s">
        <v>240</v>
      </c>
      <c r="C2148" t="s">
        <v>756</v>
      </c>
      <c r="D2148" s="65">
        <v>1080</v>
      </c>
      <c r="E2148" s="33">
        <v>0.2</v>
      </c>
      <c r="F2148" t="s">
        <v>228</v>
      </c>
      <c r="G2148" t="s">
        <v>144</v>
      </c>
      <c r="H2148" t="s">
        <v>299</v>
      </c>
      <c r="I2148" t="s">
        <v>101</v>
      </c>
      <c r="J2148" t="s">
        <v>201</v>
      </c>
      <c r="K2148" s="17">
        <v>1</v>
      </c>
      <c r="L2148" s="28"/>
    </row>
    <row r="2149" spans="1:12" x14ac:dyDescent="0.2">
      <c r="A2149">
        <v>2016</v>
      </c>
      <c r="B2149" t="s">
        <v>240</v>
      </c>
      <c r="C2149" t="s">
        <v>927</v>
      </c>
      <c r="D2149" s="65">
        <v>120</v>
      </c>
      <c r="E2149" s="33">
        <v>0.02</v>
      </c>
      <c r="F2149" t="s">
        <v>1232</v>
      </c>
      <c r="G2149" t="s">
        <v>144</v>
      </c>
      <c r="H2149" t="s">
        <v>299</v>
      </c>
      <c r="I2149" t="s">
        <v>9</v>
      </c>
      <c r="J2149" t="s">
        <v>9</v>
      </c>
      <c r="K2149" s="17">
        <v>0</v>
      </c>
      <c r="L2149" s="28"/>
    </row>
    <row r="2150" spans="1:12" x14ac:dyDescent="0.2">
      <c r="A2150">
        <v>2016</v>
      </c>
      <c r="B2150" t="s">
        <v>240</v>
      </c>
      <c r="C2150" t="s">
        <v>1397</v>
      </c>
      <c r="D2150" s="65">
        <v>140</v>
      </c>
      <c r="E2150" s="33">
        <v>0.75</v>
      </c>
      <c r="F2150" t="s">
        <v>1398</v>
      </c>
      <c r="G2150" t="s">
        <v>145</v>
      </c>
      <c r="I2150" t="s">
        <v>20</v>
      </c>
      <c r="J2150" t="s">
        <v>195</v>
      </c>
      <c r="K2150" s="17">
        <v>0</v>
      </c>
      <c r="L2150" s="28"/>
    </row>
    <row r="2151" spans="1:12" x14ac:dyDescent="0.2">
      <c r="A2151">
        <v>2016</v>
      </c>
      <c r="B2151" t="s">
        <v>240</v>
      </c>
      <c r="C2151" t="s">
        <v>1066</v>
      </c>
      <c r="D2151" s="65">
        <v>310</v>
      </c>
      <c r="E2151" s="33"/>
      <c r="F2151" t="s">
        <v>1399</v>
      </c>
      <c r="G2151" t="s">
        <v>151</v>
      </c>
      <c r="H2151" t="s">
        <v>224</v>
      </c>
      <c r="I2151" t="s">
        <v>33</v>
      </c>
      <c r="J2151" t="s">
        <v>195</v>
      </c>
      <c r="K2151" s="17">
        <v>1</v>
      </c>
      <c r="L2151" s="28"/>
    </row>
    <row r="2152" spans="1:12" x14ac:dyDescent="0.2">
      <c r="A2152">
        <v>2016</v>
      </c>
      <c r="B2152" t="s">
        <v>240</v>
      </c>
      <c r="C2152" t="s">
        <v>999</v>
      </c>
      <c r="D2152" s="65">
        <v>1740</v>
      </c>
      <c r="E2152" s="33">
        <v>1</v>
      </c>
      <c r="F2152" t="s">
        <v>1400</v>
      </c>
      <c r="G2152" t="s">
        <v>153</v>
      </c>
      <c r="I2152" t="s">
        <v>20</v>
      </c>
      <c r="J2152" t="s">
        <v>195</v>
      </c>
      <c r="K2152" s="17">
        <v>0</v>
      </c>
      <c r="L2152" s="28"/>
    </row>
    <row r="2153" spans="1:12" x14ac:dyDescent="0.2">
      <c r="A2153">
        <v>2016</v>
      </c>
      <c r="B2153" t="s">
        <v>240</v>
      </c>
      <c r="C2153" t="s">
        <v>554</v>
      </c>
      <c r="D2153" s="65">
        <v>180</v>
      </c>
      <c r="E2153" s="33">
        <v>0.17</v>
      </c>
      <c r="F2153" t="s">
        <v>1401</v>
      </c>
      <c r="G2153" t="s">
        <v>146</v>
      </c>
      <c r="H2153" t="s">
        <v>275</v>
      </c>
      <c r="I2153" t="s">
        <v>99</v>
      </c>
      <c r="J2153" t="s">
        <v>195</v>
      </c>
      <c r="K2153" s="17">
        <v>1</v>
      </c>
      <c r="L2153" s="28"/>
    </row>
    <row r="2154" spans="1:12" x14ac:dyDescent="0.2">
      <c r="A2154">
        <v>2016</v>
      </c>
      <c r="B2154" t="s">
        <v>240</v>
      </c>
      <c r="C2154" t="s">
        <v>997</v>
      </c>
      <c r="D2154" s="65">
        <v>860</v>
      </c>
      <c r="E2154" s="33">
        <v>0.19</v>
      </c>
      <c r="F2154" t="s">
        <v>1402</v>
      </c>
      <c r="G2154" t="s">
        <v>151</v>
      </c>
      <c r="H2154" t="s">
        <v>224</v>
      </c>
      <c r="I2154" t="s">
        <v>131</v>
      </c>
      <c r="J2154" t="s">
        <v>131</v>
      </c>
      <c r="K2154" s="17">
        <v>0</v>
      </c>
      <c r="L2154" s="28"/>
    </row>
    <row r="2155" spans="1:12" x14ac:dyDescent="0.2">
      <c r="A2155">
        <v>2016</v>
      </c>
      <c r="B2155" t="s">
        <v>240</v>
      </c>
      <c r="C2155" t="s">
        <v>199</v>
      </c>
      <c r="D2155" s="65">
        <v>1460</v>
      </c>
      <c r="E2155" s="33"/>
      <c r="F2155" t="s">
        <v>453</v>
      </c>
      <c r="G2155" t="s">
        <v>144</v>
      </c>
      <c r="H2155" t="s">
        <v>187</v>
      </c>
      <c r="I2155" t="s">
        <v>135</v>
      </c>
      <c r="J2155" t="s">
        <v>205</v>
      </c>
      <c r="K2155" s="17">
        <v>1</v>
      </c>
      <c r="L2155" s="28"/>
    </row>
    <row r="2156" spans="1:12" x14ac:dyDescent="0.2">
      <c r="A2156">
        <v>2016</v>
      </c>
      <c r="B2156" t="s">
        <v>240</v>
      </c>
      <c r="C2156" t="s">
        <v>557</v>
      </c>
      <c r="D2156" s="65">
        <v>180</v>
      </c>
      <c r="E2156" s="33"/>
      <c r="F2156" t="s">
        <v>1403</v>
      </c>
      <c r="G2156" t="s">
        <v>144</v>
      </c>
      <c r="H2156" t="s">
        <v>232</v>
      </c>
      <c r="I2156" t="s">
        <v>133</v>
      </c>
      <c r="J2156" t="s">
        <v>195</v>
      </c>
      <c r="K2156" s="17">
        <v>1</v>
      </c>
      <c r="L2156" s="28"/>
    </row>
    <row r="2157" spans="1:12" x14ac:dyDescent="0.2">
      <c r="A2157">
        <v>2016</v>
      </c>
      <c r="B2157" t="s">
        <v>240</v>
      </c>
      <c r="C2157" t="s">
        <v>1404</v>
      </c>
      <c r="D2157" s="65">
        <v>700</v>
      </c>
      <c r="E2157" s="33">
        <v>0.75</v>
      </c>
      <c r="F2157" t="s">
        <v>1405</v>
      </c>
      <c r="G2157" t="s">
        <v>151</v>
      </c>
      <c r="H2157" t="s">
        <v>224</v>
      </c>
      <c r="I2157" t="s">
        <v>131</v>
      </c>
      <c r="J2157" t="s">
        <v>131</v>
      </c>
      <c r="K2157" s="17">
        <v>0</v>
      </c>
      <c r="L2157" s="28"/>
    </row>
    <row r="2158" spans="1:12" x14ac:dyDescent="0.2">
      <c r="A2158">
        <v>2016</v>
      </c>
      <c r="B2158" t="s">
        <v>240</v>
      </c>
      <c r="C2158" t="s">
        <v>705</v>
      </c>
      <c r="D2158" s="65">
        <v>120</v>
      </c>
      <c r="E2158" s="33"/>
      <c r="G2158" t="s">
        <v>151</v>
      </c>
      <c r="H2158" t="s">
        <v>279</v>
      </c>
      <c r="I2158" t="s">
        <v>25</v>
      </c>
      <c r="J2158" t="s">
        <v>177</v>
      </c>
      <c r="K2158" s="17">
        <v>0</v>
      </c>
      <c r="L2158" s="28" t="s">
        <v>178</v>
      </c>
    </row>
    <row r="2159" spans="1:12" ht="14.5" customHeight="1" x14ac:dyDescent="0.2">
      <c r="A2159">
        <v>2016</v>
      </c>
      <c r="B2159" t="s">
        <v>240</v>
      </c>
      <c r="C2159" t="s">
        <v>1406</v>
      </c>
      <c r="D2159" s="65">
        <v>120</v>
      </c>
      <c r="E2159" s="33"/>
      <c r="G2159" t="s">
        <v>151</v>
      </c>
      <c r="H2159" t="s">
        <v>224</v>
      </c>
      <c r="I2159" t="s">
        <v>9</v>
      </c>
      <c r="J2159" t="s">
        <v>9</v>
      </c>
      <c r="K2159" s="17">
        <v>0</v>
      </c>
      <c r="L2159" s="28"/>
    </row>
    <row r="2160" spans="1:12" ht="14.5" customHeight="1" x14ac:dyDescent="0.2">
      <c r="A2160">
        <v>2016</v>
      </c>
      <c r="B2160" t="s">
        <v>240</v>
      </c>
      <c r="C2160" t="s">
        <v>962</v>
      </c>
      <c r="D2160" s="65">
        <v>260</v>
      </c>
      <c r="E2160" s="33">
        <v>0.04</v>
      </c>
      <c r="F2160" t="s">
        <v>1407</v>
      </c>
      <c r="G2160" t="s">
        <v>146</v>
      </c>
      <c r="H2160" t="s">
        <v>275</v>
      </c>
      <c r="I2160" t="s">
        <v>113</v>
      </c>
      <c r="J2160" t="s">
        <v>183</v>
      </c>
      <c r="K2160" s="17">
        <v>0</v>
      </c>
      <c r="L2160" s="28"/>
    </row>
    <row r="2161" spans="1:12" x14ac:dyDescent="0.2">
      <c r="A2161">
        <v>2016</v>
      </c>
      <c r="B2161" t="s">
        <v>240</v>
      </c>
      <c r="C2161" t="s">
        <v>1408</v>
      </c>
      <c r="D2161" s="65">
        <v>400</v>
      </c>
      <c r="E2161" s="33"/>
      <c r="F2161" t="s">
        <v>1409</v>
      </c>
      <c r="G2161" t="s">
        <v>154</v>
      </c>
      <c r="H2161" t="s">
        <v>250</v>
      </c>
      <c r="I2161" t="s">
        <v>20</v>
      </c>
      <c r="J2161" t="s">
        <v>195</v>
      </c>
      <c r="K2161" s="17">
        <v>0</v>
      </c>
      <c r="L2161" s="28"/>
    </row>
    <row r="2162" spans="1:12" ht="14.5" customHeight="1" x14ac:dyDescent="0.2">
      <c r="A2162">
        <v>2016</v>
      </c>
      <c r="B2162" t="s">
        <v>240</v>
      </c>
      <c r="C2162" t="s">
        <v>373</v>
      </c>
      <c r="D2162" s="65">
        <v>320</v>
      </c>
      <c r="E2162" s="33"/>
      <c r="G2162" t="s">
        <v>151</v>
      </c>
      <c r="H2162" t="s">
        <v>224</v>
      </c>
      <c r="I2162" t="s">
        <v>131</v>
      </c>
      <c r="J2162" t="s">
        <v>131</v>
      </c>
      <c r="K2162" s="17">
        <v>0</v>
      </c>
      <c r="L2162" s="28"/>
    </row>
    <row r="2163" spans="1:12" ht="14.5" customHeight="1" x14ac:dyDescent="0.2">
      <c r="A2163">
        <v>2016</v>
      </c>
      <c r="B2163" t="s">
        <v>240</v>
      </c>
      <c r="C2163" t="s">
        <v>1018</v>
      </c>
      <c r="D2163" s="65">
        <v>200</v>
      </c>
      <c r="E2163" s="33">
        <v>1</v>
      </c>
      <c r="F2163" t="s">
        <v>1410</v>
      </c>
      <c r="G2163" t="s">
        <v>154</v>
      </c>
      <c r="H2163" t="s">
        <v>194</v>
      </c>
      <c r="I2163" t="s">
        <v>45</v>
      </c>
      <c r="J2163" t="s">
        <v>195</v>
      </c>
      <c r="K2163" s="17">
        <v>0</v>
      </c>
      <c r="L2163" s="28"/>
    </row>
    <row r="2164" spans="1:12" ht="14.5" customHeight="1" x14ac:dyDescent="0.2">
      <c r="A2164">
        <v>2016</v>
      </c>
      <c r="B2164" t="s">
        <v>240</v>
      </c>
      <c r="C2164" t="s">
        <v>873</v>
      </c>
      <c r="D2164" s="65">
        <v>420</v>
      </c>
      <c r="E2164" s="33"/>
      <c r="G2164" t="s">
        <v>153</v>
      </c>
      <c r="I2164" t="s">
        <v>113</v>
      </c>
      <c r="J2164" t="s">
        <v>183</v>
      </c>
      <c r="K2164" s="17">
        <v>0</v>
      </c>
      <c r="L2164" s="28"/>
    </row>
    <row r="2165" spans="1:12" ht="14.5" customHeight="1" x14ac:dyDescent="0.2">
      <c r="A2165">
        <v>2016</v>
      </c>
      <c r="B2165" t="s">
        <v>240</v>
      </c>
      <c r="C2165" t="s">
        <v>1180</v>
      </c>
      <c r="D2165" s="65">
        <v>140</v>
      </c>
      <c r="E2165" s="33"/>
      <c r="G2165" t="s">
        <v>144</v>
      </c>
      <c r="H2165" t="s">
        <v>232</v>
      </c>
      <c r="I2165" t="s">
        <v>27</v>
      </c>
      <c r="J2165" t="s">
        <v>205</v>
      </c>
      <c r="K2165" s="17">
        <v>1</v>
      </c>
      <c r="L2165" s="28" t="s">
        <v>178</v>
      </c>
    </row>
    <row r="2166" spans="1:12" ht="14.5" customHeight="1" x14ac:dyDescent="0.2">
      <c r="A2166">
        <v>2016</v>
      </c>
      <c r="B2166" t="s">
        <v>240</v>
      </c>
      <c r="C2166" t="s">
        <v>246</v>
      </c>
      <c r="D2166" s="65">
        <v>1740</v>
      </c>
      <c r="E2166" s="33"/>
      <c r="G2166" t="s">
        <v>144</v>
      </c>
      <c r="H2166" t="s">
        <v>197</v>
      </c>
      <c r="I2166" t="s">
        <v>93</v>
      </c>
      <c r="J2166" t="s">
        <v>201</v>
      </c>
      <c r="K2166" s="17">
        <v>1</v>
      </c>
      <c r="L2166" s="28" t="s">
        <v>178</v>
      </c>
    </row>
    <row r="2167" spans="1:12" ht="14.5" customHeight="1" x14ac:dyDescent="0.2">
      <c r="A2167">
        <v>2016</v>
      </c>
      <c r="B2167" t="s">
        <v>240</v>
      </c>
      <c r="C2167" t="s">
        <v>1318</v>
      </c>
      <c r="D2167" s="65">
        <v>480</v>
      </c>
      <c r="E2167" s="33">
        <v>0.3</v>
      </c>
      <c r="F2167" t="s">
        <v>1411</v>
      </c>
      <c r="G2167" t="s">
        <v>142</v>
      </c>
      <c r="I2167" t="s">
        <v>118</v>
      </c>
      <c r="J2167" t="s">
        <v>195</v>
      </c>
      <c r="K2167" s="17">
        <v>0</v>
      </c>
      <c r="L2167" s="28"/>
    </row>
    <row r="2168" spans="1:12" ht="14.5" customHeight="1" x14ac:dyDescent="0.2">
      <c r="A2168">
        <v>2016</v>
      </c>
      <c r="B2168" t="s">
        <v>240</v>
      </c>
      <c r="C2168" t="s">
        <v>352</v>
      </c>
      <c r="D2168" s="65">
        <v>570</v>
      </c>
      <c r="E2168" s="33">
        <v>0.75</v>
      </c>
      <c r="F2168" t="s">
        <v>1412</v>
      </c>
      <c r="G2168" t="s">
        <v>144</v>
      </c>
      <c r="H2168" t="s">
        <v>273</v>
      </c>
      <c r="I2168" t="s">
        <v>53</v>
      </c>
      <c r="J2168" t="s">
        <v>183</v>
      </c>
      <c r="K2168" s="17">
        <v>1</v>
      </c>
      <c r="L2168" s="28" t="s">
        <v>178</v>
      </c>
    </row>
    <row r="2169" spans="1:12" ht="14.5" customHeight="1" x14ac:dyDescent="0.2">
      <c r="A2169">
        <v>2016</v>
      </c>
      <c r="B2169" t="s">
        <v>212</v>
      </c>
      <c r="C2169" t="s">
        <v>543</v>
      </c>
      <c r="D2169" s="65">
        <v>100</v>
      </c>
      <c r="E2169" s="33">
        <v>0.48</v>
      </c>
      <c r="F2169" t="s">
        <v>1413</v>
      </c>
      <c r="G2169" t="s">
        <v>152</v>
      </c>
      <c r="H2169" t="s">
        <v>257</v>
      </c>
      <c r="I2169" t="s">
        <v>128</v>
      </c>
      <c r="J2169" t="s">
        <v>201</v>
      </c>
      <c r="K2169" s="17">
        <v>1</v>
      </c>
      <c r="L2169" s="28"/>
    </row>
    <row r="2170" spans="1:12" ht="14.5" customHeight="1" x14ac:dyDescent="0.2">
      <c r="A2170">
        <v>2016</v>
      </c>
      <c r="B2170" t="s">
        <v>212</v>
      </c>
      <c r="C2170" t="s">
        <v>943</v>
      </c>
      <c r="D2170" s="65">
        <v>430</v>
      </c>
      <c r="E2170" s="33"/>
      <c r="F2170" t="s">
        <v>1414</v>
      </c>
      <c r="G2170" t="s">
        <v>144</v>
      </c>
      <c r="H2170" t="s">
        <v>232</v>
      </c>
      <c r="I2170" t="s">
        <v>56</v>
      </c>
      <c r="J2170" t="s">
        <v>195</v>
      </c>
      <c r="K2170" s="17">
        <v>0</v>
      </c>
      <c r="L2170" s="28"/>
    </row>
    <row r="2171" spans="1:12" ht="14.5" customHeight="1" x14ac:dyDescent="0.2">
      <c r="A2171">
        <v>2016</v>
      </c>
      <c r="B2171" t="s">
        <v>212</v>
      </c>
      <c r="C2171" t="s">
        <v>651</v>
      </c>
      <c r="D2171" s="65">
        <v>120</v>
      </c>
      <c r="E2171" s="33"/>
      <c r="G2171" t="s">
        <v>149</v>
      </c>
      <c r="H2171" t="s">
        <v>182</v>
      </c>
      <c r="I2171" t="s">
        <v>106</v>
      </c>
      <c r="J2171" t="s">
        <v>195</v>
      </c>
      <c r="K2171" s="17">
        <v>1</v>
      </c>
      <c r="L2171" s="28"/>
    </row>
    <row r="2172" spans="1:12" ht="14.5" customHeight="1" x14ac:dyDescent="0.2">
      <c r="A2172">
        <v>2016</v>
      </c>
      <c r="B2172" t="s">
        <v>212</v>
      </c>
      <c r="C2172" t="s">
        <v>1415</v>
      </c>
      <c r="D2172" s="65">
        <v>140</v>
      </c>
      <c r="E2172" s="33"/>
      <c r="G2172" t="s">
        <v>151</v>
      </c>
      <c r="H2172" t="s">
        <v>224</v>
      </c>
      <c r="I2172" t="s">
        <v>9</v>
      </c>
      <c r="J2172" t="s">
        <v>9</v>
      </c>
      <c r="K2172" s="17">
        <v>0</v>
      </c>
      <c r="L2172" s="28" t="s">
        <v>178</v>
      </c>
    </row>
    <row r="2173" spans="1:12" ht="14.5" customHeight="1" x14ac:dyDescent="0.2">
      <c r="A2173">
        <v>2016</v>
      </c>
      <c r="B2173" t="s">
        <v>212</v>
      </c>
      <c r="C2173" t="s">
        <v>1416</v>
      </c>
      <c r="D2173" s="65">
        <v>2960</v>
      </c>
      <c r="E2173" s="33">
        <v>0.49</v>
      </c>
      <c r="F2173" t="s">
        <v>1417</v>
      </c>
      <c r="G2173" t="s">
        <v>152</v>
      </c>
      <c r="H2173" t="s">
        <v>257</v>
      </c>
      <c r="I2173" t="s">
        <v>20</v>
      </c>
      <c r="J2173" t="s">
        <v>195</v>
      </c>
      <c r="K2173" s="17">
        <v>0</v>
      </c>
      <c r="L2173" s="28"/>
    </row>
    <row r="2174" spans="1:12" ht="14.5" customHeight="1" x14ac:dyDescent="0.2">
      <c r="A2174">
        <v>2016</v>
      </c>
      <c r="B2174" t="s">
        <v>212</v>
      </c>
      <c r="C2174" t="s">
        <v>1418</v>
      </c>
      <c r="D2174" s="65">
        <v>240</v>
      </c>
      <c r="E2174" s="33">
        <v>0.85</v>
      </c>
      <c r="F2174" t="s">
        <v>1419</v>
      </c>
      <c r="G2174" t="s">
        <v>150</v>
      </c>
      <c r="H2174" t="s">
        <v>556</v>
      </c>
      <c r="I2174" t="s">
        <v>58</v>
      </c>
      <c r="J2174" t="s">
        <v>195</v>
      </c>
      <c r="K2174" s="17">
        <v>0</v>
      </c>
      <c r="L2174" s="28"/>
    </row>
    <row r="2175" spans="1:12" ht="14.5" customHeight="1" x14ac:dyDescent="0.2">
      <c r="A2175">
        <v>2016</v>
      </c>
      <c r="B2175" t="s">
        <v>212</v>
      </c>
      <c r="C2175" t="s">
        <v>300</v>
      </c>
      <c r="D2175" s="65">
        <v>1150</v>
      </c>
      <c r="E2175" s="33">
        <v>0.1</v>
      </c>
      <c r="F2175" t="s">
        <v>1176</v>
      </c>
      <c r="G2175" t="s">
        <v>144</v>
      </c>
      <c r="H2175" t="s">
        <v>299</v>
      </c>
      <c r="I2175" t="s">
        <v>101</v>
      </c>
      <c r="J2175" t="s">
        <v>201</v>
      </c>
      <c r="K2175" s="17">
        <v>1</v>
      </c>
      <c r="L2175" s="28"/>
    </row>
    <row r="2176" spans="1:12" ht="14.5" customHeight="1" x14ac:dyDescent="0.2">
      <c r="A2176">
        <v>2016</v>
      </c>
      <c r="B2176" t="s">
        <v>212</v>
      </c>
      <c r="C2176" t="s">
        <v>1420</v>
      </c>
      <c r="D2176" s="65">
        <v>170</v>
      </c>
      <c r="E2176" s="33">
        <v>1</v>
      </c>
      <c r="G2176" t="s">
        <v>142</v>
      </c>
      <c r="I2176" t="s">
        <v>25</v>
      </c>
      <c r="J2176" t="s">
        <v>177</v>
      </c>
      <c r="K2176" s="17">
        <v>0</v>
      </c>
      <c r="L2176" s="28" t="s">
        <v>178</v>
      </c>
    </row>
    <row r="2177" spans="1:12" ht="14.5" customHeight="1" x14ac:dyDescent="0.2">
      <c r="A2177">
        <v>2016</v>
      </c>
      <c r="B2177" t="s">
        <v>212</v>
      </c>
      <c r="C2177" t="s">
        <v>307</v>
      </c>
      <c r="D2177" s="65">
        <v>4910</v>
      </c>
      <c r="E2177" s="33">
        <v>0.55000000000000004</v>
      </c>
      <c r="F2177" t="s">
        <v>1421</v>
      </c>
      <c r="G2177" t="s">
        <v>144</v>
      </c>
      <c r="I2177" t="s">
        <v>19</v>
      </c>
      <c r="J2177" t="s">
        <v>205</v>
      </c>
      <c r="K2177" s="17">
        <v>0</v>
      </c>
      <c r="L2177" s="28"/>
    </row>
    <row r="2178" spans="1:12" ht="14.5" customHeight="1" x14ac:dyDescent="0.2">
      <c r="A2178">
        <v>2016</v>
      </c>
      <c r="B2178" t="s">
        <v>212</v>
      </c>
      <c r="C2178" t="s">
        <v>1035</v>
      </c>
      <c r="D2178" s="65">
        <v>100</v>
      </c>
      <c r="E2178" s="33"/>
      <c r="F2178" t="s">
        <v>1422</v>
      </c>
      <c r="G2178" t="s">
        <v>151</v>
      </c>
      <c r="H2178" t="s">
        <v>224</v>
      </c>
      <c r="I2178" t="s">
        <v>131</v>
      </c>
      <c r="J2178" t="s">
        <v>131</v>
      </c>
      <c r="K2178" s="17">
        <v>0</v>
      </c>
      <c r="L2178" s="28" t="s">
        <v>178</v>
      </c>
    </row>
    <row r="2179" spans="1:12" ht="14.5" customHeight="1" x14ac:dyDescent="0.2">
      <c r="A2179">
        <v>2016</v>
      </c>
      <c r="B2179" t="s">
        <v>212</v>
      </c>
      <c r="C2179" t="s">
        <v>185</v>
      </c>
      <c r="D2179" s="65">
        <v>1110</v>
      </c>
      <c r="E2179" s="33"/>
      <c r="G2179" t="s">
        <v>144</v>
      </c>
      <c r="H2179" t="s">
        <v>187</v>
      </c>
      <c r="I2179" t="s">
        <v>77</v>
      </c>
      <c r="J2179" t="s">
        <v>177</v>
      </c>
      <c r="K2179" s="17">
        <v>0</v>
      </c>
      <c r="L2179" s="28" t="s">
        <v>178</v>
      </c>
    </row>
    <row r="2180" spans="1:12" ht="14.5" customHeight="1" x14ac:dyDescent="0.2">
      <c r="A2180">
        <v>2016</v>
      </c>
      <c r="B2180" t="s">
        <v>212</v>
      </c>
      <c r="C2180" t="s">
        <v>263</v>
      </c>
      <c r="D2180" s="65">
        <v>1030</v>
      </c>
      <c r="E2180" s="33">
        <v>0.45</v>
      </c>
      <c r="F2180" t="s">
        <v>1423</v>
      </c>
      <c r="G2180" t="s">
        <v>151</v>
      </c>
      <c r="H2180" t="s">
        <v>224</v>
      </c>
      <c r="I2180" t="s">
        <v>131</v>
      </c>
      <c r="J2180" t="s">
        <v>131</v>
      </c>
      <c r="K2180" s="17">
        <v>0</v>
      </c>
      <c r="L2180" s="28"/>
    </row>
    <row r="2181" spans="1:12" ht="14.5" customHeight="1" x14ac:dyDescent="0.2">
      <c r="A2181">
        <v>2016</v>
      </c>
      <c r="B2181" t="s">
        <v>212</v>
      </c>
      <c r="C2181" t="s">
        <v>1344</v>
      </c>
      <c r="D2181" s="65">
        <v>100</v>
      </c>
      <c r="E2181" s="33"/>
      <c r="F2181" t="s">
        <v>1424</v>
      </c>
      <c r="G2181" t="s">
        <v>154</v>
      </c>
      <c r="H2181" t="s">
        <v>194</v>
      </c>
      <c r="I2181" t="s">
        <v>19</v>
      </c>
      <c r="J2181" t="s">
        <v>205</v>
      </c>
      <c r="K2181" s="17">
        <v>0</v>
      </c>
      <c r="L2181" s="28"/>
    </row>
    <row r="2182" spans="1:12" ht="14.5" customHeight="1" x14ac:dyDescent="0.2">
      <c r="A2182">
        <v>2016</v>
      </c>
      <c r="B2182" t="s">
        <v>212</v>
      </c>
      <c r="C2182" t="s">
        <v>554</v>
      </c>
      <c r="D2182" s="65">
        <v>200</v>
      </c>
      <c r="E2182" s="33"/>
      <c r="F2182" t="s">
        <v>1425</v>
      </c>
      <c r="G2182" t="s">
        <v>154</v>
      </c>
      <c r="H2182" t="s">
        <v>250</v>
      </c>
      <c r="I2182" t="s">
        <v>47</v>
      </c>
      <c r="J2182" t="s">
        <v>195</v>
      </c>
      <c r="K2182" s="17">
        <v>1</v>
      </c>
      <c r="L2182" s="28"/>
    </row>
    <row r="2183" spans="1:12" ht="14.5" customHeight="1" x14ac:dyDescent="0.2">
      <c r="A2183">
        <v>2016</v>
      </c>
      <c r="B2183" t="s">
        <v>212</v>
      </c>
      <c r="C2183" t="s">
        <v>479</v>
      </c>
      <c r="D2183" s="65">
        <v>1680</v>
      </c>
      <c r="E2183" s="33">
        <v>0.5</v>
      </c>
      <c r="F2183" t="s">
        <v>1426</v>
      </c>
      <c r="G2183" t="s">
        <v>153</v>
      </c>
      <c r="I2183" t="s">
        <v>72</v>
      </c>
      <c r="J2183" t="s">
        <v>183</v>
      </c>
      <c r="K2183" s="17">
        <v>1</v>
      </c>
      <c r="L2183" s="28" t="s">
        <v>178</v>
      </c>
    </row>
    <row r="2184" spans="1:12" ht="14.5" customHeight="1" x14ac:dyDescent="0.2">
      <c r="A2184">
        <v>2016</v>
      </c>
      <c r="B2184" t="s">
        <v>212</v>
      </c>
      <c r="C2184" t="s">
        <v>1427</v>
      </c>
      <c r="D2184" s="65">
        <v>350</v>
      </c>
      <c r="E2184" s="33">
        <v>0.37</v>
      </c>
      <c r="F2184" t="s">
        <v>1428</v>
      </c>
      <c r="G2184" t="s">
        <v>142</v>
      </c>
      <c r="I2184" t="s">
        <v>114</v>
      </c>
      <c r="J2184" t="s">
        <v>195</v>
      </c>
      <c r="K2184" s="17">
        <v>0</v>
      </c>
      <c r="L2184" s="28"/>
    </row>
    <row r="2185" spans="1:12" ht="14.5" customHeight="1" x14ac:dyDescent="0.2">
      <c r="A2185">
        <v>2016</v>
      </c>
      <c r="B2185" t="s">
        <v>212</v>
      </c>
      <c r="C2185" t="s">
        <v>479</v>
      </c>
      <c r="D2185" s="65">
        <v>290</v>
      </c>
      <c r="E2185" s="33"/>
      <c r="G2185" t="s">
        <v>151</v>
      </c>
      <c r="H2185" t="s">
        <v>224</v>
      </c>
      <c r="I2185" t="s">
        <v>131</v>
      </c>
      <c r="J2185" t="s">
        <v>131</v>
      </c>
      <c r="K2185" s="17">
        <v>0</v>
      </c>
      <c r="L2185" s="28" t="s">
        <v>178</v>
      </c>
    </row>
    <row r="2186" spans="1:12" ht="14.5" customHeight="1" x14ac:dyDescent="0.2">
      <c r="A2186">
        <v>2016</v>
      </c>
      <c r="B2186" t="s">
        <v>212</v>
      </c>
      <c r="C2186" t="s">
        <v>530</v>
      </c>
      <c r="D2186" s="65">
        <v>150</v>
      </c>
      <c r="E2186" s="33"/>
      <c r="F2186" t="s">
        <v>1429</v>
      </c>
      <c r="G2186" t="s">
        <v>152</v>
      </c>
      <c r="H2186" t="s">
        <v>257</v>
      </c>
      <c r="I2186" t="s">
        <v>57</v>
      </c>
      <c r="J2186" t="s">
        <v>195</v>
      </c>
      <c r="K2186" s="17">
        <v>0</v>
      </c>
      <c r="L2186" s="28"/>
    </row>
    <row r="2187" spans="1:12" ht="14.5" customHeight="1" x14ac:dyDescent="0.2">
      <c r="A2187">
        <v>2016</v>
      </c>
      <c r="B2187" t="s">
        <v>212</v>
      </c>
      <c r="C2187" t="s">
        <v>698</v>
      </c>
      <c r="D2187" s="65">
        <v>120</v>
      </c>
      <c r="E2187" s="33">
        <v>1</v>
      </c>
      <c r="F2187" t="s">
        <v>1430</v>
      </c>
      <c r="G2187" t="s">
        <v>150</v>
      </c>
      <c r="H2187" t="s">
        <v>292</v>
      </c>
      <c r="I2187" t="s">
        <v>20</v>
      </c>
      <c r="J2187" t="s">
        <v>195</v>
      </c>
      <c r="K2187" s="17">
        <v>0</v>
      </c>
      <c r="L2187" s="28"/>
    </row>
    <row r="2188" spans="1:12" ht="14.5" customHeight="1" x14ac:dyDescent="0.2">
      <c r="A2188">
        <v>2016</v>
      </c>
      <c r="B2188" t="s">
        <v>212</v>
      </c>
      <c r="C2188" t="s">
        <v>1123</v>
      </c>
      <c r="D2188" s="65">
        <v>220</v>
      </c>
      <c r="E2188" s="33">
        <v>0.17</v>
      </c>
      <c r="F2188" t="s">
        <v>1124</v>
      </c>
      <c r="G2188" t="s">
        <v>147</v>
      </c>
      <c r="I2188" t="s">
        <v>9</v>
      </c>
      <c r="J2188" t="s">
        <v>9</v>
      </c>
      <c r="K2188" s="17">
        <v>0</v>
      </c>
      <c r="L2188" s="28"/>
    </row>
    <row r="2189" spans="1:12" ht="14.5" customHeight="1" x14ac:dyDescent="0.2">
      <c r="A2189">
        <v>2016</v>
      </c>
      <c r="B2189" t="s">
        <v>212</v>
      </c>
      <c r="C2189" t="s">
        <v>1289</v>
      </c>
      <c r="D2189" s="65">
        <v>220</v>
      </c>
      <c r="E2189" s="33"/>
      <c r="G2189" t="s">
        <v>151</v>
      </c>
      <c r="H2189" t="s">
        <v>224</v>
      </c>
      <c r="I2189" t="s">
        <v>108</v>
      </c>
      <c r="J2189" t="s">
        <v>183</v>
      </c>
      <c r="K2189" s="17">
        <v>1</v>
      </c>
      <c r="L2189" s="28" t="s">
        <v>178</v>
      </c>
    </row>
    <row r="2190" spans="1:12" ht="14.5" customHeight="1" x14ac:dyDescent="0.2">
      <c r="A2190">
        <v>2016</v>
      </c>
      <c r="B2190" t="s">
        <v>212</v>
      </c>
      <c r="C2190" t="s">
        <v>798</v>
      </c>
      <c r="D2190" s="65">
        <v>490</v>
      </c>
      <c r="E2190" s="33"/>
      <c r="F2190" t="s">
        <v>834</v>
      </c>
      <c r="G2190" t="s">
        <v>149</v>
      </c>
      <c r="H2190" t="s">
        <v>182</v>
      </c>
      <c r="I2190" t="s">
        <v>53</v>
      </c>
      <c r="J2190" t="s">
        <v>183</v>
      </c>
      <c r="K2190" s="17">
        <v>1</v>
      </c>
      <c r="L2190" s="28" t="s">
        <v>178</v>
      </c>
    </row>
    <row r="2191" spans="1:12" ht="14.5" customHeight="1" x14ac:dyDescent="0.2">
      <c r="A2191">
        <v>2016</v>
      </c>
      <c r="B2191" t="s">
        <v>212</v>
      </c>
      <c r="C2191" t="s">
        <v>1431</v>
      </c>
      <c r="D2191" s="65">
        <v>170</v>
      </c>
      <c r="E2191" s="33"/>
      <c r="G2191" t="s">
        <v>150</v>
      </c>
      <c r="H2191" t="s">
        <v>556</v>
      </c>
      <c r="I2191" t="s">
        <v>136</v>
      </c>
      <c r="J2191" t="s">
        <v>183</v>
      </c>
      <c r="K2191" s="17">
        <v>1</v>
      </c>
      <c r="L2191" s="28" t="s">
        <v>178</v>
      </c>
    </row>
    <row r="2192" spans="1:12" ht="14.5" customHeight="1" x14ac:dyDescent="0.2">
      <c r="A2192">
        <v>2016</v>
      </c>
      <c r="B2192" t="s">
        <v>212</v>
      </c>
      <c r="C2192" t="s">
        <v>1329</v>
      </c>
      <c r="D2192" s="65">
        <v>100</v>
      </c>
      <c r="E2192" s="33"/>
      <c r="G2192" t="s">
        <v>149</v>
      </c>
      <c r="H2192" t="s">
        <v>236</v>
      </c>
      <c r="I2192" t="s">
        <v>41</v>
      </c>
      <c r="J2192" t="s">
        <v>195</v>
      </c>
      <c r="K2192" s="17">
        <v>0</v>
      </c>
      <c r="L2192" s="28"/>
    </row>
    <row r="2193" spans="1:12" ht="14.5" customHeight="1" x14ac:dyDescent="0.2">
      <c r="A2193">
        <v>2016</v>
      </c>
      <c r="B2193" t="s">
        <v>212</v>
      </c>
      <c r="C2193" t="s">
        <v>1432</v>
      </c>
      <c r="D2193" s="65">
        <v>270</v>
      </c>
      <c r="E2193" s="33"/>
      <c r="G2193" t="s">
        <v>154</v>
      </c>
      <c r="H2193" t="s">
        <v>194</v>
      </c>
      <c r="I2193" t="s">
        <v>42</v>
      </c>
      <c r="J2193" t="s">
        <v>195</v>
      </c>
      <c r="K2193" s="17">
        <v>0</v>
      </c>
      <c r="L2193" s="28"/>
    </row>
    <row r="2194" spans="1:12" ht="14.5" customHeight="1" x14ac:dyDescent="0.2">
      <c r="A2194">
        <v>2016</v>
      </c>
      <c r="B2194" t="s">
        <v>172</v>
      </c>
      <c r="C2194" t="s">
        <v>208</v>
      </c>
      <c r="D2194" s="22">
        <v>470</v>
      </c>
      <c r="E2194" s="16"/>
      <c r="F2194" t="s">
        <v>2727</v>
      </c>
      <c r="G2194" t="s">
        <v>149</v>
      </c>
      <c r="H2194" t="s">
        <v>182</v>
      </c>
      <c r="I2194" t="s">
        <v>54</v>
      </c>
      <c r="J2194" t="s">
        <v>201</v>
      </c>
      <c r="K2194">
        <v>1</v>
      </c>
      <c r="L2194" s="2"/>
    </row>
    <row r="2195" spans="1:12" ht="14.5" customHeight="1" x14ac:dyDescent="0.2">
      <c r="A2195">
        <v>2016</v>
      </c>
      <c r="B2195" t="s">
        <v>172</v>
      </c>
      <c r="C2195" t="s">
        <v>483</v>
      </c>
      <c r="D2195" s="22">
        <v>330</v>
      </c>
      <c r="E2195" s="16"/>
      <c r="F2195" t="s">
        <v>2728</v>
      </c>
      <c r="G2195" t="s">
        <v>154</v>
      </c>
      <c r="H2195" t="s">
        <v>529</v>
      </c>
      <c r="I2195" t="s">
        <v>54</v>
      </c>
      <c r="J2195" t="s">
        <v>201</v>
      </c>
      <c r="K2195">
        <v>1</v>
      </c>
      <c r="L2195" s="2"/>
    </row>
    <row r="2196" spans="1:12" ht="14.5" customHeight="1" x14ac:dyDescent="0.2">
      <c r="A2196">
        <v>2016</v>
      </c>
      <c r="B2196" t="s">
        <v>172</v>
      </c>
      <c r="C2196" t="s">
        <v>2729</v>
      </c>
      <c r="D2196" s="22">
        <v>120</v>
      </c>
      <c r="E2196" s="16"/>
      <c r="G2196" t="s">
        <v>144</v>
      </c>
      <c r="I2196" t="s">
        <v>64</v>
      </c>
      <c r="J2196" t="s">
        <v>219</v>
      </c>
      <c r="K2196">
        <v>1</v>
      </c>
      <c r="L2196" s="2"/>
    </row>
    <row r="2197" spans="1:12" ht="14.5" customHeight="1" x14ac:dyDescent="0.2">
      <c r="A2197">
        <v>2016</v>
      </c>
      <c r="B2197" t="s">
        <v>172</v>
      </c>
      <c r="C2197" s="52" t="s">
        <v>2392</v>
      </c>
      <c r="D2197" s="22">
        <v>660</v>
      </c>
      <c r="E2197" s="16"/>
      <c r="F2197" t="s">
        <v>704</v>
      </c>
      <c r="G2197" t="s">
        <v>144</v>
      </c>
      <c r="H2197" t="s">
        <v>273</v>
      </c>
      <c r="I2197" t="s">
        <v>128</v>
      </c>
      <c r="J2197" t="s">
        <v>201</v>
      </c>
      <c r="K2197">
        <v>1</v>
      </c>
      <c r="L2197" s="2"/>
    </row>
    <row r="2198" spans="1:12" ht="14.5" customHeight="1" x14ac:dyDescent="0.2">
      <c r="A2198">
        <v>2016</v>
      </c>
      <c r="B2198" t="s">
        <v>172</v>
      </c>
      <c r="C2198" t="s">
        <v>1035</v>
      </c>
      <c r="D2198" s="22">
        <v>300</v>
      </c>
      <c r="E2198" s="16"/>
      <c r="G2198" t="s">
        <v>144</v>
      </c>
      <c r="H2198" t="s">
        <v>197</v>
      </c>
      <c r="I2198" t="s">
        <v>24</v>
      </c>
      <c r="J2198" t="s">
        <v>219</v>
      </c>
      <c r="K2198">
        <v>1</v>
      </c>
      <c r="L2198" s="2"/>
    </row>
    <row r="2199" spans="1:12" ht="14.5" customHeight="1" x14ac:dyDescent="0.2">
      <c r="A2199">
        <v>2016</v>
      </c>
      <c r="B2199" t="s">
        <v>172</v>
      </c>
      <c r="C2199" t="s">
        <v>479</v>
      </c>
      <c r="D2199" s="22">
        <v>120</v>
      </c>
      <c r="E2199" s="16"/>
      <c r="G2199" t="s">
        <v>154</v>
      </c>
      <c r="H2199" t="s">
        <v>194</v>
      </c>
      <c r="I2199" t="s">
        <v>9</v>
      </c>
      <c r="J2199" t="s">
        <v>9</v>
      </c>
      <c r="K2199">
        <v>0</v>
      </c>
      <c r="L2199" s="2"/>
    </row>
    <row r="2200" spans="1:12" ht="14.5" customHeight="1" x14ac:dyDescent="0.2">
      <c r="A2200">
        <v>2016</v>
      </c>
      <c r="B2200" t="s">
        <v>172</v>
      </c>
      <c r="C2200" t="s">
        <v>397</v>
      </c>
      <c r="D2200" s="22">
        <v>170</v>
      </c>
      <c r="E2200" s="16"/>
      <c r="F2200" t="s">
        <v>2730</v>
      </c>
      <c r="G2200" t="s">
        <v>151</v>
      </c>
      <c r="H2200" t="s">
        <v>279</v>
      </c>
      <c r="I2200" t="s">
        <v>130</v>
      </c>
      <c r="J2200" t="s">
        <v>214</v>
      </c>
      <c r="K2200">
        <v>1</v>
      </c>
      <c r="L2200" s="2"/>
    </row>
    <row r="2201" spans="1:12" ht="14.5" customHeight="1" x14ac:dyDescent="0.2">
      <c r="A2201">
        <v>2016</v>
      </c>
      <c r="B2201" t="s">
        <v>172</v>
      </c>
      <c r="C2201" t="s">
        <v>2731</v>
      </c>
      <c r="D2201" s="22">
        <v>170</v>
      </c>
      <c r="E2201" s="16">
        <v>0.49</v>
      </c>
      <c r="F2201" t="s">
        <v>2732</v>
      </c>
      <c r="G2201" t="s">
        <v>154</v>
      </c>
      <c r="H2201" t="s">
        <v>271</v>
      </c>
      <c r="I2201" t="s">
        <v>5</v>
      </c>
      <c r="J2201" t="s">
        <v>214</v>
      </c>
      <c r="K2201">
        <v>1</v>
      </c>
      <c r="L2201" s="2"/>
    </row>
    <row r="2202" spans="1:12" ht="14.5" customHeight="1" x14ac:dyDescent="0.2">
      <c r="A2202">
        <v>2016</v>
      </c>
      <c r="B2202" t="s">
        <v>172</v>
      </c>
      <c r="C2202" t="s">
        <v>397</v>
      </c>
      <c r="D2202" s="22">
        <v>200</v>
      </c>
      <c r="E2202" s="16"/>
      <c r="G2202" t="s">
        <v>154</v>
      </c>
      <c r="H2202" t="s">
        <v>194</v>
      </c>
      <c r="I2202" t="s">
        <v>138</v>
      </c>
      <c r="J2202" t="s">
        <v>219</v>
      </c>
      <c r="K2202">
        <v>1</v>
      </c>
      <c r="L2202" s="2"/>
    </row>
    <row r="2203" spans="1:12" ht="14.5" customHeight="1" x14ac:dyDescent="0.2">
      <c r="A2203">
        <v>2016</v>
      </c>
      <c r="B2203" t="s">
        <v>172</v>
      </c>
      <c r="C2203" t="s">
        <v>397</v>
      </c>
      <c r="D2203" s="22">
        <v>190</v>
      </c>
      <c r="E2203" s="16"/>
      <c r="G2203" t="s">
        <v>151</v>
      </c>
      <c r="H2203" t="s">
        <v>279</v>
      </c>
      <c r="I2203" t="s">
        <v>94</v>
      </c>
      <c r="J2203" t="s">
        <v>177</v>
      </c>
      <c r="K2203">
        <v>0</v>
      </c>
      <c r="L2203" s="2"/>
    </row>
    <row r="2204" spans="1:12" ht="14.5" customHeight="1" x14ac:dyDescent="0.2">
      <c r="A2204">
        <v>2016</v>
      </c>
      <c r="B2204" t="s">
        <v>172</v>
      </c>
      <c r="C2204" t="s">
        <v>1035</v>
      </c>
      <c r="D2204" s="22">
        <v>390</v>
      </c>
      <c r="E2204" s="16"/>
      <c r="G2204" t="s">
        <v>151</v>
      </c>
      <c r="H2204" t="s">
        <v>279</v>
      </c>
      <c r="I2204" t="s">
        <v>105</v>
      </c>
      <c r="J2204" t="s">
        <v>214</v>
      </c>
      <c r="K2204">
        <v>1</v>
      </c>
      <c r="L2204" s="2"/>
    </row>
    <row r="2205" spans="1:12" ht="14.5" customHeight="1" x14ac:dyDescent="0.2">
      <c r="A2205">
        <v>2016</v>
      </c>
      <c r="B2205" t="s">
        <v>172</v>
      </c>
      <c r="C2205" t="s">
        <v>1035</v>
      </c>
      <c r="D2205" s="22">
        <v>270</v>
      </c>
      <c r="E2205" s="16"/>
      <c r="G2205" t="s">
        <v>144</v>
      </c>
      <c r="H2205" t="s">
        <v>197</v>
      </c>
      <c r="I2205" t="s">
        <v>70</v>
      </c>
      <c r="J2205" t="s">
        <v>219</v>
      </c>
      <c r="K2205">
        <v>1</v>
      </c>
      <c r="L2205" s="2"/>
    </row>
    <row r="2206" spans="1:12" ht="14.5" customHeight="1" x14ac:dyDescent="0.2">
      <c r="A2206">
        <v>2016</v>
      </c>
      <c r="B2206" t="s">
        <v>172</v>
      </c>
      <c r="C2206" t="s">
        <v>1035</v>
      </c>
      <c r="D2206" s="22">
        <v>170</v>
      </c>
      <c r="E2206" s="16"/>
      <c r="G2206" t="s">
        <v>144</v>
      </c>
      <c r="H2206" t="s">
        <v>232</v>
      </c>
      <c r="I2206" t="s">
        <v>63</v>
      </c>
      <c r="J2206" t="s">
        <v>201</v>
      </c>
      <c r="K2206">
        <v>1</v>
      </c>
      <c r="L2206" s="2"/>
    </row>
    <row r="2207" spans="1:12" x14ac:dyDescent="0.2">
      <c r="A2207">
        <v>2016</v>
      </c>
      <c r="B2207" t="s">
        <v>172</v>
      </c>
      <c r="C2207" t="s">
        <v>397</v>
      </c>
      <c r="D2207" s="22">
        <v>150</v>
      </c>
      <c r="E2207" s="16"/>
      <c r="G2207" t="s">
        <v>151</v>
      </c>
      <c r="H2207" t="s">
        <v>279</v>
      </c>
      <c r="I2207" t="s">
        <v>86</v>
      </c>
      <c r="J2207" t="s">
        <v>183</v>
      </c>
      <c r="K2207">
        <v>1</v>
      </c>
      <c r="L2207" s="2"/>
    </row>
    <row r="2208" spans="1:12" ht="14.5" customHeight="1" x14ac:dyDescent="0.2">
      <c r="A2208">
        <v>2016</v>
      </c>
      <c r="B2208" t="s">
        <v>172</v>
      </c>
      <c r="C2208" t="s">
        <v>175</v>
      </c>
      <c r="D2208" s="22">
        <v>210</v>
      </c>
      <c r="E2208" s="16"/>
      <c r="F2208" t="s">
        <v>705</v>
      </c>
      <c r="G2208" t="s">
        <v>153</v>
      </c>
      <c r="I2208" t="s">
        <v>72</v>
      </c>
      <c r="J2208" t="s">
        <v>183</v>
      </c>
      <c r="K2208">
        <v>1</v>
      </c>
      <c r="L2208" s="2"/>
    </row>
    <row r="2209" spans="1:12" ht="14.5" customHeight="1" x14ac:dyDescent="0.2">
      <c r="A2209">
        <v>2016</v>
      </c>
      <c r="B2209" t="s">
        <v>172</v>
      </c>
      <c r="C2209" t="s">
        <v>479</v>
      </c>
      <c r="D2209" s="22">
        <v>700</v>
      </c>
      <c r="E2209" s="16"/>
      <c r="G2209" t="s">
        <v>154</v>
      </c>
      <c r="H2209" t="s">
        <v>194</v>
      </c>
      <c r="I2209" t="s">
        <v>2462</v>
      </c>
      <c r="J2209" t="s">
        <v>219</v>
      </c>
      <c r="K2209">
        <v>1</v>
      </c>
      <c r="L2209" s="2"/>
    </row>
    <row r="2210" spans="1:12" ht="14.5" customHeight="1" x14ac:dyDescent="0.2">
      <c r="A2210">
        <v>2016</v>
      </c>
      <c r="B2210" t="s">
        <v>172</v>
      </c>
      <c r="C2210" t="s">
        <v>479</v>
      </c>
      <c r="D2210" s="22">
        <v>1320</v>
      </c>
      <c r="E2210" s="16"/>
      <c r="G2210" t="s">
        <v>154</v>
      </c>
      <c r="H2210" t="s">
        <v>194</v>
      </c>
      <c r="I2210" t="s">
        <v>93</v>
      </c>
      <c r="J2210" t="s">
        <v>201</v>
      </c>
      <c r="K2210">
        <v>1</v>
      </c>
      <c r="L2210" s="2"/>
    </row>
    <row r="2211" spans="1:12" ht="14.5" customHeight="1" x14ac:dyDescent="0.2">
      <c r="A2211">
        <v>2016</v>
      </c>
      <c r="B2211" t="s">
        <v>172</v>
      </c>
      <c r="C2211" t="s">
        <v>2660</v>
      </c>
      <c r="D2211" s="22">
        <v>200</v>
      </c>
      <c r="E2211" s="16"/>
      <c r="F2211" t="s">
        <v>2733</v>
      </c>
      <c r="G2211" t="s">
        <v>151</v>
      </c>
      <c r="H2211" t="s">
        <v>279</v>
      </c>
      <c r="I2211" t="s">
        <v>82</v>
      </c>
      <c r="J2211" t="s">
        <v>183</v>
      </c>
      <c r="K2211">
        <v>1</v>
      </c>
      <c r="L2211" s="2"/>
    </row>
    <row r="2212" spans="1:12" ht="14.5" customHeight="1" x14ac:dyDescent="0.2">
      <c r="A2212">
        <v>2016</v>
      </c>
      <c r="B2212" t="s">
        <v>172</v>
      </c>
      <c r="C2212" t="s">
        <v>1035</v>
      </c>
      <c r="D2212" s="22">
        <v>220</v>
      </c>
      <c r="E2212" s="16"/>
      <c r="G2212" t="s">
        <v>154</v>
      </c>
      <c r="H2212" t="s">
        <v>271</v>
      </c>
      <c r="I2212" t="s">
        <v>93</v>
      </c>
      <c r="J2212" t="s">
        <v>201</v>
      </c>
      <c r="K2212">
        <v>1</v>
      </c>
      <c r="L2212" s="2"/>
    </row>
    <row r="2213" spans="1:12" ht="14.5" customHeight="1" x14ac:dyDescent="0.2">
      <c r="A2213">
        <v>2016</v>
      </c>
      <c r="B2213" t="s">
        <v>172</v>
      </c>
      <c r="C2213" t="s">
        <v>1035</v>
      </c>
      <c r="D2213" s="22">
        <v>430</v>
      </c>
      <c r="E2213" s="16"/>
      <c r="G2213" t="s">
        <v>154</v>
      </c>
      <c r="H2213" t="s">
        <v>194</v>
      </c>
      <c r="I2213" t="s">
        <v>16</v>
      </c>
      <c r="J2213" t="s">
        <v>205</v>
      </c>
      <c r="K2213">
        <v>1</v>
      </c>
      <c r="L2213" s="2"/>
    </row>
    <row r="2214" spans="1:12" ht="14.5" customHeight="1" x14ac:dyDescent="0.2">
      <c r="A2214">
        <v>2016</v>
      </c>
      <c r="B2214" t="s">
        <v>258</v>
      </c>
      <c r="C2214" t="s">
        <v>397</v>
      </c>
      <c r="D2214" s="22">
        <v>160</v>
      </c>
      <c r="E2214" s="16"/>
      <c r="G2214" t="s">
        <v>145</v>
      </c>
      <c r="I2214" t="s">
        <v>40</v>
      </c>
      <c r="J2214" t="s">
        <v>219</v>
      </c>
      <c r="K2214">
        <v>1</v>
      </c>
      <c r="L2214" s="2"/>
    </row>
    <row r="2215" spans="1:12" ht="14.5" customHeight="1" x14ac:dyDescent="0.2">
      <c r="A2215">
        <v>2016</v>
      </c>
      <c r="B2215" t="s">
        <v>258</v>
      </c>
      <c r="C2215" t="s">
        <v>2734</v>
      </c>
      <c r="D2215" s="22">
        <v>390</v>
      </c>
      <c r="E2215" s="16"/>
      <c r="G2215" t="s">
        <v>144</v>
      </c>
      <c r="H2215" t="s">
        <v>299</v>
      </c>
      <c r="I2215" t="s">
        <v>8</v>
      </c>
      <c r="J2215" t="s">
        <v>205</v>
      </c>
      <c r="K2215">
        <v>1</v>
      </c>
      <c r="L2215" s="2"/>
    </row>
    <row r="2216" spans="1:12" ht="14.5" customHeight="1" x14ac:dyDescent="0.2">
      <c r="A2216">
        <v>2016</v>
      </c>
      <c r="B2216" t="s">
        <v>258</v>
      </c>
      <c r="C2216" t="s">
        <v>175</v>
      </c>
      <c r="D2216" s="22">
        <v>350</v>
      </c>
      <c r="E2216" s="16"/>
      <c r="F2216" t="s">
        <v>2735</v>
      </c>
      <c r="G2216" t="s">
        <v>142</v>
      </c>
      <c r="I2216" t="s">
        <v>62</v>
      </c>
      <c r="J2216" t="s">
        <v>214</v>
      </c>
      <c r="K2216">
        <v>1</v>
      </c>
      <c r="L2216" s="2"/>
    </row>
    <row r="2217" spans="1:12" ht="14.5" customHeight="1" x14ac:dyDescent="0.2">
      <c r="A2217">
        <v>2016</v>
      </c>
      <c r="B2217" t="s">
        <v>258</v>
      </c>
      <c r="C2217" t="s">
        <v>479</v>
      </c>
      <c r="D2217" s="22">
        <v>110</v>
      </c>
      <c r="E2217" s="16"/>
      <c r="F2217" t="s">
        <v>2736</v>
      </c>
      <c r="G2217" t="s">
        <v>154</v>
      </c>
      <c r="H2217" t="s">
        <v>271</v>
      </c>
      <c r="I2217" t="s">
        <v>2737</v>
      </c>
      <c r="J2217" t="s">
        <v>195</v>
      </c>
      <c r="K2217">
        <v>1</v>
      </c>
      <c r="L2217" s="2"/>
    </row>
    <row r="2218" spans="1:12" ht="14.5" customHeight="1" x14ac:dyDescent="0.2">
      <c r="A2218">
        <v>2016</v>
      </c>
      <c r="B2218" t="s">
        <v>258</v>
      </c>
      <c r="C2218" t="s">
        <v>199</v>
      </c>
      <c r="D2218" s="22">
        <v>270</v>
      </c>
      <c r="E2218" s="16"/>
      <c r="G2218" t="s">
        <v>155</v>
      </c>
      <c r="I2218" t="s">
        <v>55</v>
      </c>
      <c r="J2218" t="s">
        <v>214</v>
      </c>
      <c r="K2218">
        <v>1</v>
      </c>
      <c r="L2218" s="2"/>
    </row>
    <row r="2219" spans="1:12" ht="14.5" customHeight="1" x14ac:dyDescent="0.2">
      <c r="A2219">
        <v>2016</v>
      </c>
      <c r="B2219" t="s">
        <v>258</v>
      </c>
      <c r="C2219" t="s">
        <v>444</v>
      </c>
      <c r="D2219" s="22">
        <v>220</v>
      </c>
      <c r="E2219" s="16"/>
      <c r="F2219" t="s">
        <v>2738</v>
      </c>
      <c r="G2219" t="s">
        <v>144</v>
      </c>
      <c r="H2219" t="s">
        <v>232</v>
      </c>
      <c r="I2219" t="s">
        <v>64</v>
      </c>
      <c r="J2219" t="s">
        <v>219</v>
      </c>
      <c r="K2219">
        <v>1</v>
      </c>
      <c r="L2219" s="2"/>
    </row>
    <row r="2220" spans="1:12" ht="14.5" customHeight="1" x14ac:dyDescent="0.2">
      <c r="A2220">
        <v>2016</v>
      </c>
      <c r="B2220" t="s">
        <v>258</v>
      </c>
      <c r="C2220" t="s">
        <v>479</v>
      </c>
      <c r="D2220" s="22">
        <v>2300</v>
      </c>
      <c r="E2220" s="16"/>
      <c r="G2220" t="s">
        <v>154</v>
      </c>
      <c r="H2220" t="s">
        <v>271</v>
      </c>
      <c r="I2220" t="s">
        <v>29</v>
      </c>
      <c r="J2220" t="s">
        <v>219</v>
      </c>
      <c r="K2220">
        <v>1</v>
      </c>
      <c r="L2220" s="2"/>
    </row>
    <row r="2221" spans="1:12" ht="14.5" customHeight="1" x14ac:dyDescent="0.2">
      <c r="A2221">
        <v>2016</v>
      </c>
      <c r="B2221" t="s">
        <v>258</v>
      </c>
      <c r="C2221" t="s">
        <v>479</v>
      </c>
      <c r="D2221" s="22">
        <v>830</v>
      </c>
      <c r="E2221" s="16"/>
      <c r="F2221" t="s">
        <v>2739</v>
      </c>
      <c r="G2221" t="s">
        <v>154</v>
      </c>
      <c r="H2221" t="s">
        <v>271</v>
      </c>
      <c r="I2221" t="s">
        <v>6</v>
      </c>
      <c r="J2221" t="s">
        <v>219</v>
      </c>
      <c r="K2221">
        <v>1</v>
      </c>
      <c r="L2221" s="2"/>
    </row>
    <row r="2222" spans="1:12" ht="14.5" customHeight="1" x14ac:dyDescent="0.2">
      <c r="A2222">
        <v>2016</v>
      </c>
      <c r="B2222" t="s">
        <v>258</v>
      </c>
      <c r="C2222" t="s">
        <v>175</v>
      </c>
      <c r="D2222" s="22">
        <v>230</v>
      </c>
      <c r="E2222" s="16"/>
      <c r="G2222" t="s">
        <v>151</v>
      </c>
      <c r="H2222" t="s">
        <v>279</v>
      </c>
      <c r="I2222" t="s">
        <v>105</v>
      </c>
      <c r="J2222" t="s">
        <v>214</v>
      </c>
      <c r="K2222">
        <v>1</v>
      </c>
      <c r="L2222" s="2"/>
    </row>
    <row r="2223" spans="1:12" ht="14.5" customHeight="1" x14ac:dyDescent="0.2">
      <c r="A2223">
        <v>2016</v>
      </c>
      <c r="B2223" t="s">
        <v>258</v>
      </c>
      <c r="C2223" t="s">
        <v>875</v>
      </c>
      <c r="D2223" s="22">
        <v>100</v>
      </c>
      <c r="E2223" s="16"/>
      <c r="G2223" t="s">
        <v>144</v>
      </c>
      <c r="H2223" t="s">
        <v>299</v>
      </c>
      <c r="I2223" t="s">
        <v>82</v>
      </c>
      <c r="J2223" t="s">
        <v>183</v>
      </c>
      <c r="K2223">
        <v>1</v>
      </c>
      <c r="L2223" s="2"/>
    </row>
    <row r="2224" spans="1:12" ht="14.5" customHeight="1" x14ac:dyDescent="0.2">
      <c r="A2224">
        <v>2016</v>
      </c>
      <c r="B2224" t="s">
        <v>258</v>
      </c>
      <c r="C2224" t="s">
        <v>1035</v>
      </c>
      <c r="D2224" s="22">
        <v>100</v>
      </c>
      <c r="E2224" s="16"/>
      <c r="G2224" t="s">
        <v>147</v>
      </c>
      <c r="I2224" t="s">
        <v>37</v>
      </c>
      <c r="J2224" t="s">
        <v>205</v>
      </c>
      <c r="K2224">
        <v>1</v>
      </c>
      <c r="L2224" s="2"/>
    </row>
    <row r="2225" spans="1:12" ht="14.5" customHeight="1" x14ac:dyDescent="0.2">
      <c r="A2225">
        <v>2016</v>
      </c>
      <c r="B2225" t="s">
        <v>179</v>
      </c>
      <c r="C2225" t="s">
        <v>479</v>
      </c>
      <c r="D2225" s="22">
        <v>130</v>
      </c>
      <c r="E2225" s="16"/>
      <c r="G2225" t="s">
        <v>154</v>
      </c>
      <c r="H2225" t="s">
        <v>529</v>
      </c>
      <c r="I2225" t="s">
        <v>108</v>
      </c>
      <c r="J2225" t="s">
        <v>183</v>
      </c>
      <c r="K2225">
        <v>1</v>
      </c>
      <c r="L2225" s="2"/>
    </row>
    <row r="2226" spans="1:12" ht="14.5" customHeight="1" x14ac:dyDescent="0.2">
      <c r="A2226">
        <v>2016</v>
      </c>
      <c r="B2226" t="s">
        <v>179</v>
      </c>
      <c r="C2226" t="s">
        <v>875</v>
      </c>
      <c r="D2226" s="22">
        <v>990</v>
      </c>
      <c r="E2226" s="16">
        <v>0.5</v>
      </c>
      <c r="F2226" t="s">
        <v>2740</v>
      </c>
      <c r="G2226" t="s">
        <v>144</v>
      </c>
      <c r="H2226" t="s">
        <v>273</v>
      </c>
      <c r="I2226" t="s">
        <v>13</v>
      </c>
      <c r="J2226" t="s">
        <v>201</v>
      </c>
      <c r="K2226">
        <v>1</v>
      </c>
      <c r="L2226" s="2"/>
    </row>
    <row r="2227" spans="1:12" ht="14.5" customHeight="1" x14ac:dyDescent="0.2">
      <c r="A2227">
        <v>2016</v>
      </c>
      <c r="B2227" t="s">
        <v>179</v>
      </c>
      <c r="C2227" t="s">
        <v>444</v>
      </c>
      <c r="D2227" s="22">
        <v>100</v>
      </c>
      <c r="E2227" s="16"/>
      <c r="G2227" t="s">
        <v>144</v>
      </c>
      <c r="I2227" t="s">
        <v>23</v>
      </c>
      <c r="J2227" t="s">
        <v>183</v>
      </c>
      <c r="K2227">
        <v>1</v>
      </c>
      <c r="L2227" s="2"/>
    </row>
    <row r="2228" spans="1:12" ht="14.5" customHeight="1" x14ac:dyDescent="0.2">
      <c r="A2228">
        <v>2016</v>
      </c>
      <c r="B2228" t="s">
        <v>179</v>
      </c>
      <c r="C2228" t="s">
        <v>444</v>
      </c>
      <c r="D2228" s="22">
        <v>2100</v>
      </c>
      <c r="E2228" s="16"/>
      <c r="F2228" t="s">
        <v>849</v>
      </c>
      <c r="G2228" t="s">
        <v>144</v>
      </c>
      <c r="I2228" t="s">
        <v>67</v>
      </c>
      <c r="J2228" t="s">
        <v>183</v>
      </c>
      <c r="K2228">
        <v>1</v>
      </c>
      <c r="L2228" s="2"/>
    </row>
    <row r="2229" spans="1:12" ht="14.5" customHeight="1" x14ac:dyDescent="0.2">
      <c r="A2229">
        <v>2016</v>
      </c>
      <c r="B2229" t="s">
        <v>179</v>
      </c>
      <c r="C2229" t="s">
        <v>2741</v>
      </c>
      <c r="D2229" s="22">
        <v>780</v>
      </c>
      <c r="E2229" s="16"/>
      <c r="G2229" t="s">
        <v>144</v>
      </c>
      <c r="I2229" t="s">
        <v>38</v>
      </c>
      <c r="J2229" t="s">
        <v>214</v>
      </c>
      <c r="K2229">
        <v>1</v>
      </c>
      <c r="L2229" s="2"/>
    </row>
    <row r="2230" spans="1:12" ht="14.5" customHeight="1" x14ac:dyDescent="0.2">
      <c r="A2230">
        <v>2016</v>
      </c>
      <c r="B2230" t="s">
        <v>179</v>
      </c>
      <c r="C2230" t="s">
        <v>397</v>
      </c>
      <c r="D2230" s="22">
        <v>300</v>
      </c>
      <c r="E2230" s="16"/>
      <c r="G2230" t="s">
        <v>151</v>
      </c>
      <c r="H2230" t="s">
        <v>279</v>
      </c>
      <c r="I2230" t="s">
        <v>53</v>
      </c>
      <c r="J2230" t="s">
        <v>183</v>
      </c>
      <c r="K2230">
        <v>1</v>
      </c>
      <c r="L2230" s="2"/>
    </row>
    <row r="2231" spans="1:12" ht="14.5" customHeight="1" x14ac:dyDescent="0.2">
      <c r="A2231">
        <v>2016</v>
      </c>
      <c r="B2231" t="s">
        <v>179</v>
      </c>
      <c r="C2231" t="s">
        <v>313</v>
      </c>
      <c r="D2231" s="22">
        <v>250</v>
      </c>
      <c r="E2231" s="16"/>
      <c r="F2231" t="s">
        <v>2742</v>
      </c>
      <c r="G2231" t="s">
        <v>143</v>
      </c>
      <c r="I2231" t="s">
        <v>40</v>
      </c>
      <c r="J2231" t="s">
        <v>219</v>
      </c>
      <c r="K2231">
        <v>1</v>
      </c>
      <c r="L2231" s="2"/>
    </row>
    <row r="2232" spans="1:12" ht="14.5" customHeight="1" x14ac:dyDescent="0.2">
      <c r="A2232">
        <v>2016</v>
      </c>
      <c r="B2232" t="s">
        <v>179</v>
      </c>
      <c r="C2232" t="s">
        <v>2743</v>
      </c>
      <c r="D2232" s="22">
        <v>120</v>
      </c>
      <c r="E2232" s="16"/>
      <c r="F2232" t="s">
        <v>2744</v>
      </c>
      <c r="G2232" t="s">
        <v>144</v>
      </c>
      <c r="I2232" t="s">
        <v>67</v>
      </c>
      <c r="J2232" t="s">
        <v>183</v>
      </c>
      <c r="K2232">
        <v>1</v>
      </c>
      <c r="L2232" s="2"/>
    </row>
    <row r="2233" spans="1:12" ht="14.5" customHeight="1" x14ac:dyDescent="0.2">
      <c r="A2233" s="17">
        <v>2016</v>
      </c>
      <c r="B2233" s="17" t="s">
        <v>179</v>
      </c>
      <c r="C2233" s="17" t="s">
        <v>444</v>
      </c>
      <c r="D2233" s="24">
        <v>180</v>
      </c>
      <c r="E2233" s="18"/>
      <c r="F2233" s="17" t="s">
        <v>2745</v>
      </c>
      <c r="G2233" s="17" t="s">
        <v>154</v>
      </c>
      <c r="H2233" s="17" t="s">
        <v>194</v>
      </c>
      <c r="I2233" s="17" t="s">
        <v>105</v>
      </c>
      <c r="J2233" s="17" t="s">
        <v>214</v>
      </c>
      <c r="K2233" s="17">
        <v>1</v>
      </c>
      <c r="L2233" s="2"/>
    </row>
    <row r="2234" spans="1:12" ht="14.5" customHeight="1" x14ac:dyDescent="0.2">
      <c r="A2234">
        <v>2016</v>
      </c>
      <c r="B2234" t="s">
        <v>179</v>
      </c>
      <c r="C2234" t="s">
        <v>875</v>
      </c>
      <c r="D2234" s="22">
        <v>660</v>
      </c>
      <c r="E2234" s="16"/>
      <c r="G2234" t="s">
        <v>155</v>
      </c>
      <c r="I2234" t="s">
        <v>100</v>
      </c>
      <c r="J2234" t="s">
        <v>214</v>
      </c>
      <c r="K2234">
        <v>1</v>
      </c>
      <c r="L2234" s="2"/>
    </row>
    <row r="2235" spans="1:12" ht="14.5" customHeight="1" x14ac:dyDescent="0.2">
      <c r="A2235">
        <v>2016</v>
      </c>
      <c r="B2235" t="s">
        <v>179</v>
      </c>
      <c r="C2235" t="s">
        <v>2746</v>
      </c>
      <c r="D2235" s="22">
        <v>100</v>
      </c>
      <c r="E2235" s="16"/>
      <c r="F2235" t="s">
        <v>2600</v>
      </c>
      <c r="G2235" t="s">
        <v>142</v>
      </c>
      <c r="I2235" t="s">
        <v>40</v>
      </c>
      <c r="J2235" t="s">
        <v>219</v>
      </c>
      <c r="K2235">
        <v>1</v>
      </c>
      <c r="L2235" s="2"/>
    </row>
    <row r="2236" spans="1:12" ht="14.5" customHeight="1" x14ac:dyDescent="0.2">
      <c r="A2236">
        <v>2016</v>
      </c>
      <c r="B2236" t="s">
        <v>179</v>
      </c>
      <c r="C2236" t="s">
        <v>479</v>
      </c>
      <c r="D2236" s="22">
        <v>280</v>
      </c>
      <c r="E2236" s="16"/>
      <c r="G2236" t="s">
        <v>154</v>
      </c>
      <c r="H2236" t="s">
        <v>529</v>
      </c>
      <c r="I2236" t="s">
        <v>124</v>
      </c>
      <c r="J2236" t="s">
        <v>183</v>
      </c>
      <c r="K2236">
        <v>1</v>
      </c>
      <c r="L2236" s="2"/>
    </row>
    <row r="2237" spans="1:12" ht="14.5" customHeight="1" x14ac:dyDescent="0.2">
      <c r="A2237">
        <v>2016</v>
      </c>
      <c r="B2237" t="s">
        <v>184</v>
      </c>
      <c r="C2237" t="s">
        <v>2547</v>
      </c>
      <c r="D2237" s="22">
        <v>300</v>
      </c>
      <c r="E2237" s="16"/>
      <c r="G2237" t="s">
        <v>154</v>
      </c>
      <c r="H2237" t="s">
        <v>250</v>
      </c>
      <c r="I2237" t="s">
        <v>16</v>
      </c>
      <c r="J2237" t="s">
        <v>205</v>
      </c>
      <c r="K2237">
        <v>1</v>
      </c>
      <c r="L2237" s="2"/>
    </row>
    <row r="2238" spans="1:12" ht="14.5" customHeight="1" x14ac:dyDescent="0.2">
      <c r="A2238">
        <v>2016</v>
      </c>
      <c r="B2238" t="s">
        <v>184</v>
      </c>
      <c r="C2238" t="s">
        <v>175</v>
      </c>
      <c r="D2238" s="22">
        <v>140</v>
      </c>
      <c r="E2238" s="16"/>
      <c r="G2238" t="s">
        <v>154</v>
      </c>
      <c r="H2238" t="s">
        <v>529</v>
      </c>
      <c r="I2238" t="s">
        <v>108</v>
      </c>
      <c r="J2238" t="s">
        <v>183</v>
      </c>
      <c r="K2238">
        <v>1</v>
      </c>
      <c r="L2238" s="2"/>
    </row>
    <row r="2239" spans="1:12" ht="14.5" customHeight="1" x14ac:dyDescent="0.2">
      <c r="A2239">
        <v>2016</v>
      </c>
      <c r="B2239" t="s">
        <v>184</v>
      </c>
      <c r="C2239" t="s">
        <v>397</v>
      </c>
      <c r="D2239" s="22">
        <v>490</v>
      </c>
      <c r="E2239" s="16"/>
      <c r="G2239" t="s">
        <v>151</v>
      </c>
      <c r="H2239" t="s">
        <v>279</v>
      </c>
      <c r="I2239" t="s">
        <v>108</v>
      </c>
      <c r="J2239" t="s">
        <v>183</v>
      </c>
      <c r="K2239">
        <v>1</v>
      </c>
      <c r="L2239" s="2"/>
    </row>
    <row r="2240" spans="1:12" ht="14.5" customHeight="1" x14ac:dyDescent="0.2">
      <c r="A2240">
        <v>2016</v>
      </c>
      <c r="B2240" t="s">
        <v>184</v>
      </c>
      <c r="C2240" t="s">
        <v>875</v>
      </c>
      <c r="D2240" s="22">
        <v>220</v>
      </c>
      <c r="E2240" s="16"/>
      <c r="G2240" t="s">
        <v>144</v>
      </c>
      <c r="I2240" t="s">
        <v>13</v>
      </c>
      <c r="J2240" t="s">
        <v>201</v>
      </c>
      <c r="K2240">
        <v>1</v>
      </c>
      <c r="L2240" s="2"/>
    </row>
    <row r="2241" spans="1:12" ht="14.5" customHeight="1" x14ac:dyDescent="0.2">
      <c r="A2241">
        <v>2016</v>
      </c>
      <c r="B2241" t="s">
        <v>184</v>
      </c>
      <c r="C2241" t="s">
        <v>175</v>
      </c>
      <c r="D2241" s="22">
        <v>110</v>
      </c>
      <c r="E2241" s="16"/>
      <c r="G2241" t="s">
        <v>151</v>
      </c>
      <c r="H2241" t="s">
        <v>279</v>
      </c>
      <c r="I2241" t="s">
        <v>5</v>
      </c>
      <c r="J2241" t="s">
        <v>214</v>
      </c>
      <c r="K2241">
        <v>1</v>
      </c>
      <c r="L2241" s="2"/>
    </row>
    <row r="2242" spans="1:12" ht="14.5" customHeight="1" x14ac:dyDescent="0.2">
      <c r="A2242">
        <v>2016</v>
      </c>
      <c r="B2242" t="s">
        <v>184</v>
      </c>
      <c r="C2242" t="s">
        <v>175</v>
      </c>
      <c r="D2242" s="22">
        <v>100</v>
      </c>
      <c r="E2242" s="16"/>
      <c r="G2242" t="s">
        <v>153</v>
      </c>
      <c r="I2242" t="s">
        <v>131</v>
      </c>
      <c r="J2242" t="s">
        <v>131</v>
      </c>
      <c r="K2242">
        <v>0</v>
      </c>
      <c r="L2242" s="2"/>
    </row>
    <row r="2243" spans="1:12" ht="14.5" customHeight="1" x14ac:dyDescent="0.2">
      <c r="A2243">
        <v>2016</v>
      </c>
      <c r="B2243" t="s">
        <v>184</v>
      </c>
      <c r="C2243" t="s">
        <v>341</v>
      </c>
      <c r="D2243" s="22">
        <v>220</v>
      </c>
      <c r="E2243" s="16"/>
      <c r="G2243" t="s">
        <v>144</v>
      </c>
      <c r="I2243" t="s">
        <v>138</v>
      </c>
      <c r="J2243" t="s">
        <v>219</v>
      </c>
      <c r="K2243">
        <v>1</v>
      </c>
      <c r="L2243" s="2"/>
    </row>
    <row r="2244" spans="1:12" ht="14.5" customHeight="1" x14ac:dyDescent="0.2">
      <c r="A2244">
        <v>2016</v>
      </c>
      <c r="B2244" t="s">
        <v>184</v>
      </c>
      <c r="C2244" t="s">
        <v>1035</v>
      </c>
      <c r="D2244" s="22">
        <v>910</v>
      </c>
      <c r="E2244" s="16"/>
      <c r="G2244" t="s">
        <v>144</v>
      </c>
      <c r="H2244" t="s">
        <v>299</v>
      </c>
      <c r="I2244" t="s">
        <v>93</v>
      </c>
      <c r="J2244" t="s">
        <v>201</v>
      </c>
      <c r="K2244">
        <v>1</v>
      </c>
      <c r="L2244" s="2"/>
    </row>
    <row r="2245" spans="1:12" ht="14.5" customHeight="1" x14ac:dyDescent="0.2">
      <c r="A2245">
        <v>2016</v>
      </c>
      <c r="B2245" t="s">
        <v>184</v>
      </c>
      <c r="C2245" t="s">
        <v>307</v>
      </c>
      <c r="D2245" s="22">
        <v>450</v>
      </c>
      <c r="E2245" s="16"/>
      <c r="G2245" t="s">
        <v>144</v>
      </c>
      <c r="I2245" t="s">
        <v>19</v>
      </c>
      <c r="J2245" t="s">
        <v>205</v>
      </c>
      <c r="K2245">
        <v>0</v>
      </c>
      <c r="L2245" s="2"/>
    </row>
    <row r="2246" spans="1:12" ht="14.5" customHeight="1" x14ac:dyDescent="0.2">
      <c r="A2246">
        <v>2016</v>
      </c>
      <c r="B2246" t="s">
        <v>184</v>
      </c>
      <c r="C2246" t="s">
        <v>221</v>
      </c>
      <c r="D2246" s="22">
        <v>160</v>
      </c>
      <c r="E2246" s="16"/>
      <c r="G2246" t="s">
        <v>151</v>
      </c>
      <c r="H2246" t="s">
        <v>279</v>
      </c>
      <c r="I2246" t="s">
        <v>14</v>
      </c>
      <c r="J2246" t="s">
        <v>195</v>
      </c>
      <c r="K2246">
        <v>1</v>
      </c>
      <c r="L2246" s="2"/>
    </row>
    <row r="2247" spans="1:12" ht="14.5" customHeight="1" x14ac:dyDescent="0.2">
      <c r="A2247">
        <v>2016</v>
      </c>
      <c r="B2247" t="s">
        <v>184</v>
      </c>
      <c r="C2247" t="s">
        <v>557</v>
      </c>
      <c r="D2247" s="22">
        <v>280</v>
      </c>
      <c r="E2247" s="16"/>
      <c r="G2247" t="s">
        <v>151</v>
      </c>
      <c r="H2247" t="s">
        <v>279</v>
      </c>
      <c r="I2247" t="s">
        <v>89</v>
      </c>
      <c r="J2247" t="s">
        <v>219</v>
      </c>
      <c r="K2247">
        <v>1</v>
      </c>
      <c r="L2247" s="2"/>
    </row>
    <row r="2248" spans="1:12" ht="14.5" customHeight="1" x14ac:dyDescent="0.2">
      <c r="A2248">
        <v>2016</v>
      </c>
      <c r="B2248" t="s">
        <v>225</v>
      </c>
      <c r="C2248" t="s">
        <v>397</v>
      </c>
      <c r="D2248" s="22">
        <v>120</v>
      </c>
      <c r="E2248" s="16"/>
      <c r="F2248" t="s">
        <v>2747</v>
      </c>
      <c r="G2248" t="s">
        <v>151</v>
      </c>
      <c r="H2248" t="s">
        <v>279</v>
      </c>
      <c r="I2248" t="s">
        <v>130</v>
      </c>
      <c r="J2248" t="s">
        <v>214</v>
      </c>
      <c r="K2248">
        <v>1</v>
      </c>
      <c r="L2248" s="2"/>
    </row>
    <row r="2249" spans="1:12" ht="14.5" customHeight="1" x14ac:dyDescent="0.2">
      <c r="A2249">
        <v>2016</v>
      </c>
      <c r="B2249" t="s">
        <v>225</v>
      </c>
      <c r="C2249" t="s">
        <v>444</v>
      </c>
      <c r="D2249" s="22">
        <v>100</v>
      </c>
      <c r="E2249" s="16"/>
      <c r="G2249" t="s">
        <v>144</v>
      </c>
      <c r="H2249" t="s">
        <v>187</v>
      </c>
      <c r="I2249" t="s">
        <v>13</v>
      </c>
      <c r="J2249" t="s">
        <v>201</v>
      </c>
      <c r="K2249">
        <v>1</v>
      </c>
      <c r="L2249" s="2"/>
    </row>
    <row r="2250" spans="1:12" ht="14.5" customHeight="1" x14ac:dyDescent="0.2">
      <c r="A2250">
        <v>2016</v>
      </c>
      <c r="B2250" t="s">
        <v>225</v>
      </c>
      <c r="C2250" t="s">
        <v>479</v>
      </c>
      <c r="D2250" s="22">
        <v>350</v>
      </c>
      <c r="E2250" s="16"/>
      <c r="G2250" t="s">
        <v>154</v>
      </c>
      <c r="H2250" t="s">
        <v>194</v>
      </c>
      <c r="I2250" t="s">
        <v>6</v>
      </c>
      <c r="J2250" t="s">
        <v>219</v>
      </c>
      <c r="K2250">
        <v>1</v>
      </c>
      <c r="L2250" s="2"/>
    </row>
    <row r="2251" spans="1:12" ht="14.5" customHeight="1" x14ac:dyDescent="0.2">
      <c r="A2251">
        <v>2016</v>
      </c>
      <c r="B2251" t="s">
        <v>225</v>
      </c>
      <c r="C2251" t="s">
        <v>397</v>
      </c>
      <c r="D2251" s="22">
        <v>580</v>
      </c>
      <c r="E2251" s="16"/>
      <c r="G2251" t="s">
        <v>150</v>
      </c>
      <c r="H2251" t="s">
        <v>744</v>
      </c>
      <c r="I2251" t="s">
        <v>65</v>
      </c>
      <c r="J2251" t="s">
        <v>214</v>
      </c>
      <c r="K2251">
        <v>1</v>
      </c>
      <c r="L2251" s="2"/>
    </row>
    <row r="2252" spans="1:12" ht="14.5" customHeight="1" x14ac:dyDescent="0.2">
      <c r="A2252">
        <v>2016</v>
      </c>
      <c r="B2252" t="s">
        <v>225</v>
      </c>
      <c r="C2252" t="s">
        <v>444</v>
      </c>
      <c r="D2252" s="22">
        <v>190</v>
      </c>
      <c r="E2252" s="16"/>
      <c r="G2252" t="s">
        <v>144</v>
      </c>
      <c r="I2252" t="s">
        <v>64</v>
      </c>
      <c r="J2252" t="s">
        <v>219</v>
      </c>
      <c r="K2252">
        <v>1</v>
      </c>
      <c r="L2252" s="2"/>
    </row>
    <row r="2253" spans="1:12" ht="14.5" customHeight="1" x14ac:dyDescent="0.2">
      <c r="A2253">
        <v>2016</v>
      </c>
      <c r="B2253" t="s">
        <v>225</v>
      </c>
      <c r="C2253" t="s">
        <v>557</v>
      </c>
      <c r="D2253" s="22">
        <v>230</v>
      </c>
      <c r="E2253" s="16"/>
      <c r="F2253" t="s">
        <v>2748</v>
      </c>
      <c r="G2253" t="s">
        <v>151</v>
      </c>
      <c r="H2253" t="s">
        <v>279</v>
      </c>
      <c r="I2253" t="s">
        <v>5</v>
      </c>
      <c r="J2253" t="s">
        <v>214</v>
      </c>
      <c r="K2253">
        <v>1</v>
      </c>
      <c r="L2253" s="2"/>
    </row>
    <row r="2254" spans="1:12" ht="14.5" customHeight="1" x14ac:dyDescent="0.2">
      <c r="A2254">
        <v>2016</v>
      </c>
      <c r="B2254" t="s">
        <v>225</v>
      </c>
      <c r="C2254" t="s">
        <v>2574</v>
      </c>
      <c r="D2254" s="22">
        <v>120</v>
      </c>
      <c r="E2254" s="16"/>
      <c r="G2254" t="s">
        <v>143</v>
      </c>
      <c r="I2254" t="s">
        <v>105</v>
      </c>
      <c r="J2254" t="s">
        <v>214</v>
      </c>
      <c r="K2254">
        <v>1</v>
      </c>
      <c r="L2254" s="2"/>
    </row>
    <row r="2255" spans="1:12" ht="14.5" customHeight="1" x14ac:dyDescent="0.2">
      <c r="A2255">
        <v>2016</v>
      </c>
      <c r="B2255" t="s">
        <v>225</v>
      </c>
      <c r="C2255" t="s">
        <v>875</v>
      </c>
      <c r="D2255" s="22">
        <v>1960</v>
      </c>
      <c r="E2255" s="16"/>
      <c r="G2255" t="s">
        <v>155</v>
      </c>
      <c r="I2255" t="s">
        <v>54</v>
      </c>
      <c r="J2255" t="s">
        <v>201</v>
      </c>
      <c r="K2255">
        <v>1</v>
      </c>
      <c r="L2255" s="2"/>
    </row>
    <row r="2256" spans="1:12" ht="14.5" customHeight="1" x14ac:dyDescent="0.2">
      <c r="A2256">
        <v>2016</v>
      </c>
      <c r="B2256" t="s">
        <v>225</v>
      </c>
      <c r="C2256" t="s">
        <v>449</v>
      </c>
      <c r="D2256" s="22">
        <v>100</v>
      </c>
      <c r="E2256" s="16"/>
      <c r="G2256" t="s">
        <v>150</v>
      </c>
      <c r="H2256" t="s">
        <v>217</v>
      </c>
      <c r="I2256" t="s">
        <v>40</v>
      </c>
      <c r="J2256" t="s">
        <v>219</v>
      </c>
      <c r="K2256">
        <v>1</v>
      </c>
      <c r="L2256" s="2"/>
    </row>
    <row r="2257" spans="1:12" ht="14.5" customHeight="1" x14ac:dyDescent="0.2">
      <c r="A2257">
        <v>2016</v>
      </c>
      <c r="B2257" t="s">
        <v>225</v>
      </c>
      <c r="C2257" t="s">
        <v>1035</v>
      </c>
      <c r="D2257" s="22">
        <v>2300</v>
      </c>
      <c r="E2257" s="16"/>
      <c r="F2257" t="s">
        <v>2749</v>
      </c>
      <c r="G2257" t="s">
        <v>144</v>
      </c>
      <c r="H2257" t="s">
        <v>299</v>
      </c>
      <c r="I2257" t="s">
        <v>92</v>
      </c>
      <c r="J2257" t="s">
        <v>214</v>
      </c>
      <c r="K2257">
        <v>1</v>
      </c>
      <c r="L2257" s="2"/>
    </row>
    <row r="2258" spans="1:12" ht="14.5" customHeight="1" x14ac:dyDescent="0.2">
      <c r="A2258">
        <v>2016</v>
      </c>
      <c r="B2258" t="s">
        <v>225</v>
      </c>
      <c r="C2258" t="s">
        <v>479</v>
      </c>
      <c r="D2258" s="22">
        <v>320</v>
      </c>
      <c r="E2258" s="16"/>
      <c r="F2258" t="s">
        <v>2750</v>
      </c>
      <c r="G2258" t="s">
        <v>154</v>
      </c>
      <c r="H2258" t="s">
        <v>529</v>
      </c>
      <c r="I2258" t="s">
        <v>9</v>
      </c>
      <c r="J2258" t="s">
        <v>9</v>
      </c>
      <c r="K2258">
        <v>0</v>
      </c>
      <c r="L2258" s="2"/>
    </row>
    <row r="2259" spans="1:12" ht="14.5" customHeight="1" x14ac:dyDescent="0.2">
      <c r="A2259">
        <v>2016</v>
      </c>
      <c r="B2259" t="s">
        <v>225</v>
      </c>
      <c r="C2259" t="s">
        <v>1035</v>
      </c>
      <c r="D2259" s="22">
        <v>130</v>
      </c>
      <c r="E2259" s="16"/>
      <c r="G2259" t="s">
        <v>144</v>
      </c>
      <c r="H2259" t="s">
        <v>299</v>
      </c>
      <c r="I2259" t="s">
        <v>82</v>
      </c>
      <c r="J2259" t="s">
        <v>183</v>
      </c>
      <c r="K2259">
        <v>1</v>
      </c>
      <c r="L2259" s="2"/>
    </row>
    <row r="2260" spans="1:12" ht="14.5" customHeight="1" x14ac:dyDescent="0.2">
      <c r="A2260" s="17">
        <v>2016</v>
      </c>
      <c r="B2260" s="17" t="s">
        <v>225</v>
      </c>
      <c r="C2260" t="s">
        <v>479</v>
      </c>
      <c r="D2260" s="24">
        <v>200</v>
      </c>
      <c r="E2260" s="18"/>
      <c r="F2260" s="17"/>
      <c r="G2260" s="17" t="s">
        <v>154</v>
      </c>
      <c r="H2260" s="17" t="s">
        <v>250</v>
      </c>
      <c r="I2260" s="17" t="s">
        <v>132</v>
      </c>
      <c r="J2260" s="17" t="s">
        <v>219</v>
      </c>
      <c r="K2260" s="17">
        <v>1</v>
      </c>
      <c r="L2260" s="2"/>
    </row>
    <row r="2261" spans="1:12" ht="14.5" customHeight="1" x14ac:dyDescent="0.2">
      <c r="A2261">
        <v>2016</v>
      </c>
      <c r="B2261" t="s">
        <v>188</v>
      </c>
      <c r="C2261" t="s">
        <v>815</v>
      </c>
      <c r="D2261" s="22">
        <v>1190</v>
      </c>
      <c r="E2261" s="16"/>
      <c r="G2261" t="s">
        <v>151</v>
      </c>
      <c r="H2261" t="s">
        <v>279</v>
      </c>
      <c r="I2261" t="s">
        <v>38</v>
      </c>
      <c r="J2261" t="s">
        <v>214</v>
      </c>
      <c r="K2261">
        <v>1</v>
      </c>
      <c r="L2261" s="2"/>
    </row>
    <row r="2262" spans="1:12" ht="14.5" customHeight="1" x14ac:dyDescent="0.2">
      <c r="A2262">
        <v>2016</v>
      </c>
      <c r="B2262" t="s">
        <v>188</v>
      </c>
      <c r="C2262" t="s">
        <v>444</v>
      </c>
      <c r="D2262" s="22">
        <v>400</v>
      </c>
      <c r="E2262" s="16"/>
      <c r="G2262" t="s">
        <v>144</v>
      </c>
      <c r="I2262" t="s">
        <v>6</v>
      </c>
      <c r="J2262" t="s">
        <v>219</v>
      </c>
      <c r="K2262">
        <v>1</v>
      </c>
      <c r="L2262" s="2"/>
    </row>
    <row r="2263" spans="1:12" ht="14.5" customHeight="1" x14ac:dyDescent="0.2">
      <c r="A2263">
        <v>2016</v>
      </c>
      <c r="B2263" t="s">
        <v>188</v>
      </c>
      <c r="C2263" t="s">
        <v>745</v>
      </c>
      <c r="D2263" s="22">
        <v>440</v>
      </c>
      <c r="E2263" s="16"/>
      <c r="F2263" t="s">
        <v>1176</v>
      </c>
      <c r="G2263" t="s">
        <v>143</v>
      </c>
      <c r="I2263" t="s">
        <v>101</v>
      </c>
      <c r="J2263" t="s">
        <v>201</v>
      </c>
      <c r="K2263">
        <v>1</v>
      </c>
      <c r="L2263" s="2"/>
    </row>
    <row r="2264" spans="1:12" ht="14.5" customHeight="1" x14ac:dyDescent="0.2">
      <c r="A2264">
        <v>2016</v>
      </c>
      <c r="B2264" t="s">
        <v>188</v>
      </c>
      <c r="C2264" t="s">
        <v>745</v>
      </c>
      <c r="D2264" s="22">
        <v>240</v>
      </c>
      <c r="E2264" s="16"/>
      <c r="F2264" t="s">
        <v>2751</v>
      </c>
      <c r="G2264" t="s">
        <v>151</v>
      </c>
      <c r="H2264" t="s">
        <v>279</v>
      </c>
      <c r="I2264" t="s">
        <v>72</v>
      </c>
      <c r="J2264" t="s">
        <v>183</v>
      </c>
      <c r="K2264">
        <v>1</v>
      </c>
      <c r="L2264" s="2"/>
    </row>
    <row r="2265" spans="1:12" ht="14.5" customHeight="1" x14ac:dyDescent="0.2">
      <c r="A2265">
        <v>2016</v>
      </c>
      <c r="B2265" t="s">
        <v>188</v>
      </c>
      <c r="C2265" t="s">
        <v>208</v>
      </c>
      <c r="D2265" s="22">
        <v>140</v>
      </c>
      <c r="E2265" s="16"/>
      <c r="F2265" t="s">
        <v>2752</v>
      </c>
      <c r="G2265" t="s">
        <v>144</v>
      </c>
      <c r="H2265" t="s">
        <v>273</v>
      </c>
      <c r="I2265" t="s">
        <v>53</v>
      </c>
      <c r="J2265" t="s">
        <v>183</v>
      </c>
      <c r="K2265">
        <v>1</v>
      </c>
      <c r="L2265" s="2"/>
    </row>
    <row r="2266" spans="1:12" ht="14.5" customHeight="1" x14ac:dyDescent="0.2">
      <c r="A2266">
        <v>2016</v>
      </c>
      <c r="B2266" t="s">
        <v>188</v>
      </c>
      <c r="C2266" t="s">
        <v>703</v>
      </c>
      <c r="D2266" s="22">
        <v>2350</v>
      </c>
      <c r="E2266" s="16"/>
      <c r="F2266" t="s">
        <v>2753</v>
      </c>
      <c r="G2266" t="s">
        <v>144</v>
      </c>
      <c r="I2266" t="s">
        <v>130</v>
      </c>
      <c r="J2266" t="s">
        <v>214</v>
      </c>
      <c r="K2266">
        <v>1</v>
      </c>
      <c r="L2266" s="2"/>
    </row>
    <row r="2267" spans="1:12" ht="14.5" customHeight="1" x14ac:dyDescent="0.2">
      <c r="A2267">
        <v>2016</v>
      </c>
      <c r="B2267" t="s">
        <v>188</v>
      </c>
      <c r="C2267" t="s">
        <v>449</v>
      </c>
      <c r="D2267" s="22">
        <v>120</v>
      </c>
      <c r="E2267" s="16"/>
      <c r="G2267" t="s">
        <v>155</v>
      </c>
      <c r="I2267" t="s">
        <v>6</v>
      </c>
      <c r="J2267" t="s">
        <v>219</v>
      </c>
      <c r="K2267">
        <v>1</v>
      </c>
      <c r="L2267" s="2"/>
    </row>
    <row r="2268" spans="1:12" ht="14.5" customHeight="1" x14ac:dyDescent="0.2">
      <c r="A2268">
        <v>2016</v>
      </c>
      <c r="B2268" t="s">
        <v>188</v>
      </c>
      <c r="C2268" t="s">
        <v>185</v>
      </c>
      <c r="D2268" s="22">
        <v>110</v>
      </c>
      <c r="E2268" s="16"/>
      <c r="F2268" t="s">
        <v>387</v>
      </c>
      <c r="G2268" t="s">
        <v>144</v>
      </c>
      <c r="H2268" t="s">
        <v>299</v>
      </c>
      <c r="I2268" t="s">
        <v>100</v>
      </c>
      <c r="J2268" t="s">
        <v>214</v>
      </c>
      <c r="K2268">
        <v>1</v>
      </c>
      <c r="L2268" s="2"/>
    </row>
    <row r="2269" spans="1:12" ht="14.5" customHeight="1" x14ac:dyDescent="0.2">
      <c r="A2269">
        <v>2016</v>
      </c>
      <c r="B2269" t="s">
        <v>188</v>
      </c>
      <c r="C2269" t="s">
        <v>1035</v>
      </c>
      <c r="D2269" s="22">
        <v>330</v>
      </c>
      <c r="E2269" s="16"/>
      <c r="G2269" t="s">
        <v>144</v>
      </c>
      <c r="H2269" t="s">
        <v>299</v>
      </c>
      <c r="I2269" t="s">
        <v>92</v>
      </c>
      <c r="J2269" t="s">
        <v>214</v>
      </c>
      <c r="K2269">
        <v>1</v>
      </c>
      <c r="L2269" s="2"/>
    </row>
    <row r="2270" spans="1:12" ht="14.5" customHeight="1" x14ac:dyDescent="0.2">
      <c r="A2270">
        <v>2016</v>
      </c>
      <c r="B2270" t="s">
        <v>188</v>
      </c>
      <c r="C2270" t="s">
        <v>221</v>
      </c>
      <c r="D2270" s="22">
        <v>150</v>
      </c>
      <c r="E2270" s="16"/>
      <c r="F2270" t="s">
        <v>2754</v>
      </c>
      <c r="G2270" t="s">
        <v>151</v>
      </c>
      <c r="H2270" t="s">
        <v>279</v>
      </c>
      <c r="I2270" t="s">
        <v>97</v>
      </c>
      <c r="J2270" t="s">
        <v>183</v>
      </c>
      <c r="K2270">
        <v>1</v>
      </c>
      <c r="L2270" s="2"/>
    </row>
    <row r="2271" spans="1:12" ht="14.5" customHeight="1" x14ac:dyDescent="0.2">
      <c r="A2271">
        <v>2016</v>
      </c>
      <c r="B2271" t="s">
        <v>188</v>
      </c>
      <c r="C2271" t="s">
        <v>208</v>
      </c>
      <c r="D2271" s="22">
        <v>260</v>
      </c>
      <c r="E2271" s="16"/>
      <c r="F2271" t="s">
        <v>2702</v>
      </c>
      <c r="G2271" t="s">
        <v>149</v>
      </c>
      <c r="H2271" t="s">
        <v>182</v>
      </c>
      <c r="I2271" t="s">
        <v>5</v>
      </c>
      <c r="J2271" t="s">
        <v>214</v>
      </c>
      <c r="K2271">
        <v>1</v>
      </c>
      <c r="L2271" s="2"/>
    </row>
    <row r="2272" spans="1:12" ht="14.5" customHeight="1" x14ac:dyDescent="0.2">
      <c r="A2272">
        <v>2016</v>
      </c>
      <c r="B2272" t="s">
        <v>188</v>
      </c>
      <c r="C2272" t="s">
        <v>1035</v>
      </c>
      <c r="D2272" s="22">
        <v>680</v>
      </c>
      <c r="E2272" s="16"/>
      <c r="G2272" t="s">
        <v>155</v>
      </c>
      <c r="I2272" t="s">
        <v>6</v>
      </c>
      <c r="J2272" t="s">
        <v>219</v>
      </c>
      <c r="K2272">
        <v>1</v>
      </c>
      <c r="L2272" s="2"/>
    </row>
    <row r="2273" spans="1:12" ht="14.5" customHeight="1" x14ac:dyDescent="0.2">
      <c r="A2273">
        <v>2016</v>
      </c>
      <c r="B2273" t="s">
        <v>188</v>
      </c>
      <c r="C2273" t="s">
        <v>246</v>
      </c>
      <c r="D2273" s="22">
        <v>110</v>
      </c>
      <c r="E2273" s="16"/>
      <c r="G2273" t="s">
        <v>155</v>
      </c>
      <c r="I2273" t="s">
        <v>37</v>
      </c>
      <c r="J2273" t="s">
        <v>205</v>
      </c>
      <c r="K2273">
        <v>1</v>
      </c>
      <c r="L2273" s="2"/>
    </row>
    <row r="2274" spans="1:12" ht="14.5" customHeight="1" x14ac:dyDescent="0.2">
      <c r="A2274">
        <v>2016</v>
      </c>
      <c r="B2274" t="s">
        <v>188</v>
      </c>
      <c r="C2274" t="s">
        <v>474</v>
      </c>
      <c r="D2274" s="22">
        <v>170</v>
      </c>
      <c r="E2274" s="16"/>
      <c r="G2274" t="s">
        <v>153</v>
      </c>
      <c r="I2274" t="s">
        <v>2755</v>
      </c>
      <c r="J2274" t="s">
        <v>177</v>
      </c>
      <c r="K2274">
        <v>1</v>
      </c>
      <c r="L2274" s="2"/>
    </row>
    <row r="2275" spans="1:12" ht="14.5" customHeight="1" x14ac:dyDescent="0.2">
      <c r="A2275">
        <v>2016</v>
      </c>
      <c r="B2275" t="s">
        <v>191</v>
      </c>
      <c r="C2275" t="s">
        <v>397</v>
      </c>
      <c r="D2275" s="22">
        <v>180</v>
      </c>
      <c r="E2275" s="16"/>
      <c r="F2275" t="s">
        <v>2756</v>
      </c>
      <c r="G2275" t="s">
        <v>155</v>
      </c>
      <c r="I2275" t="s">
        <v>95</v>
      </c>
      <c r="J2275" t="s">
        <v>183</v>
      </c>
      <c r="K2275">
        <v>1</v>
      </c>
      <c r="L2275" s="2"/>
    </row>
    <row r="2276" spans="1:12" ht="14.5" customHeight="1" x14ac:dyDescent="0.2">
      <c r="A2276">
        <v>2016</v>
      </c>
      <c r="B2276" t="s">
        <v>191</v>
      </c>
      <c r="C2276" t="s">
        <v>199</v>
      </c>
      <c r="D2276" s="22">
        <v>330</v>
      </c>
      <c r="E2276" s="16"/>
      <c r="F2276" t="s">
        <v>2002</v>
      </c>
      <c r="G2276" t="s">
        <v>144</v>
      </c>
      <c r="H2276" t="s">
        <v>187</v>
      </c>
      <c r="I2276" t="s">
        <v>105</v>
      </c>
      <c r="J2276" t="s">
        <v>214</v>
      </c>
      <c r="K2276">
        <v>1</v>
      </c>
      <c r="L2276" s="78"/>
    </row>
    <row r="2277" spans="1:12" ht="14.5" customHeight="1" x14ac:dyDescent="0.2">
      <c r="A2277">
        <v>2016</v>
      </c>
      <c r="B2277" t="s">
        <v>191</v>
      </c>
      <c r="C2277" t="s">
        <v>449</v>
      </c>
      <c r="D2277" s="22">
        <v>250</v>
      </c>
      <c r="E2277" s="16"/>
      <c r="G2277" t="s">
        <v>150</v>
      </c>
      <c r="H2277" t="s">
        <v>292</v>
      </c>
      <c r="I2277" t="s">
        <v>40</v>
      </c>
      <c r="J2277" t="s">
        <v>219</v>
      </c>
      <c r="K2277">
        <v>1</v>
      </c>
      <c r="L2277" s="2"/>
    </row>
    <row r="2278" spans="1:12" ht="14.5" customHeight="1" x14ac:dyDescent="0.2">
      <c r="A2278">
        <v>2016</v>
      </c>
      <c r="B2278" t="s">
        <v>191</v>
      </c>
      <c r="C2278" t="s">
        <v>875</v>
      </c>
      <c r="D2278" s="22">
        <v>530</v>
      </c>
      <c r="E2278" s="16"/>
      <c r="F2278" t="s">
        <v>2757</v>
      </c>
      <c r="G2278" t="s">
        <v>144</v>
      </c>
      <c r="H2278" t="s">
        <v>273</v>
      </c>
      <c r="I2278" t="s">
        <v>93</v>
      </c>
      <c r="J2278" t="s">
        <v>201</v>
      </c>
      <c r="K2278">
        <v>1</v>
      </c>
      <c r="L2278" s="2"/>
    </row>
    <row r="2279" spans="1:12" ht="14.5" customHeight="1" x14ac:dyDescent="0.2">
      <c r="A2279">
        <v>2016</v>
      </c>
      <c r="B2279" t="s">
        <v>191</v>
      </c>
      <c r="C2279" t="s">
        <v>2660</v>
      </c>
      <c r="D2279" s="22">
        <v>300</v>
      </c>
      <c r="E2279" s="16"/>
      <c r="F2279" t="s">
        <v>2758</v>
      </c>
      <c r="G2279" t="s">
        <v>151</v>
      </c>
      <c r="H2279" t="s">
        <v>279</v>
      </c>
      <c r="I2279" t="s">
        <v>29</v>
      </c>
      <c r="J2279" t="s">
        <v>219</v>
      </c>
      <c r="K2279">
        <v>1</v>
      </c>
      <c r="L2279" s="2"/>
    </row>
    <row r="2280" spans="1:12" ht="14.5" customHeight="1" x14ac:dyDescent="0.2">
      <c r="A2280">
        <v>2016</v>
      </c>
      <c r="B2280" t="s">
        <v>191</v>
      </c>
      <c r="C2280" t="s">
        <v>756</v>
      </c>
      <c r="D2280" s="22">
        <v>160</v>
      </c>
      <c r="E2280" s="16"/>
      <c r="G2280" t="s">
        <v>155</v>
      </c>
      <c r="I2280" t="s">
        <v>72</v>
      </c>
      <c r="J2280" t="s">
        <v>183</v>
      </c>
      <c r="K2280">
        <v>1</v>
      </c>
      <c r="L2280" s="2"/>
    </row>
    <row r="2281" spans="1:12" ht="14.5" customHeight="1" x14ac:dyDescent="0.2">
      <c r="A2281">
        <v>2016</v>
      </c>
      <c r="B2281" t="s">
        <v>191</v>
      </c>
      <c r="C2281" t="s">
        <v>1035</v>
      </c>
      <c r="D2281" s="22">
        <v>110</v>
      </c>
      <c r="E2281" s="16"/>
      <c r="F2281" t="s">
        <v>2759</v>
      </c>
      <c r="G2281" t="s">
        <v>144</v>
      </c>
      <c r="H2281" t="s">
        <v>232</v>
      </c>
      <c r="I2281" t="s">
        <v>124</v>
      </c>
      <c r="J2281" t="s">
        <v>183</v>
      </c>
      <c r="K2281">
        <v>1</v>
      </c>
      <c r="L2281" s="2"/>
    </row>
    <row r="2282" spans="1:12" ht="14.5" customHeight="1" x14ac:dyDescent="0.2">
      <c r="A2282">
        <v>2016</v>
      </c>
      <c r="B2282" t="s">
        <v>191</v>
      </c>
      <c r="C2282" t="s">
        <v>221</v>
      </c>
      <c r="D2282" s="22">
        <v>130</v>
      </c>
      <c r="E2282" s="16"/>
      <c r="G2282" t="s">
        <v>155</v>
      </c>
      <c r="I2282" t="s">
        <v>135</v>
      </c>
      <c r="J2282" t="s">
        <v>205</v>
      </c>
      <c r="K2282">
        <v>1</v>
      </c>
      <c r="L2282" s="2"/>
    </row>
    <row r="2283" spans="1:12" ht="14.5" customHeight="1" x14ac:dyDescent="0.2">
      <c r="A2283">
        <v>2016</v>
      </c>
      <c r="B2283" t="s">
        <v>191</v>
      </c>
      <c r="C2283" t="s">
        <v>244</v>
      </c>
      <c r="D2283" s="22">
        <v>650</v>
      </c>
      <c r="E2283" s="16"/>
      <c r="F2283" t="s">
        <v>2760</v>
      </c>
      <c r="G2283" t="s">
        <v>149</v>
      </c>
      <c r="H2283" t="s">
        <v>236</v>
      </c>
      <c r="I2283" t="s">
        <v>34</v>
      </c>
      <c r="J2283" t="s">
        <v>219</v>
      </c>
      <c r="K2283">
        <v>1</v>
      </c>
      <c r="L2283" s="2"/>
    </row>
    <row r="2284" spans="1:12" ht="14.5" customHeight="1" x14ac:dyDescent="0.2">
      <c r="A2284">
        <v>2016</v>
      </c>
      <c r="B2284" t="s">
        <v>191</v>
      </c>
      <c r="C2284" t="s">
        <v>208</v>
      </c>
      <c r="D2284" s="22">
        <v>160</v>
      </c>
      <c r="E2284" s="16"/>
      <c r="F2284" t="s">
        <v>2761</v>
      </c>
      <c r="G2284" t="s">
        <v>149</v>
      </c>
      <c r="H2284" t="s">
        <v>182</v>
      </c>
      <c r="I2284" t="s">
        <v>5</v>
      </c>
      <c r="J2284" t="s">
        <v>214</v>
      </c>
      <c r="K2284">
        <v>1</v>
      </c>
      <c r="L2284" s="2"/>
    </row>
    <row r="2285" spans="1:12" ht="14.5" customHeight="1" x14ac:dyDescent="0.2">
      <c r="A2285">
        <v>2016</v>
      </c>
      <c r="B2285" t="s">
        <v>191</v>
      </c>
      <c r="C2285" t="s">
        <v>1035</v>
      </c>
      <c r="D2285" s="22">
        <v>120</v>
      </c>
      <c r="E2285" s="16"/>
      <c r="G2285" t="s">
        <v>144</v>
      </c>
      <c r="H2285" t="s">
        <v>197</v>
      </c>
      <c r="I2285" t="s">
        <v>115</v>
      </c>
      <c r="J2285" t="s">
        <v>201</v>
      </c>
      <c r="K2285">
        <v>1</v>
      </c>
      <c r="L2285" s="2"/>
    </row>
    <row r="2286" spans="1:12" ht="14.5" customHeight="1" x14ac:dyDescent="0.2">
      <c r="A2286">
        <v>2016</v>
      </c>
      <c r="B2286" t="s">
        <v>191</v>
      </c>
      <c r="C2286" t="s">
        <v>479</v>
      </c>
      <c r="D2286" s="22">
        <v>120</v>
      </c>
      <c r="E2286" s="16"/>
      <c r="G2286" t="s">
        <v>142</v>
      </c>
      <c r="I2286" t="s">
        <v>81</v>
      </c>
      <c r="J2286" t="s">
        <v>219</v>
      </c>
      <c r="K2286">
        <v>1</v>
      </c>
      <c r="L2286" s="2"/>
    </row>
    <row r="2287" spans="1:12" ht="14.5" customHeight="1" x14ac:dyDescent="0.2">
      <c r="A2287">
        <v>2016</v>
      </c>
      <c r="B2287" t="s">
        <v>191</v>
      </c>
      <c r="C2287" t="s">
        <v>444</v>
      </c>
      <c r="D2287" s="22">
        <v>120</v>
      </c>
      <c r="E2287" s="16"/>
      <c r="G2287" t="s">
        <v>155</v>
      </c>
      <c r="I2287" t="s">
        <v>6</v>
      </c>
      <c r="J2287" t="s">
        <v>219</v>
      </c>
      <c r="K2287">
        <v>1</v>
      </c>
      <c r="L2287" s="2"/>
    </row>
    <row r="2288" spans="1:12" ht="14.5" customHeight="1" x14ac:dyDescent="0.2">
      <c r="A2288">
        <v>2016</v>
      </c>
      <c r="B2288" t="s">
        <v>191</v>
      </c>
      <c r="C2288" t="s">
        <v>1035</v>
      </c>
      <c r="D2288" s="22">
        <v>230</v>
      </c>
      <c r="E2288" s="16"/>
      <c r="G2288" t="s">
        <v>144</v>
      </c>
      <c r="H2288" t="s">
        <v>299</v>
      </c>
      <c r="I2288" t="s">
        <v>105</v>
      </c>
      <c r="J2288" t="s">
        <v>214</v>
      </c>
      <c r="K2288">
        <v>1</v>
      </c>
      <c r="L2288" s="2"/>
    </row>
    <row r="2289" spans="1:12" ht="14.5" customHeight="1" x14ac:dyDescent="0.2">
      <c r="A2289">
        <v>2016</v>
      </c>
      <c r="B2289" t="s">
        <v>191</v>
      </c>
      <c r="C2289" t="s">
        <v>449</v>
      </c>
      <c r="D2289" s="22">
        <v>400</v>
      </c>
      <c r="E2289" s="16"/>
      <c r="G2289" t="s">
        <v>154</v>
      </c>
      <c r="H2289" t="s">
        <v>529</v>
      </c>
      <c r="I2289" t="s">
        <v>40</v>
      </c>
      <c r="J2289" t="s">
        <v>219</v>
      </c>
      <c r="K2289">
        <v>1</v>
      </c>
      <c r="L2289" s="2"/>
    </row>
    <row r="2290" spans="1:12" ht="14.5" customHeight="1" x14ac:dyDescent="0.2">
      <c r="A2290">
        <v>2016</v>
      </c>
      <c r="B2290" t="s">
        <v>198</v>
      </c>
      <c r="C2290" t="s">
        <v>307</v>
      </c>
      <c r="D2290" s="22">
        <v>720</v>
      </c>
      <c r="E2290" s="16"/>
      <c r="G2290" t="s">
        <v>144</v>
      </c>
      <c r="I2290" t="s">
        <v>64</v>
      </c>
      <c r="J2290" t="s">
        <v>219</v>
      </c>
      <c r="K2290">
        <v>1</v>
      </c>
      <c r="L2290" s="2"/>
    </row>
    <row r="2291" spans="1:12" ht="14.5" customHeight="1" x14ac:dyDescent="0.2">
      <c r="A2291">
        <v>2016</v>
      </c>
      <c r="B2291" t="s">
        <v>198</v>
      </c>
      <c r="C2291" t="s">
        <v>307</v>
      </c>
      <c r="D2291" s="22">
        <v>540</v>
      </c>
      <c r="E2291" s="16"/>
      <c r="G2291" t="s">
        <v>144</v>
      </c>
      <c r="I2291" t="s">
        <v>40</v>
      </c>
      <c r="J2291" t="s">
        <v>219</v>
      </c>
      <c r="K2291">
        <v>1</v>
      </c>
      <c r="L2291" s="2"/>
    </row>
    <row r="2292" spans="1:12" ht="14.5" customHeight="1" x14ac:dyDescent="0.2">
      <c r="A2292">
        <v>2016</v>
      </c>
      <c r="B2292" t="s">
        <v>198</v>
      </c>
      <c r="C2292" t="s">
        <v>341</v>
      </c>
      <c r="D2292" s="22">
        <v>370</v>
      </c>
      <c r="E2292" s="16"/>
      <c r="G2292" t="s">
        <v>154</v>
      </c>
      <c r="H2292" t="s">
        <v>529</v>
      </c>
      <c r="I2292" t="s">
        <v>72</v>
      </c>
      <c r="J2292" t="s">
        <v>183</v>
      </c>
      <c r="K2292">
        <v>1</v>
      </c>
      <c r="L2292" s="2"/>
    </row>
    <row r="2293" spans="1:12" ht="14.5" customHeight="1" x14ac:dyDescent="0.2">
      <c r="A2293">
        <v>2016</v>
      </c>
      <c r="B2293" t="s">
        <v>198</v>
      </c>
      <c r="C2293" t="s">
        <v>341</v>
      </c>
      <c r="D2293" s="22">
        <v>200</v>
      </c>
      <c r="E2293" s="16"/>
      <c r="G2293" t="s">
        <v>154</v>
      </c>
      <c r="H2293" t="s">
        <v>194</v>
      </c>
      <c r="I2293" t="s">
        <v>65</v>
      </c>
      <c r="J2293" t="s">
        <v>214</v>
      </c>
      <c r="K2293">
        <v>1</v>
      </c>
      <c r="L2293" s="2"/>
    </row>
    <row r="2294" spans="1:12" ht="14.5" customHeight="1" x14ac:dyDescent="0.2">
      <c r="A2294">
        <v>2016</v>
      </c>
      <c r="B2294" t="s">
        <v>198</v>
      </c>
      <c r="C2294" t="s">
        <v>341</v>
      </c>
      <c r="D2294" s="22">
        <v>180</v>
      </c>
      <c r="E2294" s="16"/>
      <c r="G2294" t="s">
        <v>154</v>
      </c>
      <c r="H2294" t="s">
        <v>529</v>
      </c>
      <c r="I2294" t="s">
        <v>108</v>
      </c>
      <c r="J2294" t="s">
        <v>183</v>
      </c>
      <c r="K2294">
        <v>1</v>
      </c>
      <c r="L2294" s="2"/>
    </row>
    <row r="2295" spans="1:12" ht="14.5" customHeight="1" x14ac:dyDescent="0.2">
      <c r="A2295">
        <v>2016</v>
      </c>
      <c r="B2295" t="s">
        <v>198</v>
      </c>
      <c r="C2295" t="s">
        <v>341</v>
      </c>
      <c r="D2295" s="22">
        <v>160</v>
      </c>
      <c r="E2295" s="16"/>
      <c r="G2295" t="s">
        <v>154</v>
      </c>
      <c r="H2295" t="s">
        <v>194</v>
      </c>
      <c r="I2295" t="s">
        <v>107</v>
      </c>
      <c r="J2295" t="s">
        <v>219</v>
      </c>
      <c r="K2295">
        <v>1</v>
      </c>
      <c r="L2295" s="2"/>
    </row>
    <row r="2296" spans="1:12" ht="14.5" customHeight="1" x14ac:dyDescent="0.2">
      <c r="A2296">
        <v>2016</v>
      </c>
      <c r="B2296" t="s">
        <v>198</v>
      </c>
      <c r="C2296" t="s">
        <v>341</v>
      </c>
      <c r="D2296" s="22">
        <v>130</v>
      </c>
      <c r="E2296" s="16"/>
      <c r="G2296" t="s">
        <v>151</v>
      </c>
      <c r="H2296" t="s">
        <v>279</v>
      </c>
      <c r="I2296" t="s">
        <v>95</v>
      </c>
      <c r="J2296" t="s">
        <v>183</v>
      </c>
      <c r="K2296">
        <v>1</v>
      </c>
      <c r="L2296" s="2"/>
    </row>
    <row r="2297" spans="1:12" ht="14.5" customHeight="1" x14ac:dyDescent="0.2">
      <c r="A2297">
        <v>2016</v>
      </c>
      <c r="B2297" t="s">
        <v>198</v>
      </c>
      <c r="C2297" t="s">
        <v>875</v>
      </c>
      <c r="D2297" s="22">
        <v>410</v>
      </c>
      <c r="E2297" s="16"/>
      <c r="F2297" t="s">
        <v>2762</v>
      </c>
      <c r="G2297" t="s">
        <v>144</v>
      </c>
      <c r="H2297" t="s">
        <v>299</v>
      </c>
      <c r="I2297" t="s">
        <v>59</v>
      </c>
      <c r="J2297" t="s">
        <v>219</v>
      </c>
      <c r="K2297">
        <v>1</v>
      </c>
      <c r="L2297" s="2"/>
    </row>
    <row r="2298" spans="1:12" ht="14.5" customHeight="1" x14ac:dyDescent="0.2">
      <c r="A2298">
        <v>2016</v>
      </c>
      <c r="B2298" t="s">
        <v>198</v>
      </c>
      <c r="C2298" t="s">
        <v>189</v>
      </c>
      <c r="D2298" s="22">
        <v>220</v>
      </c>
      <c r="E2298" s="16"/>
      <c r="G2298" t="s">
        <v>152</v>
      </c>
      <c r="H2298" t="s">
        <v>257</v>
      </c>
      <c r="I2298" t="s">
        <v>40</v>
      </c>
      <c r="J2298" t="s">
        <v>219</v>
      </c>
      <c r="K2298">
        <v>1</v>
      </c>
      <c r="L2298" s="2"/>
    </row>
    <row r="2299" spans="1:12" ht="14.5" customHeight="1" x14ac:dyDescent="0.2">
      <c r="A2299">
        <v>2016</v>
      </c>
      <c r="B2299" t="s">
        <v>198</v>
      </c>
      <c r="C2299" t="s">
        <v>2660</v>
      </c>
      <c r="D2299" s="22">
        <v>230</v>
      </c>
      <c r="E2299" s="16"/>
      <c r="F2299" t="s">
        <v>2763</v>
      </c>
      <c r="G2299" t="s">
        <v>149</v>
      </c>
      <c r="I2299" t="s">
        <v>53</v>
      </c>
      <c r="J2299" t="s">
        <v>183</v>
      </c>
      <c r="K2299">
        <v>1</v>
      </c>
      <c r="L2299" s="2"/>
    </row>
    <row r="2300" spans="1:12" ht="14.5" customHeight="1" x14ac:dyDescent="0.2">
      <c r="A2300">
        <v>2016</v>
      </c>
      <c r="B2300" t="s">
        <v>198</v>
      </c>
      <c r="C2300" t="s">
        <v>479</v>
      </c>
      <c r="D2300" s="22">
        <v>480</v>
      </c>
      <c r="E2300" s="16"/>
      <c r="G2300" t="s">
        <v>148</v>
      </c>
      <c r="I2300" t="s">
        <v>46</v>
      </c>
      <c r="J2300" t="s">
        <v>219</v>
      </c>
      <c r="K2300">
        <v>1</v>
      </c>
      <c r="L2300" s="2"/>
    </row>
    <row r="2301" spans="1:12" ht="14.5" customHeight="1" x14ac:dyDescent="0.2">
      <c r="A2301">
        <v>2016</v>
      </c>
      <c r="B2301" t="s">
        <v>198</v>
      </c>
      <c r="C2301" t="s">
        <v>479</v>
      </c>
      <c r="D2301" s="22">
        <v>440</v>
      </c>
      <c r="E2301" s="16"/>
      <c r="G2301" t="s">
        <v>154</v>
      </c>
      <c r="H2301" t="s">
        <v>271</v>
      </c>
      <c r="I2301" t="s">
        <v>6</v>
      </c>
      <c r="J2301" t="s">
        <v>219</v>
      </c>
      <c r="K2301">
        <v>1</v>
      </c>
      <c r="L2301" s="2"/>
    </row>
    <row r="2302" spans="1:12" ht="14.5" customHeight="1" x14ac:dyDescent="0.2">
      <c r="A2302">
        <v>2016</v>
      </c>
      <c r="B2302" t="s">
        <v>198</v>
      </c>
      <c r="C2302" t="s">
        <v>341</v>
      </c>
      <c r="D2302" s="22">
        <v>130</v>
      </c>
      <c r="E2302" s="16"/>
      <c r="G2302" t="s">
        <v>151</v>
      </c>
      <c r="H2302" t="s">
        <v>279</v>
      </c>
      <c r="I2302" t="s">
        <v>6</v>
      </c>
      <c r="J2302" t="s">
        <v>219</v>
      </c>
      <c r="K2302">
        <v>1</v>
      </c>
      <c r="L2302" s="2"/>
    </row>
    <row r="2303" spans="1:12" ht="14.5" customHeight="1" x14ac:dyDescent="0.2">
      <c r="A2303">
        <v>2016</v>
      </c>
      <c r="B2303" t="s">
        <v>198</v>
      </c>
      <c r="C2303" t="s">
        <v>221</v>
      </c>
      <c r="D2303" s="22">
        <v>190</v>
      </c>
      <c r="E2303" s="16"/>
      <c r="F2303" t="s">
        <v>2764</v>
      </c>
      <c r="G2303" t="s">
        <v>151</v>
      </c>
      <c r="H2303" t="s">
        <v>279</v>
      </c>
      <c r="I2303" t="s">
        <v>93</v>
      </c>
      <c r="J2303" t="s">
        <v>201</v>
      </c>
      <c r="K2303">
        <v>1</v>
      </c>
      <c r="L2303" s="2"/>
    </row>
    <row r="2304" spans="1:12" ht="14.5" customHeight="1" x14ac:dyDescent="0.2">
      <c r="A2304">
        <v>2016</v>
      </c>
      <c r="B2304" t="s">
        <v>202</v>
      </c>
      <c r="C2304" t="s">
        <v>479</v>
      </c>
      <c r="D2304" s="22">
        <v>230</v>
      </c>
      <c r="E2304" s="16"/>
      <c r="G2304" t="s">
        <v>147</v>
      </c>
      <c r="I2304" t="s">
        <v>9</v>
      </c>
      <c r="J2304" t="s">
        <v>9</v>
      </c>
      <c r="K2304">
        <v>0</v>
      </c>
      <c r="L2304" s="2"/>
    </row>
    <row r="2305" spans="1:12" ht="14.5" customHeight="1" x14ac:dyDescent="0.2">
      <c r="A2305">
        <v>2016</v>
      </c>
      <c r="B2305" t="s">
        <v>202</v>
      </c>
      <c r="C2305" t="s">
        <v>745</v>
      </c>
      <c r="D2305" s="22">
        <v>160</v>
      </c>
      <c r="E2305" s="16"/>
      <c r="F2305" t="s">
        <v>2765</v>
      </c>
      <c r="G2305" t="s">
        <v>144</v>
      </c>
      <c r="H2305" t="s">
        <v>299</v>
      </c>
      <c r="I2305" t="s">
        <v>44</v>
      </c>
      <c r="J2305" t="s">
        <v>201</v>
      </c>
      <c r="K2305">
        <v>1</v>
      </c>
      <c r="L2305" s="2"/>
    </row>
    <row r="2306" spans="1:12" ht="14.5" customHeight="1" x14ac:dyDescent="0.2">
      <c r="A2306">
        <v>2016</v>
      </c>
      <c r="B2306" t="s">
        <v>202</v>
      </c>
      <c r="C2306" t="s">
        <v>341</v>
      </c>
      <c r="D2306" s="22">
        <v>1580</v>
      </c>
      <c r="E2306" s="16"/>
      <c r="G2306" t="s">
        <v>154</v>
      </c>
      <c r="H2306" t="s">
        <v>529</v>
      </c>
      <c r="I2306" t="s">
        <v>67</v>
      </c>
      <c r="J2306" t="s">
        <v>183</v>
      </c>
      <c r="K2306">
        <v>1</v>
      </c>
      <c r="L2306" s="2"/>
    </row>
    <row r="2307" spans="1:12" ht="14.5" customHeight="1" x14ac:dyDescent="0.2">
      <c r="A2307">
        <v>2016</v>
      </c>
      <c r="B2307" t="s">
        <v>202</v>
      </c>
      <c r="C2307" t="s">
        <v>479</v>
      </c>
      <c r="D2307" s="22">
        <v>120</v>
      </c>
      <c r="E2307" s="16"/>
      <c r="G2307" t="s">
        <v>151</v>
      </c>
      <c r="H2307" t="s">
        <v>279</v>
      </c>
      <c r="I2307" t="s">
        <v>24</v>
      </c>
      <c r="J2307" t="s">
        <v>219</v>
      </c>
      <c r="K2307">
        <v>1</v>
      </c>
      <c r="L2307" s="2"/>
    </row>
    <row r="2308" spans="1:12" ht="14.5" customHeight="1" x14ac:dyDescent="0.2">
      <c r="A2308">
        <v>2016</v>
      </c>
      <c r="B2308" t="s">
        <v>202</v>
      </c>
      <c r="C2308" t="s">
        <v>1035</v>
      </c>
      <c r="D2308" s="22">
        <v>210</v>
      </c>
      <c r="E2308" s="16"/>
      <c r="G2308" t="s">
        <v>144</v>
      </c>
      <c r="H2308" t="s">
        <v>299</v>
      </c>
      <c r="I2308" t="s">
        <v>65</v>
      </c>
      <c r="J2308" t="s">
        <v>214</v>
      </c>
      <c r="K2308">
        <v>1</v>
      </c>
      <c r="L2308" s="2"/>
    </row>
    <row r="2309" spans="1:12" ht="14.5" customHeight="1" x14ac:dyDescent="0.2">
      <c r="A2309">
        <v>2016</v>
      </c>
      <c r="B2309" t="s">
        <v>202</v>
      </c>
      <c r="C2309" t="s">
        <v>479</v>
      </c>
      <c r="D2309" s="22">
        <v>130</v>
      </c>
      <c r="E2309" s="16">
        <v>0.51</v>
      </c>
      <c r="G2309" t="s">
        <v>154</v>
      </c>
      <c r="H2309" t="s">
        <v>529</v>
      </c>
      <c r="I2309" t="s">
        <v>72</v>
      </c>
      <c r="J2309" t="s">
        <v>183</v>
      </c>
      <c r="K2309">
        <v>1</v>
      </c>
      <c r="L2309" s="2"/>
    </row>
    <row r="2310" spans="1:12" ht="14.5" customHeight="1" x14ac:dyDescent="0.2">
      <c r="A2310">
        <v>2016</v>
      </c>
      <c r="B2310" t="s">
        <v>207</v>
      </c>
      <c r="C2310" t="s">
        <v>1581</v>
      </c>
      <c r="D2310" s="22">
        <v>210</v>
      </c>
      <c r="E2310" s="16"/>
      <c r="F2310" t="s">
        <v>2766</v>
      </c>
      <c r="G2310" t="s">
        <v>152</v>
      </c>
      <c r="H2310" t="s">
        <v>257</v>
      </c>
      <c r="I2310" t="s">
        <v>124</v>
      </c>
      <c r="J2310" t="s">
        <v>183</v>
      </c>
      <c r="K2310">
        <v>1</v>
      </c>
      <c r="L2310" s="2"/>
    </row>
    <row r="2311" spans="1:12" ht="14.5" customHeight="1" x14ac:dyDescent="0.2">
      <c r="A2311">
        <v>2016</v>
      </c>
      <c r="B2311" t="s">
        <v>207</v>
      </c>
      <c r="C2311" t="s">
        <v>530</v>
      </c>
      <c r="D2311" s="22">
        <v>170</v>
      </c>
      <c r="E2311" s="16"/>
      <c r="F2311" t="s">
        <v>2767</v>
      </c>
      <c r="G2311" t="s">
        <v>152</v>
      </c>
      <c r="H2311" t="s">
        <v>257</v>
      </c>
      <c r="I2311" t="s">
        <v>106</v>
      </c>
      <c r="J2311" t="s">
        <v>195</v>
      </c>
      <c r="K2311">
        <v>1</v>
      </c>
      <c r="L2311" s="2"/>
    </row>
    <row r="2312" spans="1:12" ht="14.5" customHeight="1" x14ac:dyDescent="0.2">
      <c r="A2312">
        <v>2016</v>
      </c>
      <c r="B2312" t="s">
        <v>207</v>
      </c>
      <c r="C2312" t="s">
        <v>479</v>
      </c>
      <c r="D2312" s="22">
        <v>770</v>
      </c>
      <c r="E2312" s="16"/>
      <c r="G2312" t="s">
        <v>154</v>
      </c>
      <c r="H2312" t="s">
        <v>271</v>
      </c>
      <c r="I2312" t="s">
        <v>48</v>
      </c>
      <c r="J2312" t="s">
        <v>219</v>
      </c>
      <c r="K2312">
        <v>1</v>
      </c>
      <c r="L2312" s="2"/>
    </row>
    <row r="2313" spans="1:12" ht="14.5" customHeight="1" x14ac:dyDescent="0.2">
      <c r="A2313">
        <v>2016</v>
      </c>
      <c r="B2313" t="s">
        <v>207</v>
      </c>
      <c r="C2313" t="s">
        <v>2768</v>
      </c>
      <c r="D2313" s="22">
        <v>830</v>
      </c>
      <c r="E2313" s="16"/>
      <c r="F2313" t="s">
        <v>2769</v>
      </c>
      <c r="G2313" t="s">
        <v>144</v>
      </c>
      <c r="I2313" t="s">
        <v>13</v>
      </c>
      <c r="J2313" t="s">
        <v>201</v>
      </c>
      <c r="K2313">
        <v>1</v>
      </c>
      <c r="L2313" s="2"/>
    </row>
    <row r="2314" spans="1:12" ht="14.5" customHeight="1" x14ac:dyDescent="0.2">
      <c r="A2314">
        <v>2016</v>
      </c>
      <c r="B2314" t="s">
        <v>207</v>
      </c>
      <c r="C2314" t="s">
        <v>444</v>
      </c>
      <c r="D2314" s="22">
        <v>1010</v>
      </c>
      <c r="E2314" s="16"/>
      <c r="F2314" t="s">
        <v>2770</v>
      </c>
      <c r="G2314" t="s">
        <v>144</v>
      </c>
      <c r="H2314" t="s">
        <v>299</v>
      </c>
      <c r="I2314" t="s">
        <v>55</v>
      </c>
      <c r="J2314" t="s">
        <v>214</v>
      </c>
      <c r="K2314">
        <v>1</v>
      </c>
      <c r="L2314" s="2"/>
    </row>
    <row r="2315" spans="1:12" ht="14.5" customHeight="1" x14ac:dyDescent="0.2">
      <c r="A2315">
        <v>2016</v>
      </c>
      <c r="B2315" t="s">
        <v>207</v>
      </c>
      <c r="C2315" t="s">
        <v>444</v>
      </c>
      <c r="D2315" s="22">
        <v>120</v>
      </c>
      <c r="E2315" s="16"/>
      <c r="G2315" t="s">
        <v>144</v>
      </c>
      <c r="I2315" t="s">
        <v>23</v>
      </c>
      <c r="J2315" t="s">
        <v>183</v>
      </c>
      <c r="K2315">
        <v>1</v>
      </c>
      <c r="L2315" s="2"/>
    </row>
    <row r="2316" spans="1:12" ht="14.5" customHeight="1" x14ac:dyDescent="0.2">
      <c r="A2316">
        <v>2016</v>
      </c>
      <c r="B2316" t="s">
        <v>207</v>
      </c>
      <c r="C2316" t="s">
        <v>189</v>
      </c>
      <c r="D2316" s="22">
        <v>190</v>
      </c>
      <c r="E2316" s="16"/>
      <c r="F2316" t="s">
        <v>2771</v>
      </c>
      <c r="G2316" t="s">
        <v>143</v>
      </c>
      <c r="I2316" t="s">
        <v>72</v>
      </c>
      <c r="J2316" t="s">
        <v>183</v>
      </c>
      <c r="K2316">
        <v>1</v>
      </c>
      <c r="L2316" s="2"/>
    </row>
    <row r="2317" spans="1:12" ht="14.5" customHeight="1" x14ac:dyDescent="0.2">
      <c r="A2317">
        <v>2016</v>
      </c>
      <c r="B2317" t="s">
        <v>207</v>
      </c>
      <c r="C2317" t="s">
        <v>2772</v>
      </c>
      <c r="D2317" s="22">
        <v>1070</v>
      </c>
      <c r="E2317" s="16"/>
      <c r="G2317" t="s">
        <v>144</v>
      </c>
      <c r="I2317" t="s">
        <v>13</v>
      </c>
      <c r="J2317" t="s">
        <v>201</v>
      </c>
      <c r="K2317">
        <v>1</v>
      </c>
      <c r="L2317" s="2"/>
    </row>
    <row r="2318" spans="1:12" ht="14.5" customHeight="1" x14ac:dyDescent="0.2">
      <c r="A2318">
        <v>2016</v>
      </c>
      <c r="B2318" t="s">
        <v>207</v>
      </c>
      <c r="C2318" t="s">
        <v>444</v>
      </c>
      <c r="D2318" s="22">
        <v>480</v>
      </c>
      <c r="E2318" s="16"/>
      <c r="G2318" t="s">
        <v>142</v>
      </c>
      <c r="I2318" t="s">
        <v>115</v>
      </c>
      <c r="J2318" t="s">
        <v>201</v>
      </c>
      <c r="K2318">
        <v>1</v>
      </c>
      <c r="L2318" s="2"/>
    </row>
    <row r="2319" spans="1:12" ht="14.5" customHeight="1" x14ac:dyDescent="0.2">
      <c r="A2319">
        <v>2016</v>
      </c>
      <c r="B2319" t="s">
        <v>207</v>
      </c>
      <c r="C2319" t="s">
        <v>483</v>
      </c>
      <c r="D2319" s="22">
        <v>100</v>
      </c>
      <c r="E2319" s="16"/>
      <c r="G2319" t="s">
        <v>155</v>
      </c>
      <c r="I2319" t="s">
        <v>67</v>
      </c>
      <c r="J2319" t="s">
        <v>183</v>
      </c>
      <c r="K2319">
        <v>1</v>
      </c>
      <c r="L2319" s="2"/>
    </row>
    <row r="2320" spans="1:12" ht="14.5" customHeight="1" x14ac:dyDescent="0.2">
      <c r="A2320">
        <v>2016</v>
      </c>
      <c r="B2320" t="s">
        <v>207</v>
      </c>
      <c r="C2320" t="s">
        <v>2538</v>
      </c>
      <c r="D2320" s="22">
        <v>130</v>
      </c>
      <c r="E2320" s="16"/>
      <c r="G2320" t="s">
        <v>144</v>
      </c>
      <c r="H2320" t="s">
        <v>232</v>
      </c>
      <c r="I2320" t="s">
        <v>64</v>
      </c>
      <c r="J2320" t="s">
        <v>219</v>
      </c>
      <c r="K2320">
        <v>1</v>
      </c>
      <c r="L2320" s="2"/>
    </row>
    <row r="2321" spans="1:12" ht="14.5" customHeight="1" x14ac:dyDescent="0.2">
      <c r="A2321">
        <v>2016</v>
      </c>
      <c r="B2321" t="s">
        <v>207</v>
      </c>
      <c r="C2321" t="s">
        <v>474</v>
      </c>
      <c r="D2321" s="22">
        <v>130</v>
      </c>
      <c r="E2321" s="16"/>
      <c r="G2321" t="s">
        <v>153</v>
      </c>
      <c r="I2321" t="s">
        <v>2773</v>
      </c>
      <c r="J2321" t="s">
        <v>219</v>
      </c>
      <c r="K2321">
        <v>1</v>
      </c>
      <c r="L2321" s="2"/>
    </row>
    <row r="2322" spans="1:12" ht="14.5" customHeight="1" x14ac:dyDescent="0.2">
      <c r="A2322">
        <v>2016</v>
      </c>
      <c r="B2322" t="s">
        <v>207</v>
      </c>
      <c r="C2322" t="s">
        <v>444</v>
      </c>
      <c r="D2322" s="22">
        <v>240</v>
      </c>
      <c r="E2322" s="16"/>
      <c r="F2322" t="s">
        <v>2774</v>
      </c>
      <c r="G2322" t="s">
        <v>151</v>
      </c>
      <c r="H2322" t="s">
        <v>279</v>
      </c>
      <c r="I2322" t="s">
        <v>55</v>
      </c>
      <c r="J2322" t="s">
        <v>214</v>
      </c>
      <c r="K2322">
        <v>1</v>
      </c>
      <c r="L2322" s="2"/>
    </row>
    <row r="2323" spans="1:12" ht="14.5" customHeight="1" x14ac:dyDescent="0.2">
      <c r="A2323">
        <v>2016</v>
      </c>
      <c r="B2323" t="s">
        <v>207</v>
      </c>
      <c r="C2323" t="s">
        <v>444</v>
      </c>
      <c r="D2323" s="22">
        <v>410</v>
      </c>
      <c r="E2323" s="16"/>
      <c r="G2323" t="s">
        <v>144</v>
      </c>
      <c r="H2323" t="s">
        <v>299</v>
      </c>
      <c r="I2323" t="s">
        <v>89</v>
      </c>
      <c r="J2323" t="s">
        <v>219</v>
      </c>
      <c r="K2323">
        <v>1</v>
      </c>
      <c r="L2323" s="2"/>
    </row>
    <row r="2324" spans="1:12" ht="14.5" customHeight="1" x14ac:dyDescent="0.2">
      <c r="A2324">
        <v>2016</v>
      </c>
      <c r="B2324" t="s">
        <v>207</v>
      </c>
      <c r="C2324" t="s">
        <v>479</v>
      </c>
      <c r="D2324" s="22">
        <v>120</v>
      </c>
      <c r="E2324" s="16"/>
      <c r="G2324" t="s">
        <v>154</v>
      </c>
      <c r="H2324" t="s">
        <v>194</v>
      </c>
      <c r="I2324" t="s">
        <v>82</v>
      </c>
      <c r="J2324" t="s">
        <v>183</v>
      </c>
      <c r="K2324">
        <v>1</v>
      </c>
      <c r="L2324" s="2"/>
    </row>
    <row r="2325" spans="1:12" ht="14.5" customHeight="1" x14ac:dyDescent="0.2">
      <c r="A2325">
        <v>2016</v>
      </c>
      <c r="B2325" t="s">
        <v>207</v>
      </c>
      <c r="C2325" t="s">
        <v>397</v>
      </c>
      <c r="D2325" s="22">
        <v>230</v>
      </c>
      <c r="E2325" s="16"/>
      <c r="G2325" t="s">
        <v>151</v>
      </c>
      <c r="H2325" t="s">
        <v>279</v>
      </c>
      <c r="I2325" t="s">
        <v>72</v>
      </c>
      <c r="J2325" t="s">
        <v>183</v>
      </c>
      <c r="K2325">
        <v>1</v>
      </c>
      <c r="L2325" s="2"/>
    </row>
    <row r="2326" spans="1:12" ht="14.5" customHeight="1" x14ac:dyDescent="0.2">
      <c r="A2326">
        <v>2016</v>
      </c>
      <c r="B2326" t="s">
        <v>207</v>
      </c>
      <c r="C2326" t="s">
        <v>1035</v>
      </c>
      <c r="D2326" s="22">
        <v>170</v>
      </c>
      <c r="E2326" s="16"/>
      <c r="G2326" t="s">
        <v>144</v>
      </c>
      <c r="H2326" t="s">
        <v>197</v>
      </c>
      <c r="I2326" t="s">
        <v>122</v>
      </c>
      <c r="J2326" t="s">
        <v>201</v>
      </c>
      <c r="K2326">
        <v>1</v>
      </c>
      <c r="L2326" s="2"/>
    </row>
    <row r="2327" spans="1:12" ht="14.5" customHeight="1" x14ac:dyDescent="0.2">
      <c r="A2327">
        <v>2016</v>
      </c>
      <c r="B2327" t="s">
        <v>207</v>
      </c>
      <c r="C2327" t="s">
        <v>1035</v>
      </c>
      <c r="D2327" s="22">
        <v>420</v>
      </c>
      <c r="E2327" s="16"/>
      <c r="F2327" t="s">
        <v>2775</v>
      </c>
      <c r="G2327" t="s">
        <v>144</v>
      </c>
      <c r="H2327" t="s">
        <v>197</v>
      </c>
      <c r="I2327" t="s">
        <v>57</v>
      </c>
      <c r="J2327" t="s">
        <v>195</v>
      </c>
      <c r="K2327">
        <v>1</v>
      </c>
      <c r="L2327" s="2"/>
    </row>
    <row r="2328" spans="1:12" ht="14.5" customHeight="1" x14ac:dyDescent="0.2">
      <c r="A2328">
        <v>2016</v>
      </c>
      <c r="B2328" t="s">
        <v>240</v>
      </c>
      <c r="C2328" t="s">
        <v>397</v>
      </c>
      <c r="D2328" s="22">
        <v>150</v>
      </c>
      <c r="E2328" s="16"/>
      <c r="F2328" t="s">
        <v>2776</v>
      </c>
      <c r="G2328" t="s">
        <v>153</v>
      </c>
      <c r="I2328" t="s">
        <v>130</v>
      </c>
      <c r="J2328" t="s">
        <v>214</v>
      </c>
      <c r="K2328">
        <v>1</v>
      </c>
      <c r="L2328" s="2"/>
    </row>
    <row r="2329" spans="1:12" ht="14.5" customHeight="1" x14ac:dyDescent="0.2">
      <c r="A2329">
        <v>2016</v>
      </c>
      <c r="B2329" t="s">
        <v>240</v>
      </c>
      <c r="C2329" t="s">
        <v>199</v>
      </c>
      <c r="D2329" s="22">
        <v>410</v>
      </c>
      <c r="E2329" s="16"/>
      <c r="F2329" t="s">
        <v>2300</v>
      </c>
      <c r="G2329" t="s">
        <v>144</v>
      </c>
      <c r="H2329" t="s">
        <v>187</v>
      </c>
      <c r="I2329" t="s">
        <v>5</v>
      </c>
      <c r="J2329" t="s">
        <v>214</v>
      </c>
      <c r="K2329">
        <v>1</v>
      </c>
      <c r="L2329" s="2"/>
    </row>
    <row r="2330" spans="1:12" ht="14.5" customHeight="1" x14ac:dyDescent="0.2">
      <c r="A2330">
        <v>2016</v>
      </c>
      <c r="B2330" t="s">
        <v>240</v>
      </c>
      <c r="C2330" t="s">
        <v>449</v>
      </c>
      <c r="D2330" s="22">
        <v>340</v>
      </c>
      <c r="E2330" s="16">
        <v>0.45</v>
      </c>
      <c r="F2330" t="s">
        <v>2777</v>
      </c>
      <c r="G2330" t="s">
        <v>145</v>
      </c>
      <c r="I2330" t="s">
        <v>100</v>
      </c>
      <c r="J2330" t="s">
        <v>214</v>
      </c>
      <c r="K2330">
        <v>1</v>
      </c>
      <c r="L2330" s="2"/>
    </row>
    <row r="2331" spans="1:12" ht="14.5" customHeight="1" x14ac:dyDescent="0.2">
      <c r="A2331">
        <v>2016</v>
      </c>
      <c r="B2331" t="s">
        <v>240</v>
      </c>
      <c r="C2331" t="s">
        <v>444</v>
      </c>
      <c r="D2331" s="22">
        <v>200</v>
      </c>
      <c r="E2331" s="16"/>
      <c r="G2331" t="s">
        <v>144</v>
      </c>
      <c r="H2331" t="s">
        <v>299</v>
      </c>
      <c r="I2331" t="s">
        <v>89</v>
      </c>
      <c r="J2331" t="s">
        <v>219</v>
      </c>
      <c r="K2331">
        <v>1</v>
      </c>
      <c r="L2331" s="2"/>
    </row>
    <row r="2332" spans="1:12" ht="14.5" customHeight="1" x14ac:dyDescent="0.2">
      <c r="A2332">
        <v>2016</v>
      </c>
      <c r="B2332" t="s">
        <v>240</v>
      </c>
      <c r="C2332" t="s">
        <v>175</v>
      </c>
      <c r="D2332" s="22">
        <v>310</v>
      </c>
      <c r="E2332" s="16"/>
      <c r="G2332" t="s">
        <v>154</v>
      </c>
      <c r="H2332" t="s">
        <v>194</v>
      </c>
      <c r="I2332" t="s">
        <v>65</v>
      </c>
      <c r="J2332" t="s">
        <v>214</v>
      </c>
      <c r="K2332">
        <v>1</v>
      </c>
      <c r="L2332" s="2"/>
    </row>
    <row r="2333" spans="1:12" ht="14.5" customHeight="1" x14ac:dyDescent="0.2">
      <c r="A2333">
        <v>2016</v>
      </c>
      <c r="B2333" t="s">
        <v>240</v>
      </c>
      <c r="C2333" t="s">
        <v>341</v>
      </c>
      <c r="D2333" s="22">
        <v>100</v>
      </c>
      <c r="E2333" s="16"/>
      <c r="G2333" t="s">
        <v>147</v>
      </c>
      <c r="I2333" t="s">
        <v>37</v>
      </c>
      <c r="J2333" t="s">
        <v>205</v>
      </c>
      <c r="K2333">
        <v>1</v>
      </c>
      <c r="L2333" s="2"/>
    </row>
    <row r="2334" spans="1:12" ht="14.5" customHeight="1" x14ac:dyDescent="0.2">
      <c r="A2334">
        <v>2016</v>
      </c>
      <c r="B2334" t="s">
        <v>240</v>
      </c>
      <c r="C2334" t="s">
        <v>875</v>
      </c>
      <c r="D2334" s="22">
        <v>280</v>
      </c>
      <c r="E2334" s="16"/>
      <c r="F2334" t="s">
        <v>2778</v>
      </c>
      <c r="G2334" t="s">
        <v>144</v>
      </c>
      <c r="H2334" t="s">
        <v>273</v>
      </c>
      <c r="I2334" t="s">
        <v>97</v>
      </c>
      <c r="J2334" t="s">
        <v>183</v>
      </c>
      <c r="K2334">
        <v>1</v>
      </c>
      <c r="L2334" s="2"/>
    </row>
    <row r="2335" spans="1:12" ht="14.5" customHeight="1" x14ac:dyDescent="0.2">
      <c r="A2335">
        <v>2016</v>
      </c>
      <c r="B2335" t="s">
        <v>240</v>
      </c>
      <c r="C2335" t="s">
        <v>199</v>
      </c>
      <c r="D2335" s="22">
        <v>280</v>
      </c>
      <c r="E2335" s="16"/>
      <c r="F2335" t="s">
        <v>462</v>
      </c>
      <c r="G2335" t="s">
        <v>144</v>
      </c>
      <c r="H2335" t="s">
        <v>299</v>
      </c>
      <c r="I2335" t="s">
        <v>55</v>
      </c>
      <c r="J2335" t="s">
        <v>214</v>
      </c>
      <c r="K2335">
        <v>1</v>
      </c>
      <c r="L2335" s="2"/>
    </row>
    <row r="2336" spans="1:12" ht="14.5" customHeight="1" x14ac:dyDescent="0.2">
      <c r="A2336">
        <v>2016</v>
      </c>
      <c r="B2336" t="s">
        <v>240</v>
      </c>
      <c r="C2336" t="s">
        <v>479</v>
      </c>
      <c r="D2336" s="22">
        <v>130</v>
      </c>
      <c r="E2336" s="16"/>
      <c r="G2336" t="s">
        <v>154</v>
      </c>
      <c r="H2336" t="s">
        <v>250</v>
      </c>
      <c r="I2336" t="s">
        <v>9</v>
      </c>
      <c r="J2336" t="s">
        <v>9</v>
      </c>
      <c r="K2336">
        <v>0</v>
      </c>
      <c r="L2336" s="2"/>
    </row>
    <row r="2337" spans="1:12" ht="14.5" customHeight="1" x14ac:dyDescent="0.2">
      <c r="A2337">
        <v>2016</v>
      </c>
      <c r="B2337" t="s">
        <v>240</v>
      </c>
      <c r="C2337" t="s">
        <v>479</v>
      </c>
      <c r="D2337" s="22">
        <v>440</v>
      </c>
      <c r="E2337" s="16"/>
      <c r="G2337" t="s">
        <v>154</v>
      </c>
      <c r="H2337" t="s">
        <v>529</v>
      </c>
      <c r="I2337" t="s">
        <v>9</v>
      </c>
      <c r="J2337" t="s">
        <v>9</v>
      </c>
      <c r="K2337">
        <v>0</v>
      </c>
      <c r="L2337" s="2"/>
    </row>
    <row r="2338" spans="1:12" ht="14.5" customHeight="1" x14ac:dyDescent="0.2">
      <c r="A2338">
        <v>2016</v>
      </c>
      <c r="B2338" t="s">
        <v>240</v>
      </c>
      <c r="C2338" t="s">
        <v>1177</v>
      </c>
      <c r="D2338" s="22">
        <v>440</v>
      </c>
      <c r="E2338" s="16"/>
      <c r="F2338" t="s">
        <v>2779</v>
      </c>
      <c r="G2338" t="s">
        <v>144</v>
      </c>
      <c r="H2338" t="s">
        <v>232</v>
      </c>
      <c r="I2338" t="s">
        <v>97</v>
      </c>
      <c r="J2338" t="s">
        <v>183</v>
      </c>
      <c r="K2338">
        <v>1</v>
      </c>
      <c r="L2338" s="2"/>
    </row>
    <row r="2339" spans="1:12" ht="14.5" customHeight="1" x14ac:dyDescent="0.2">
      <c r="A2339">
        <v>2016</v>
      </c>
      <c r="B2339" t="s">
        <v>240</v>
      </c>
      <c r="C2339" t="s">
        <v>745</v>
      </c>
      <c r="D2339" s="22">
        <v>890</v>
      </c>
      <c r="E2339" s="16"/>
      <c r="F2339" t="s">
        <v>2780</v>
      </c>
      <c r="G2339" t="s">
        <v>144</v>
      </c>
      <c r="I2339" t="s">
        <v>53</v>
      </c>
      <c r="J2339" t="s">
        <v>183</v>
      </c>
      <c r="K2339">
        <v>1</v>
      </c>
      <c r="L2339" s="2"/>
    </row>
    <row r="2340" spans="1:12" ht="14.5" customHeight="1" x14ac:dyDescent="0.2">
      <c r="A2340">
        <v>2016</v>
      </c>
      <c r="B2340" t="s">
        <v>240</v>
      </c>
      <c r="C2340" t="s">
        <v>199</v>
      </c>
      <c r="D2340" s="22">
        <v>110</v>
      </c>
      <c r="E2340" s="16">
        <v>0.35</v>
      </c>
      <c r="F2340" t="s">
        <v>904</v>
      </c>
      <c r="G2340" t="s">
        <v>143</v>
      </c>
      <c r="I2340" t="s">
        <v>72</v>
      </c>
      <c r="J2340" t="s">
        <v>183</v>
      </c>
      <c r="K2340">
        <v>1</v>
      </c>
      <c r="L2340" s="2"/>
    </row>
    <row r="2341" spans="1:12" ht="14.5" customHeight="1" x14ac:dyDescent="0.2">
      <c r="A2341">
        <v>2016</v>
      </c>
      <c r="B2341" t="s">
        <v>240</v>
      </c>
      <c r="C2341" t="s">
        <v>221</v>
      </c>
      <c r="D2341" s="22">
        <v>300</v>
      </c>
      <c r="E2341" s="16"/>
      <c r="F2341" t="s">
        <v>2781</v>
      </c>
      <c r="G2341" t="s">
        <v>142</v>
      </c>
      <c r="I2341" t="s">
        <v>14</v>
      </c>
      <c r="J2341" t="s">
        <v>195</v>
      </c>
      <c r="K2341">
        <v>1</v>
      </c>
      <c r="L2341" s="2"/>
    </row>
    <row r="2342" spans="1:12" ht="14.5" customHeight="1" x14ac:dyDescent="0.2">
      <c r="A2342">
        <v>2016</v>
      </c>
      <c r="B2342" t="s">
        <v>240</v>
      </c>
      <c r="C2342" t="s">
        <v>175</v>
      </c>
      <c r="D2342" s="22">
        <v>460</v>
      </c>
      <c r="E2342" s="16"/>
      <c r="F2342" t="s">
        <v>700</v>
      </c>
      <c r="G2342" t="s">
        <v>151</v>
      </c>
      <c r="H2342" t="s">
        <v>279</v>
      </c>
      <c r="I2342" t="s">
        <v>5</v>
      </c>
      <c r="J2342" t="s">
        <v>214</v>
      </c>
      <c r="K2342">
        <v>1</v>
      </c>
      <c r="L2342" s="2"/>
    </row>
    <row r="2343" spans="1:12" ht="14.5" customHeight="1" x14ac:dyDescent="0.2">
      <c r="A2343">
        <v>2016</v>
      </c>
      <c r="B2343" t="s">
        <v>240</v>
      </c>
      <c r="C2343" t="s">
        <v>208</v>
      </c>
      <c r="D2343" s="22">
        <v>180</v>
      </c>
      <c r="E2343" s="16"/>
      <c r="F2343" t="s">
        <v>2782</v>
      </c>
      <c r="G2343" t="s">
        <v>149</v>
      </c>
      <c r="I2343" t="s">
        <v>101</v>
      </c>
      <c r="J2343" t="s">
        <v>201</v>
      </c>
      <c r="K2343">
        <v>1</v>
      </c>
      <c r="L2343" s="2"/>
    </row>
    <row r="2344" spans="1:12" ht="14.5" customHeight="1" x14ac:dyDescent="0.2">
      <c r="A2344">
        <v>2016</v>
      </c>
      <c r="B2344" t="s">
        <v>240</v>
      </c>
      <c r="C2344" t="s">
        <v>208</v>
      </c>
      <c r="D2344" s="22">
        <v>110</v>
      </c>
      <c r="E2344" s="16"/>
      <c r="F2344" t="s">
        <v>2783</v>
      </c>
      <c r="G2344" t="s">
        <v>149</v>
      </c>
      <c r="I2344" t="s">
        <v>9</v>
      </c>
      <c r="J2344" t="s">
        <v>9</v>
      </c>
      <c r="K2344">
        <v>0</v>
      </c>
      <c r="L2344" s="2"/>
    </row>
    <row r="2345" spans="1:12" ht="14.5" customHeight="1" x14ac:dyDescent="0.2">
      <c r="A2345">
        <v>2016</v>
      </c>
      <c r="B2345" t="s">
        <v>240</v>
      </c>
      <c r="C2345" t="s">
        <v>557</v>
      </c>
      <c r="D2345" s="22">
        <v>210</v>
      </c>
      <c r="E2345" s="16"/>
      <c r="F2345" t="s">
        <v>2784</v>
      </c>
      <c r="G2345" t="s">
        <v>144</v>
      </c>
      <c r="H2345" t="s">
        <v>232</v>
      </c>
      <c r="I2345" t="s">
        <v>20</v>
      </c>
      <c r="J2345" t="s">
        <v>195</v>
      </c>
      <c r="K2345">
        <v>0</v>
      </c>
      <c r="L2345" s="2"/>
    </row>
    <row r="2346" spans="1:12" ht="15" customHeight="1" x14ac:dyDescent="0.2">
      <c r="A2346">
        <v>2016</v>
      </c>
      <c r="B2346" t="s">
        <v>240</v>
      </c>
      <c r="C2346" t="s">
        <v>479</v>
      </c>
      <c r="D2346" s="22">
        <v>170</v>
      </c>
      <c r="E2346" s="16"/>
      <c r="F2346" t="s">
        <v>2785</v>
      </c>
      <c r="G2346" t="s">
        <v>150</v>
      </c>
      <c r="H2346" t="s">
        <v>744</v>
      </c>
      <c r="I2346" t="s">
        <v>9</v>
      </c>
      <c r="J2346" t="s">
        <v>9</v>
      </c>
      <c r="K2346">
        <v>0</v>
      </c>
      <c r="L2346" s="2"/>
    </row>
    <row r="2347" spans="1:12" ht="14.5" customHeight="1" x14ac:dyDescent="0.2">
      <c r="A2347">
        <v>2016</v>
      </c>
      <c r="B2347" t="s">
        <v>240</v>
      </c>
      <c r="C2347" t="s">
        <v>875</v>
      </c>
      <c r="D2347" s="22">
        <v>260</v>
      </c>
      <c r="E2347" s="16"/>
      <c r="F2347" t="s">
        <v>2786</v>
      </c>
      <c r="G2347" t="s">
        <v>144</v>
      </c>
      <c r="H2347" t="s">
        <v>299</v>
      </c>
      <c r="I2347" t="s">
        <v>101</v>
      </c>
      <c r="J2347" t="s">
        <v>201</v>
      </c>
      <c r="K2347">
        <v>1</v>
      </c>
      <c r="L2347" s="2"/>
    </row>
    <row r="2348" spans="1:12" ht="14.5" customHeight="1" x14ac:dyDescent="0.2">
      <c r="A2348">
        <v>2016</v>
      </c>
      <c r="B2348" t="s">
        <v>240</v>
      </c>
      <c r="C2348" t="s">
        <v>196</v>
      </c>
      <c r="D2348" s="22">
        <v>430</v>
      </c>
      <c r="E2348" s="16"/>
      <c r="G2348" t="s">
        <v>144</v>
      </c>
      <c r="H2348" t="s">
        <v>197</v>
      </c>
      <c r="I2348" t="s">
        <v>74</v>
      </c>
      <c r="J2348" t="s">
        <v>219</v>
      </c>
      <c r="K2348">
        <v>1</v>
      </c>
      <c r="L2348" s="2"/>
    </row>
    <row r="2349" spans="1:12" ht="14.5" customHeight="1" x14ac:dyDescent="0.2">
      <c r="A2349">
        <v>2016</v>
      </c>
      <c r="B2349" t="s">
        <v>240</v>
      </c>
      <c r="C2349" t="s">
        <v>1035</v>
      </c>
      <c r="D2349" s="22">
        <v>360</v>
      </c>
      <c r="E2349" s="16"/>
      <c r="G2349" t="s">
        <v>154</v>
      </c>
      <c r="H2349" t="s">
        <v>194</v>
      </c>
      <c r="I2349" t="s">
        <v>106</v>
      </c>
      <c r="J2349" t="s">
        <v>195</v>
      </c>
      <c r="K2349">
        <v>1</v>
      </c>
      <c r="L2349" s="2"/>
    </row>
    <row r="2350" spans="1:12" ht="14.5" customHeight="1" x14ac:dyDescent="0.2">
      <c r="A2350">
        <v>2016</v>
      </c>
      <c r="B2350" t="s">
        <v>212</v>
      </c>
      <c r="C2350" t="s">
        <v>397</v>
      </c>
      <c r="D2350" s="22">
        <v>200</v>
      </c>
      <c r="E2350" s="16"/>
      <c r="F2350" t="s">
        <v>2787</v>
      </c>
      <c r="G2350" t="s">
        <v>144</v>
      </c>
      <c r="H2350" t="s">
        <v>273</v>
      </c>
      <c r="I2350" t="s">
        <v>130</v>
      </c>
      <c r="J2350" t="s">
        <v>214</v>
      </c>
      <c r="K2350">
        <v>1</v>
      </c>
      <c r="L2350" s="2"/>
    </row>
    <row r="2351" spans="1:12" ht="14.5" customHeight="1" x14ac:dyDescent="0.2">
      <c r="A2351">
        <v>2016</v>
      </c>
      <c r="B2351" t="s">
        <v>212</v>
      </c>
      <c r="C2351" t="s">
        <v>449</v>
      </c>
      <c r="D2351" s="22">
        <v>540</v>
      </c>
      <c r="E2351" s="16"/>
      <c r="F2351" t="s">
        <v>2788</v>
      </c>
      <c r="G2351" t="s">
        <v>142</v>
      </c>
      <c r="I2351" t="s">
        <v>124</v>
      </c>
      <c r="J2351" t="s">
        <v>183</v>
      </c>
      <c r="K2351">
        <v>1</v>
      </c>
      <c r="L2351" s="2"/>
    </row>
    <row r="2352" spans="1:12" ht="14.5" customHeight="1" x14ac:dyDescent="0.2">
      <c r="A2352">
        <v>2016</v>
      </c>
      <c r="B2352" t="s">
        <v>212</v>
      </c>
      <c r="C2352" t="s">
        <v>479</v>
      </c>
      <c r="D2352" s="22">
        <v>350</v>
      </c>
      <c r="E2352" s="16"/>
      <c r="G2352" t="s">
        <v>154</v>
      </c>
      <c r="H2352" t="s">
        <v>194</v>
      </c>
      <c r="I2352" t="s">
        <v>60</v>
      </c>
      <c r="J2352" t="s">
        <v>177</v>
      </c>
      <c r="K2352">
        <v>1</v>
      </c>
      <c r="L2352" s="2"/>
    </row>
    <row r="2353" spans="1:12" ht="14.5" customHeight="1" x14ac:dyDescent="0.2">
      <c r="A2353">
        <v>2016</v>
      </c>
      <c r="B2353" t="s">
        <v>212</v>
      </c>
      <c r="C2353" t="s">
        <v>703</v>
      </c>
      <c r="D2353" s="22">
        <v>1470</v>
      </c>
      <c r="E2353" s="16"/>
      <c r="F2353" t="s">
        <v>2789</v>
      </c>
      <c r="G2353" t="s">
        <v>144</v>
      </c>
      <c r="H2353" t="s">
        <v>273</v>
      </c>
      <c r="I2353" t="s">
        <v>53</v>
      </c>
      <c r="J2353" t="s">
        <v>183</v>
      </c>
      <c r="K2353">
        <v>1</v>
      </c>
      <c r="L2353" s="2"/>
    </row>
    <row r="2354" spans="1:12" ht="14.5" customHeight="1" x14ac:dyDescent="0.2">
      <c r="A2354">
        <v>2016</v>
      </c>
      <c r="B2354" t="s">
        <v>212</v>
      </c>
      <c r="C2354" t="s">
        <v>474</v>
      </c>
      <c r="D2354" s="22">
        <v>450</v>
      </c>
      <c r="E2354" s="16"/>
      <c r="G2354" t="s">
        <v>143</v>
      </c>
      <c r="I2354" t="s">
        <v>40</v>
      </c>
      <c r="J2354" t="s">
        <v>219</v>
      </c>
      <c r="K2354">
        <v>1</v>
      </c>
      <c r="L2354" s="2"/>
    </row>
    <row r="2355" spans="1:12" ht="14.5" customHeight="1" x14ac:dyDescent="0.2">
      <c r="A2355">
        <v>2016</v>
      </c>
      <c r="B2355" t="s">
        <v>212</v>
      </c>
      <c r="C2355" t="s">
        <v>2790</v>
      </c>
      <c r="D2355" s="22">
        <v>390</v>
      </c>
      <c r="E2355" s="16"/>
      <c r="G2355" t="s">
        <v>154</v>
      </c>
      <c r="H2355" t="s">
        <v>271</v>
      </c>
      <c r="I2355" t="s">
        <v>13</v>
      </c>
      <c r="J2355" t="s">
        <v>201</v>
      </c>
      <c r="K2355">
        <v>1</v>
      </c>
      <c r="L2355" s="2"/>
    </row>
    <row r="2356" spans="1:12" ht="14.5" customHeight="1" x14ac:dyDescent="0.2">
      <c r="A2356">
        <v>2016</v>
      </c>
      <c r="B2356" t="s">
        <v>212</v>
      </c>
      <c r="C2356" t="s">
        <v>444</v>
      </c>
      <c r="D2356" s="22">
        <v>150</v>
      </c>
      <c r="E2356" s="16"/>
      <c r="G2356" t="s">
        <v>144</v>
      </c>
      <c r="H2356" t="s">
        <v>232</v>
      </c>
      <c r="I2356" t="s">
        <v>19</v>
      </c>
      <c r="J2356" t="s">
        <v>205</v>
      </c>
      <c r="K2356">
        <v>0</v>
      </c>
      <c r="L2356" s="2"/>
    </row>
    <row r="2357" spans="1:12" ht="14.5" customHeight="1" x14ac:dyDescent="0.2">
      <c r="A2357">
        <v>2016</v>
      </c>
      <c r="B2357" t="s">
        <v>212</v>
      </c>
      <c r="C2357" t="s">
        <v>341</v>
      </c>
      <c r="D2357" s="22">
        <v>110</v>
      </c>
      <c r="E2357" s="16"/>
      <c r="G2357" t="s">
        <v>154</v>
      </c>
      <c r="H2357" t="s">
        <v>194</v>
      </c>
      <c r="I2357" t="s">
        <v>138</v>
      </c>
      <c r="J2357" t="s">
        <v>219</v>
      </c>
      <c r="K2357">
        <v>1</v>
      </c>
      <c r="L2357" s="2"/>
    </row>
    <row r="2358" spans="1:12" ht="14.5" customHeight="1" x14ac:dyDescent="0.2">
      <c r="A2358">
        <v>2016</v>
      </c>
      <c r="B2358" t="s">
        <v>212</v>
      </c>
      <c r="C2358" t="s">
        <v>341</v>
      </c>
      <c r="D2358" s="22">
        <v>150</v>
      </c>
      <c r="E2358" s="16"/>
      <c r="G2358" t="s">
        <v>154</v>
      </c>
      <c r="H2358" t="s">
        <v>250</v>
      </c>
      <c r="I2358" t="s">
        <v>73</v>
      </c>
      <c r="J2358" t="s">
        <v>201</v>
      </c>
      <c r="K2358">
        <v>1</v>
      </c>
      <c r="L2358" s="2"/>
    </row>
    <row r="2359" spans="1:12" ht="14.5" customHeight="1" x14ac:dyDescent="0.2">
      <c r="A2359">
        <v>2016</v>
      </c>
      <c r="B2359" t="s">
        <v>212</v>
      </c>
      <c r="C2359" t="s">
        <v>557</v>
      </c>
      <c r="D2359" s="22">
        <v>170</v>
      </c>
      <c r="E2359" s="16"/>
      <c r="F2359" t="s">
        <v>2791</v>
      </c>
      <c r="G2359" t="s">
        <v>151</v>
      </c>
      <c r="H2359" t="s">
        <v>279</v>
      </c>
      <c r="I2359" t="s">
        <v>53</v>
      </c>
      <c r="J2359" t="s">
        <v>183</v>
      </c>
      <c r="K2359">
        <v>1</v>
      </c>
      <c r="L2359" s="2"/>
    </row>
    <row r="2360" spans="1:12" ht="14.5" customHeight="1" x14ac:dyDescent="0.2">
      <c r="A2360">
        <v>2016</v>
      </c>
      <c r="B2360" t="s">
        <v>212</v>
      </c>
      <c r="C2360" t="s">
        <v>479</v>
      </c>
      <c r="D2360" s="22">
        <v>110</v>
      </c>
      <c r="E2360" s="16"/>
      <c r="G2360" t="s">
        <v>154</v>
      </c>
      <c r="H2360" t="s">
        <v>250</v>
      </c>
      <c r="I2360" t="s">
        <v>20</v>
      </c>
      <c r="J2360" t="s">
        <v>195</v>
      </c>
      <c r="K2360">
        <v>0</v>
      </c>
      <c r="L2360" s="2"/>
    </row>
    <row r="2361" spans="1:12" ht="14.5" customHeight="1" x14ac:dyDescent="0.2">
      <c r="A2361">
        <v>2016</v>
      </c>
      <c r="B2361" t="s">
        <v>212</v>
      </c>
      <c r="C2361" t="s">
        <v>543</v>
      </c>
      <c r="D2361" s="22">
        <v>1010</v>
      </c>
      <c r="E2361" s="16"/>
      <c r="G2361" t="s">
        <v>152</v>
      </c>
      <c r="H2361" t="s">
        <v>257</v>
      </c>
      <c r="I2361" t="s">
        <v>58</v>
      </c>
      <c r="J2361" t="s">
        <v>195</v>
      </c>
      <c r="K2361">
        <v>0</v>
      </c>
      <c r="L2361" s="2"/>
    </row>
    <row r="2362" spans="1:12" ht="15.75" customHeight="1" x14ac:dyDescent="0.2">
      <c r="A2362">
        <v>2016</v>
      </c>
      <c r="B2362" t="s">
        <v>212</v>
      </c>
      <c r="C2362" t="s">
        <v>1035</v>
      </c>
      <c r="D2362" s="22">
        <v>280</v>
      </c>
      <c r="E2362" s="16"/>
      <c r="F2362" t="s">
        <v>2792</v>
      </c>
      <c r="G2362" t="s">
        <v>144</v>
      </c>
      <c r="I2362" t="s">
        <v>13</v>
      </c>
      <c r="J2362" t="s">
        <v>201</v>
      </c>
      <c r="K2362">
        <v>1</v>
      </c>
      <c r="L2362" s="2"/>
    </row>
    <row r="2363" spans="1:12" ht="14.5" customHeight="1" x14ac:dyDescent="0.2">
      <c r="A2363">
        <v>2016</v>
      </c>
      <c r="B2363" t="s">
        <v>212</v>
      </c>
      <c r="C2363" t="s">
        <v>2434</v>
      </c>
      <c r="D2363" s="22">
        <v>220</v>
      </c>
      <c r="E2363" s="16"/>
      <c r="G2363" t="s">
        <v>154</v>
      </c>
      <c r="H2363" t="s">
        <v>529</v>
      </c>
      <c r="I2363" t="s">
        <v>108</v>
      </c>
      <c r="J2363" t="s">
        <v>183</v>
      </c>
      <c r="K2363">
        <v>1</v>
      </c>
      <c r="L2363" s="2"/>
    </row>
    <row r="2364" spans="1:12" ht="14.5" customHeight="1" x14ac:dyDescent="0.2">
      <c r="A2364">
        <v>2016</v>
      </c>
      <c r="B2364" t="s">
        <v>212</v>
      </c>
      <c r="C2364" t="s">
        <v>2434</v>
      </c>
      <c r="D2364" s="22">
        <v>110</v>
      </c>
      <c r="E2364" s="16"/>
      <c r="F2364" t="s">
        <v>2793</v>
      </c>
      <c r="G2364" t="s">
        <v>154</v>
      </c>
      <c r="H2364" t="s">
        <v>529</v>
      </c>
      <c r="I2364" t="s">
        <v>108</v>
      </c>
      <c r="J2364" t="s">
        <v>183</v>
      </c>
      <c r="K2364">
        <v>1</v>
      </c>
      <c r="L2364" s="2"/>
    </row>
    <row r="2365" spans="1:12" ht="14.5" customHeight="1" x14ac:dyDescent="0.2">
      <c r="A2365">
        <v>2016</v>
      </c>
      <c r="B2365" t="s">
        <v>212</v>
      </c>
      <c r="C2365" t="s">
        <v>1035</v>
      </c>
      <c r="D2365" s="22">
        <v>1080</v>
      </c>
      <c r="E2365" s="16"/>
      <c r="F2365" t="s">
        <v>2794</v>
      </c>
      <c r="G2365" t="s">
        <v>144</v>
      </c>
      <c r="H2365" t="s">
        <v>273</v>
      </c>
      <c r="I2365" t="s">
        <v>93</v>
      </c>
      <c r="J2365" t="s">
        <v>201</v>
      </c>
      <c r="K2365">
        <v>1</v>
      </c>
      <c r="L2365" s="2"/>
    </row>
    <row r="2366" spans="1:12" ht="14.5" customHeight="1" x14ac:dyDescent="0.2">
      <c r="A2366">
        <v>2016</v>
      </c>
      <c r="B2366" t="s">
        <v>212</v>
      </c>
      <c r="C2366" t="s">
        <v>2795</v>
      </c>
      <c r="D2366" s="22">
        <v>170</v>
      </c>
      <c r="E2366" s="16"/>
      <c r="G2366" t="s">
        <v>142</v>
      </c>
      <c r="I2366" t="s">
        <v>138</v>
      </c>
      <c r="J2366" t="s">
        <v>219</v>
      </c>
      <c r="K2366">
        <v>1</v>
      </c>
      <c r="L2366" s="2"/>
    </row>
    <row r="2367" spans="1:12" ht="14.5" customHeight="1" x14ac:dyDescent="0.2">
      <c r="A2367">
        <v>2016</v>
      </c>
      <c r="B2367" t="s">
        <v>212</v>
      </c>
      <c r="C2367" t="s">
        <v>449</v>
      </c>
      <c r="D2367" s="22">
        <v>190</v>
      </c>
      <c r="E2367" s="16"/>
      <c r="G2367" t="s">
        <v>154</v>
      </c>
      <c r="H2367" t="s">
        <v>250</v>
      </c>
      <c r="I2367" t="s">
        <v>6</v>
      </c>
      <c r="J2367" t="s">
        <v>219</v>
      </c>
      <c r="K2367">
        <v>1</v>
      </c>
      <c r="L2367" s="2"/>
    </row>
    <row r="2368" spans="1:12" ht="14.5" customHeight="1" x14ac:dyDescent="0.2">
      <c r="A2368">
        <v>2016</v>
      </c>
      <c r="B2368" t="s">
        <v>212</v>
      </c>
      <c r="C2368" t="s">
        <v>479</v>
      </c>
      <c r="D2368" s="22">
        <v>230</v>
      </c>
      <c r="E2368" s="16"/>
      <c r="G2368" t="s">
        <v>154</v>
      </c>
      <c r="H2368" t="s">
        <v>194</v>
      </c>
      <c r="I2368" t="s">
        <v>106</v>
      </c>
      <c r="J2368" t="s">
        <v>195</v>
      </c>
      <c r="K2368">
        <v>1</v>
      </c>
      <c r="L2368" s="2"/>
    </row>
    <row r="2369" spans="1:12" ht="14.5" customHeight="1" x14ac:dyDescent="0.2">
      <c r="A2369">
        <v>2016</v>
      </c>
      <c r="B2369" t="s">
        <v>212</v>
      </c>
      <c r="C2369" t="s">
        <v>2796</v>
      </c>
      <c r="D2369" s="22">
        <v>220</v>
      </c>
      <c r="E2369" s="16"/>
      <c r="G2369" t="s">
        <v>154</v>
      </c>
      <c r="H2369" t="s">
        <v>194</v>
      </c>
      <c r="I2369" t="s">
        <v>13</v>
      </c>
      <c r="J2369" t="s">
        <v>201</v>
      </c>
      <c r="K2369">
        <v>1</v>
      </c>
      <c r="L2369" s="2"/>
    </row>
    <row r="2370" spans="1:12" ht="14.5" customHeight="1" x14ac:dyDescent="0.2">
      <c r="A2370">
        <v>2017</v>
      </c>
      <c r="B2370" t="s">
        <v>172</v>
      </c>
      <c r="C2370" t="s">
        <v>895</v>
      </c>
      <c r="D2370" s="65">
        <v>820</v>
      </c>
      <c r="E2370" s="33"/>
      <c r="F2370" t="s">
        <v>1433</v>
      </c>
      <c r="G2370" t="s">
        <v>147</v>
      </c>
      <c r="I2370" t="s">
        <v>25</v>
      </c>
      <c r="J2370" t="s">
        <v>177</v>
      </c>
      <c r="K2370" s="17">
        <v>0</v>
      </c>
      <c r="L2370" s="28"/>
    </row>
    <row r="2371" spans="1:12" ht="14.5" customHeight="1" x14ac:dyDescent="0.2">
      <c r="A2371">
        <v>2017</v>
      </c>
      <c r="B2371" t="s">
        <v>172</v>
      </c>
      <c r="C2371" t="s">
        <v>661</v>
      </c>
      <c r="D2371" s="65">
        <v>960</v>
      </c>
      <c r="E2371" s="33"/>
      <c r="F2371" t="s">
        <v>1434</v>
      </c>
      <c r="G2371" t="s">
        <v>145</v>
      </c>
      <c r="I2371" t="s">
        <v>118</v>
      </c>
      <c r="J2371" t="s">
        <v>195</v>
      </c>
      <c r="K2371" s="17">
        <v>0</v>
      </c>
      <c r="L2371" s="28"/>
    </row>
    <row r="2372" spans="1:12" ht="14.5" customHeight="1" x14ac:dyDescent="0.2">
      <c r="A2372">
        <v>2017</v>
      </c>
      <c r="B2372" t="s">
        <v>172</v>
      </c>
      <c r="C2372" t="s">
        <v>1435</v>
      </c>
      <c r="D2372" s="65">
        <v>160</v>
      </c>
      <c r="E2372" s="33">
        <v>0.4</v>
      </c>
      <c r="F2372" t="s">
        <v>1436</v>
      </c>
      <c r="G2372" t="s">
        <v>150</v>
      </c>
      <c r="H2372" t="s">
        <v>556</v>
      </c>
      <c r="I2372" t="s">
        <v>131</v>
      </c>
      <c r="J2372" t="s">
        <v>131</v>
      </c>
      <c r="K2372" s="17">
        <v>0</v>
      </c>
      <c r="L2372" s="28"/>
    </row>
    <row r="2373" spans="1:12" ht="14.5" customHeight="1" x14ac:dyDescent="0.2">
      <c r="A2373">
        <v>2017</v>
      </c>
      <c r="B2373" t="s">
        <v>172</v>
      </c>
      <c r="C2373" t="s">
        <v>373</v>
      </c>
      <c r="D2373" s="65">
        <v>360</v>
      </c>
      <c r="E2373" s="33"/>
      <c r="F2373" t="s">
        <v>1437</v>
      </c>
      <c r="G2373" t="s">
        <v>151</v>
      </c>
      <c r="H2373" t="s">
        <v>224</v>
      </c>
      <c r="I2373" t="s">
        <v>131</v>
      </c>
      <c r="J2373" t="s">
        <v>131</v>
      </c>
      <c r="K2373" s="17">
        <v>0</v>
      </c>
      <c r="L2373" s="28"/>
    </row>
    <row r="2374" spans="1:12" ht="14.5" customHeight="1" x14ac:dyDescent="0.2">
      <c r="A2374">
        <v>2017</v>
      </c>
      <c r="B2374" t="s">
        <v>172</v>
      </c>
      <c r="C2374" t="s">
        <v>1438</v>
      </c>
      <c r="D2374" s="65">
        <v>540</v>
      </c>
      <c r="E2374" s="33">
        <v>1</v>
      </c>
      <c r="F2374" t="s">
        <v>1439</v>
      </c>
      <c r="G2374" t="s">
        <v>152</v>
      </c>
      <c r="I2374" t="s">
        <v>131</v>
      </c>
      <c r="J2374" t="s">
        <v>131</v>
      </c>
      <c r="K2374" s="17">
        <v>0</v>
      </c>
      <c r="L2374" s="28"/>
    </row>
    <row r="2375" spans="1:12" ht="14.5" customHeight="1" x14ac:dyDescent="0.2">
      <c r="A2375">
        <v>2017</v>
      </c>
      <c r="B2375" t="s">
        <v>172</v>
      </c>
      <c r="C2375" t="s">
        <v>1440</v>
      </c>
      <c r="D2375" s="65">
        <v>1050</v>
      </c>
      <c r="E2375" s="33"/>
      <c r="F2375" t="s">
        <v>1441</v>
      </c>
      <c r="G2375" t="s">
        <v>145</v>
      </c>
      <c r="I2375" t="s">
        <v>110</v>
      </c>
      <c r="J2375" t="s">
        <v>195</v>
      </c>
      <c r="K2375" s="17">
        <v>1</v>
      </c>
      <c r="L2375" s="28"/>
    </row>
    <row r="2376" spans="1:12" ht="14.5" customHeight="1" x14ac:dyDescent="0.2">
      <c r="A2376">
        <v>2017</v>
      </c>
      <c r="B2376" t="s">
        <v>172</v>
      </c>
      <c r="C2376" t="s">
        <v>479</v>
      </c>
      <c r="D2376" s="65">
        <v>100</v>
      </c>
      <c r="E2376" s="33">
        <v>0.8</v>
      </c>
      <c r="F2376" t="s">
        <v>1442</v>
      </c>
      <c r="G2376" t="s">
        <v>151</v>
      </c>
      <c r="H2376" t="s">
        <v>279</v>
      </c>
      <c r="I2376" t="s">
        <v>19</v>
      </c>
      <c r="J2376" t="s">
        <v>205</v>
      </c>
      <c r="K2376" s="17">
        <v>0</v>
      </c>
      <c r="L2376" s="28"/>
    </row>
    <row r="2377" spans="1:12" ht="14.5" customHeight="1" x14ac:dyDescent="0.2">
      <c r="A2377">
        <v>2017</v>
      </c>
      <c r="B2377" t="s">
        <v>172</v>
      </c>
      <c r="C2377" t="s">
        <v>245</v>
      </c>
      <c r="D2377" s="65">
        <v>210</v>
      </c>
      <c r="E2377" s="33"/>
      <c r="F2377" t="s">
        <v>1443</v>
      </c>
      <c r="G2377" t="s">
        <v>152</v>
      </c>
      <c r="H2377" t="s">
        <v>257</v>
      </c>
      <c r="I2377" t="s">
        <v>51</v>
      </c>
      <c r="J2377" t="s">
        <v>195</v>
      </c>
      <c r="K2377" s="17">
        <v>1</v>
      </c>
      <c r="L2377" s="28"/>
    </row>
    <row r="2378" spans="1:12" ht="14.5" customHeight="1" x14ac:dyDescent="0.2">
      <c r="A2378">
        <v>2017</v>
      </c>
      <c r="B2378" t="s">
        <v>172</v>
      </c>
      <c r="C2378" t="s">
        <v>1444</v>
      </c>
      <c r="D2378" s="65">
        <v>110</v>
      </c>
      <c r="E2378" s="33">
        <v>1</v>
      </c>
      <c r="G2378" t="s">
        <v>151</v>
      </c>
      <c r="H2378" t="s">
        <v>279</v>
      </c>
      <c r="I2378" t="s">
        <v>134</v>
      </c>
      <c r="J2378" t="s">
        <v>201</v>
      </c>
      <c r="K2378" s="17">
        <v>1</v>
      </c>
      <c r="L2378" s="28" t="s">
        <v>178</v>
      </c>
    </row>
    <row r="2379" spans="1:12" ht="14.5" customHeight="1" x14ac:dyDescent="0.2">
      <c r="A2379">
        <v>2017</v>
      </c>
      <c r="B2379" t="s">
        <v>172</v>
      </c>
      <c r="C2379" t="s">
        <v>424</v>
      </c>
      <c r="D2379" s="65">
        <v>290</v>
      </c>
      <c r="E2379" s="33">
        <v>1</v>
      </c>
      <c r="G2379" t="s">
        <v>150</v>
      </c>
      <c r="H2379" t="s">
        <v>226</v>
      </c>
      <c r="I2379" t="s">
        <v>67</v>
      </c>
      <c r="J2379" t="s">
        <v>183</v>
      </c>
      <c r="K2379" s="17">
        <v>1</v>
      </c>
      <c r="L2379" s="28" t="s">
        <v>178</v>
      </c>
    </row>
    <row r="2380" spans="1:12" ht="14.5" customHeight="1" x14ac:dyDescent="0.2">
      <c r="A2380">
        <v>2017</v>
      </c>
      <c r="B2380" t="s">
        <v>172</v>
      </c>
      <c r="C2380" t="s">
        <v>797</v>
      </c>
      <c r="D2380" s="65">
        <v>1140</v>
      </c>
      <c r="E2380" s="33">
        <v>0.24</v>
      </c>
      <c r="F2380" t="s">
        <v>1445</v>
      </c>
      <c r="G2380" t="s">
        <v>149</v>
      </c>
      <c r="H2380" t="s">
        <v>236</v>
      </c>
      <c r="I2380" t="s">
        <v>34</v>
      </c>
      <c r="J2380" t="s">
        <v>219</v>
      </c>
      <c r="K2380" s="17">
        <v>1</v>
      </c>
      <c r="L2380" s="28"/>
    </row>
    <row r="2381" spans="1:12" ht="14.5" customHeight="1" x14ac:dyDescent="0.2">
      <c r="A2381">
        <v>2017</v>
      </c>
      <c r="B2381" t="s">
        <v>172</v>
      </c>
      <c r="C2381" t="s">
        <v>185</v>
      </c>
      <c r="D2381" s="65">
        <v>1040</v>
      </c>
      <c r="E2381" s="33">
        <v>0.14000000000000001</v>
      </c>
      <c r="G2381" t="s">
        <v>144</v>
      </c>
      <c r="H2381" t="s">
        <v>299</v>
      </c>
      <c r="I2381" t="s">
        <v>53</v>
      </c>
      <c r="J2381" t="s">
        <v>183</v>
      </c>
      <c r="K2381" s="17">
        <v>1</v>
      </c>
      <c r="L2381" s="28"/>
    </row>
    <row r="2382" spans="1:12" ht="14.5" customHeight="1" x14ac:dyDescent="0.2">
      <c r="A2382">
        <v>2017</v>
      </c>
      <c r="B2382" t="s">
        <v>172</v>
      </c>
      <c r="C2382" t="s">
        <v>1057</v>
      </c>
      <c r="D2382" s="65">
        <v>100</v>
      </c>
      <c r="E2382" s="33">
        <v>1</v>
      </c>
      <c r="G2382" t="s">
        <v>144</v>
      </c>
      <c r="H2382" t="s">
        <v>232</v>
      </c>
      <c r="I2382" t="s">
        <v>136</v>
      </c>
      <c r="J2382" t="s">
        <v>183</v>
      </c>
      <c r="K2382" s="17">
        <v>1</v>
      </c>
      <c r="L2382" s="28" t="s">
        <v>178</v>
      </c>
    </row>
    <row r="2383" spans="1:12" ht="14.5" customHeight="1" x14ac:dyDescent="0.2">
      <c r="A2383">
        <v>2017</v>
      </c>
      <c r="B2383" t="s">
        <v>172</v>
      </c>
      <c r="C2383" t="s">
        <v>1446</v>
      </c>
      <c r="D2383" s="65">
        <v>140</v>
      </c>
      <c r="E2383" s="33">
        <v>0.1</v>
      </c>
      <c r="F2383" t="s">
        <v>1447</v>
      </c>
      <c r="G2383" t="s">
        <v>145</v>
      </c>
      <c r="I2383" t="s">
        <v>131</v>
      </c>
      <c r="J2383" t="s">
        <v>131</v>
      </c>
      <c r="K2383" s="17">
        <v>0</v>
      </c>
      <c r="L2383" s="28"/>
    </row>
    <row r="2384" spans="1:12" ht="14.5" customHeight="1" x14ac:dyDescent="0.2">
      <c r="A2384">
        <v>2017</v>
      </c>
      <c r="B2384" t="s">
        <v>172</v>
      </c>
      <c r="C2384" t="s">
        <v>1448</v>
      </c>
      <c r="D2384" s="65">
        <v>170</v>
      </c>
      <c r="E2384" s="33">
        <v>0.2</v>
      </c>
      <c r="F2384" t="s">
        <v>1449</v>
      </c>
      <c r="G2384" t="s">
        <v>149</v>
      </c>
      <c r="I2384" t="s">
        <v>25</v>
      </c>
      <c r="J2384" t="s">
        <v>177</v>
      </c>
      <c r="K2384" s="17">
        <v>0</v>
      </c>
      <c r="L2384" s="28"/>
    </row>
    <row r="2385" spans="1:12" ht="14.5" customHeight="1" x14ac:dyDescent="0.2">
      <c r="A2385">
        <v>2017</v>
      </c>
      <c r="B2385" t="s">
        <v>172</v>
      </c>
      <c r="C2385" t="s">
        <v>246</v>
      </c>
      <c r="D2385" s="65">
        <v>220</v>
      </c>
      <c r="E2385" s="33">
        <v>0.65</v>
      </c>
      <c r="G2385" t="s">
        <v>144</v>
      </c>
      <c r="H2385" t="s">
        <v>197</v>
      </c>
      <c r="I2385" t="s">
        <v>67</v>
      </c>
      <c r="J2385" t="s">
        <v>183</v>
      </c>
      <c r="K2385" s="17">
        <v>1</v>
      </c>
      <c r="L2385" s="28" t="s">
        <v>178</v>
      </c>
    </row>
    <row r="2386" spans="1:12" ht="14.5" customHeight="1" x14ac:dyDescent="0.2">
      <c r="A2386">
        <v>2017</v>
      </c>
      <c r="B2386" t="s">
        <v>172</v>
      </c>
      <c r="C2386" t="s">
        <v>1329</v>
      </c>
      <c r="D2386" s="65">
        <v>110</v>
      </c>
      <c r="E2386" s="33"/>
      <c r="F2386" t="s">
        <v>1450</v>
      </c>
      <c r="G2386" t="s">
        <v>149</v>
      </c>
      <c r="H2386" t="s">
        <v>236</v>
      </c>
      <c r="I2386" t="s">
        <v>45</v>
      </c>
      <c r="J2386" t="s">
        <v>195</v>
      </c>
      <c r="K2386" s="17">
        <v>0</v>
      </c>
      <c r="L2386" s="28"/>
    </row>
    <row r="2387" spans="1:12" ht="14.5" customHeight="1" x14ac:dyDescent="0.2">
      <c r="A2387">
        <v>2017</v>
      </c>
      <c r="B2387" t="s">
        <v>258</v>
      </c>
      <c r="C2387" t="s">
        <v>1353</v>
      </c>
      <c r="D2387" s="65">
        <v>170</v>
      </c>
      <c r="E2387" s="33"/>
      <c r="F2387" t="s">
        <v>1451</v>
      </c>
      <c r="G2387" t="s">
        <v>150</v>
      </c>
      <c r="H2387" t="s">
        <v>217</v>
      </c>
      <c r="I2387" t="s">
        <v>57</v>
      </c>
      <c r="J2387" t="s">
        <v>195</v>
      </c>
      <c r="K2387" s="17">
        <v>0</v>
      </c>
      <c r="L2387" s="28"/>
    </row>
    <row r="2388" spans="1:12" ht="14.5" customHeight="1" x14ac:dyDescent="0.2">
      <c r="A2388">
        <v>2017</v>
      </c>
      <c r="B2388" t="s">
        <v>258</v>
      </c>
      <c r="C2388" t="s">
        <v>1452</v>
      </c>
      <c r="D2388" s="65">
        <v>190</v>
      </c>
      <c r="E2388" s="33">
        <v>0.98</v>
      </c>
      <c r="F2388" t="s">
        <v>1453</v>
      </c>
      <c r="G2388" t="s">
        <v>152</v>
      </c>
      <c r="H2388" t="s">
        <v>257</v>
      </c>
      <c r="I2388" t="s">
        <v>113</v>
      </c>
      <c r="J2388" t="s">
        <v>183</v>
      </c>
      <c r="K2388" s="17">
        <v>0</v>
      </c>
      <c r="L2388" s="28"/>
    </row>
    <row r="2389" spans="1:12" ht="14.5" customHeight="1" x14ac:dyDescent="0.2">
      <c r="A2389">
        <v>2017</v>
      </c>
      <c r="B2389" t="s">
        <v>258</v>
      </c>
      <c r="C2389" t="s">
        <v>554</v>
      </c>
      <c r="D2389" s="65">
        <v>310</v>
      </c>
      <c r="E2389" s="33">
        <v>7.0000000000000007E-2</v>
      </c>
      <c r="F2389" t="s">
        <v>1401</v>
      </c>
      <c r="G2389" t="s">
        <v>146</v>
      </c>
      <c r="H2389" t="s">
        <v>275</v>
      </c>
      <c r="I2389" t="s">
        <v>99</v>
      </c>
      <c r="J2389" t="s">
        <v>195</v>
      </c>
      <c r="K2389" s="17">
        <v>1</v>
      </c>
      <c r="L2389" s="28"/>
    </row>
    <row r="2390" spans="1:12" ht="14.5" customHeight="1" x14ac:dyDescent="0.2">
      <c r="A2390">
        <v>2017</v>
      </c>
      <c r="B2390" t="s">
        <v>258</v>
      </c>
      <c r="C2390" t="s">
        <v>373</v>
      </c>
      <c r="D2390" s="65">
        <v>800</v>
      </c>
      <c r="E2390" s="33">
        <v>0.03</v>
      </c>
      <c r="F2390" t="s">
        <v>716</v>
      </c>
      <c r="G2390" t="s">
        <v>146</v>
      </c>
      <c r="H2390" t="s">
        <v>275</v>
      </c>
      <c r="I2390" t="s">
        <v>45</v>
      </c>
      <c r="J2390" t="s">
        <v>195</v>
      </c>
      <c r="K2390" s="17">
        <v>0</v>
      </c>
      <c r="L2390" s="28"/>
    </row>
    <row r="2391" spans="1:12" x14ac:dyDescent="0.2">
      <c r="A2391">
        <v>2017</v>
      </c>
      <c r="B2391" t="s">
        <v>258</v>
      </c>
      <c r="C2391" t="s">
        <v>818</v>
      </c>
      <c r="D2391" s="65">
        <v>1770</v>
      </c>
      <c r="E2391" s="33">
        <v>0.08</v>
      </c>
      <c r="G2391" t="s">
        <v>144</v>
      </c>
      <c r="H2391" t="s">
        <v>187</v>
      </c>
      <c r="I2391" t="s">
        <v>130</v>
      </c>
      <c r="J2391" t="s">
        <v>214</v>
      </c>
      <c r="K2391" s="17">
        <v>1</v>
      </c>
      <c r="L2391" s="28" t="s">
        <v>178</v>
      </c>
    </row>
    <row r="2392" spans="1:12" ht="14.5" customHeight="1" x14ac:dyDescent="0.2">
      <c r="A2392">
        <v>2017</v>
      </c>
      <c r="B2392" t="s">
        <v>258</v>
      </c>
      <c r="C2392" t="s">
        <v>483</v>
      </c>
      <c r="D2392" s="65">
        <v>890</v>
      </c>
      <c r="E2392" s="33">
        <v>0.04</v>
      </c>
      <c r="G2392" t="s">
        <v>144</v>
      </c>
      <c r="H2392" t="s">
        <v>187</v>
      </c>
      <c r="I2392" t="s">
        <v>130</v>
      </c>
      <c r="J2392" t="s">
        <v>214</v>
      </c>
      <c r="K2392" s="17">
        <v>1</v>
      </c>
      <c r="L2392" s="28" t="s">
        <v>178</v>
      </c>
    </row>
    <row r="2393" spans="1:12" ht="14.5" customHeight="1" x14ac:dyDescent="0.2">
      <c r="A2393">
        <v>2017</v>
      </c>
      <c r="B2393" t="s">
        <v>258</v>
      </c>
      <c r="C2393" t="s">
        <v>822</v>
      </c>
      <c r="D2393" s="65">
        <v>200</v>
      </c>
      <c r="E2393" s="33"/>
      <c r="F2393" t="s">
        <v>1454</v>
      </c>
      <c r="G2393" t="s">
        <v>146</v>
      </c>
      <c r="I2393" t="s">
        <v>113</v>
      </c>
      <c r="J2393" t="s">
        <v>183</v>
      </c>
      <c r="K2393" s="17">
        <v>0</v>
      </c>
      <c r="L2393" s="28"/>
    </row>
    <row r="2394" spans="1:12" ht="14.5" customHeight="1" x14ac:dyDescent="0.2">
      <c r="A2394">
        <v>2017</v>
      </c>
      <c r="B2394" t="s">
        <v>258</v>
      </c>
      <c r="C2394" t="s">
        <v>585</v>
      </c>
      <c r="D2394" s="65">
        <v>110</v>
      </c>
      <c r="E2394" s="33"/>
      <c r="F2394" t="s">
        <v>1455</v>
      </c>
      <c r="G2394" t="s">
        <v>154</v>
      </c>
      <c r="H2394" t="s">
        <v>194</v>
      </c>
      <c r="I2394" t="s">
        <v>77</v>
      </c>
      <c r="J2394" t="s">
        <v>177</v>
      </c>
      <c r="K2394" s="17">
        <v>0</v>
      </c>
      <c r="L2394" s="28"/>
    </row>
    <row r="2395" spans="1:12" ht="14.5" customHeight="1" x14ac:dyDescent="0.2">
      <c r="A2395">
        <v>2017</v>
      </c>
      <c r="B2395" t="s">
        <v>258</v>
      </c>
      <c r="C2395" t="s">
        <v>962</v>
      </c>
      <c r="D2395" s="65">
        <v>510</v>
      </c>
      <c r="E2395" s="33"/>
      <c r="F2395" t="s">
        <v>1456</v>
      </c>
      <c r="G2395" t="s">
        <v>151</v>
      </c>
      <c r="H2395" t="s">
        <v>224</v>
      </c>
      <c r="I2395" t="s">
        <v>25</v>
      </c>
      <c r="J2395" t="s">
        <v>177</v>
      </c>
      <c r="K2395" s="17">
        <v>0</v>
      </c>
      <c r="L2395" s="28"/>
    </row>
    <row r="2396" spans="1:12" ht="14.5" customHeight="1" x14ac:dyDescent="0.2">
      <c r="A2396">
        <v>2017</v>
      </c>
      <c r="B2396" t="s">
        <v>258</v>
      </c>
      <c r="C2396" t="s">
        <v>246</v>
      </c>
      <c r="D2396" s="65">
        <v>260</v>
      </c>
      <c r="E2396" s="33">
        <v>0.49</v>
      </c>
      <c r="F2396" t="s">
        <v>737</v>
      </c>
      <c r="G2396" t="s">
        <v>144</v>
      </c>
      <c r="H2396" t="s">
        <v>232</v>
      </c>
      <c r="I2396" t="s">
        <v>99</v>
      </c>
      <c r="J2396" t="s">
        <v>195</v>
      </c>
      <c r="K2396" s="17">
        <v>1</v>
      </c>
      <c r="L2396" s="28"/>
    </row>
    <row r="2397" spans="1:12" ht="14.5" customHeight="1" x14ac:dyDescent="0.2">
      <c r="A2397">
        <v>2017</v>
      </c>
      <c r="B2397" t="s">
        <v>258</v>
      </c>
      <c r="C2397" t="s">
        <v>1457</v>
      </c>
      <c r="D2397" s="65">
        <v>170</v>
      </c>
      <c r="E2397" s="33">
        <v>0.93</v>
      </c>
      <c r="G2397" t="s">
        <v>144</v>
      </c>
      <c r="H2397" t="s">
        <v>232</v>
      </c>
      <c r="I2397" t="s">
        <v>49</v>
      </c>
      <c r="J2397" t="s">
        <v>219</v>
      </c>
      <c r="K2397" s="17">
        <v>1</v>
      </c>
      <c r="L2397" s="28" t="s">
        <v>178</v>
      </c>
    </row>
    <row r="2398" spans="1:12" ht="14.5" customHeight="1" x14ac:dyDescent="0.2">
      <c r="A2398">
        <v>2017</v>
      </c>
      <c r="B2398" t="s">
        <v>258</v>
      </c>
      <c r="C2398" t="s">
        <v>397</v>
      </c>
      <c r="D2398" s="65">
        <v>220</v>
      </c>
      <c r="E2398" s="33"/>
      <c r="G2398" t="s">
        <v>151</v>
      </c>
      <c r="H2398" t="s">
        <v>224</v>
      </c>
      <c r="I2398" t="s">
        <v>108</v>
      </c>
      <c r="J2398" t="s">
        <v>183</v>
      </c>
      <c r="K2398" s="17">
        <v>1</v>
      </c>
      <c r="L2398" s="28" t="s">
        <v>178</v>
      </c>
    </row>
    <row r="2399" spans="1:12" ht="14.5" customHeight="1" x14ac:dyDescent="0.2">
      <c r="A2399">
        <v>2017</v>
      </c>
      <c r="B2399" t="s">
        <v>258</v>
      </c>
      <c r="C2399" t="s">
        <v>1458</v>
      </c>
      <c r="D2399" s="65">
        <v>510</v>
      </c>
      <c r="E2399" s="33">
        <v>0.39</v>
      </c>
      <c r="G2399" t="s">
        <v>151</v>
      </c>
      <c r="H2399" t="s">
        <v>224</v>
      </c>
      <c r="I2399" t="s">
        <v>64</v>
      </c>
      <c r="J2399" t="s">
        <v>219</v>
      </c>
      <c r="K2399" s="17">
        <v>1</v>
      </c>
      <c r="L2399" s="28"/>
    </row>
    <row r="2400" spans="1:12" x14ac:dyDescent="0.2">
      <c r="A2400">
        <v>2017</v>
      </c>
      <c r="B2400" t="s">
        <v>258</v>
      </c>
      <c r="C2400" t="s">
        <v>1459</v>
      </c>
      <c r="D2400" s="65">
        <v>190</v>
      </c>
      <c r="E2400" s="33">
        <v>0.98</v>
      </c>
      <c r="F2400" t="s">
        <v>1460</v>
      </c>
      <c r="G2400" t="s">
        <v>152</v>
      </c>
      <c r="H2400" t="s">
        <v>257</v>
      </c>
      <c r="I2400" t="s">
        <v>61</v>
      </c>
      <c r="J2400" t="s">
        <v>183</v>
      </c>
      <c r="K2400" s="17">
        <v>0</v>
      </c>
      <c r="L2400" s="28"/>
    </row>
    <row r="2401" spans="1:12" ht="14.5" customHeight="1" x14ac:dyDescent="0.2">
      <c r="A2401">
        <v>2017</v>
      </c>
      <c r="B2401" t="s">
        <v>258</v>
      </c>
      <c r="C2401" s="52" t="s">
        <v>255</v>
      </c>
      <c r="D2401" s="65">
        <v>200</v>
      </c>
      <c r="E2401" s="33"/>
      <c r="G2401" t="s">
        <v>152</v>
      </c>
      <c r="H2401" t="s">
        <v>257</v>
      </c>
      <c r="I2401" t="s">
        <v>93</v>
      </c>
      <c r="J2401" t="s">
        <v>201</v>
      </c>
      <c r="K2401" s="17">
        <v>1</v>
      </c>
      <c r="L2401" s="28" t="s">
        <v>178</v>
      </c>
    </row>
    <row r="2402" spans="1:12" ht="14.5" customHeight="1" x14ac:dyDescent="0.2">
      <c r="A2402">
        <v>2017</v>
      </c>
      <c r="B2402" t="s">
        <v>258</v>
      </c>
      <c r="C2402" t="s">
        <v>1461</v>
      </c>
      <c r="D2402" s="65">
        <v>230</v>
      </c>
      <c r="E2402" s="33">
        <v>1</v>
      </c>
      <c r="F2402" t="s">
        <v>1462</v>
      </c>
      <c r="G2402" t="s">
        <v>149</v>
      </c>
      <c r="I2402" t="s">
        <v>9</v>
      </c>
      <c r="J2402" t="s">
        <v>9</v>
      </c>
      <c r="K2402" s="17">
        <v>0</v>
      </c>
      <c r="L2402" s="28"/>
    </row>
    <row r="2403" spans="1:12" ht="14.5" customHeight="1" x14ac:dyDescent="0.2">
      <c r="A2403">
        <v>2017</v>
      </c>
      <c r="B2403" t="s">
        <v>258</v>
      </c>
      <c r="C2403" t="s">
        <v>962</v>
      </c>
      <c r="D2403" s="65">
        <v>2310</v>
      </c>
      <c r="E2403" s="33"/>
      <c r="F2403" t="s">
        <v>264</v>
      </c>
      <c r="G2403" t="s">
        <v>151</v>
      </c>
      <c r="H2403" t="s">
        <v>224</v>
      </c>
      <c r="I2403" t="s">
        <v>61</v>
      </c>
      <c r="J2403" t="s">
        <v>183</v>
      </c>
      <c r="K2403" s="17">
        <v>0</v>
      </c>
      <c r="L2403" s="28"/>
    </row>
    <row r="2404" spans="1:12" ht="14.5" customHeight="1" x14ac:dyDescent="0.2">
      <c r="A2404">
        <v>2017</v>
      </c>
      <c r="B2404" t="s">
        <v>258</v>
      </c>
      <c r="C2404" t="s">
        <v>175</v>
      </c>
      <c r="D2404" s="65">
        <v>110</v>
      </c>
      <c r="E2404" s="33">
        <v>1</v>
      </c>
      <c r="G2404" t="s">
        <v>151</v>
      </c>
      <c r="H2404" t="s">
        <v>224</v>
      </c>
      <c r="I2404" t="s">
        <v>108</v>
      </c>
      <c r="J2404" t="s">
        <v>183</v>
      </c>
      <c r="K2404" s="17">
        <v>1</v>
      </c>
      <c r="L2404" s="28" t="s">
        <v>178</v>
      </c>
    </row>
    <row r="2405" spans="1:12" x14ac:dyDescent="0.2">
      <c r="A2405">
        <v>2017</v>
      </c>
      <c r="B2405" t="s">
        <v>258</v>
      </c>
      <c r="C2405" t="s">
        <v>822</v>
      </c>
      <c r="D2405" s="65">
        <v>190</v>
      </c>
      <c r="E2405" s="33">
        <v>0.23</v>
      </c>
      <c r="F2405" t="s">
        <v>1463</v>
      </c>
      <c r="G2405" t="s">
        <v>146</v>
      </c>
      <c r="I2405" t="s">
        <v>97</v>
      </c>
      <c r="J2405" t="s">
        <v>183</v>
      </c>
      <c r="K2405" s="17">
        <v>1</v>
      </c>
      <c r="L2405" s="28"/>
    </row>
    <row r="2406" spans="1:12" ht="14.5" customHeight="1" x14ac:dyDescent="0.2">
      <c r="A2406">
        <v>2017</v>
      </c>
      <c r="B2406" t="s">
        <v>258</v>
      </c>
      <c r="C2406" t="s">
        <v>1464</v>
      </c>
      <c r="D2406" s="65">
        <v>250</v>
      </c>
      <c r="E2406" s="33"/>
      <c r="G2406" t="s">
        <v>151</v>
      </c>
      <c r="H2406" t="s">
        <v>224</v>
      </c>
      <c r="I2406" t="s">
        <v>23</v>
      </c>
      <c r="J2406" t="s">
        <v>183</v>
      </c>
      <c r="K2406" s="17">
        <v>1</v>
      </c>
      <c r="L2406" s="28" t="s">
        <v>178</v>
      </c>
    </row>
    <row r="2407" spans="1:12" ht="14.5" customHeight="1" x14ac:dyDescent="0.2">
      <c r="A2407">
        <v>2017</v>
      </c>
      <c r="B2407" t="s">
        <v>258</v>
      </c>
      <c r="C2407" t="s">
        <v>1465</v>
      </c>
      <c r="D2407" s="65">
        <v>360</v>
      </c>
      <c r="E2407" s="33"/>
      <c r="G2407" t="s">
        <v>151</v>
      </c>
      <c r="H2407" t="s">
        <v>224</v>
      </c>
      <c r="I2407" t="s">
        <v>20</v>
      </c>
      <c r="J2407" t="s">
        <v>195</v>
      </c>
      <c r="K2407" s="17">
        <v>0</v>
      </c>
      <c r="L2407" s="28"/>
    </row>
    <row r="2408" spans="1:12" ht="14.5" customHeight="1" x14ac:dyDescent="0.2">
      <c r="A2408">
        <v>2017</v>
      </c>
      <c r="B2408" t="s">
        <v>258</v>
      </c>
      <c r="C2408" t="s">
        <v>1466</v>
      </c>
      <c r="D2408" s="65">
        <v>510</v>
      </c>
      <c r="E2408" s="33"/>
      <c r="F2408" t="s">
        <v>1467</v>
      </c>
      <c r="G2408" t="s">
        <v>151</v>
      </c>
      <c r="H2408" t="s">
        <v>224</v>
      </c>
      <c r="I2408" t="s">
        <v>108</v>
      </c>
      <c r="J2408" t="s">
        <v>183</v>
      </c>
      <c r="K2408" s="17">
        <v>1</v>
      </c>
      <c r="L2408" s="28"/>
    </row>
    <row r="2409" spans="1:12" x14ac:dyDescent="0.2">
      <c r="A2409">
        <v>2017</v>
      </c>
      <c r="B2409" t="s">
        <v>258</v>
      </c>
      <c r="C2409" t="s">
        <v>554</v>
      </c>
      <c r="D2409" s="65">
        <v>100</v>
      </c>
      <c r="E2409" s="33">
        <v>7.0000000000000007E-2</v>
      </c>
      <c r="F2409" t="s">
        <v>1401</v>
      </c>
      <c r="G2409" t="s">
        <v>146</v>
      </c>
      <c r="H2409" t="s">
        <v>275</v>
      </c>
      <c r="I2409" t="s">
        <v>99</v>
      </c>
      <c r="J2409" t="s">
        <v>195</v>
      </c>
      <c r="K2409" s="17">
        <v>1</v>
      </c>
      <c r="L2409" s="28"/>
    </row>
    <row r="2410" spans="1:12" ht="14.5" customHeight="1" x14ac:dyDescent="0.2">
      <c r="A2410">
        <v>2017</v>
      </c>
      <c r="B2410" t="s">
        <v>179</v>
      </c>
      <c r="C2410" t="s">
        <v>1330</v>
      </c>
      <c r="D2410" s="65">
        <v>430</v>
      </c>
      <c r="E2410" s="33">
        <v>0.21</v>
      </c>
      <c r="F2410" t="s">
        <v>1468</v>
      </c>
      <c r="G2410" t="s">
        <v>145</v>
      </c>
      <c r="I2410" t="s">
        <v>131</v>
      </c>
      <c r="J2410" t="s">
        <v>131</v>
      </c>
      <c r="K2410" s="17">
        <v>0</v>
      </c>
      <c r="L2410" s="28"/>
    </row>
    <row r="2411" spans="1:12" ht="14.5" customHeight="1" x14ac:dyDescent="0.2">
      <c r="A2411">
        <v>2017</v>
      </c>
      <c r="B2411" t="s">
        <v>179</v>
      </c>
      <c r="C2411" t="s">
        <v>454</v>
      </c>
      <c r="D2411" s="65">
        <v>1780</v>
      </c>
      <c r="E2411" s="33">
        <v>0.05</v>
      </c>
      <c r="F2411" t="s">
        <v>1469</v>
      </c>
      <c r="G2411" t="s">
        <v>154</v>
      </c>
      <c r="I2411" t="s">
        <v>131</v>
      </c>
      <c r="J2411" t="s">
        <v>131</v>
      </c>
      <c r="K2411" s="17">
        <v>0</v>
      </c>
      <c r="L2411" s="28"/>
    </row>
    <row r="2412" spans="1:12" ht="14.5" customHeight="1" x14ac:dyDescent="0.2">
      <c r="A2412">
        <v>2017</v>
      </c>
      <c r="B2412" t="s">
        <v>179</v>
      </c>
      <c r="C2412" t="s">
        <v>373</v>
      </c>
      <c r="D2412" s="65">
        <v>450</v>
      </c>
      <c r="E2412" s="33">
        <v>0.25</v>
      </c>
      <c r="F2412" t="s">
        <v>1470</v>
      </c>
      <c r="G2412" t="s">
        <v>146</v>
      </c>
      <c r="I2412" t="s">
        <v>131</v>
      </c>
      <c r="J2412" t="s">
        <v>131</v>
      </c>
      <c r="K2412" s="17">
        <v>0</v>
      </c>
      <c r="L2412" s="28"/>
    </row>
    <row r="2413" spans="1:12" ht="14.5" customHeight="1" x14ac:dyDescent="0.2">
      <c r="A2413">
        <v>2017</v>
      </c>
      <c r="B2413" t="s">
        <v>179</v>
      </c>
      <c r="C2413" t="s">
        <v>373</v>
      </c>
      <c r="D2413" s="65">
        <v>460</v>
      </c>
      <c r="E2413" s="33">
        <v>0.02</v>
      </c>
      <c r="F2413" t="s">
        <v>716</v>
      </c>
      <c r="G2413" t="s">
        <v>146</v>
      </c>
      <c r="H2413" t="s">
        <v>275</v>
      </c>
      <c r="I2413" t="s">
        <v>45</v>
      </c>
      <c r="J2413" t="s">
        <v>195</v>
      </c>
      <c r="K2413" s="17">
        <v>0</v>
      </c>
      <c r="L2413" s="28"/>
    </row>
    <row r="2414" spans="1:12" ht="14.5" customHeight="1" x14ac:dyDescent="0.2">
      <c r="A2414">
        <v>2017</v>
      </c>
      <c r="B2414" t="s">
        <v>179</v>
      </c>
      <c r="C2414" t="s">
        <v>1471</v>
      </c>
      <c r="D2414" s="65">
        <v>530</v>
      </c>
      <c r="E2414" s="33"/>
      <c r="F2414" t="s">
        <v>1472</v>
      </c>
      <c r="G2414" t="s">
        <v>145</v>
      </c>
      <c r="I2414" t="s">
        <v>58</v>
      </c>
      <c r="J2414" t="s">
        <v>195</v>
      </c>
      <c r="K2414" s="17">
        <v>0</v>
      </c>
      <c r="L2414" s="28"/>
    </row>
    <row r="2415" spans="1:12" ht="14.5" customHeight="1" x14ac:dyDescent="0.2">
      <c r="A2415">
        <v>2017</v>
      </c>
      <c r="B2415" t="s">
        <v>179</v>
      </c>
      <c r="C2415" t="s">
        <v>1465</v>
      </c>
      <c r="D2415" s="65">
        <v>1410</v>
      </c>
      <c r="E2415" s="33"/>
      <c r="F2415" t="s">
        <v>1473</v>
      </c>
      <c r="G2415" t="s">
        <v>151</v>
      </c>
      <c r="H2415" t="s">
        <v>224</v>
      </c>
      <c r="I2415" t="s">
        <v>20</v>
      </c>
      <c r="J2415" t="s">
        <v>195</v>
      </c>
      <c r="K2415" s="17">
        <v>0</v>
      </c>
      <c r="L2415" s="28"/>
    </row>
    <row r="2416" spans="1:12" ht="14.5" customHeight="1" x14ac:dyDescent="0.2">
      <c r="A2416">
        <v>2017</v>
      </c>
      <c r="B2416" t="s">
        <v>179</v>
      </c>
      <c r="C2416" t="s">
        <v>822</v>
      </c>
      <c r="D2416" s="65">
        <v>180</v>
      </c>
      <c r="E2416" s="33">
        <v>0.22</v>
      </c>
      <c r="F2416" t="s">
        <v>1474</v>
      </c>
      <c r="G2416" t="s">
        <v>150</v>
      </c>
      <c r="H2416" t="s">
        <v>556</v>
      </c>
      <c r="I2416" t="s">
        <v>52</v>
      </c>
      <c r="J2416" t="s">
        <v>201</v>
      </c>
      <c r="K2416" s="17">
        <v>0</v>
      </c>
      <c r="L2416" s="28"/>
    </row>
    <row r="2417" spans="1:12" ht="14.5" customHeight="1" x14ac:dyDescent="0.2">
      <c r="A2417">
        <v>2017</v>
      </c>
      <c r="B2417" t="s">
        <v>179</v>
      </c>
      <c r="C2417" t="s">
        <v>263</v>
      </c>
      <c r="D2417" s="65">
        <v>100</v>
      </c>
      <c r="E2417" s="33"/>
      <c r="F2417" t="s">
        <v>1475</v>
      </c>
      <c r="G2417" t="s">
        <v>153</v>
      </c>
      <c r="I2417" t="s">
        <v>131</v>
      </c>
      <c r="J2417" t="s">
        <v>131</v>
      </c>
      <c r="K2417" s="17">
        <v>0</v>
      </c>
      <c r="L2417" s="28"/>
    </row>
    <row r="2418" spans="1:12" ht="14.5" customHeight="1" x14ac:dyDescent="0.2">
      <c r="A2418">
        <v>2017</v>
      </c>
      <c r="B2418" t="s">
        <v>179</v>
      </c>
      <c r="C2418" t="s">
        <v>1189</v>
      </c>
      <c r="D2418" s="65">
        <v>110</v>
      </c>
      <c r="E2418" s="33">
        <v>1</v>
      </c>
      <c r="F2418" t="s">
        <v>1476</v>
      </c>
      <c r="G2418" t="s">
        <v>150</v>
      </c>
      <c r="I2418" t="s">
        <v>98</v>
      </c>
      <c r="J2418" t="s">
        <v>195</v>
      </c>
      <c r="K2418" s="17">
        <v>1</v>
      </c>
      <c r="L2418" s="28"/>
    </row>
    <row r="2419" spans="1:12" ht="14.5" customHeight="1" x14ac:dyDescent="0.2">
      <c r="A2419">
        <v>2017</v>
      </c>
      <c r="B2419" t="s">
        <v>179</v>
      </c>
      <c r="C2419" t="s">
        <v>1477</v>
      </c>
      <c r="D2419" s="65">
        <v>280</v>
      </c>
      <c r="E2419" s="33">
        <v>1</v>
      </c>
      <c r="G2419" t="s">
        <v>142</v>
      </c>
      <c r="I2419" t="s">
        <v>72</v>
      </c>
      <c r="J2419" t="s">
        <v>183</v>
      </c>
      <c r="K2419" s="17">
        <v>1</v>
      </c>
      <c r="L2419" s="28" t="s">
        <v>178</v>
      </c>
    </row>
    <row r="2420" spans="1:12" x14ac:dyDescent="0.2">
      <c r="A2420">
        <v>2017</v>
      </c>
      <c r="B2420" t="s">
        <v>179</v>
      </c>
      <c r="C2420" t="s">
        <v>1180</v>
      </c>
      <c r="D2420" s="65">
        <v>1480</v>
      </c>
      <c r="E2420" s="33">
        <v>0.74</v>
      </c>
      <c r="F2420" t="s">
        <v>1478</v>
      </c>
      <c r="G2420" t="s">
        <v>144</v>
      </c>
      <c r="H2420" t="s">
        <v>273</v>
      </c>
      <c r="I2420" t="s">
        <v>93</v>
      </c>
      <c r="J2420" t="s">
        <v>201</v>
      </c>
      <c r="K2420" s="17">
        <v>1</v>
      </c>
      <c r="L2420" s="28" t="s">
        <v>178</v>
      </c>
    </row>
    <row r="2421" spans="1:12" ht="14.5" customHeight="1" x14ac:dyDescent="0.2">
      <c r="A2421">
        <v>2017</v>
      </c>
      <c r="B2421" t="s">
        <v>179</v>
      </c>
      <c r="C2421" t="s">
        <v>806</v>
      </c>
      <c r="D2421" s="65">
        <v>100</v>
      </c>
      <c r="E2421" s="33">
        <v>1</v>
      </c>
      <c r="G2421" t="s">
        <v>154</v>
      </c>
      <c r="H2421" t="s">
        <v>529</v>
      </c>
      <c r="I2421" t="s">
        <v>131</v>
      </c>
      <c r="J2421" t="s">
        <v>131</v>
      </c>
      <c r="K2421" s="17">
        <v>0</v>
      </c>
      <c r="L2421" s="28" t="s">
        <v>178</v>
      </c>
    </row>
    <row r="2422" spans="1:12" ht="14.5" customHeight="1" x14ac:dyDescent="0.2">
      <c r="A2422">
        <v>2017</v>
      </c>
      <c r="B2422" t="s">
        <v>179</v>
      </c>
      <c r="C2422" t="s">
        <v>479</v>
      </c>
      <c r="D2422" s="65">
        <v>110</v>
      </c>
      <c r="E2422" s="33"/>
      <c r="G2422" t="s">
        <v>151</v>
      </c>
      <c r="H2422" t="s">
        <v>224</v>
      </c>
      <c r="I2422" t="s">
        <v>53</v>
      </c>
      <c r="J2422" t="s">
        <v>183</v>
      </c>
      <c r="K2422" s="17">
        <v>1</v>
      </c>
      <c r="L2422" s="28"/>
    </row>
    <row r="2423" spans="1:12" ht="14.5" customHeight="1" x14ac:dyDescent="0.2">
      <c r="A2423">
        <v>2017</v>
      </c>
      <c r="B2423" t="s">
        <v>179</v>
      </c>
      <c r="C2423" t="s">
        <v>373</v>
      </c>
      <c r="D2423" s="65">
        <v>580</v>
      </c>
      <c r="E2423" s="33">
        <v>0.51</v>
      </c>
      <c r="F2423" t="s">
        <v>560</v>
      </c>
      <c r="G2423" t="s">
        <v>144</v>
      </c>
      <c r="H2423" t="s">
        <v>187</v>
      </c>
      <c r="I2423" t="s">
        <v>119</v>
      </c>
      <c r="J2423" t="s">
        <v>195</v>
      </c>
      <c r="K2423" s="17">
        <v>0</v>
      </c>
      <c r="L2423" s="28"/>
    </row>
    <row r="2424" spans="1:12" ht="14.5" customHeight="1" x14ac:dyDescent="0.2">
      <c r="A2424">
        <v>2017</v>
      </c>
      <c r="B2424" t="s">
        <v>179</v>
      </c>
      <c r="C2424" t="s">
        <v>1479</v>
      </c>
      <c r="D2424" s="65">
        <v>300</v>
      </c>
      <c r="E2424" s="33"/>
      <c r="G2424" t="s">
        <v>151</v>
      </c>
      <c r="H2424" t="s">
        <v>224</v>
      </c>
      <c r="I2424" t="s">
        <v>53</v>
      </c>
      <c r="J2424" t="s">
        <v>183</v>
      </c>
      <c r="K2424" s="17">
        <v>1</v>
      </c>
      <c r="L2424" s="28" t="s">
        <v>178</v>
      </c>
    </row>
    <row r="2425" spans="1:12" ht="14.5" customHeight="1" x14ac:dyDescent="0.2">
      <c r="A2425">
        <v>2017</v>
      </c>
      <c r="B2425" t="s">
        <v>179</v>
      </c>
      <c r="C2425" t="s">
        <v>530</v>
      </c>
      <c r="D2425" s="65">
        <v>280</v>
      </c>
      <c r="E2425" s="33"/>
      <c r="G2425" t="s">
        <v>152</v>
      </c>
      <c r="H2425" t="s">
        <v>257</v>
      </c>
      <c r="I2425" t="s">
        <v>86</v>
      </c>
      <c r="J2425" t="s">
        <v>183</v>
      </c>
      <c r="K2425" s="17">
        <v>1</v>
      </c>
      <c r="L2425" s="28" t="s">
        <v>178</v>
      </c>
    </row>
    <row r="2426" spans="1:12" ht="14.5" customHeight="1" x14ac:dyDescent="0.2">
      <c r="A2426">
        <v>2017</v>
      </c>
      <c r="B2426" t="s">
        <v>179</v>
      </c>
      <c r="C2426" t="s">
        <v>1480</v>
      </c>
      <c r="D2426" s="65">
        <v>160</v>
      </c>
      <c r="E2426" s="33"/>
      <c r="G2426" t="s">
        <v>144</v>
      </c>
      <c r="H2426" t="s">
        <v>197</v>
      </c>
      <c r="I2426" t="s">
        <v>67</v>
      </c>
      <c r="J2426" t="s">
        <v>183</v>
      </c>
      <c r="K2426" s="17">
        <v>1</v>
      </c>
      <c r="L2426" s="28" t="s">
        <v>178</v>
      </c>
    </row>
    <row r="2427" spans="1:12" ht="14.5" customHeight="1" x14ac:dyDescent="0.2">
      <c r="A2427">
        <v>2017</v>
      </c>
      <c r="B2427" t="s">
        <v>179</v>
      </c>
      <c r="C2427" t="s">
        <v>869</v>
      </c>
      <c r="D2427" s="65">
        <v>120</v>
      </c>
      <c r="E2427" s="33"/>
      <c r="G2427" t="s">
        <v>151</v>
      </c>
      <c r="H2427" t="s">
        <v>224</v>
      </c>
      <c r="I2427" t="s">
        <v>20</v>
      </c>
      <c r="J2427" t="s">
        <v>195</v>
      </c>
      <c r="K2427" s="17">
        <v>0</v>
      </c>
      <c r="L2427" s="28"/>
    </row>
    <row r="2428" spans="1:12" ht="14.5" customHeight="1" x14ac:dyDescent="0.2">
      <c r="A2428">
        <v>2017</v>
      </c>
      <c r="B2428" t="s">
        <v>179</v>
      </c>
      <c r="C2428" t="s">
        <v>705</v>
      </c>
      <c r="D2428" s="65">
        <v>230</v>
      </c>
      <c r="E2428" s="33"/>
      <c r="G2428" t="s">
        <v>151</v>
      </c>
      <c r="H2428" t="s">
        <v>279</v>
      </c>
      <c r="I2428" t="s">
        <v>9</v>
      </c>
      <c r="J2428" t="s">
        <v>9</v>
      </c>
      <c r="K2428" s="17">
        <v>0</v>
      </c>
      <c r="L2428" s="28" t="s">
        <v>178</v>
      </c>
    </row>
    <row r="2429" spans="1:12" ht="14.5" customHeight="1" x14ac:dyDescent="0.2">
      <c r="A2429">
        <v>2017</v>
      </c>
      <c r="B2429" t="s">
        <v>179</v>
      </c>
      <c r="C2429" t="s">
        <v>359</v>
      </c>
      <c r="D2429" s="65">
        <v>500</v>
      </c>
      <c r="E2429" s="33"/>
      <c r="F2429" t="s">
        <v>1481</v>
      </c>
      <c r="G2429" t="s">
        <v>149</v>
      </c>
      <c r="H2429" t="s">
        <v>182</v>
      </c>
      <c r="I2429" t="s">
        <v>96</v>
      </c>
      <c r="J2429" t="s">
        <v>205</v>
      </c>
      <c r="K2429" s="17">
        <v>1</v>
      </c>
      <c r="L2429" s="28"/>
    </row>
    <row r="2430" spans="1:12" ht="14.5" customHeight="1" x14ac:dyDescent="0.2">
      <c r="A2430">
        <v>2017</v>
      </c>
      <c r="B2430" t="s">
        <v>179</v>
      </c>
      <c r="C2430" t="s">
        <v>1482</v>
      </c>
      <c r="D2430" s="65">
        <v>130</v>
      </c>
      <c r="E2430" s="33">
        <v>1</v>
      </c>
      <c r="F2430" t="s">
        <v>1483</v>
      </c>
      <c r="G2430" t="s">
        <v>143</v>
      </c>
      <c r="I2430" t="s">
        <v>20</v>
      </c>
      <c r="J2430" t="s">
        <v>195</v>
      </c>
      <c r="K2430" s="17">
        <v>0</v>
      </c>
      <c r="L2430" s="28"/>
    </row>
    <row r="2431" spans="1:12" ht="14.5" customHeight="1" x14ac:dyDescent="0.2">
      <c r="A2431">
        <v>2017</v>
      </c>
      <c r="B2431" t="s">
        <v>184</v>
      </c>
      <c r="C2431" t="s">
        <v>694</v>
      </c>
      <c r="D2431" s="65">
        <v>960</v>
      </c>
      <c r="E2431" s="33">
        <v>0.5</v>
      </c>
      <c r="F2431" t="s">
        <v>1484</v>
      </c>
      <c r="G2431" t="s">
        <v>149</v>
      </c>
      <c r="I2431" t="s">
        <v>8</v>
      </c>
      <c r="J2431" t="s">
        <v>205</v>
      </c>
      <c r="K2431" s="17">
        <v>1</v>
      </c>
      <c r="L2431" s="28"/>
    </row>
    <row r="2432" spans="1:12" ht="14.5" customHeight="1" x14ac:dyDescent="0.2">
      <c r="A2432">
        <v>2017</v>
      </c>
      <c r="B2432" t="s">
        <v>184</v>
      </c>
      <c r="C2432" t="s">
        <v>1485</v>
      </c>
      <c r="D2432" s="65">
        <v>160</v>
      </c>
      <c r="E2432" s="33">
        <v>0.59</v>
      </c>
      <c r="F2432" t="s">
        <v>1486</v>
      </c>
      <c r="G2432" t="s">
        <v>147</v>
      </c>
      <c r="I2432" t="s">
        <v>114</v>
      </c>
      <c r="J2432" t="s">
        <v>195</v>
      </c>
      <c r="K2432" s="17">
        <v>0</v>
      </c>
      <c r="L2432" s="28"/>
    </row>
    <row r="2433" spans="1:12" ht="14.5" customHeight="1" x14ac:dyDescent="0.2">
      <c r="A2433">
        <v>2017</v>
      </c>
      <c r="B2433" t="s">
        <v>184</v>
      </c>
      <c r="C2433" t="s">
        <v>454</v>
      </c>
      <c r="D2433" s="65">
        <v>700</v>
      </c>
      <c r="E2433" s="33"/>
      <c r="F2433" t="s">
        <v>1487</v>
      </c>
      <c r="G2433" t="s">
        <v>150</v>
      </c>
      <c r="H2433" t="s">
        <v>556</v>
      </c>
      <c r="I2433" t="s">
        <v>52</v>
      </c>
      <c r="J2433" t="s">
        <v>201</v>
      </c>
      <c r="K2433" s="17">
        <v>0</v>
      </c>
      <c r="L2433" s="28"/>
    </row>
    <row r="2434" spans="1:12" ht="14.5" customHeight="1" x14ac:dyDescent="0.2">
      <c r="A2434">
        <v>2017</v>
      </c>
      <c r="B2434" t="s">
        <v>184</v>
      </c>
      <c r="C2434" t="s">
        <v>373</v>
      </c>
      <c r="D2434" s="65">
        <v>1360</v>
      </c>
      <c r="E2434" s="33">
        <v>0.16</v>
      </c>
      <c r="F2434" t="s">
        <v>1488</v>
      </c>
      <c r="G2434" t="s">
        <v>153</v>
      </c>
      <c r="I2434" t="s">
        <v>119</v>
      </c>
      <c r="J2434" t="s">
        <v>195</v>
      </c>
      <c r="K2434" s="17">
        <v>0</v>
      </c>
      <c r="L2434" s="28"/>
    </row>
    <row r="2435" spans="1:12" ht="14.5" customHeight="1" x14ac:dyDescent="0.2">
      <c r="A2435">
        <v>2017</v>
      </c>
      <c r="B2435" t="s">
        <v>184</v>
      </c>
      <c r="C2435" t="s">
        <v>373</v>
      </c>
      <c r="D2435" s="65">
        <v>10380</v>
      </c>
      <c r="E2435" s="33"/>
      <c r="F2435" t="s">
        <v>1489</v>
      </c>
      <c r="G2435" t="s">
        <v>154</v>
      </c>
      <c r="H2435" t="s">
        <v>250</v>
      </c>
      <c r="I2435" t="s">
        <v>131</v>
      </c>
      <c r="J2435" t="s">
        <v>131</v>
      </c>
      <c r="K2435" s="17">
        <v>0</v>
      </c>
      <c r="L2435" s="28"/>
    </row>
    <row r="2436" spans="1:12" ht="14.5" customHeight="1" x14ac:dyDescent="0.2">
      <c r="A2436">
        <v>2017</v>
      </c>
      <c r="B2436" t="s">
        <v>184</v>
      </c>
      <c r="C2436" t="s">
        <v>421</v>
      </c>
      <c r="D2436" s="65">
        <v>110</v>
      </c>
      <c r="E2436" s="33">
        <v>0.5</v>
      </c>
      <c r="F2436" t="s">
        <v>1490</v>
      </c>
      <c r="G2436" t="s">
        <v>154</v>
      </c>
      <c r="H2436" t="s">
        <v>194</v>
      </c>
      <c r="I2436" t="s">
        <v>25</v>
      </c>
      <c r="J2436" t="s">
        <v>177</v>
      </c>
      <c r="K2436" s="17">
        <v>0</v>
      </c>
      <c r="L2436" s="28"/>
    </row>
    <row r="2437" spans="1:12" ht="14.5" customHeight="1" x14ac:dyDescent="0.2">
      <c r="A2437">
        <v>2017</v>
      </c>
      <c r="B2437" t="s">
        <v>184</v>
      </c>
      <c r="C2437" t="s">
        <v>479</v>
      </c>
      <c r="D2437" s="65">
        <v>240</v>
      </c>
      <c r="E2437" s="33">
        <v>0.51</v>
      </c>
      <c r="G2437" t="s">
        <v>154</v>
      </c>
      <c r="H2437" t="s">
        <v>271</v>
      </c>
      <c r="I2437" t="s">
        <v>19</v>
      </c>
      <c r="J2437" t="s">
        <v>205</v>
      </c>
      <c r="K2437" s="17">
        <v>0</v>
      </c>
      <c r="L2437" s="28" t="s">
        <v>178</v>
      </c>
    </row>
    <row r="2438" spans="1:12" ht="14.5" customHeight="1" x14ac:dyDescent="0.2">
      <c r="A2438">
        <v>2017</v>
      </c>
      <c r="B2438" t="s">
        <v>184</v>
      </c>
      <c r="C2438" t="s">
        <v>244</v>
      </c>
      <c r="D2438" s="65">
        <v>420</v>
      </c>
      <c r="E2438" s="33"/>
      <c r="G2438" t="s">
        <v>149</v>
      </c>
      <c r="H2438" t="s">
        <v>236</v>
      </c>
      <c r="I2438" t="s">
        <v>34</v>
      </c>
      <c r="J2438" t="s">
        <v>219</v>
      </c>
      <c r="K2438" s="17">
        <v>1</v>
      </c>
      <c r="L2438" s="28" t="s">
        <v>178</v>
      </c>
    </row>
    <row r="2439" spans="1:12" ht="14.5" customHeight="1" x14ac:dyDescent="0.2">
      <c r="A2439">
        <v>2017</v>
      </c>
      <c r="B2439" t="s">
        <v>184</v>
      </c>
      <c r="C2439" t="s">
        <v>444</v>
      </c>
      <c r="D2439" s="65">
        <v>170</v>
      </c>
      <c r="E2439" s="33">
        <v>0.35</v>
      </c>
      <c r="F2439" t="s">
        <v>1491</v>
      </c>
      <c r="G2439" t="s">
        <v>144</v>
      </c>
      <c r="H2439" t="s">
        <v>273</v>
      </c>
      <c r="I2439" t="s">
        <v>93</v>
      </c>
      <c r="J2439" t="s">
        <v>201</v>
      </c>
      <c r="K2439" s="17">
        <v>1</v>
      </c>
      <c r="L2439" s="28" t="s">
        <v>178</v>
      </c>
    </row>
    <row r="2440" spans="1:12" ht="14.5" customHeight="1" x14ac:dyDescent="0.2">
      <c r="A2440">
        <v>2017</v>
      </c>
      <c r="B2440" t="s">
        <v>184</v>
      </c>
      <c r="C2440" t="s">
        <v>840</v>
      </c>
      <c r="D2440" s="65">
        <v>190</v>
      </c>
      <c r="E2440" s="33"/>
      <c r="G2440" t="s">
        <v>151</v>
      </c>
      <c r="H2440" t="s">
        <v>224</v>
      </c>
      <c r="I2440" t="s">
        <v>20</v>
      </c>
      <c r="J2440" t="s">
        <v>195</v>
      </c>
      <c r="K2440" s="17">
        <v>0</v>
      </c>
      <c r="L2440" s="28"/>
    </row>
    <row r="2441" spans="1:12" ht="14.5" customHeight="1" x14ac:dyDescent="0.2">
      <c r="A2441">
        <v>2017</v>
      </c>
      <c r="B2441" t="s">
        <v>225</v>
      </c>
      <c r="C2441" t="s">
        <v>373</v>
      </c>
      <c r="D2441" s="65">
        <v>1600</v>
      </c>
      <c r="E2441" s="33">
        <v>0.7</v>
      </c>
      <c r="G2441" t="s">
        <v>151</v>
      </c>
      <c r="H2441" t="s">
        <v>224</v>
      </c>
      <c r="I2441" t="s">
        <v>131</v>
      </c>
      <c r="J2441" t="s">
        <v>131</v>
      </c>
      <c r="K2441" s="17">
        <v>0</v>
      </c>
      <c r="L2441" s="28"/>
    </row>
    <row r="2442" spans="1:12" ht="14.5" customHeight="1" x14ac:dyDescent="0.2">
      <c r="A2442">
        <v>2017</v>
      </c>
      <c r="B2442" t="s">
        <v>225</v>
      </c>
      <c r="C2442" t="s">
        <v>373</v>
      </c>
      <c r="D2442" s="65">
        <v>230</v>
      </c>
      <c r="E2442" s="33">
        <v>0.74</v>
      </c>
      <c r="F2442" t="s">
        <v>1492</v>
      </c>
      <c r="G2442" t="s">
        <v>146</v>
      </c>
      <c r="H2442" t="s">
        <v>253</v>
      </c>
      <c r="I2442" t="s">
        <v>10</v>
      </c>
      <c r="J2442" t="s">
        <v>195</v>
      </c>
      <c r="K2442" s="17">
        <v>1</v>
      </c>
      <c r="L2442" s="28"/>
    </row>
    <row r="2443" spans="1:12" ht="14.5" customHeight="1" x14ac:dyDescent="0.2">
      <c r="A2443">
        <v>2017</v>
      </c>
      <c r="B2443" t="s">
        <v>225</v>
      </c>
      <c r="C2443" t="s">
        <v>373</v>
      </c>
      <c r="D2443" s="65">
        <v>1360</v>
      </c>
      <c r="E2443" s="33">
        <v>0.05</v>
      </c>
      <c r="F2443" t="s">
        <v>716</v>
      </c>
      <c r="G2443" t="s">
        <v>146</v>
      </c>
      <c r="H2443" t="s">
        <v>275</v>
      </c>
      <c r="I2443" t="s">
        <v>45</v>
      </c>
      <c r="J2443" t="s">
        <v>195</v>
      </c>
      <c r="K2443" s="17">
        <v>0</v>
      </c>
      <c r="L2443" s="28"/>
    </row>
    <row r="2444" spans="1:12" ht="14.5" customHeight="1" x14ac:dyDescent="0.2">
      <c r="A2444">
        <v>2017</v>
      </c>
      <c r="B2444" t="s">
        <v>225</v>
      </c>
      <c r="C2444" t="s">
        <v>373</v>
      </c>
      <c r="D2444" s="65">
        <v>370</v>
      </c>
      <c r="E2444" s="33">
        <v>0.04</v>
      </c>
      <c r="F2444" t="s">
        <v>1488</v>
      </c>
      <c r="G2444" t="s">
        <v>153</v>
      </c>
      <c r="I2444" t="s">
        <v>119</v>
      </c>
      <c r="J2444" t="s">
        <v>195</v>
      </c>
      <c r="K2444" s="17">
        <v>0</v>
      </c>
      <c r="L2444" s="28"/>
    </row>
    <row r="2445" spans="1:12" ht="14.5" customHeight="1" x14ac:dyDescent="0.2">
      <c r="A2445">
        <v>2017</v>
      </c>
      <c r="B2445" t="s">
        <v>225</v>
      </c>
      <c r="C2445" t="s">
        <v>1493</v>
      </c>
      <c r="D2445" s="65">
        <v>600</v>
      </c>
      <c r="E2445" s="33"/>
      <c r="F2445" t="s">
        <v>1494</v>
      </c>
      <c r="G2445" t="s">
        <v>154</v>
      </c>
      <c r="H2445" t="s">
        <v>194</v>
      </c>
      <c r="I2445" t="s">
        <v>45</v>
      </c>
      <c r="J2445" t="s">
        <v>195</v>
      </c>
      <c r="K2445" s="17">
        <v>0</v>
      </c>
      <c r="L2445" s="28"/>
    </row>
    <row r="2446" spans="1:12" ht="14.5" customHeight="1" x14ac:dyDescent="0.2">
      <c r="A2446">
        <v>2017</v>
      </c>
      <c r="B2446" t="s">
        <v>225</v>
      </c>
      <c r="C2446" t="s">
        <v>927</v>
      </c>
      <c r="D2446" s="65">
        <v>140</v>
      </c>
      <c r="E2446" s="33">
        <v>0.02</v>
      </c>
      <c r="F2446" t="s">
        <v>1232</v>
      </c>
      <c r="G2446" t="s">
        <v>144</v>
      </c>
      <c r="H2446" t="s">
        <v>299</v>
      </c>
      <c r="I2446" t="s">
        <v>9</v>
      </c>
      <c r="J2446" t="s">
        <v>9</v>
      </c>
      <c r="K2446" s="17">
        <v>0</v>
      </c>
      <c r="L2446" s="28"/>
    </row>
    <row r="2447" spans="1:12" ht="14.5" customHeight="1" x14ac:dyDescent="0.2">
      <c r="A2447">
        <v>2017</v>
      </c>
      <c r="B2447" t="s">
        <v>225</v>
      </c>
      <c r="C2447" t="s">
        <v>438</v>
      </c>
      <c r="D2447" s="65">
        <v>390</v>
      </c>
      <c r="E2447" s="33">
        <v>0.26</v>
      </c>
      <c r="F2447" t="s">
        <v>1495</v>
      </c>
      <c r="G2447" t="s">
        <v>146</v>
      </c>
      <c r="H2447" t="s">
        <v>275</v>
      </c>
      <c r="I2447" t="s">
        <v>35</v>
      </c>
      <c r="J2447" t="s">
        <v>195</v>
      </c>
      <c r="K2447" s="17">
        <v>0</v>
      </c>
      <c r="L2447" s="28"/>
    </row>
    <row r="2448" spans="1:12" ht="14.5" customHeight="1" x14ac:dyDescent="0.2">
      <c r="A2448">
        <v>2017</v>
      </c>
      <c r="B2448" t="s">
        <v>225</v>
      </c>
      <c r="C2448" t="s">
        <v>319</v>
      </c>
      <c r="D2448" s="65">
        <v>900</v>
      </c>
      <c r="E2448" s="33">
        <v>0.95</v>
      </c>
      <c r="F2448" t="s">
        <v>1496</v>
      </c>
      <c r="G2448" t="s">
        <v>151</v>
      </c>
      <c r="H2448" t="s">
        <v>224</v>
      </c>
      <c r="I2448" t="s">
        <v>131</v>
      </c>
      <c r="J2448" t="s">
        <v>131</v>
      </c>
      <c r="K2448" s="17">
        <v>0</v>
      </c>
      <c r="L2448" s="28"/>
    </row>
    <row r="2449" spans="1:12" x14ac:dyDescent="0.2">
      <c r="A2449">
        <v>2017</v>
      </c>
      <c r="B2449" t="s">
        <v>225</v>
      </c>
      <c r="C2449" t="s">
        <v>1497</v>
      </c>
      <c r="D2449" s="65">
        <v>600</v>
      </c>
      <c r="E2449" s="33"/>
      <c r="F2449" t="s">
        <v>1498</v>
      </c>
      <c r="G2449" t="s">
        <v>147</v>
      </c>
      <c r="I2449" t="s">
        <v>9</v>
      </c>
      <c r="J2449" t="s">
        <v>9</v>
      </c>
      <c r="K2449" s="17">
        <v>0</v>
      </c>
      <c r="L2449" s="28"/>
    </row>
    <row r="2450" spans="1:12" ht="14.5" customHeight="1" x14ac:dyDescent="0.2">
      <c r="A2450">
        <v>2017</v>
      </c>
      <c r="B2450" t="s">
        <v>225</v>
      </c>
      <c r="C2450" t="s">
        <v>1499</v>
      </c>
      <c r="D2450" s="65">
        <v>100</v>
      </c>
      <c r="E2450" s="33"/>
      <c r="F2450" t="s">
        <v>1500</v>
      </c>
      <c r="G2450" t="s">
        <v>153</v>
      </c>
      <c r="I2450" t="s">
        <v>9</v>
      </c>
      <c r="J2450" t="s">
        <v>9</v>
      </c>
      <c r="K2450" s="17">
        <v>0</v>
      </c>
      <c r="L2450" s="28"/>
    </row>
    <row r="2451" spans="1:12" x14ac:dyDescent="0.2">
      <c r="A2451">
        <v>2017</v>
      </c>
      <c r="B2451" t="s">
        <v>225</v>
      </c>
      <c r="C2451" t="s">
        <v>1501</v>
      </c>
      <c r="D2451" s="65">
        <v>750</v>
      </c>
      <c r="E2451" s="33"/>
      <c r="G2451" t="s">
        <v>151</v>
      </c>
      <c r="H2451" t="s">
        <v>224</v>
      </c>
      <c r="I2451" t="s">
        <v>108</v>
      </c>
      <c r="J2451" t="s">
        <v>183</v>
      </c>
      <c r="K2451" s="17">
        <v>1</v>
      </c>
      <c r="L2451" s="28" t="s">
        <v>178</v>
      </c>
    </row>
    <row r="2452" spans="1:12" ht="14.5" customHeight="1" x14ac:dyDescent="0.2">
      <c r="A2452">
        <v>2017</v>
      </c>
      <c r="B2452" t="s">
        <v>225</v>
      </c>
      <c r="C2452" t="s">
        <v>307</v>
      </c>
      <c r="D2452" s="65">
        <v>290</v>
      </c>
      <c r="E2452" s="33"/>
      <c r="F2452" t="s">
        <v>1502</v>
      </c>
      <c r="G2452" t="s">
        <v>144</v>
      </c>
      <c r="H2452" t="s">
        <v>299</v>
      </c>
      <c r="I2452" t="s">
        <v>9</v>
      </c>
      <c r="J2452" t="s">
        <v>9</v>
      </c>
      <c r="K2452" s="17">
        <v>0</v>
      </c>
      <c r="L2452" s="28"/>
    </row>
    <row r="2453" spans="1:12" ht="14.5" customHeight="1" x14ac:dyDescent="0.2">
      <c r="A2453">
        <v>2017</v>
      </c>
      <c r="B2453" t="s">
        <v>225</v>
      </c>
      <c r="C2453" t="s">
        <v>1318</v>
      </c>
      <c r="D2453" s="65">
        <v>190</v>
      </c>
      <c r="E2453" s="33"/>
      <c r="F2453" t="s">
        <v>1402</v>
      </c>
      <c r="G2453" t="s">
        <v>151</v>
      </c>
      <c r="H2453" t="s">
        <v>224</v>
      </c>
      <c r="I2453" t="s">
        <v>20</v>
      </c>
      <c r="J2453" t="s">
        <v>195</v>
      </c>
      <c r="K2453" s="17">
        <v>0</v>
      </c>
      <c r="L2453" s="28"/>
    </row>
    <row r="2454" spans="1:12" ht="14.5" customHeight="1" x14ac:dyDescent="0.2">
      <c r="A2454">
        <v>2017</v>
      </c>
      <c r="B2454" t="s">
        <v>225</v>
      </c>
      <c r="C2454" t="s">
        <v>1503</v>
      </c>
      <c r="D2454" s="65">
        <v>110</v>
      </c>
      <c r="E2454" s="33">
        <v>0.75</v>
      </c>
      <c r="F2454" t="s">
        <v>1504</v>
      </c>
      <c r="G2454" t="s">
        <v>147</v>
      </c>
      <c r="I2454" t="s">
        <v>45</v>
      </c>
      <c r="J2454" t="s">
        <v>195</v>
      </c>
      <c r="K2454" s="17">
        <v>0</v>
      </c>
      <c r="L2454" s="28"/>
    </row>
    <row r="2455" spans="1:12" ht="14.5" customHeight="1" x14ac:dyDescent="0.2">
      <c r="A2455">
        <v>2017</v>
      </c>
      <c r="B2455" t="s">
        <v>225</v>
      </c>
      <c r="C2455" t="s">
        <v>1505</v>
      </c>
      <c r="D2455" s="65">
        <v>130</v>
      </c>
      <c r="E2455" s="33"/>
      <c r="F2455" t="s">
        <v>1506</v>
      </c>
      <c r="G2455" t="s">
        <v>150</v>
      </c>
      <c r="H2455" t="s">
        <v>217</v>
      </c>
      <c r="I2455" t="s">
        <v>131</v>
      </c>
      <c r="J2455" t="s">
        <v>131</v>
      </c>
      <c r="K2455" s="17">
        <v>0</v>
      </c>
      <c r="L2455" s="28"/>
    </row>
    <row r="2456" spans="1:12" ht="14.5" customHeight="1" x14ac:dyDescent="0.2">
      <c r="A2456">
        <v>2017</v>
      </c>
      <c r="B2456" t="s">
        <v>225</v>
      </c>
      <c r="C2456" t="s">
        <v>1071</v>
      </c>
      <c r="D2456" s="65">
        <v>110</v>
      </c>
      <c r="E2456" s="33">
        <v>0.8</v>
      </c>
      <c r="G2456" t="s">
        <v>151</v>
      </c>
      <c r="H2456" t="s">
        <v>224</v>
      </c>
      <c r="I2456" t="s">
        <v>131</v>
      </c>
      <c r="J2456" t="s">
        <v>131</v>
      </c>
      <c r="K2456" s="17">
        <v>0</v>
      </c>
      <c r="L2456" s="28"/>
    </row>
    <row r="2457" spans="1:12" ht="14.5" customHeight="1" x14ac:dyDescent="0.2">
      <c r="A2457">
        <v>2017</v>
      </c>
      <c r="B2457" t="s">
        <v>225</v>
      </c>
      <c r="C2457" t="s">
        <v>1507</v>
      </c>
      <c r="D2457" s="65">
        <v>100</v>
      </c>
      <c r="E2457" s="33"/>
      <c r="F2457" t="s">
        <v>1508</v>
      </c>
      <c r="G2457" t="s">
        <v>147</v>
      </c>
      <c r="I2457" t="s">
        <v>9</v>
      </c>
      <c r="J2457" t="s">
        <v>9</v>
      </c>
      <c r="K2457" s="17">
        <v>0</v>
      </c>
      <c r="L2457" s="28"/>
    </row>
    <row r="2458" spans="1:12" ht="14.5" customHeight="1" x14ac:dyDescent="0.2">
      <c r="A2458">
        <v>2017</v>
      </c>
      <c r="B2458" t="s">
        <v>225</v>
      </c>
      <c r="C2458" t="s">
        <v>1509</v>
      </c>
      <c r="D2458" s="65">
        <v>1240</v>
      </c>
      <c r="E2458" s="33"/>
      <c r="G2458" t="s">
        <v>154</v>
      </c>
      <c r="H2458" t="s">
        <v>194</v>
      </c>
      <c r="I2458" t="s">
        <v>45</v>
      </c>
      <c r="J2458" t="s">
        <v>195</v>
      </c>
      <c r="K2458" s="17">
        <v>0</v>
      </c>
      <c r="L2458" s="28" t="s">
        <v>178</v>
      </c>
    </row>
    <row r="2459" spans="1:12" ht="14.5" customHeight="1" x14ac:dyDescent="0.2">
      <c r="A2459">
        <v>2017</v>
      </c>
      <c r="B2459" t="s">
        <v>225</v>
      </c>
      <c r="C2459" t="s">
        <v>1510</v>
      </c>
      <c r="D2459" s="65">
        <v>560</v>
      </c>
      <c r="E2459" s="33"/>
      <c r="F2459" t="s">
        <v>1511</v>
      </c>
      <c r="G2459" t="s">
        <v>152</v>
      </c>
      <c r="H2459" t="s">
        <v>257</v>
      </c>
      <c r="I2459" t="s">
        <v>47</v>
      </c>
      <c r="J2459" t="s">
        <v>195</v>
      </c>
      <c r="K2459" s="17">
        <v>1</v>
      </c>
      <c r="L2459" s="28" t="s">
        <v>178</v>
      </c>
    </row>
    <row r="2460" spans="1:12" ht="14.5" customHeight="1" x14ac:dyDescent="0.2">
      <c r="A2460">
        <v>2017</v>
      </c>
      <c r="B2460" t="s">
        <v>225</v>
      </c>
      <c r="C2460" t="s">
        <v>397</v>
      </c>
      <c r="D2460" s="65">
        <v>140</v>
      </c>
      <c r="E2460" s="33"/>
      <c r="G2460" t="s">
        <v>151</v>
      </c>
      <c r="H2460" t="s">
        <v>224</v>
      </c>
      <c r="I2460" t="s">
        <v>131</v>
      </c>
      <c r="J2460" t="s">
        <v>131</v>
      </c>
      <c r="K2460" s="17">
        <v>0</v>
      </c>
      <c r="L2460" s="28"/>
    </row>
    <row r="2461" spans="1:12" x14ac:dyDescent="0.2">
      <c r="A2461">
        <v>2017</v>
      </c>
      <c r="B2461" t="s">
        <v>225</v>
      </c>
      <c r="C2461" t="s">
        <v>1089</v>
      </c>
      <c r="D2461" s="65">
        <v>190</v>
      </c>
      <c r="E2461" s="33"/>
      <c r="F2461" t="s">
        <v>1512</v>
      </c>
      <c r="G2461" t="s">
        <v>144</v>
      </c>
      <c r="H2461" t="s">
        <v>187</v>
      </c>
      <c r="I2461" t="s">
        <v>25</v>
      </c>
      <c r="J2461" t="s">
        <v>177</v>
      </c>
      <c r="K2461" s="17">
        <v>0</v>
      </c>
      <c r="L2461" s="28"/>
    </row>
    <row r="2462" spans="1:12" ht="14.5" customHeight="1" x14ac:dyDescent="0.2">
      <c r="A2462">
        <v>2017</v>
      </c>
      <c r="B2462" t="s">
        <v>225</v>
      </c>
      <c r="C2462" s="17" t="s">
        <v>630</v>
      </c>
      <c r="D2462" s="65">
        <v>1420</v>
      </c>
      <c r="E2462" s="33">
        <v>0.18</v>
      </c>
      <c r="F2462" t="s">
        <v>691</v>
      </c>
      <c r="G2462" t="s">
        <v>151</v>
      </c>
      <c r="H2462" t="s">
        <v>279</v>
      </c>
      <c r="I2462" t="s">
        <v>45</v>
      </c>
      <c r="J2462" t="s">
        <v>195</v>
      </c>
      <c r="K2462" s="17">
        <v>0</v>
      </c>
      <c r="L2462" s="28"/>
    </row>
    <row r="2463" spans="1:12" ht="14.5" customHeight="1" x14ac:dyDescent="0.2">
      <c r="A2463">
        <v>2017</v>
      </c>
      <c r="B2463" t="s">
        <v>225</v>
      </c>
      <c r="C2463" t="s">
        <v>1178</v>
      </c>
      <c r="D2463" s="65">
        <v>120</v>
      </c>
      <c r="E2463" s="33"/>
      <c r="F2463" t="s">
        <v>1513</v>
      </c>
      <c r="G2463" t="s">
        <v>147</v>
      </c>
      <c r="I2463" t="s">
        <v>9</v>
      </c>
      <c r="J2463" t="s">
        <v>9</v>
      </c>
      <c r="K2463" s="17">
        <v>0</v>
      </c>
      <c r="L2463" s="28"/>
    </row>
    <row r="2464" spans="1:12" ht="14.5" customHeight="1" x14ac:dyDescent="0.2">
      <c r="A2464">
        <v>2017</v>
      </c>
      <c r="B2464" t="s">
        <v>225</v>
      </c>
      <c r="C2464" t="s">
        <v>596</v>
      </c>
      <c r="D2464" s="65">
        <v>250</v>
      </c>
      <c r="E2464" s="33">
        <v>1</v>
      </c>
      <c r="G2464" t="s">
        <v>144</v>
      </c>
      <c r="H2464" t="s">
        <v>232</v>
      </c>
      <c r="I2464" t="s">
        <v>131</v>
      </c>
      <c r="J2464" t="s">
        <v>131</v>
      </c>
      <c r="K2464" s="17">
        <v>0</v>
      </c>
      <c r="L2464" s="28"/>
    </row>
    <row r="2465" spans="1:12" ht="14.5" customHeight="1" x14ac:dyDescent="0.2">
      <c r="A2465">
        <v>2017</v>
      </c>
      <c r="B2465" t="s">
        <v>225</v>
      </c>
      <c r="C2465" t="s">
        <v>962</v>
      </c>
      <c r="D2465" s="65">
        <v>390</v>
      </c>
      <c r="E2465" s="33"/>
      <c r="F2465" t="s">
        <v>264</v>
      </c>
      <c r="G2465" t="s">
        <v>153</v>
      </c>
      <c r="I2465" t="s">
        <v>85</v>
      </c>
      <c r="J2465" t="s">
        <v>195</v>
      </c>
      <c r="K2465" s="17">
        <v>0</v>
      </c>
      <c r="L2465" s="28"/>
    </row>
    <row r="2466" spans="1:12" ht="14.5" customHeight="1" x14ac:dyDescent="0.2">
      <c r="A2466">
        <v>2017</v>
      </c>
      <c r="B2466" t="s">
        <v>225</v>
      </c>
      <c r="C2466" t="s">
        <v>479</v>
      </c>
      <c r="D2466" s="65">
        <v>470</v>
      </c>
      <c r="E2466" s="33"/>
      <c r="G2466" t="s">
        <v>144</v>
      </c>
      <c r="H2466" t="s">
        <v>273</v>
      </c>
      <c r="I2466" t="s">
        <v>93</v>
      </c>
      <c r="J2466" t="s">
        <v>201</v>
      </c>
      <c r="K2466" s="17">
        <v>1</v>
      </c>
      <c r="L2466" s="28" t="s">
        <v>178</v>
      </c>
    </row>
    <row r="2467" spans="1:12" ht="14.5" customHeight="1" x14ac:dyDescent="0.2">
      <c r="A2467">
        <v>2017</v>
      </c>
      <c r="B2467" t="s">
        <v>188</v>
      </c>
      <c r="C2467" t="s">
        <v>661</v>
      </c>
      <c r="D2467" s="65">
        <v>260</v>
      </c>
      <c r="E2467" s="33"/>
      <c r="F2467" t="s">
        <v>1514</v>
      </c>
      <c r="G2467" t="s">
        <v>145</v>
      </c>
      <c r="I2467" t="s">
        <v>131</v>
      </c>
      <c r="J2467" t="s">
        <v>131</v>
      </c>
      <c r="K2467" s="17">
        <v>0</v>
      </c>
      <c r="L2467" s="28"/>
    </row>
    <row r="2468" spans="1:12" ht="14.5" customHeight="1" x14ac:dyDescent="0.2">
      <c r="A2468">
        <v>2017</v>
      </c>
      <c r="B2468" t="s">
        <v>188</v>
      </c>
      <c r="C2468" t="s">
        <v>1515</v>
      </c>
      <c r="D2468" s="65">
        <v>180</v>
      </c>
      <c r="E2468" s="33">
        <v>0.89</v>
      </c>
      <c r="F2468" t="s">
        <v>1516</v>
      </c>
      <c r="G2468" t="s">
        <v>150</v>
      </c>
      <c r="I2468" t="s">
        <v>42</v>
      </c>
      <c r="J2468" t="s">
        <v>195</v>
      </c>
      <c r="K2468" s="17">
        <v>0</v>
      </c>
      <c r="L2468" s="28"/>
    </row>
    <row r="2469" spans="1:12" ht="14.5" customHeight="1" x14ac:dyDescent="0.2">
      <c r="A2469">
        <v>2017</v>
      </c>
      <c r="B2469" t="s">
        <v>188</v>
      </c>
      <c r="C2469" t="s">
        <v>1517</v>
      </c>
      <c r="D2469" s="65">
        <v>120</v>
      </c>
      <c r="E2469" s="33">
        <v>0.5</v>
      </c>
      <c r="F2469" t="s">
        <v>1518</v>
      </c>
      <c r="G2469" t="s">
        <v>146</v>
      </c>
      <c r="H2469" t="s">
        <v>253</v>
      </c>
      <c r="I2469" t="s">
        <v>72</v>
      </c>
      <c r="J2469" t="s">
        <v>183</v>
      </c>
      <c r="K2469" s="17">
        <v>1</v>
      </c>
      <c r="L2469" s="28"/>
    </row>
    <row r="2470" spans="1:12" ht="14.5" customHeight="1" x14ac:dyDescent="0.2">
      <c r="A2470">
        <v>2017</v>
      </c>
      <c r="B2470" t="s">
        <v>188</v>
      </c>
      <c r="C2470" t="s">
        <v>221</v>
      </c>
      <c r="D2470" s="65">
        <v>110</v>
      </c>
      <c r="E2470" s="33">
        <v>0.6</v>
      </c>
      <c r="F2470" t="s">
        <v>1519</v>
      </c>
      <c r="G2470" t="s">
        <v>146</v>
      </c>
      <c r="H2470" t="s">
        <v>275</v>
      </c>
      <c r="I2470" t="s">
        <v>63</v>
      </c>
      <c r="J2470" t="s">
        <v>201</v>
      </c>
      <c r="K2470" s="17">
        <v>1</v>
      </c>
      <c r="L2470" s="28"/>
    </row>
    <row r="2471" spans="1:12" ht="14.5" customHeight="1" x14ac:dyDescent="0.2">
      <c r="A2471">
        <v>2017</v>
      </c>
      <c r="B2471" t="s">
        <v>188</v>
      </c>
      <c r="C2471" t="s">
        <v>269</v>
      </c>
      <c r="D2471" s="65">
        <v>230</v>
      </c>
      <c r="E2471" s="33">
        <v>0.51</v>
      </c>
      <c r="G2471" t="s">
        <v>154</v>
      </c>
      <c r="H2471" t="s">
        <v>271</v>
      </c>
      <c r="I2471" t="s">
        <v>114</v>
      </c>
      <c r="J2471" t="s">
        <v>195</v>
      </c>
      <c r="K2471" s="17">
        <v>0</v>
      </c>
      <c r="L2471" s="28"/>
    </row>
    <row r="2472" spans="1:12" ht="14.5" customHeight="1" x14ac:dyDescent="0.2">
      <c r="A2472">
        <v>2017</v>
      </c>
      <c r="B2472" t="s">
        <v>188</v>
      </c>
      <c r="C2472" t="s">
        <v>1520</v>
      </c>
      <c r="D2472" s="65">
        <v>400</v>
      </c>
      <c r="E2472" s="33"/>
      <c r="F2472" t="s">
        <v>1521</v>
      </c>
      <c r="G2472" t="s">
        <v>150</v>
      </c>
      <c r="H2472" t="s">
        <v>556</v>
      </c>
      <c r="I2472" t="s">
        <v>20</v>
      </c>
      <c r="J2472" t="s">
        <v>195</v>
      </c>
      <c r="K2472" s="17">
        <v>0</v>
      </c>
      <c r="L2472" s="28"/>
    </row>
    <row r="2473" spans="1:12" ht="14.5" customHeight="1" x14ac:dyDescent="0.2">
      <c r="A2473">
        <v>2017</v>
      </c>
      <c r="B2473" t="s">
        <v>188</v>
      </c>
      <c r="C2473" t="s">
        <v>438</v>
      </c>
      <c r="D2473" s="65">
        <v>110</v>
      </c>
      <c r="E2473" s="33">
        <v>0.5</v>
      </c>
      <c r="F2473" t="s">
        <v>1522</v>
      </c>
      <c r="G2473" t="s">
        <v>154</v>
      </c>
      <c r="H2473" t="s">
        <v>194</v>
      </c>
      <c r="I2473" t="s">
        <v>72</v>
      </c>
      <c r="J2473" t="s">
        <v>183</v>
      </c>
      <c r="K2473" s="17">
        <v>1</v>
      </c>
      <c r="L2473" s="28"/>
    </row>
    <row r="2474" spans="1:12" ht="14.5" customHeight="1" x14ac:dyDescent="0.2">
      <c r="A2474">
        <v>2017</v>
      </c>
      <c r="B2474" t="s">
        <v>188</v>
      </c>
      <c r="C2474" t="s">
        <v>389</v>
      </c>
      <c r="D2474" s="65">
        <v>1480</v>
      </c>
      <c r="E2474" s="33"/>
      <c r="F2474" t="s">
        <v>315</v>
      </c>
      <c r="G2474" t="s">
        <v>144</v>
      </c>
      <c r="H2474" t="s">
        <v>273</v>
      </c>
      <c r="I2474" t="s">
        <v>9</v>
      </c>
      <c r="J2474" t="s">
        <v>9</v>
      </c>
      <c r="K2474" s="17">
        <v>0</v>
      </c>
      <c r="L2474" s="28"/>
    </row>
    <row r="2475" spans="1:12" ht="14.5" customHeight="1" x14ac:dyDescent="0.2">
      <c r="A2475">
        <v>2017</v>
      </c>
      <c r="B2475" t="s">
        <v>188</v>
      </c>
      <c r="C2475" t="s">
        <v>389</v>
      </c>
      <c r="D2475" s="65">
        <v>710</v>
      </c>
      <c r="E2475" s="33">
        <v>0.28999999999999998</v>
      </c>
      <c r="F2475" t="s">
        <v>1523</v>
      </c>
      <c r="G2475" t="s">
        <v>144</v>
      </c>
      <c r="H2475" t="s">
        <v>273</v>
      </c>
      <c r="I2475" t="s">
        <v>9</v>
      </c>
      <c r="J2475" t="s">
        <v>9</v>
      </c>
      <c r="K2475" s="17">
        <v>0</v>
      </c>
      <c r="L2475" s="28"/>
    </row>
    <row r="2476" spans="1:12" ht="14.5" customHeight="1" x14ac:dyDescent="0.2">
      <c r="A2476">
        <v>2017</v>
      </c>
      <c r="B2476" t="s">
        <v>188</v>
      </c>
      <c r="C2476" t="s">
        <v>1524</v>
      </c>
      <c r="D2476" s="65">
        <v>43060</v>
      </c>
      <c r="E2476" s="33">
        <v>0.98</v>
      </c>
      <c r="F2476" t="s">
        <v>1525</v>
      </c>
      <c r="G2476" t="s">
        <v>142</v>
      </c>
      <c r="I2476" t="s">
        <v>119</v>
      </c>
      <c r="J2476" t="s">
        <v>195</v>
      </c>
      <c r="K2476" s="17">
        <v>0</v>
      </c>
      <c r="L2476" s="28"/>
    </row>
    <row r="2477" spans="1:12" ht="14.5" customHeight="1" x14ac:dyDescent="0.2">
      <c r="A2477">
        <v>2017</v>
      </c>
      <c r="B2477" t="s">
        <v>188</v>
      </c>
      <c r="C2477" t="s">
        <v>1526</v>
      </c>
      <c r="D2477" s="65">
        <v>600</v>
      </c>
      <c r="E2477" s="33">
        <v>1</v>
      </c>
      <c r="G2477" t="s">
        <v>151</v>
      </c>
      <c r="H2477" t="s">
        <v>224</v>
      </c>
      <c r="I2477" t="s">
        <v>20</v>
      </c>
      <c r="J2477" t="s">
        <v>195</v>
      </c>
      <c r="K2477" s="17">
        <v>0</v>
      </c>
      <c r="L2477" s="28" t="s">
        <v>178</v>
      </c>
    </row>
    <row r="2478" spans="1:12" ht="14.5" customHeight="1" x14ac:dyDescent="0.2">
      <c r="A2478">
        <v>2017</v>
      </c>
      <c r="B2478" t="s">
        <v>188</v>
      </c>
      <c r="C2478" t="s">
        <v>724</v>
      </c>
      <c r="D2478" s="65">
        <v>280</v>
      </c>
      <c r="E2478" s="33"/>
      <c r="G2478" t="s">
        <v>151</v>
      </c>
      <c r="H2478" t="s">
        <v>224</v>
      </c>
      <c r="I2478" t="s">
        <v>72</v>
      </c>
      <c r="J2478" t="s">
        <v>183</v>
      </c>
      <c r="K2478" s="17">
        <v>1</v>
      </c>
      <c r="L2478" s="28" t="s">
        <v>178</v>
      </c>
    </row>
    <row r="2479" spans="1:12" ht="14.5" customHeight="1" x14ac:dyDescent="0.2">
      <c r="A2479">
        <v>2017</v>
      </c>
      <c r="B2479" t="s">
        <v>188</v>
      </c>
      <c r="C2479" t="s">
        <v>822</v>
      </c>
      <c r="D2479" s="65">
        <v>1000</v>
      </c>
      <c r="E2479" s="33">
        <v>0.32</v>
      </c>
      <c r="F2479" t="s">
        <v>1243</v>
      </c>
      <c r="G2479" t="s">
        <v>150</v>
      </c>
      <c r="H2479" t="s">
        <v>556</v>
      </c>
      <c r="I2479" t="s">
        <v>108</v>
      </c>
      <c r="J2479" t="s">
        <v>183</v>
      </c>
      <c r="K2479" s="17">
        <v>1</v>
      </c>
      <c r="L2479" s="28"/>
    </row>
    <row r="2480" spans="1:12" ht="14.5" customHeight="1" x14ac:dyDescent="0.2">
      <c r="A2480">
        <v>2017</v>
      </c>
      <c r="B2480" t="s">
        <v>188</v>
      </c>
      <c r="C2480" t="s">
        <v>1527</v>
      </c>
      <c r="D2480" s="65">
        <v>110</v>
      </c>
      <c r="E2480" s="33"/>
      <c r="F2480" t="s">
        <v>1528</v>
      </c>
      <c r="G2480" t="s">
        <v>154</v>
      </c>
      <c r="H2480" t="s">
        <v>194</v>
      </c>
      <c r="I2480" t="s">
        <v>131</v>
      </c>
      <c r="J2480" t="s">
        <v>131</v>
      </c>
      <c r="K2480" s="17">
        <v>0</v>
      </c>
      <c r="L2480" s="28"/>
    </row>
    <row r="2481" spans="1:12" ht="14.5" customHeight="1" x14ac:dyDescent="0.2">
      <c r="A2481">
        <v>2017</v>
      </c>
      <c r="B2481" t="s">
        <v>188</v>
      </c>
      <c r="C2481" t="s">
        <v>1236</v>
      </c>
      <c r="D2481" s="65">
        <v>180</v>
      </c>
      <c r="E2481" s="33">
        <v>0.3</v>
      </c>
      <c r="F2481" t="s">
        <v>1529</v>
      </c>
      <c r="G2481" t="s">
        <v>147</v>
      </c>
      <c r="I2481" t="s">
        <v>131</v>
      </c>
      <c r="J2481" t="s">
        <v>131</v>
      </c>
      <c r="K2481" s="17">
        <v>0</v>
      </c>
      <c r="L2481" s="28"/>
    </row>
    <row r="2482" spans="1:12" ht="14.5" customHeight="1" x14ac:dyDescent="0.2">
      <c r="A2482">
        <v>2017</v>
      </c>
      <c r="B2482" t="s">
        <v>188</v>
      </c>
      <c r="C2482" t="s">
        <v>248</v>
      </c>
      <c r="D2482" s="65">
        <v>230</v>
      </c>
      <c r="E2482" s="33"/>
      <c r="F2482" t="s">
        <v>1530</v>
      </c>
      <c r="G2482" t="s">
        <v>147</v>
      </c>
      <c r="I2482" t="s">
        <v>131</v>
      </c>
      <c r="J2482" t="s">
        <v>131</v>
      </c>
      <c r="K2482" s="17">
        <v>0</v>
      </c>
      <c r="L2482" s="28"/>
    </row>
    <row r="2483" spans="1:12" ht="14.5" customHeight="1" x14ac:dyDescent="0.2">
      <c r="A2483">
        <v>2017</v>
      </c>
      <c r="B2483" t="s">
        <v>188</v>
      </c>
      <c r="C2483" t="s">
        <v>653</v>
      </c>
      <c r="D2483" s="65">
        <v>250</v>
      </c>
      <c r="E2483" s="33"/>
      <c r="F2483" t="s">
        <v>1531</v>
      </c>
      <c r="G2483" t="s">
        <v>142</v>
      </c>
      <c r="I2483" t="s">
        <v>19</v>
      </c>
      <c r="J2483" t="s">
        <v>205</v>
      </c>
      <c r="K2483" s="17">
        <v>0</v>
      </c>
      <c r="L2483" s="28"/>
    </row>
    <row r="2484" spans="1:12" ht="14.5" customHeight="1" x14ac:dyDescent="0.2">
      <c r="A2484">
        <v>2017</v>
      </c>
      <c r="B2484" t="s">
        <v>188</v>
      </c>
      <c r="C2484" t="s">
        <v>479</v>
      </c>
      <c r="D2484" s="65">
        <v>110</v>
      </c>
      <c r="E2484" s="33"/>
      <c r="G2484" t="s">
        <v>150</v>
      </c>
      <c r="H2484" t="s">
        <v>217</v>
      </c>
      <c r="I2484" t="s">
        <v>13</v>
      </c>
      <c r="J2484" t="s">
        <v>201</v>
      </c>
      <c r="K2484" s="17">
        <v>1</v>
      </c>
      <c r="L2484" s="28" t="s">
        <v>178</v>
      </c>
    </row>
    <row r="2485" spans="1:12" ht="14.5" customHeight="1" x14ac:dyDescent="0.2">
      <c r="A2485">
        <v>2017</v>
      </c>
      <c r="B2485" t="s">
        <v>188</v>
      </c>
      <c r="C2485" t="s">
        <v>1339</v>
      </c>
      <c r="D2485" s="65">
        <v>250</v>
      </c>
      <c r="E2485" s="33">
        <v>1</v>
      </c>
      <c r="G2485" t="s">
        <v>149</v>
      </c>
      <c r="H2485" t="s">
        <v>182</v>
      </c>
      <c r="I2485" t="s">
        <v>68</v>
      </c>
      <c r="J2485" t="s">
        <v>219</v>
      </c>
      <c r="K2485" s="17">
        <v>1</v>
      </c>
      <c r="L2485" s="28" t="s">
        <v>178</v>
      </c>
    </row>
    <row r="2486" spans="1:12" ht="14.5" customHeight="1" x14ac:dyDescent="0.2">
      <c r="A2486">
        <v>2017</v>
      </c>
      <c r="B2486" t="s">
        <v>188</v>
      </c>
      <c r="C2486" t="s">
        <v>244</v>
      </c>
      <c r="D2486" s="65">
        <v>200</v>
      </c>
      <c r="E2486" s="33">
        <v>0.51</v>
      </c>
      <c r="F2486" t="s">
        <v>931</v>
      </c>
      <c r="G2486" t="s">
        <v>149</v>
      </c>
      <c r="I2486" t="s">
        <v>53</v>
      </c>
      <c r="J2486" t="s">
        <v>183</v>
      </c>
      <c r="K2486" s="17">
        <v>1</v>
      </c>
      <c r="L2486" s="28"/>
    </row>
    <row r="2487" spans="1:12" ht="14.5" customHeight="1" x14ac:dyDescent="0.2">
      <c r="A2487">
        <v>2017</v>
      </c>
      <c r="B2487" t="s">
        <v>188</v>
      </c>
      <c r="C2487" t="s">
        <v>1532</v>
      </c>
      <c r="D2487" s="65">
        <v>1830</v>
      </c>
      <c r="E2487" s="33"/>
      <c r="G2487" t="s">
        <v>153</v>
      </c>
      <c r="I2487" t="s">
        <v>113</v>
      </c>
      <c r="J2487" t="s">
        <v>183</v>
      </c>
      <c r="K2487" s="17">
        <v>0</v>
      </c>
      <c r="L2487" s="28"/>
    </row>
    <row r="2488" spans="1:12" ht="14.5" customHeight="1" x14ac:dyDescent="0.2">
      <c r="A2488">
        <v>2017</v>
      </c>
      <c r="B2488" t="s">
        <v>191</v>
      </c>
      <c r="C2488" t="s">
        <v>263</v>
      </c>
      <c r="D2488" s="65">
        <v>13790</v>
      </c>
      <c r="E2488" s="33">
        <v>1</v>
      </c>
      <c r="F2488" t="s">
        <v>264</v>
      </c>
      <c r="G2488" t="s">
        <v>148</v>
      </c>
      <c r="I2488" t="s">
        <v>20</v>
      </c>
      <c r="J2488" t="s">
        <v>195</v>
      </c>
      <c r="K2488" s="17">
        <v>0</v>
      </c>
      <c r="L2488" s="28"/>
    </row>
    <row r="2489" spans="1:12" ht="14.5" customHeight="1" x14ac:dyDescent="0.2">
      <c r="A2489">
        <v>2017</v>
      </c>
      <c r="B2489" t="s">
        <v>191</v>
      </c>
      <c r="C2489" t="s">
        <v>1533</v>
      </c>
      <c r="D2489" s="65">
        <v>1100</v>
      </c>
      <c r="E2489" s="33"/>
      <c r="F2489" t="s">
        <v>1534</v>
      </c>
      <c r="G2489" t="s">
        <v>142</v>
      </c>
      <c r="I2489" t="s">
        <v>19</v>
      </c>
      <c r="J2489" t="s">
        <v>205</v>
      </c>
      <c r="K2489" s="17">
        <v>0</v>
      </c>
      <c r="L2489" s="28"/>
    </row>
    <row r="2490" spans="1:12" ht="14.5" customHeight="1" x14ac:dyDescent="0.2">
      <c r="A2490">
        <v>2017</v>
      </c>
      <c r="B2490" t="s">
        <v>191</v>
      </c>
      <c r="C2490" t="s">
        <v>1535</v>
      </c>
      <c r="D2490" s="65">
        <v>730</v>
      </c>
      <c r="E2490" s="33"/>
      <c r="F2490" t="s">
        <v>1536</v>
      </c>
      <c r="G2490" t="s">
        <v>142</v>
      </c>
      <c r="I2490" t="s">
        <v>42</v>
      </c>
      <c r="J2490" t="s">
        <v>195</v>
      </c>
      <c r="K2490" s="17">
        <v>0</v>
      </c>
      <c r="L2490" s="28"/>
    </row>
    <row r="2491" spans="1:12" ht="14.5" customHeight="1" x14ac:dyDescent="0.2">
      <c r="A2491">
        <v>2017</v>
      </c>
      <c r="B2491" t="s">
        <v>191</v>
      </c>
      <c r="C2491" t="s">
        <v>1537</v>
      </c>
      <c r="D2491" s="65">
        <v>440</v>
      </c>
      <c r="E2491" s="33">
        <v>0.1</v>
      </c>
      <c r="F2491" t="s">
        <v>1538</v>
      </c>
      <c r="G2491" t="s">
        <v>154</v>
      </c>
      <c r="H2491" t="s">
        <v>250</v>
      </c>
      <c r="I2491" t="s">
        <v>42</v>
      </c>
      <c r="J2491" t="s">
        <v>195</v>
      </c>
      <c r="K2491" s="17">
        <v>0</v>
      </c>
      <c r="L2491" s="28"/>
    </row>
    <row r="2492" spans="1:12" ht="14.5" customHeight="1" x14ac:dyDescent="0.2">
      <c r="A2492">
        <v>2017</v>
      </c>
      <c r="B2492" t="s">
        <v>191</v>
      </c>
      <c r="C2492" t="s">
        <v>263</v>
      </c>
      <c r="D2492" s="65">
        <v>190</v>
      </c>
      <c r="E2492" s="33">
        <v>0.16</v>
      </c>
      <c r="F2492" t="s">
        <v>333</v>
      </c>
      <c r="G2492" t="s">
        <v>151</v>
      </c>
      <c r="H2492" t="s">
        <v>224</v>
      </c>
      <c r="I2492" t="s">
        <v>131</v>
      </c>
      <c r="J2492" t="s">
        <v>131</v>
      </c>
      <c r="K2492" s="17">
        <v>0</v>
      </c>
      <c r="L2492" s="28"/>
    </row>
    <row r="2493" spans="1:12" ht="14.5" customHeight="1" x14ac:dyDescent="0.2">
      <c r="A2493">
        <v>2017</v>
      </c>
      <c r="B2493" t="s">
        <v>191</v>
      </c>
      <c r="C2493" t="s">
        <v>454</v>
      </c>
      <c r="D2493" s="65">
        <v>150</v>
      </c>
      <c r="E2493" s="33"/>
      <c r="F2493" t="s">
        <v>1539</v>
      </c>
      <c r="G2493" t="s">
        <v>154</v>
      </c>
      <c r="H2493" t="s">
        <v>194</v>
      </c>
      <c r="I2493" t="s">
        <v>53</v>
      </c>
      <c r="J2493" t="s">
        <v>183</v>
      </c>
      <c r="K2493" s="17">
        <v>1</v>
      </c>
      <c r="L2493" s="28"/>
    </row>
    <row r="2494" spans="1:12" ht="14.5" customHeight="1" x14ac:dyDescent="0.2">
      <c r="A2494">
        <v>2017</v>
      </c>
      <c r="B2494" t="s">
        <v>191</v>
      </c>
      <c r="C2494" t="s">
        <v>1344</v>
      </c>
      <c r="D2494" s="65">
        <v>500</v>
      </c>
      <c r="E2494" s="33"/>
      <c r="F2494" t="s">
        <v>1143</v>
      </c>
      <c r="G2494" t="s">
        <v>154</v>
      </c>
      <c r="H2494" t="s">
        <v>194</v>
      </c>
      <c r="I2494" t="s">
        <v>108</v>
      </c>
      <c r="J2494" t="s">
        <v>183</v>
      </c>
      <c r="K2494" s="17">
        <v>1</v>
      </c>
      <c r="L2494" s="28"/>
    </row>
    <row r="2495" spans="1:12" ht="14.5" customHeight="1" x14ac:dyDescent="0.2">
      <c r="A2495">
        <v>2017</v>
      </c>
      <c r="B2495" t="s">
        <v>191</v>
      </c>
      <c r="C2495" t="s">
        <v>1540</v>
      </c>
      <c r="D2495" s="65">
        <v>190</v>
      </c>
      <c r="E2495" s="33"/>
      <c r="F2495" t="s">
        <v>1541</v>
      </c>
      <c r="G2495" t="s">
        <v>151</v>
      </c>
      <c r="H2495" t="s">
        <v>224</v>
      </c>
      <c r="I2495" t="s">
        <v>52</v>
      </c>
      <c r="J2495" t="s">
        <v>201</v>
      </c>
      <c r="K2495" s="17">
        <v>0</v>
      </c>
      <c r="L2495" s="28" t="s">
        <v>178</v>
      </c>
    </row>
    <row r="2496" spans="1:12" ht="14.5" customHeight="1" x14ac:dyDescent="0.2">
      <c r="A2496">
        <v>2017</v>
      </c>
      <c r="B2496" t="s">
        <v>191</v>
      </c>
      <c r="C2496" t="s">
        <v>724</v>
      </c>
      <c r="D2496" s="65">
        <v>300</v>
      </c>
      <c r="E2496" s="33"/>
      <c r="G2496" t="s">
        <v>151</v>
      </c>
      <c r="H2496" t="s">
        <v>224</v>
      </c>
      <c r="I2496" t="s">
        <v>9</v>
      </c>
      <c r="J2496" t="s">
        <v>9</v>
      </c>
      <c r="K2496" s="17">
        <v>0</v>
      </c>
      <c r="L2496" s="28" t="s">
        <v>178</v>
      </c>
    </row>
    <row r="2497" spans="1:12" ht="14.5" customHeight="1" x14ac:dyDescent="0.2">
      <c r="A2497">
        <v>2017</v>
      </c>
      <c r="B2497" t="s">
        <v>191</v>
      </c>
      <c r="C2497" t="s">
        <v>1091</v>
      </c>
      <c r="D2497" s="65">
        <v>210</v>
      </c>
      <c r="E2497" s="33">
        <v>0.7</v>
      </c>
      <c r="G2497" t="s">
        <v>151</v>
      </c>
      <c r="H2497" t="s">
        <v>279</v>
      </c>
      <c r="I2497" t="s">
        <v>67</v>
      </c>
      <c r="J2497" t="s">
        <v>183</v>
      </c>
      <c r="K2497" s="17">
        <v>1</v>
      </c>
      <c r="L2497" s="28" t="s">
        <v>178</v>
      </c>
    </row>
    <row r="2498" spans="1:12" x14ac:dyDescent="0.2">
      <c r="A2498">
        <v>2017</v>
      </c>
      <c r="B2498" t="s">
        <v>191</v>
      </c>
      <c r="C2498" t="s">
        <v>1542</v>
      </c>
      <c r="D2498" s="65">
        <v>300</v>
      </c>
      <c r="E2498" s="33"/>
      <c r="G2498" t="s">
        <v>150</v>
      </c>
      <c r="H2498" t="s">
        <v>217</v>
      </c>
      <c r="I2498" t="s">
        <v>130</v>
      </c>
      <c r="J2498" t="s">
        <v>214</v>
      </c>
      <c r="K2498" s="17">
        <v>1</v>
      </c>
      <c r="L2498" s="28" t="s">
        <v>178</v>
      </c>
    </row>
    <row r="2499" spans="1:12" ht="14.5" customHeight="1" x14ac:dyDescent="0.2">
      <c r="A2499">
        <v>2017</v>
      </c>
      <c r="B2499" t="s">
        <v>191</v>
      </c>
      <c r="C2499" t="s">
        <v>1543</v>
      </c>
      <c r="D2499" s="65">
        <v>240</v>
      </c>
      <c r="E2499" s="33">
        <v>0.7</v>
      </c>
      <c r="F2499" t="s">
        <v>1544</v>
      </c>
      <c r="G2499" t="s">
        <v>147</v>
      </c>
      <c r="I2499" t="s">
        <v>9</v>
      </c>
      <c r="J2499" t="s">
        <v>9</v>
      </c>
      <c r="K2499" s="17">
        <v>0</v>
      </c>
      <c r="L2499" s="28"/>
    </row>
    <row r="2500" spans="1:12" ht="14.5" customHeight="1" x14ac:dyDescent="0.2">
      <c r="A2500">
        <v>2017</v>
      </c>
      <c r="B2500" t="s">
        <v>191</v>
      </c>
      <c r="C2500" t="s">
        <v>1545</v>
      </c>
      <c r="D2500" s="65">
        <v>290</v>
      </c>
      <c r="E2500" s="33">
        <v>1</v>
      </c>
      <c r="F2500" t="s">
        <v>1546</v>
      </c>
      <c r="G2500" t="s">
        <v>150</v>
      </c>
      <c r="H2500" t="s">
        <v>226</v>
      </c>
      <c r="I2500" t="s">
        <v>118</v>
      </c>
      <c r="J2500" t="s">
        <v>195</v>
      </c>
      <c r="K2500" s="17">
        <v>0</v>
      </c>
      <c r="L2500" s="28"/>
    </row>
    <row r="2501" spans="1:12" ht="14.5" customHeight="1" x14ac:dyDescent="0.2">
      <c r="A2501">
        <v>2017</v>
      </c>
      <c r="B2501" t="s">
        <v>191</v>
      </c>
      <c r="C2501" t="s">
        <v>1547</v>
      </c>
      <c r="D2501" s="65">
        <v>160</v>
      </c>
      <c r="E2501" s="33"/>
      <c r="F2501" t="s">
        <v>1548</v>
      </c>
      <c r="G2501" t="s">
        <v>147</v>
      </c>
      <c r="I2501" t="s">
        <v>131</v>
      </c>
      <c r="J2501" t="s">
        <v>131</v>
      </c>
      <c r="K2501" s="17">
        <v>0</v>
      </c>
      <c r="L2501" s="28"/>
    </row>
    <row r="2502" spans="1:12" ht="14.5" customHeight="1" x14ac:dyDescent="0.2">
      <c r="A2502">
        <v>2017</v>
      </c>
      <c r="B2502" t="s">
        <v>191</v>
      </c>
      <c r="C2502" t="s">
        <v>1071</v>
      </c>
      <c r="D2502" s="65">
        <v>160</v>
      </c>
      <c r="E2502" s="33"/>
      <c r="G2502" t="s">
        <v>153</v>
      </c>
      <c r="I2502" t="s">
        <v>25</v>
      </c>
      <c r="J2502" t="s">
        <v>177</v>
      </c>
      <c r="K2502" s="17">
        <v>0</v>
      </c>
      <c r="L2502" s="28"/>
    </row>
    <row r="2503" spans="1:12" ht="14.5" customHeight="1" x14ac:dyDescent="0.2">
      <c r="A2503">
        <v>2017</v>
      </c>
      <c r="B2503" t="s">
        <v>191</v>
      </c>
      <c r="C2503" t="s">
        <v>554</v>
      </c>
      <c r="D2503" s="65">
        <v>140</v>
      </c>
      <c r="E2503" s="33"/>
      <c r="F2503" t="s">
        <v>1549</v>
      </c>
      <c r="G2503" t="s">
        <v>151</v>
      </c>
      <c r="H2503" t="s">
        <v>224</v>
      </c>
      <c r="I2503" t="s">
        <v>19</v>
      </c>
      <c r="J2503" t="s">
        <v>205</v>
      </c>
      <c r="K2503" s="17">
        <v>0</v>
      </c>
      <c r="L2503" s="28"/>
    </row>
    <row r="2504" spans="1:12" ht="14.5" customHeight="1" x14ac:dyDescent="0.2">
      <c r="A2504">
        <v>2017</v>
      </c>
      <c r="B2504" t="s">
        <v>198</v>
      </c>
      <c r="C2504" t="s">
        <v>927</v>
      </c>
      <c r="D2504" s="65">
        <v>1760</v>
      </c>
      <c r="E2504" s="33">
        <v>0.9</v>
      </c>
      <c r="F2504" t="s">
        <v>1550</v>
      </c>
      <c r="G2504" t="s">
        <v>146</v>
      </c>
      <c r="H2504" t="s">
        <v>275</v>
      </c>
      <c r="I2504" t="s">
        <v>69</v>
      </c>
      <c r="J2504" t="s">
        <v>195</v>
      </c>
      <c r="K2504" s="17">
        <v>1</v>
      </c>
      <c r="L2504" s="28"/>
    </row>
    <row r="2505" spans="1:12" ht="14.5" customHeight="1" x14ac:dyDescent="0.2">
      <c r="A2505">
        <v>2017</v>
      </c>
      <c r="B2505" t="s">
        <v>198</v>
      </c>
      <c r="C2505" t="s">
        <v>1520</v>
      </c>
      <c r="D2505" s="65">
        <v>100</v>
      </c>
      <c r="E2505" s="33"/>
      <c r="F2505" t="s">
        <v>1539</v>
      </c>
      <c r="G2505" t="s">
        <v>154</v>
      </c>
      <c r="H2505" t="s">
        <v>194</v>
      </c>
      <c r="I2505" t="s">
        <v>53</v>
      </c>
      <c r="J2505" t="s">
        <v>183</v>
      </c>
      <c r="K2505" s="17">
        <v>1</v>
      </c>
      <c r="L2505" s="28"/>
    </row>
    <row r="2506" spans="1:12" ht="14.5" customHeight="1" x14ac:dyDescent="0.2">
      <c r="A2506">
        <v>2017</v>
      </c>
      <c r="B2506" t="s">
        <v>198</v>
      </c>
      <c r="C2506" t="s">
        <v>1551</v>
      </c>
      <c r="D2506" s="65">
        <v>220</v>
      </c>
      <c r="E2506" s="33">
        <v>0.18</v>
      </c>
      <c r="F2506" t="s">
        <v>1552</v>
      </c>
      <c r="G2506" t="s">
        <v>151</v>
      </c>
      <c r="H2506" t="s">
        <v>224</v>
      </c>
      <c r="I2506" t="s">
        <v>108</v>
      </c>
      <c r="J2506" t="s">
        <v>183</v>
      </c>
      <c r="K2506" s="17">
        <v>1</v>
      </c>
      <c r="L2506" s="28"/>
    </row>
    <row r="2507" spans="1:12" ht="14.5" customHeight="1" x14ac:dyDescent="0.2">
      <c r="A2507">
        <v>2017</v>
      </c>
      <c r="B2507" t="s">
        <v>198</v>
      </c>
      <c r="C2507" t="s">
        <v>822</v>
      </c>
      <c r="D2507" s="65">
        <v>500</v>
      </c>
      <c r="E2507" s="33"/>
      <c r="F2507" t="s">
        <v>1553</v>
      </c>
      <c r="G2507" t="s">
        <v>150</v>
      </c>
      <c r="H2507" t="s">
        <v>556</v>
      </c>
      <c r="I2507" t="s">
        <v>53</v>
      </c>
      <c r="J2507" t="s">
        <v>183</v>
      </c>
      <c r="K2507" s="17">
        <v>1</v>
      </c>
      <c r="L2507" s="28"/>
    </row>
    <row r="2508" spans="1:12" ht="14.5" customHeight="1" x14ac:dyDescent="0.2">
      <c r="A2508">
        <v>2017</v>
      </c>
      <c r="B2508" t="s">
        <v>198</v>
      </c>
      <c r="C2508" t="s">
        <v>1554</v>
      </c>
      <c r="D2508" s="65">
        <v>270</v>
      </c>
      <c r="E2508" s="33">
        <v>0.8</v>
      </c>
      <c r="F2508" t="s">
        <v>1555</v>
      </c>
      <c r="G2508" t="s">
        <v>145</v>
      </c>
      <c r="I2508" t="s">
        <v>20</v>
      </c>
      <c r="J2508" t="s">
        <v>195</v>
      </c>
      <c r="K2508" s="17">
        <v>0</v>
      </c>
      <c r="L2508" s="28"/>
    </row>
    <row r="2509" spans="1:12" ht="14.5" customHeight="1" x14ac:dyDescent="0.2">
      <c r="A2509">
        <v>2017</v>
      </c>
      <c r="B2509" t="s">
        <v>198</v>
      </c>
      <c r="C2509" t="s">
        <v>1431</v>
      </c>
      <c r="D2509" s="65">
        <v>770</v>
      </c>
      <c r="E2509" s="33"/>
      <c r="F2509" t="s">
        <v>1556</v>
      </c>
      <c r="G2509" t="s">
        <v>154</v>
      </c>
      <c r="H2509" t="s">
        <v>194</v>
      </c>
      <c r="I2509" t="s">
        <v>45</v>
      </c>
      <c r="J2509" t="s">
        <v>195</v>
      </c>
      <c r="K2509" s="17">
        <v>0</v>
      </c>
      <c r="L2509" s="28"/>
    </row>
    <row r="2510" spans="1:12" ht="14.5" customHeight="1" x14ac:dyDescent="0.2">
      <c r="A2510">
        <v>2017</v>
      </c>
      <c r="B2510" t="s">
        <v>198</v>
      </c>
      <c r="C2510" t="s">
        <v>1557</v>
      </c>
      <c r="D2510" s="65">
        <v>100</v>
      </c>
      <c r="E2510" s="33">
        <v>1</v>
      </c>
      <c r="G2510" t="s">
        <v>150</v>
      </c>
      <c r="H2510" t="s">
        <v>556</v>
      </c>
      <c r="I2510" t="s">
        <v>98</v>
      </c>
      <c r="J2510" t="s">
        <v>195</v>
      </c>
      <c r="K2510" s="17">
        <v>1</v>
      </c>
      <c r="L2510" s="28" t="s">
        <v>178</v>
      </c>
    </row>
    <row r="2511" spans="1:12" ht="14.5" customHeight="1" x14ac:dyDescent="0.2">
      <c r="A2511">
        <v>2017</v>
      </c>
      <c r="B2511" t="s">
        <v>198</v>
      </c>
      <c r="C2511" t="s">
        <v>596</v>
      </c>
      <c r="D2511" s="65">
        <v>110</v>
      </c>
      <c r="E2511" s="33">
        <v>1</v>
      </c>
      <c r="F2511" t="s">
        <v>1558</v>
      </c>
      <c r="G2511" t="s">
        <v>155</v>
      </c>
      <c r="I2511" t="s">
        <v>103</v>
      </c>
      <c r="J2511" t="s">
        <v>183</v>
      </c>
      <c r="K2511" s="17">
        <v>1</v>
      </c>
      <c r="L2511" s="28"/>
    </row>
    <row r="2512" spans="1:12" ht="14.5" customHeight="1" x14ac:dyDescent="0.2">
      <c r="A2512">
        <v>2017</v>
      </c>
      <c r="B2512" t="s">
        <v>198</v>
      </c>
      <c r="C2512" t="s">
        <v>1559</v>
      </c>
      <c r="D2512" s="65">
        <v>220</v>
      </c>
      <c r="E2512" s="33"/>
      <c r="G2512" t="s">
        <v>152</v>
      </c>
      <c r="I2512" t="s">
        <v>15</v>
      </c>
      <c r="J2512" t="s">
        <v>195</v>
      </c>
      <c r="K2512" s="17">
        <v>0</v>
      </c>
      <c r="L2512" s="28" t="s">
        <v>178</v>
      </c>
    </row>
    <row r="2513" spans="1:12" ht="14.5" customHeight="1" x14ac:dyDescent="0.2">
      <c r="A2513">
        <v>2017</v>
      </c>
      <c r="B2513" t="s">
        <v>198</v>
      </c>
      <c r="C2513" t="s">
        <v>1560</v>
      </c>
      <c r="D2513" s="65">
        <v>130</v>
      </c>
      <c r="E2513" s="33">
        <v>0.75</v>
      </c>
      <c r="F2513" t="s">
        <v>1561</v>
      </c>
      <c r="G2513" t="s">
        <v>144</v>
      </c>
      <c r="H2513" t="s">
        <v>187</v>
      </c>
      <c r="I2513" t="s">
        <v>67</v>
      </c>
      <c r="J2513" t="s">
        <v>183</v>
      </c>
      <c r="K2513" s="17">
        <v>1</v>
      </c>
      <c r="L2513" s="28" t="s">
        <v>178</v>
      </c>
    </row>
    <row r="2514" spans="1:12" ht="14.5" customHeight="1" x14ac:dyDescent="0.2">
      <c r="A2514">
        <v>2017</v>
      </c>
      <c r="B2514" t="s">
        <v>198</v>
      </c>
      <c r="C2514" t="s">
        <v>454</v>
      </c>
      <c r="D2514" s="65">
        <v>100</v>
      </c>
      <c r="E2514" s="33"/>
      <c r="F2514" t="s">
        <v>1562</v>
      </c>
      <c r="G2514" t="s">
        <v>152</v>
      </c>
      <c r="H2514" t="s">
        <v>257</v>
      </c>
      <c r="I2514" t="s">
        <v>131</v>
      </c>
      <c r="J2514" t="s">
        <v>131</v>
      </c>
      <c r="K2514" s="17">
        <v>0</v>
      </c>
      <c r="L2514" s="28"/>
    </row>
    <row r="2515" spans="1:12" ht="14.5" customHeight="1" x14ac:dyDescent="0.2">
      <c r="A2515">
        <v>2017</v>
      </c>
      <c r="B2515" t="s">
        <v>202</v>
      </c>
      <c r="C2515" t="s">
        <v>389</v>
      </c>
      <c r="D2515" s="65">
        <v>230</v>
      </c>
      <c r="E2515" s="33">
        <v>0.28999999999999998</v>
      </c>
      <c r="F2515" t="s">
        <v>1563</v>
      </c>
      <c r="G2515" t="s">
        <v>144</v>
      </c>
      <c r="H2515" t="s">
        <v>273</v>
      </c>
      <c r="I2515" t="s">
        <v>9</v>
      </c>
      <c r="J2515" t="s">
        <v>9</v>
      </c>
      <c r="K2515" s="17">
        <v>0</v>
      </c>
      <c r="L2515" s="28"/>
    </row>
    <row r="2516" spans="1:12" ht="14.5" customHeight="1" x14ac:dyDescent="0.2">
      <c r="A2516">
        <v>2017</v>
      </c>
      <c r="B2516" t="s">
        <v>202</v>
      </c>
      <c r="C2516" t="s">
        <v>373</v>
      </c>
      <c r="D2516" s="65">
        <v>1030</v>
      </c>
      <c r="E2516" s="33">
        <v>1</v>
      </c>
      <c r="F2516" t="s">
        <v>1564</v>
      </c>
      <c r="G2516" t="s">
        <v>148</v>
      </c>
      <c r="I2516" t="s">
        <v>108</v>
      </c>
      <c r="J2516" t="s">
        <v>183</v>
      </c>
      <c r="K2516" s="17">
        <v>1</v>
      </c>
      <c r="L2516" s="28"/>
    </row>
    <row r="2517" spans="1:12" ht="14.5" customHeight="1" x14ac:dyDescent="0.2">
      <c r="A2517">
        <v>2017</v>
      </c>
      <c r="B2517" t="s">
        <v>202</v>
      </c>
      <c r="C2517" t="s">
        <v>477</v>
      </c>
      <c r="D2517" s="65">
        <v>920</v>
      </c>
      <c r="E2517" s="33">
        <v>0.9</v>
      </c>
      <c r="F2517" t="s">
        <v>1565</v>
      </c>
      <c r="G2517" t="s">
        <v>154</v>
      </c>
      <c r="H2517" t="s">
        <v>271</v>
      </c>
      <c r="I2517" t="s">
        <v>19</v>
      </c>
      <c r="J2517" t="s">
        <v>205</v>
      </c>
      <c r="K2517" s="17">
        <v>0</v>
      </c>
      <c r="L2517" s="28"/>
    </row>
    <row r="2518" spans="1:12" ht="14.5" customHeight="1" x14ac:dyDescent="0.2">
      <c r="A2518">
        <v>2017</v>
      </c>
      <c r="B2518" t="s">
        <v>202</v>
      </c>
      <c r="C2518" t="s">
        <v>286</v>
      </c>
      <c r="D2518" s="65">
        <v>240</v>
      </c>
      <c r="E2518" s="33">
        <v>0.1</v>
      </c>
      <c r="F2518" t="s">
        <v>1566</v>
      </c>
      <c r="G2518" t="s">
        <v>147</v>
      </c>
      <c r="I2518" t="s">
        <v>61</v>
      </c>
      <c r="J2518" t="s">
        <v>183</v>
      </c>
      <c r="K2518" s="17">
        <v>0</v>
      </c>
      <c r="L2518" s="28"/>
    </row>
    <row r="2519" spans="1:12" ht="14.5" customHeight="1" x14ac:dyDescent="0.2">
      <c r="A2519">
        <v>2017</v>
      </c>
      <c r="B2519" t="s">
        <v>202</v>
      </c>
      <c r="C2519" t="s">
        <v>1567</v>
      </c>
      <c r="D2519" s="65">
        <v>850</v>
      </c>
      <c r="E2519" s="33"/>
      <c r="F2519" t="s">
        <v>1568</v>
      </c>
      <c r="G2519" t="s">
        <v>147</v>
      </c>
      <c r="I2519" t="s">
        <v>131</v>
      </c>
      <c r="J2519" t="s">
        <v>131</v>
      </c>
      <c r="K2519" s="17">
        <v>0</v>
      </c>
      <c r="L2519" s="28"/>
    </row>
    <row r="2520" spans="1:12" ht="14.5" customHeight="1" x14ac:dyDescent="0.2">
      <c r="A2520">
        <v>2017</v>
      </c>
      <c r="B2520" t="s">
        <v>202</v>
      </c>
      <c r="C2520" t="s">
        <v>1569</v>
      </c>
      <c r="D2520" s="65">
        <v>100</v>
      </c>
      <c r="E2520" s="33"/>
      <c r="F2520" t="s">
        <v>1570</v>
      </c>
      <c r="G2520" t="s">
        <v>150</v>
      </c>
      <c r="I2520" t="s">
        <v>131</v>
      </c>
      <c r="J2520" t="s">
        <v>131</v>
      </c>
      <c r="K2520" s="17">
        <v>0</v>
      </c>
      <c r="L2520" s="28"/>
    </row>
    <row r="2521" spans="1:12" ht="14.5" customHeight="1" x14ac:dyDescent="0.2">
      <c r="A2521">
        <v>2017</v>
      </c>
      <c r="B2521" t="s">
        <v>202</v>
      </c>
      <c r="C2521" t="s">
        <v>880</v>
      </c>
      <c r="D2521" s="65">
        <v>350</v>
      </c>
      <c r="E2521" s="33">
        <v>0.5</v>
      </c>
      <c r="F2521" t="s">
        <v>1571</v>
      </c>
      <c r="G2521" t="s">
        <v>153</v>
      </c>
      <c r="I2521" t="s">
        <v>20</v>
      </c>
      <c r="J2521" t="s">
        <v>195</v>
      </c>
      <c r="K2521" s="17">
        <v>0</v>
      </c>
      <c r="L2521" s="28"/>
    </row>
    <row r="2522" spans="1:12" ht="14.5" customHeight="1" x14ac:dyDescent="0.2">
      <c r="A2522">
        <v>2017</v>
      </c>
      <c r="B2522" t="s">
        <v>202</v>
      </c>
      <c r="C2522" t="s">
        <v>1572</v>
      </c>
      <c r="D2522" s="65">
        <v>290</v>
      </c>
      <c r="E2522" s="33"/>
      <c r="F2522" t="s">
        <v>1573</v>
      </c>
      <c r="G2522" t="s">
        <v>147</v>
      </c>
      <c r="I2522" t="s">
        <v>25</v>
      </c>
      <c r="J2522" t="s">
        <v>177</v>
      </c>
      <c r="K2522" s="17">
        <v>0</v>
      </c>
      <c r="L2522" s="28"/>
    </row>
    <row r="2523" spans="1:12" ht="14.5" customHeight="1" x14ac:dyDescent="0.2">
      <c r="A2523">
        <v>2017</v>
      </c>
      <c r="B2523" t="s">
        <v>202</v>
      </c>
      <c r="C2523" t="s">
        <v>1520</v>
      </c>
      <c r="D2523" s="65">
        <v>230</v>
      </c>
      <c r="E2523" s="33">
        <v>0.5</v>
      </c>
      <c r="F2523" t="s">
        <v>1574</v>
      </c>
      <c r="G2523" t="s">
        <v>150</v>
      </c>
      <c r="H2523" t="s">
        <v>556</v>
      </c>
      <c r="I2523" t="s">
        <v>124</v>
      </c>
      <c r="J2523" t="s">
        <v>183</v>
      </c>
      <c r="K2523" s="17">
        <v>1</v>
      </c>
      <c r="L2523" s="28" t="s">
        <v>178</v>
      </c>
    </row>
    <row r="2524" spans="1:12" ht="14.5" customHeight="1" x14ac:dyDescent="0.2">
      <c r="A2524">
        <v>2017</v>
      </c>
      <c r="B2524" t="s">
        <v>202</v>
      </c>
      <c r="C2524" t="s">
        <v>1575</v>
      </c>
      <c r="D2524" s="65">
        <v>230</v>
      </c>
      <c r="E2524" s="33">
        <v>1</v>
      </c>
      <c r="F2524" t="s">
        <v>1576</v>
      </c>
      <c r="G2524" t="s">
        <v>149</v>
      </c>
      <c r="H2524" t="s">
        <v>238</v>
      </c>
      <c r="I2524" t="s">
        <v>45</v>
      </c>
      <c r="J2524" t="s">
        <v>195</v>
      </c>
      <c r="K2524" s="17">
        <v>0</v>
      </c>
      <c r="L2524" s="28"/>
    </row>
    <row r="2525" spans="1:12" ht="14.5" customHeight="1" x14ac:dyDescent="0.2">
      <c r="A2525">
        <v>2017</v>
      </c>
      <c r="B2525" t="s">
        <v>202</v>
      </c>
      <c r="C2525" t="s">
        <v>1577</v>
      </c>
      <c r="D2525" s="65">
        <v>740</v>
      </c>
      <c r="E2525" s="33">
        <v>1</v>
      </c>
      <c r="F2525" t="s">
        <v>1578</v>
      </c>
      <c r="G2525" t="s">
        <v>152</v>
      </c>
      <c r="I2525" t="s">
        <v>20</v>
      </c>
      <c r="J2525" t="s">
        <v>195</v>
      </c>
      <c r="K2525" s="17">
        <v>0</v>
      </c>
      <c r="L2525" s="28"/>
    </row>
    <row r="2526" spans="1:12" ht="14.5" customHeight="1" x14ac:dyDescent="0.2">
      <c r="A2526">
        <v>2017</v>
      </c>
      <c r="B2526" t="s">
        <v>202</v>
      </c>
      <c r="C2526" t="s">
        <v>373</v>
      </c>
      <c r="D2526" s="65">
        <v>140</v>
      </c>
      <c r="E2526" s="33">
        <v>0.19</v>
      </c>
      <c r="F2526" t="s">
        <v>1579</v>
      </c>
      <c r="G2526" t="s">
        <v>153</v>
      </c>
      <c r="I2526" t="s">
        <v>118</v>
      </c>
      <c r="J2526" t="s">
        <v>195</v>
      </c>
      <c r="K2526" s="17">
        <v>0</v>
      </c>
      <c r="L2526" s="28"/>
    </row>
    <row r="2527" spans="1:12" ht="14.5" customHeight="1" x14ac:dyDescent="0.2">
      <c r="A2527">
        <v>2017</v>
      </c>
      <c r="B2527" t="s">
        <v>202</v>
      </c>
      <c r="C2527" t="s">
        <v>1180</v>
      </c>
      <c r="D2527" s="65">
        <v>2260</v>
      </c>
      <c r="E2527" s="33"/>
      <c r="G2527" t="s">
        <v>144</v>
      </c>
      <c r="H2527" t="s">
        <v>197</v>
      </c>
      <c r="I2527" t="s">
        <v>19</v>
      </c>
      <c r="J2527" t="s">
        <v>205</v>
      </c>
      <c r="K2527" s="17">
        <v>0</v>
      </c>
      <c r="L2527" s="28"/>
    </row>
    <row r="2528" spans="1:12" ht="14.5" customHeight="1" x14ac:dyDescent="0.2">
      <c r="A2528">
        <v>2017</v>
      </c>
      <c r="B2528" t="s">
        <v>202</v>
      </c>
      <c r="C2528" t="s">
        <v>1580</v>
      </c>
      <c r="D2528" s="65">
        <v>180</v>
      </c>
      <c r="E2528" s="33"/>
      <c r="G2528" t="s">
        <v>142</v>
      </c>
      <c r="I2528" t="s">
        <v>20</v>
      </c>
      <c r="J2528" t="s">
        <v>195</v>
      </c>
      <c r="K2528" s="17">
        <v>0</v>
      </c>
      <c r="L2528" s="28"/>
    </row>
    <row r="2529" spans="1:12" ht="14.5" customHeight="1" x14ac:dyDescent="0.2">
      <c r="A2529">
        <v>2017</v>
      </c>
      <c r="B2529" t="s">
        <v>202</v>
      </c>
      <c r="C2529" t="s">
        <v>1581</v>
      </c>
      <c r="D2529" s="65">
        <v>180</v>
      </c>
      <c r="E2529" s="33"/>
      <c r="F2529" t="s">
        <v>1582</v>
      </c>
      <c r="G2529" t="s">
        <v>154</v>
      </c>
      <c r="H2529" t="s">
        <v>194</v>
      </c>
      <c r="I2529" t="s">
        <v>113</v>
      </c>
      <c r="J2529" t="s">
        <v>183</v>
      </c>
      <c r="K2529" s="17">
        <v>0</v>
      </c>
      <c r="L2529" s="28"/>
    </row>
    <row r="2530" spans="1:12" ht="14.5" customHeight="1" x14ac:dyDescent="0.2">
      <c r="A2530">
        <v>2017</v>
      </c>
      <c r="B2530" t="s">
        <v>202</v>
      </c>
      <c r="C2530" t="s">
        <v>438</v>
      </c>
      <c r="D2530" s="65">
        <v>600</v>
      </c>
      <c r="E2530" s="33"/>
      <c r="G2530" t="s">
        <v>154</v>
      </c>
      <c r="H2530" t="s">
        <v>194</v>
      </c>
      <c r="I2530" t="s">
        <v>131</v>
      </c>
      <c r="J2530" t="s">
        <v>131</v>
      </c>
      <c r="K2530" s="17">
        <v>0</v>
      </c>
      <c r="L2530" s="28"/>
    </row>
    <row r="2531" spans="1:12" ht="14.5" customHeight="1" x14ac:dyDescent="0.2">
      <c r="A2531">
        <v>2017</v>
      </c>
      <c r="B2531" t="s">
        <v>202</v>
      </c>
      <c r="C2531" t="s">
        <v>1583</v>
      </c>
      <c r="D2531" s="65">
        <v>130</v>
      </c>
      <c r="E2531" s="33"/>
      <c r="F2531" t="s">
        <v>1584</v>
      </c>
      <c r="G2531" t="s">
        <v>154</v>
      </c>
      <c r="H2531" t="s">
        <v>250</v>
      </c>
      <c r="I2531" t="s">
        <v>45</v>
      </c>
      <c r="J2531" t="s">
        <v>195</v>
      </c>
      <c r="K2531" s="17">
        <v>0</v>
      </c>
      <c r="L2531" s="28"/>
    </row>
    <row r="2532" spans="1:12" ht="14.5" customHeight="1" x14ac:dyDescent="0.2">
      <c r="A2532">
        <v>2017</v>
      </c>
      <c r="B2532" t="s">
        <v>202</v>
      </c>
      <c r="C2532" t="s">
        <v>1093</v>
      </c>
      <c r="D2532" s="65">
        <v>300</v>
      </c>
      <c r="E2532" s="33"/>
      <c r="F2532" t="s">
        <v>1585</v>
      </c>
      <c r="G2532" t="s">
        <v>151</v>
      </c>
      <c r="H2532" t="s">
        <v>224</v>
      </c>
      <c r="I2532" t="s">
        <v>131</v>
      </c>
      <c r="J2532" t="s">
        <v>131</v>
      </c>
      <c r="K2532" s="17">
        <v>0</v>
      </c>
      <c r="L2532" s="28"/>
    </row>
    <row r="2533" spans="1:12" ht="14.5" customHeight="1" x14ac:dyDescent="0.2">
      <c r="A2533">
        <v>2017</v>
      </c>
      <c r="B2533" t="s">
        <v>202</v>
      </c>
      <c r="C2533" t="s">
        <v>1586</v>
      </c>
      <c r="D2533" s="65">
        <v>1040</v>
      </c>
      <c r="E2533" s="33"/>
      <c r="G2533" t="s">
        <v>150</v>
      </c>
      <c r="H2533" t="s">
        <v>217</v>
      </c>
      <c r="I2533" t="s">
        <v>92</v>
      </c>
      <c r="J2533" t="s">
        <v>214</v>
      </c>
      <c r="K2533" s="17">
        <v>1</v>
      </c>
      <c r="L2533" s="28" t="s">
        <v>178</v>
      </c>
    </row>
    <row r="2534" spans="1:12" ht="14.5" customHeight="1" x14ac:dyDescent="0.2">
      <c r="A2534">
        <v>2017</v>
      </c>
      <c r="B2534" t="s">
        <v>202</v>
      </c>
      <c r="C2534" t="s">
        <v>554</v>
      </c>
      <c r="D2534" s="65">
        <v>140</v>
      </c>
      <c r="E2534" s="33">
        <v>0.01</v>
      </c>
      <c r="F2534" t="s">
        <v>1587</v>
      </c>
      <c r="G2534" t="s">
        <v>146</v>
      </c>
      <c r="I2534" t="s">
        <v>15</v>
      </c>
      <c r="J2534" t="s">
        <v>195</v>
      </c>
      <c r="K2534" s="17">
        <v>0</v>
      </c>
      <c r="L2534" s="28"/>
    </row>
    <row r="2535" spans="1:12" ht="14.5" customHeight="1" x14ac:dyDescent="0.2">
      <c r="A2535">
        <v>2017</v>
      </c>
      <c r="B2535" t="s">
        <v>207</v>
      </c>
      <c r="C2535" t="s">
        <v>263</v>
      </c>
      <c r="D2535" s="65">
        <v>370</v>
      </c>
      <c r="E2535" s="33">
        <v>0.1</v>
      </c>
      <c r="F2535" t="s">
        <v>1588</v>
      </c>
      <c r="G2535" t="s">
        <v>144</v>
      </c>
      <c r="H2535" t="s">
        <v>232</v>
      </c>
      <c r="I2535" t="s">
        <v>108</v>
      </c>
      <c r="J2535" t="s">
        <v>183</v>
      </c>
      <c r="K2535" s="17">
        <v>1</v>
      </c>
      <c r="L2535" s="28"/>
    </row>
    <row r="2536" spans="1:12" ht="14.5" customHeight="1" x14ac:dyDescent="0.2">
      <c r="A2536">
        <v>2017</v>
      </c>
      <c r="B2536" t="s">
        <v>207</v>
      </c>
      <c r="C2536" t="s">
        <v>438</v>
      </c>
      <c r="D2536" s="65">
        <v>340</v>
      </c>
      <c r="E2536" s="33">
        <v>0.22</v>
      </c>
      <c r="F2536" t="s">
        <v>1589</v>
      </c>
      <c r="G2536" t="s">
        <v>146</v>
      </c>
      <c r="H2536" t="s">
        <v>275</v>
      </c>
      <c r="I2536" t="s">
        <v>35</v>
      </c>
      <c r="J2536" t="s">
        <v>195</v>
      </c>
      <c r="K2536" s="17">
        <v>0</v>
      </c>
      <c r="L2536" s="28"/>
    </row>
    <row r="2537" spans="1:12" ht="14.5" customHeight="1" x14ac:dyDescent="0.2">
      <c r="A2537">
        <v>2017</v>
      </c>
      <c r="B2537" t="s">
        <v>207</v>
      </c>
      <c r="C2537" t="s">
        <v>554</v>
      </c>
      <c r="D2537" s="65">
        <v>1080</v>
      </c>
      <c r="E2537" s="33">
        <v>0.74</v>
      </c>
      <c r="F2537" t="s">
        <v>1590</v>
      </c>
      <c r="G2537" t="s">
        <v>147</v>
      </c>
      <c r="I2537" t="s">
        <v>52</v>
      </c>
      <c r="J2537" t="s">
        <v>201</v>
      </c>
      <c r="K2537" s="17">
        <v>0</v>
      </c>
      <c r="L2537" s="28"/>
    </row>
    <row r="2538" spans="1:12" ht="14.5" customHeight="1" x14ac:dyDescent="0.2">
      <c r="A2538">
        <v>2017</v>
      </c>
      <c r="B2538" t="s">
        <v>207</v>
      </c>
      <c r="C2538" t="s">
        <v>454</v>
      </c>
      <c r="D2538" s="65">
        <v>400</v>
      </c>
      <c r="E2538" s="33"/>
      <c r="F2538" t="s">
        <v>1591</v>
      </c>
      <c r="G2538" t="s">
        <v>154</v>
      </c>
      <c r="H2538" t="s">
        <v>194</v>
      </c>
      <c r="I2538" t="s">
        <v>52</v>
      </c>
      <c r="J2538" t="s">
        <v>201</v>
      </c>
      <c r="K2538" s="17">
        <v>0</v>
      </c>
      <c r="L2538" s="28"/>
    </row>
    <row r="2539" spans="1:12" ht="14.5" customHeight="1" x14ac:dyDescent="0.2">
      <c r="A2539">
        <v>2017</v>
      </c>
      <c r="B2539" t="s">
        <v>207</v>
      </c>
      <c r="C2539" t="s">
        <v>1592</v>
      </c>
      <c r="D2539" s="65">
        <v>270</v>
      </c>
      <c r="E2539" s="33"/>
      <c r="F2539" t="s">
        <v>1593</v>
      </c>
      <c r="G2539" t="s">
        <v>142</v>
      </c>
      <c r="I2539" t="s">
        <v>9</v>
      </c>
      <c r="J2539" t="s">
        <v>9</v>
      </c>
      <c r="K2539" s="17">
        <v>0</v>
      </c>
      <c r="L2539" s="28"/>
    </row>
    <row r="2540" spans="1:12" ht="14.5" customHeight="1" x14ac:dyDescent="0.2">
      <c r="A2540">
        <v>2017</v>
      </c>
      <c r="B2540" t="s">
        <v>207</v>
      </c>
      <c r="C2540" t="s">
        <v>1594</v>
      </c>
      <c r="D2540" s="65">
        <v>360</v>
      </c>
      <c r="E2540" s="33"/>
      <c r="F2540" t="s">
        <v>1595</v>
      </c>
      <c r="G2540" t="s">
        <v>144</v>
      </c>
      <c r="I2540" t="s">
        <v>25</v>
      </c>
      <c r="J2540" t="s">
        <v>177</v>
      </c>
      <c r="K2540" s="17">
        <v>0</v>
      </c>
      <c r="L2540" s="28"/>
    </row>
    <row r="2541" spans="1:12" ht="14.5" customHeight="1" x14ac:dyDescent="0.2">
      <c r="A2541">
        <v>2017</v>
      </c>
      <c r="B2541" t="s">
        <v>207</v>
      </c>
      <c r="C2541" t="s">
        <v>199</v>
      </c>
      <c r="D2541" s="65">
        <v>120</v>
      </c>
      <c r="E2541" s="33">
        <v>0.2</v>
      </c>
      <c r="G2541" t="s">
        <v>144</v>
      </c>
      <c r="H2541" t="s">
        <v>187</v>
      </c>
      <c r="I2541" t="s">
        <v>19</v>
      </c>
      <c r="J2541" t="s">
        <v>205</v>
      </c>
      <c r="K2541" s="17">
        <v>0</v>
      </c>
      <c r="L2541" s="28" t="s">
        <v>178</v>
      </c>
    </row>
    <row r="2542" spans="1:12" ht="14.5" customHeight="1" x14ac:dyDescent="0.2">
      <c r="A2542">
        <v>2017</v>
      </c>
      <c r="B2542" t="s">
        <v>207</v>
      </c>
      <c r="C2542" t="s">
        <v>1066</v>
      </c>
      <c r="D2542" s="65">
        <v>500</v>
      </c>
      <c r="E2542" s="33"/>
      <c r="F2542" t="s">
        <v>506</v>
      </c>
      <c r="G2542" t="s">
        <v>144</v>
      </c>
      <c r="I2542" t="s">
        <v>101</v>
      </c>
      <c r="J2542" t="s">
        <v>201</v>
      </c>
      <c r="K2542" s="17">
        <v>1</v>
      </c>
      <c r="L2542" s="28"/>
    </row>
    <row r="2543" spans="1:12" ht="14.5" customHeight="1" x14ac:dyDescent="0.2">
      <c r="A2543">
        <v>2017</v>
      </c>
      <c r="B2543" t="s">
        <v>207</v>
      </c>
      <c r="C2543" t="s">
        <v>822</v>
      </c>
      <c r="D2543" s="65">
        <v>100</v>
      </c>
      <c r="E2543" s="33"/>
      <c r="F2543" t="s">
        <v>1218</v>
      </c>
      <c r="G2543" t="s">
        <v>145</v>
      </c>
      <c r="I2543" t="s">
        <v>131</v>
      </c>
      <c r="J2543" t="s">
        <v>131</v>
      </c>
      <c r="K2543" s="17">
        <v>0</v>
      </c>
      <c r="L2543" s="28"/>
    </row>
    <row r="2544" spans="1:12" ht="14.5" customHeight="1" x14ac:dyDescent="0.2">
      <c r="A2544">
        <v>2017</v>
      </c>
      <c r="B2544" t="s">
        <v>207</v>
      </c>
      <c r="C2544" t="s">
        <v>454</v>
      </c>
      <c r="D2544" s="65">
        <v>470</v>
      </c>
      <c r="E2544" s="33">
        <v>0.2</v>
      </c>
      <c r="F2544" t="s">
        <v>1596</v>
      </c>
      <c r="G2544" t="s">
        <v>145</v>
      </c>
      <c r="I2544" t="s">
        <v>108</v>
      </c>
      <c r="J2544" t="s">
        <v>183</v>
      </c>
      <c r="K2544" s="17">
        <v>1</v>
      </c>
      <c r="L2544" s="28"/>
    </row>
    <row r="2545" spans="1:12" ht="14.5" customHeight="1" x14ac:dyDescent="0.2">
      <c r="A2545">
        <v>2017</v>
      </c>
      <c r="B2545" t="s">
        <v>207</v>
      </c>
      <c r="C2545" t="s">
        <v>1597</v>
      </c>
      <c r="D2545" s="65">
        <v>150</v>
      </c>
      <c r="E2545" s="33"/>
      <c r="G2545" t="s">
        <v>151</v>
      </c>
      <c r="H2545" t="s">
        <v>279</v>
      </c>
      <c r="I2545" t="s">
        <v>134</v>
      </c>
      <c r="J2545" t="s">
        <v>201</v>
      </c>
      <c r="K2545" s="17">
        <v>1</v>
      </c>
      <c r="L2545" s="28" t="s">
        <v>178</v>
      </c>
    </row>
    <row r="2546" spans="1:12" ht="14.5" customHeight="1" x14ac:dyDescent="0.2">
      <c r="A2546">
        <v>2017</v>
      </c>
      <c r="B2546" t="s">
        <v>240</v>
      </c>
      <c r="C2546" t="s">
        <v>520</v>
      </c>
      <c r="D2546" s="65">
        <v>220</v>
      </c>
      <c r="E2546" s="33">
        <v>0.51</v>
      </c>
      <c r="F2546" t="s">
        <v>1598</v>
      </c>
      <c r="G2546" t="s">
        <v>152</v>
      </c>
      <c r="I2546" t="s">
        <v>61</v>
      </c>
      <c r="J2546" t="s">
        <v>183</v>
      </c>
      <c r="K2546" s="17">
        <v>0</v>
      </c>
      <c r="L2546" s="28"/>
    </row>
    <row r="2547" spans="1:12" ht="14.5" customHeight="1" x14ac:dyDescent="0.2">
      <c r="A2547">
        <v>2017</v>
      </c>
      <c r="B2547" t="s">
        <v>240</v>
      </c>
      <c r="C2547" t="s">
        <v>1599</v>
      </c>
      <c r="D2547" s="65">
        <v>9060</v>
      </c>
      <c r="E2547" s="33">
        <v>0.79</v>
      </c>
      <c r="F2547" t="s">
        <v>1600</v>
      </c>
      <c r="G2547" t="s">
        <v>148</v>
      </c>
      <c r="I2547" t="s">
        <v>108</v>
      </c>
      <c r="J2547" t="s">
        <v>183</v>
      </c>
      <c r="K2547" s="17">
        <v>1</v>
      </c>
      <c r="L2547" s="28"/>
    </row>
    <row r="2548" spans="1:12" ht="14.5" customHeight="1" x14ac:dyDescent="0.2">
      <c r="A2548">
        <v>2017</v>
      </c>
      <c r="B2548" t="s">
        <v>240</v>
      </c>
      <c r="C2548" t="s">
        <v>547</v>
      </c>
      <c r="D2548" s="65">
        <v>1590</v>
      </c>
      <c r="E2548" s="33">
        <v>1</v>
      </c>
      <c r="F2548" t="s">
        <v>1601</v>
      </c>
      <c r="G2548" t="s">
        <v>154</v>
      </c>
      <c r="H2548" t="s">
        <v>194</v>
      </c>
      <c r="I2548" t="s">
        <v>61</v>
      </c>
      <c r="J2548" t="s">
        <v>183</v>
      </c>
      <c r="K2548" s="17">
        <v>0</v>
      </c>
      <c r="L2548" s="28"/>
    </row>
    <row r="2549" spans="1:12" ht="14.5" customHeight="1" x14ac:dyDescent="0.2">
      <c r="A2549">
        <v>2017</v>
      </c>
      <c r="B2549" t="s">
        <v>240</v>
      </c>
      <c r="C2549" t="s">
        <v>1602</v>
      </c>
      <c r="D2549" s="65">
        <v>110</v>
      </c>
      <c r="E2549" s="33">
        <v>0.95</v>
      </c>
      <c r="F2549" t="s">
        <v>1603</v>
      </c>
      <c r="G2549" t="s">
        <v>145</v>
      </c>
      <c r="I2549" t="s">
        <v>61</v>
      </c>
      <c r="J2549" t="s">
        <v>183</v>
      </c>
      <c r="K2549" s="17">
        <v>0</v>
      </c>
      <c r="L2549" s="28"/>
    </row>
    <row r="2550" spans="1:12" ht="14.5" customHeight="1" x14ac:dyDescent="0.2">
      <c r="A2550">
        <v>2017</v>
      </c>
      <c r="B2550" t="s">
        <v>240</v>
      </c>
      <c r="C2550" t="s">
        <v>454</v>
      </c>
      <c r="D2550" s="65">
        <v>2240</v>
      </c>
      <c r="E2550" s="33">
        <v>0.12</v>
      </c>
      <c r="F2550" t="s">
        <v>1028</v>
      </c>
      <c r="G2550" t="s">
        <v>145</v>
      </c>
      <c r="I2550" t="s">
        <v>131</v>
      </c>
      <c r="J2550" t="s">
        <v>131</v>
      </c>
      <c r="K2550" s="17">
        <v>0</v>
      </c>
      <c r="L2550" s="28"/>
    </row>
    <row r="2551" spans="1:12" ht="14.5" customHeight="1" x14ac:dyDescent="0.2">
      <c r="A2551">
        <v>2017</v>
      </c>
      <c r="B2551" t="s">
        <v>240</v>
      </c>
      <c r="C2551" t="s">
        <v>1604</v>
      </c>
      <c r="D2551" s="65">
        <v>1640</v>
      </c>
      <c r="E2551" s="33">
        <v>0.75</v>
      </c>
      <c r="F2551" t="s">
        <v>1605</v>
      </c>
      <c r="G2551" t="s">
        <v>144</v>
      </c>
      <c r="H2551" t="s">
        <v>232</v>
      </c>
      <c r="I2551" t="s">
        <v>47</v>
      </c>
      <c r="J2551" t="s">
        <v>195</v>
      </c>
      <c r="K2551" s="17">
        <v>1</v>
      </c>
      <c r="L2551" s="28" t="s">
        <v>178</v>
      </c>
    </row>
    <row r="2552" spans="1:12" ht="14.5" customHeight="1" x14ac:dyDescent="0.2">
      <c r="A2552">
        <v>2017</v>
      </c>
      <c r="B2552" t="s">
        <v>240</v>
      </c>
      <c r="C2552" t="s">
        <v>1270</v>
      </c>
      <c r="D2552" s="65">
        <v>140</v>
      </c>
      <c r="E2552" s="33">
        <v>0.08</v>
      </c>
      <c r="F2552" t="s">
        <v>1606</v>
      </c>
      <c r="G2552" t="s">
        <v>152</v>
      </c>
      <c r="I2552" t="s">
        <v>20</v>
      </c>
      <c r="J2552" t="s">
        <v>195</v>
      </c>
      <c r="K2552" s="17">
        <v>0</v>
      </c>
      <c r="L2552" s="28"/>
    </row>
    <row r="2553" spans="1:12" ht="14.5" customHeight="1" x14ac:dyDescent="0.2">
      <c r="A2553">
        <v>2017</v>
      </c>
      <c r="B2553" t="s">
        <v>240</v>
      </c>
      <c r="C2553" t="s">
        <v>307</v>
      </c>
      <c r="D2553" s="65">
        <v>3440</v>
      </c>
      <c r="E2553" s="33">
        <v>0.4</v>
      </c>
      <c r="F2553" t="s">
        <v>1421</v>
      </c>
      <c r="G2553" t="s">
        <v>144</v>
      </c>
      <c r="I2553" t="s">
        <v>19</v>
      </c>
      <c r="J2553" t="s">
        <v>205</v>
      </c>
      <c r="K2553" s="17">
        <v>0</v>
      </c>
      <c r="L2553" s="28"/>
    </row>
    <row r="2554" spans="1:12" ht="14.5" customHeight="1" x14ac:dyDescent="0.2">
      <c r="A2554">
        <v>2017</v>
      </c>
      <c r="B2554" t="s">
        <v>240</v>
      </c>
      <c r="C2554" t="s">
        <v>1607</v>
      </c>
      <c r="D2554" s="65">
        <v>120</v>
      </c>
      <c r="E2554" s="33">
        <v>0.2</v>
      </c>
      <c r="F2554" t="s">
        <v>1608</v>
      </c>
      <c r="G2554" t="s">
        <v>150</v>
      </c>
      <c r="H2554" t="s">
        <v>744</v>
      </c>
      <c r="I2554" t="s">
        <v>131</v>
      </c>
      <c r="J2554" t="s">
        <v>131</v>
      </c>
      <c r="K2554" s="17">
        <v>0</v>
      </c>
      <c r="L2554" s="28"/>
    </row>
    <row r="2555" spans="1:12" ht="14.5" customHeight="1" x14ac:dyDescent="0.2">
      <c r="A2555">
        <v>2017</v>
      </c>
      <c r="B2555" t="s">
        <v>240</v>
      </c>
      <c r="C2555" t="s">
        <v>263</v>
      </c>
      <c r="D2555" s="65">
        <v>100</v>
      </c>
      <c r="E2555" s="33">
        <v>0.06</v>
      </c>
      <c r="F2555" t="s">
        <v>1609</v>
      </c>
      <c r="G2555" t="s">
        <v>144</v>
      </c>
      <c r="H2555" t="s">
        <v>187</v>
      </c>
      <c r="I2555" t="s">
        <v>101</v>
      </c>
      <c r="J2555" t="s">
        <v>201</v>
      </c>
      <c r="K2555" s="17">
        <v>1</v>
      </c>
      <c r="L2555" s="28"/>
    </row>
    <row r="2556" spans="1:12" ht="14.5" customHeight="1" x14ac:dyDescent="0.2">
      <c r="A2556">
        <v>2017</v>
      </c>
      <c r="B2556" t="s">
        <v>240</v>
      </c>
      <c r="C2556" t="s">
        <v>246</v>
      </c>
      <c r="D2556" s="65">
        <v>220</v>
      </c>
      <c r="E2556" s="33">
        <v>0.5</v>
      </c>
      <c r="G2556" t="s">
        <v>144</v>
      </c>
      <c r="H2556" t="s">
        <v>197</v>
      </c>
      <c r="I2556" t="s">
        <v>96</v>
      </c>
      <c r="J2556" t="s">
        <v>205</v>
      </c>
      <c r="K2556" s="17">
        <v>1</v>
      </c>
      <c r="L2556" s="28" t="s">
        <v>178</v>
      </c>
    </row>
    <row r="2557" spans="1:12" ht="14.5" customHeight="1" x14ac:dyDescent="0.2">
      <c r="A2557">
        <v>2017</v>
      </c>
      <c r="B2557" t="s">
        <v>240</v>
      </c>
      <c r="C2557" t="s">
        <v>1180</v>
      </c>
      <c r="D2557" s="65">
        <v>100</v>
      </c>
      <c r="E2557" s="33"/>
      <c r="G2557" t="s">
        <v>144</v>
      </c>
      <c r="H2557" t="s">
        <v>232</v>
      </c>
      <c r="I2557" t="s">
        <v>79</v>
      </c>
      <c r="J2557" t="s">
        <v>195</v>
      </c>
      <c r="K2557" s="17">
        <v>1</v>
      </c>
      <c r="L2557" s="28" t="s">
        <v>178</v>
      </c>
    </row>
    <row r="2558" spans="1:12" ht="14.5" customHeight="1" x14ac:dyDescent="0.2">
      <c r="A2558">
        <v>2017</v>
      </c>
      <c r="B2558" t="s">
        <v>212</v>
      </c>
      <c r="C2558" t="s">
        <v>199</v>
      </c>
      <c r="D2558" s="65">
        <v>190</v>
      </c>
      <c r="E2558" s="33">
        <v>0.5</v>
      </c>
      <c r="F2558" t="s">
        <v>1610</v>
      </c>
      <c r="G2558" t="s">
        <v>144</v>
      </c>
      <c r="H2558" t="s">
        <v>299</v>
      </c>
      <c r="I2558" t="s">
        <v>134</v>
      </c>
      <c r="J2558" t="s">
        <v>201</v>
      </c>
      <c r="K2558" s="17">
        <v>1</v>
      </c>
      <c r="L2558" s="28" t="s">
        <v>178</v>
      </c>
    </row>
    <row r="2559" spans="1:12" ht="14.5" customHeight="1" x14ac:dyDescent="0.2">
      <c r="A2559">
        <v>2017</v>
      </c>
      <c r="B2559" t="s">
        <v>212</v>
      </c>
      <c r="C2559" t="s">
        <v>1318</v>
      </c>
      <c r="D2559" s="65">
        <v>740</v>
      </c>
      <c r="E2559" s="33">
        <v>0.3</v>
      </c>
      <c r="F2559" t="s">
        <v>1611</v>
      </c>
      <c r="G2559" t="s">
        <v>144</v>
      </c>
      <c r="H2559" t="s">
        <v>232</v>
      </c>
      <c r="I2559" t="s">
        <v>20</v>
      </c>
      <c r="J2559" t="s">
        <v>195</v>
      </c>
      <c r="K2559" s="17">
        <v>0</v>
      </c>
      <c r="L2559" s="28"/>
    </row>
    <row r="2560" spans="1:12" ht="14.5" customHeight="1" x14ac:dyDescent="0.2">
      <c r="A2560">
        <v>2017</v>
      </c>
      <c r="B2560" t="s">
        <v>212</v>
      </c>
      <c r="C2560" t="s">
        <v>286</v>
      </c>
      <c r="D2560" s="65">
        <v>9660</v>
      </c>
      <c r="E2560" s="33">
        <v>0.05</v>
      </c>
      <c r="F2560" t="s">
        <v>1612</v>
      </c>
      <c r="G2560" t="s">
        <v>146</v>
      </c>
      <c r="H2560" t="s">
        <v>275</v>
      </c>
      <c r="I2560" t="s">
        <v>20</v>
      </c>
      <c r="J2560" t="s">
        <v>195</v>
      </c>
      <c r="K2560" s="17">
        <v>0</v>
      </c>
      <c r="L2560" s="28"/>
    </row>
    <row r="2561" spans="1:22" ht="14.5" customHeight="1" x14ac:dyDescent="0.2">
      <c r="A2561">
        <v>2017</v>
      </c>
      <c r="B2561" t="s">
        <v>212</v>
      </c>
      <c r="C2561" t="s">
        <v>661</v>
      </c>
      <c r="D2561" s="65">
        <v>210</v>
      </c>
      <c r="E2561" s="33"/>
      <c r="F2561" t="s">
        <v>1613</v>
      </c>
      <c r="G2561" t="s">
        <v>151</v>
      </c>
      <c r="H2561" t="s">
        <v>224</v>
      </c>
      <c r="I2561" t="s">
        <v>20</v>
      </c>
      <c r="J2561" t="s">
        <v>195</v>
      </c>
      <c r="K2561" s="17">
        <v>0</v>
      </c>
      <c r="L2561" s="28"/>
      <c r="N2561" s="21"/>
      <c r="O2561" s="2"/>
      <c r="P2561" s="2"/>
      <c r="Q2561" s="4"/>
      <c r="R2561" s="4"/>
      <c r="S2561" s="4"/>
      <c r="T2561" s="4"/>
      <c r="U2561" s="4"/>
      <c r="V2561" s="4"/>
    </row>
    <row r="2562" spans="1:22" ht="14.5" customHeight="1" x14ac:dyDescent="0.2">
      <c r="A2562">
        <v>2017</v>
      </c>
      <c r="B2562" t="s">
        <v>212</v>
      </c>
      <c r="C2562" t="s">
        <v>1614</v>
      </c>
      <c r="D2562" s="65">
        <v>360</v>
      </c>
      <c r="E2562" s="33"/>
      <c r="F2562" t="s">
        <v>1615</v>
      </c>
      <c r="G2562" t="s">
        <v>147</v>
      </c>
      <c r="I2562" t="s">
        <v>58</v>
      </c>
      <c r="J2562" t="s">
        <v>195</v>
      </c>
      <c r="K2562" s="17">
        <v>0</v>
      </c>
      <c r="L2562" s="28"/>
      <c r="N2562" s="21"/>
      <c r="O2562" s="2"/>
      <c r="P2562" s="2"/>
      <c r="Q2562" s="4"/>
      <c r="R2562" s="4"/>
      <c r="S2562" s="4"/>
      <c r="T2562" s="4"/>
      <c r="U2562" s="4"/>
      <c r="V2562" s="4"/>
    </row>
    <row r="2563" spans="1:22" ht="14.5" customHeight="1" x14ac:dyDescent="0.2">
      <c r="A2563">
        <v>2017</v>
      </c>
      <c r="B2563" t="s">
        <v>212</v>
      </c>
      <c r="C2563" t="s">
        <v>554</v>
      </c>
      <c r="D2563" s="65">
        <v>290</v>
      </c>
      <c r="E2563" s="33"/>
      <c r="F2563" t="s">
        <v>1616</v>
      </c>
      <c r="G2563" t="s">
        <v>147</v>
      </c>
      <c r="I2563" t="s">
        <v>131</v>
      </c>
      <c r="J2563" t="s">
        <v>131</v>
      </c>
      <c r="K2563" s="17">
        <v>0</v>
      </c>
      <c r="L2563" s="28"/>
      <c r="N2563" s="21"/>
      <c r="O2563" s="2"/>
      <c r="P2563" s="2"/>
      <c r="Q2563" s="4"/>
      <c r="R2563" s="4"/>
      <c r="S2563" s="4"/>
      <c r="T2563" s="4"/>
      <c r="U2563" s="4"/>
      <c r="V2563" s="4"/>
    </row>
    <row r="2564" spans="1:22" ht="14.5" customHeight="1" x14ac:dyDescent="0.2">
      <c r="A2564">
        <v>2017</v>
      </c>
      <c r="B2564" t="s">
        <v>212</v>
      </c>
      <c r="C2564" t="s">
        <v>1617</v>
      </c>
      <c r="D2564" s="65">
        <v>210</v>
      </c>
      <c r="E2564" s="33"/>
      <c r="G2564" t="s">
        <v>144</v>
      </c>
      <c r="H2564" t="s">
        <v>197</v>
      </c>
      <c r="I2564" t="s">
        <v>84</v>
      </c>
      <c r="J2564" t="s">
        <v>201</v>
      </c>
      <c r="K2564" s="17">
        <v>1</v>
      </c>
      <c r="L2564" s="28" t="s">
        <v>178</v>
      </c>
      <c r="N2564" s="21"/>
      <c r="O2564" s="2"/>
      <c r="P2564" s="2"/>
      <c r="Q2564" s="4"/>
      <c r="R2564" s="4"/>
      <c r="S2564" s="4"/>
      <c r="T2564" s="4"/>
      <c r="U2564" s="4"/>
      <c r="V2564" s="4"/>
    </row>
    <row r="2565" spans="1:22" ht="14.5" customHeight="1" x14ac:dyDescent="0.2">
      <c r="A2565">
        <v>2017</v>
      </c>
      <c r="B2565" t="s">
        <v>172</v>
      </c>
      <c r="C2565" t="s">
        <v>341</v>
      </c>
      <c r="D2565" s="22">
        <v>160</v>
      </c>
      <c r="E2565" s="16"/>
      <c r="G2565" t="s">
        <v>154</v>
      </c>
      <c r="H2565" t="s">
        <v>194</v>
      </c>
      <c r="I2565" t="s">
        <v>6</v>
      </c>
      <c r="J2565" t="s">
        <v>219</v>
      </c>
      <c r="K2565">
        <v>1</v>
      </c>
      <c r="L2565" s="2"/>
      <c r="N2565" s="21"/>
      <c r="O2565" s="2"/>
      <c r="P2565" s="2"/>
      <c r="Q2565" s="4"/>
      <c r="R2565" s="4"/>
      <c r="S2565" s="4"/>
      <c r="T2565" s="4"/>
      <c r="U2565" s="4"/>
      <c r="V2565" s="4"/>
    </row>
    <row r="2566" spans="1:22" ht="14.5" customHeight="1" x14ac:dyDescent="0.2">
      <c r="A2566">
        <v>2017</v>
      </c>
      <c r="B2566" t="s">
        <v>172</v>
      </c>
      <c r="C2566" t="s">
        <v>341</v>
      </c>
      <c r="D2566" s="22">
        <v>130</v>
      </c>
      <c r="E2566" s="16"/>
      <c r="G2566" t="s">
        <v>155</v>
      </c>
      <c r="I2566" t="s">
        <v>6</v>
      </c>
      <c r="J2566" t="s">
        <v>219</v>
      </c>
      <c r="K2566">
        <v>1</v>
      </c>
      <c r="L2566" s="2"/>
      <c r="N2566" s="21"/>
      <c r="O2566" s="2"/>
      <c r="P2566" s="2"/>
      <c r="Q2566" s="4"/>
      <c r="R2566" s="4"/>
      <c r="S2566" s="4"/>
      <c r="T2566" s="4"/>
      <c r="U2566" s="4"/>
      <c r="V2566" s="4"/>
    </row>
    <row r="2567" spans="1:22" ht="14.25" customHeight="1" x14ac:dyDescent="0.2">
      <c r="A2567">
        <v>2017</v>
      </c>
      <c r="B2567" t="s">
        <v>172</v>
      </c>
      <c r="C2567" t="s">
        <v>2547</v>
      </c>
      <c r="D2567" s="22">
        <v>200</v>
      </c>
      <c r="E2567" s="16"/>
      <c r="G2567" t="s">
        <v>153</v>
      </c>
      <c r="I2567" t="s">
        <v>2755</v>
      </c>
      <c r="J2567" t="s">
        <v>177</v>
      </c>
      <c r="K2567">
        <v>1</v>
      </c>
      <c r="L2567" s="2"/>
      <c r="N2567" s="21"/>
      <c r="O2567" s="2"/>
      <c r="P2567" s="2"/>
      <c r="Q2567" s="4"/>
      <c r="R2567" s="4"/>
      <c r="S2567" s="4"/>
      <c r="T2567" s="4"/>
      <c r="U2567" s="4"/>
      <c r="V2567" s="4"/>
    </row>
    <row r="2568" spans="1:22" ht="14.5" customHeight="1" x14ac:dyDescent="0.2">
      <c r="A2568">
        <v>2017</v>
      </c>
      <c r="B2568" t="s">
        <v>172</v>
      </c>
      <c r="C2568" t="s">
        <v>189</v>
      </c>
      <c r="D2568" s="22">
        <v>110</v>
      </c>
      <c r="E2568" s="16"/>
      <c r="G2568" t="s">
        <v>150</v>
      </c>
      <c r="H2568" t="s">
        <v>217</v>
      </c>
      <c r="I2568" t="s">
        <v>40</v>
      </c>
      <c r="J2568" t="s">
        <v>219</v>
      </c>
      <c r="K2568">
        <v>1</v>
      </c>
      <c r="L2568" s="2"/>
      <c r="N2568" s="21"/>
      <c r="O2568" s="2"/>
      <c r="P2568" s="2"/>
      <c r="Q2568" s="4"/>
      <c r="R2568" s="4"/>
      <c r="S2568" s="4"/>
      <c r="T2568" s="4"/>
      <c r="U2568" s="4"/>
      <c r="V2568" s="4"/>
    </row>
    <row r="2569" spans="1:22" ht="14.5" customHeight="1" x14ac:dyDescent="0.2">
      <c r="A2569">
        <v>2017</v>
      </c>
      <c r="B2569" t="s">
        <v>172</v>
      </c>
      <c r="C2569" t="s">
        <v>175</v>
      </c>
      <c r="D2569" s="22">
        <v>350</v>
      </c>
      <c r="E2569" s="16"/>
      <c r="G2569" t="s">
        <v>153</v>
      </c>
      <c r="I2569" t="s">
        <v>131</v>
      </c>
      <c r="J2569" t="s">
        <v>131</v>
      </c>
      <c r="K2569">
        <v>0</v>
      </c>
      <c r="L2569" s="2"/>
      <c r="N2569" s="21"/>
      <c r="O2569" s="2"/>
      <c r="P2569" s="2"/>
      <c r="Q2569" s="4"/>
      <c r="R2569" s="4"/>
      <c r="S2569" s="4"/>
      <c r="T2569" s="4"/>
      <c r="U2569" s="4"/>
      <c r="V2569" s="4"/>
    </row>
    <row r="2570" spans="1:22" ht="14.5" customHeight="1" x14ac:dyDescent="0.2">
      <c r="A2570">
        <v>2017</v>
      </c>
      <c r="B2570" t="s">
        <v>172</v>
      </c>
      <c r="C2570" t="s">
        <v>175</v>
      </c>
      <c r="D2570" s="22">
        <v>230</v>
      </c>
      <c r="E2570" s="16"/>
      <c r="F2570" t="s">
        <v>2797</v>
      </c>
      <c r="G2570" t="s">
        <v>151</v>
      </c>
      <c r="H2570" t="s">
        <v>279</v>
      </c>
      <c r="I2570" t="s">
        <v>136</v>
      </c>
      <c r="J2570" t="s">
        <v>183</v>
      </c>
      <c r="K2570">
        <v>1</v>
      </c>
      <c r="L2570" s="2"/>
      <c r="N2570" s="21"/>
      <c r="O2570" s="2"/>
      <c r="P2570" s="2"/>
      <c r="Q2570" s="4"/>
      <c r="R2570" s="4"/>
      <c r="S2570" s="4"/>
      <c r="T2570" s="4"/>
      <c r="U2570" s="4"/>
      <c r="V2570" s="4"/>
    </row>
    <row r="2571" spans="1:22" ht="14.5" customHeight="1" x14ac:dyDescent="0.2">
      <c r="A2571">
        <v>2017</v>
      </c>
      <c r="B2571" t="s">
        <v>172</v>
      </c>
      <c r="C2571" t="s">
        <v>397</v>
      </c>
      <c r="D2571" s="22">
        <v>300</v>
      </c>
      <c r="E2571" s="16"/>
      <c r="G2571" t="s">
        <v>151</v>
      </c>
      <c r="H2571" t="s">
        <v>279</v>
      </c>
      <c r="I2571" t="s">
        <v>130</v>
      </c>
      <c r="J2571" t="s">
        <v>214</v>
      </c>
      <c r="K2571">
        <v>1</v>
      </c>
      <c r="L2571" s="2"/>
      <c r="N2571" s="21"/>
      <c r="O2571" s="2"/>
      <c r="P2571" s="2"/>
      <c r="Q2571" s="4"/>
      <c r="R2571" s="4"/>
      <c r="S2571" s="4"/>
      <c r="T2571" s="4"/>
      <c r="U2571" s="4"/>
      <c r="V2571" s="4"/>
    </row>
    <row r="2572" spans="1:22" ht="14.5" customHeight="1" x14ac:dyDescent="0.2">
      <c r="A2572">
        <v>2017</v>
      </c>
      <c r="B2572" t="s">
        <v>172</v>
      </c>
      <c r="C2572" t="s">
        <v>2798</v>
      </c>
      <c r="D2572" s="22">
        <v>880</v>
      </c>
      <c r="E2572" s="16"/>
      <c r="G2572" t="s">
        <v>144</v>
      </c>
      <c r="H2572" t="s">
        <v>197</v>
      </c>
      <c r="I2572" t="s">
        <v>95</v>
      </c>
      <c r="J2572" t="s">
        <v>183</v>
      </c>
      <c r="K2572">
        <v>1</v>
      </c>
      <c r="L2572" s="2"/>
      <c r="N2572" s="21"/>
      <c r="O2572" s="2"/>
      <c r="P2572" s="2"/>
      <c r="Q2572" s="4"/>
      <c r="R2572" s="4"/>
      <c r="S2572" s="4"/>
      <c r="T2572" s="4"/>
      <c r="U2572" s="4"/>
      <c r="V2572" s="4"/>
    </row>
    <row r="2573" spans="1:22" ht="14.5" customHeight="1" x14ac:dyDescent="0.2">
      <c r="A2573">
        <v>2017</v>
      </c>
      <c r="B2573" t="s">
        <v>172</v>
      </c>
      <c r="C2573" t="s">
        <v>341</v>
      </c>
      <c r="D2573" s="22">
        <v>240</v>
      </c>
      <c r="E2573" s="16"/>
      <c r="G2573" t="s">
        <v>150</v>
      </c>
      <c r="H2573" t="s">
        <v>217</v>
      </c>
      <c r="I2573" t="s">
        <v>40</v>
      </c>
      <c r="J2573" t="s">
        <v>219</v>
      </c>
      <c r="K2573">
        <v>1</v>
      </c>
      <c r="L2573" s="2"/>
      <c r="N2573" s="21"/>
      <c r="O2573" s="2"/>
      <c r="P2573" s="2"/>
      <c r="Q2573" s="4"/>
      <c r="R2573" s="4"/>
      <c r="S2573" s="4"/>
      <c r="T2573" s="4"/>
      <c r="U2573" s="4"/>
      <c r="V2573" s="4"/>
    </row>
    <row r="2574" spans="1:22" ht="14.5" customHeight="1" x14ac:dyDescent="0.2">
      <c r="A2574">
        <v>2017</v>
      </c>
      <c r="B2574" t="s">
        <v>172</v>
      </c>
      <c r="C2574" t="s">
        <v>557</v>
      </c>
      <c r="D2574" s="22">
        <v>230</v>
      </c>
      <c r="E2574" s="16"/>
      <c r="F2574" t="s">
        <v>2799</v>
      </c>
      <c r="G2574" t="s">
        <v>151</v>
      </c>
      <c r="H2574" t="s">
        <v>279</v>
      </c>
      <c r="I2574" t="s">
        <v>53</v>
      </c>
      <c r="J2574" t="s">
        <v>183</v>
      </c>
      <c r="K2574">
        <v>1</v>
      </c>
      <c r="L2574" s="2"/>
      <c r="N2574" s="21"/>
      <c r="O2574" s="2"/>
      <c r="P2574" s="2"/>
      <c r="Q2574" s="4"/>
      <c r="R2574" s="4"/>
      <c r="S2574" s="4"/>
      <c r="T2574" s="4"/>
      <c r="U2574" s="4"/>
      <c r="V2574" s="4"/>
    </row>
    <row r="2575" spans="1:22" ht="14.5" customHeight="1" x14ac:dyDescent="0.2">
      <c r="A2575">
        <v>2017</v>
      </c>
      <c r="B2575" t="s">
        <v>172</v>
      </c>
      <c r="C2575" t="s">
        <v>175</v>
      </c>
      <c r="D2575" s="22">
        <v>1660</v>
      </c>
      <c r="E2575" s="16"/>
      <c r="G2575" t="s">
        <v>149</v>
      </c>
      <c r="H2575" t="s">
        <v>182</v>
      </c>
      <c r="I2575" t="s">
        <v>72</v>
      </c>
      <c r="J2575" t="s">
        <v>183</v>
      </c>
      <c r="K2575">
        <v>1</v>
      </c>
      <c r="L2575" s="2"/>
      <c r="N2575" s="21"/>
      <c r="O2575" s="2"/>
      <c r="P2575" s="2"/>
      <c r="Q2575" s="4"/>
      <c r="R2575" s="4"/>
      <c r="S2575" s="4"/>
      <c r="T2575" s="4"/>
      <c r="U2575" s="4"/>
      <c r="V2575" s="4"/>
    </row>
    <row r="2576" spans="1:22" ht="14.5" customHeight="1" x14ac:dyDescent="0.2">
      <c r="A2576">
        <v>2017</v>
      </c>
      <c r="B2576" t="s">
        <v>172</v>
      </c>
      <c r="C2576" t="s">
        <v>269</v>
      </c>
      <c r="D2576" s="22">
        <v>100</v>
      </c>
      <c r="E2576" s="16"/>
      <c r="F2576" t="s">
        <v>2800</v>
      </c>
      <c r="G2576" t="s">
        <v>150</v>
      </c>
      <c r="H2576" t="s">
        <v>744</v>
      </c>
      <c r="I2576" t="s">
        <v>20</v>
      </c>
      <c r="J2576" t="s">
        <v>195</v>
      </c>
      <c r="K2576">
        <v>0</v>
      </c>
      <c r="L2576" s="2"/>
      <c r="N2576" s="21"/>
      <c r="O2576" s="2"/>
      <c r="P2576" s="2"/>
      <c r="Q2576" s="4"/>
      <c r="R2576" s="4"/>
      <c r="S2576" s="4"/>
      <c r="T2576" s="4"/>
      <c r="U2576" s="4"/>
      <c r="V2576" s="4"/>
    </row>
    <row r="2577" spans="1:22" ht="14.5" customHeight="1" x14ac:dyDescent="0.2">
      <c r="A2577">
        <v>2017</v>
      </c>
      <c r="B2577" t="s">
        <v>258</v>
      </c>
      <c r="C2577" t="s">
        <v>444</v>
      </c>
      <c r="D2577" s="22">
        <v>220</v>
      </c>
      <c r="E2577" s="16"/>
      <c r="G2577" t="s">
        <v>149</v>
      </c>
      <c r="I2577" t="s">
        <v>54</v>
      </c>
      <c r="J2577" t="s">
        <v>201</v>
      </c>
      <c r="K2577">
        <v>1</v>
      </c>
      <c r="L2577" s="2"/>
      <c r="N2577" s="21"/>
      <c r="O2577" s="2"/>
      <c r="P2577" s="2"/>
      <c r="Q2577" s="4"/>
      <c r="R2577" s="4"/>
      <c r="S2577" s="4"/>
      <c r="T2577" s="4"/>
      <c r="U2577" s="4"/>
      <c r="V2577" s="4"/>
    </row>
    <row r="2578" spans="1:22" ht="14.5" customHeight="1" x14ac:dyDescent="0.2">
      <c r="A2578">
        <v>2017</v>
      </c>
      <c r="B2578" t="s">
        <v>258</v>
      </c>
      <c r="C2578" t="s">
        <v>341</v>
      </c>
      <c r="D2578" s="22">
        <v>110</v>
      </c>
      <c r="E2578" s="16">
        <v>0.7</v>
      </c>
      <c r="G2578" t="s">
        <v>146</v>
      </c>
      <c r="I2578" t="s">
        <v>97</v>
      </c>
      <c r="J2578" t="s">
        <v>183</v>
      </c>
      <c r="K2578">
        <v>1</v>
      </c>
      <c r="L2578" s="2"/>
      <c r="N2578" s="21"/>
      <c r="O2578" s="2"/>
      <c r="P2578" s="2"/>
      <c r="Q2578" s="4"/>
      <c r="R2578" s="4"/>
      <c r="S2578" s="4"/>
      <c r="T2578" s="4"/>
      <c r="U2578" s="4"/>
      <c r="V2578" s="4"/>
    </row>
    <row r="2579" spans="1:22" ht="14.5" customHeight="1" x14ac:dyDescent="0.2">
      <c r="A2579">
        <v>2017</v>
      </c>
      <c r="B2579" t="s">
        <v>258</v>
      </c>
      <c r="C2579" t="s">
        <v>557</v>
      </c>
      <c r="D2579" s="22">
        <v>130</v>
      </c>
      <c r="E2579" s="16"/>
      <c r="F2579" t="s">
        <v>2801</v>
      </c>
      <c r="G2579" t="s">
        <v>151</v>
      </c>
      <c r="H2579" t="s">
        <v>279</v>
      </c>
      <c r="I2579" t="s">
        <v>93</v>
      </c>
      <c r="J2579" t="s">
        <v>201</v>
      </c>
      <c r="K2579">
        <v>1</v>
      </c>
      <c r="L2579" s="2"/>
      <c r="N2579" s="21"/>
      <c r="O2579" s="2"/>
      <c r="P2579" s="2"/>
      <c r="Q2579" s="4"/>
      <c r="R2579" s="4"/>
      <c r="S2579" s="4"/>
      <c r="T2579" s="4"/>
      <c r="U2579" s="4"/>
      <c r="V2579" s="4"/>
    </row>
    <row r="2580" spans="1:22" ht="14.5" customHeight="1" x14ac:dyDescent="0.2">
      <c r="A2580">
        <v>2017</v>
      </c>
      <c r="B2580" t="s">
        <v>258</v>
      </c>
      <c r="C2580" t="s">
        <v>189</v>
      </c>
      <c r="D2580" s="22">
        <v>250</v>
      </c>
      <c r="E2580" s="16"/>
      <c r="F2580" t="s">
        <v>2002</v>
      </c>
      <c r="G2580" t="s">
        <v>144</v>
      </c>
      <c r="H2580" t="s">
        <v>299</v>
      </c>
      <c r="I2580" t="s">
        <v>105</v>
      </c>
      <c r="J2580" t="s">
        <v>214</v>
      </c>
      <c r="K2580">
        <v>1</v>
      </c>
      <c r="L2580" s="2"/>
      <c r="N2580" s="21"/>
      <c r="O2580" s="2"/>
      <c r="P2580" s="2"/>
      <c r="Q2580" s="4"/>
      <c r="R2580" s="4"/>
      <c r="S2580" s="4"/>
      <c r="T2580" s="4"/>
      <c r="U2580" s="4"/>
      <c r="V2580" s="4"/>
    </row>
    <row r="2581" spans="1:22" ht="14.5" customHeight="1" x14ac:dyDescent="0.2">
      <c r="A2581">
        <v>2017</v>
      </c>
      <c r="B2581" t="s">
        <v>258</v>
      </c>
      <c r="C2581" t="s">
        <v>189</v>
      </c>
      <c r="D2581" s="22">
        <v>590</v>
      </c>
      <c r="E2581" s="16"/>
      <c r="G2581" t="s">
        <v>144</v>
      </c>
      <c r="H2581" t="s">
        <v>187</v>
      </c>
      <c r="I2581" t="s">
        <v>54</v>
      </c>
      <c r="J2581" t="s">
        <v>201</v>
      </c>
      <c r="K2581">
        <v>1</v>
      </c>
      <c r="L2581" s="2"/>
      <c r="N2581" s="21"/>
      <c r="O2581" s="2"/>
      <c r="P2581" s="2"/>
      <c r="Q2581" s="4"/>
      <c r="R2581" s="4"/>
      <c r="S2581" s="4"/>
      <c r="T2581" s="4"/>
      <c r="U2581" s="4"/>
      <c r="V2581" s="4"/>
    </row>
    <row r="2582" spans="1:22" ht="14.5" customHeight="1" x14ac:dyDescent="0.2">
      <c r="A2582">
        <v>2017</v>
      </c>
      <c r="B2582" t="s">
        <v>258</v>
      </c>
      <c r="C2582" t="s">
        <v>397</v>
      </c>
      <c r="D2582" s="22">
        <v>220</v>
      </c>
      <c r="E2582" s="16"/>
      <c r="G2582" t="s">
        <v>154</v>
      </c>
      <c r="H2582" t="s">
        <v>194</v>
      </c>
      <c r="I2582" t="s">
        <v>130</v>
      </c>
      <c r="J2582" t="s">
        <v>214</v>
      </c>
      <c r="K2582">
        <v>1</v>
      </c>
      <c r="L2582" s="2"/>
      <c r="N2582" s="21"/>
      <c r="O2582" s="2"/>
      <c r="P2582" s="2"/>
      <c r="Q2582" s="4"/>
      <c r="R2582" s="4"/>
      <c r="S2582" s="4"/>
      <c r="T2582" s="4"/>
      <c r="U2582" s="4"/>
      <c r="V2582" s="4"/>
    </row>
    <row r="2583" spans="1:22" ht="14.5" customHeight="1" x14ac:dyDescent="0.2">
      <c r="A2583">
        <v>2017</v>
      </c>
      <c r="B2583" t="s">
        <v>258</v>
      </c>
      <c r="C2583" t="s">
        <v>479</v>
      </c>
      <c r="D2583" s="22">
        <v>1080</v>
      </c>
      <c r="E2583" s="16"/>
      <c r="G2583" t="s">
        <v>154</v>
      </c>
      <c r="H2583" t="s">
        <v>194</v>
      </c>
      <c r="I2583" t="s">
        <v>2462</v>
      </c>
      <c r="J2583" t="s">
        <v>219</v>
      </c>
      <c r="K2583">
        <v>1</v>
      </c>
      <c r="L2583" s="2"/>
      <c r="N2583" s="21"/>
      <c r="O2583" s="2"/>
      <c r="P2583" s="2"/>
      <c r="Q2583" s="4"/>
      <c r="R2583" s="4"/>
      <c r="S2583" s="4"/>
      <c r="T2583" s="4"/>
      <c r="U2583" s="4"/>
      <c r="V2583" s="4"/>
    </row>
    <row r="2584" spans="1:22" ht="14.5" customHeight="1" x14ac:dyDescent="0.2">
      <c r="A2584">
        <v>2017</v>
      </c>
      <c r="B2584" t="s">
        <v>258</v>
      </c>
      <c r="C2584" t="s">
        <v>1035</v>
      </c>
      <c r="D2584" s="22">
        <v>130</v>
      </c>
      <c r="E2584" s="16"/>
      <c r="F2584" t="s">
        <v>2802</v>
      </c>
      <c r="G2584" t="s">
        <v>144</v>
      </c>
      <c r="H2584" t="s">
        <v>232</v>
      </c>
      <c r="I2584" t="s">
        <v>93</v>
      </c>
      <c r="J2584" t="s">
        <v>201</v>
      </c>
      <c r="K2584">
        <v>1</v>
      </c>
      <c r="L2584" s="2"/>
      <c r="N2584" s="21"/>
      <c r="O2584" s="2"/>
      <c r="P2584" s="2"/>
      <c r="Q2584" s="4"/>
      <c r="R2584" s="4"/>
      <c r="S2584" s="4"/>
      <c r="T2584" s="4"/>
      <c r="U2584" s="4"/>
      <c r="V2584" s="4"/>
    </row>
    <row r="2585" spans="1:22" ht="14.5" customHeight="1" x14ac:dyDescent="0.2">
      <c r="A2585">
        <v>2017</v>
      </c>
      <c r="B2585" t="s">
        <v>258</v>
      </c>
      <c r="C2585" t="s">
        <v>1035</v>
      </c>
      <c r="D2585" s="22">
        <v>760</v>
      </c>
      <c r="E2585" s="16"/>
      <c r="G2585" t="s">
        <v>144</v>
      </c>
      <c r="H2585" t="s">
        <v>187</v>
      </c>
      <c r="I2585" t="s">
        <v>60</v>
      </c>
      <c r="J2585" t="s">
        <v>177</v>
      </c>
      <c r="K2585">
        <v>1</v>
      </c>
      <c r="L2585" s="2"/>
      <c r="N2585" s="21"/>
      <c r="O2585" s="2"/>
      <c r="P2585" s="2"/>
      <c r="Q2585" s="4"/>
      <c r="R2585" s="4"/>
      <c r="S2585" s="4"/>
      <c r="T2585" s="4"/>
      <c r="U2585" s="4"/>
      <c r="V2585" s="4"/>
    </row>
    <row r="2586" spans="1:22" ht="14.5" customHeight="1" x14ac:dyDescent="0.2">
      <c r="A2586">
        <v>2017</v>
      </c>
      <c r="B2586" t="s">
        <v>258</v>
      </c>
      <c r="C2586" t="s">
        <v>479</v>
      </c>
      <c r="D2586" s="22">
        <v>760</v>
      </c>
      <c r="E2586" s="16"/>
      <c r="G2586" t="s">
        <v>142</v>
      </c>
      <c r="I2586" t="s">
        <v>9</v>
      </c>
      <c r="J2586" t="s">
        <v>9</v>
      </c>
      <c r="K2586">
        <v>0</v>
      </c>
      <c r="L2586" s="2"/>
      <c r="N2586" s="21"/>
      <c r="O2586" s="2"/>
      <c r="P2586" s="2"/>
      <c r="Q2586" s="4"/>
      <c r="R2586" s="4"/>
      <c r="S2586" s="4"/>
      <c r="T2586" s="4"/>
      <c r="U2586" s="4"/>
      <c r="V2586" s="4"/>
    </row>
    <row r="2587" spans="1:22" ht="14.5" customHeight="1" x14ac:dyDescent="0.2">
      <c r="A2587">
        <v>2017</v>
      </c>
      <c r="B2587" t="s">
        <v>258</v>
      </c>
      <c r="C2587" t="s">
        <v>479</v>
      </c>
      <c r="D2587" s="22">
        <v>640</v>
      </c>
      <c r="E2587" s="16"/>
      <c r="G2587" t="s">
        <v>154</v>
      </c>
      <c r="H2587" t="s">
        <v>529</v>
      </c>
      <c r="I2587" t="s">
        <v>53</v>
      </c>
      <c r="J2587" t="s">
        <v>183</v>
      </c>
      <c r="K2587">
        <v>1</v>
      </c>
      <c r="L2587" s="2"/>
      <c r="N2587" s="21"/>
      <c r="O2587" s="2"/>
      <c r="P2587" s="2"/>
      <c r="Q2587" s="4"/>
      <c r="R2587" s="4"/>
      <c r="S2587" s="4"/>
      <c r="T2587" s="4"/>
      <c r="U2587" s="4"/>
      <c r="V2587" s="4"/>
    </row>
    <row r="2588" spans="1:22" ht="14.5" customHeight="1" x14ac:dyDescent="0.2">
      <c r="A2588">
        <v>2017</v>
      </c>
      <c r="B2588" t="s">
        <v>258</v>
      </c>
      <c r="C2588" t="s">
        <v>557</v>
      </c>
      <c r="D2588" s="22">
        <v>190</v>
      </c>
      <c r="E2588" s="16"/>
      <c r="F2588" t="s">
        <v>2803</v>
      </c>
      <c r="G2588" t="s">
        <v>151</v>
      </c>
      <c r="H2588" t="s">
        <v>279</v>
      </c>
      <c r="I2588" t="s">
        <v>93</v>
      </c>
      <c r="J2588" t="s">
        <v>201</v>
      </c>
      <c r="K2588">
        <v>1</v>
      </c>
      <c r="L2588" s="2"/>
      <c r="N2588" s="21"/>
      <c r="O2588" s="2"/>
      <c r="P2588" s="2"/>
      <c r="Q2588" s="4"/>
      <c r="R2588" s="4"/>
      <c r="S2588" s="4"/>
      <c r="T2588" s="4"/>
      <c r="U2588" s="4"/>
      <c r="V2588" s="4"/>
    </row>
    <row r="2589" spans="1:22" ht="14.5" customHeight="1" x14ac:dyDescent="0.2">
      <c r="A2589">
        <v>2017</v>
      </c>
      <c r="B2589" t="s">
        <v>179</v>
      </c>
      <c r="C2589" t="s">
        <v>449</v>
      </c>
      <c r="D2589" s="22">
        <v>1470</v>
      </c>
      <c r="E2589" s="16"/>
      <c r="G2589" t="s">
        <v>154</v>
      </c>
      <c r="H2589" t="s">
        <v>529</v>
      </c>
      <c r="I2589" t="s">
        <v>89</v>
      </c>
      <c r="J2589" t="s">
        <v>219</v>
      </c>
      <c r="K2589">
        <v>1</v>
      </c>
      <c r="L2589" s="2"/>
      <c r="N2589" s="21"/>
      <c r="O2589" s="2"/>
      <c r="P2589" s="2"/>
      <c r="Q2589" s="4"/>
      <c r="R2589" s="4"/>
      <c r="S2589" s="4"/>
      <c r="T2589" s="4"/>
      <c r="U2589" s="4"/>
      <c r="V2589" s="4"/>
    </row>
    <row r="2590" spans="1:22" ht="14.5" customHeight="1" x14ac:dyDescent="0.2">
      <c r="A2590">
        <v>2017</v>
      </c>
      <c r="B2590" t="s">
        <v>179</v>
      </c>
      <c r="C2590" t="s">
        <v>2660</v>
      </c>
      <c r="D2590" s="22">
        <v>100</v>
      </c>
      <c r="E2590" s="16"/>
      <c r="F2590" t="s">
        <v>2804</v>
      </c>
      <c r="G2590" t="s">
        <v>151</v>
      </c>
      <c r="H2590" t="s">
        <v>279</v>
      </c>
      <c r="I2590" t="s">
        <v>115</v>
      </c>
      <c r="J2590" t="s">
        <v>201</v>
      </c>
      <c r="K2590">
        <v>1</v>
      </c>
      <c r="L2590" s="2"/>
      <c r="N2590" s="21"/>
      <c r="O2590" s="2"/>
      <c r="P2590" s="2"/>
      <c r="Q2590" s="4"/>
      <c r="R2590" s="4"/>
      <c r="S2590" s="4"/>
      <c r="T2590" s="4"/>
      <c r="U2590" s="4"/>
      <c r="V2590" s="4"/>
    </row>
    <row r="2591" spans="1:22" ht="14.5" customHeight="1" x14ac:dyDescent="0.2">
      <c r="A2591">
        <v>2017</v>
      </c>
      <c r="B2591" t="s">
        <v>179</v>
      </c>
      <c r="C2591" t="s">
        <v>745</v>
      </c>
      <c r="D2591" s="22">
        <v>1170</v>
      </c>
      <c r="E2591" s="16"/>
      <c r="F2591" t="s">
        <v>2593</v>
      </c>
      <c r="G2591" t="s">
        <v>144</v>
      </c>
      <c r="H2591" t="s">
        <v>187</v>
      </c>
      <c r="I2591" t="s">
        <v>101</v>
      </c>
      <c r="J2591" t="s">
        <v>201</v>
      </c>
      <c r="K2591">
        <v>1</v>
      </c>
      <c r="L2591" s="2"/>
      <c r="N2591" s="21"/>
      <c r="O2591" s="2"/>
      <c r="P2591" s="2"/>
      <c r="Q2591" s="4"/>
      <c r="R2591" s="4"/>
      <c r="S2591" s="4"/>
      <c r="T2591" s="4"/>
      <c r="U2591" s="4"/>
      <c r="V2591" s="4"/>
    </row>
    <row r="2592" spans="1:22" ht="14.5" customHeight="1" x14ac:dyDescent="0.2">
      <c r="A2592">
        <v>2017</v>
      </c>
      <c r="B2592" t="s">
        <v>179</v>
      </c>
      <c r="C2592" t="s">
        <v>474</v>
      </c>
      <c r="D2592" s="22">
        <v>310</v>
      </c>
      <c r="E2592" s="16"/>
      <c r="F2592" t="s">
        <v>2805</v>
      </c>
      <c r="G2592" t="s">
        <v>144</v>
      </c>
      <c r="H2592" t="s">
        <v>197</v>
      </c>
      <c r="I2592" t="s">
        <v>67</v>
      </c>
      <c r="J2592" t="s">
        <v>183</v>
      </c>
      <c r="K2592">
        <v>1</v>
      </c>
      <c r="L2592" s="2"/>
      <c r="N2592" s="21"/>
      <c r="O2592" s="2"/>
      <c r="P2592" s="2"/>
      <c r="Q2592" s="4"/>
      <c r="R2592" s="4"/>
      <c r="S2592" s="4"/>
      <c r="T2592" s="4"/>
      <c r="U2592" s="4"/>
      <c r="V2592" s="4"/>
    </row>
    <row r="2593" spans="1:22" ht="14.5" customHeight="1" x14ac:dyDescent="0.2">
      <c r="A2593">
        <v>2017</v>
      </c>
      <c r="B2593" t="s">
        <v>179</v>
      </c>
      <c r="C2593" t="s">
        <v>875</v>
      </c>
      <c r="D2593" s="22">
        <v>310</v>
      </c>
      <c r="E2593" s="16"/>
      <c r="G2593" t="s">
        <v>144</v>
      </c>
      <c r="H2593" t="s">
        <v>187</v>
      </c>
      <c r="I2593" t="s">
        <v>26</v>
      </c>
      <c r="J2593" t="s">
        <v>219</v>
      </c>
      <c r="K2593">
        <v>1</v>
      </c>
      <c r="L2593" s="2"/>
      <c r="N2593" s="21"/>
      <c r="O2593" s="2"/>
      <c r="P2593" s="2"/>
      <c r="Q2593" s="4"/>
      <c r="R2593" s="4"/>
      <c r="S2593" s="4"/>
      <c r="T2593" s="4"/>
      <c r="U2593" s="4"/>
      <c r="V2593" s="4"/>
    </row>
    <row r="2594" spans="1:22" ht="14.5" customHeight="1" x14ac:dyDescent="0.2">
      <c r="A2594">
        <v>2017</v>
      </c>
      <c r="B2594" t="s">
        <v>179</v>
      </c>
      <c r="C2594" t="s">
        <v>479</v>
      </c>
      <c r="D2594" s="22">
        <v>510</v>
      </c>
      <c r="E2594" s="16"/>
      <c r="G2594" t="s">
        <v>150</v>
      </c>
      <c r="I2594" t="s">
        <v>9</v>
      </c>
      <c r="J2594" t="s">
        <v>9</v>
      </c>
      <c r="K2594">
        <v>0</v>
      </c>
      <c r="L2594" s="2"/>
      <c r="N2594" s="21"/>
      <c r="O2594" s="2"/>
      <c r="P2594" s="2"/>
      <c r="Q2594" s="4"/>
      <c r="R2594" s="4"/>
      <c r="S2594" s="4"/>
      <c r="T2594" s="4"/>
      <c r="U2594" s="4"/>
      <c r="V2594" s="4"/>
    </row>
    <row r="2595" spans="1:22" ht="14.5" customHeight="1" x14ac:dyDescent="0.2">
      <c r="A2595">
        <v>2017</v>
      </c>
      <c r="B2595" t="s">
        <v>179</v>
      </c>
      <c r="C2595" t="s">
        <v>2806</v>
      </c>
      <c r="D2595" s="22">
        <v>170</v>
      </c>
      <c r="E2595" s="16"/>
      <c r="G2595" t="s">
        <v>154</v>
      </c>
      <c r="H2595" t="s">
        <v>194</v>
      </c>
      <c r="I2595" t="s">
        <v>64</v>
      </c>
      <c r="J2595" t="s">
        <v>219</v>
      </c>
      <c r="K2595">
        <v>1</v>
      </c>
      <c r="L2595" s="2"/>
      <c r="N2595" s="21"/>
      <c r="O2595" s="2"/>
      <c r="P2595" s="2"/>
      <c r="Q2595" s="4"/>
      <c r="R2595" s="4"/>
      <c r="S2595" s="4"/>
      <c r="T2595" s="4"/>
      <c r="U2595" s="4"/>
      <c r="V2595" s="4"/>
    </row>
    <row r="2596" spans="1:22" ht="14.5" customHeight="1" x14ac:dyDescent="0.2">
      <c r="A2596">
        <v>2017</v>
      </c>
      <c r="B2596" t="s">
        <v>179</v>
      </c>
      <c r="C2596" t="s">
        <v>875</v>
      </c>
      <c r="D2596" s="22">
        <v>710</v>
      </c>
      <c r="E2596" s="16"/>
      <c r="G2596" t="s">
        <v>151</v>
      </c>
      <c r="H2596" t="s">
        <v>279</v>
      </c>
      <c r="I2596" t="s">
        <v>65</v>
      </c>
      <c r="J2596" t="s">
        <v>214</v>
      </c>
      <c r="K2596">
        <v>1</v>
      </c>
      <c r="L2596" s="2"/>
      <c r="N2596" s="21"/>
      <c r="O2596" s="2"/>
      <c r="P2596" s="2"/>
      <c r="Q2596" s="4"/>
      <c r="R2596" s="4"/>
      <c r="S2596" s="4"/>
      <c r="T2596" s="4"/>
      <c r="U2596" s="4"/>
      <c r="V2596" s="4"/>
    </row>
    <row r="2597" spans="1:22" ht="14.5" customHeight="1" x14ac:dyDescent="0.2">
      <c r="A2597">
        <v>2017</v>
      </c>
      <c r="B2597" t="s">
        <v>179</v>
      </c>
      <c r="C2597" t="s">
        <v>2807</v>
      </c>
      <c r="D2597" s="22">
        <v>130</v>
      </c>
      <c r="E2597" s="16"/>
      <c r="G2597" t="s">
        <v>154</v>
      </c>
      <c r="H2597" t="s">
        <v>194</v>
      </c>
      <c r="I2597" t="s">
        <v>81</v>
      </c>
      <c r="J2597" t="s">
        <v>219</v>
      </c>
      <c r="K2597">
        <v>1</v>
      </c>
      <c r="L2597" s="2"/>
      <c r="N2597" s="21"/>
      <c r="O2597" s="2"/>
      <c r="P2597" s="2"/>
      <c r="Q2597" s="4"/>
      <c r="R2597" s="4"/>
      <c r="S2597" s="4"/>
      <c r="T2597" s="4"/>
      <c r="U2597" s="4"/>
      <c r="V2597" s="4"/>
    </row>
    <row r="2598" spans="1:22" ht="14.5" customHeight="1" x14ac:dyDescent="0.2">
      <c r="A2598">
        <v>2017</v>
      </c>
      <c r="B2598" t="s">
        <v>179</v>
      </c>
      <c r="C2598" t="s">
        <v>668</v>
      </c>
      <c r="D2598" s="22">
        <v>100</v>
      </c>
      <c r="E2598" s="16"/>
      <c r="G2598" t="s">
        <v>144</v>
      </c>
      <c r="I2598" t="s">
        <v>40</v>
      </c>
      <c r="J2598" t="s">
        <v>219</v>
      </c>
      <c r="K2598">
        <v>1</v>
      </c>
      <c r="L2598" s="2"/>
      <c r="N2598" s="21"/>
      <c r="O2598" s="2"/>
      <c r="P2598" s="2"/>
      <c r="Q2598" s="4"/>
      <c r="R2598" s="4"/>
      <c r="S2598" s="4"/>
      <c r="T2598" s="4"/>
      <c r="U2598" s="4"/>
      <c r="V2598" s="4"/>
    </row>
    <row r="2599" spans="1:22" ht="14.5" customHeight="1" x14ac:dyDescent="0.2">
      <c r="A2599">
        <v>2017</v>
      </c>
      <c r="B2599" t="s">
        <v>179</v>
      </c>
      <c r="C2599" t="s">
        <v>668</v>
      </c>
      <c r="D2599" s="22">
        <v>120</v>
      </c>
      <c r="E2599" s="16"/>
      <c r="G2599" t="s">
        <v>144</v>
      </c>
      <c r="I2599" t="s">
        <v>78</v>
      </c>
      <c r="J2599" t="s">
        <v>183</v>
      </c>
      <c r="K2599">
        <v>1</v>
      </c>
      <c r="L2599" s="2"/>
      <c r="N2599" s="21"/>
      <c r="O2599" s="2"/>
      <c r="P2599" s="2"/>
      <c r="Q2599" s="4"/>
      <c r="R2599" s="4"/>
      <c r="S2599" s="4"/>
      <c r="T2599" s="4"/>
      <c r="U2599" s="4"/>
      <c r="V2599" s="4"/>
    </row>
    <row r="2600" spans="1:22" ht="14.5" customHeight="1" x14ac:dyDescent="0.2">
      <c r="A2600">
        <v>2017</v>
      </c>
      <c r="B2600" t="s">
        <v>179</v>
      </c>
      <c r="C2600" t="s">
        <v>185</v>
      </c>
      <c r="D2600" s="22">
        <v>170</v>
      </c>
      <c r="E2600" s="16"/>
      <c r="G2600" t="s">
        <v>144</v>
      </c>
      <c r="H2600" t="s">
        <v>187</v>
      </c>
      <c r="I2600" t="s">
        <v>89</v>
      </c>
      <c r="J2600" t="s">
        <v>219</v>
      </c>
      <c r="K2600">
        <v>1</v>
      </c>
      <c r="L2600" s="2"/>
      <c r="N2600" s="21"/>
      <c r="O2600" s="2"/>
      <c r="P2600" s="2"/>
      <c r="Q2600" s="4"/>
      <c r="R2600" s="4"/>
      <c r="S2600" s="4"/>
      <c r="T2600" s="4"/>
      <c r="U2600" s="4"/>
      <c r="V2600" s="4"/>
    </row>
    <row r="2601" spans="1:22" ht="14.5" customHeight="1" x14ac:dyDescent="0.2">
      <c r="A2601">
        <v>2017</v>
      </c>
      <c r="B2601" t="s">
        <v>179</v>
      </c>
      <c r="C2601" t="s">
        <v>474</v>
      </c>
      <c r="D2601" s="22">
        <v>120</v>
      </c>
      <c r="E2601" s="16"/>
      <c r="G2601" t="s">
        <v>154</v>
      </c>
      <c r="H2601" t="s">
        <v>250</v>
      </c>
      <c r="I2601" t="s">
        <v>2755</v>
      </c>
      <c r="J2601" t="s">
        <v>177</v>
      </c>
      <c r="K2601">
        <v>1</v>
      </c>
      <c r="L2601" s="2"/>
      <c r="N2601" s="21"/>
      <c r="O2601" s="2"/>
      <c r="P2601" s="2"/>
      <c r="Q2601" s="4"/>
      <c r="R2601" s="4"/>
      <c r="S2601" s="4"/>
      <c r="T2601" s="4"/>
      <c r="U2601" s="4"/>
      <c r="V2601" s="4"/>
    </row>
    <row r="2602" spans="1:22" ht="14.5" customHeight="1" x14ac:dyDescent="0.2">
      <c r="A2602">
        <v>2017</v>
      </c>
      <c r="B2602" t="s">
        <v>179</v>
      </c>
      <c r="C2602" t="s">
        <v>399</v>
      </c>
      <c r="D2602" s="22">
        <v>100</v>
      </c>
      <c r="E2602" s="16"/>
      <c r="F2602" t="s">
        <v>2609</v>
      </c>
      <c r="G2602" t="s">
        <v>155</v>
      </c>
      <c r="I2602" t="s">
        <v>40</v>
      </c>
      <c r="J2602" t="s">
        <v>219</v>
      </c>
      <c r="K2602">
        <v>1</v>
      </c>
      <c r="L2602" s="2"/>
      <c r="N2602" s="21"/>
      <c r="O2602" s="2"/>
      <c r="P2602" s="2"/>
      <c r="Q2602" s="4"/>
      <c r="R2602" s="4"/>
      <c r="S2602" s="4"/>
      <c r="T2602" s="4"/>
      <c r="U2602" s="4"/>
      <c r="V2602" s="4"/>
    </row>
    <row r="2603" spans="1:22" ht="14.5" customHeight="1" x14ac:dyDescent="0.2">
      <c r="A2603">
        <v>2017</v>
      </c>
      <c r="B2603" t="s">
        <v>179</v>
      </c>
      <c r="C2603" t="s">
        <v>479</v>
      </c>
      <c r="D2603" s="22">
        <v>100</v>
      </c>
      <c r="E2603" s="16"/>
      <c r="G2603" t="s">
        <v>154</v>
      </c>
      <c r="H2603" t="s">
        <v>271</v>
      </c>
      <c r="I2603" t="s">
        <v>19</v>
      </c>
      <c r="J2603" t="s">
        <v>205</v>
      </c>
      <c r="K2603">
        <v>0</v>
      </c>
      <c r="L2603" s="2"/>
      <c r="N2603" s="21"/>
      <c r="O2603" s="2"/>
      <c r="P2603" s="2"/>
      <c r="Q2603" s="4"/>
      <c r="R2603" s="4"/>
      <c r="S2603" s="4"/>
      <c r="T2603" s="4"/>
      <c r="U2603" s="4"/>
      <c r="V2603" s="4"/>
    </row>
    <row r="2604" spans="1:22" ht="14.5" customHeight="1" x14ac:dyDescent="0.2">
      <c r="A2604">
        <v>2017</v>
      </c>
      <c r="B2604" t="s">
        <v>179</v>
      </c>
      <c r="C2604" t="s">
        <v>1035</v>
      </c>
      <c r="D2604" s="22">
        <v>150</v>
      </c>
      <c r="E2604" s="16"/>
      <c r="F2604" t="s">
        <v>2808</v>
      </c>
      <c r="G2604" t="s">
        <v>144</v>
      </c>
      <c r="I2604" t="s">
        <v>98</v>
      </c>
      <c r="J2604" t="s">
        <v>195</v>
      </c>
      <c r="K2604">
        <v>1</v>
      </c>
      <c r="L2604" s="2"/>
      <c r="N2604" s="21"/>
      <c r="O2604" s="2"/>
      <c r="P2604" s="2"/>
      <c r="Q2604" s="4"/>
      <c r="R2604" s="4"/>
      <c r="S2604" s="4"/>
      <c r="T2604" s="4"/>
      <c r="U2604" s="4"/>
      <c r="V2604" s="4"/>
    </row>
    <row r="2605" spans="1:22" ht="14.5" customHeight="1" x14ac:dyDescent="0.2">
      <c r="A2605">
        <v>2017</v>
      </c>
      <c r="B2605" t="s">
        <v>179</v>
      </c>
      <c r="C2605" t="s">
        <v>221</v>
      </c>
      <c r="D2605" s="22">
        <v>620</v>
      </c>
      <c r="E2605" s="16"/>
      <c r="F2605" t="s">
        <v>1139</v>
      </c>
      <c r="G2605" t="s">
        <v>153</v>
      </c>
      <c r="I2605" t="s">
        <v>20</v>
      </c>
      <c r="J2605" t="s">
        <v>195</v>
      </c>
      <c r="K2605">
        <v>0</v>
      </c>
      <c r="L2605" s="2"/>
      <c r="N2605" s="21"/>
      <c r="O2605" s="2"/>
      <c r="P2605" s="2"/>
      <c r="Q2605" s="4"/>
      <c r="R2605" s="4"/>
      <c r="S2605" s="4"/>
      <c r="T2605" s="4"/>
      <c r="U2605" s="4"/>
      <c r="V2605" s="4"/>
    </row>
    <row r="2606" spans="1:22" ht="14.5" customHeight="1" x14ac:dyDescent="0.2">
      <c r="A2606">
        <v>2017</v>
      </c>
      <c r="B2606" t="s">
        <v>179</v>
      </c>
      <c r="C2606" t="s">
        <v>557</v>
      </c>
      <c r="D2606" s="22">
        <v>180</v>
      </c>
      <c r="E2606" s="16"/>
      <c r="F2606" t="s">
        <v>2809</v>
      </c>
      <c r="G2606" t="s">
        <v>151</v>
      </c>
      <c r="H2606" t="s">
        <v>279</v>
      </c>
      <c r="I2606" t="s">
        <v>93</v>
      </c>
      <c r="J2606" t="s">
        <v>201</v>
      </c>
      <c r="K2606">
        <v>1</v>
      </c>
      <c r="L2606" s="2"/>
      <c r="N2606" s="21"/>
      <c r="O2606" s="2"/>
      <c r="P2606" s="2"/>
      <c r="Q2606" s="4"/>
      <c r="R2606" s="4"/>
      <c r="S2606" s="4"/>
      <c r="T2606" s="4"/>
      <c r="U2606" s="4"/>
      <c r="V2606" s="4"/>
    </row>
    <row r="2607" spans="1:22" ht="14.5" customHeight="1" x14ac:dyDescent="0.2">
      <c r="A2607">
        <v>2017</v>
      </c>
      <c r="B2607" t="s">
        <v>179</v>
      </c>
      <c r="C2607" t="s">
        <v>449</v>
      </c>
      <c r="D2607" s="22">
        <v>1530</v>
      </c>
      <c r="E2607" s="16"/>
      <c r="G2607" t="s">
        <v>154</v>
      </c>
      <c r="H2607" t="s">
        <v>529</v>
      </c>
      <c r="I2607" t="s">
        <v>89</v>
      </c>
      <c r="J2607" t="s">
        <v>219</v>
      </c>
      <c r="K2607">
        <v>1</v>
      </c>
      <c r="L2607" s="2"/>
      <c r="N2607" s="21"/>
      <c r="O2607" s="2"/>
      <c r="P2607" s="2"/>
      <c r="Q2607" s="4"/>
      <c r="R2607" s="4"/>
      <c r="S2607" s="4"/>
      <c r="T2607" s="4"/>
      <c r="U2607" s="4"/>
      <c r="V2607" s="4"/>
    </row>
    <row r="2608" spans="1:22" ht="14.5" customHeight="1" x14ac:dyDescent="0.2">
      <c r="A2608">
        <v>2017</v>
      </c>
      <c r="B2608" t="s">
        <v>179</v>
      </c>
      <c r="C2608" t="s">
        <v>875</v>
      </c>
      <c r="D2608" s="22">
        <v>910</v>
      </c>
      <c r="E2608" s="16"/>
      <c r="G2608" t="s">
        <v>144</v>
      </c>
      <c r="H2608" t="s">
        <v>197</v>
      </c>
      <c r="I2608" t="s">
        <v>93</v>
      </c>
      <c r="J2608" t="s">
        <v>201</v>
      </c>
      <c r="K2608">
        <v>1</v>
      </c>
      <c r="L2608" s="2"/>
      <c r="N2608" s="21"/>
      <c r="O2608" s="2"/>
      <c r="P2608" s="2"/>
      <c r="Q2608" s="4"/>
      <c r="R2608" s="4"/>
      <c r="S2608" s="4"/>
      <c r="T2608" s="4"/>
      <c r="U2608" s="4"/>
      <c r="V2608" s="4"/>
    </row>
    <row r="2609" spans="1:22" ht="14.5" customHeight="1" x14ac:dyDescent="0.2">
      <c r="A2609">
        <v>2017</v>
      </c>
      <c r="B2609" t="s">
        <v>184</v>
      </c>
      <c r="C2609" t="s">
        <v>199</v>
      </c>
      <c r="D2609" s="22">
        <v>2520</v>
      </c>
      <c r="E2609" s="16"/>
      <c r="G2609" t="s">
        <v>144</v>
      </c>
      <c r="H2609" t="s">
        <v>299</v>
      </c>
      <c r="I2609" t="s">
        <v>101</v>
      </c>
      <c r="J2609" t="s">
        <v>201</v>
      </c>
      <c r="K2609">
        <v>1</v>
      </c>
      <c r="L2609" s="2"/>
      <c r="N2609" s="21"/>
      <c r="O2609" s="2"/>
      <c r="P2609" s="2"/>
      <c r="Q2609" s="4"/>
      <c r="R2609" s="4"/>
      <c r="S2609" s="4"/>
      <c r="T2609" s="4"/>
      <c r="U2609" s="4"/>
      <c r="V2609" s="4"/>
    </row>
    <row r="2610" spans="1:22" ht="14.5" customHeight="1" x14ac:dyDescent="0.2">
      <c r="A2610">
        <v>2017</v>
      </c>
      <c r="B2610" t="s">
        <v>184</v>
      </c>
      <c r="C2610" t="s">
        <v>449</v>
      </c>
      <c r="D2610" s="22">
        <v>150</v>
      </c>
      <c r="E2610" s="16"/>
      <c r="G2610" t="s">
        <v>151</v>
      </c>
      <c r="H2610" t="s">
        <v>279</v>
      </c>
      <c r="I2610" t="s">
        <v>102</v>
      </c>
      <c r="J2610" t="s">
        <v>219</v>
      </c>
      <c r="K2610">
        <v>1</v>
      </c>
      <c r="L2610" s="2"/>
      <c r="N2610" s="21"/>
      <c r="O2610" s="2"/>
      <c r="P2610" s="2"/>
      <c r="Q2610" s="4"/>
      <c r="R2610" s="4"/>
      <c r="S2610" s="4"/>
      <c r="T2610" s="4"/>
      <c r="U2610" s="4"/>
      <c r="V2610" s="4"/>
    </row>
    <row r="2611" spans="1:22" ht="14.5" customHeight="1" x14ac:dyDescent="0.2">
      <c r="A2611">
        <v>2017</v>
      </c>
      <c r="B2611" t="s">
        <v>184</v>
      </c>
      <c r="C2611" t="s">
        <v>397</v>
      </c>
      <c r="D2611" s="22">
        <v>160</v>
      </c>
      <c r="E2611" s="16"/>
      <c r="G2611" t="s">
        <v>145</v>
      </c>
      <c r="I2611" t="s">
        <v>23</v>
      </c>
      <c r="J2611" t="s">
        <v>183</v>
      </c>
      <c r="K2611">
        <v>1</v>
      </c>
      <c r="L2611" s="2"/>
      <c r="N2611" s="21"/>
      <c r="O2611" s="2"/>
      <c r="P2611" s="2"/>
      <c r="Q2611" s="4"/>
      <c r="R2611" s="4"/>
      <c r="S2611" s="4"/>
      <c r="T2611" s="4"/>
      <c r="U2611" s="4"/>
      <c r="V2611" s="4"/>
    </row>
    <row r="2612" spans="1:22" ht="14.5" customHeight="1" x14ac:dyDescent="0.2">
      <c r="A2612">
        <v>2017</v>
      </c>
      <c r="B2612" t="s">
        <v>184</v>
      </c>
      <c r="C2612" t="s">
        <v>444</v>
      </c>
      <c r="D2612" s="22">
        <v>850</v>
      </c>
      <c r="E2612" s="16"/>
      <c r="F2612" t="s">
        <v>2810</v>
      </c>
      <c r="G2612" t="s">
        <v>144</v>
      </c>
      <c r="H2612" t="s">
        <v>232</v>
      </c>
      <c r="I2612" t="s">
        <v>41</v>
      </c>
      <c r="J2612" t="s">
        <v>195</v>
      </c>
      <c r="K2612">
        <v>0</v>
      </c>
      <c r="L2612" s="2"/>
      <c r="N2612" s="21"/>
      <c r="O2612" s="2"/>
      <c r="P2612" s="2"/>
      <c r="Q2612" s="4"/>
      <c r="R2612" s="4"/>
      <c r="S2612" s="4"/>
      <c r="T2612" s="4"/>
      <c r="U2612" s="4"/>
      <c r="V2612" s="4"/>
    </row>
    <row r="2613" spans="1:22" ht="14.5" customHeight="1" x14ac:dyDescent="0.2">
      <c r="A2613">
        <v>2017</v>
      </c>
      <c r="B2613" t="s">
        <v>184</v>
      </c>
      <c r="C2613" t="s">
        <v>2660</v>
      </c>
      <c r="D2613" s="22">
        <v>560</v>
      </c>
      <c r="E2613" s="16"/>
      <c r="F2613" t="s">
        <v>2811</v>
      </c>
      <c r="G2613" t="s">
        <v>144</v>
      </c>
      <c r="H2613" t="s">
        <v>187</v>
      </c>
      <c r="I2613" t="s">
        <v>23</v>
      </c>
      <c r="J2613" t="s">
        <v>183</v>
      </c>
      <c r="K2613">
        <v>1</v>
      </c>
      <c r="L2613" s="2"/>
      <c r="N2613" s="21"/>
      <c r="O2613" s="2"/>
      <c r="P2613" s="2"/>
      <c r="Q2613" s="4"/>
      <c r="R2613" s="4"/>
      <c r="S2613" s="4"/>
      <c r="T2613" s="4"/>
      <c r="U2613" s="4"/>
      <c r="V2613" s="4"/>
    </row>
    <row r="2614" spans="1:22" ht="14.5" customHeight="1" x14ac:dyDescent="0.2">
      <c r="A2614">
        <v>2017</v>
      </c>
      <c r="B2614" t="s">
        <v>184</v>
      </c>
      <c r="C2614" t="s">
        <v>479</v>
      </c>
      <c r="D2614" s="22">
        <v>100</v>
      </c>
      <c r="E2614" s="16"/>
      <c r="G2614" t="s">
        <v>154</v>
      </c>
      <c r="H2614" t="s">
        <v>194</v>
      </c>
      <c r="I2614" t="s">
        <v>9</v>
      </c>
      <c r="J2614" t="s">
        <v>9</v>
      </c>
      <c r="K2614">
        <v>0</v>
      </c>
      <c r="L2614" s="2"/>
      <c r="N2614" s="21"/>
      <c r="O2614" s="2"/>
      <c r="P2614" s="2"/>
      <c r="Q2614" s="4"/>
      <c r="R2614" s="4"/>
      <c r="S2614" s="4"/>
      <c r="T2614" s="4"/>
      <c r="U2614" s="4"/>
      <c r="V2614" s="4"/>
    </row>
    <row r="2615" spans="1:22" ht="14.5" customHeight="1" x14ac:dyDescent="0.2">
      <c r="A2615">
        <v>2017</v>
      </c>
      <c r="B2615" t="s">
        <v>184</v>
      </c>
      <c r="C2615" t="s">
        <v>397</v>
      </c>
      <c r="D2615" s="22">
        <v>120</v>
      </c>
      <c r="E2615" s="16"/>
      <c r="G2615" t="s">
        <v>150</v>
      </c>
      <c r="H2615" t="s">
        <v>744</v>
      </c>
      <c r="I2615" t="s">
        <v>65</v>
      </c>
      <c r="J2615" t="s">
        <v>214</v>
      </c>
      <c r="K2615">
        <v>1</v>
      </c>
      <c r="L2615" s="2"/>
      <c r="N2615" s="21"/>
      <c r="O2615" s="2"/>
      <c r="P2615" s="2"/>
      <c r="Q2615" s="4"/>
      <c r="R2615" s="4"/>
      <c r="S2615" s="4"/>
      <c r="T2615" s="4"/>
      <c r="U2615" s="4"/>
      <c r="V2615" s="4"/>
    </row>
    <row r="2616" spans="1:22" ht="14.5" customHeight="1" x14ac:dyDescent="0.2">
      <c r="A2616">
        <v>2017</v>
      </c>
      <c r="B2616" t="s">
        <v>184</v>
      </c>
      <c r="C2616" t="s">
        <v>175</v>
      </c>
      <c r="D2616" s="22">
        <v>350</v>
      </c>
      <c r="E2616" s="16"/>
      <c r="G2616" t="s">
        <v>151</v>
      </c>
      <c r="H2616" t="s">
        <v>279</v>
      </c>
      <c r="I2616" t="s">
        <v>95</v>
      </c>
      <c r="J2616" t="s">
        <v>183</v>
      </c>
      <c r="K2616">
        <v>1</v>
      </c>
      <c r="L2616" s="2"/>
      <c r="N2616" s="21"/>
      <c r="O2616" s="2"/>
      <c r="P2616" s="2"/>
      <c r="Q2616" s="4"/>
      <c r="R2616" s="4"/>
      <c r="S2616" s="4"/>
      <c r="T2616" s="4"/>
      <c r="U2616" s="4"/>
      <c r="V2616" s="4"/>
    </row>
    <row r="2617" spans="1:22" ht="14.5" customHeight="1" x14ac:dyDescent="0.2">
      <c r="A2617">
        <v>2017</v>
      </c>
      <c r="B2617" t="s">
        <v>184</v>
      </c>
      <c r="C2617" t="s">
        <v>479</v>
      </c>
      <c r="D2617" s="22">
        <v>150</v>
      </c>
      <c r="E2617" s="16"/>
      <c r="G2617" t="s">
        <v>154</v>
      </c>
      <c r="H2617" t="s">
        <v>271</v>
      </c>
      <c r="I2617" t="s">
        <v>123</v>
      </c>
      <c r="J2617" t="s">
        <v>219</v>
      </c>
      <c r="K2617">
        <v>1</v>
      </c>
      <c r="L2617" s="2"/>
      <c r="N2617" s="21"/>
      <c r="O2617" s="2"/>
      <c r="P2617" s="2"/>
      <c r="Q2617" s="4"/>
      <c r="R2617" s="4"/>
      <c r="S2617" s="4"/>
      <c r="T2617" s="4"/>
      <c r="U2617" s="4"/>
      <c r="V2617" s="4"/>
    </row>
    <row r="2618" spans="1:22" ht="14.5" customHeight="1" x14ac:dyDescent="0.2">
      <c r="A2618">
        <v>2017</v>
      </c>
      <c r="B2618" t="s">
        <v>184</v>
      </c>
      <c r="C2618" t="s">
        <v>449</v>
      </c>
      <c r="D2618" s="22">
        <v>390</v>
      </c>
      <c r="E2618" s="16"/>
      <c r="F2618" t="s">
        <v>2812</v>
      </c>
      <c r="G2618" t="s">
        <v>154</v>
      </c>
      <c r="H2618" t="s">
        <v>529</v>
      </c>
      <c r="I2618" t="s">
        <v>101</v>
      </c>
      <c r="J2618" t="s">
        <v>201</v>
      </c>
      <c r="K2618">
        <v>1</v>
      </c>
      <c r="L2618" s="2"/>
      <c r="N2618" s="21"/>
      <c r="O2618" s="2"/>
      <c r="P2618" s="2"/>
      <c r="Q2618" s="4"/>
      <c r="R2618" s="4"/>
      <c r="S2618" s="4"/>
      <c r="T2618" s="4"/>
      <c r="U2618" s="4"/>
      <c r="V2618" s="4"/>
    </row>
    <row r="2619" spans="1:22" ht="14.5" customHeight="1" x14ac:dyDescent="0.2">
      <c r="A2619">
        <v>2017</v>
      </c>
      <c r="B2619" t="s">
        <v>225</v>
      </c>
      <c r="C2619" t="s">
        <v>199</v>
      </c>
      <c r="D2619" s="22">
        <v>100</v>
      </c>
      <c r="E2619" s="16"/>
      <c r="G2619" t="s">
        <v>143</v>
      </c>
      <c r="I2619" t="s">
        <v>72</v>
      </c>
      <c r="J2619" t="s">
        <v>183</v>
      </c>
      <c r="K2619">
        <v>1</v>
      </c>
      <c r="L2619" s="2"/>
      <c r="N2619" s="21"/>
      <c r="O2619" s="2"/>
      <c r="P2619" s="2"/>
      <c r="Q2619" s="4"/>
      <c r="R2619" s="4"/>
      <c r="S2619" s="4"/>
      <c r="T2619" s="4"/>
      <c r="U2619" s="4"/>
      <c r="V2619" s="4"/>
    </row>
    <row r="2620" spans="1:22" ht="14.5" customHeight="1" x14ac:dyDescent="0.2">
      <c r="A2620">
        <v>2017</v>
      </c>
      <c r="B2620" t="s">
        <v>225</v>
      </c>
      <c r="C2620" t="s">
        <v>1035</v>
      </c>
      <c r="D2620" s="22">
        <v>1370</v>
      </c>
      <c r="E2620" s="16"/>
      <c r="F2620" t="s">
        <v>2591</v>
      </c>
      <c r="G2620" t="s">
        <v>155</v>
      </c>
      <c r="I2620" t="s">
        <v>105</v>
      </c>
      <c r="J2620" t="s">
        <v>214</v>
      </c>
      <c r="K2620">
        <v>1</v>
      </c>
      <c r="L2620" s="2"/>
      <c r="N2620" s="21"/>
      <c r="O2620" s="2"/>
      <c r="P2620" s="2"/>
      <c r="Q2620" s="4"/>
      <c r="R2620" s="4"/>
      <c r="S2620" s="4"/>
      <c r="T2620" s="4"/>
      <c r="U2620" s="4"/>
      <c r="V2620" s="4"/>
    </row>
    <row r="2621" spans="1:22" ht="14.5" customHeight="1" x14ac:dyDescent="0.2">
      <c r="A2621">
        <v>2017</v>
      </c>
      <c r="B2621" t="s">
        <v>225</v>
      </c>
      <c r="C2621" t="s">
        <v>2813</v>
      </c>
      <c r="D2621" s="22">
        <v>120</v>
      </c>
      <c r="E2621" s="16"/>
      <c r="G2621" t="s">
        <v>151</v>
      </c>
      <c r="H2621" t="s">
        <v>279</v>
      </c>
      <c r="I2621" t="s">
        <v>23</v>
      </c>
      <c r="J2621" t="s">
        <v>183</v>
      </c>
      <c r="K2621">
        <v>1</v>
      </c>
      <c r="L2621" s="2"/>
      <c r="N2621" s="21"/>
      <c r="O2621" s="2"/>
      <c r="P2621" s="2"/>
      <c r="Q2621" s="4"/>
      <c r="R2621" s="4"/>
      <c r="S2621" s="4"/>
      <c r="T2621" s="4"/>
      <c r="U2621" s="4"/>
      <c r="V2621" s="4"/>
    </row>
    <row r="2622" spans="1:22" ht="14.5" customHeight="1" x14ac:dyDescent="0.2">
      <c r="A2622">
        <v>2017</v>
      </c>
      <c r="B2622" t="s">
        <v>225</v>
      </c>
      <c r="C2622" s="52" t="s">
        <v>2392</v>
      </c>
      <c r="D2622" s="22">
        <v>260</v>
      </c>
      <c r="E2622" s="16"/>
      <c r="G2622" t="s">
        <v>144</v>
      </c>
      <c r="H2622" t="s">
        <v>232</v>
      </c>
      <c r="I2622" t="s">
        <v>40</v>
      </c>
      <c r="J2622" t="s">
        <v>219</v>
      </c>
      <c r="K2622">
        <v>1</v>
      </c>
      <c r="L2622" s="2"/>
      <c r="N2622" s="21"/>
      <c r="O2622" s="2"/>
      <c r="P2622" s="2"/>
      <c r="Q2622" s="4"/>
      <c r="R2622" s="4"/>
      <c r="S2622" s="4"/>
      <c r="T2622" s="4"/>
      <c r="U2622" s="4"/>
      <c r="V2622" s="4"/>
    </row>
    <row r="2623" spans="1:22" ht="14.5" customHeight="1" x14ac:dyDescent="0.2">
      <c r="A2623">
        <v>2017</v>
      </c>
      <c r="B2623" t="s">
        <v>225</v>
      </c>
      <c r="C2623" t="s">
        <v>444</v>
      </c>
      <c r="D2623" s="22">
        <v>250</v>
      </c>
      <c r="E2623" s="16"/>
      <c r="G2623" t="s">
        <v>154</v>
      </c>
      <c r="H2623" t="s">
        <v>194</v>
      </c>
      <c r="I2623" t="s">
        <v>80</v>
      </c>
      <c r="J2623" t="s">
        <v>214</v>
      </c>
      <c r="K2623">
        <v>1</v>
      </c>
      <c r="L2623" s="2"/>
      <c r="N2623" s="21"/>
      <c r="O2623" s="2"/>
      <c r="P2623" s="2"/>
      <c r="Q2623" s="4"/>
      <c r="R2623" s="4"/>
      <c r="S2623" s="4"/>
      <c r="T2623" s="4"/>
      <c r="U2623" s="4"/>
      <c r="V2623" s="4"/>
    </row>
    <row r="2624" spans="1:22" ht="14.5" customHeight="1" x14ac:dyDescent="0.2">
      <c r="A2624">
        <v>2017</v>
      </c>
      <c r="B2624" t="s">
        <v>225</v>
      </c>
      <c r="C2624" t="s">
        <v>1035</v>
      </c>
      <c r="D2624" s="22">
        <v>190</v>
      </c>
      <c r="E2624" s="16"/>
      <c r="G2624" t="s">
        <v>154</v>
      </c>
      <c r="H2624" t="s">
        <v>529</v>
      </c>
      <c r="I2624" t="s">
        <v>13</v>
      </c>
      <c r="J2624" t="s">
        <v>201</v>
      </c>
      <c r="K2624">
        <v>1</v>
      </c>
      <c r="L2624" s="2"/>
      <c r="N2624" s="21"/>
      <c r="O2624" s="2"/>
      <c r="P2624" s="2"/>
      <c r="Q2624" s="4"/>
      <c r="R2624" s="4"/>
      <c r="S2624" s="4"/>
      <c r="T2624" s="4"/>
      <c r="U2624" s="4"/>
      <c r="V2624" s="4"/>
    </row>
    <row r="2625" spans="1:22" ht="14.5" customHeight="1" x14ac:dyDescent="0.2">
      <c r="A2625">
        <v>2017</v>
      </c>
      <c r="B2625" t="s">
        <v>225</v>
      </c>
      <c r="C2625" t="s">
        <v>1035</v>
      </c>
      <c r="D2625" s="22">
        <v>280</v>
      </c>
      <c r="E2625" s="16"/>
      <c r="G2625" t="s">
        <v>154</v>
      </c>
      <c r="H2625" t="s">
        <v>194</v>
      </c>
      <c r="I2625" t="s">
        <v>16</v>
      </c>
      <c r="J2625" t="s">
        <v>205</v>
      </c>
      <c r="K2625">
        <v>1</v>
      </c>
      <c r="L2625" s="2"/>
      <c r="N2625" s="21"/>
      <c r="O2625" s="2"/>
      <c r="P2625" s="2"/>
      <c r="Q2625" s="4"/>
      <c r="R2625" s="4"/>
      <c r="S2625" s="4"/>
      <c r="T2625" s="4"/>
      <c r="U2625" s="4"/>
      <c r="V2625" s="4"/>
    </row>
    <row r="2626" spans="1:22" ht="14.5" customHeight="1" x14ac:dyDescent="0.2">
      <c r="A2626">
        <v>2017</v>
      </c>
      <c r="B2626" t="s">
        <v>225</v>
      </c>
      <c r="C2626" t="s">
        <v>221</v>
      </c>
      <c r="D2626" s="22">
        <v>940</v>
      </c>
      <c r="E2626" s="16"/>
      <c r="G2626" t="s">
        <v>154</v>
      </c>
      <c r="H2626" t="s">
        <v>194</v>
      </c>
      <c r="I2626" t="s">
        <v>63</v>
      </c>
      <c r="J2626" t="s">
        <v>201</v>
      </c>
      <c r="K2626">
        <v>1</v>
      </c>
      <c r="L2626" s="2"/>
      <c r="N2626" s="21"/>
      <c r="O2626" s="2"/>
      <c r="P2626" s="2"/>
      <c r="Q2626" s="4"/>
      <c r="R2626" s="4"/>
      <c r="S2626" s="4"/>
      <c r="T2626" s="4"/>
      <c r="U2626" s="4"/>
      <c r="V2626" s="4"/>
    </row>
    <row r="2627" spans="1:22" ht="14.5" customHeight="1" x14ac:dyDescent="0.2">
      <c r="A2627">
        <v>2017</v>
      </c>
      <c r="B2627" t="s">
        <v>225</v>
      </c>
      <c r="C2627" t="s">
        <v>1035</v>
      </c>
      <c r="D2627" s="22">
        <v>350</v>
      </c>
      <c r="E2627" s="16"/>
      <c r="G2627" t="s">
        <v>154</v>
      </c>
      <c r="H2627" t="s">
        <v>194</v>
      </c>
      <c r="I2627" t="s">
        <v>84</v>
      </c>
      <c r="J2627" t="s">
        <v>201</v>
      </c>
      <c r="K2627">
        <v>1</v>
      </c>
      <c r="L2627" s="2"/>
      <c r="N2627" s="21"/>
      <c r="O2627" s="2"/>
      <c r="P2627" s="2"/>
      <c r="Q2627" s="4"/>
      <c r="R2627" s="4"/>
      <c r="S2627" s="4"/>
      <c r="T2627" s="4"/>
      <c r="U2627" s="4"/>
      <c r="V2627" s="4"/>
    </row>
    <row r="2628" spans="1:22" ht="14.5" customHeight="1" x14ac:dyDescent="0.2">
      <c r="A2628">
        <v>2017</v>
      </c>
      <c r="B2628" t="s">
        <v>225</v>
      </c>
      <c r="C2628" t="s">
        <v>444</v>
      </c>
      <c r="D2628" s="22">
        <v>400</v>
      </c>
      <c r="E2628" s="16"/>
      <c r="G2628" t="s">
        <v>142</v>
      </c>
      <c r="I2628" t="s">
        <v>38</v>
      </c>
      <c r="J2628" t="s">
        <v>214</v>
      </c>
      <c r="K2628">
        <v>1</v>
      </c>
      <c r="L2628" s="2"/>
      <c r="N2628" s="21"/>
      <c r="O2628" s="2"/>
      <c r="P2628" s="2"/>
      <c r="Q2628" s="4"/>
      <c r="R2628" s="4"/>
      <c r="S2628" s="4"/>
      <c r="T2628" s="4"/>
      <c r="U2628" s="4"/>
      <c r="V2628" s="4"/>
    </row>
    <row r="2629" spans="1:22" ht="14.5" customHeight="1" x14ac:dyDescent="0.2">
      <c r="A2629">
        <v>2017</v>
      </c>
      <c r="B2629" t="s">
        <v>225</v>
      </c>
      <c r="C2629" t="s">
        <v>2814</v>
      </c>
      <c r="D2629" s="22">
        <v>390</v>
      </c>
      <c r="E2629" s="16"/>
      <c r="G2629" t="s">
        <v>144</v>
      </c>
      <c r="H2629" t="s">
        <v>232</v>
      </c>
      <c r="I2629" t="s">
        <v>8</v>
      </c>
      <c r="J2629" t="s">
        <v>205</v>
      </c>
      <c r="K2629">
        <v>1</v>
      </c>
      <c r="L2629" s="2"/>
      <c r="N2629" s="21"/>
      <c r="O2629" s="2"/>
      <c r="P2629" s="2"/>
      <c r="Q2629" s="4"/>
      <c r="R2629" s="4"/>
      <c r="S2629" s="4"/>
      <c r="T2629" s="4"/>
      <c r="U2629" s="4"/>
      <c r="V2629" s="4"/>
    </row>
    <row r="2630" spans="1:22" ht="14.5" customHeight="1" x14ac:dyDescent="0.2">
      <c r="A2630">
        <v>2017</v>
      </c>
      <c r="B2630" t="s">
        <v>188</v>
      </c>
      <c r="C2630" t="s">
        <v>1035</v>
      </c>
      <c r="D2630" s="22">
        <v>380</v>
      </c>
      <c r="E2630" s="16"/>
      <c r="G2630" t="s">
        <v>144</v>
      </c>
      <c r="H2630" t="s">
        <v>299</v>
      </c>
      <c r="I2630" t="s">
        <v>62</v>
      </c>
      <c r="J2630" t="s">
        <v>214</v>
      </c>
      <c r="K2630">
        <v>1</v>
      </c>
      <c r="L2630" s="2"/>
      <c r="N2630" s="21"/>
      <c r="O2630" s="2"/>
      <c r="P2630" s="2"/>
      <c r="Q2630" s="4"/>
      <c r="R2630" s="4"/>
      <c r="S2630" s="4"/>
      <c r="T2630" s="4"/>
      <c r="U2630" s="4"/>
      <c r="V2630" s="4"/>
    </row>
    <row r="2631" spans="1:22" ht="14.5" customHeight="1" x14ac:dyDescent="0.2">
      <c r="A2631">
        <v>2017</v>
      </c>
      <c r="B2631" t="s">
        <v>188</v>
      </c>
      <c r="C2631" t="s">
        <v>479</v>
      </c>
      <c r="D2631" s="22">
        <v>960</v>
      </c>
      <c r="E2631" s="16">
        <v>0.45</v>
      </c>
      <c r="F2631" t="s">
        <v>2815</v>
      </c>
      <c r="G2631" t="s">
        <v>154</v>
      </c>
      <c r="H2631" t="s">
        <v>529</v>
      </c>
      <c r="I2631" t="s">
        <v>9</v>
      </c>
      <c r="J2631" t="s">
        <v>9</v>
      </c>
      <c r="K2631">
        <v>0</v>
      </c>
      <c r="L2631" s="2"/>
      <c r="N2631" s="21"/>
      <c r="O2631" s="2"/>
      <c r="P2631" s="2"/>
      <c r="Q2631" s="4"/>
      <c r="R2631" s="4"/>
      <c r="S2631" s="4"/>
      <c r="T2631" s="4"/>
      <c r="U2631" s="4"/>
      <c r="V2631" s="4"/>
    </row>
    <row r="2632" spans="1:22" ht="14.5" customHeight="1" x14ac:dyDescent="0.2">
      <c r="A2632">
        <v>2017</v>
      </c>
      <c r="B2632" t="s">
        <v>188</v>
      </c>
      <c r="C2632" t="s">
        <v>444</v>
      </c>
      <c r="D2632" s="22">
        <v>1190</v>
      </c>
      <c r="E2632" s="16">
        <v>0.5</v>
      </c>
      <c r="F2632" t="s">
        <v>1960</v>
      </c>
      <c r="G2632" t="s">
        <v>154</v>
      </c>
      <c r="I2632" t="s">
        <v>81</v>
      </c>
      <c r="J2632" t="s">
        <v>219</v>
      </c>
      <c r="K2632">
        <v>1</v>
      </c>
      <c r="L2632" s="2"/>
      <c r="N2632" s="21"/>
      <c r="O2632" s="2"/>
      <c r="P2632" s="2"/>
      <c r="Q2632" s="4"/>
      <c r="R2632" s="4"/>
      <c r="S2632" s="4"/>
      <c r="T2632" s="4"/>
      <c r="U2632" s="4"/>
      <c r="V2632" s="4"/>
    </row>
    <row r="2633" spans="1:22" ht="14.5" customHeight="1" x14ac:dyDescent="0.2">
      <c r="A2633">
        <v>2017</v>
      </c>
      <c r="B2633" t="s">
        <v>188</v>
      </c>
      <c r="C2633" t="s">
        <v>189</v>
      </c>
      <c r="D2633" s="22">
        <v>130</v>
      </c>
      <c r="E2633" s="16"/>
      <c r="G2633" t="s">
        <v>151</v>
      </c>
      <c r="H2633" t="s">
        <v>279</v>
      </c>
      <c r="I2633" t="s">
        <v>40</v>
      </c>
      <c r="J2633" t="s">
        <v>219</v>
      </c>
      <c r="K2633">
        <v>1</v>
      </c>
      <c r="L2633" s="2"/>
      <c r="N2633" s="21"/>
      <c r="O2633" s="2"/>
      <c r="P2633" s="2"/>
      <c r="Q2633" s="4"/>
      <c r="R2633" s="4"/>
      <c r="S2633" s="4"/>
      <c r="T2633" s="4"/>
      <c r="U2633" s="4"/>
      <c r="V2633" s="4"/>
    </row>
    <row r="2634" spans="1:22" ht="14.5" customHeight="1" x14ac:dyDescent="0.2">
      <c r="A2634">
        <v>2017</v>
      </c>
      <c r="B2634" t="s">
        <v>188</v>
      </c>
      <c r="C2634" t="s">
        <v>483</v>
      </c>
      <c r="D2634" s="22">
        <v>450</v>
      </c>
      <c r="E2634" s="16"/>
      <c r="F2634" t="s">
        <v>2816</v>
      </c>
      <c r="G2634" t="s">
        <v>151</v>
      </c>
      <c r="H2634" t="s">
        <v>279</v>
      </c>
      <c r="I2634" t="s">
        <v>55</v>
      </c>
      <c r="J2634" t="s">
        <v>214</v>
      </c>
      <c r="K2634">
        <v>1</v>
      </c>
      <c r="L2634" s="2"/>
      <c r="N2634" s="21"/>
      <c r="O2634" s="2"/>
      <c r="P2634" s="2"/>
      <c r="Q2634" s="4"/>
      <c r="R2634" s="4"/>
      <c r="S2634" s="4"/>
      <c r="T2634" s="4"/>
      <c r="U2634" s="4"/>
      <c r="V2634" s="4"/>
    </row>
    <row r="2635" spans="1:22" ht="14.5" customHeight="1" x14ac:dyDescent="0.2">
      <c r="A2635">
        <v>2017</v>
      </c>
      <c r="B2635" t="s">
        <v>188</v>
      </c>
      <c r="C2635" t="s">
        <v>483</v>
      </c>
      <c r="D2635" s="22">
        <v>710</v>
      </c>
      <c r="E2635" s="16"/>
      <c r="G2635" t="s">
        <v>149</v>
      </c>
      <c r="H2635" t="s">
        <v>182</v>
      </c>
      <c r="I2635" t="s">
        <v>63</v>
      </c>
      <c r="J2635" t="s">
        <v>201</v>
      </c>
      <c r="K2635">
        <v>1</v>
      </c>
      <c r="L2635" s="2"/>
      <c r="N2635" s="21"/>
      <c r="O2635" s="2"/>
      <c r="P2635" s="2"/>
      <c r="Q2635" s="4"/>
      <c r="R2635" s="4"/>
      <c r="S2635" s="4"/>
      <c r="T2635" s="4"/>
      <c r="U2635" s="4"/>
      <c r="V2635" s="4"/>
    </row>
    <row r="2636" spans="1:22" ht="14.5" customHeight="1" x14ac:dyDescent="0.2">
      <c r="A2636">
        <v>2017</v>
      </c>
      <c r="B2636" t="s">
        <v>188</v>
      </c>
      <c r="C2636" t="s">
        <v>175</v>
      </c>
      <c r="D2636" s="22">
        <v>590</v>
      </c>
      <c r="E2636" s="16"/>
      <c r="G2636" t="s">
        <v>151</v>
      </c>
      <c r="H2636" t="s">
        <v>279</v>
      </c>
      <c r="I2636" t="s">
        <v>101</v>
      </c>
      <c r="J2636" t="s">
        <v>201</v>
      </c>
      <c r="K2636">
        <v>1</v>
      </c>
      <c r="L2636" s="2"/>
      <c r="N2636" s="21"/>
      <c r="O2636" s="2"/>
      <c r="P2636" s="2"/>
      <c r="Q2636" s="4"/>
      <c r="R2636" s="4"/>
      <c r="S2636" s="4"/>
      <c r="T2636" s="4"/>
      <c r="U2636" s="4"/>
      <c r="V2636" s="4"/>
    </row>
    <row r="2637" spans="1:22" ht="14.5" customHeight="1" x14ac:dyDescent="0.2">
      <c r="A2637">
        <v>2017</v>
      </c>
      <c r="B2637" t="s">
        <v>188</v>
      </c>
      <c r="C2637" t="s">
        <v>397</v>
      </c>
      <c r="D2637" s="22">
        <v>170</v>
      </c>
      <c r="E2637" s="16"/>
      <c r="G2637" t="s">
        <v>151</v>
      </c>
      <c r="H2637" t="s">
        <v>279</v>
      </c>
      <c r="I2637" t="s">
        <v>130</v>
      </c>
      <c r="J2637" t="s">
        <v>214</v>
      </c>
      <c r="K2637">
        <v>1</v>
      </c>
      <c r="L2637" s="2"/>
      <c r="N2637" s="21"/>
      <c r="O2637" s="2"/>
      <c r="P2637" s="2"/>
      <c r="Q2637" s="4"/>
      <c r="R2637" s="4"/>
      <c r="S2637" s="4"/>
      <c r="T2637" s="4"/>
      <c r="U2637" s="4"/>
      <c r="V2637" s="4"/>
    </row>
    <row r="2638" spans="1:22" ht="14.5" customHeight="1" x14ac:dyDescent="0.2">
      <c r="A2638">
        <v>2017</v>
      </c>
      <c r="B2638" t="s">
        <v>188</v>
      </c>
      <c r="C2638" t="s">
        <v>479</v>
      </c>
      <c r="D2638" s="22">
        <v>100</v>
      </c>
      <c r="E2638" s="16"/>
      <c r="G2638" t="s">
        <v>154</v>
      </c>
      <c r="H2638" t="s">
        <v>194</v>
      </c>
      <c r="I2638" t="s">
        <v>102</v>
      </c>
      <c r="J2638" t="s">
        <v>219</v>
      </c>
      <c r="K2638">
        <v>1</v>
      </c>
      <c r="L2638" s="2"/>
      <c r="N2638" s="21"/>
      <c r="O2638" s="2"/>
      <c r="P2638" s="2"/>
      <c r="Q2638" s="4"/>
      <c r="R2638" s="4"/>
      <c r="S2638" s="4"/>
      <c r="T2638" s="4"/>
      <c r="U2638" s="4"/>
      <c r="V2638" s="4"/>
    </row>
    <row r="2639" spans="1:22" ht="14.5" customHeight="1" x14ac:dyDescent="0.2">
      <c r="A2639" s="17">
        <v>2017</v>
      </c>
      <c r="B2639" s="17" t="s">
        <v>188</v>
      </c>
      <c r="C2639" s="17" t="s">
        <v>875</v>
      </c>
      <c r="D2639" s="24">
        <v>2770</v>
      </c>
      <c r="E2639" s="18">
        <v>0.61</v>
      </c>
      <c r="F2639" s="17" t="s">
        <v>2817</v>
      </c>
      <c r="G2639" s="17" t="s">
        <v>144</v>
      </c>
      <c r="H2639" s="17" t="s">
        <v>197</v>
      </c>
      <c r="I2639" s="17" t="s">
        <v>6</v>
      </c>
      <c r="J2639" s="17" t="s">
        <v>219</v>
      </c>
      <c r="K2639" s="17">
        <v>1</v>
      </c>
      <c r="L2639" s="2"/>
      <c r="N2639" s="21"/>
      <c r="O2639" s="2"/>
      <c r="P2639" s="2"/>
      <c r="Q2639" s="4"/>
      <c r="R2639" s="4"/>
      <c r="S2639" s="4"/>
      <c r="T2639" s="4"/>
      <c r="U2639" s="4"/>
      <c r="V2639" s="4"/>
    </row>
    <row r="2640" spans="1:22" ht="14.5" customHeight="1" x14ac:dyDescent="0.2">
      <c r="A2640">
        <v>2017</v>
      </c>
      <c r="B2640" t="s">
        <v>188</v>
      </c>
      <c r="C2640" t="s">
        <v>397</v>
      </c>
      <c r="D2640" s="22">
        <v>130</v>
      </c>
      <c r="E2640" s="16"/>
      <c r="G2640" t="s">
        <v>151</v>
      </c>
      <c r="H2640" t="s">
        <v>279</v>
      </c>
      <c r="I2640" t="s">
        <v>23</v>
      </c>
      <c r="J2640" t="s">
        <v>183</v>
      </c>
      <c r="K2640">
        <v>1</v>
      </c>
      <c r="L2640" s="2"/>
      <c r="N2640" s="21"/>
      <c r="O2640" s="2"/>
      <c r="P2640" s="2"/>
      <c r="Q2640" s="4"/>
      <c r="R2640" s="4"/>
      <c r="S2640" s="4"/>
      <c r="T2640" s="4"/>
      <c r="U2640" s="4"/>
      <c r="V2640" s="4"/>
    </row>
    <row r="2641" spans="1:22" ht="14.5" customHeight="1" x14ac:dyDescent="0.2">
      <c r="A2641">
        <v>2017</v>
      </c>
      <c r="B2641" t="s">
        <v>188</v>
      </c>
      <c r="C2641" t="s">
        <v>341</v>
      </c>
      <c r="D2641" s="22">
        <v>100</v>
      </c>
      <c r="E2641" s="16"/>
      <c r="G2641" t="s">
        <v>154</v>
      </c>
      <c r="H2641" t="s">
        <v>194</v>
      </c>
      <c r="I2641" t="s">
        <v>18</v>
      </c>
      <c r="J2641" t="s">
        <v>219</v>
      </c>
      <c r="K2641">
        <v>1</v>
      </c>
      <c r="L2641" s="2"/>
      <c r="N2641" s="21"/>
      <c r="O2641" s="2"/>
      <c r="P2641" s="2"/>
      <c r="Q2641" s="4"/>
      <c r="R2641" s="4"/>
      <c r="S2641" s="4"/>
      <c r="T2641" s="4"/>
      <c r="U2641" s="4"/>
      <c r="V2641" s="4"/>
    </row>
    <row r="2642" spans="1:22" ht="14.5" customHeight="1" x14ac:dyDescent="0.2">
      <c r="A2642">
        <v>2017</v>
      </c>
      <c r="B2642" t="s">
        <v>188</v>
      </c>
      <c r="C2642" t="s">
        <v>444</v>
      </c>
      <c r="D2642" s="22">
        <v>130</v>
      </c>
      <c r="E2642" s="16"/>
      <c r="F2642" t="s">
        <v>2818</v>
      </c>
      <c r="G2642" t="s">
        <v>155</v>
      </c>
      <c r="I2642" t="s">
        <v>34</v>
      </c>
      <c r="J2642" t="s">
        <v>219</v>
      </c>
      <c r="K2642">
        <v>1</v>
      </c>
      <c r="L2642" s="2"/>
      <c r="N2642" s="21"/>
      <c r="O2642" s="2"/>
      <c r="P2642" s="2"/>
      <c r="Q2642" s="4"/>
      <c r="R2642" s="4"/>
      <c r="S2642" s="4"/>
      <c r="T2642" s="4"/>
      <c r="U2642" s="4"/>
      <c r="V2642" s="4"/>
    </row>
    <row r="2643" spans="1:22" ht="14.5" customHeight="1" x14ac:dyDescent="0.2">
      <c r="A2643">
        <v>2017</v>
      </c>
      <c r="B2643" t="s">
        <v>188</v>
      </c>
      <c r="C2643" t="s">
        <v>875</v>
      </c>
      <c r="D2643" s="22">
        <v>480</v>
      </c>
      <c r="E2643" s="16"/>
      <c r="G2643" t="s">
        <v>144</v>
      </c>
      <c r="H2643" t="s">
        <v>299</v>
      </c>
      <c r="I2643" t="s">
        <v>95</v>
      </c>
      <c r="J2643" t="s">
        <v>183</v>
      </c>
      <c r="K2643">
        <v>1</v>
      </c>
      <c r="L2643" s="2"/>
      <c r="N2643" s="21"/>
      <c r="O2643" s="2"/>
      <c r="P2643" s="2"/>
      <c r="Q2643" s="4"/>
      <c r="R2643" s="4"/>
      <c r="S2643" s="4"/>
      <c r="T2643" s="4"/>
      <c r="U2643" s="4"/>
      <c r="V2643" s="4"/>
    </row>
    <row r="2644" spans="1:22" ht="14.5" customHeight="1" x14ac:dyDescent="0.2">
      <c r="A2644">
        <v>2017</v>
      </c>
      <c r="B2644" t="s">
        <v>188</v>
      </c>
      <c r="C2644" t="s">
        <v>397</v>
      </c>
      <c r="D2644" s="22">
        <v>350</v>
      </c>
      <c r="E2644" s="16"/>
      <c r="F2644" t="s">
        <v>2683</v>
      </c>
      <c r="G2644" t="s">
        <v>153</v>
      </c>
      <c r="I2644" t="s">
        <v>130</v>
      </c>
      <c r="J2644" t="s">
        <v>214</v>
      </c>
      <c r="K2644">
        <v>1</v>
      </c>
      <c r="L2644" s="2"/>
      <c r="N2644" s="21"/>
      <c r="O2644" s="2"/>
      <c r="P2644" s="2"/>
      <c r="Q2644" s="4"/>
      <c r="R2644" s="4"/>
      <c r="S2644" s="4"/>
      <c r="T2644" s="4"/>
      <c r="U2644" s="4"/>
      <c r="V2644" s="4"/>
    </row>
    <row r="2645" spans="1:22" ht="14.5" customHeight="1" x14ac:dyDescent="0.2">
      <c r="A2645">
        <v>2017</v>
      </c>
      <c r="B2645" t="s">
        <v>191</v>
      </c>
      <c r="C2645" t="s">
        <v>397</v>
      </c>
      <c r="D2645" s="22">
        <v>380</v>
      </c>
      <c r="E2645" s="16"/>
      <c r="G2645" t="s">
        <v>154</v>
      </c>
      <c r="H2645" t="s">
        <v>250</v>
      </c>
      <c r="I2645" t="s">
        <v>93</v>
      </c>
      <c r="J2645" t="s">
        <v>201</v>
      </c>
      <c r="K2645">
        <v>1</v>
      </c>
      <c r="L2645" s="2"/>
      <c r="N2645" s="21"/>
      <c r="O2645" s="2"/>
      <c r="P2645" s="2"/>
      <c r="Q2645" s="4"/>
      <c r="R2645" s="4"/>
      <c r="S2645" s="4"/>
      <c r="T2645" s="4"/>
      <c r="U2645" s="4"/>
      <c r="V2645" s="4"/>
    </row>
    <row r="2646" spans="1:22" ht="14.5" customHeight="1" x14ac:dyDescent="0.2">
      <c r="A2646">
        <v>2017</v>
      </c>
      <c r="B2646" t="s">
        <v>191</v>
      </c>
      <c r="C2646" t="s">
        <v>875</v>
      </c>
      <c r="D2646" s="22">
        <v>490</v>
      </c>
      <c r="E2646" s="16">
        <v>0.7</v>
      </c>
      <c r="F2646" t="s">
        <v>2427</v>
      </c>
      <c r="G2646" t="s">
        <v>144</v>
      </c>
      <c r="H2646" t="s">
        <v>197</v>
      </c>
      <c r="I2646" t="s">
        <v>72</v>
      </c>
      <c r="J2646" t="s">
        <v>183</v>
      </c>
      <c r="K2646">
        <v>1</v>
      </c>
      <c r="L2646" s="2"/>
      <c r="N2646" s="21"/>
      <c r="O2646" s="2"/>
      <c r="P2646" s="2"/>
      <c r="Q2646" s="4"/>
      <c r="R2646" s="4"/>
      <c r="S2646" s="4"/>
      <c r="T2646" s="4"/>
      <c r="U2646" s="4"/>
      <c r="V2646" s="4"/>
    </row>
    <row r="2647" spans="1:22" ht="14.5" customHeight="1" x14ac:dyDescent="0.2">
      <c r="A2647">
        <v>2017</v>
      </c>
      <c r="B2647" t="s">
        <v>191</v>
      </c>
      <c r="C2647" t="s">
        <v>479</v>
      </c>
      <c r="D2647" s="22">
        <v>200</v>
      </c>
      <c r="E2647" s="16"/>
      <c r="G2647" t="s">
        <v>144</v>
      </c>
      <c r="H2647" t="s">
        <v>232</v>
      </c>
      <c r="I2647" t="s">
        <v>6</v>
      </c>
      <c r="J2647" t="s">
        <v>219</v>
      </c>
      <c r="K2647">
        <v>1</v>
      </c>
      <c r="L2647" s="2"/>
      <c r="N2647" s="21"/>
      <c r="O2647" s="2"/>
      <c r="P2647" s="2"/>
      <c r="Q2647" s="4"/>
      <c r="R2647" s="4"/>
      <c r="S2647" s="4"/>
      <c r="T2647" s="4"/>
      <c r="U2647" s="4"/>
      <c r="V2647" s="4"/>
    </row>
    <row r="2648" spans="1:22" ht="14.5" customHeight="1" x14ac:dyDescent="0.2">
      <c r="A2648">
        <v>2017</v>
      </c>
      <c r="B2648" t="s">
        <v>191</v>
      </c>
      <c r="C2648" t="s">
        <v>397</v>
      </c>
      <c r="D2648" s="22">
        <v>170</v>
      </c>
      <c r="E2648" s="16"/>
      <c r="G2648" t="s">
        <v>154</v>
      </c>
      <c r="H2648" t="s">
        <v>194</v>
      </c>
      <c r="I2648" t="s">
        <v>130</v>
      </c>
      <c r="J2648" t="s">
        <v>214</v>
      </c>
      <c r="K2648">
        <v>1</v>
      </c>
      <c r="L2648" s="2"/>
      <c r="N2648" s="21"/>
      <c r="O2648" s="2"/>
      <c r="P2648" s="2"/>
      <c r="Q2648" s="4"/>
      <c r="R2648" s="4"/>
      <c r="S2648" s="4"/>
      <c r="T2648" s="4"/>
      <c r="U2648" s="4"/>
      <c r="V2648" s="4"/>
    </row>
    <row r="2649" spans="1:22" ht="14.5" customHeight="1" x14ac:dyDescent="0.2">
      <c r="A2649">
        <v>2017</v>
      </c>
      <c r="B2649" t="s">
        <v>191</v>
      </c>
      <c r="C2649" t="s">
        <v>444</v>
      </c>
      <c r="D2649" s="22">
        <v>130</v>
      </c>
      <c r="E2649" s="16"/>
      <c r="G2649" t="s">
        <v>144</v>
      </c>
      <c r="I2649" t="s">
        <v>64</v>
      </c>
      <c r="J2649" t="s">
        <v>219</v>
      </c>
      <c r="K2649">
        <v>1</v>
      </c>
      <c r="L2649" s="2"/>
      <c r="N2649" s="21"/>
      <c r="O2649" s="2"/>
      <c r="P2649" s="2"/>
      <c r="Q2649" s="4"/>
      <c r="R2649" s="4"/>
      <c r="S2649" s="4"/>
      <c r="T2649" s="4"/>
      <c r="U2649" s="4"/>
      <c r="V2649" s="4"/>
    </row>
    <row r="2650" spans="1:22" ht="14.5" customHeight="1" x14ac:dyDescent="0.2">
      <c r="A2650">
        <v>2017</v>
      </c>
      <c r="B2650" t="s">
        <v>191</v>
      </c>
      <c r="C2650" t="s">
        <v>875</v>
      </c>
      <c r="D2650" s="22">
        <v>180</v>
      </c>
      <c r="E2650" s="16">
        <v>0.75</v>
      </c>
      <c r="F2650" t="s">
        <v>2819</v>
      </c>
      <c r="G2650" t="s">
        <v>144</v>
      </c>
      <c r="H2650" t="s">
        <v>232</v>
      </c>
      <c r="I2650" t="s">
        <v>20</v>
      </c>
      <c r="J2650" t="s">
        <v>195</v>
      </c>
      <c r="K2650">
        <v>0</v>
      </c>
      <c r="L2650" s="2"/>
      <c r="N2650" s="21"/>
      <c r="O2650" s="2"/>
      <c r="P2650" s="2"/>
      <c r="Q2650" s="4"/>
      <c r="R2650" s="4"/>
      <c r="S2650" s="4"/>
      <c r="T2650" s="4"/>
      <c r="U2650" s="4"/>
      <c r="V2650" s="4"/>
    </row>
    <row r="2651" spans="1:22" ht="14.5" customHeight="1" x14ac:dyDescent="0.2">
      <c r="A2651">
        <v>2017</v>
      </c>
      <c r="B2651" t="s">
        <v>191</v>
      </c>
      <c r="C2651" t="s">
        <v>530</v>
      </c>
      <c r="D2651" s="22">
        <v>120</v>
      </c>
      <c r="E2651" s="16"/>
      <c r="G2651" t="s">
        <v>144</v>
      </c>
      <c r="H2651" t="s">
        <v>232</v>
      </c>
      <c r="I2651" t="s">
        <v>24</v>
      </c>
      <c r="J2651" t="s">
        <v>219</v>
      </c>
      <c r="K2651">
        <v>1</v>
      </c>
      <c r="L2651" s="2"/>
      <c r="N2651" s="21"/>
      <c r="O2651" s="2"/>
      <c r="P2651" s="2"/>
      <c r="Q2651" s="4"/>
      <c r="R2651" s="4"/>
      <c r="S2651" s="4"/>
      <c r="T2651" s="4"/>
      <c r="U2651" s="4"/>
      <c r="V2651" s="4"/>
    </row>
    <row r="2652" spans="1:22" ht="14.5" customHeight="1" x14ac:dyDescent="0.2">
      <c r="A2652">
        <v>2017</v>
      </c>
      <c r="B2652" t="s">
        <v>191</v>
      </c>
      <c r="C2652" t="s">
        <v>479</v>
      </c>
      <c r="D2652" s="22">
        <v>100</v>
      </c>
      <c r="E2652" s="16"/>
      <c r="F2652" t="s">
        <v>2820</v>
      </c>
      <c r="G2652" t="s">
        <v>154</v>
      </c>
      <c r="H2652" t="s">
        <v>271</v>
      </c>
      <c r="I2652" t="s">
        <v>94</v>
      </c>
      <c r="J2652" t="s">
        <v>177</v>
      </c>
      <c r="K2652">
        <v>0</v>
      </c>
      <c r="L2652" s="2"/>
      <c r="N2652" s="21"/>
      <c r="O2652" s="2"/>
      <c r="P2652" s="2"/>
      <c r="Q2652" s="4"/>
      <c r="R2652" s="4"/>
      <c r="S2652" s="4"/>
      <c r="T2652" s="4"/>
      <c r="U2652" s="4"/>
      <c r="V2652" s="4"/>
    </row>
    <row r="2653" spans="1:22" ht="14.5" customHeight="1" x14ac:dyDescent="0.2">
      <c r="A2653">
        <v>2017</v>
      </c>
      <c r="B2653" t="s">
        <v>191</v>
      </c>
      <c r="C2653" t="s">
        <v>2821</v>
      </c>
      <c r="D2653" s="22">
        <v>1900</v>
      </c>
      <c r="E2653" s="16"/>
      <c r="G2653" t="s">
        <v>150</v>
      </c>
      <c r="H2653" t="s">
        <v>217</v>
      </c>
      <c r="I2653" t="s">
        <v>64</v>
      </c>
      <c r="J2653" t="s">
        <v>219</v>
      </c>
      <c r="K2653">
        <v>1</v>
      </c>
      <c r="L2653" s="2"/>
      <c r="N2653" s="21"/>
      <c r="O2653" s="2"/>
      <c r="P2653" s="2"/>
      <c r="Q2653" s="4"/>
      <c r="R2653" s="4"/>
      <c r="S2653" s="4"/>
      <c r="T2653" s="4"/>
      <c r="U2653" s="4"/>
      <c r="V2653" s="4"/>
    </row>
    <row r="2654" spans="1:22" s="41" customFormat="1" ht="14.5" customHeight="1" x14ac:dyDescent="0.2">
      <c r="A2654">
        <v>2017</v>
      </c>
      <c r="B2654" t="s">
        <v>191</v>
      </c>
      <c r="C2654" t="s">
        <v>557</v>
      </c>
      <c r="D2654" s="22">
        <v>500</v>
      </c>
      <c r="E2654" s="16"/>
      <c r="F2654" t="s">
        <v>2822</v>
      </c>
      <c r="G2654" t="s">
        <v>151</v>
      </c>
      <c r="H2654" t="s">
        <v>279</v>
      </c>
      <c r="I2654" t="s">
        <v>132</v>
      </c>
      <c r="J2654" t="s">
        <v>219</v>
      </c>
      <c r="K2654">
        <v>1</v>
      </c>
      <c r="L2654" s="2"/>
      <c r="N2654" s="42"/>
      <c r="O2654" s="78"/>
      <c r="P2654" s="78"/>
      <c r="Q2654" s="77"/>
      <c r="R2654" s="77"/>
      <c r="S2654" s="77"/>
      <c r="T2654" s="77"/>
      <c r="U2654" s="77"/>
      <c r="V2654" s="77"/>
    </row>
    <row r="2655" spans="1:22" ht="14.5" customHeight="1" x14ac:dyDescent="0.2">
      <c r="A2655">
        <v>2017</v>
      </c>
      <c r="B2655" t="s">
        <v>191</v>
      </c>
      <c r="C2655" t="s">
        <v>875</v>
      </c>
      <c r="D2655" s="22">
        <v>1470</v>
      </c>
      <c r="E2655" s="16"/>
      <c r="F2655" t="s">
        <v>2593</v>
      </c>
      <c r="G2655" t="s">
        <v>144</v>
      </c>
      <c r="H2655" t="s">
        <v>299</v>
      </c>
      <c r="I2655" t="s">
        <v>101</v>
      </c>
      <c r="J2655" t="s">
        <v>201</v>
      </c>
      <c r="K2655">
        <v>1</v>
      </c>
      <c r="L2655" s="2"/>
      <c r="N2655" s="21"/>
      <c r="O2655" s="2"/>
      <c r="P2655" s="2"/>
      <c r="Q2655" s="4"/>
      <c r="R2655" s="4"/>
      <c r="S2655" s="4"/>
      <c r="T2655" s="4"/>
      <c r="U2655" s="4"/>
      <c r="V2655" s="4"/>
    </row>
    <row r="2656" spans="1:22" ht="14.5" customHeight="1" x14ac:dyDescent="0.2">
      <c r="A2656">
        <v>2017</v>
      </c>
      <c r="B2656" t="s">
        <v>191</v>
      </c>
      <c r="C2656" t="s">
        <v>397</v>
      </c>
      <c r="D2656" s="22">
        <v>110</v>
      </c>
      <c r="E2656" s="16"/>
      <c r="G2656" t="s">
        <v>151</v>
      </c>
      <c r="H2656" t="s">
        <v>279</v>
      </c>
      <c r="I2656" t="s">
        <v>136</v>
      </c>
      <c r="J2656" t="s">
        <v>183</v>
      </c>
      <c r="K2656">
        <v>1</v>
      </c>
      <c r="L2656" s="2"/>
      <c r="N2656" s="21"/>
      <c r="O2656" s="2"/>
      <c r="P2656" s="2"/>
      <c r="Q2656" s="4"/>
      <c r="R2656" s="4"/>
      <c r="S2656" s="4"/>
      <c r="T2656" s="4"/>
      <c r="U2656" s="4"/>
      <c r="V2656" s="4"/>
    </row>
    <row r="2657" spans="1:22" ht="14.5" customHeight="1" x14ac:dyDescent="0.2">
      <c r="A2657">
        <v>2017</v>
      </c>
      <c r="B2657" t="s">
        <v>191</v>
      </c>
      <c r="C2657" t="s">
        <v>2823</v>
      </c>
      <c r="D2657" s="22">
        <v>390</v>
      </c>
      <c r="E2657" s="16"/>
      <c r="G2657" t="s">
        <v>146</v>
      </c>
      <c r="I2657" t="s">
        <v>80</v>
      </c>
      <c r="J2657" t="s">
        <v>214</v>
      </c>
      <c r="K2657">
        <v>1</v>
      </c>
      <c r="L2657" s="2"/>
      <c r="N2657" s="21"/>
      <c r="O2657" s="2"/>
      <c r="P2657" s="2"/>
      <c r="Q2657" s="4"/>
      <c r="R2657" s="4"/>
      <c r="S2657" s="4"/>
      <c r="T2657" s="4"/>
      <c r="U2657" s="4"/>
      <c r="V2657" s="4"/>
    </row>
    <row r="2658" spans="1:22" ht="14.5" customHeight="1" x14ac:dyDescent="0.2">
      <c r="A2658">
        <v>2017</v>
      </c>
      <c r="B2658" t="s">
        <v>191</v>
      </c>
      <c r="C2658" t="s">
        <v>479</v>
      </c>
      <c r="D2658" s="22">
        <v>440</v>
      </c>
      <c r="E2658" s="16"/>
      <c r="G2658" t="s">
        <v>148</v>
      </c>
      <c r="I2658" t="s">
        <v>45</v>
      </c>
      <c r="J2658" t="s">
        <v>195</v>
      </c>
      <c r="K2658">
        <v>0</v>
      </c>
      <c r="L2658" s="2"/>
      <c r="N2658" s="21"/>
      <c r="O2658" s="2"/>
      <c r="P2658" s="2"/>
      <c r="Q2658" s="4"/>
      <c r="R2658" s="4"/>
      <c r="S2658" s="4"/>
      <c r="T2658" s="4"/>
      <c r="U2658" s="4"/>
      <c r="V2658" s="4"/>
    </row>
    <row r="2659" spans="1:22" ht="14.5" customHeight="1" x14ac:dyDescent="0.2">
      <c r="A2659">
        <v>2017</v>
      </c>
      <c r="B2659" t="s">
        <v>191</v>
      </c>
      <c r="C2659" t="s">
        <v>337</v>
      </c>
      <c r="D2659" s="22">
        <v>890</v>
      </c>
      <c r="E2659" s="16"/>
      <c r="F2659" t="s">
        <v>2526</v>
      </c>
      <c r="G2659" t="s">
        <v>144</v>
      </c>
      <c r="H2659" t="s">
        <v>273</v>
      </c>
      <c r="I2659" t="s">
        <v>136</v>
      </c>
      <c r="J2659" t="s">
        <v>183</v>
      </c>
      <c r="K2659">
        <v>1</v>
      </c>
      <c r="L2659" s="2"/>
      <c r="N2659" s="21"/>
      <c r="O2659" s="2"/>
      <c r="P2659" s="2"/>
      <c r="Q2659" s="4"/>
      <c r="R2659" s="4"/>
      <c r="S2659" s="4"/>
      <c r="T2659" s="4"/>
      <c r="U2659" s="4"/>
      <c r="V2659" s="4"/>
    </row>
    <row r="2660" spans="1:22" ht="14.5" customHeight="1" x14ac:dyDescent="0.2">
      <c r="A2660">
        <v>2017</v>
      </c>
      <c r="B2660" t="s">
        <v>191</v>
      </c>
      <c r="C2660" t="s">
        <v>421</v>
      </c>
      <c r="D2660" s="22">
        <v>1440</v>
      </c>
      <c r="E2660" s="16"/>
      <c r="G2660" t="s">
        <v>154</v>
      </c>
      <c r="H2660" t="s">
        <v>250</v>
      </c>
      <c r="I2660" t="s">
        <v>6</v>
      </c>
      <c r="J2660" t="s">
        <v>219</v>
      </c>
      <c r="K2660">
        <v>1</v>
      </c>
      <c r="L2660" s="2"/>
      <c r="N2660" s="21"/>
      <c r="O2660" s="2"/>
      <c r="P2660" s="2"/>
      <c r="Q2660" s="4"/>
      <c r="R2660" s="4"/>
      <c r="S2660" s="4"/>
      <c r="T2660" s="4"/>
      <c r="U2660" s="4"/>
      <c r="V2660" s="4"/>
    </row>
    <row r="2661" spans="1:22" ht="14.5" customHeight="1" x14ac:dyDescent="0.2">
      <c r="A2661">
        <v>2017</v>
      </c>
      <c r="B2661" t="s">
        <v>191</v>
      </c>
      <c r="C2661" t="s">
        <v>557</v>
      </c>
      <c r="D2661" s="22">
        <v>120</v>
      </c>
      <c r="E2661" s="16"/>
      <c r="G2661" t="s">
        <v>151</v>
      </c>
      <c r="H2661" t="s">
        <v>279</v>
      </c>
      <c r="I2661" t="s">
        <v>136</v>
      </c>
      <c r="J2661" t="s">
        <v>183</v>
      </c>
      <c r="K2661">
        <v>1</v>
      </c>
      <c r="L2661" s="2"/>
      <c r="N2661" s="21"/>
      <c r="O2661" s="2"/>
      <c r="P2661" s="2"/>
      <c r="Q2661" s="4"/>
      <c r="R2661" s="4"/>
      <c r="S2661" s="4"/>
      <c r="T2661" s="4"/>
      <c r="U2661" s="4"/>
      <c r="V2661" s="4"/>
    </row>
    <row r="2662" spans="1:22" ht="14.5" customHeight="1" x14ac:dyDescent="0.2">
      <c r="A2662">
        <v>2017</v>
      </c>
      <c r="B2662" t="s">
        <v>198</v>
      </c>
      <c r="C2662" t="s">
        <v>2824</v>
      </c>
      <c r="D2662" s="22">
        <v>1240</v>
      </c>
      <c r="E2662" s="16"/>
      <c r="G2662" t="s">
        <v>154</v>
      </c>
      <c r="H2662" t="s">
        <v>529</v>
      </c>
      <c r="I2662" t="s">
        <v>38</v>
      </c>
      <c r="J2662" t="s">
        <v>214</v>
      </c>
      <c r="K2662">
        <v>1</v>
      </c>
      <c r="L2662" s="2"/>
      <c r="N2662" s="21"/>
      <c r="O2662" s="2"/>
      <c r="P2662" s="2"/>
      <c r="Q2662" s="4"/>
      <c r="R2662" s="4"/>
      <c r="S2662" s="4"/>
      <c r="T2662" s="4"/>
      <c r="U2662" s="4"/>
      <c r="V2662" s="4"/>
    </row>
    <row r="2663" spans="1:22" ht="14.5" customHeight="1" x14ac:dyDescent="0.2">
      <c r="A2663">
        <v>2017</v>
      </c>
      <c r="B2663" t="s">
        <v>198</v>
      </c>
      <c r="C2663" t="s">
        <v>421</v>
      </c>
      <c r="D2663" s="22">
        <v>400</v>
      </c>
      <c r="E2663" s="16"/>
      <c r="G2663" t="s">
        <v>154</v>
      </c>
      <c r="H2663" t="s">
        <v>250</v>
      </c>
      <c r="I2663" t="s">
        <v>138</v>
      </c>
      <c r="J2663" t="s">
        <v>219</v>
      </c>
      <c r="K2663">
        <v>1</v>
      </c>
      <c r="L2663" s="2"/>
      <c r="N2663" s="21"/>
      <c r="O2663" s="2"/>
      <c r="P2663" s="2"/>
      <c r="Q2663" s="4"/>
      <c r="R2663" s="4"/>
      <c r="S2663" s="4"/>
      <c r="T2663" s="4"/>
      <c r="U2663" s="4"/>
      <c r="V2663" s="4"/>
    </row>
    <row r="2664" spans="1:22" ht="14.5" customHeight="1" x14ac:dyDescent="0.2">
      <c r="A2664">
        <v>2017</v>
      </c>
      <c r="B2664" t="s">
        <v>198</v>
      </c>
      <c r="C2664" t="s">
        <v>1035</v>
      </c>
      <c r="D2664" s="22">
        <v>190</v>
      </c>
      <c r="E2664" s="16"/>
      <c r="G2664" t="s">
        <v>144</v>
      </c>
      <c r="H2664" t="s">
        <v>197</v>
      </c>
      <c r="I2664" t="s">
        <v>16</v>
      </c>
      <c r="J2664" t="s">
        <v>205</v>
      </c>
      <c r="K2664">
        <v>1</v>
      </c>
      <c r="L2664" s="2"/>
      <c r="N2664" s="21"/>
      <c r="O2664" s="2"/>
      <c r="P2664" s="2"/>
      <c r="Q2664" s="4"/>
      <c r="R2664" s="4"/>
      <c r="S2664" s="4"/>
      <c r="T2664" s="4"/>
      <c r="U2664" s="4"/>
      <c r="V2664" s="4"/>
    </row>
    <row r="2665" spans="1:22" ht="14.5" customHeight="1" x14ac:dyDescent="0.2">
      <c r="A2665">
        <v>2017</v>
      </c>
      <c r="B2665" t="s">
        <v>198</v>
      </c>
      <c r="C2665" t="s">
        <v>397</v>
      </c>
      <c r="D2665" s="22">
        <v>170</v>
      </c>
      <c r="E2665" s="16"/>
      <c r="G2665" t="s">
        <v>154</v>
      </c>
      <c r="H2665" t="s">
        <v>250</v>
      </c>
      <c r="I2665" t="s">
        <v>124</v>
      </c>
      <c r="J2665" t="s">
        <v>183</v>
      </c>
      <c r="K2665">
        <v>1</v>
      </c>
      <c r="L2665" s="2"/>
      <c r="N2665" s="21"/>
      <c r="O2665" s="2"/>
      <c r="P2665" s="2"/>
      <c r="Q2665" s="4"/>
      <c r="R2665" s="4"/>
      <c r="S2665" s="4"/>
      <c r="T2665" s="4"/>
      <c r="U2665" s="4"/>
      <c r="V2665" s="4"/>
    </row>
    <row r="2666" spans="1:22" ht="14.5" customHeight="1" x14ac:dyDescent="0.2">
      <c r="A2666">
        <v>2017</v>
      </c>
      <c r="B2666" t="s">
        <v>198</v>
      </c>
      <c r="C2666" t="s">
        <v>175</v>
      </c>
      <c r="D2666" s="22">
        <v>200</v>
      </c>
      <c r="E2666" s="16"/>
      <c r="G2666" t="s">
        <v>144</v>
      </c>
      <c r="H2666" t="s">
        <v>232</v>
      </c>
      <c r="I2666" t="s">
        <v>93</v>
      </c>
      <c r="J2666" t="s">
        <v>201</v>
      </c>
      <c r="K2666">
        <v>1</v>
      </c>
      <c r="L2666" s="2"/>
      <c r="N2666" s="21"/>
      <c r="O2666" s="2"/>
      <c r="P2666" s="2"/>
      <c r="Q2666" s="4"/>
      <c r="R2666" s="4"/>
      <c r="S2666" s="4"/>
      <c r="T2666" s="4"/>
      <c r="U2666" s="4"/>
      <c r="V2666" s="4"/>
    </row>
    <row r="2667" spans="1:22" ht="14.5" customHeight="1" x14ac:dyDescent="0.2">
      <c r="A2667">
        <v>2017</v>
      </c>
      <c r="B2667" t="s">
        <v>198</v>
      </c>
      <c r="C2667" t="s">
        <v>557</v>
      </c>
      <c r="D2667" s="22">
        <v>280</v>
      </c>
      <c r="E2667" s="16"/>
      <c r="F2667" t="s">
        <v>2825</v>
      </c>
      <c r="G2667" t="s">
        <v>151</v>
      </c>
      <c r="H2667" t="s">
        <v>279</v>
      </c>
      <c r="I2667" t="s">
        <v>8</v>
      </c>
      <c r="J2667" t="s">
        <v>205</v>
      </c>
      <c r="K2667">
        <v>1</v>
      </c>
      <c r="L2667" s="2"/>
      <c r="N2667" s="21"/>
      <c r="O2667" s="2"/>
      <c r="P2667" s="2"/>
      <c r="Q2667" s="4"/>
      <c r="R2667" s="4"/>
      <c r="S2667" s="4"/>
      <c r="T2667" s="4"/>
      <c r="U2667" s="4"/>
      <c r="V2667" s="4"/>
    </row>
    <row r="2668" spans="1:22" ht="14.5" customHeight="1" x14ac:dyDescent="0.2">
      <c r="A2668">
        <v>2017</v>
      </c>
      <c r="B2668" t="s">
        <v>198</v>
      </c>
      <c r="C2668" t="s">
        <v>1292</v>
      </c>
      <c r="D2668" s="22">
        <v>120</v>
      </c>
      <c r="E2668" s="16"/>
      <c r="G2668" t="s">
        <v>155</v>
      </c>
      <c r="I2668" t="s">
        <v>13</v>
      </c>
      <c r="J2668" t="s">
        <v>201</v>
      </c>
      <c r="K2668">
        <v>1</v>
      </c>
      <c r="L2668" s="2"/>
      <c r="N2668" s="21"/>
      <c r="O2668" s="2"/>
      <c r="P2668" s="2"/>
      <c r="Q2668" s="4"/>
      <c r="R2668" s="4"/>
      <c r="S2668" s="4"/>
      <c r="T2668" s="4"/>
      <c r="U2668" s="4"/>
      <c r="V2668" s="4"/>
    </row>
    <row r="2669" spans="1:22" ht="14.5" customHeight="1" x14ac:dyDescent="0.2">
      <c r="A2669">
        <v>2017</v>
      </c>
      <c r="B2669" t="s">
        <v>198</v>
      </c>
      <c r="C2669" t="s">
        <v>444</v>
      </c>
      <c r="D2669" s="22">
        <v>100</v>
      </c>
      <c r="E2669" s="16"/>
      <c r="G2669" t="s">
        <v>144</v>
      </c>
      <c r="H2669" t="s">
        <v>232</v>
      </c>
      <c r="I2669" t="s">
        <v>78</v>
      </c>
      <c r="J2669" t="s">
        <v>183</v>
      </c>
      <c r="K2669">
        <v>1</v>
      </c>
      <c r="L2669" s="2"/>
      <c r="N2669" s="21"/>
      <c r="O2669" s="2"/>
      <c r="P2669" s="2"/>
      <c r="Q2669" s="4"/>
      <c r="R2669" s="4"/>
      <c r="S2669" s="4"/>
      <c r="T2669" s="4"/>
      <c r="U2669" s="4"/>
      <c r="V2669" s="4"/>
    </row>
    <row r="2670" spans="1:22" ht="14.5" customHeight="1" x14ac:dyDescent="0.2">
      <c r="A2670">
        <v>2017</v>
      </c>
      <c r="B2670" t="s">
        <v>198</v>
      </c>
      <c r="C2670" t="s">
        <v>2281</v>
      </c>
      <c r="D2670" s="22">
        <v>230</v>
      </c>
      <c r="E2670" s="16"/>
      <c r="F2670" t="s">
        <v>2670</v>
      </c>
      <c r="G2670" t="s">
        <v>144</v>
      </c>
      <c r="H2670" t="s">
        <v>232</v>
      </c>
      <c r="I2670" t="s">
        <v>80</v>
      </c>
      <c r="J2670" t="s">
        <v>214</v>
      </c>
      <c r="K2670">
        <v>1</v>
      </c>
      <c r="L2670" s="2"/>
      <c r="N2670" s="21"/>
      <c r="O2670" s="2"/>
      <c r="P2670" s="2"/>
      <c r="Q2670" s="4"/>
      <c r="R2670" s="4"/>
      <c r="S2670" s="4"/>
      <c r="T2670" s="4"/>
      <c r="U2670" s="4"/>
      <c r="V2670" s="4"/>
    </row>
    <row r="2671" spans="1:22" ht="14.5" customHeight="1" x14ac:dyDescent="0.2">
      <c r="A2671">
        <v>2017</v>
      </c>
      <c r="B2671" t="s">
        <v>198</v>
      </c>
      <c r="C2671" t="s">
        <v>530</v>
      </c>
      <c r="D2671" s="22">
        <v>280</v>
      </c>
      <c r="E2671" s="16"/>
      <c r="G2671" t="s">
        <v>152</v>
      </c>
      <c r="H2671" t="s">
        <v>257</v>
      </c>
      <c r="I2671" t="s">
        <v>138</v>
      </c>
      <c r="J2671" t="s">
        <v>219</v>
      </c>
      <c r="K2671">
        <v>1</v>
      </c>
      <c r="L2671" s="2"/>
      <c r="N2671" s="21"/>
      <c r="O2671" s="2"/>
      <c r="P2671" s="2"/>
      <c r="Q2671" s="4"/>
      <c r="R2671" s="4"/>
      <c r="S2671" s="4"/>
      <c r="T2671" s="4"/>
      <c r="U2671" s="4"/>
      <c r="V2671" s="4"/>
    </row>
    <row r="2672" spans="1:22" ht="14.5" customHeight="1" x14ac:dyDescent="0.2">
      <c r="A2672">
        <v>2017</v>
      </c>
      <c r="B2672" t="s">
        <v>198</v>
      </c>
      <c r="C2672" t="s">
        <v>1035</v>
      </c>
      <c r="D2672" s="22">
        <v>230</v>
      </c>
      <c r="E2672" s="16"/>
      <c r="G2672" t="s">
        <v>154</v>
      </c>
      <c r="H2672" t="s">
        <v>194</v>
      </c>
      <c r="I2672" t="s">
        <v>64</v>
      </c>
      <c r="J2672" t="s">
        <v>219</v>
      </c>
      <c r="K2672">
        <v>1</v>
      </c>
      <c r="L2672" s="2"/>
      <c r="N2672" s="21"/>
      <c r="O2672" s="2"/>
      <c r="P2672" s="2"/>
      <c r="Q2672" s="4"/>
      <c r="R2672" s="4"/>
      <c r="S2672" s="4"/>
      <c r="T2672" s="4"/>
      <c r="U2672" s="4"/>
      <c r="V2672" s="4"/>
    </row>
    <row r="2673" spans="1:22" ht="14.5" customHeight="1" x14ac:dyDescent="0.2">
      <c r="A2673">
        <v>2017</v>
      </c>
      <c r="B2673" t="s">
        <v>202</v>
      </c>
      <c r="C2673" t="s">
        <v>397</v>
      </c>
      <c r="D2673" s="22">
        <v>120</v>
      </c>
      <c r="E2673" s="16"/>
      <c r="G2673" t="s">
        <v>154</v>
      </c>
      <c r="H2673" t="s">
        <v>529</v>
      </c>
      <c r="I2673" t="s">
        <v>108</v>
      </c>
      <c r="J2673" t="s">
        <v>183</v>
      </c>
      <c r="K2673">
        <v>1</v>
      </c>
      <c r="L2673" s="2"/>
      <c r="N2673" s="21"/>
      <c r="O2673" s="2"/>
      <c r="P2673" s="2"/>
      <c r="Q2673" s="4"/>
      <c r="R2673" s="4"/>
      <c r="S2673" s="4"/>
      <c r="T2673" s="4"/>
      <c r="U2673" s="4"/>
      <c r="V2673" s="4"/>
    </row>
    <row r="2674" spans="1:22" ht="14.5" customHeight="1" x14ac:dyDescent="0.2">
      <c r="A2674">
        <v>2017</v>
      </c>
      <c r="B2674" t="s">
        <v>202</v>
      </c>
      <c r="C2674" t="s">
        <v>341</v>
      </c>
      <c r="D2674" s="22">
        <v>100</v>
      </c>
      <c r="E2674" s="16"/>
      <c r="G2674" t="s">
        <v>154</v>
      </c>
      <c r="H2674" t="s">
        <v>529</v>
      </c>
      <c r="I2674" t="s">
        <v>93</v>
      </c>
      <c r="J2674" t="s">
        <v>201</v>
      </c>
      <c r="K2674">
        <v>1</v>
      </c>
      <c r="L2674" s="2"/>
      <c r="N2674" s="21"/>
      <c r="O2674" s="2"/>
      <c r="P2674" s="2"/>
      <c r="Q2674" s="4"/>
      <c r="R2674" s="4"/>
      <c r="S2674" s="4"/>
      <c r="T2674" s="4"/>
      <c r="U2674" s="4"/>
      <c r="V2674" s="4"/>
    </row>
    <row r="2675" spans="1:22" ht="14.5" customHeight="1" x14ac:dyDescent="0.2">
      <c r="A2675">
        <v>2017</v>
      </c>
      <c r="B2675" t="s">
        <v>202</v>
      </c>
      <c r="C2675" t="s">
        <v>341</v>
      </c>
      <c r="D2675" s="22">
        <v>110</v>
      </c>
      <c r="E2675" s="16"/>
      <c r="F2675" t="s">
        <v>2826</v>
      </c>
      <c r="G2675" t="s">
        <v>154</v>
      </c>
      <c r="H2675" t="s">
        <v>529</v>
      </c>
      <c r="I2675" t="s">
        <v>13</v>
      </c>
      <c r="J2675" t="s">
        <v>201</v>
      </c>
      <c r="K2675">
        <v>1</v>
      </c>
      <c r="L2675" s="2"/>
      <c r="N2675" s="21"/>
      <c r="O2675" s="2"/>
      <c r="P2675" s="2"/>
      <c r="Q2675" s="4"/>
      <c r="R2675" s="4"/>
      <c r="S2675" s="4"/>
      <c r="T2675" s="4"/>
      <c r="U2675" s="4"/>
      <c r="V2675" s="4"/>
    </row>
    <row r="2676" spans="1:22" ht="14.5" customHeight="1" x14ac:dyDescent="0.2">
      <c r="A2676">
        <v>2017</v>
      </c>
      <c r="B2676" t="s">
        <v>202</v>
      </c>
      <c r="C2676" t="s">
        <v>444</v>
      </c>
      <c r="D2676" s="22">
        <v>520</v>
      </c>
      <c r="E2676" s="16"/>
      <c r="G2676" t="s">
        <v>144</v>
      </c>
      <c r="H2676" t="s">
        <v>299</v>
      </c>
      <c r="I2676" t="s">
        <v>93</v>
      </c>
      <c r="J2676" t="s">
        <v>201</v>
      </c>
      <c r="K2676">
        <v>1</v>
      </c>
      <c r="L2676" s="2"/>
      <c r="N2676" s="21"/>
      <c r="O2676" s="2"/>
      <c r="P2676" s="2"/>
      <c r="Q2676" s="4"/>
      <c r="R2676" s="4"/>
      <c r="S2676" s="4"/>
      <c r="T2676" s="4"/>
      <c r="U2676" s="4"/>
      <c r="V2676" s="4"/>
    </row>
    <row r="2677" spans="1:22" ht="14.5" customHeight="1" x14ac:dyDescent="0.2">
      <c r="A2677">
        <v>2017</v>
      </c>
      <c r="B2677" t="s">
        <v>202</v>
      </c>
      <c r="C2677" t="s">
        <v>479</v>
      </c>
      <c r="D2677" s="22">
        <v>140</v>
      </c>
      <c r="E2677" s="16"/>
      <c r="G2677" t="s">
        <v>154</v>
      </c>
      <c r="H2677" t="s">
        <v>194</v>
      </c>
      <c r="I2677" t="s">
        <v>93</v>
      </c>
      <c r="J2677" t="s">
        <v>201</v>
      </c>
      <c r="K2677">
        <v>1</v>
      </c>
      <c r="L2677" s="2"/>
      <c r="N2677" s="21"/>
      <c r="O2677" s="2"/>
      <c r="P2677" s="2"/>
      <c r="Q2677" s="4"/>
      <c r="R2677" s="4"/>
      <c r="S2677" s="4"/>
      <c r="T2677" s="4"/>
      <c r="U2677" s="4"/>
      <c r="V2677" s="4"/>
    </row>
    <row r="2678" spans="1:22" ht="14.25" customHeight="1" x14ac:dyDescent="0.2">
      <c r="A2678">
        <v>2017</v>
      </c>
      <c r="B2678" t="s">
        <v>202</v>
      </c>
      <c r="C2678" t="s">
        <v>875</v>
      </c>
      <c r="D2678" s="22">
        <v>190</v>
      </c>
      <c r="E2678" s="16"/>
      <c r="F2678" t="s">
        <v>2827</v>
      </c>
      <c r="G2678" t="s">
        <v>155</v>
      </c>
      <c r="I2678" t="s">
        <v>8</v>
      </c>
      <c r="J2678" t="s">
        <v>205</v>
      </c>
      <c r="K2678">
        <v>1</v>
      </c>
      <c r="L2678" s="2"/>
      <c r="N2678" s="21"/>
      <c r="O2678" s="2"/>
      <c r="P2678" s="2"/>
      <c r="Q2678" s="4"/>
      <c r="R2678" s="4"/>
      <c r="S2678" s="4"/>
      <c r="T2678" s="4"/>
      <c r="U2678" s="4"/>
      <c r="V2678" s="4"/>
    </row>
    <row r="2679" spans="1:22" ht="14.25" customHeight="1" x14ac:dyDescent="0.2">
      <c r="A2679">
        <v>2017</v>
      </c>
      <c r="B2679" t="s">
        <v>202</v>
      </c>
      <c r="C2679" t="s">
        <v>397</v>
      </c>
      <c r="D2679" s="22">
        <v>2170</v>
      </c>
      <c r="E2679" s="16"/>
      <c r="G2679" t="s">
        <v>151</v>
      </c>
      <c r="H2679" t="s">
        <v>224</v>
      </c>
      <c r="I2679" t="s">
        <v>130</v>
      </c>
      <c r="J2679" t="s">
        <v>214</v>
      </c>
      <c r="K2679">
        <v>1</v>
      </c>
      <c r="L2679" s="2"/>
      <c r="N2679" s="21"/>
      <c r="O2679" s="2"/>
      <c r="P2679" s="2"/>
      <c r="Q2679" s="4"/>
      <c r="R2679" s="4"/>
      <c r="S2679" s="4"/>
      <c r="T2679" s="4"/>
      <c r="U2679" s="4"/>
      <c r="V2679" s="4"/>
    </row>
    <row r="2680" spans="1:22" ht="14.5" customHeight="1" x14ac:dyDescent="0.2">
      <c r="A2680">
        <v>2017</v>
      </c>
      <c r="B2680" t="s">
        <v>202</v>
      </c>
      <c r="C2680" t="s">
        <v>875</v>
      </c>
      <c r="D2680" s="22">
        <v>3660</v>
      </c>
      <c r="E2680" s="16">
        <v>0.65</v>
      </c>
      <c r="F2680" t="s">
        <v>2828</v>
      </c>
      <c r="G2680" t="s">
        <v>144</v>
      </c>
      <c r="H2680" t="s">
        <v>197</v>
      </c>
      <c r="I2680" t="s">
        <v>8</v>
      </c>
      <c r="J2680" t="s">
        <v>205</v>
      </c>
      <c r="K2680">
        <v>1</v>
      </c>
      <c r="L2680" s="2"/>
      <c r="N2680" s="21"/>
      <c r="O2680" s="2"/>
      <c r="P2680" s="2"/>
      <c r="Q2680" s="4"/>
      <c r="R2680" s="4"/>
      <c r="S2680" s="4"/>
      <c r="T2680" s="4"/>
      <c r="U2680" s="4"/>
      <c r="V2680" s="4"/>
    </row>
    <row r="2681" spans="1:22" ht="14.5" customHeight="1" x14ac:dyDescent="0.2">
      <c r="A2681">
        <v>2017</v>
      </c>
      <c r="B2681" t="s">
        <v>202</v>
      </c>
      <c r="C2681" t="s">
        <v>479</v>
      </c>
      <c r="D2681" s="22">
        <v>120</v>
      </c>
      <c r="E2681" s="16"/>
      <c r="F2681" t="s">
        <v>2829</v>
      </c>
      <c r="G2681" t="s">
        <v>154</v>
      </c>
      <c r="H2681" t="s">
        <v>194</v>
      </c>
      <c r="I2681" t="s">
        <v>72</v>
      </c>
      <c r="J2681" t="s">
        <v>183</v>
      </c>
      <c r="K2681">
        <v>1</v>
      </c>
      <c r="L2681" s="2"/>
      <c r="N2681" s="21"/>
      <c r="O2681" s="2"/>
      <c r="P2681" s="2"/>
      <c r="Q2681" s="4"/>
      <c r="R2681" s="4"/>
      <c r="S2681" s="4"/>
      <c r="T2681" s="4"/>
      <c r="U2681" s="4"/>
      <c r="V2681" s="4"/>
    </row>
    <row r="2682" spans="1:22" ht="14.5" customHeight="1" x14ac:dyDescent="0.2">
      <c r="A2682">
        <v>2017</v>
      </c>
      <c r="B2682" t="s">
        <v>207</v>
      </c>
      <c r="C2682" t="s">
        <v>341</v>
      </c>
      <c r="D2682" s="22">
        <v>230</v>
      </c>
      <c r="E2682" s="16"/>
      <c r="G2682" t="s">
        <v>154</v>
      </c>
      <c r="H2682" t="s">
        <v>529</v>
      </c>
      <c r="I2682" t="s">
        <v>108</v>
      </c>
      <c r="J2682" t="s">
        <v>183</v>
      </c>
      <c r="K2682">
        <v>1</v>
      </c>
      <c r="L2682" s="2"/>
      <c r="N2682" s="21"/>
      <c r="O2682" s="2"/>
      <c r="P2682" s="2"/>
      <c r="Q2682" s="4"/>
      <c r="R2682" s="4"/>
      <c r="S2682" s="4"/>
      <c r="T2682" s="4"/>
      <c r="U2682" s="4"/>
      <c r="V2682" s="4"/>
    </row>
    <row r="2683" spans="1:22" ht="14.5" customHeight="1" x14ac:dyDescent="0.2">
      <c r="A2683">
        <v>2017</v>
      </c>
      <c r="B2683" t="s">
        <v>207</v>
      </c>
      <c r="C2683" t="s">
        <v>2704</v>
      </c>
      <c r="D2683" s="22">
        <v>460</v>
      </c>
      <c r="E2683" s="16"/>
      <c r="F2683" t="s">
        <v>2830</v>
      </c>
      <c r="G2683" t="s">
        <v>144</v>
      </c>
      <c r="H2683" t="s">
        <v>232</v>
      </c>
      <c r="I2683" t="s">
        <v>20</v>
      </c>
      <c r="J2683" t="s">
        <v>195</v>
      </c>
      <c r="K2683">
        <v>0</v>
      </c>
      <c r="L2683" s="2"/>
      <c r="N2683" s="21"/>
      <c r="O2683" s="2"/>
      <c r="P2683" s="2"/>
      <c r="Q2683" s="4"/>
      <c r="R2683" s="4"/>
      <c r="S2683" s="4"/>
      <c r="T2683" s="4"/>
      <c r="U2683" s="4"/>
      <c r="V2683" s="4"/>
    </row>
    <row r="2684" spans="1:22" ht="14.5" customHeight="1" x14ac:dyDescent="0.2">
      <c r="A2684">
        <v>2017</v>
      </c>
      <c r="B2684" t="s">
        <v>207</v>
      </c>
      <c r="C2684" t="s">
        <v>479</v>
      </c>
      <c r="D2684" s="22">
        <v>180</v>
      </c>
      <c r="E2684" s="16">
        <v>0.5</v>
      </c>
      <c r="G2684" t="s">
        <v>155</v>
      </c>
      <c r="I2684" t="s">
        <v>9</v>
      </c>
      <c r="J2684" t="s">
        <v>9</v>
      </c>
      <c r="K2684">
        <v>0</v>
      </c>
      <c r="L2684" s="2"/>
      <c r="N2684" s="21"/>
      <c r="O2684" s="2"/>
      <c r="P2684" s="2"/>
      <c r="Q2684" s="4"/>
      <c r="R2684" s="4"/>
      <c r="S2684" s="4"/>
      <c r="T2684" s="4"/>
      <c r="U2684" s="4"/>
      <c r="V2684" s="4"/>
    </row>
    <row r="2685" spans="1:22" ht="14.5" customHeight="1" x14ac:dyDescent="0.2">
      <c r="A2685">
        <v>2017</v>
      </c>
      <c r="B2685" t="s">
        <v>207</v>
      </c>
      <c r="C2685" t="s">
        <v>1035</v>
      </c>
      <c r="D2685" s="22">
        <v>1990</v>
      </c>
      <c r="E2685" s="16"/>
      <c r="F2685" t="s">
        <v>2831</v>
      </c>
      <c r="G2685" t="s">
        <v>144</v>
      </c>
      <c r="H2685" t="s">
        <v>187</v>
      </c>
      <c r="I2685" t="s">
        <v>38</v>
      </c>
      <c r="J2685" t="s">
        <v>214</v>
      </c>
      <c r="K2685">
        <v>1</v>
      </c>
      <c r="L2685" s="2"/>
      <c r="N2685" s="21"/>
      <c r="O2685" s="2"/>
      <c r="P2685" s="2"/>
      <c r="Q2685" s="4"/>
      <c r="R2685" s="4"/>
      <c r="S2685" s="4"/>
      <c r="T2685" s="4"/>
      <c r="U2685" s="4"/>
      <c r="V2685" s="4"/>
    </row>
    <row r="2686" spans="1:22" ht="14.5" customHeight="1" x14ac:dyDescent="0.2">
      <c r="A2686">
        <v>2017</v>
      </c>
      <c r="B2686" t="s">
        <v>207</v>
      </c>
      <c r="C2686" t="s">
        <v>1071</v>
      </c>
      <c r="D2686" s="22">
        <v>1230</v>
      </c>
      <c r="E2686" s="16"/>
      <c r="F2686" t="s">
        <v>2832</v>
      </c>
      <c r="G2686" t="s">
        <v>151</v>
      </c>
      <c r="H2686" t="s">
        <v>279</v>
      </c>
      <c r="I2686" t="s">
        <v>112</v>
      </c>
      <c r="J2686" t="s">
        <v>219</v>
      </c>
      <c r="K2686">
        <v>1</v>
      </c>
      <c r="L2686" s="2"/>
      <c r="N2686" s="21"/>
      <c r="O2686" s="2"/>
      <c r="P2686" s="2"/>
      <c r="Q2686" s="4"/>
      <c r="R2686" s="4"/>
      <c r="S2686" s="4"/>
      <c r="T2686" s="4"/>
      <c r="U2686" s="4"/>
      <c r="V2686" s="4"/>
    </row>
    <row r="2687" spans="1:22" ht="14.5" customHeight="1" x14ac:dyDescent="0.2">
      <c r="A2687">
        <v>2017</v>
      </c>
      <c r="B2687" t="s">
        <v>207</v>
      </c>
      <c r="C2687" t="s">
        <v>2833</v>
      </c>
      <c r="D2687" s="22">
        <v>100</v>
      </c>
      <c r="E2687" s="16"/>
      <c r="G2687" t="s">
        <v>154</v>
      </c>
      <c r="H2687" t="s">
        <v>194</v>
      </c>
      <c r="I2687" t="s">
        <v>133</v>
      </c>
      <c r="J2687" t="s">
        <v>195</v>
      </c>
      <c r="K2687">
        <v>1</v>
      </c>
      <c r="L2687" s="2"/>
      <c r="N2687" s="21"/>
      <c r="O2687" s="2"/>
      <c r="P2687" s="2"/>
      <c r="Q2687" s="4"/>
      <c r="R2687" s="4"/>
      <c r="S2687" s="4"/>
      <c r="T2687" s="4"/>
      <c r="U2687" s="4"/>
      <c r="V2687" s="4"/>
    </row>
    <row r="2688" spans="1:22" ht="14.5" customHeight="1" x14ac:dyDescent="0.2">
      <c r="A2688">
        <v>2017</v>
      </c>
      <c r="B2688" t="s">
        <v>207</v>
      </c>
      <c r="C2688" t="s">
        <v>399</v>
      </c>
      <c r="D2688" s="22">
        <v>210</v>
      </c>
      <c r="E2688" s="16"/>
      <c r="G2688" t="s">
        <v>144</v>
      </c>
      <c r="H2688" t="s">
        <v>299</v>
      </c>
      <c r="I2688" t="s">
        <v>106</v>
      </c>
      <c r="J2688" t="s">
        <v>195</v>
      </c>
      <c r="K2688">
        <v>1</v>
      </c>
      <c r="L2688" s="2"/>
      <c r="N2688" s="21"/>
      <c r="O2688" s="2"/>
      <c r="P2688" s="2"/>
      <c r="Q2688" s="4"/>
      <c r="R2688" s="4"/>
      <c r="S2688" s="4"/>
      <c r="T2688" s="4"/>
      <c r="U2688" s="4"/>
      <c r="V2688" s="4"/>
    </row>
    <row r="2689" spans="1:22" ht="14.5" customHeight="1" x14ac:dyDescent="0.2">
      <c r="A2689">
        <v>2017</v>
      </c>
      <c r="B2689" t="s">
        <v>207</v>
      </c>
      <c r="C2689" t="s">
        <v>175</v>
      </c>
      <c r="D2689" s="22">
        <v>340</v>
      </c>
      <c r="E2689" s="16"/>
      <c r="G2689" t="s">
        <v>153</v>
      </c>
      <c r="I2689" t="s">
        <v>72</v>
      </c>
      <c r="J2689" t="s">
        <v>183</v>
      </c>
      <c r="K2689">
        <v>1</v>
      </c>
      <c r="L2689" s="2"/>
      <c r="N2689" s="21"/>
      <c r="O2689" s="2"/>
      <c r="P2689" s="2"/>
      <c r="Q2689" s="4"/>
      <c r="R2689" s="4"/>
      <c r="S2689" s="4"/>
      <c r="T2689" s="4"/>
      <c r="U2689" s="4"/>
      <c r="V2689" s="4"/>
    </row>
    <row r="2690" spans="1:22" ht="14.5" customHeight="1" x14ac:dyDescent="0.2">
      <c r="A2690">
        <v>2017</v>
      </c>
      <c r="B2690" t="s">
        <v>207</v>
      </c>
      <c r="C2690" t="s">
        <v>479</v>
      </c>
      <c r="D2690" s="22">
        <v>220</v>
      </c>
      <c r="E2690" s="16"/>
      <c r="F2690" t="s">
        <v>2834</v>
      </c>
      <c r="G2690" t="s">
        <v>155</v>
      </c>
      <c r="I2690" t="s">
        <v>9</v>
      </c>
      <c r="J2690" t="s">
        <v>9</v>
      </c>
      <c r="K2690">
        <v>0</v>
      </c>
      <c r="L2690" s="2"/>
      <c r="N2690" s="21"/>
      <c r="O2690" s="2"/>
      <c r="P2690" s="2"/>
      <c r="Q2690" s="4"/>
      <c r="R2690" s="4"/>
      <c r="S2690" s="4"/>
      <c r="T2690" s="4"/>
      <c r="U2690" s="4"/>
      <c r="V2690" s="4"/>
    </row>
    <row r="2691" spans="1:22" ht="14.5" customHeight="1" x14ac:dyDescent="0.2">
      <c r="A2691">
        <v>2017</v>
      </c>
      <c r="B2691" t="s">
        <v>240</v>
      </c>
      <c r="C2691" t="s">
        <v>397</v>
      </c>
      <c r="D2691" s="22">
        <v>150</v>
      </c>
      <c r="E2691" s="16"/>
      <c r="G2691" t="s">
        <v>154</v>
      </c>
      <c r="H2691" t="s">
        <v>529</v>
      </c>
      <c r="I2691" t="s">
        <v>108</v>
      </c>
      <c r="J2691" t="s">
        <v>183</v>
      </c>
      <c r="K2691">
        <v>1</v>
      </c>
      <c r="L2691" s="2"/>
      <c r="N2691" s="21"/>
      <c r="O2691" s="2"/>
      <c r="P2691" s="2"/>
      <c r="Q2691" s="4"/>
      <c r="R2691" s="4"/>
      <c r="S2691" s="4"/>
      <c r="T2691" s="4"/>
      <c r="U2691" s="4"/>
      <c r="V2691" s="4"/>
    </row>
    <row r="2692" spans="1:22" ht="14.5" customHeight="1" x14ac:dyDescent="0.2">
      <c r="A2692">
        <v>2017</v>
      </c>
      <c r="B2692" t="s">
        <v>240</v>
      </c>
      <c r="C2692" t="s">
        <v>2835</v>
      </c>
      <c r="D2692" s="22">
        <v>170</v>
      </c>
      <c r="E2692" s="16"/>
      <c r="F2692" t="s">
        <v>2836</v>
      </c>
      <c r="G2692" t="s">
        <v>154</v>
      </c>
      <c r="H2692" t="s">
        <v>529</v>
      </c>
      <c r="I2692" t="s">
        <v>57</v>
      </c>
      <c r="J2692" t="s">
        <v>195</v>
      </c>
      <c r="K2692">
        <v>0</v>
      </c>
      <c r="L2692" s="2"/>
      <c r="N2692" s="21"/>
      <c r="O2692" s="2"/>
      <c r="P2692" s="2"/>
      <c r="Q2692" s="4"/>
      <c r="R2692" s="4"/>
      <c r="S2692" s="4"/>
      <c r="T2692" s="4"/>
      <c r="U2692" s="4"/>
      <c r="V2692" s="4"/>
    </row>
    <row r="2693" spans="1:22" ht="14.5" customHeight="1" x14ac:dyDescent="0.2">
      <c r="A2693">
        <v>2017</v>
      </c>
      <c r="B2693" t="s">
        <v>240</v>
      </c>
      <c r="C2693" t="s">
        <v>875</v>
      </c>
      <c r="D2693" s="22">
        <v>360</v>
      </c>
      <c r="E2693" s="16"/>
      <c r="G2693" t="s">
        <v>144</v>
      </c>
      <c r="H2693" t="s">
        <v>197</v>
      </c>
      <c r="I2693" t="s">
        <v>64</v>
      </c>
      <c r="J2693" t="s">
        <v>219</v>
      </c>
      <c r="K2693">
        <v>1</v>
      </c>
      <c r="L2693" s="2"/>
      <c r="N2693" s="21"/>
      <c r="O2693" s="2"/>
      <c r="P2693" s="2"/>
      <c r="Q2693" s="4"/>
      <c r="R2693" s="4"/>
      <c r="S2693" s="4"/>
      <c r="T2693" s="4"/>
      <c r="U2693" s="4"/>
      <c r="V2693" s="4"/>
    </row>
    <row r="2694" spans="1:22" ht="14.5" customHeight="1" x14ac:dyDescent="0.2">
      <c r="A2694">
        <v>2017</v>
      </c>
      <c r="B2694" t="s">
        <v>240</v>
      </c>
      <c r="C2694" t="s">
        <v>397</v>
      </c>
      <c r="D2694" s="22">
        <v>240</v>
      </c>
      <c r="E2694" s="16"/>
      <c r="G2694" t="s">
        <v>151</v>
      </c>
      <c r="H2694" t="s">
        <v>279</v>
      </c>
      <c r="I2694" t="s">
        <v>73</v>
      </c>
      <c r="J2694" t="s">
        <v>201</v>
      </c>
      <c r="K2694">
        <v>1</v>
      </c>
      <c r="L2694" s="2"/>
      <c r="N2694" s="21"/>
      <c r="O2694" s="2"/>
      <c r="P2694" s="2"/>
      <c r="Q2694" s="4"/>
      <c r="R2694" s="4"/>
      <c r="S2694" s="4"/>
      <c r="T2694" s="4"/>
      <c r="U2694" s="4"/>
      <c r="V2694" s="4"/>
    </row>
    <row r="2695" spans="1:22" ht="14.5" customHeight="1" x14ac:dyDescent="0.2">
      <c r="A2695">
        <v>2017</v>
      </c>
      <c r="B2695" t="s">
        <v>240</v>
      </c>
      <c r="C2695" t="s">
        <v>175</v>
      </c>
      <c r="D2695" s="22">
        <v>490</v>
      </c>
      <c r="E2695" s="16"/>
      <c r="G2695" t="s">
        <v>154</v>
      </c>
      <c r="H2695" t="s">
        <v>194</v>
      </c>
      <c r="I2695" t="s">
        <v>65</v>
      </c>
      <c r="J2695" t="s">
        <v>214</v>
      </c>
      <c r="K2695">
        <v>1</v>
      </c>
      <c r="L2695" s="2"/>
      <c r="N2695" s="21"/>
      <c r="O2695" s="2"/>
      <c r="P2695" s="2"/>
      <c r="Q2695" s="4"/>
      <c r="R2695" s="4"/>
      <c r="S2695" s="4"/>
      <c r="T2695" s="4"/>
      <c r="U2695" s="4"/>
      <c r="V2695" s="4"/>
    </row>
    <row r="2696" spans="1:22" ht="14.5" customHeight="1" x14ac:dyDescent="0.2">
      <c r="A2696">
        <v>2017</v>
      </c>
      <c r="B2696" t="s">
        <v>240</v>
      </c>
      <c r="C2696" t="s">
        <v>479</v>
      </c>
      <c r="D2696" s="22">
        <v>520</v>
      </c>
      <c r="E2696" s="16"/>
      <c r="G2696" t="s">
        <v>154</v>
      </c>
      <c r="H2696" t="s">
        <v>194</v>
      </c>
      <c r="I2696" t="s">
        <v>106</v>
      </c>
      <c r="J2696" t="s">
        <v>195</v>
      </c>
      <c r="K2696">
        <v>1</v>
      </c>
      <c r="L2696" s="2"/>
      <c r="N2696" s="21"/>
      <c r="O2696" s="2"/>
      <c r="P2696" s="2"/>
      <c r="Q2696" s="4"/>
      <c r="R2696" s="4"/>
      <c r="S2696" s="4"/>
      <c r="T2696" s="4"/>
      <c r="U2696" s="4"/>
      <c r="V2696" s="4"/>
    </row>
    <row r="2697" spans="1:22" ht="14.5" customHeight="1" x14ac:dyDescent="0.2">
      <c r="A2697">
        <v>2017</v>
      </c>
      <c r="B2697" t="s">
        <v>240</v>
      </c>
      <c r="C2697" t="s">
        <v>2434</v>
      </c>
      <c r="D2697" s="22">
        <v>350</v>
      </c>
      <c r="E2697" s="16"/>
      <c r="G2697" t="s">
        <v>155</v>
      </c>
      <c r="I2697" t="s">
        <v>108</v>
      </c>
      <c r="J2697" t="s">
        <v>183</v>
      </c>
      <c r="K2697">
        <v>1</v>
      </c>
      <c r="L2697" s="2"/>
      <c r="N2697" s="21"/>
      <c r="O2697" s="2"/>
      <c r="P2697" s="2"/>
      <c r="Q2697" s="4"/>
      <c r="R2697" s="4"/>
      <c r="S2697" s="4"/>
      <c r="T2697" s="4"/>
      <c r="U2697" s="4"/>
      <c r="V2697" s="4"/>
    </row>
    <row r="2698" spans="1:22" ht="14.5" customHeight="1" x14ac:dyDescent="0.2">
      <c r="A2698">
        <v>2017</v>
      </c>
      <c r="B2698" t="s">
        <v>240</v>
      </c>
      <c r="C2698" t="s">
        <v>483</v>
      </c>
      <c r="D2698" s="22">
        <v>1530</v>
      </c>
      <c r="E2698" s="16"/>
      <c r="G2698" t="s">
        <v>143</v>
      </c>
      <c r="I2698" t="s">
        <v>54</v>
      </c>
      <c r="J2698" t="s">
        <v>201</v>
      </c>
      <c r="K2698">
        <v>1</v>
      </c>
      <c r="L2698" s="2"/>
      <c r="N2698" s="21"/>
      <c r="O2698" s="2"/>
      <c r="P2698" s="2"/>
      <c r="Q2698" s="4"/>
      <c r="R2698" s="4"/>
      <c r="S2698" s="4"/>
      <c r="T2698" s="4"/>
      <c r="U2698" s="4"/>
      <c r="V2698" s="4"/>
    </row>
    <row r="2699" spans="1:22" ht="14.25" customHeight="1" x14ac:dyDescent="0.2">
      <c r="A2699">
        <v>2017</v>
      </c>
      <c r="B2699" t="s">
        <v>240</v>
      </c>
      <c r="C2699" s="52" t="s">
        <v>2392</v>
      </c>
      <c r="D2699" s="22">
        <v>250</v>
      </c>
      <c r="E2699" s="16"/>
      <c r="G2699" t="s">
        <v>144</v>
      </c>
      <c r="H2699" t="s">
        <v>273</v>
      </c>
      <c r="I2699" t="s">
        <v>44</v>
      </c>
      <c r="J2699" t="s">
        <v>201</v>
      </c>
      <c r="K2699">
        <v>1</v>
      </c>
      <c r="L2699" s="2"/>
      <c r="N2699" s="21"/>
      <c r="O2699" s="2"/>
      <c r="P2699" s="2"/>
      <c r="Q2699" s="4"/>
      <c r="R2699" s="4"/>
      <c r="S2699" s="4"/>
      <c r="T2699" s="4"/>
      <c r="U2699" s="4"/>
      <c r="V2699" s="4"/>
    </row>
    <row r="2700" spans="1:22" ht="14.5" customHeight="1" x14ac:dyDescent="0.2">
      <c r="A2700">
        <v>2017</v>
      </c>
      <c r="B2700" t="s">
        <v>240</v>
      </c>
      <c r="C2700" t="s">
        <v>479</v>
      </c>
      <c r="D2700" s="22">
        <v>170</v>
      </c>
      <c r="E2700" s="16"/>
      <c r="G2700" t="s">
        <v>154</v>
      </c>
      <c r="H2700" t="s">
        <v>194</v>
      </c>
      <c r="I2700" t="s">
        <v>53</v>
      </c>
      <c r="J2700" t="s">
        <v>183</v>
      </c>
      <c r="K2700">
        <v>1</v>
      </c>
      <c r="L2700" s="2"/>
      <c r="N2700" s="21"/>
      <c r="O2700" s="2"/>
      <c r="P2700" s="2"/>
      <c r="Q2700" s="4"/>
      <c r="R2700" s="4"/>
      <c r="S2700" s="4"/>
      <c r="T2700" s="4"/>
      <c r="U2700" s="4"/>
      <c r="V2700" s="4"/>
    </row>
    <row r="2701" spans="1:22" ht="14.5" customHeight="1" x14ac:dyDescent="0.2">
      <c r="A2701">
        <v>2017</v>
      </c>
      <c r="B2701" t="s">
        <v>240</v>
      </c>
      <c r="C2701" t="s">
        <v>557</v>
      </c>
      <c r="D2701" s="22">
        <v>160</v>
      </c>
      <c r="E2701" s="16"/>
      <c r="G2701" t="s">
        <v>151</v>
      </c>
      <c r="H2701" t="s">
        <v>279</v>
      </c>
      <c r="I2701" t="s">
        <v>134</v>
      </c>
      <c r="J2701" t="s">
        <v>201</v>
      </c>
      <c r="K2701">
        <v>1</v>
      </c>
      <c r="L2701" s="2"/>
      <c r="N2701" s="21"/>
      <c r="O2701" s="2"/>
      <c r="P2701" s="2"/>
      <c r="Q2701" s="4"/>
      <c r="R2701" s="4"/>
      <c r="S2701" s="4"/>
      <c r="T2701" s="4"/>
      <c r="U2701" s="4"/>
      <c r="V2701" s="4"/>
    </row>
    <row r="2702" spans="1:22" ht="14.5" customHeight="1" x14ac:dyDescent="0.2">
      <c r="A2702">
        <v>2017</v>
      </c>
      <c r="B2702" t="s">
        <v>240</v>
      </c>
      <c r="C2702" t="s">
        <v>341</v>
      </c>
      <c r="D2702" s="22">
        <v>390</v>
      </c>
      <c r="E2702" s="16"/>
      <c r="G2702" t="s">
        <v>142</v>
      </c>
      <c r="I2702" t="s">
        <v>138</v>
      </c>
      <c r="J2702" t="s">
        <v>219</v>
      </c>
      <c r="K2702">
        <v>1</v>
      </c>
      <c r="L2702" s="2"/>
      <c r="N2702" s="21"/>
      <c r="O2702" s="2"/>
      <c r="P2702" s="2"/>
      <c r="Q2702" s="4"/>
      <c r="R2702" s="4"/>
      <c r="S2702" s="4"/>
      <c r="T2702" s="4"/>
      <c r="U2702" s="4"/>
      <c r="V2702" s="4"/>
    </row>
    <row r="2703" spans="1:22" ht="14.5" customHeight="1" x14ac:dyDescent="0.2">
      <c r="A2703">
        <v>2017</v>
      </c>
      <c r="B2703" t="s">
        <v>240</v>
      </c>
      <c r="C2703" t="s">
        <v>444</v>
      </c>
      <c r="D2703" s="22">
        <v>310</v>
      </c>
      <c r="E2703" s="16"/>
      <c r="G2703" t="s">
        <v>155</v>
      </c>
      <c r="I2703" t="s">
        <v>106</v>
      </c>
      <c r="J2703" t="s">
        <v>195</v>
      </c>
      <c r="K2703">
        <v>1</v>
      </c>
      <c r="L2703" s="2"/>
      <c r="N2703" s="21"/>
      <c r="O2703" s="2"/>
      <c r="P2703" s="2"/>
      <c r="Q2703" s="4"/>
      <c r="R2703" s="4"/>
      <c r="S2703" s="4"/>
      <c r="T2703" s="4"/>
      <c r="U2703" s="4"/>
      <c r="V2703" s="4"/>
    </row>
    <row r="2704" spans="1:22" ht="14.5" customHeight="1" x14ac:dyDescent="0.2">
      <c r="A2704">
        <v>2017</v>
      </c>
      <c r="B2704" t="s">
        <v>240</v>
      </c>
      <c r="C2704" t="s">
        <v>2837</v>
      </c>
      <c r="D2704" s="22">
        <v>1090</v>
      </c>
      <c r="E2704" s="16"/>
      <c r="F2704" t="s">
        <v>2838</v>
      </c>
      <c r="G2704" t="s">
        <v>144</v>
      </c>
      <c r="H2704" t="s">
        <v>273</v>
      </c>
      <c r="I2704" t="s">
        <v>128</v>
      </c>
      <c r="J2704" t="s">
        <v>201</v>
      </c>
      <c r="K2704">
        <v>1</v>
      </c>
      <c r="L2704" s="2"/>
      <c r="N2704" s="21"/>
      <c r="O2704" s="2"/>
      <c r="P2704" s="2"/>
      <c r="Q2704" s="4"/>
      <c r="R2704" s="4"/>
      <c r="S2704" s="4"/>
      <c r="T2704" s="4"/>
      <c r="U2704" s="4"/>
      <c r="V2704" s="4"/>
    </row>
    <row r="2705" spans="1:22" ht="14.5" customHeight="1" x14ac:dyDescent="0.2">
      <c r="A2705">
        <v>2017</v>
      </c>
      <c r="B2705" t="s">
        <v>240</v>
      </c>
      <c r="C2705" t="s">
        <v>307</v>
      </c>
      <c r="D2705" s="22">
        <v>130</v>
      </c>
      <c r="E2705" s="16"/>
      <c r="G2705" t="s">
        <v>144</v>
      </c>
      <c r="I2705" t="s">
        <v>82</v>
      </c>
      <c r="J2705" t="s">
        <v>183</v>
      </c>
      <c r="K2705">
        <v>1</v>
      </c>
      <c r="L2705" s="2"/>
      <c r="N2705" s="21"/>
      <c r="O2705" s="2"/>
      <c r="P2705" s="2"/>
      <c r="Q2705" s="4"/>
      <c r="R2705" s="4"/>
      <c r="S2705" s="4"/>
      <c r="T2705" s="4"/>
      <c r="U2705" s="4"/>
      <c r="V2705" s="4"/>
    </row>
    <row r="2706" spans="1:22" ht="14.5" customHeight="1" x14ac:dyDescent="0.2">
      <c r="A2706">
        <v>2017</v>
      </c>
      <c r="B2706" t="s">
        <v>240</v>
      </c>
      <c r="C2706" t="s">
        <v>1035</v>
      </c>
      <c r="D2706" s="22">
        <v>110</v>
      </c>
      <c r="E2706" s="16"/>
      <c r="G2706" t="s">
        <v>144</v>
      </c>
      <c r="H2706" t="s">
        <v>197</v>
      </c>
      <c r="I2706" t="s">
        <v>134</v>
      </c>
      <c r="J2706" t="s">
        <v>201</v>
      </c>
      <c r="K2706">
        <v>1</v>
      </c>
      <c r="L2706" s="2"/>
      <c r="N2706" s="21"/>
      <c r="O2706" s="2"/>
      <c r="P2706" s="2"/>
      <c r="Q2706" s="4"/>
      <c r="R2706" s="4"/>
      <c r="S2706" s="4"/>
      <c r="T2706" s="4"/>
      <c r="U2706" s="4"/>
      <c r="V2706" s="4"/>
    </row>
    <row r="2707" spans="1:22" ht="14.5" customHeight="1" x14ac:dyDescent="0.2">
      <c r="A2707">
        <v>2017</v>
      </c>
      <c r="B2707" t="s">
        <v>240</v>
      </c>
      <c r="C2707" t="s">
        <v>745</v>
      </c>
      <c r="D2707" s="22">
        <v>1870</v>
      </c>
      <c r="E2707" s="16"/>
      <c r="F2707" t="s">
        <v>2475</v>
      </c>
      <c r="G2707" t="s">
        <v>143</v>
      </c>
      <c r="I2707" t="s">
        <v>63</v>
      </c>
      <c r="J2707" t="s">
        <v>201</v>
      </c>
      <c r="K2707">
        <v>1</v>
      </c>
      <c r="L2707" s="2"/>
      <c r="N2707" s="21"/>
      <c r="O2707" s="2"/>
      <c r="P2707" s="2"/>
      <c r="Q2707" s="4"/>
      <c r="R2707" s="4"/>
      <c r="S2707" s="4"/>
      <c r="T2707" s="4"/>
      <c r="U2707" s="4"/>
      <c r="V2707" s="4"/>
    </row>
    <row r="2708" spans="1:22" ht="14.5" customHeight="1" x14ac:dyDescent="0.2">
      <c r="A2708">
        <v>2017</v>
      </c>
      <c r="B2708" t="s">
        <v>240</v>
      </c>
      <c r="C2708" t="s">
        <v>175</v>
      </c>
      <c r="D2708" s="22">
        <v>530</v>
      </c>
      <c r="E2708" s="16"/>
      <c r="F2708" t="s">
        <v>2839</v>
      </c>
      <c r="G2708" t="s">
        <v>147</v>
      </c>
      <c r="I2708" t="s">
        <v>65</v>
      </c>
      <c r="J2708" t="s">
        <v>214</v>
      </c>
      <c r="K2708">
        <v>1</v>
      </c>
      <c r="L2708" s="2"/>
      <c r="N2708" s="21"/>
      <c r="O2708" s="2"/>
      <c r="P2708" s="2"/>
      <c r="Q2708" s="4"/>
      <c r="R2708" s="4"/>
      <c r="S2708" s="4"/>
      <c r="T2708" s="4"/>
      <c r="U2708" s="4"/>
      <c r="V2708" s="4"/>
    </row>
    <row r="2709" spans="1:22" ht="14.5" customHeight="1" x14ac:dyDescent="0.2">
      <c r="A2709">
        <v>2017</v>
      </c>
      <c r="B2709" t="s">
        <v>212</v>
      </c>
      <c r="C2709" t="s">
        <v>479</v>
      </c>
      <c r="D2709" s="22">
        <v>1380</v>
      </c>
      <c r="E2709" s="16"/>
      <c r="F2709" t="s">
        <v>2750</v>
      </c>
      <c r="G2709" t="s">
        <v>154</v>
      </c>
      <c r="H2709" t="s">
        <v>194</v>
      </c>
      <c r="I2709" t="s">
        <v>9</v>
      </c>
      <c r="J2709" t="s">
        <v>9</v>
      </c>
      <c r="K2709">
        <v>0</v>
      </c>
      <c r="L2709" s="2"/>
      <c r="N2709" s="21"/>
      <c r="O2709" s="2"/>
      <c r="P2709" s="2"/>
      <c r="Q2709" s="4"/>
      <c r="R2709" s="4"/>
      <c r="S2709" s="4"/>
      <c r="T2709" s="4"/>
      <c r="U2709" s="4"/>
      <c r="V2709" s="4"/>
    </row>
    <row r="2710" spans="1:22" ht="14.5" customHeight="1" x14ac:dyDescent="0.2">
      <c r="A2710">
        <v>2017</v>
      </c>
      <c r="B2710" t="s">
        <v>212</v>
      </c>
      <c r="C2710" t="s">
        <v>444</v>
      </c>
      <c r="D2710" s="22">
        <v>400</v>
      </c>
      <c r="E2710" s="16"/>
      <c r="G2710" t="s">
        <v>144</v>
      </c>
      <c r="H2710" t="s">
        <v>197</v>
      </c>
      <c r="I2710" t="s">
        <v>24</v>
      </c>
      <c r="J2710" t="s">
        <v>219</v>
      </c>
      <c r="K2710">
        <v>1</v>
      </c>
      <c r="L2710" s="2"/>
      <c r="N2710" s="21"/>
      <c r="O2710" s="2"/>
      <c r="P2710" s="2"/>
      <c r="Q2710" s="4"/>
      <c r="R2710" s="4"/>
      <c r="S2710" s="4"/>
      <c r="T2710" s="4"/>
      <c r="U2710" s="4"/>
      <c r="V2710" s="4"/>
    </row>
    <row r="2711" spans="1:22" ht="14.5" customHeight="1" x14ac:dyDescent="0.2">
      <c r="A2711">
        <v>2017</v>
      </c>
      <c r="B2711" t="s">
        <v>212</v>
      </c>
      <c r="C2711" t="s">
        <v>444</v>
      </c>
      <c r="D2711" s="22">
        <v>150</v>
      </c>
      <c r="E2711" s="16"/>
      <c r="G2711" t="s">
        <v>144</v>
      </c>
      <c r="I2711" t="s">
        <v>139</v>
      </c>
      <c r="J2711" t="s">
        <v>219</v>
      </c>
      <c r="K2711">
        <v>1</v>
      </c>
      <c r="L2711" s="2"/>
      <c r="N2711" s="21"/>
      <c r="O2711" s="2"/>
      <c r="P2711" s="2"/>
      <c r="Q2711" s="4"/>
      <c r="R2711" s="4"/>
      <c r="S2711" s="4"/>
      <c r="T2711" s="4"/>
      <c r="U2711" s="4"/>
      <c r="V2711" s="4"/>
    </row>
    <row r="2712" spans="1:22" ht="14.5" customHeight="1" x14ac:dyDescent="0.2">
      <c r="A2712">
        <v>2017</v>
      </c>
      <c r="B2712" t="s">
        <v>212</v>
      </c>
      <c r="C2712" t="s">
        <v>2840</v>
      </c>
      <c r="D2712" s="22">
        <v>200</v>
      </c>
      <c r="E2712" s="16"/>
      <c r="F2712" t="s">
        <v>2841</v>
      </c>
      <c r="G2712" t="s">
        <v>144</v>
      </c>
      <c r="H2712" t="s">
        <v>232</v>
      </c>
      <c r="I2712" t="s">
        <v>23</v>
      </c>
      <c r="J2712" t="s">
        <v>183</v>
      </c>
      <c r="K2712">
        <v>1</v>
      </c>
      <c r="L2712" s="2"/>
      <c r="N2712" s="21"/>
      <c r="O2712" s="2"/>
      <c r="P2712" s="2"/>
      <c r="Q2712" s="4"/>
      <c r="R2712" s="4"/>
      <c r="S2712" s="4"/>
      <c r="T2712" s="4"/>
      <c r="U2712" s="4"/>
      <c r="V2712" s="4"/>
    </row>
    <row r="2713" spans="1:22" ht="14.5" customHeight="1" x14ac:dyDescent="0.2">
      <c r="A2713">
        <v>2017</v>
      </c>
      <c r="B2713" t="s">
        <v>212</v>
      </c>
      <c r="C2713" t="s">
        <v>1035</v>
      </c>
      <c r="D2713" s="22">
        <v>230</v>
      </c>
      <c r="E2713" s="16"/>
      <c r="G2713" t="s">
        <v>144</v>
      </c>
      <c r="I2713" t="s">
        <v>106</v>
      </c>
      <c r="J2713" t="s">
        <v>195</v>
      </c>
      <c r="K2713">
        <v>1</v>
      </c>
      <c r="L2713" s="2"/>
      <c r="N2713" s="21"/>
      <c r="O2713" s="2"/>
      <c r="P2713" s="2"/>
      <c r="Q2713" s="4"/>
      <c r="R2713" s="4"/>
      <c r="S2713" s="4"/>
      <c r="T2713" s="4"/>
      <c r="U2713" s="4"/>
      <c r="V2713" s="4"/>
    </row>
    <row r="2714" spans="1:22" ht="14.5" customHeight="1" x14ac:dyDescent="0.2">
      <c r="A2714">
        <v>2017</v>
      </c>
      <c r="B2714" t="s">
        <v>212</v>
      </c>
      <c r="C2714" t="s">
        <v>189</v>
      </c>
      <c r="D2714" s="22">
        <v>1050</v>
      </c>
      <c r="E2714" s="16"/>
      <c r="G2714" t="s">
        <v>144</v>
      </c>
      <c r="H2714" t="s">
        <v>187</v>
      </c>
      <c r="I2714" t="s">
        <v>54</v>
      </c>
      <c r="J2714" t="s">
        <v>201</v>
      </c>
      <c r="K2714">
        <v>1</v>
      </c>
      <c r="L2714" s="2"/>
      <c r="N2714" s="21"/>
      <c r="O2714" s="2"/>
      <c r="P2714" s="2"/>
      <c r="Q2714" s="4"/>
      <c r="R2714" s="4"/>
      <c r="S2714" s="4"/>
      <c r="T2714" s="4"/>
      <c r="U2714" s="4"/>
      <c r="V2714" s="4"/>
    </row>
    <row r="2715" spans="1:22" ht="14.5" customHeight="1" x14ac:dyDescent="0.2">
      <c r="A2715">
        <v>2017</v>
      </c>
      <c r="B2715" t="s">
        <v>212</v>
      </c>
      <c r="C2715" t="s">
        <v>199</v>
      </c>
      <c r="D2715" s="22">
        <v>100</v>
      </c>
      <c r="E2715" s="16"/>
      <c r="F2715" t="s">
        <v>2002</v>
      </c>
      <c r="G2715" t="s">
        <v>144</v>
      </c>
      <c r="H2715" t="s">
        <v>187</v>
      </c>
      <c r="I2715" t="s">
        <v>105</v>
      </c>
      <c r="J2715" t="s">
        <v>214</v>
      </c>
      <c r="K2715">
        <v>1</v>
      </c>
      <c r="L2715" s="2"/>
      <c r="N2715" s="21"/>
      <c r="O2715" s="2"/>
      <c r="P2715" s="2"/>
      <c r="Q2715" s="4"/>
      <c r="R2715" s="4"/>
      <c r="S2715" s="4"/>
      <c r="T2715" s="4"/>
      <c r="U2715" s="4"/>
      <c r="V2715" s="4"/>
    </row>
    <row r="2716" spans="1:22" ht="14.5" customHeight="1" x14ac:dyDescent="0.2">
      <c r="A2716">
        <v>2017</v>
      </c>
      <c r="B2716" t="s">
        <v>212</v>
      </c>
      <c r="C2716" t="s">
        <v>449</v>
      </c>
      <c r="D2716" s="22">
        <v>210</v>
      </c>
      <c r="E2716" s="16"/>
      <c r="F2716" t="s">
        <v>2842</v>
      </c>
      <c r="G2716" t="s">
        <v>153</v>
      </c>
      <c r="I2716" t="s">
        <v>72</v>
      </c>
      <c r="J2716" t="s">
        <v>183</v>
      </c>
      <c r="K2716">
        <v>1</v>
      </c>
      <c r="L2716" s="2"/>
      <c r="N2716" s="21"/>
      <c r="O2716" s="2"/>
      <c r="P2716" s="2"/>
      <c r="Q2716" s="4"/>
      <c r="R2716" s="4"/>
      <c r="S2716" s="4"/>
      <c r="T2716" s="4"/>
      <c r="U2716" s="4"/>
      <c r="V2716" s="4"/>
    </row>
    <row r="2717" spans="1:22" ht="14.5" customHeight="1" x14ac:dyDescent="0.2">
      <c r="A2717">
        <v>2017</v>
      </c>
      <c r="B2717" t="s">
        <v>212</v>
      </c>
      <c r="C2717" t="s">
        <v>479</v>
      </c>
      <c r="D2717" s="22">
        <v>110</v>
      </c>
      <c r="E2717" s="16"/>
      <c r="G2717" t="s">
        <v>154</v>
      </c>
      <c r="H2717" t="s">
        <v>529</v>
      </c>
      <c r="I2717" t="s">
        <v>72</v>
      </c>
      <c r="J2717" t="s">
        <v>183</v>
      </c>
      <c r="K2717">
        <v>1</v>
      </c>
      <c r="L2717" s="2"/>
      <c r="N2717" s="21"/>
      <c r="O2717" s="2"/>
      <c r="P2717" s="2"/>
      <c r="Q2717" s="4"/>
      <c r="R2717" s="4"/>
      <c r="S2717" s="4"/>
      <c r="T2717" s="4"/>
      <c r="U2717" s="4"/>
      <c r="V2717" s="4"/>
    </row>
    <row r="2718" spans="1:22" ht="14.5" customHeight="1" x14ac:dyDescent="0.2">
      <c r="A2718">
        <v>2017</v>
      </c>
      <c r="B2718" t="s">
        <v>212</v>
      </c>
      <c r="C2718" t="s">
        <v>479</v>
      </c>
      <c r="D2718" s="22">
        <v>1070</v>
      </c>
      <c r="E2718" s="16"/>
      <c r="F2718" t="s">
        <v>2843</v>
      </c>
      <c r="G2718" t="s">
        <v>154</v>
      </c>
      <c r="H2718" t="s">
        <v>529</v>
      </c>
      <c r="I2718" t="s">
        <v>9</v>
      </c>
      <c r="J2718" t="s">
        <v>9</v>
      </c>
      <c r="K2718">
        <v>0</v>
      </c>
      <c r="L2718" s="2"/>
      <c r="N2718" s="21"/>
      <c r="O2718" s="2"/>
      <c r="P2718" s="2"/>
      <c r="Q2718" s="4"/>
      <c r="R2718" s="4"/>
      <c r="S2718" s="4"/>
      <c r="T2718" s="4"/>
      <c r="U2718" s="4"/>
      <c r="V2718" s="4"/>
    </row>
    <row r="2719" spans="1:22" ht="14.5" customHeight="1" x14ac:dyDescent="0.2">
      <c r="A2719">
        <v>2017</v>
      </c>
      <c r="B2719" t="s">
        <v>212</v>
      </c>
      <c r="C2719" t="s">
        <v>1289</v>
      </c>
      <c r="D2719" s="22">
        <v>100</v>
      </c>
      <c r="E2719" s="16"/>
      <c r="G2719" t="s">
        <v>151</v>
      </c>
      <c r="H2719" t="s">
        <v>279</v>
      </c>
      <c r="I2719" t="s">
        <v>108</v>
      </c>
      <c r="J2719" t="s">
        <v>183</v>
      </c>
      <c r="K2719">
        <v>1</v>
      </c>
      <c r="L2719" s="2"/>
      <c r="N2719" s="21"/>
      <c r="O2719" s="2"/>
      <c r="P2719" s="2"/>
      <c r="Q2719" s="4"/>
      <c r="R2719" s="4"/>
      <c r="S2719" s="4"/>
      <c r="T2719" s="4"/>
      <c r="U2719" s="4"/>
      <c r="V2719" s="4"/>
    </row>
    <row r="2720" spans="1:22" ht="14.5" customHeight="1" x14ac:dyDescent="0.2">
      <c r="A2720">
        <v>2017</v>
      </c>
      <c r="B2720" t="s">
        <v>212</v>
      </c>
      <c r="C2720" t="s">
        <v>2807</v>
      </c>
      <c r="D2720" s="22">
        <v>1670</v>
      </c>
      <c r="E2720" s="16"/>
      <c r="F2720" t="s">
        <v>2844</v>
      </c>
      <c r="G2720" t="s">
        <v>144</v>
      </c>
      <c r="H2720" t="s">
        <v>273</v>
      </c>
      <c r="I2720" t="s">
        <v>97</v>
      </c>
      <c r="J2720" t="s">
        <v>183</v>
      </c>
      <c r="K2720">
        <v>1</v>
      </c>
      <c r="L2720" s="2"/>
      <c r="N2720" s="21"/>
      <c r="O2720" s="2"/>
      <c r="P2720" s="2"/>
      <c r="Q2720" s="4"/>
      <c r="R2720" s="4"/>
      <c r="S2720" s="4"/>
      <c r="T2720" s="4"/>
      <c r="U2720" s="4"/>
      <c r="V2720" s="4"/>
    </row>
    <row r="2721" spans="1:22" ht="14.5" customHeight="1" x14ac:dyDescent="0.2">
      <c r="A2721">
        <v>2017</v>
      </c>
      <c r="B2721" t="s">
        <v>212</v>
      </c>
      <c r="C2721" t="s">
        <v>479</v>
      </c>
      <c r="D2721" s="22">
        <v>200</v>
      </c>
      <c r="E2721" s="16"/>
      <c r="G2721" t="s">
        <v>154</v>
      </c>
      <c r="H2721" t="s">
        <v>529</v>
      </c>
      <c r="I2721" t="s">
        <v>9</v>
      </c>
      <c r="J2721" t="s">
        <v>9</v>
      </c>
      <c r="K2721">
        <v>0</v>
      </c>
      <c r="L2721" s="2"/>
      <c r="N2721" s="21"/>
      <c r="O2721" s="2"/>
      <c r="P2721" s="2"/>
      <c r="Q2721" s="4"/>
      <c r="R2721" s="4"/>
      <c r="S2721" s="4"/>
      <c r="T2721" s="4"/>
      <c r="U2721" s="4"/>
      <c r="V2721" s="4"/>
    </row>
    <row r="2722" spans="1:22" ht="14.5" customHeight="1" x14ac:dyDescent="0.2">
      <c r="A2722">
        <v>2017</v>
      </c>
      <c r="B2722" t="s">
        <v>212</v>
      </c>
      <c r="C2722" t="s">
        <v>397</v>
      </c>
      <c r="D2722" s="22">
        <v>790</v>
      </c>
      <c r="E2722" s="16"/>
      <c r="G2722" t="s">
        <v>154</v>
      </c>
      <c r="H2722" t="s">
        <v>250</v>
      </c>
      <c r="I2722" t="s">
        <v>110</v>
      </c>
      <c r="J2722" t="s">
        <v>195</v>
      </c>
      <c r="K2722">
        <v>1</v>
      </c>
      <c r="L2722" s="2"/>
      <c r="N2722" s="21"/>
      <c r="O2722" s="2"/>
      <c r="P2722" s="2"/>
      <c r="Q2722" s="4"/>
      <c r="R2722" s="4"/>
      <c r="S2722" s="4"/>
      <c r="T2722" s="4"/>
      <c r="U2722" s="4"/>
      <c r="V2722" s="4"/>
    </row>
    <row r="2723" spans="1:22" ht="14.5" customHeight="1" x14ac:dyDescent="0.2">
      <c r="A2723">
        <v>2017</v>
      </c>
      <c r="B2723" t="s">
        <v>212</v>
      </c>
      <c r="C2723" t="s">
        <v>2647</v>
      </c>
      <c r="D2723" s="22">
        <v>200</v>
      </c>
      <c r="E2723" s="16"/>
      <c r="G2723" t="s">
        <v>142</v>
      </c>
      <c r="I2723" t="s">
        <v>89</v>
      </c>
      <c r="J2723" t="s">
        <v>219</v>
      </c>
      <c r="K2723">
        <v>1</v>
      </c>
      <c r="L2723" s="2"/>
      <c r="N2723" s="21"/>
      <c r="O2723" s="2"/>
      <c r="P2723" s="2"/>
      <c r="Q2723" s="4"/>
      <c r="R2723" s="4"/>
      <c r="S2723" s="4"/>
      <c r="T2723" s="4"/>
      <c r="U2723" s="4"/>
      <c r="V2723" s="4"/>
    </row>
    <row r="2724" spans="1:22" ht="14.5" customHeight="1" x14ac:dyDescent="0.2">
      <c r="A2724">
        <v>2017</v>
      </c>
      <c r="B2724" t="s">
        <v>212</v>
      </c>
      <c r="C2724" t="s">
        <v>1234</v>
      </c>
      <c r="D2724" s="22">
        <v>170</v>
      </c>
      <c r="E2724" s="16"/>
      <c r="G2724" t="s">
        <v>154</v>
      </c>
      <c r="H2724" t="s">
        <v>194</v>
      </c>
      <c r="I2724" t="s">
        <v>63</v>
      </c>
      <c r="J2724" t="s">
        <v>201</v>
      </c>
      <c r="K2724">
        <v>1</v>
      </c>
      <c r="L2724" s="2"/>
      <c r="N2724" s="21"/>
      <c r="O2724" s="2"/>
      <c r="P2724" s="2"/>
      <c r="Q2724" s="4"/>
      <c r="R2724" s="4"/>
      <c r="S2724" s="4"/>
      <c r="T2724" s="4"/>
      <c r="U2724" s="4"/>
      <c r="V2724" s="4"/>
    </row>
    <row r="2725" spans="1:22" ht="14.5" customHeight="1" x14ac:dyDescent="0.2">
      <c r="A2725">
        <v>2017</v>
      </c>
      <c r="B2725" t="s">
        <v>212</v>
      </c>
      <c r="C2725" t="s">
        <v>875</v>
      </c>
      <c r="D2725" s="22">
        <v>1720</v>
      </c>
      <c r="E2725" s="16"/>
      <c r="G2725" t="s">
        <v>144</v>
      </c>
      <c r="H2725" t="s">
        <v>197</v>
      </c>
      <c r="I2725" t="s">
        <v>93</v>
      </c>
      <c r="J2725" t="s">
        <v>201</v>
      </c>
      <c r="K2725">
        <v>1</v>
      </c>
      <c r="L2725" s="2"/>
      <c r="N2725" s="21"/>
      <c r="O2725" s="2"/>
      <c r="P2725" s="2"/>
      <c r="Q2725" s="4"/>
      <c r="R2725" s="4"/>
      <c r="S2725" s="4"/>
      <c r="T2725" s="4"/>
      <c r="U2725" s="4"/>
      <c r="V2725" s="4"/>
    </row>
    <row r="2726" spans="1:22" ht="14.5" customHeight="1" x14ac:dyDescent="0.2">
      <c r="A2726">
        <v>2017</v>
      </c>
      <c r="B2726" t="s">
        <v>212</v>
      </c>
      <c r="C2726" t="s">
        <v>2845</v>
      </c>
      <c r="D2726" s="22">
        <v>470</v>
      </c>
      <c r="E2726" s="16"/>
      <c r="G2726" t="s">
        <v>155</v>
      </c>
      <c r="I2726" t="s">
        <v>89</v>
      </c>
      <c r="J2726" t="s">
        <v>219</v>
      </c>
      <c r="K2726">
        <v>1</v>
      </c>
      <c r="L2726" s="2"/>
      <c r="N2726" s="21"/>
      <c r="O2726" s="2"/>
      <c r="P2726" s="2"/>
      <c r="Q2726" s="4"/>
      <c r="R2726" s="4"/>
      <c r="S2726" s="4"/>
      <c r="T2726" s="4"/>
      <c r="U2726" s="4"/>
      <c r="V2726" s="4"/>
    </row>
    <row r="2727" spans="1:22" ht="14.5" customHeight="1" x14ac:dyDescent="0.2">
      <c r="A2727">
        <v>2018</v>
      </c>
      <c r="B2727" t="s">
        <v>172</v>
      </c>
      <c r="C2727" t="s">
        <v>477</v>
      </c>
      <c r="D2727" s="65">
        <v>1120</v>
      </c>
      <c r="E2727" s="33">
        <v>0.7</v>
      </c>
      <c r="F2727" t="s">
        <v>1618</v>
      </c>
      <c r="G2727" t="s">
        <v>154</v>
      </c>
      <c r="H2727" t="s">
        <v>271</v>
      </c>
      <c r="I2727" t="s">
        <v>115</v>
      </c>
      <c r="J2727" t="s">
        <v>201</v>
      </c>
      <c r="K2727" s="17">
        <v>1</v>
      </c>
      <c r="L2727" s="28" t="s">
        <v>178</v>
      </c>
      <c r="N2727" s="21"/>
      <c r="O2727" s="2"/>
      <c r="P2727" s="2"/>
      <c r="Q2727" s="4"/>
      <c r="R2727" s="4"/>
      <c r="S2727" s="4"/>
      <c r="T2727" s="4"/>
      <c r="U2727" s="4"/>
      <c r="V2727" s="4"/>
    </row>
    <row r="2728" spans="1:22" ht="14.5" customHeight="1" x14ac:dyDescent="0.2">
      <c r="A2728">
        <v>2018</v>
      </c>
      <c r="B2728" t="s">
        <v>172</v>
      </c>
      <c r="C2728" t="s">
        <v>285</v>
      </c>
      <c r="D2728" s="65">
        <v>1300</v>
      </c>
      <c r="E2728" s="33">
        <v>0.28000000000000003</v>
      </c>
      <c r="F2728" t="s">
        <v>1619</v>
      </c>
      <c r="G2728" t="s">
        <v>144</v>
      </c>
      <c r="I2728" t="s">
        <v>27</v>
      </c>
      <c r="J2728" t="s">
        <v>205</v>
      </c>
      <c r="K2728" s="17">
        <v>1</v>
      </c>
      <c r="L2728" s="28"/>
      <c r="N2728" s="21"/>
      <c r="O2728" s="2"/>
      <c r="P2728" s="2"/>
      <c r="Q2728" s="4"/>
      <c r="R2728" s="4"/>
      <c r="S2728" s="4"/>
      <c r="T2728" s="4"/>
      <c r="U2728" s="4"/>
      <c r="V2728" s="4"/>
    </row>
    <row r="2729" spans="1:22" ht="14.5" customHeight="1" x14ac:dyDescent="0.2">
      <c r="A2729" s="17">
        <v>2018</v>
      </c>
      <c r="B2729" s="17" t="s">
        <v>172</v>
      </c>
      <c r="C2729" s="17" t="s">
        <v>797</v>
      </c>
      <c r="D2729" s="66">
        <v>470</v>
      </c>
      <c r="E2729" s="37">
        <v>1</v>
      </c>
      <c r="F2729" s="17" t="s">
        <v>1620</v>
      </c>
      <c r="G2729" s="17" t="s">
        <v>149</v>
      </c>
      <c r="H2729" s="17"/>
      <c r="I2729" s="17" t="s">
        <v>85</v>
      </c>
      <c r="J2729" s="17" t="s">
        <v>195</v>
      </c>
      <c r="K2729" s="17">
        <v>0</v>
      </c>
      <c r="L2729" s="67"/>
      <c r="N2729" s="21"/>
      <c r="O2729" s="2"/>
      <c r="P2729" s="2"/>
      <c r="Q2729" s="4"/>
      <c r="R2729" s="4"/>
      <c r="S2729" s="4"/>
      <c r="T2729" s="4"/>
      <c r="U2729" s="4"/>
      <c r="V2729" s="4"/>
    </row>
    <row r="2730" spans="1:22" ht="14.5" customHeight="1" x14ac:dyDescent="0.2">
      <c r="A2730">
        <v>2018</v>
      </c>
      <c r="B2730" t="s">
        <v>172</v>
      </c>
      <c r="C2730" t="s">
        <v>267</v>
      </c>
      <c r="D2730" s="65">
        <v>160</v>
      </c>
      <c r="E2730" s="33">
        <v>0.85</v>
      </c>
      <c r="G2730" t="s">
        <v>149</v>
      </c>
      <c r="H2730" t="s">
        <v>238</v>
      </c>
      <c r="I2730" t="s">
        <v>48</v>
      </c>
      <c r="J2730" t="s">
        <v>219</v>
      </c>
      <c r="K2730" s="17">
        <v>1</v>
      </c>
      <c r="L2730" s="28" t="s">
        <v>178</v>
      </c>
      <c r="N2730" s="21"/>
      <c r="O2730" s="2"/>
      <c r="P2730" s="2"/>
      <c r="Q2730" s="4"/>
      <c r="R2730" s="4"/>
      <c r="S2730" s="4"/>
      <c r="T2730" s="4"/>
      <c r="U2730" s="4"/>
      <c r="V2730" s="4"/>
    </row>
    <row r="2731" spans="1:22" ht="14.5" customHeight="1" x14ac:dyDescent="0.2">
      <c r="A2731">
        <v>2018</v>
      </c>
      <c r="B2731" t="s">
        <v>172</v>
      </c>
      <c r="C2731" t="s">
        <v>454</v>
      </c>
      <c r="D2731" s="65">
        <v>150</v>
      </c>
      <c r="E2731" s="33">
        <v>0.1</v>
      </c>
      <c r="F2731" t="s">
        <v>1621</v>
      </c>
      <c r="G2731" t="s">
        <v>145</v>
      </c>
      <c r="I2731" t="s">
        <v>131</v>
      </c>
      <c r="J2731" t="s">
        <v>131</v>
      </c>
      <c r="K2731" s="17">
        <v>0</v>
      </c>
      <c r="L2731" s="28"/>
      <c r="N2731" s="21"/>
      <c r="O2731" s="2"/>
      <c r="P2731" s="2"/>
      <c r="Q2731" s="4"/>
      <c r="R2731" s="4"/>
      <c r="S2731" s="4"/>
      <c r="T2731" s="4"/>
      <c r="U2731" s="4"/>
      <c r="V2731" s="4"/>
    </row>
    <row r="2732" spans="1:22" ht="14.5" customHeight="1" x14ac:dyDescent="0.2">
      <c r="A2732">
        <v>2018</v>
      </c>
      <c r="B2732" t="s">
        <v>172</v>
      </c>
      <c r="C2732" t="s">
        <v>1294</v>
      </c>
      <c r="D2732" s="65">
        <v>1150</v>
      </c>
      <c r="E2732" s="33">
        <v>0.9</v>
      </c>
      <c r="F2732" t="s">
        <v>1622</v>
      </c>
      <c r="G2732" t="s">
        <v>147</v>
      </c>
      <c r="I2732" t="s">
        <v>45</v>
      </c>
      <c r="J2732" t="s">
        <v>195</v>
      </c>
      <c r="K2732" s="17">
        <v>0</v>
      </c>
      <c r="L2732" s="28"/>
      <c r="N2732" s="21"/>
      <c r="O2732" s="2"/>
      <c r="P2732" s="2"/>
      <c r="Q2732" s="4"/>
      <c r="R2732" s="4"/>
      <c r="S2732" s="4"/>
      <c r="T2732" s="4"/>
      <c r="U2732" s="4"/>
      <c r="V2732" s="4"/>
    </row>
    <row r="2733" spans="1:22" ht="14.5" customHeight="1" x14ac:dyDescent="0.2">
      <c r="A2733">
        <v>2018</v>
      </c>
      <c r="B2733" t="s">
        <v>172</v>
      </c>
      <c r="C2733" t="s">
        <v>1344</v>
      </c>
      <c r="D2733" s="65">
        <v>600</v>
      </c>
      <c r="E2733" s="33"/>
      <c r="F2733" t="s">
        <v>1424</v>
      </c>
      <c r="G2733" t="s">
        <v>154</v>
      </c>
      <c r="H2733" t="s">
        <v>194</v>
      </c>
      <c r="I2733" t="s">
        <v>19</v>
      </c>
      <c r="J2733" t="s">
        <v>205</v>
      </c>
      <c r="K2733" s="17">
        <v>0</v>
      </c>
      <c r="L2733" s="28"/>
      <c r="N2733" s="21"/>
      <c r="O2733" s="2"/>
      <c r="P2733" s="2"/>
      <c r="Q2733" s="4"/>
      <c r="R2733" s="4"/>
      <c r="S2733" s="4"/>
      <c r="T2733" s="4"/>
      <c r="U2733" s="4"/>
      <c r="V2733" s="4"/>
    </row>
    <row r="2734" spans="1:22" ht="14.5" customHeight="1" x14ac:dyDescent="0.2">
      <c r="A2734">
        <v>2018</v>
      </c>
      <c r="B2734" t="s">
        <v>172</v>
      </c>
      <c r="C2734" t="s">
        <v>221</v>
      </c>
      <c r="D2734" s="65">
        <v>490</v>
      </c>
      <c r="E2734" s="33">
        <v>1</v>
      </c>
      <c r="F2734" t="s">
        <v>1623</v>
      </c>
      <c r="G2734" t="s">
        <v>150</v>
      </c>
      <c r="H2734" t="s">
        <v>556</v>
      </c>
      <c r="I2734" t="s">
        <v>42</v>
      </c>
      <c r="J2734" t="s">
        <v>195</v>
      </c>
      <c r="K2734" s="17">
        <v>0</v>
      </c>
      <c r="L2734" s="28"/>
      <c r="N2734" s="21"/>
      <c r="O2734" s="2"/>
      <c r="P2734" s="2"/>
      <c r="Q2734" s="4"/>
      <c r="R2734" s="4"/>
      <c r="S2734" s="4"/>
      <c r="T2734" s="4"/>
      <c r="U2734" s="4"/>
      <c r="V2734" s="4"/>
    </row>
    <row r="2735" spans="1:22" ht="14.5" customHeight="1" x14ac:dyDescent="0.2">
      <c r="A2735">
        <v>2018</v>
      </c>
      <c r="B2735" t="s">
        <v>172</v>
      </c>
      <c r="C2735" t="s">
        <v>705</v>
      </c>
      <c r="D2735" s="65">
        <v>920</v>
      </c>
      <c r="E2735" s="33">
        <v>0.2</v>
      </c>
      <c r="G2735" t="s">
        <v>151</v>
      </c>
      <c r="H2735" t="s">
        <v>224</v>
      </c>
      <c r="I2735" t="s">
        <v>131</v>
      </c>
      <c r="J2735" t="s">
        <v>131</v>
      </c>
      <c r="K2735" s="17">
        <v>0</v>
      </c>
      <c r="L2735" s="28"/>
      <c r="N2735" s="21"/>
      <c r="O2735" s="2"/>
      <c r="P2735" s="2"/>
      <c r="Q2735" s="4"/>
      <c r="R2735" s="4"/>
      <c r="S2735" s="4"/>
      <c r="T2735" s="4"/>
      <c r="U2735" s="4"/>
      <c r="V2735" s="4"/>
    </row>
    <row r="2736" spans="1:22" ht="14.5" customHeight="1" x14ac:dyDescent="0.2">
      <c r="A2736">
        <v>2018</v>
      </c>
      <c r="B2736" t="s">
        <v>172</v>
      </c>
      <c r="C2736" t="s">
        <v>1624</v>
      </c>
      <c r="D2736" s="65">
        <v>140</v>
      </c>
      <c r="E2736" s="33">
        <v>1</v>
      </c>
      <c r="G2736" t="s">
        <v>151</v>
      </c>
      <c r="H2736" t="s">
        <v>279</v>
      </c>
      <c r="I2736" t="s">
        <v>84</v>
      </c>
      <c r="J2736" t="s">
        <v>201</v>
      </c>
      <c r="K2736" s="17">
        <v>1</v>
      </c>
      <c r="L2736" s="28" t="s">
        <v>178</v>
      </c>
      <c r="N2736" s="21"/>
      <c r="O2736" s="2"/>
      <c r="P2736" s="2"/>
      <c r="Q2736" s="4"/>
      <c r="R2736" s="4"/>
      <c r="S2736" s="4"/>
      <c r="T2736" s="4"/>
      <c r="U2736" s="4"/>
      <c r="V2736" s="4"/>
    </row>
    <row r="2737" spans="1:22" ht="14.5" customHeight="1" x14ac:dyDescent="0.2">
      <c r="A2737">
        <v>2018</v>
      </c>
      <c r="B2737" t="s">
        <v>172</v>
      </c>
      <c r="C2737" t="s">
        <v>1625</v>
      </c>
      <c r="D2737" s="65">
        <v>100</v>
      </c>
      <c r="E2737" s="33">
        <v>1</v>
      </c>
      <c r="G2737" t="s">
        <v>144</v>
      </c>
      <c r="H2737" t="s">
        <v>232</v>
      </c>
      <c r="I2737" t="s">
        <v>9</v>
      </c>
      <c r="J2737" t="s">
        <v>9</v>
      </c>
      <c r="K2737" s="17">
        <v>0</v>
      </c>
      <c r="L2737" s="28"/>
      <c r="N2737" s="21"/>
      <c r="O2737" s="2"/>
      <c r="P2737" s="2"/>
      <c r="Q2737" s="4"/>
      <c r="R2737" s="4"/>
      <c r="S2737" s="4"/>
      <c r="T2737" s="4"/>
      <c r="U2737" s="4"/>
      <c r="V2737" s="4"/>
    </row>
    <row r="2738" spans="1:22" ht="14.5" customHeight="1" x14ac:dyDescent="0.2">
      <c r="A2738">
        <v>2018</v>
      </c>
      <c r="B2738" t="s">
        <v>172</v>
      </c>
      <c r="C2738" t="s">
        <v>424</v>
      </c>
      <c r="D2738" s="65">
        <v>140</v>
      </c>
      <c r="E2738" s="33"/>
      <c r="G2738" t="s">
        <v>150</v>
      </c>
      <c r="H2738" t="s">
        <v>226</v>
      </c>
      <c r="I2738" t="s">
        <v>67</v>
      </c>
      <c r="J2738" t="s">
        <v>183</v>
      </c>
      <c r="K2738" s="17">
        <v>1</v>
      </c>
      <c r="L2738" s="28"/>
      <c r="N2738" s="21"/>
      <c r="O2738" s="2"/>
      <c r="P2738" s="2"/>
      <c r="Q2738" s="4"/>
      <c r="R2738" s="4"/>
      <c r="S2738" s="4"/>
      <c r="T2738" s="4"/>
      <c r="U2738" s="4"/>
      <c r="V2738" s="4"/>
    </row>
    <row r="2739" spans="1:22" ht="14.5" customHeight="1" x14ac:dyDescent="0.2">
      <c r="A2739">
        <v>2018</v>
      </c>
      <c r="B2739" t="s">
        <v>172</v>
      </c>
      <c r="C2739" t="s">
        <v>438</v>
      </c>
      <c r="D2739" s="65">
        <v>3270</v>
      </c>
      <c r="E2739" s="33">
        <v>0.08</v>
      </c>
      <c r="F2739" t="s">
        <v>1626</v>
      </c>
      <c r="G2739" t="s">
        <v>154</v>
      </c>
      <c r="H2739" t="s">
        <v>194</v>
      </c>
      <c r="I2739" t="s">
        <v>118</v>
      </c>
      <c r="J2739" t="s">
        <v>195</v>
      </c>
      <c r="K2739" s="17">
        <v>0</v>
      </c>
      <c r="L2739" s="28"/>
      <c r="N2739" s="21"/>
      <c r="O2739" s="2"/>
      <c r="P2739" s="2"/>
      <c r="Q2739" s="4"/>
      <c r="R2739" s="4"/>
      <c r="S2739" s="4"/>
      <c r="T2739" s="4"/>
      <c r="U2739" s="4"/>
      <c r="V2739" s="4"/>
    </row>
    <row r="2740" spans="1:22" ht="14.5" customHeight="1" x14ac:dyDescent="0.2">
      <c r="A2740">
        <v>2018</v>
      </c>
      <c r="B2740" t="s">
        <v>172</v>
      </c>
      <c r="C2740" t="s">
        <v>1607</v>
      </c>
      <c r="D2740" s="65">
        <v>490</v>
      </c>
      <c r="E2740" s="33"/>
      <c r="F2740" t="s">
        <v>1627</v>
      </c>
      <c r="G2740" t="s">
        <v>150</v>
      </c>
      <c r="H2740" t="s">
        <v>744</v>
      </c>
      <c r="I2740" t="s">
        <v>131</v>
      </c>
      <c r="J2740" t="s">
        <v>131</v>
      </c>
      <c r="K2740" s="17">
        <v>0</v>
      </c>
      <c r="L2740" s="28"/>
      <c r="N2740" s="21"/>
      <c r="O2740" s="2"/>
      <c r="P2740" s="2"/>
      <c r="Q2740" s="4"/>
      <c r="R2740" s="4"/>
      <c r="S2740" s="4"/>
      <c r="T2740" s="4"/>
      <c r="U2740" s="4"/>
      <c r="V2740" s="4"/>
    </row>
    <row r="2741" spans="1:22" ht="14.5" customHeight="1" x14ac:dyDescent="0.2">
      <c r="A2741">
        <v>2018</v>
      </c>
      <c r="B2741" t="s">
        <v>172</v>
      </c>
      <c r="C2741" t="s">
        <v>596</v>
      </c>
      <c r="D2741" s="65">
        <v>290</v>
      </c>
      <c r="E2741" s="33">
        <v>1</v>
      </c>
      <c r="F2741" t="s">
        <v>1502</v>
      </c>
      <c r="G2741" t="s">
        <v>144</v>
      </c>
      <c r="H2741" t="s">
        <v>232</v>
      </c>
      <c r="I2741" t="s">
        <v>9</v>
      </c>
      <c r="J2741" t="s">
        <v>9</v>
      </c>
      <c r="K2741" s="17">
        <v>0</v>
      </c>
      <c r="L2741" s="28"/>
      <c r="N2741" s="21"/>
      <c r="O2741" s="2"/>
      <c r="P2741" s="2"/>
      <c r="Q2741" s="4"/>
      <c r="R2741" s="4"/>
      <c r="S2741" s="4"/>
      <c r="T2741" s="4"/>
      <c r="U2741" s="4"/>
      <c r="V2741" s="4"/>
    </row>
    <row r="2742" spans="1:22" ht="14.5" customHeight="1" x14ac:dyDescent="0.2">
      <c r="A2742">
        <v>2018</v>
      </c>
      <c r="B2742" t="s">
        <v>172</v>
      </c>
      <c r="C2742" t="s">
        <v>373</v>
      </c>
      <c r="D2742" s="65">
        <v>240</v>
      </c>
      <c r="E2742" s="33">
        <v>7.0000000000000007E-2</v>
      </c>
      <c r="F2742" t="s">
        <v>1281</v>
      </c>
      <c r="G2742" t="s">
        <v>154</v>
      </c>
      <c r="H2742" t="s">
        <v>250</v>
      </c>
      <c r="I2742" t="s">
        <v>9</v>
      </c>
      <c r="J2742" t="s">
        <v>9</v>
      </c>
      <c r="K2742" s="17">
        <v>0</v>
      </c>
      <c r="L2742" s="28"/>
      <c r="N2742" s="21"/>
      <c r="O2742" s="2"/>
      <c r="P2742" s="2"/>
      <c r="Q2742" s="4"/>
      <c r="R2742" s="4"/>
      <c r="S2742" s="4"/>
      <c r="T2742" s="4"/>
      <c r="U2742" s="4"/>
      <c r="V2742" s="4"/>
    </row>
    <row r="2743" spans="1:22" ht="14.5" customHeight="1" x14ac:dyDescent="0.2">
      <c r="A2743">
        <v>2018</v>
      </c>
      <c r="B2743" t="s">
        <v>172</v>
      </c>
      <c r="C2743" t="s">
        <v>341</v>
      </c>
      <c r="D2743" s="65">
        <v>2940</v>
      </c>
      <c r="E2743" s="33">
        <v>0.4</v>
      </c>
      <c r="G2743" t="s">
        <v>154</v>
      </c>
      <c r="H2743" t="s">
        <v>529</v>
      </c>
      <c r="I2743" t="s">
        <v>53</v>
      </c>
      <c r="J2743" t="s">
        <v>183</v>
      </c>
      <c r="K2743" s="17">
        <v>1</v>
      </c>
      <c r="L2743" s="28" t="s">
        <v>178</v>
      </c>
      <c r="N2743" s="21"/>
      <c r="O2743" s="2"/>
      <c r="P2743" s="2"/>
      <c r="Q2743" s="4"/>
      <c r="R2743" s="4"/>
      <c r="S2743" s="4"/>
      <c r="T2743" s="4"/>
      <c r="U2743" s="4"/>
      <c r="V2743" s="4"/>
    </row>
    <row r="2744" spans="1:22" ht="14.5" customHeight="1" x14ac:dyDescent="0.2">
      <c r="A2744">
        <v>2018</v>
      </c>
      <c r="B2744" t="s">
        <v>172</v>
      </c>
      <c r="C2744" t="s">
        <v>798</v>
      </c>
      <c r="D2744" s="65">
        <v>400</v>
      </c>
      <c r="E2744" s="33">
        <v>0.56999999999999995</v>
      </c>
      <c r="F2744" t="s">
        <v>1628</v>
      </c>
      <c r="G2744" t="s">
        <v>149</v>
      </c>
      <c r="H2744" t="s">
        <v>182</v>
      </c>
      <c r="I2744" t="s">
        <v>53</v>
      </c>
      <c r="J2744" t="s">
        <v>183</v>
      </c>
      <c r="K2744" s="17">
        <v>1</v>
      </c>
      <c r="L2744" s="28"/>
      <c r="N2744" s="21"/>
      <c r="O2744" s="2"/>
      <c r="P2744" s="2"/>
      <c r="Q2744" s="4"/>
      <c r="R2744" s="4"/>
      <c r="S2744" s="4"/>
      <c r="T2744" s="4"/>
      <c r="U2744" s="4"/>
      <c r="V2744" s="4"/>
    </row>
    <row r="2745" spans="1:22" ht="14.5" customHeight="1" x14ac:dyDescent="0.2">
      <c r="A2745">
        <v>2018</v>
      </c>
      <c r="B2745" t="s">
        <v>172</v>
      </c>
      <c r="C2745" t="s">
        <v>1395</v>
      </c>
      <c r="D2745" s="65">
        <v>240</v>
      </c>
      <c r="E2745" s="33"/>
      <c r="F2745" t="s">
        <v>1629</v>
      </c>
      <c r="G2745" t="s">
        <v>151</v>
      </c>
      <c r="H2745" t="s">
        <v>224</v>
      </c>
      <c r="I2745" t="s">
        <v>9</v>
      </c>
      <c r="J2745" t="s">
        <v>9</v>
      </c>
      <c r="K2745" s="17">
        <v>0</v>
      </c>
      <c r="L2745" s="28"/>
      <c r="N2745" s="21"/>
      <c r="O2745" s="2"/>
      <c r="P2745" s="2"/>
      <c r="Q2745" s="4"/>
      <c r="R2745" s="4"/>
      <c r="S2745" s="4"/>
      <c r="T2745" s="4"/>
      <c r="U2745" s="4"/>
      <c r="V2745" s="4"/>
    </row>
    <row r="2746" spans="1:22" ht="14.5" customHeight="1" x14ac:dyDescent="0.2">
      <c r="A2746">
        <v>2018</v>
      </c>
      <c r="B2746" t="s">
        <v>258</v>
      </c>
      <c r="C2746" t="s">
        <v>1446</v>
      </c>
      <c r="D2746" s="65">
        <v>1260</v>
      </c>
      <c r="E2746" s="33">
        <v>0.54</v>
      </c>
      <c r="F2746" t="s">
        <v>1630</v>
      </c>
      <c r="G2746" t="s">
        <v>145</v>
      </c>
      <c r="I2746" t="s">
        <v>114</v>
      </c>
      <c r="J2746" t="s">
        <v>195</v>
      </c>
      <c r="K2746" s="17">
        <v>0</v>
      </c>
      <c r="L2746" s="28"/>
      <c r="N2746" s="21"/>
      <c r="O2746" s="2"/>
      <c r="P2746" s="2"/>
      <c r="Q2746" s="4"/>
      <c r="R2746" s="4"/>
      <c r="S2746" s="4"/>
      <c r="T2746" s="4"/>
      <c r="U2746" s="4"/>
      <c r="V2746" s="4"/>
    </row>
    <row r="2747" spans="1:22" ht="14.5" customHeight="1" x14ac:dyDescent="0.2">
      <c r="A2747">
        <v>2018</v>
      </c>
      <c r="B2747" t="s">
        <v>258</v>
      </c>
      <c r="C2747" t="s">
        <v>822</v>
      </c>
      <c r="D2747" s="65">
        <v>150</v>
      </c>
      <c r="E2747" s="33"/>
      <c r="F2747" t="s">
        <v>1631</v>
      </c>
      <c r="G2747" t="s">
        <v>142</v>
      </c>
      <c r="I2747" t="s">
        <v>52</v>
      </c>
      <c r="J2747" t="s">
        <v>201</v>
      </c>
      <c r="K2747" s="17">
        <v>0</v>
      </c>
      <c r="L2747" s="28"/>
      <c r="N2747" s="21"/>
      <c r="O2747" s="2"/>
      <c r="P2747" s="2"/>
      <c r="Q2747" s="4"/>
      <c r="R2747" s="4"/>
      <c r="S2747" s="4"/>
      <c r="T2747" s="4"/>
      <c r="U2747" s="4"/>
      <c r="V2747" s="4"/>
    </row>
    <row r="2748" spans="1:22" ht="14.5" customHeight="1" x14ac:dyDescent="0.2">
      <c r="A2748">
        <v>2018</v>
      </c>
      <c r="B2748" t="s">
        <v>258</v>
      </c>
      <c r="C2748" t="s">
        <v>822</v>
      </c>
      <c r="D2748" s="65">
        <v>150</v>
      </c>
      <c r="E2748" s="33"/>
      <c r="F2748" t="s">
        <v>1632</v>
      </c>
      <c r="G2748" t="s">
        <v>142</v>
      </c>
      <c r="I2748" t="s">
        <v>52</v>
      </c>
      <c r="J2748" t="s">
        <v>201</v>
      </c>
      <c r="K2748" s="17">
        <v>0</v>
      </c>
      <c r="L2748" s="28"/>
      <c r="N2748" s="21"/>
      <c r="O2748" s="2"/>
      <c r="P2748" s="2"/>
      <c r="Q2748" s="4"/>
      <c r="R2748" s="4"/>
      <c r="S2748" s="4"/>
      <c r="T2748" s="4"/>
      <c r="U2748" s="4"/>
      <c r="V2748" s="4"/>
    </row>
    <row r="2749" spans="1:22" ht="14.5" customHeight="1" x14ac:dyDescent="0.2">
      <c r="A2749">
        <v>2018</v>
      </c>
      <c r="B2749" t="s">
        <v>258</v>
      </c>
      <c r="C2749" t="s">
        <v>1633</v>
      </c>
      <c r="D2749" s="65">
        <v>550</v>
      </c>
      <c r="E2749" s="33">
        <v>1</v>
      </c>
      <c r="F2749" t="s">
        <v>1634</v>
      </c>
      <c r="G2749" t="s">
        <v>147</v>
      </c>
      <c r="I2749" t="s">
        <v>9</v>
      </c>
      <c r="J2749" t="s">
        <v>9</v>
      </c>
      <c r="K2749" s="17">
        <v>0</v>
      </c>
      <c r="L2749" s="28"/>
      <c r="N2749" s="21"/>
      <c r="O2749" s="2"/>
      <c r="P2749" s="2"/>
      <c r="Q2749" s="4"/>
      <c r="R2749" s="4"/>
      <c r="S2749" s="4"/>
      <c r="T2749" s="4"/>
      <c r="U2749" s="4"/>
      <c r="V2749" s="4"/>
    </row>
    <row r="2750" spans="1:22" ht="14.5" customHeight="1" x14ac:dyDescent="0.2">
      <c r="A2750">
        <v>2018</v>
      </c>
      <c r="B2750" t="s">
        <v>258</v>
      </c>
      <c r="C2750" t="s">
        <v>1635</v>
      </c>
      <c r="D2750" s="65">
        <v>180</v>
      </c>
      <c r="E2750" s="33"/>
      <c r="F2750" t="s">
        <v>1636</v>
      </c>
      <c r="G2750" t="s">
        <v>146</v>
      </c>
      <c r="I2750" t="s">
        <v>20</v>
      </c>
      <c r="J2750" t="s">
        <v>195</v>
      </c>
      <c r="K2750" s="17">
        <v>0</v>
      </c>
      <c r="L2750" s="28"/>
      <c r="N2750" s="21"/>
      <c r="O2750" s="2"/>
      <c r="P2750" s="2"/>
      <c r="Q2750" s="4"/>
      <c r="R2750" s="4"/>
      <c r="S2750" s="4"/>
      <c r="T2750" s="4"/>
      <c r="U2750" s="4"/>
      <c r="V2750" s="4"/>
    </row>
    <row r="2751" spans="1:22" ht="14.5" customHeight="1" x14ac:dyDescent="0.2">
      <c r="A2751">
        <v>2018</v>
      </c>
      <c r="B2751" t="s">
        <v>258</v>
      </c>
      <c r="C2751" t="s">
        <v>1129</v>
      </c>
      <c r="D2751" s="65">
        <v>310</v>
      </c>
      <c r="E2751" s="33"/>
      <c r="G2751" t="s">
        <v>144</v>
      </c>
      <c r="H2751" t="s">
        <v>232</v>
      </c>
      <c r="I2751" t="s">
        <v>52</v>
      </c>
      <c r="J2751" t="s">
        <v>201</v>
      </c>
      <c r="K2751" s="17">
        <v>0</v>
      </c>
      <c r="L2751" s="28"/>
      <c r="N2751" s="21"/>
      <c r="O2751" s="2"/>
      <c r="P2751" s="2"/>
      <c r="Q2751" s="4"/>
      <c r="R2751" s="4"/>
      <c r="S2751" s="4"/>
      <c r="T2751" s="4"/>
      <c r="U2751" s="4"/>
      <c r="V2751" s="4"/>
    </row>
    <row r="2752" spans="1:22" ht="14.5" customHeight="1" x14ac:dyDescent="0.2">
      <c r="A2752">
        <v>2018</v>
      </c>
      <c r="B2752" t="s">
        <v>258</v>
      </c>
      <c r="C2752" t="s">
        <v>554</v>
      </c>
      <c r="D2752" s="65">
        <v>150</v>
      </c>
      <c r="E2752" s="33"/>
      <c r="F2752" t="s">
        <v>1637</v>
      </c>
      <c r="G2752" t="s">
        <v>150</v>
      </c>
      <c r="H2752" t="s">
        <v>292</v>
      </c>
      <c r="I2752" t="s">
        <v>42</v>
      </c>
      <c r="J2752" t="s">
        <v>195</v>
      </c>
      <c r="K2752" s="17">
        <v>0</v>
      </c>
      <c r="L2752" s="28"/>
      <c r="N2752" s="21"/>
      <c r="O2752" s="2"/>
      <c r="P2752" s="2"/>
      <c r="Q2752" s="4"/>
      <c r="R2752" s="4"/>
      <c r="S2752" s="4"/>
      <c r="T2752" s="4"/>
      <c r="U2752" s="4"/>
      <c r="V2752" s="4"/>
    </row>
    <row r="2753" spans="1:22" ht="14.5" customHeight="1" x14ac:dyDescent="0.2">
      <c r="A2753">
        <v>2018</v>
      </c>
      <c r="B2753" t="s">
        <v>258</v>
      </c>
      <c r="C2753" t="s">
        <v>221</v>
      </c>
      <c r="D2753" s="65">
        <v>300</v>
      </c>
      <c r="E2753" s="33">
        <v>0.4</v>
      </c>
      <c r="F2753" t="s">
        <v>1638</v>
      </c>
      <c r="G2753" t="s">
        <v>150</v>
      </c>
      <c r="H2753" t="s">
        <v>556</v>
      </c>
      <c r="I2753" t="s">
        <v>131</v>
      </c>
      <c r="J2753" t="s">
        <v>131</v>
      </c>
      <c r="K2753" s="17">
        <v>0</v>
      </c>
      <c r="L2753" s="28"/>
      <c r="N2753" s="21"/>
      <c r="O2753" s="2"/>
      <c r="P2753" s="2"/>
      <c r="Q2753" s="4"/>
      <c r="R2753" s="4"/>
      <c r="S2753" s="4"/>
      <c r="T2753" s="4"/>
      <c r="U2753" s="4"/>
      <c r="V2753" s="4"/>
    </row>
    <row r="2754" spans="1:22" ht="14.5" customHeight="1" x14ac:dyDescent="0.2">
      <c r="A2754">
        <v>2018</v>
      </c>
      <c r="B2754" t="s">
        <v>258</v>
      </c>
      <c r="C2754" t="s">
        <v>1149</v>
      </c>
      <c r="D2754" s="65">
        <v>100</v>
      </c>
      <c r="E2754" s="33"/>
      <c r="G2754" t="s">
        <v>151</v>
      </c>
      <c r="H2754" t="s">
        <v>224</v>
      </c>
      <c r="I2754" t="s">
        <v>20</v>
      </c>
      <c r="J2754" t="s">
        <v>195</v>
      </c>
      <c r="K2754" s="17">
        <v>0</v>
      </c>
      <c r="L2754" s="28" t="s">
        <v>178</v>
      </c>
      <c r="N2754" s="21"/>
      <c r="O2754" s="2"/>
      <c r="P2754" s="2"/>
      <c r="Q2754" s="4"/>
      <c r="R2754" s="4"/>
      <c r="S2754" s="4"/>
      <c r="T2754" s="4"/>
      <c r="U2754" s="4"/>
      <c r="V2754" s="4"/>
    </row>
    <row r="2755" spans="1:22" ht="14.5" customHeight="1" x14ac:dyDescent="0.2">
      <c r="A2755">
        <v>2018</v>
      </c>
      <c r="B2755" t="s">
        <v>258</v>
      </c>
      <c r="C2755" t="s">
        <v>1639</v>
      </c>
      <c r="D2755" s="65">
        <v>160</v>
      </c>
      <c r="E2755" s="33">
        <v>0.25</v>
      </c>
      <c r="G2755" t="s">
        <v>146</v>
      </c>
      <c r="H2755" t="s">
        <v>253</v>
      </c>
      <c r="I2755" t="s">
        <v>13</v>
      </c>
      <c r="J2755" t="s">
        <v>201</v>
      </c>
      <c r="K2755" s="17">
        <v>1</v>
      </c>
      <c r="L2755" s="28"/>
      <c r="N2755" s="21"/>
      <c r="O2755" s="2"/>
      <c r="P2755" s="2"/>
      <c r="Q2755" s="4"/>
      <c r="R2755" s="4"/>
      <c r="S2755" s="4"/>
      <c r="T2755" s="4"/>
      <c r="U2755" s="4"/>
      <c r="V2755" s="4"/>
    </row>
    <row r="2756" spans="1:22" ht="14.5" customHeight="1" x14ac:dyDescent="0.2">
      <c r="A2756">
        <v>2018</v>
      </c>
      <c r="B2756" t="s">
        <v>258</v>
      </c>
      <c r="C2756" t="s">
        <v>438</v>
      </c>
      <c r="D2756" s="65">
        <v>9030</v>
      </c>
      <c r="E2756" s="33">
        <v>0.1</v>
      </c>
      <c r="F2756" t="s">
        <v>1640</v>
      </c>
      <c r="G2756" t="s">
        <v>154</v>
      </c>
      <c r="H2756" t="s">
        <v>194</v>
      </c>
      <c r="I2756" t="s">
        <v>45</v>
      </c>
      <c r="J2756" t="s">
        <v>195</v>
      </c>
      <c r="K2756" s="17">
        <v>0</v>
      </c>
      <c r="L2756" s="28"/>
      <c r="N2756" s="21"/>
      <c r="O2756" s="2"/>
      <c r="P2756" s="2"/>
      <c r="Q2756" s="4"/>
      <c r="R2756" s="4"/>
      <c r="S2756" s="4"/>
      <c r="T2756" s="4"/>
      <c r="U2756" s="4"/>
      <c r="V2756" s="4"/>
    </row>
    <row r="2757" spans="1:22" ht="14.5" customHeight="1" x14ac:dyDescent="0.2">
      <c r="A2757">
        <v>2018</v>
      </c>
      <c r="B2757" t="s">
        <v>258</v>
      </c>
      <c r="C2757" t="s">
        <v>1641</v>
      </c>
      <c r="D2757" s="65">
        <v>220</v>
      </c>
      <c r="E2757" s="33">
        <v>1</v>
      </c>
      <c r="G2757" t="s">
        <v>149</v>
      </c>
      <c r="I2757" t="s">
        <v>29</v>
      </c>
      <c r="J2757" t="s">
        <v>219</v>
      </c>
      <c r="K2757" s="17">
        <v>1</v>
      </c>
      <c r="L2757" s="28" t="s">
        <v>178</v>
      </c>
      <c r="N2757" s="21"/>
      <c r="O2757" s="2"/>
      <c r="P2757" s="2"/>
      <c r="Q2757" s="4"/>
      <c r="R2757" s="4"/>
      <c r="S2757" s="4"/>
      <c r="T2757" s="4"/>
      <c r="U2757" s="4"/>
      <c r="V2757" s="4"/>
    </row>
    <row r="2758" spans="1:22" ht="14.5" customHeight="1" x14ac:dyDescent="0.2">
      <c r="A2758">
        <v>2018</v>
      </c>
      <c r="B2758" t="s">
        <v>258</v>
      </c>
      <c r="C2758" t="s">
        <v>798</v>
      </c>
      <c r="D2758" s="65">
        <v>1160</v>
      </c>
      <c r="E2758" s="33">
        <v>1</v>
      </c>
      <c r="G2758" t="s">
        <v>149</v>
      </c>
      <c r="H2758" t="s">
        <v>182</v>
      </c>
      <c r="I2758" t="s">
        <v>52</v>
      </c>
      <c r="J2758" t="s">
        <v>201</v>
      </c>
      <c r="K2758" s="17">
        <v>0</v>
      </c>
      <c r="L2758" s="28" t="s">
        <v>178</v>
      </c>
      <c r="N2758" s="21"/>
      <c r="O2758" s="2"/>
      <c r="P2758" s="2"/>
      <c r="Q2758" s="4"/>
      <c r="R2758" s="4"/>
      <c r="S2758" s="4"/>
      <c r="T2758" s="4"/>
      <c r="U2758" s="4"/>
      <c r="V2758" s="4"/>
    </row>
    <row r="2759" spans="1:22" ht="14.5" customHeight="1" x14ac:dyDescent="0.2">
      <c r="A2759">
        <v>2018</v>
      </c>
      <c r="B2759" t="s">
        <v>258</v>
      </c>
      <c r="C2759" t="s">
        <v>1149</v>
      </c>
      <c r="D2759" s="65">
        <v>360</v>
      </c>
      <c r="E2759" s="33"/>
      <c r="G2759" t="s">
        <v>144</v>
      </c>
      <c r="H2759" t="s">
        <v>299</v>
      </c>
      <c r="I2759" t="s">
        <v>40</v>
      </c>
      <c r="J2759" t="s">
        <v>219</v>
      </c>
      <c r="K2759" s="17">
        <v>1</v>
      </c>
      <c r="L2759" s="28" t="s">
        <v>178</v>
      </c>
      <c r="N2759" s="21"/>
      <c r="O2759" s="2"/>
      <c r="P2759" s="2"/>
      <c r="Q2759" s="4"/>
      <c r="R2759" s="4"/>
      <c r="S2759" s="4"/>
      <c r="T2759" s="4"/>
      <c r="U2759" s="4"/>
      <c r="V2759" s="4"/>
    </row>
    <row r="2760" spans="1:22" ht="14.5" customHeight="1" x14ac:dyDescent="0.2">
      <c r="A2760">
        <v>2018</v>
      </c>
      <c r="B2760" t="s">
        <v>258</v>
      </c>
      <c r="C2760" t="s">
        <v>1642</v>
      </c>
      <c r="D2760" s="65">
        <v>160</v>
      </c>
      <c r="E2760" s="33"/>
      <c r="F2760" t="s">
        <v>1643</v>
      </c>
      <c r="G2760" t="s">
        <v>147</v>
      </c>
      <c r="I2760" t="s">
        <v>131</v>
      </c>
      <c r="J2760" t="s">
        <v>131</v>
      </c>
      <c r="K2760" s="17">
        <v>0</v>
      </c>
      <c r="L2760" s="28"/>
      <c r="N2760" s="21"/>
      <c r="O2760" s="2"/>
      <c r="P2760" s="2"/>
      <c r="Q2760" s="4"/>
      <c r="R2760" s="4"/>
      <c r="S2760" s="4"/>
      <c r="T2760" s="4"/>
      <c r="U2760" s="4"/>
      <c r="V2760" s="4"/>
    </row>
    <row r="2761" spans="1:22" ht="14.5" customHeight="1" x14ac:dyDescent="0.2">
      <c r="A2761">
        <v>2018</v>
      </c>
      <c r="B2761" t="s">
        <v>258</v>
      </c>
      <c r="C2761" t="s">
        <v>1644</v>
      </c>
      <c r="D2761" s="65">
        <v>850</v>
      </c>
      <c r="E2761" s="33"/>
      <c r="G2761" t="s">
        <v>143</v>
      </c>
      <c r="I2761" t="s">
        <v>131</v>
      </c>
      <c r="J2761" t="s">
        <v>131</v>
      </c>
      <c r="K2761" s="17">
        <v>0</v>
      </c>
      <c r="L2761" s="28" t="s">
        <v>178</v>
      </c>
      <c r="N2761" s="21"/>
      <c r="O2761" s="2"/>
      <c r="P2761" s="2"/>
      <c r="Q2761" s="4"/>
      <c r="R2761" s="4"/>
      <c r="S2761" s="4"/>
      <c r="T2761" s="4"/>
      <c r="U2761" s="4"/>
      <c r="V2761" s="4"/>
    </row>
    <row r="2762" spans="1:22" ht="14.5" customHeight="1" x14ac:dyDescent="0.2">
      <c r="A2762">
        <v>2018</v>
      </c>
      <c r="B2762" t="s">
        <v>258</v>
      </c>
      <c r="C2762" t="s">
        <v>1645</v>
      </c>
      <c r="D2762" s="65">
        <v>140</v>
      </c>
      <c r="E2762" s="33"/>
      <c r="G2762" t="s">
        <v>144</v>
      </c>
      <c r="H2762" t="s">
        <v>197</v>
      </c>
      <c r="I2762" t="s">
        <v>67</v>
      </c>
      <c r="J2762" t="s">
        <v>183</v>
      </c>
      <c r="K2762" s="17">
        <v>1</v>
      </c>
      <c r="L2762" s="28" t="s">
        <v>178</v>
      </c>
      <c r="N2762" s="21"/>
      <c r="O2762" s="2"/>
      <c r="P2762" s="2"/>
      <c r="Q2762" s="4"/>
      <c r="R2762" s="4"/>
      <c r="S2762" s="4"/>
      <c r="T2762" s="4"/>
      <c r="U2762" s="4"/>
      <c r="V2762" s="4"/>
    </row>
    <row r="2763" spans="1:22" ht="14.5" customHeight="1" x14ac:dyDescent="0.2">
      <c r="A2763">
        <v>2018</v>
      </c>
      <c r="B2763" t="s">
        <v>258</v>
      </c>
      <c r="C2763" t="s">
        <v>267</v>
      </c>
      <c r="D2763" s="65">
        <v>430</v>
      </c>
      <c r="E2763" s="33"/>
      <c r="G2763" t="s">
        <v>149</v>
      </c>
      <c r="H2763" t="s">
        <v>238</v>
      </c>
      <c r="I2763" t="s">
        <v>48</v>
      </c>
      <c r="J2763" t="s">
        <v>219</v>
      </c>
      <c r="K2763" s="17">
        <v>1</v>
      </c>
      <c r="L2763" s="28" t="s">
        <v>178</v>
      </c>
      <c r="N2763" s="21"/>
      <c r="O2763" s="2"/>
      <c r="P2763" s="2"/>
      <c r="Q2763" s="4"/>
      <c r="R2763" s="4"/>
      <c r="S2763" s="4"/>
      <c r="T2763" s="4"/>
      <c r="U2763" s="4"/>
      <c r="V2763" s="4"/>
    </row>
    <row r="2764" spans="1:22" ht="14.5" customHeight="1" x14ac:dyDescent="0.2">
      <c r="A2764">
        <v>2018</v>
      </c>
      <c r="B2764" t="s">
        <v>258</v>
      </c>
      <c r="C2764" t="s">
        <v>479</v>
      </c>
      <c r="D2764" s="65">
        <v>170</v>
      </c>
      <c r="E2764" s="33"/>
      <c r="G2764" t="s">
        <v>151</v>
      </c>
      <c r="H2764" t="s">
        <v>224</v>
      </c>
      <c r="I2764" t="s">
        <v>9</v>
      </c>
      <c r="J2764" t="s">
        <v>9</v>
      </c>
      <c r="K2764" s="17">
        <v>0</v>
      </c>
      <c r="L2764" s="28" t="s">
        <v>178</v>
      </c>
      <c r="N2764" s="21"/>
      <c r="O2764" s="2"/>
      <c r="P2764" s="2"/>
      <c r="Q2764" s="4"/>
      <c r="R2764" s="4"/>
      <c r="S2764" s="4"/>
      <c r="T2764" s="4"/>
      <c r="U2764" s="4"/>
      <c r="V2764" s="4"/>
    </row>
    <row r="2765" spans="1:22" ht="14.5" customHeight="1" x14ac:dyDescent="0.2">
      <c r="A2765">
        <v>2018</v>
      </c>
      <c r="B2765" t="s">
        <v>258</v>
      </c>
      <c r="C2765" t="s">
        <v>1646</v>
      </c>
      <c r="D2765" s="65">
        <v>190</v>
      </c>
      <c r="E2765" s="33"/>
      <c r="F2765" t="s">
        <v>1647</v>
      </c>
      <c r="G2765" t="s">
        <v>152</v>
      </c>
      <c r="I2765" t="s">
        <v>108</v>
      </c>
      <c r="J2765" t="s">
        <v>195</v>
      </c>
      <c r="K2765" s="17">
        <v>1</v>
      </c>
      <c r="L2765" s="28"/>
      <c r="N2765" s="21"/>
      <c r="O2765" s="2"/>
      <c r="P2765" s="2"/>
      <c r="Q2765" s="4"/>
      <c r="R2765" s="4"/>
      <c r="S2765" s="4"/>
      <c r="T2765" s="4"/>
      <c r="U2765" s="4"/>
      <c r="V2765" s="4"/>
    </row>
    <row r="2766" spans="1:22" ht="14.5" customHeight="1" x14ac:dyDescent="0.2">
      <c r="A2766">
        <v>2018</v>
      </c>
      <c r="B2766" t="s">
        <v>258</v>
      </c>
      <c r="C2766" t="s">
        <v>185</v>
      </c>
      <c r="D2766" s="65">
        <v>1820</v>
      </c>
      <c r="E2766" s="33">
        <v>0.28000000000000003</v>
      </c>
      <c r="G2766" t="s">
        <v>144</v>
      </c>
      <c r="H2766" t="s">
        <v>187</v>
      </c>
      <c r="I2766" t="s">
        <v>132</v>
      </c>
      <c r="J2766" t="s">
        <v>219</v>
      </c>
      <c r="K2766" s="17">
        <v>1</v>
      </c>
      <c r="L2766" s="28" t="s">
        <v>178</v>
      </c>
      <c r="N2766" s="21"/>
      <c r="O2766" s="2"/>
      <c r="P2766" s="2"/>
      <c r="Q2766" s="4"/>
      <c r="R2766" s="4"/>
      <c r="S2766" s="4"/>
      <c r="T2766" s="4"/>
      <c r="U2766" s="4"/>
      <c r="V2766" s="4"/>
    </row>
    <row r="2767" spans="1:22" ht="14.5" customHeight="1" x14ac:dyDescent="0.2">
      <c r="A2767">
        <v>2018</v>
      </c>
      <c r="B2767" t="s">
        <v>179</v>
      </c>
      <c r="C2767" t="s">
        <v>199</v>
      </c>
      <c r="D2767" s="65">
        <v>1180</v>
      </c>
      <c r="E2767" s="33">
        <v>0.1</v>
      </c>
      <c r="G2767" t="s">
        <v>144</v>
      </c>
      <c r="H2767" t="s">
        <v>187</v>
      </c>
      <c r="I2767" t="s">
        <v>130</v>
      </c>
      <c r="J2767" t="s">
        <v>214</v>
      </c>
      <c r="K2767" s="17">
        <v>1</v>
      </c>
      <c r="L2767" s="28" t="s">
        <v>178</v>
      </c>
      <c r="N2767" s="21"/>
      <c r="O2767" s="2"/>
      <c r="P2767" s="2"/>
      <c r="Q2767" s="4"/>
      <c r="R2767" s="4"/>
      <c r="S2767" s="4"/>
      <c r="T2767" s="4"/>
      <c r="U2767" s="4"/>
      <c r="V2767" s="4"/>
    </row>
    <row r="2768" spans="1:22" ht="14.5" customHeight="1" x14ac:dyDescent="0.2">
      <c r="A2768">
        <v>2018</v>
      </c>
      <c r="B2768" t="s">
        <v>179</v>
      </c>
      <c r="C2768" t="s">
        <v>822</v>
      </c>
      <c r="D2768" s="65">
        <v>180</v>
      </c>
      <c r="E2768" s="33">
        <v>0.45</v>
      </c>
      <c r="F2768" t="s">
        <v>1648</v>
      </c>
      <c r="G2768" t="s">
        <v>146</v>
      </c>
      <c r="H2768" t="s">
        <v>275</v>
      </c>
      <c r="I2768" t="s">
        <v>93</v>
      </c>
      <c r="J2768" t="s">
        <v>201</v>
      </c>
      <c r="K2768" s="17">
        <v>1</v>
      </c>
      <c r="L2768" s="28"/>
      <c r="N2768" s="21"/>
      <c r="O2768" s="2"/>
      <c r="P2768" s="2"/>
      <c r="Q2768" s="4"/>
      <c r="R2768" s="4"/>
      <c r="S2768" s="4"/>
      <c r="T2768" s="4"/>
      <c r="U2768" s="4"/>
      <c r="V2768" s="4"/>
    </row>
    <row r="2769" spans="1:22" ht="14.5" customHeight="1" x14ac:dyDescent="0.2">
      <c r="A2769">
        <v>2018</v>
      </c>
      <c r="B2769" t="s">
        <v>179</v>
      </c>
      <c r="C2769" t="s">
        <v>1649</v>
      </c>
      <c r="D2769" s="65">
        <v>500</v>
      </c>
      <c r="E2769" s="33"/>
      <c r="F2769" t="s">
        <v>1650</v>
      </c>
      <c r="G2769" t="s">
        <v>154</v>
      </c>
      <c r="H2769" t="s">
        <v>194</v>
      </c>
      <c r="I2769" t="s">
        <v>118</v>
      </c>
      <c r="J2769" t="s">
        <v>195</v>
      </c>
      <c r="K2769" s="17">
        <v>0</v>
      </c>
      <c r="L2769" s="28"/>
      <c r="N2769" s="21"/>
      <c r="O2769" s="2"/>
      <c r="P2769" s="2"/>
      <c r="Q2769" s="4"/>
      <c r="R2769" s="4"/>
      <c r="S2769" s="4"/>
      <c r="T2769" s="4"/>
      <c r="U2769" s="4"/>
      <c r="V2769" s="4"/>
    </row>
    <row r="2770" spans="1:22" ht="14.5" customHeight="1" x14ac:dyDescent="0.2">
      <c r="A2770">
        <v>2018</v>
      </c>
      <c r="B2770" t="s">
        <v>179</v>
      </c>
      <c r="C2770" t="s">
        <v>454</v>
      </c>
      <c r="D2770" s="65">
        <v>460</v>
      </c>
      <c r="E2770" s="33">
        <v>0.05</v>
      </c>
      <c r="F2770" t="s">
        <v>1651</v>
      </c>
      <c r="G2770" t="s">
        <v>145</v>
      </c>
      <c r="I2770" t="s">
        <v>42</v>
      </c>
      <c r="J2770" t="s">
        <v>195</v>
      </c>
      <c r="K2770" s="17">
        <v>0</v>
      </c>
      <c r="L2770" s="28"/>
      <c r="N2770" s="21"/>
      <c r="O2770" s="2"/>
      <c r="P2770" s="2"/>
      <c r="Q2770" s="4"/>
      <c r="R2770" s="4"/>
      <c r="S2770" s="4"/>
      <c r="T2770" s="4"/>
      <c r="U2770" s="4"/>
      <c r="V2770" s="4"/>
    </row>
    <row r="2771" spans="1:22" ht="14.5" customHeight="1" x14ac:dyDescent="0.2">
      <c r="A2771">
        <v>2018</v>
      </c>
      <c r="B2771" t="s">
        <v>179</v>
      </c>
      <c r="C2771" t="s">
        <v>1652</v>
      </c>
      <c r="D2771" s="65">
        <v>600</v>
      </c>
      <c r="E2771" s="33">
        <v>0.45</v>
      </c>
      <c r="F2771" t="s">
        <v>1653</v>
      </c>
      <c r="G2771" t="s">
        <v>154</v>
      </c>
      <c r="H2771" t="s">
        <v>194</v>
      </c>
      <c r="I2771" t="s">
        <v>113</v>
      </c>
      <c r="J2771" t="s">
        <v>183</v>
      </c>
      <c r="K2771" s="17">
        <v>0</v>
      </c>
      <c r="L2771" s="28"/>
      <c r="N2771" s="21"/>
      <c r="O2771" s="2"/>
      <c r="P2771" s="2"/>
      <c r="Q2771" s="4"/>
      <c r="R2771" s="4"/>
      <c r="S2771" s="4"/>
      <c r="T2771" s="4"/>
      <c r="U2771" s="4"/>
      <c r="V2771" s="4"/>
    </row>
    <row r="2772" spans="1:22" ht="14.5" customHeight="1" x14ac:dyDescent="0.2">
      <c r="A2772">
        <v>2018</v>
      </c>
      <c r="B2772" t="s">
        <v>179</v>
      </c>
      <c r="C2772" t="s">
        <v>1654</v>
      </c>
      <c r="D2772" s="65">
        <v>610</v>
      </c>
      <c r="E2772" s="33"/>
      <c r="G2772" t="s">
        <v>150</v>
      </c>
      <c r="H2772" t="s">
        <v>226</v>
      </c>
      <c r="I2772" t="s">
        <v>41</v>
      </c>
      <c r="J2772" t="s">
        <v>195</v>
      </c>
      <c r="K2772" s="17">
        <v>0</v>
      </c>
      <c r="L2772" s="28" t="s">
        <v>178</v>
      </c>
      <c r="N2772" s="21"/>
      <c r="O2772" s="2"/>
      <c r="P2772" s="2"/>
      <c r="Q2772" s="4"/>
      <c r="R2772" s="4"/>
      <c r="S2772" s="4"/>
      <c r="T2772" s="4"/>
      <c r="U2772" s="4"/>
      <c r="V2772" s="4"/>
    </row>
    <row r="2773" spans="1:22" ht="14.5" customHeight="1" x14ac:dyDescent="0.2">
      <c r="A2773">
        <v>2018</v>
      </c>
      <c r="B2773" t="s">
        <v>179</v>
      </c>
      <c r="C2773" t="s">
        <v>822</v>
      </c>
      <c r="D2773" s="65">
        <v>2000</v>
      </c>
      <c r="E2773" s="33"/>
      <c r="G2773" t="s">
        <v>150</v>
      </c>
      <c r="H2773" t="s">
        <v>556</v>
      </c>
      <c r="I2773" t="s">
        <v>108</v>
      </c>
      <c r="J2773" t="s">
        <v>183</v>
      </c>
      <c r="K2773" s="17">
        <v>1</v>
      </c>
      <c r="L2773" s="28"/>
      <c r="N2773" s="21"/>
      <c r="O2773" s="2"/>
      <c r="P2773" s="2"/>
      <c r="Q2773" s="4"/>
      <c r="R2773" s="4"/>
      <c r="S2773" s="4"/>
      <c r="T2773" s="4"/>
      <c r="U2773" s="4"/>
      <c r="V2773" s="4"/>
    </row>
    <row r="2774" spans="1:22" ht="14.5" customHeight="1" x14ac:dyDescent="0.2">
      <c r="A2774">
        <v>2018</v>
      </c>
      <c r="B2774" t="s">
        <v>179</v>
      </c>
      <c r="C2774" t="s">
        <v>1655</v>
      </c>
      <c r="D2774" s="65">
        <v>500</v>
      </c>
      <c r="E2774" s="33">
        <v>1</v>
      </c>
      <c r="G2774" t="s">
        <v>154</v>
      </c>
      <c r="H2774" t="s">
        <v>250</v>
      </c>
      <c r="I2774" t="s">
        <v>23</v>
      </c>
      <c r="J2774" t="s">
        <v>183</v>
      </c>
      <c r="K2774" s="17">
        <v>1</v>
      </c>
      <c r="L2774" s="28" t="s">
        <v>178</v>
      </c>
      <c r="N2774" s="21"/>
      <c r="O2774" s="2"/>
      <c r="P2774" s="2"/>
      <c r="Q2774" s="4"/>
      <c r="R2774" s="4"/>
      <c r="S2774" s="4"/>
      <c r="T2774" s="4"/>
      <c r="U2774" s="4"/>
      <c r="V2774" s="4"/>
    </row>
    <row r="2775" spans="1:22" ht="14.5" customHeight="1" x14ac:dyDescent="0.2">
      <c r="A2775">
        <v>2018</v>
      </c>
      <c r="B2775" t="s">
        <v>179</v>
      </c>
      <c r="C2775" t="s">
        <v>1656</v>
      </c>
      <c r="D2775" s="65">
        <v>300</v>
      </c>
      <c r="E2775" s="33"/>
      <c r="G2775" t="s">
        <v>145</v>
      </c>
      <c r="I2775" t="s">
        <v>9</v>
      </c>
      <c r="J2775" t="s">
        <v>9</v>
      </c>
      <c r="K2775" s="17">
        <v>0</v>
      </c>
      <c r="L2775" s="28" t="s">
        <v>178</v>
      </c>
      <c r="N2775" s="21"/>
      <c r="O2775" s="2"/>
      <c r="P2775" s="2"/>
      <c r="Q2775" s="4"/>
      <c r="R2775" s="4"/>
      <c r="S2775" s="4"/>
      <c r="T2775" s="4"/>
      <c r="U2775" s="4"/>
      <c r="V2775" s="4"/>
    </row>
    <row r="2776" spans="1:22" ht="14.5" customHeight="1" x14ac:dyDescent="0.2">
      <c r="A2776">
        <v>2018</v>
      </c>
      <c r="B2776" t="s">
        <v>179</v>
      </c>
      <c r="C2776" t="s">
        <v>706</v>
      </c>
      <c r="D2776" s="65">
        <v>230</v>
      </c>
      <c r="E2776" s="33"/>
      <c r="G2776" t="s">
        <v>154</v>
      </c>
      <c r="H2776" t="s">
        <v>194</v>
      </c>
      <c r="I2776" t="s">
        <v>124</v>
      </c>
      <c r="J2776" t="s">
        <v>183</v>
      </c>
      <c r="K2776" s="17">
        <v>1</v>
      </c>
      <c r="L2776" s="28"/>
      <c r="N2776" s="21"/>
      <c r="O2776" s="2"/>
      <c r="P2776" s="2"/>
      <c r="Q2776" s="4"/>
      <c r="R2776" s="4"/>
      <c r="S2776" s="4"/>
      <c r="T2776" s="4"/>
      <c r="U2776" s="4"/>
      <c r="V2776" s="4"/>
    </row>
    <row r="2777" spans="1:22" ht="14.5" customHeight="1" x14ac:dyDescent="0.2">
      <c r="A2777">
        <v>2018</v>
      </c>
      <c r="B2777" t="s">
        <v>179</v>
      </c>
      <c r="C2777" t="s">
        <v>173</v>
      </c>
      <c r="D2777" s="65">
        <v>360</v>
      </c>
      <c r="E2777" s="33">
        <v>0.9</v>
      </c>
      <c r="F2777" t="s">
        <v>1657</v>
      </c>
      <c r="G2777" t="s">
        <v>147</v>
      </c>
      <c r="I2777" t="s">
        <v>58</v>
      </c>
      <c r="J2777" t="s">
        <v>195</v>
      </c>
      <c r="K2777" s="17">
        <v>0</v>
      </c>
      <c r="L2777" s="28"/>
      <c r="N2777" s="21"/>
      <c r="O2777" s="2"/>
      <c r="P2777" s="2"/>
      <c r="Q2777" s="4"/>
      <c r="R2777" s="4"/>
      <c r="S2777" s="4"/>
      <c r="T2777" s="4"/>
      <c r="U2777" s="4"/>
      <c r="V2777" s="4"/>
    </row>
    <row r="2778" spans="1:22" ht="14.5" customHeight="1" x14ac:dyDescent="0.2">
      <c r="A2778">
        <v>2018</v>
      </c>
      <c r="B2778" t="s">
        <v>179</v>
      </c>
      <c r="C2778" t="s">
        <v>1658</v>
      </c>
      <c r="D2778" s="65">
        <v>850</v>
      </c>
      <c r="E2778" s="33">
        <v>0.53</v>
      </c>
      <c r="G2778" t="s">
        <v>144</v>
      </c>
      <c r="H2778" t="s">
        <v>197</v>
      </c>
      <c r="I2778" t="s">
        <v>53</v>
      </c>
      <c r="J2778" t="s">
        <v>183</v>
      </c>
      <c r="K2778" s="17">
        <v>1</v>
      </c>
      <c r="L2778" s="28" t="s">
        <v>178</v>
      </c>
      <c r="N2778" s="21"/>
      <c r="O2778" s="2"/>
      <c r="P2778" s="2"/>
      <c r="Q2778" s="4"/>
      <c r="R2778" s="4"/>
      <c r="S2778" s="4"/>
      <c r="T2778" s="4"/>
      <c r="U2778" s="4"/>
      <c r="V2778" s="4"/>
    </row>
    <row r="2779" spans="1:22" ht="14.5" customHeight="1" x14ac:dyDescent="0.2">
      <c r="A2779">
        <v>2018</v>
      </c>
      <c r="B2779" t="s">
        <v>179</v>
      </c>
      <c r="C2779" t="s">
        <v>1071</v>
      </c>
      <c r="D2779" s="65">
        <v>300</v>
      </c>
      <c r="E2779" s="33">
        <v>1</v>
      </c>
      <c r="F2779" t="s">
        <v>1659</v>
      </c>
      <c r="G2779" t="s">
        <v>146</v>
      </c>
      <c r="I2779" t="s">
        <v>112</v>
      </c>
      <c r="J2779" t="s">
        <v>219</v>
      </c>
      <c r="K2779" s="17">
        <v>1</v>
      </c>
      <c r="L2779" s="28"/>
      <c r="N2779" s="21"/>
      <c r="O2779" s="2"/>
      <c r="P2779" s="2"/>
      <c r="Q2779" s="4"/>
      <c r="R2779" s="4"/>
      <c r="S2779" s="4"/>
      <c r="T2779" s="4"/>
      <c r="U2779" s="4"/>
      <c r="V2779" s="4"/>
    </row>
    <row r="2780" spans="1:22" ht="14.5" customHeight="1" x14ac:dyDescent="0.2">
      <c r="A2780">
        <v>2018</v>
      </c>
      <c r="B2780" t="s">
        <v>179</v>
      </c>
      <c r="C2780" t="s">
        <v>199</v>
      </c>
      <c r="D2780" s="65">
        <v>300</v>
      </c>
      <c r="E2780" s="33">
        <v>0.3</v>
      </c>
      <c r="F2780" t="s">
        <v>1660</v>
      </c>
      <c r="G2780" t="s">
        <v>144</v>
      </c>
      <c r="I2780" t="s">
        <v>19</v>
      </c>
      <c r="J2780" t="s">
        <v>205</v>
      </c>
      <c r="K2780" s="17">
        <v>0</v>
      </c>
      <c r="L2780" s="28"/>
      <c r="N2780" s="21"/>
      <c r="O2780" s="2"/>
      <c r="P2780" s="2"/>
      <c r="Q2780" s="4"/>
      <c r="R2780" s="4"/>
      <c r="S2780" s="4"/>
      <c r="T2780" s="4"/>
      <c r="U2780" s="4"/>
      <c r="V2780" s="4"/>
    </row>
    <row r="2781" spans="1:22" ht="14.5" customHeight="1" x14ac:dyDescent="0.2">
      <c r="A2781" s="17">
        <v>2018</v>
      </c>
      <c r="B2781" s="17" t="s">
        <v>179</v>
      </c>
      <c r="C2781" s="17" t="s">
        <v>221</v>
      </c>
      <c r="D2781" s="66">
        <v>170</v>
      </c>
      <c r="E2781" s="37"/>
      <c r="F2781" s="17" t="s">
        <v>1661</v>
      </c>
      <c r="G2781" s="17" t="s">
        <v>150</v>
      </c>
      <c r="H2781" s="17" t="s">
        <v>556</v>
      </c>
      <c r="I2781" s="17" t="s">
        <v>86</v>
      </c>
      <c r="J2781" s="17" t="s">
        <v>183</v>
      </c>
      <c r="K2781" s="17">
        <v>1</v>
      </c>
      <c r="L2781" s="67"/>
      <c r="N2781" s="21"/>
      <c r="O2781" s="2"/>
      <c r="P2781" s="2"/>
      <c r="Q2781" s="4"/>
      <c r="R2781" s="4"/>
      <c r="S2781" s="4"/>
      <c r="T2781" s="4"/>
      <c r="U2781" s="4"/>
      <c r="V2781" s="4"/>
    </row>
    <row r="2782" spans="1:22" ht="14.5" customHeight="1" x14ac:dyDescent="0.2">
      <c r="A2782" s="17">
        <v>2018</v>
      </c>
      <c r="B2782" s="17" t="s">
        <v>179</v>
      </c>
      <c r="C2782" s="17" t="s">
        <v>1662</v>
      </c>
      <c r="D2782" s="66">
        <v>110</v>
      </c>
      <c r="E2782" s="37">
        <v>0.2</v>
      </c>
      <c r="F2782" s="17" t="s">
        <v>1663</v>
      </c>
      <c r="G2782" s="17" t="s">
        <v>154</v>
      </c>
      <c r="H2782" s="17" t="s">
        <v>250</v>
      </c>
      <c r="I2782" s="17" t="s">
        <v>73</v>
      </c>
      <c r="J2782" s="17" t="s">
        <v>201</v>
      </c>
      <c r="K2782" s="17">
        <v>1</v>
      </c>
      <c r="L2782" s="67"/>
      <c r="N2782" s="21"/>
      <c r="O2782" s="2"/>
      <c r="P2782" s="2"/>
      <c r="Q2782" s="4"/>
      <c r="R2782" s="4"/>
      <c r="S2782" s="4"/>
      <c r="T2782" s="4"/>
      <c r="U2782" s="4"/>
      <c r="V2782" s="4"/>
    </row>
    <row r="2783" spans="1:22" ht="14.5" customHeight="1" x14ac:dyDescent="0.2">
      <c r="A2783" s="17">
        <v>2018</v>
      </c>
      <c r="B2783" s="17" t="s">
        <v>179</v>
      </c>
      <c r="C2783" s="17" t="s">
        <v>1664</v>
      </c>
      <c r="D2783" s="66">
        <v>210</v>
      </c>
      <c r="E2783" s="37">
        <v>1</v>
      </c>
      <c r="F2783" s="17" t="s">
        <v>1665</v>
      </c>
      <c r="G2783" s="17" t="s">
        <v>149</v>
      </c>
      <c r="H2783" s="17"/>
      <c r="I2783" s="17" t="s">
        <v>8</v>
      </c>
      <c r="J2783" s="17" t="s">
        <v>205</v>
      </c>
      <c r="K2783" s="17">
        <v>1</v>
      </c>
      <c r="L2783" s="67"/>
      <c r="N2783" s="21"/>
      <c r="O2783" s="2"/>
      <c r="P2783" s="2"/>
      <c r="Q2783" s="4"/>
      <c r="R2783" s="4"/>
      <c r="S2783" s="4"/>
      <c r="T2783" s="4"/>
      <c r="U2783" s="4"/>
      <c r="V2783" s="4"/>
    </row>
    <row r="2784" spans="1:22" ht="14.5" customHeight="1" x14ac:dyDescent="0.2">
      <c r="A2784" s="17">
        <v>2018</v>
      </c>
      <c r="B2784" s="17" t="s">
        <v>179</v>
      </c>
      <c r="C2784" s="17" t="s">
        <v>1289</v>
      </c>
      <c r="D2784" s="66">
        <v>460</v>
      </c>
      <c r="E2784" s="37"/>
      <c r="F2784" s="17"/>
      <c r="G2784" s="17" t="s">
        <v>151</v>
      </c>
      <c r="H2784" s="17" t="s">
        <v>224</v>
      </c>
      <c r="I2784" s="17" t="s">
        <v>108</v>
      </c>
      <c r="J2784" s="17" t="s">
        <v>183</v>
      </c>
      <c r="K2784" s="17">
        <v>1</v>
      </c>
      <c r="L2784" s="67" t="s">
        <v>178</v>
      </c>
      <c r="N2784" s="21"/>
      <c r="O2784" s="2"/>
      <c r="P2784" s="2"/>
      <c r="Q2784" s="4"/>
      <c r="R2784" s="4"/>
      <c r="S2784" s="4"/>
      <c r="T2784" s="4"/>
      <c r="U2784" s="4"/>
      <c r="V2784" s="4"/>
    </row>
    <row r="2785" spans="1:22" ht="14.5" customHeight="1" x14ac:dyDescent="0.2">
      <c r="A2785">
        <v>2018</v>
      </c>
      <c r="B2785" t="s">
        <v>184</v>
      </c>
      <c r="C2785" t="s">
        <v>1666</v>
      </c>
      <c r="D2785" s="65">
        <v>470</v>
      </c>
      <c r="E2785" s="33"/>
      <c r="F2785" t="s">
        <v>1667</v>
      </c>
      <c r="G2785" t="s">
        <v>147</v>
      </c>
      <c r="I2785" t="s">
        <v>9</v>
      </c>
      <c r="J2785" t="s">
        <v>9</v>
      </c>
      <c r="K2785" s="17">
        <v>0</v>
      </c>
      <c r="L2785" s="28"/>
      <c r="N2785" s="21"/>
      <c r="O2785" s="2"/>
      <c r="P2785" s="2"/>
      <c r="Q2785" s="4"/>
      <c r="R2785" s="4"/>
      <c r="S2785" s="4"/>
      <c r="T2785" s="4"/>
      <c r="U2785" s="4"/>
      <c r="V2785" s="4"/>
    </row>
    <row r="2786" spans="1:22" ht="14.5" customHeight="1" x14ac:dyDescent="0.2">
      <c r="A2786">
        <v>2018</v>
      </c>
      <c r="B2786" t="s">
        <v>184</v>
      </c>
      <c r="C2786" t="s">
        <v>1086</v>
      </c>
      <c r="D2786" s="65">
        <v>140</v>
      </c>
      <c r="E2786" s="33">
        <v>1</v>
      </c>
      <c r="F2786" t="s">
        <v>1668</v>
      </c>
      <c r="G2786" t="s">
        <v>150</v>
      </c>
      <c r="H2786" t="s">
        <v>744</v>
      </c>
      <c r="I2786" t="s">
        <v>131</v>
      </c>
      <c r="J2786" t="s">
        <v>131</v>
      </c>
      <c r="K2786" s="17">
        <v>0</v>
      </c>
      <c r="L2786" s="28"/>
      <c r="N2786" s="21"/>
      <c r="O2786" s="2"/>
      <c r="P2786" s="2"/>
      <c r="Q2786" s="4"/>
      <c r="R2786" s="4"/>
      <c r="S2786" s="4"/>
      <c r="T2786" s="4"/>
      <c r="U2786" s="4"/>
      <c r="V2786" s="4"/>
    </row>
    <row r="2787" spans="1:22" ht="14.5" customHeight="1" x14ac:dyDescent="0.2">
      <c r="A2787">
        <v>2018</v>
      </c>
      <c r="B2787" t="s">
        <v>184</v>
      </c>
      <c r="C2787" t="s">
        <v>822</v>
      </c>
      <c r="D2787" s="65">
        <v>320</v>
      </c>
      <c r="E2787" s="33"/>
      <c r="G2787" t="s">
        <v>148</v>
      </c>
      <c r="I2787" t="s">
        <v>124</v>
      </c>
      <c r="J2787" t="s">
        <v>183</v>
      </c>
      <c r="K2787" s="17">
        <v>1</v>
      </c>
      <c r="L2787" s="28" t="s">
        <v>178</v>
      </c>
      <c r="N2787" s="21"/>
      <c r="O2787" s="2"/>
      <c r="P2787" s="2"/>
      <c r="Q2787" s="4"/>
      <c r="R2787" s="4"/>
      <c r="S2787" s="4"/>
      <c r="T2787" s="4"/>
      <c r="U2787" s="4"/>
      <c r="V2787" s="4"/>
    </row>
    <row r="2788" spans="1:22" ht="14.5" customHeight="1" x14ac:dyDescent="0.2">
      <c r="A2788">
        <v>2018</v>
      </c>
      <c r="B2788" t="s">
        <v>184</v>
      </c>
      <c r="C2788" t="s">
        <v>822</v>
      </c>
      <c r="D2788" s="65">
        <v>150</v>
      </c>
      <c r="E2788" s="33">
        <v>1</v>
      </c>
      <c r="F2788" t="s">
        <v>1669</v>
      </c>
      <c r="G2788" t="s">
        <v>150</v>
      </c>
      <c r="H2788" t="s">
        <v>556</v>
      </c>
      <c r="I2788" t="s">
        <v>93</v>
      </c>
      <c r="J2788" t="s">
        <v>201</v>
      </c>
      <c r="K2788" s="17">
        <v>1</v>
      </c>
      <c r="L2788" s="28"/>
      <c r="N2788" s="21"/>
      <c r="O2788" s="2"/>
      <c r="P2788" s="2"/>
      <c r="Q2788" s="4"/>
      <c r="R2788" s="4"/>
      <c r="S2788" s="4"/>
      <c r="T2788" s="4"/>
      <c r="U2788" s="4"/>
      <c r="V2788" s="4"/>
    </row>
    <row r="2789" spans="1:22" ht="14.5" customHeight="1" x14ac:dyDescent="0.2">
      <c r="A2789">
        <v>2018</v>
      </c>
      <c r="B2789" t="s">
        <v>184</v>
      </c>
      <c r="C2789" t="s">
        <v>756</v>
      </c>
      <c r="D2789" s="65">
        <v>210</v>
      </c>
      <c r="E2789" s="33">
        <v>1</v>
      </c>
      <c r="F2789" t="s">
        <v>1670</v>
      </c>
      <c r="G2789" t="s">
        <v>155</v>
      </c>
      <c r="I2789" t="s">
        <v>9</v>
      </c>
      <c r="J2789" t="s">
        <v>9</v>
      </c>
      <c r="K2789" s="17">
        <v>0</v>
      </c>
      <c r="L2789" s="28"/>
      <c r="N2789" s="21"/>
      <c r="O2789" s="2"/>
      <c r="P2789" s="2"/>
      <c r="Q2789" s="4"/>
      <c r="R2789" s="4"/>
      <c r="S2789" s="4"/>
      <c r="T2789" s="4"/>
      <c r="U2789" s="4"/>
      <c r="V2789" s="4"/>
    </row>
    <row r="2790" spans="1:22" ht="14.5" customHeight="1" x14ac:dyDescent="0.2">
      <c r="A2790">
        <v>2018</v>
      </c>
      <c r="B2790" t="s">
        <v>184</v>
      </c>
      <c r="C2790" t="s">
        <v>1671</v>
      </c>
      <c r="D2790" s="65">
        <v>320</v>
      </c>
      <c r="E2790" s="33">
        <v>1</v>
      </c>
      <c r="G2790" t="s">
        <v>142</v>
      </c>
      <c r="I2790" t="s">
        <v>42</v>
      </c>
      <c r="J2790" t="s">
        <v>195</v>
      </c>
      <c r="K2790" s="17">
        <v>0</v>
      </c>
      <c r="L2790" s="28" t="s">
        <v>178</v>
      </c>
      <c r="N2790" s="21"/>
      <c r="O2790" s="2"/>
      <c r="P2790" s="2"/>
      <c r="Q2790" s="4"/>
      <c r="R2790" s="4"/>
      <c r="S2790" s="4"/>
      <c r="T2790" s="4"/>
      <c r="U2790" s="4"/>
      <c r="V2790" s="4"/>
    </row>
    <row r="2791" spans="1:22" ht="14.5" customHeight="1" x14ac:dyDescent="0.2">
      <c r="A2791">
        <v>2018</v>
      </c>
      <c r="B2791" t="s">
        <v>184</v>
      </c>
      <c r="C2791" t="s">
        <v>1672</v>
      </c>
      <c r="D2791" s="65">
        <v>390</v>
      </c>
      <c r="E2791" s="33">
        <v>1</v>
      </c>
      <c r="G2791" t="s">
        <v>147</v>
      </c>
      <c r="I2791" t="s">
        <v>56</v>
      </c>
      <c r="J2791" t="s">
        <v>195</v>
      </c>
      <c r="K2791" s="17">
        <v>0</v>
      </c>
      <c r="L2791" s="28" t="s">
        <v>178</v>
      </c>
      <c r="N2791" s="21"/>
      <c r="O2791" s="2"/>
      <c r="P2791" s="2"/>
      <c r="Q2791" s="4"/>
      <c r="R2791" s="4"/>
      <c r="S2791" s="4"/>
      <c r="T2791" s="4"/>
      <c r="U2791" s="4"/>
      <c r="V2791" s="4"/>
    </row>
    <row r="2792" spans="1:22" ht="14.5" customHeight="1" x14ac:dyDescent="0.2">
      <c r="A2792">
        <v>2018</v>
      </c>
      <c r="B2792" t="s">
        <v>184</v>
      </c>
      <c r="C2792" t="s">
        <v>783</v>
      </c>
      <c r="D2792" s="65">
        <v>190</v>
      </c>
      <c r="E2792" s="33">
        <v>1</v>
      </c>
      <c r="F2792" t="s">
        <v>1673</v>
      </c>
      <c r="G2792" t="s">
        <v>147</v>
      </c>
      <c r="I2792" t="s">
        <v>42</v>
      </c>
      <c r="J2792" t="s">
        <v>195</v>
      </c>
      <c r="K2792" s="17">
        <v>0</v>
      </c>
      <c r="L2792" s="28"/>
      <c r="N2792" s="21"/>
      <c r="O2792" s="2"/>
      <c r="P2792" s="2"/>
      <c r="Q2792" s="4"/>
      <c r="R2792" s="4"/>
      <c r="S2792" s="4"/>
      <c r="T2792" s="4"/>
      <c r="U2792" s="4"/>
      <c r="V2792" s="4"/>
    </row>
    <row r="2793" spans="1:22" ht="14.5" customHeight="1" x14ac:dyDescent="0.2">
      <c r="A2793">
        <v>2018</v>
      </c>
      <c r="B2793" t="s">
        <v>184</v>
      </c>
      <c r="C2793" t="s">
        <v>1581</v>
      </c>
      <c r="D2793" s="65">
        <v>550</v>
      </c>
      <c r="E2793" s="33"/>
      <c r="F2793" s="16" t="s">
        <v>1674</v>
      </c>
      <c r="G2793" t="s">
        <v>152</v>
      </c>
      <c r="H2793" t="s">
        <v>257</v>
      </c>
      <c r="I2793" t="s">
        <v>89</v>
      </c>
      <c r="J2793" t="s">
        <v>219</v>
      </c>
      <c r="K2793" s="17">
        <v>1</v>
      </c>
      <c r="L2793" s="28"/>
      <c r="N2793" s="21"/>
      <c r="O2793" s="2"/>
      <c r="P2793" s="2"/>
      <c r="Q2793" s="4"/>
      <c r="R2793" s="4"/>
      <c r="S2793" s="4"/>
      <c r="T2793" s="4"/>
      <c r="U2793" s="4"/>
      <c r="V2793" s="4"/>
    </row>
    <row r="2794" spans="1:22" ht="14.5" customHeight="1" x14ac:dyDescent="0.2">
      <c r="A2794">
        <v>2018</v>
      </c>
      <c r="B2794" t="s">
        <v>184</v>
      </c>
      <c r="C2794" t="s">
        <v>1347</v>
      </c>
      <c r="D2794" s="65">
        <v>370</v>
      </c>
      <c r="E2794" s="33">
        <v>0.4</v>
      </c>
      <c r="F2794" t="s">
        <v>1675</v>
      </c>
      <c r="G2794" t="s">
        <v>144</v>
      </c>
      <c r="H2794" t="s">
        <v>232</v>
      </c>
      <c r="I2794" t="s">
        <v>52</v>
      </c>
      <c r="J2794" t="s">
        <v>201</v>
      </c>
      <c r="K2794" s="17">
        <v>0</v>
      </c>
      <c r="L2794" s="28" t="s">
        <v>178</v>
      </c>
      <c r="N2794" s="21"/>
      <c r="O2794" s="2"/>
      <c r="P2794" s="2"/>
      <c r="Q2794" s="4"/>
      <c r="R2794" s="4"/>
      <c r="S2794" s="4"/>
      <c r="T2794" s="4"/>
      <c r="U2794" s="4"/>
      <c r="V2794" s="4"/>
    </row>
    <row r="2795" spans="1:22" ht="14.5" customHeight="1" x14ac:dyDescent="0.2">
      <c r="A2795">
        <v>2018</v>
      </c>
      <c r="B2795" t="s">
        <v>184</v>
      </c>
      <c r="C2795" t="s">
        <v>246</v>
      </c>
      <c r="D2795" s="65">
        <v>190</v>
      </c>
      <c r="E2795" s="33"/>
      <c r="G2795" t="s">
        <v>144</v>
      </c>
      <c r="H2795" t="s">
        <v>197</v>
      </c>
      <c r="I2795" t="s">
        <v>19</v>
      </c>
      <c r="J2795" t="s">
        <v>205</v>
      </c>
      <c r="K2795" s="17">
        <v>0</v>
      </c>
      <c r="L2795" s="28"/>
      <c r="N2795" s="21"/>
      <c r="O2795" s="2"/>
      <c r="P2795" s="2"/>
      <c r="Q2795" s="4"/>
      <c r="R2795" s="4"/>
      <c r="S2795" s="4"/>
      <c r="T2795" s="4"/>
      <c r="U2795" s="4"/>
      <c r="V2795" s="4"/>
    </row>
    <row r="2796" spans="1:22" ht="14.5" customHeight="1" x14ac:dyDescent="0.2">
      <c r="A2796">
        <v>2018</v>
      </c>
      <c r="B2796" t="s">
        <v>184</v>
      </c>
      <c r="C2796" t="s">
        <v>221</v>
      </c>
      <c r="D2796" s="65">
        <v>120</v>
      </c>
      <c r="E2796" s="33"/>
      <c r="G2796" t="s">
        <v>144</v>
      </c>
      <c r="I2796" t="s">
        <v>130</v>
      </c>
      <c r="J2796" t="s">
        <v>214</v>
      </c>
      <c r="K2796" s="17">
        <v>1</v>
      </c>
      <c r="L2796" s="28"/>
      <c r="N2796" s="21"/>
      <c r="O2796" s="2"/>
      <c r="P2796" s="2"/>
      <c r="Q2796" s="4"/>
      <c r="R2796" s="4"/>
      <c r="S2796" s="4"/>
      <c r="T2796" s="4"/>
      <c r="U2796" s="4"/>
      <c r="V2796" s="4"/>
    </row>
    <row r="2797" spans="1:22" ht="14.5" customHeight="1" x14ac:dyDescent="0.2">
      <c r="A2797">
        <v>2018</v>
      </c>
      <c r="B2797" t="s">
        <v>184</v>
      </c>
      <c r="C2797" t="s">
        <v>1035</v>
      </c>
      <c r="D2797" s="65">
        <v>360</v>
      </c>
      <c r="E2797" s="33">
        <v>0.92</v>
      </c>
      <c r="F2797" t="s">
        <v>1676</v>
      </c>
      <c r="G2797" t="s">
        <v>144</v>
      </c>
      <c r="H2797" t="s">
        <v>273</v>
      </c>
      <c r="I2797" t="s">
        <v>13</v>
      </c>
      <c r="J2797" t="s">
        <v>201</v>
      </c>
      <c r="K2797" s="17">
        <v>1</v>
      </c>
      <c r="L2797" s="28" t="s">
        <v>178</v>
      </c>
      <c r="N2797" s="21"/>
      <c r="O2797" s="2"/>
      <c r="P2797" s="2"/>
      <c r="Q2797" s="4"/>
      <c r="R2797" s="4"/>
      <c r="S2797" s="4"/>
      <c r="T2797" s="4"/>
      <c r="U2797" s="4"/>
      <c r="V2797" s="4"/>
    </row>
    <row r="2798" spans="1:22" ht="14.5" customHeight="1" x14ac:dyDescent="0.2">
      <c r="A2798">
        <v>2018</v>
      </c>
      <c r="B2798" t="s">
        <v>184</v>
      </c>
      <c r="C2798" t="s">
        <v>1677</v>
      </c>
      <c r="D2798" s="65">
        <v>200</v>
      </c>
      <c r="E2798" s="33">
        <v>1</v>
      </c>
      <c r="F2798" t="s">
        <v>1678</v>
      </c>
      <c r="G2798" t="s">
        <v>144</v>
      </c>
      <c r="H2798" t="s">
        <v>232</v>
      </c>
      <c r="I2798" t="s">
        <v>9</v>
      </c>
      <c r="J2798" t="s">
        <v>9</v>
      </c>
      <c r="K2798" s="17">
        <v>0</v>
      </c>
      <c r="L2798" s="28" t="s">
        <v>178</v>
      </c>
      <c r="N2798" s="21"/>
      <c r="O2798" s="2"/>
      <c r="P2798" s="2"/>
      <c r="Q2798" s="4"/>
      <c r="R2798" s="4"/>
      <c r="S2798" s="4"/>
      <c r="T2798" s="4"/>
      <c r="U2798" s="4"/>
      <c r="V2798" s="4"/>
    </row>
    <row r="2799" spans="1:22" ht="14.5" customHeight="1" x14ac:dyDescent="0.2">
      <c r="A2799">
        <v>2018</v>
      </c>
      <c r="B2799" t="s">
        <v>184</v>
      </c>
      <c r="C2799" t="s">
        <v>724</v>
      </c>
      <c r="D2799" s="65">
        <v>110</v>
      </c>
      <c r="E2799" s="33"/>
      <c r="F2799" t="s">
        <v>1679</v>
      </c>
      <c r="G2799" t="s">
        <v>151</v>
      </c>
      <c r="H2799" t="s">
        <v>224</v>
      </c>
      <c r="I2799" t="s">
        <v>20</v>
      </c>
      <c r="J2799" t="s">
        <v>195</v>
      </c>
      <c r="K2799" s="17">
        <v>0</v>
      </c>
      <c r="L2799" s="28" t="s">
        <v>178</v>
      </c>
      <c r="N2799" s="21"/>
      <c r="O2799" s="2"/>
      <c r="P2799" s="2"/>
      <c r="Q2799" s="4"/>
      <c r="R2799" s="4"/>
      <c r="S2799" s="4"/>
      <c r="T2799" s="4"/>
      <c r="U2799" s="4"/>
      <c r="V2799" s="4"/>
    </row>
    <row r="2800" spans="1:22" ht="14.5" customHeight="1" x14ac:dyDescent="0.2">
      <c r="A2800">
        <v>2018</v>
      </c>
      <c r="B2800" t="s">
        <v>184</v>
      </c>
      <c r="C2800" t="s">
        <v>1332</v>
      </c>
      <c r="D2800" s="65">
        <v>110</v>
      </c>
      <c r="E2800" s="33"/>
      <c r="G2800" t="s">
        <v>151</v>
      </c>
      <c r="H2800" t="s">
        <v>224</v>
      </c>
      <c r="I2800" t="s">
        <v>9</v>
      </c>
      <c r="J2800" t="s">
        <v>9</v>
      </c>
      <c r="K2800" s="17">
        <v>0</v>
      </c>
      <c r="L2800" s="28"/>
      <c r="N2800" s="21"/>
      <c r="O2800" s="2"/>
      <c r="P2800" s="2"/>
      <c r="Q2800" s="4"/>
      <c r="R2800" s="4"/>
      <c r="S2800" s="4"/>
      <c r="T2800" s="4"/>
      <c r="U2800" s="4"/>
      <c r="V2800" s="4"/>
    </row>
    <row r="2801" spans="1:22" ht="14.5" customHeight="1" x14ac:dyDescent="0.2">
      <c r="A2801">
        <v>2018</v>
      </c>
      <c r="B2801" t="s">
        <v>184</v>
      </c>
      <c r="C2801" t="s">
        <v>596</v>
      </c>
      <c r="D2801" s="65">
        <v>280</v>
      </c>
      <c r="E2801" s="33">
        <v>1</v>
      </c>
      <c r="G2801" t="s">
        <v>144</v>
      </c>
      <c r="H2801" t="s">
        <v>232</v>
      </c>
      <c r="I2801" t="s">
        <v>9</v>
      </c>
      <c r="J2801" t="s">
        <v>9</v>
      </c>
      <c r="K2801" s="17">
        <v>0</v>
      </c>
      <c r="L2801" s="28" t="s">
        <v>178</v>
      </c>
      <c r="N2801" s="21"/>
      <c r="O2801" s="2"/>
      <c r="P2801" s="2"/>
      <c r="Q2801" s="4"/>
      <c r="R2801" s="4"/>
      <c r="S2801" s="4"/>
      <c r="T2801" s="4"/>
      <c r="U2801" s="4"/>
      <c r="V2801" s="4"/>
    </row>
    <row r="2802" spans="1:22" ht="14.5" customHeight="1" x14ac:dyDescent="0.2">
      <c r="A2802">
        <v>2018</v>
      </c>
      <c r="B2802" t="s">
        <v>184</v>
      </c>
      <c r="C2802" t="s">
        <v>454</v>
      </c>
      <c r="D2802" s="65">
        <v>1690</v>
      </c>
      <c r="E2802" s="33">
        <v>0.09</v>
      </c>
      <c r="F2802" t="s">
        <v>1680</v>
      </c>
      <c r="G2802" t="s">
        <v>145</v>
      </c>
      <c r="I2802" t="s">
        <v>118</v>
      </c>
      <c r="J2802" t="s">
        <v>195</v>
      </c>
      <c r="K2802" s="17">
        <v>0</v>
      </c>
      <c r="L2802" s="28"/>
      <c r="N2802" s="21"/>
      <c r="O2802" s="2"/>
      <c r="P2802" s="2"/>
      <c r="Q2802" s="4"/>
      <c r="R2802" s="4"/>
      <c r="S2802" s="4"/>
      <c r="T2802" s="4"/>
      <c r="U2802" s="4"/>
      <c r="V2802" s="4"/>
    </row>
    <row r="2803" spans="1:22" ht="14.5" customHeight="1" x14ac:dyDescent="0.2">
      <c r="A2803">
        <v>2018</v>
      </c>
      <c r="B2803" t="s">
        <v>184</v>
      </c>
      <c r="C2803" t="s">
        <v>1184</v>
      </c>
      <c r="D2803" s="65">
        <v>1230</v>
      </c>
      <c r="E2803" s="33">
        <v>0.95</v>
      </c>
      <c r="G2803" t="s">
        <v>154</v>
      </c>
      <c r="H2803" t="s">
        <v>194</v>
      </c>
      <c r="I2803" t="s">
        <v>67</v>
      </c>
      <c r="J2803" t="s">
        <v>183</v>
      </c>
      <c r="K2803" s="17">
        <v>1</v>
      </c>
      <c r="L2803" s="28" t="s">
        <v>178</v>
      </c>
      <c r="N2803" s="21"/>
      <c r="O2803" s="2"/>
      <c r="P2803" s="2"/>
      <c r="Q2803" s="4"/>
      <c r="R2803" s="4"/>
      <c r="S2803" s="4"/>
      <c r="T2803" s="4"/>
      <c r="U2803" s="4"/>
      <c r="V2803" s="4"/>
    </row>
    <row r="2804" spans="1:22" ht="14.5" customHeight="1" x14ac:dyDescent="0.2">
      <c r="A2804">
        <v>2018</v>
      </c>
      <c r="B2804" t="s">
        <v>225</v>
      </c>
      <c r="C2804" t="s">
        <v>1178</v>
      </c>
      <c r="D2804" s="65">
        <v>540</v>
      </c>
      <c r="E2804" s="33"/>
      <c r="F2804" t="s">
        <v>1681</v>
      </c>
      <c r="G2804" t="s">
        <v>147</v>
      </c>
      <c r="I2804" t="s">
        <v>20</v>
      </c>
      <c r="J2804" t="s">
        <v>195</v>
      </c>
      <c r="K2804" s="17">
        <v>0</v>
      </c>
      <c r="L2804" s="28"/>
      <c r="N2804" s="21"/>
      <c r="O2804" s="2"/>
      <c r="P2804" s="2"/>
      <c r="Q2804" s="4"/>
      <c r="R2804" s="4"/>
      <c r="S2804" s="4"/>
      <c r="T2804" s="4"/>
      <c r="U2804" s="4"/>
      <c r="V2804" s="4"/>
    </row>
    <row r="2805" spans="1:22" ht="14.5" customHeight="1" x14ac:dyDescent="0.2">
      <c r="A2805">
        <v>2018</v>
      </c>
      <c r="B2805" t="s">
        <v>225</v>
      </c>
      <c r="C2805" t="s">
        <v>1602</v>
      </c>
      <c r="D2805" s="65">
        <v>340</v>
      </c>
      <c r="E2805" s="33">
        <v>1</v>
      </c>
      <c r="F2805" t="s">
        <v>1682</v>
      </c>
      <c r="G2805" t="s">
        <v>150</v>
      </c>
      <c r="H2805" t="s">
        <v>556</v>
      </c>
      <c r="I2805" t="s">
        <v>110</v>
      </c>
      <c r="J2805" t="s">
        <v>195</v>
      </c>
      <c r="K2805" s="17">
        <v>1</v>
      </c>
      <c r="L2805" s="28"/>
      <c r="N2805" s="21"/>
      <c r="O2805" s="2"/>
      <c r="P2805" s="2"/>
      <c r="Q2805" s="4"/>
      <c r="R2805" s="4"/>
      <c r="S2805" s="4"/>
      <c r="T2805" s="4"/>
      <c r="U2805" s="4"/>
      <c r="V2805" s="4"/>
    </row>
    <row r="2806" spans="1:22" ht="14.5" customHeight="1" x14ac:dyDescent="0.2">
      <c r="A2806">
        <v>2018</v>
      </c>
      <c r="B2806" t="s">
        <v>225</v>
      </c>
      <c r="C2806" t="s">
        <v>1683</v>
      </c>
      <c r="D2806" s="65">
        <v>630</v>
      </c>
      <c r="E2806" s="33">
        <v>1</v>
      </c>
      <c r="F2806" t="s">
        <v>1684</v>
      </c>
      <c r="G2806" t="s">
        <v>150</v>
      </c>
      <c r="H2806" t="s">
        <v>556</v>
      </c>
      <c r="I2806" t="s">
        <v>91</v>
      </c>
      <c r="J2806" t="s">
        <v>195</v>
      </c>
      <c r="K2806" s="17">
        <v>0</v>
      </c>
      <c r="L2806" s="28"/>
      <c r="N2806" s="21"/>
      <c r="O2806" s="2"/>
      <c r="P2806" s="2"/>
      <c r="Q2806" s="4"/>
      <c r="R2806" s="4"/>
      <c r="S2806" s="4"/>
      <c r="T2806" s="4"/>
      <c r="U2806" s="4"/>
      <c r="V2806" s="4"/>
    </row>
    <row r="2807" spans="1:22" ht="14.5" customHeight="1" x14ac:dyDescent="0.2">
      <c r="A2807">
        <v>2018</v>
      </c>
      <c r="B2807" t="s">
        <v>225</v>
      </c>
      <c r="C2807" t="s">
        <v>1685</v>
      </c>
      <c r="D2807" s="65">
        <v>240</v>
      </c>
      <c r="E2807" s="33">
        <v>1</v>
      </c>
      <c r="F2807" t="s">
        <v>1686</v>
      </c>
      <c r="G2807" t="s">
        <v>142</v>
      </c>
      <c r="I2807" t="s">
        <v>121</v>
      </c>
      <c r="J2807" t="s">
        <v>183</v>
      </c>
      <c r="K2807" s="17">
        <v>0</v>
      </c>
      <c r="L2807" s="28"/>
      <c r="N2807" s="21"/>
      <c r="O2807" s="2"/>
      <c r="P2807" s="2"/>
      <c r="Q2807" s="4"/>
      <c r="R2807" s="4"/>
      <c r="S2807" s="4"/>
      <c r="T2807" s="4"/>
      <c r="U2807" s="4"/>
      <c r="V2807" s="4"/>
    </row>
    <row r="2808" spans="1:22" ht="14.5" customHeight="1" x14ac:dyDescent="0.2">
      <c r="A2808">
        <v>2018</v>
      </c>
      <c r="B2808" t="s">
        <v>225</v>
      </c>
      <c r="C2808" t="s">
        <v>1687</v>
      </c>
      <c r="D2808" s="65">
        <v>180</v>
      </c>
      <c r="E2808" s="33">
        <v>1</v>
      </c>
      <c r="F2808" t="s">
        <v>1688</v>
      </c>
      <c r="G2808" t="s">
        <v>150</v>
      </c>
      <c r="H2808" t="s">
        <v>226</v>
      </c>
      <c r="I2808" t="s">
        <v>131</v>
      </c>
      <c r="J2808" t="s">
        <v>131</v>
      </c>
      <c r="K2808" s="17">
        <v>0</v>
      </c>
      <c r="L2808" s="28"/>
      <c r="N2808" s="21"/>
      <c r="O2808" s="2"/>
      <c r="P2808" s="2"/>
      <c r="Q2808" s="4"/>
      <c r="R2808" s="4"/>
      <c r="S2808" s="4"/>
      <c r="T2808" s="4"/>
      <c r="U2808" s="4"/>
      <c r="V2808" s="4"/>
    </row>
    <row r="2809" spans="1:22" ht="14.5" customHeight="1" x14ac:dyDescent="0.2">
      <c r="A2809">
        <v>2018</v>
      </c>
      <c r="B2809" t="s">
        <v>225</v>
      </c>
      <c r="C2809" t="s">
        <v>1689</v>
      </c>
      <c r="D2809" s="65">
        <v>230</v>
      </c>
      <c r="E2809" s="33"/>
      <c r="F2809" t="s">
        <v>504</v>
      </c>
      <c r="G2809" t="s">
        <v>143</v>
      </c>
      <c r="I2809" t="s">
        <v>85</v>
      </c>
      <c r="J2809" t="s">
        <v>195</v>
      </c>
      <c r="K2809" s="17">
        <v>0</v>
      </c>
      <c r="L2809" s="28"/>
      <c r="N2809" s="21"/>
      <c r="O2809" s="2"/>
      <c r="P2809" s="2"/>
      <c r="Q2809" s="4"/>
      <c r="R2809" s="4"/>
      <c r="S2809" s="4"/>
      <c r="T2809" s="4"/>
      <c r="U2809" s="4"/>
      <c r="V2809" s="4"/>
    </row>
    <row r="2810" spans="1:22" ht="14.5" customHeight="1" x14ac:dyDescent="0.2">
      <c r="A2810">
        <v>2018</v>
      </c>
      <c r="B2810" t="s">
        <v>225</v>
      </c>
      <c r="C2810" t="s">
        <v>1690</v>
      </c>
      <c r="D2810" s="65">
        <v>560</v>
      </c>
      <c r="E2810" s="33">
        <v>0.05</v>
      </c>
      <c r="F2810" t="s">
        <v>1192</v>
      </c>
      <c r="G2810" t="s">
        <v>153</v>
      </c>
      <c r="I2810" t="s">
        <v>42</v>
      </c>
      <c r="J2810" t="s">
        <v>195</v>
      </c>
      <c r="K2810" s="17">
        <v>0</v>
      </c>
      <c r="L2810" s="28"/>
      <c r="N2810" s="21"/>
      <c r="O2810" s="2"/>
      <c r="P2810" s="2"/>
      <c r="Q2810" s="4"/>
      <c r="R2810" s="4"/>
      <c r="S2810" s="4"/>
      <c r="T2810" s="4"/>
      <c r="U2810" s="4"/>
      <c r="V2810" s="4"/>
    </row>
    <row r="2811" spans="1:22" ht="14.5" customHeight="1" x14ac:dyDescent="0.2">
      <c r="A2811">
        <v>2018</v>
      </c>
      <c r="B2811" t="s">
        <v>225</v>
      </c>
      <c r="C2811" t="s">
        <v>221</v>
      </c>
      <c r="D2811" s="65">
        <v>350</v>
      </c>
      <c r="E2811" s="33"/>
      <c r="F2811" t="s">
        <v>1691</v>
      </c>
      <c r="G2811" t="s">
        <v>146</v>
      </c>
      <c r="H2811" t="s">
        <v>253</v>
      </c>
      <c r="I2811" t="s">
        <v>33</v>
      </c>
      <c r="J2811" t="s">
        <v>195</v>
      </c>
      <c r="K2811" s="17">
        <v>1</v>
      </c>
      <c r="L2811" s="28"/>
      <c r="N2811" s="21"/>
      <c r="O2811" s="2"/>
      <c r="P2811" s="2"/>
      <c r="Q2811" s="4"/>
      <c r="R2811" s="4"/>
      <c r="S2811" s="4"/>
      <c r="T2811" s="4"/>
      <c r="U2811" s="4"/>
      <c r="V2811" s="4"/>
    </row>
    <row r="2812" spans="1:22" ht="14.5" customHeight="1" x14ac:dyDescent="0.2">
      <c r="A2812">
        <v>2018</v>
      </c>
      <c r="B2812" t="s">
        <v>225</v>
      </c>
      <c r="C2812" t="s">
        <v>875</v>
      </c>
      <c r="D2812" s="65">
        <v>910</v>
      </c>
      <c r="E2812" s="33">
        <v>1</v>
      </c>
      <c r="F2812" t="s">
        <v>1692</v>
      </c>
      <c r="G2812" t="s">
        <v>155</v>
      </c>
      <c r="I2812" t="s">
        <v>19</v>
      </c>
      <c r="J2812" t="s">
        <v>205</v>
      </c>
      <c r="K2812" s="17">
        <v>0</v>
      </c>
      <c r="L2812" s="28"/>
      <c r="N2812" s="21"/>
      <c r="O2812" s="2"/>
      <c r="P2812" s="2"/>
      <c r="Q2812" s="4"/>
      <c r="R2812" s="4"/>
      <c r="S2812" s="4"/>
      <c r="T2812" s="4"/>
      <c r="U2812" s="4"/>
      <c r="V2812" s="4"/>
    </row>
    <row r="2813" spans="1:22" ht="14.5" customHeight="1" x14ac:dyDescent="0.2">
      <c r="A2813">
        <v>2018</v>
      </c>
      <c r="B2813" t="s">
        <v>225</v>
      </c>
      <c r="C2813" t="s">
        <v>1642</v>
      </c>
      <c r="D2813" s="65">
        <v>180</v>
      </c>
      <c r="E2813" s="33"/>
      <c r="F2813" t="s">
        <v>1693</v>
      </c>
      <c r="G2813" t="s">
        <v>147</v>
      </c>
      <c r="I2813" t="s">
        <v>131</v>
      </c>
      <c r="J2813" t="s">
        <v>131</v>
      </c>
      <c r="K2813" s="17">
        <v>0</v>
      </c>
      <c r="L2813" s="28"/>
      <c r="N2813" s="21"/>
      <c r="O2813" s="2"/>
      <c r="P2813" s="2"/>
      <c r="Q2813" s="4"/>
      <c r="R2813" s="4"/>
      <c r="S2813" s="4"/>
      <c r="T2813" s="4"/>
      <c r="U2813" s="4"/>
      <c r="V2813" s="4"/>
    </row>
    <row r="2814" spans="1:22" ht="14.5" customHeight="1" x14ac:dyDescent="0.2">
      <c r="A2814">
        <v>2018</v>
      </c>
      <c r="B2814" t="s">
        <v>225</v>
      </c>
      <c r="C2814" t="s">
        <v>1694</v>
      </c>
      <c r="D2814" s="65">
        <v>200</v>
      </c>
      <c r="E2814" s="33">
        <v>0.8</v>
      </c>
      <c r="F2814" t="s">
        <v>1695</v>
      </c>
      <c r="G2814" t="s">
        <v>152</v>
      </c>
      <c r="I2814" t="s">
        <v>85</v>
      </c>
      <c r="J2814" t="s">
        <v>195</v>
      </c>
      <c r="K2814" s="17">
        <v>0</v>
      </c>
      <c r="L2814" s="28"/>
      <c r="N2814" s="21"/>
      <c r="O2814" s="2"/>
      <c r="P2814" s="2"/>
      <c r="Q2814" s="4"/>
      <c r="R2814" s="4"/>
      <c r="S2814" s="4"/>
      <c r="T2814" s="4"/>
      <c r="U2814" s="4"/>
      <c r="V2814" s="4"/>
    </row>
    <row r="2815" spans="1:22" ht="14.5" customHeight="1" x14ac:dyDescent="0.2">
      <c r="A2815">
        <v>2018</v>
      </c>
      <c r="B2815" t="s">
        <v>225</v>
      </c>
      <c r="C2815" t="s">
        <v>1696</v>
      </c>
      <c r="D2815" s="65">
        <v>130</v>
      </c>
      <c r="E2815" s="33"/>
      <c r="F2815" t="s">
        <v>1697</v>
      </c>
      <c r="G2815" t="s">
        <v>150</v>
      </c>
      <c r="H2815" t="s">
        <v>292</v>
      </c>
      <c r="I2815" t="s">
        <v>42</v>
      </c>
      <c r="J2815" t="s">
        <v>195</v>
      </c>
      <c r="K2815" s="17">
        <v>0</v>
      </c>
      <c r="L2815" s="28"/>
      <c r="N2815" s="21"/>
      <c r="O2815" s="2"/>
      <c r="P2815" s="2"/>
      <c r="Q2815" s="4"/>
      <c r="R2815" s="4"/>
      <c r="S2815" s="4"/>
      <c r="T2815" s="4"/>
      <c r="U2815" s="4"/>
      <c r="V2815" s="4"/>
    </row>
    <row r="2816" spans="1:22" ht="14.5" customHeight="1" x14ac:dyDescent="0.2">
      <c r="A2816">
        <v>2018</v>
      </c>
      <c r="B2816" t="s">
        <v>225</v>
      </c>
      <c r="C2816" t="s">
        <v>1367</v>
      </c>
      <c r="D2816" s="65">
        <v>4070</v>
      </c>
      <c r="E2816" s="33">
        <v>0.24</v>
      </c>
      <c r="F2816" t="s">
        <v>1698</v>
      </c>
      <c r="G2816" t="s">
        <v>149</v>
      </c>
      <c r="I2816" t="s">
        <v>27</v>
      </c>
      <c r="J2816" t="s">
        <v>205</v>
      </c>
      <c r="K2816" s="17">
        <v>1</v>
      </c>
      <c r="L2816" s="28"/>
      <c r="N2816" s="21"/>
      <c r="O2816" s="2"/>
      <c r="P2816" s="2"/>
      <c r="Q2816" s="4"/>
      <c r="R2816" s="4"/>
      <c r="S2816" s="4"/>
      <c r="T2816" s="4"/>
      <c r="U2816" s="4"/>
      <c r="V2816" s="4"/>
    </row>
    <row r="2817" spans="1:22" ht="14.5" customHeight="1" x14ac:dyDescent="0.2">
      <c r="A2817">
        <v>2018</v>
      </c>
      <c r="B2817" t="s">
        <v>225</v>
      </c>
      <c r="C2817" t="s">
        <v>1699</v>
      </c>
      <c r="D2817" s="65">
        <v>110</v>
      </c>
      <c r="E2817" s="33">
        <v>0.95</v>
      </c>
      <c r="F2817" t="s">
        <v>1700</v>
      </c>
      <c r="G2817" t="s">
        <v>144</v>
      </c>
      <c r="H2817" t="s">
        <v>232</v>
      </c>
      <c r="I2817" t="s">
        <v>53</v>
      </c>
      <c r="J2817" t="s">
        <v>183</v>
      </c>
      <c r="K2817" s="17">
        <v>1</v>
      </c>
      <c r="L2817" s="28"/>
      <c r="N2817" s="21"/>
      <c r="O2817" s="2"/>
      <c r="P2817" s="2"/>
      <c r="Q2817" s="4"/>
      <c r="R2817" s="4"/>
      <c r="S2817" s="4"/>
      <c r="T2817" s="4"/>
      <c r="U2817" s="4"/>
      <c r="V2817" s="4"/>
    </row>
    <row r="2818" spans="1:22" ht="14.5" customHeight="1" x14ac:dyDescent="0.2">
      <c r="A2818">
        <v>2018</v>
      </c>
      <c r="B2818" t="s">
        <v>225</v>
      </c>
      <c r="C2818" t="s">
        <v>1701</v>
      </c>
      <c r="D2818" s="65">
        <v>450</v>
      </c>
      <c r="E2818" s="33">
        <v>0.5</v>
      </c>
      <c r="F2818" t="s">
        <v>1702</v>
      </c>
      <c r="G2818" t="s">
        <v>154</v>
      </c>
      <c r="H2818" t="s">
        <v>194</v>
      </c>
      <c r="I2818" t="s">
        <v>45</v>
      </c>
      <c r="J2818" t="s">
        <v>195</v>
      </c>
      <c r="K2818" s="17">
        <v>0</v>
      </c>
      <c r="L2818" s="28"/>
      <c r="N2818" s="21"/>
      <c r="O2818" s="2"/>
      <c r="P2818" s="2"/>
      <c r="Q2818" s="4"/>
      <c r="R2818" s="4"/>
      <c r="S2818" s="4"/>
      <c r="T2818" s="4"/>
      <c r="U2818" s="4"/>
      <c r="V2818" s="4"/>
    </row>
    <row r="2819" spans="1:22" ht="14.5" customHeight="1" x14ac:dyDescent="0.2">
      <c r="A2819">
        <v>2018</v>
      </c>
      <c r="B2819" t="s">
        <v>225</v>
      </c>
      <c r="C2819" t="s">
        <v>208</v>
      </c>
      <c r="D2819" s="65">
        <v>980</v>
      </c>
      <c r="E2819" s="33"/>
      <c r="G2819" t="s">
        <v>144</v>
      </c>
      <c r="H2819" t="s">
        <v>299</v>
      </c>
      <c r="I2819" t="s">
        <v>139</v>
      </c>
      <c r="J2819" t="s">
        <v>219</v>
      </c>
      <c r="K2819" s="17">
        <v>1</v>
      </c>
      <c r="L2819" s="28" t="s">
        <v>178</v>
      </c>
      <c r="N2819" s="21"/>
      <c r="O2819" s="2"/>
      <c r="P2819" s="2"/>
      <c r="Q2819" s="4"/>
      <c r="R2819" s="4"/>
      <c r="S2819" s="4"/>
      <c r="T2819" s="4"/>
      <c r="U2819" s="4"/>
      <c r="V2819" s="4"/>
    </row>
    <row r="2820" spans="1:22" ht="14.5" customHeight="1" x14ac:dyDescent="0.2">
      <c r="A2820">
        <v>2018</v>
      </c>
      <c r="B2820" t="s">
        <v>225</v>
      </c>
      <c r="C2820" t="s">
        <v>185</v>
      </c>
      <c r="D2820" s="65">
        <v>1130</v>
      </c>
      <c r="E2820" s="33">
        <v>0.25</v>
      </c>
      <c r="F2820" t="s">
        <v>1703</v>
      </c>
      <c r="G2820" t="s">
        <v>144</v>
      </c>
      <c r="H2820" t="s">
        <v>187</v>
      </c>
      <c r="I2820" t="s">
        <v>50</v>
      </c>
      <c r="J2820" t="s">
        <v>205</v>
      </c>
      <c r="K2820" s="17">
        <v>1</v>
      </c>
      <c r="L2820" s="28" t="s">
        <v>178</v>
      </c>
      <c r="N2820" s="21"/>
      <c r="O2820" s="2"/>
      <c r="P2820" s="2"/>
      <c r="Q2820" s="4"/>
      <c r="R2820" s="4"/>
      <c r="S2820" s="4"/>
      <c r="T2820" s="4"/>
      <c r="U2820" s="4"/>
      <c r="V2820" s="4"/>
    </row>
    <row r="2821" spans="1:22" ht="14.5" customHeight="1" x14ac:dyDescent="0.2">
      <c r="A2821">
        <v>2018</v>
      </c>
      <c r="B2821" t="s">
        <v>225</v>
      </c>
      <c r="C2821" t="s">
        <v>185</v>
      </c>
      <c r="D2821" s="65">
        <v>220</v>
      </c>
      <c r="E2821" s="33"/>
      <c r="G2821" t="s">
        <v>144</v>
      </c>
      <c r="H2821" t="s">
        <v>187</v>
      </c>
      <c r="I2821" t="s">
        <v>55</v>
      </c>
      <c r="J2821" t="s">
        <v>214</v>
      </c>
      <c r="K2821" s="17">
        <v>1</v>
      </c>
      <c r="L2821" s="28"/>
      <c r="N2821" s="21"/>
      <c r="O2821" s="2"/>
      <c r="P2821" s="2"/>
      <c r="Q2821" s="4"/>
      <c r="R2821" s="4"/>
      <c r="S2821" s="4"/>
      <c r="T2821" s="4"/>
      <c r="U2821" s="4"/>
      <c r="V2821" s="4"/>
    </row>
    <row r="2822" spans="1:22" ht="14.5" customHeight="1" x14ac:dyDescent="0.2">
      <c r="A2822">
        <v>2018</v>
      </c>
      <c r="B2822" t="s">
        <v>225</v>
      </c>
      <c r="C2822" t="s">
        <v>1231</v>
      </c>
      <c r="D2822" s="65">
        <v>460</v>
      </c>
      <c r="E2822" s="33">
        <v>0.05</v>
      </c>
      <c r="F2822" t="s">
        <v>1232</v>
      </c>
      <c r="G2822" t="s">
        <v>144</v>
      </c>
      <c r="H2822" t="s">
        <v>299</v>
      </c>
      <c r="I2822" t="s">
        <v>9</v>
      </c>
      <c r="J2822" t="s">
        <v>9</v>
      </c>
      <c r="K2822" s="17">
        <v>0</v>
      </c>
      <c r="L2822" s="28"/>
      <c r="N2822" s="21"/>
      <c r="O2822" s="2"/>
      <c r="P2822" s="2"/>
      <c r="Q2822" s="4"/>
      <c r="R2822" s="4"/>
      <c r="S2822" s="4"/>
      <c r="T2822" s="4"/>
      <c r="U2822" s="4"/>
      <c r="V2822" s="4"/>
    </row>
    <row r="2823" spans="1:22" ht="14.5" customHeight="1" x14ac:dyDescent="0.2">
      <c r="A2823">
        <v>2018</v>
      </c>
      <c r="B2823" t="s">
        <v>188</v>
      </c>
      <c r="C2823" t="s">
        <v>246</v>
      </c>
      <c r="D2823" s="65">
        <v>240</v>
      </c>
      <c r="E2823" s="33">
        <v>1</v>
      </c>
      <c r="F2823" t="s">
        <v>1704</v>
      </c>
      <c r="G2823" t="s">
        <v>144</v>
      </c>
      <c r="H2823" t="s">
        <v>197</v>
      </c>
      <c r="I2823" t="s">
        <v>27</v>
      </c>
      <c r="J2823" t="s">
        <v>205</v>
      </c>
      <c r="K2823" s="17">
        <v>1</v>
      </c>
      <c r="L2823" s="28"/>
      <c r="N2823" s="21"/>
      <c r="O2823" s="2"/>
      <c r="P2823" s="2"/>
      <c r="Q2823" s="4"/>
      <c r="R2823" s="4"/>
      <c r="S2823" s="4"/>
      <c r="T2823" s="4"/>
      <c r="U2823" s="4"/>
      <c r="V2823" s="4"/>
    </row>
    <row r="2824" spans="1:22" ht="14.5" customHeight="1" x14ac:dyDescent="0.2">
      <c r="A2824">
        <v>2018</v>
      </c>
      <c r="B2824" t="s">
        <v>188</v>
      </c>
      <c r="C2824" t="s">
        <v>1705</v>
      </c>
      <c r="D2824" s="65">
        <v>860</v>
      </c>
      <c r="E2824" s="33">
        <v>0.45</v>
      </c>
      <c r="F2824" t="s">
        <v>1706</v>
      </c>
      <c r="G2824" t="s">
        <v>154</v>
      </c>
      <c r="H2824" t="s">
        <v>194</v>
      </c>
      <c r="I2824" t="s">
        <v>131</v>
      </c>
      <c r="J2824" t="s">
        <v>131</v>
      </c>
      <c r="K2824" s="17">
        <v>0</v>
      </c>
      <c r="L2824" s="28"/>
      <c r="N2824" s="21"/>
      <c r="O2824" s="2"/>
      <c r="P2824" s="2"/>
      <c r="Q2824" s="4"/>
      <c r="R2824" s="4"/>
      <c r="S2824" s="4"/>
      <c r="T2824" s="4"/>
      <c r="U2824" s="4"/>
      <c r="V2824" s="4"/>
    </row>
    <row r="2825" spans="1:22" ht="14.5" customHeight="1" x14ac:dyDescent="0.2">
      <c r="A2825">
        <v>2018</v>
      </c>
      <c r="B2825" t="s">
        <v>188</v>
      </c>
      <c r="C2825" t="s">
        <v>221</v>
      </c>
      <c r="D2825" s="65">
        <v>560</v>
      </c>
      <c r="E2825" s="33">
        <v>0.2</v>
      </c>
      <c r="F2825" t="s">
        <v>1707</v>
      </c>
      <c r="G2825" t="s">
        <v>149</v>
      </c>
      <c r="I2825" t="s">
        <v>25</v>
      </c>
      <c r="J2825" t="s">
        <v>177</v>
      </c>
      <c r="K2825" s="17">
        <v>0</v>
      </c>
      <c r="L2825" s="28"/>
      <c r="N2825" s="21"/>
      <c r="O2825" s="2"/>
      <c r="P2825" s="2"/>
      <c r="Q2825" s="4"/>
      <c r="R2825" s="4"/>
      <c r="S2825" s="4"/>
      <c r="T2825" s="4"/>
      <c r="U2825" s="4"/>
      <c r="V2825" s="4"/>
    </row>
    <row r="2826" spans="1:22" ht="14.5" customHeight="1" x14ac:dyDescent="0.2">
      <c r="A2826">
        <v>2018</v>
      </c>
      <c r="B2826" t="s">
        <v>188</v>
      </c>
      <c r="C2826" t="s">
        <v>1708</v>
      </c>
      <c r="D2826" s="65">
        <v>1430</v>
      </c>
      <c r="E2826" s="33">
        <v>1</v>
      </c>
      <c r="F2826" t="s">
        <v>1709</v>
      </c>
      <c r="G2826" t="s">
        <v>147</v>
      </c>
      <c r="I2826" t="s">
        <v>9</v>
      </c>
      <c r="J2826" t="s">
        <v>9</v>
      </c>
      <c r="K2826" s="17">
        <v>0</v>
      </c>
      <c r="L2826" s="28"/>
      <c r="N2826" s="21"/>
      <c r="O2826" s="2"/>
      <c r="P2826" s="2"/>
      <c r="Q2826" s="4"/>
      <c r="R2826" s="4"/>
      <c r="S2826" s="4"/>
      <c r="T2826" s="4"/>
      <c r="U2826" s="4"/>
      <c r="V2826" s="4"/>
    </row>
    <row r="2827" spans="1:22" ht="14.5" customHeight="1" x14ac:dyDescent="0.2">
      <c r="A2827">
        <v>2018</v>
      </c>
      <c r="B2827" t="s">
        <v>188</v>
      </c>
      <c r="C2827" t="s">
        <v>1710</v>
      </c>
      <c r="D2827" s="65">
        <v>100</v>
      </c>
      <c r="E2827" s="33"/>
      <c r="F2827" t="s">
        <v>1711</v>
      </c>
      <c r="G2827" t="s">
        <v>145</v>
      </c>
      <c r="I2827" t="s">
        <v>131</v>
      </c>
      <c r="J2827" t="s">
        <v>131</v>
      </c>
      <c r="K2827" s="17">
        <v>0</v>
      </c>
      <c r="L2827" s="28"/>
      <c r="N2827" s="21"/>
      <c r="O2827" s="2"/>
      <c r="P2827" s="2"/>
      <c r="Q2827" s="4"/>
      <c r="R2827" s="4"/>
      <c r="S2827" s="4"/>
      <c r="T2827" s="4"/>
      <c r="U2827" s="4"/>
      <c r="V2827" s="4"/>
    </row>
    <row r="2828" spans="1:22" ht="14.5" customHeight="1" x14ac:dyDescent="0.2">
      <c r="A2828">
        <v>2018</v>
      </c>
      <c r="B2828" t="s">
        <v>188</v>
      </c>
      <c r="C2828" t="s">
        <v>267</v>
      </c>
      <c r="D2828" s="65">
        <v>1300</v>
      </c>
      <c r="E2828" s="33"/>
      <c r="G2828" t="s">
        <v>149</v>
      </c>
      <c r="H2828" t="s">
        <v>236</v>
      </c>
      <c r="I2828" t="s">
        <v>96</v>
      </c>
      <c r="J2828" t="s">
        <v>205</v>
      </c>
      <c r="K2828" s="17">
        <v>1</v>
      </c>
      <c r="L2828" s="28"/>
      <c r="N2828" s="21"/>
      <c r="O2828" s="2"/>
      <c r="P2828" s="2"/>
      <c r="Q2828" s="4"/>
      <c r="R2828" s="4"/>
      <c r="S2828" s="4"/>
      <c r="T2828" s="4"/>
      <c r="U2828" s="4"/>
      <c r="V2828" s="4"/>
    </row>
    <row r="2829" spans="1:22" ht="14.5" customHeight="1" x14ac:dyDescent="0.2">
      <c r="A2829">
        <v>2018</v>
      </c>
      <c r="B2829" t="s">
        <v>188</v>
      </c>
      <c r="C2829" t="s">
        <v>1712</v>
      </c>
      <c r="D2829" s="65">
        <v>150</v>
      </c>
      <c r="E2829" s="33"/>
      <c r="F2829" t="s">
        <v>1713</v>
      </c>
      <c r="G2829" t="s">
        <v>147</v>
      </c>
      <c r="I2829" t="s">
        <v>131</v>
      </c>
      <c r="J2829" t="s">
        <v>131</v>
      </c>
      <c r="K2829" s="17">
        <v>0</v>
      </c>
      <c r="L2829" s="28"/>
      <c r="N2829" s="21"/>
      <c r="O2829" s="2"/>
      <c r="P2829" s="2"/>
      <c r="Q2829" s="4"/>
      <c r="R2829" s="4"/>
      <c r="S2829" s="4"/>
      <c r="T2829" s="4"/>
      <c r="U2829" s="4"/>
      <c r="V2829" s="4"/>
    </row>
    <row r="2830" spans="1:22" ht="14.5" customHeight="1" x14ac:dyDescent="0.2">
      <c r="A2830">
        <v>2018</v>
      </c>
      <c r="B2830" t="s">
        <v>188</v>
      </c>
      <c r="C2830" t="s">
        <v>606</v>
      </c>
      <c r="D2830" s="65">
        <v>160</v>
      </c>
      <c r="E2830" s="33">
        <v>1</v>
      </c>
      <c r="F2830" t="s">
        <v>828</v>
      </c>
      <c r="G2830" t="s">
        <v>154</v>
      </c>
      <c r="H2830" t="s">
        <v>194</v>
      </c>
      <c r="I2830" t="s">
        <v>131</v>
      </c>
      <c r="J2830" t="s">
        <v>131</v>
      </c>
      <c r="K2830" s="17">
        <v>0</v>
      </c>
      <c r="L2830" s="28"/>
      <c r="N2830" s="21"/>
      <c r="O2830" s="2"/>
      <c r="P2830" s="2"/>
      <c r="Q2830" s="4"/>
      <c r="R2830" s="4"/>
      <c r="S2830" s="4"/>
      <c r="T2830" s="4"/>
      <c r="U2830" s="4"/>
      <c r="V2830" s="4"/>
    </row>
    <row r="2831" spans="1:22" ht="14.5" customHeight="1" x14ac:dyDescent="0.2">
      <c r="A2831">
        <v>2018</v>
      </c>
      <c r="B2831" t="s">
        <v>188</v>
      </c>
      <c r="C2831" t="s">
        <v>1505</v>
      </c>
      <c r="D2831" s="65">
        <v>190</v>
      </c>
      <c r="E2831" s="33">
        <v>1</v>
      </c>
      <c r="F2831" t="s">
        <v>1714</v>
      </c>
      <c r="G2831" t="s">
        <v>150</v>
      </c>
      <c r="H2831" t="s">
        <v>217</v>
      </c>
      <c r="I2831" t="s">
        <v>119</v>
      </c>
      <c r="J2831" t="s">
        <v>195</v>
      </c>
      <c r="K2831" s="17">
        <v>0</v>
      </c>
      <c r="L2831" s="28"/>
      <c r="N2831" s="21"/>
      <c r="O2831" s="2"/>
      <c r="P2831" s="2"/>
      <c r="Q2831" s="4"/>
      <c r="R2831" s="4"/>
      <c r="S2831" s="4"/>
      <c r="T2831" s="4"/>
      <c r="U2831" s="4"/>
      <c r="V2831" s="4"/>
    </row>
    <row r="2832" spans="1:22" ht="14.5" customHeight="1" x14ac:dyDescent="0.2">
      <c r="A2832">
        <v>2018</v>
      </c>
      <c r="B2832" t="s">
        <v>188</v>
      </c>
      <c r="C2832" t="s">
        <v>479</v>
      </c>
      <c r="D2832" s="65">
        <v>200</v>
      </c>
      <c r="E2832" s="33">
        <v>1</v>
      </c>
      <c r="G2832" t="s">
        <v>154</v>
      </c>
      <c r="H2832" t="s">
        <v>271</v>
      </c>
      <c r="I2832" t="s">
        <v>108</v>
      </c>
      <c r="J2832" t="s">
        <v>183</v>
      </c>
      <c r="K2832" s="17">
        <v>1</v>
      </c>
      <c r="L2832" s="28"/>
      <c r="N2832" s="21"/>
      <c r="O2832" s="2"/>
      <c r="P2832" s="2"/>
      <c r="Q2832" s="4"/>
      <c r="R2832" s="4"/>
      <c r="S2832" s="4"/>
      <c r="T2832" s="4"/>
      <c r="U2832" s="4"/>
      <c r="V2832" s="4"/>
    </row>
    <row r="2833" spans="1:22" ht="14.5" customHeight="1" x14ac:dyDescent="0.2">
      <c r="A2833">
        <v>2018</v>
      </c>
      <c r="B2833" t="s">
        <v>188</v>
      </c>
      <c r="C2833" t="s">
        <v>554</v>
      </c>
      <c r="D2833" s="65">
        <v>650</v>
      </c>
      <c r="E2833" s="33">
        <v>1</v>
      </c>
      <c r="F2833" t="s">
        <v>1715</v>
      </c>
      <c r="G2833" t="s">
        <v>150</v>
      </c>
      <c r="H2833" t="s">
        <v>217</v>
      </c>
      <c r="I2833" t="s">
        <v>45</v>
      </c>
      <c r="J2833" t="s">
        <v>195</v>
      </c>
      <c r="K2833" s="17">
        <v>0</v>
      </c>
      <c r="L2833" s="28"/>
      <c r="N2833" s="21"/>
      <c r="O2833" s="2"/>
      <c r="P2833" s="2"/>
      <c r="Q2833" s="4"/>
      <c r="R2833" s="4"/>
      <c r="S2833" s="4"/>
      <c r="T2833" s="4"/>
      <c r="U2833" s="4"/>
      <c r="V2833" s="4"/>
    </row>
    <row r="2834" spans="1:22" ht="14.5" customHeight="1" x14ac:dyDescent="0.2">
      <c r="A2834">
        <v>2018</v>
      </c>
      <c r="B2834" t="s">
        <v>188</v>
      </c>
      <c r="C2834" t="s">
        <v>414</v>
      </c>
      <c r="D2834" s="65">
        <v>710</v>
      </c>
      <c r="E2834" s="33"/>
      <c r="F2834" t="s">
        <v>1158</v>
      </c>
      <c r="G2834" t="s">
        <v>154</v>
      </c>
      <c r="H2834" t="s">
        <v>194</v>
      </c>
      <c r="I2834" t="s">
        <v>45</v>
      </c>
      <c r="J2834" t="s">
        <v>195</v>
      </c>
      <c r="K2834" s="17">
        <v>0</v>
      </c>
      <c r="L2834" s="28"/>
      <c r="N2834" s="21"/>
      <c r="O2834" s="2"/>
      <c r="P2834" s="2"/>
      <c r="Q2834" s="4"/>
      <c r="R2834" s="4"/>
      <c r="S2834" s="4"/>
      <c r="T2834" s="4"/>
      <c r="U2834" s="4"/>
      <c r="V2834" s="4"/>
    </row>
    <row r="2835" spans="1:22" ht="14.5" customHeight="1" x14ac:dyDescent="0.2">
      <c r="A2835">
        <v>2018</v>
      </c>
      <c r="B2835" t="s">
        <v>188</v>
      </c>
      <c r="C2835" t="s">
        <v>1716</v>
      </c>
      <c r="D2835" s="65">
        <v>280</v>
      </c>
      <c r="E2835" s="33">
        <v>0.9</v>
      </c>
      <c r="F2835" t="s">
        <v>175</v>
      </c>
      <c r="G2835" t="s">
        <v>149</v>
      </c>
      <c r="I2835" t="s">
        <v>67</v>
      </c>
      <c r="J2835" t="s">
        <v>183</v>
      </c>
      <c r="K2835" s="17">
        <v>1</v>
      </c>
      <c r="L2835" s="28"/>
      <c r="N2835" s="21"/>
      <c r="O2835" s="2"/>
      <c r="P2835" s="2"/>
      <c r="Q2835" s="4"/>
      <c r="R2835" s="4"/>
      <c r="S2835" s="4"/>
      <c r="T2835" s="4"/>
      <c r="U2835" s="4"/>
      <c r="V2835" s="4"/>
    </row>
    <row r="2836" spans="1:22" ht="14.5" customHeight="1" x14ac:dyDescent="0.2">
      <c r="A2836">
        <v>2018</v>
      </c>
      <c r="B2836" t="s">
        <v>188</v>
      </c>
      <c r="C2836" t="s">
        <v>1717</v>
      </c>
      <c r="D2836" s="65">
        <v>370</v>
      </c>
      <c r="E2836" s="33">
        <v>0.32</v>
      </c>
      <c r="F2836" t="s">
        <v>1718</v>
      </c>
      <c r="G2836" t="s">
        <v>145</v>
      </c>
      <c r="I2836" t="s">
        <v>108</v>
      </c>
      <c r="J2836" t="s">
        <v>183</v>
      </c>
      <c r="K2836" s="17">
        <v>1</v>
      </c>
      <c r="L2836" s="28"/>
      <c r="N2836" s="21"/>
      <c r="O2836" s="2"/>
      <c r="P2836" s="2"/>
      <c r="Q2836" s="4"/>
      <c r="R2836" s="4"/>
      <c r="S2836" s="4"/>
      <c r="T2836" s="4"/>
      <c r="U2836" s="4"/>
      <c r="V2836" s="4"/>
    </row>
    <row r="2837" spans="1:22" ht="14.5" customHeight="1" x14ac:dyDescent="0.2">
      <c r="A2837">
        <v>2018</v>
      </c>
      <c r="B2837" t="s">
        <v>188</v>
      </c>
      <c r="C2837" t="s">
        <v>185</v>
      </c>
      <c r="D2837" s="65">
        <v>310</v>
      </c>
      <c r="E2837" s="33"/>
      <c r="G2837" t="s">
        <v>144</v>
      </c>
      <c r="H2837" t="s">
        <v>187</v>
      </c>
      <c r="I2837" t="s">
        <v>25</v>
      </c>
      <c r="J2837" t="s">
        <v>177</v>
      </c>
      <c r="K2837" s="17">
        <v>0</v>
      </c>
      <c r="L2837" s="28"/>
      <c r="N2837" s="21"/>
      <c r="O2837" s="2"/>
      <c r="P2837" s="2"/>
      <c r="Q2837" s="4"/>
      <c r="R2837" s="4"/>
      <c r="S2837" s="4"/>
      <c r="T2837" s="4"/>
      <c r="U2837" s="4"/>
      <c r="V2837" s="4"/>
    </row>
    <row r="2838" spans="1:22" ht="14.5" customHeight="1" x14ac:dyDescent="0.2">
      <c r="A2838">
        <v>2018</v>
      </c>
      <c r="B2838" t="s">
        <v>188</v>
      </c>
      <c r="C2838" t="s">
        <v>577</v>
      </c>
      <c r="D2838" s="65">
        <v>120</v>
      </c>
      <c r="E2838" s="33"/>
      <c r="G2838" t="s">
        <v>150</v>
      </c>
      <c r="H2838" t="s">
        <v>556</v>
      </c>
      <c r="I2838" t="s">
        <v>131</v>
      </c>
      <c r="J2838" t="s">
        <v>131</v>
      </c>
      <c r="K2838" s="17">
        <v>0</v>
      </c>
      <c r="L2838" s="28"/>
      <c r="N2838" s="21"/>
      <c r="O2838" s="2"/>
      <c r="P2838" s="2"/>
      <c r="Q2838" s="4"/>
      <c r="R2838" s="4"/>
      <c r="S2838" s="4"/>
      <c r="T2838" s="4"/>
      <c r="U2838" s="4"/>
      <c r="V2838" s="4"/>
    </row>
    <row r="2839" spans="1:22" ht="14.5" customHeight="1" x14ac:dyDescent="0.2">
      <c r="A2839">
        <v>2018</v>
      </c>
      <c r="B2839" t="s">
        <v>188</v>
      </c>
      <c r="C2839" t="s">
        <v>880</v>
      </c>
      <c r="D2839" s="65">
        <v>140</v>
      </c>
      <c r="E2839" s="33">
        <v>0.51</v>
      </c>
      <c r="F2839" t="s">
        <v>1719</v>
      </c>
      <c r="G2839" t="s">
        <v>147</v>
      </c>
      <c r="I2839" t="s">
        <v>20</v>
      </c>
      <c r="J2839" t="s">
        <v>195</v>
      </c>
      <c r="K2839" s="17">
        <v>0</v>
      </c>
      <c r="L2839" s="28"/>
      <c r="N2839" s="21"/>
      <c r="O2839" s="2"/>
      <c r="P2839" s="2"/>
      <c r="Q2839" s="4"/>
      <c r="R2839" s="4"/>
      <c r="S2839" s="4"/>
      <c r="T2839" s="4"/>
      <c r="U2839" s="4"/>
      <c r="V2839" s="4"/>
    </row>
    <row r="2840" spans="1:22" ht="14.5" customHeight="1" x14ac:dyDescent="0.2">
      <c r="A2840">
        <v>2018</v>
      </c>
      <c r="B2840" t="s">
        <v>191</v>
      </c>
      <c r="C2840" t="s">
        <v>1270</v>
      </c>
      <c r="D2840" s="65">
        <v>110</v>
      </c>
      <c r="E2840" s="33"/>
      <c r="F2840" t="s">
        <v>1720</v>
      </c>
      <c r="G2840" t="s">
        <v>154</v>
      </c>
      <c r="H2840" t="s">
        <v>194</v>
      </c>
      <c r="I2840" t="s">
        <v>20</v>
      </c>
      <c r="J2840" t="s">
        <v>195</v>
      </c>
      <c r="K2840" s="17">
        <v>0</v>
      </c>
      <c r="L2840" s="28"/>
      <c r="N2840" s="21"/>
      <c r="O2840" s="2"/>
      <c r="P2840" s="2"/>
      <c r="Q2840" s="4"/>
      <c r="R2840" s="4"/>
      <c r="S2840" s="4"/>
      <c r="T2840" s="4"/>
      <c r="U2840" s="4"/>
      <c r="V2840" s="4"/>
    </row>
    <row r="2841" spans="1:22" ht="14.5" customHeight="1" x14ac:dyDescent="0.2">
      <c r="A2841">
        <v>2018</v>
      </c>
      <c r="B2841" t="s">
        <v>191</v>
      </c>
      <c r="C2841" t="s">
        <v>1270</v>
      </c>
      <c r="D2841" s="65">
        <v>2570</v>
      </c>
      <c r="E2841" s="33">
        <v>1</v>
      </c>
      <c r="F2841" t="s">
        <v>1721</v>
      </c>
      <c r="G2841" t="s">
        <v>152</v>
      </c>
      <c r="I2841" t="s">
        <v>42</v>
      </c>
      <c r="J2841" t="s">
        <v>195</v>
      </c>
      <c r="K2841" s="17">
        <v>0</v>
      </c>
      <c r="L2841" s="28"/>
      <c r="N2841" s="21"/>
      <c r="O2841" s="2"/>
      <c r="P2841" s="2"/>
      <c r="Q2841" s="4"/>
      <c r="R2841" s="4"/>
      <c r="S2841" s="4"/>
      <c r="T2841" s="4"/>
      <c r="U2841" s="4"/>
      <c r="V2841" s="4"/>
    </row>
    <row r="2842" spans="1:22" ht="14.5" customHeight="1" x14ac:dyDescent="0.2">
      <c r="A2842">
        <v>2018</v>
      </c>
      <c r="B2842" t="s">
        <v>191</v>
      </c>
      <c r="C2842" t="s">
        <v>1722</v>
      </c>
      <c r="D2842" s="65">
        <v>2440</v>
      </c>
      <c r="E2842" s="33">
        <v>0.25</v>
      </c>
      <c r="F2842" t="s">
        <v>1417</v>
      </c>
      <c r="G2842" t="s">
        <v>152</v>
      </c>
      <c r="H2842" t="s">
        <v>257</v>
      </c>
      <c r="I2842" t="s">
        <v>20</v>
      </c>
      <c r="J2842" t="s">
        <v>195</v>
      </c>
      <c r="K2842" s="17">
        <v>0</v>
      </c>
      <c r="L2842" s="28"/>
      <c r="N2842" s="21"/>
      <c r="O2842" s="2"/>
      <c r="P2842" s="2"/>
      <c r="Q2842" s="4"/>
      <c r="R2842" s="4"/>
      <c r="S2842" s="4"/>
      <c r="T2842" s="4"/>
      <c r="U2842" s="4"/>
      <c r="V2842" s="4"/>
    </row>
    <row r="2843" spans="1:22" ht="14.5" customHeight="1" x14ac:dyDescent="0.2">
      <c r="A2843">
        <v>2018</v>
      </c>
      <c r="B2843" t="s">
        <v>191</v>
      </c>
      <c r="C2843" t="s">
        <v>285</v>
      </c>
      <c r="D2843" s="65">
        <v>470</v>
      </c>
      <c r="E2843" s="33">
        <v>0.25</v>
      </c>
      <c r="F2843" t="s">
        <v>1723</v>
      </c>
      <c r="G2843" t="s">
        <v>155</v>
      </c>
      <c r="I2843" t="s">
        <v>69</v>
      </c>
      <c r="J2843" t="s">
        <v>195</v>
      </c>
      <c r="K2843" s="17">
        <v>1</v>
      </c>
      <c r="L2843" s="28"/>
      <c r="N2843" s="21"/>
      <c r="O2843" s="2"/>
      <c r="P2843" s="2"/>
      <c r="Q2843" s="4"/>
      <c r="R2843" s="4"/>
      <c r="S2843" s="4"/>
      <c r="T2843" s="4"/>
      <c r="U2843" s="4"/>
      <c r="V2843" s="4"/>
    </row>
    <row r="2844" spans="1:22" ht="14.5" customHeight="1" x14ac:dyDescent="0.2">
      <c r="A2844">
        <v>2018</v>
      </c>
      <c r="B2844" t="s">
        <v>191</v>
      </c>
      <c r="C2844" t="s">
        <v>474</v>
      </c>
      <c r="D2844" s="65">
        <v>500</v>
      </c>
      <c r="E2844" s="33">
        <v>0.28000000000000003</v>
      </c>
      <c r="F2844" t="s">
        <v>1698</v>
      </c>
      <c r="G2844" t="s">
        <v>142</v>
      </c>
      <c r="I2844" t="s">
        <v>62</v>
      </c>
      <c r="J2844" t="s">
        <v>214</v>
      </c>
      <c r="K2844" s="17">
        <v>1</v>
      </c>
      <c r="L2844" s="28"/>
      <c r="N2844" s="21"/>
      <c r="O2844" s="2"/>
      <c r="P2844" s="2"/>
      <c r="Q2844" s="4"/>
      <c r="R2844" s="4"/>
      <c r="S2844" s="4"/>
      <c r="T2844" s="4"/>
      <c r="U2844" s="4"/>
      <c r="V2844" s="4"/>
    </row>
    <row r="2845" spans="1:22" ht="14.5" customHeight="1" x14ac:dyDescent="0.2">
      <c r="A2845">
        <v>2018</v>
      </c>
      <c r="B2845" t="s">
        <v>191</v>
      </c>
      <c r="C2845" t="s">
        <v>241</v>
      </c>
      <c r="D2845" s="65">
        <v>250</v>
      </c>
      <c r="E2845" s="33"/>
      <c r="F2845" t="s">
        <v>453</v>
      </c>
      <c r="G2845" t="s">
        <v>144</v>
      </c>
      <c r="H2845" t="s">
        <v>187</v>
      </c>
      <c r="I2845" t="s">
        <v>135</v>
      </c>
      <c r="J2845" t="s">
        <v>205</v>
      </c>
      <c r="K2845" s="17">
        <v>1</v>
      </c>
      <c r="L2845" s="28" t="s">
        <v>178</v>
      </c>
      <c r="N2845" s="21"/>
      <c r="O2845" s="2"/>
      <c r="P2845" s="2"/>
      <c r="Q2845" s="4"/>
      <c r="R2845" s="4"/>
      <c r="S2845" s="4"/>
      <c r="T2845" s="4"/>
      <c r="U2845" s="4"/>
      <c r="V2845" s="4"/>
    </row>
    <row r="2846" spans="1:22" ht="14.5" customHeight="1" x14ac:dyDescent="0.2">
      <c r="A2846">
        <v>2018</v>
      </c>
      <c r="B2846" t="s">
        <v>191</v>
      </c>
      <c r="C2846" t="s">
        <v>300</v>
      </c>
      <c r="D2846" s="65">
        <v>1030</v>
      </c>
      <c r="E2846" s="33">
        <v>0.24</v>
      </c>
      <c r="F2846" t="s">
        <v>1247</v>
      </c>
      <c r="G2846" t="s">
        <v>144</v>
      </c>
      <c r="H2846" t="s">
        <v>232</v>
      </c>
      <c r="I2846" t="s">
        <v>130</v>
      </c>
      <c r="J2846" t="s">
        <v>214</v>
      </c>
      <c r="K2846" s="17">
        <v>1</v>
      </c>
      <c r="L2846" s="28"/>
      <c r="N2846" s="21"/>
      <c r="O2846" s="2"/>
      <c r="P2846" s="2"/>
      <c r="Q2846" s="4"/>
      <c r="R2846" s="4"/>
      <c r="S2846" s="4"/>
      <c r="T2846" s="4"/>
      <c r="U2846" s="4"/>
      <c r="V2846" s="4"/>
    </row>
    <row r="2847" spans="1:22" ht="14.5" customHeight="1" x14ac:dyDescent="0.2">
      <c r="A2847">
        <v>2018</v>
      </c>
      <c r="B2847" t="s">
        <v>191</v>
      </c>
      <c r="C2847" t="s">
        <v>943</v>
      </c>
      <c r="D2847" s="65">
        <v>710</v>
      </c>
      <c r="E2847" s="33">
        <v>0.75</v>
      </c>
      <c r="F2847" t="s">
        <v>1724</v>
      </c>
      <c r="G2847" t="s">
        <v>144</v>
      </c>
      <c r="H2847" t="s">
        <v>232</v>
      </c>
      <c r="I2847" t="s">
        <v>118</v>
      </c>
      <c r="J2847" t="s">
        <v>195</v>
      </c>
      <c r="K2847" s="17">
        <v>0</v>
      </c>
      <c r="L2847" s="28"/>
      <c r="N2847" s="21"/>
      <c r="O2847" s="2"/>
      <c r="P2847" s="2"/>
      <c r="Q2847" s="4"/>
      <c r="R2847" s="4"/>
      <c r="S2847" s="4"/>
      <c r="T2847" s="4"/>
      <c r="U2847" s="4"/>
      <c r="V2847" s="4"/>
    </row>
    <row r="2848" spans="1:22" ht="14.5" customHeight="1" x14ac:dyDescent="0.2">
      <c r="A2848">
        <v>2018</v>
      </c>
      <c r="B2848" t="s">
        <v>191</v>
      </c>
      <c r="C2848" t="s">
        <v>1725</v>
      </c>
      <c r="D2848" s="65">
        <v>160</v>
      </c>
      <c r="E2848" s="33">
        <v>1</v>
      </c>
      <c r="G2848" t="s">
        <v>150</v>
      </c>
      <c r="H2848" t="s">
        <v>226</v>
      </c>
      <c r="I2848" t="s">
        <v>63</v>
      </c>
      <c r="J2848" t="s">
        <v>201</v>
      </c>
      <c r="K2848" s="17">
        <v>1</v>
      </c>
      <c r="L2848" s="28"/>
      <c r="N2848" s="21"/>
      <c r="O2848" s="2"/>
      <c r="P2848" s="2"/>
      <c r="Q2848" s="4"/>
      <c r="R2848" s="4"/>
      <c r="S2848" s="4"/>
      <c r="T2848" s="4"/>
      <c r="U2848" s="4"/>
      <c r="V2848" s="4"/>
    </row>
    <row r="2849" spans="1:22" ht="14.5" customHeight="1" x14ac:dyDescent="0.2">
      <c r="A2849">
        <v>2018</v>
      </c>
      <c r="B2849" t="s">
        <v>191</v>
      </c>
      <c r="C2849" t="s">
        <v>424</v>
      </c>
      <c r="D2849" s="65">
        <v>640</v>
      </c>
      <c r="E2849" s="33"/>
      <c r="G2849" t="s">
        <v>150</v>
      </c>
      <c r="H2849" t="s">
        <v>226</v>
      </c>
      <c r="I2849" t="s">
        <v>67</v>
      </c>
      <c r="J2849" t="s">
        <v>183</v>
      </c>
      <c r="K2849" s="17">
        <v>1</v>
      </c>
      <c r="L2849" s="28"/>
      <c r="N2849" s="21"/>
      <c r="O2849" s="2"/>
      <c r="P2849" s="2"/>
      <c r="Q2849" s="4"/>
      <c r="R2849" s="4"/>
      <c r="S2849" s="4"/>
      <c r="T2849" s="4"/>
      <c r="U2849" s="4"/>
      <c r="V2849" s="4"/>
    </row>
    <row r="2850" spans="1:22" ht="14.5" customHeight="1" x14ac:dyDescent="0.2">
      <c r="A2850">
        <v>2018</v>
      </c>
      <c r="B2850" t="s">
        <v>191</v>
      </c>
      <c r="C2850" t="s">
        <v>751</v>
      </c>
      <c r="D2850" s="65">
        <v>170</v>
      </c>
      <c r="E2850" s="33">
        <v>0.05</v>
      </c>
      <c r="F2850" t="s">
        <v>1726</v>
      </c>
      <c r="G2850" t="s">
        <v>151</v>
      </c>
      <c r="H2850" t="s">
        <v>224</v>
      </c>
      <c r="I2850" t="s">
        <v>131</v>
      </c>
      <c r="J2850" t="s">
        <v>131</v>
      </c>
      <c r="K2850" s="17">
        <v>0</v>
      </c>
      <c r="L2850" s="28"/>
      <c r="N2850" s="21"/>
      <c r="O2850" s="2"/>
      <c r="P2850" s="2"/>
      <c r="Q2850" s="4"/>
      <c r="R2850" s="4"/>
      <c r="S2850" s="4"/>
      <c r="T2850" s="4"/>
      <c r="U2850" s="4"/>
      <c r="V2850" s="4"/>
    </row>
    <row r="2851" spans="1:22" ht="14.5" customHeight="1" x14ac:dyDescent="0.2">
      <c r="A2851">
        <v>2018</v>
      </c>
      <c r="B2851" t="s">
        <v>191</v>
      </c>
      <c r="C2851" t="s">
        <v>1061</v>
      </c>
      <c r="D2851" s="65">
        <v>100</v>
      </c>
      <c r="E2851" s="33">
        <v>0.5</v>
      </c>
      <c r="F2851" t="s">
        <v>1727</v>
      </c>
      <c r="G2851" t="s">
        <v>154</v>
      </c>
      <c r="H2851" t="s">
        <v>194</v>
      </c>
      <c r="I2851" t="s">
        <v>131</v>
      </c>
      <c r="J2851" t="s">
        <v>131</v>
      </c>
      <c r="K2851" s="17">
        <v>0</v>
      </c>
      <c r="L2851" s="28" t="s">
        <v>178</v>
      </c>
      <c r="N2851" s="21"/>
      <c r="O2851" s="2"/>
      <c r="P2851" s="2"/>
      <c r="Q2851" s="4"/>
      <c r="R2851" s="4"/>
      <c r="S2851" s="4"/>
      <c r="T2851" s="4"/>
      <c r="U2851" s="4"/>
      <c r="V2851" s="4"/>
    </row>
    <row r="2852" spans="1:22" ht="14.5" customHeight="1" x14ac:dyDescent="0.2">
      <c r="A2852">
        <v>2018</v>
      </c>
      <c r="B2852" t="s">
        <v>191</v>
      </c>
      <c r="C2852" t="s">
        <v>1607</v>
      </c>
      <c r="D2852" s="65">
        <v>100</v>
      </c>
      <c r="E2852" s="33"/>
      <c r="F2852" t="s">
        <v>1728</v>
      </c>
      <c r="G2852" t="s">
        <v>154</v>
      </c>
      <c r="H2852" t="s">
        <v>194</v>
      </c>
      <c r="I2852" t="s">
        <v>131</v>
      </c>
      <c r="J2852" t="s">
        <v>131</v>
      </c>
      <c r="K2852" s="17">
        <v>0</v>
      </c>
      <c r="L2852" s="28"/>
      <c r="N2852" s="21"/>
      <c r="O2852" s="2"/>
      <c r="P2852" s="2"/>
      <c r="Q2852" s="4"/>
      <c r="R2852" s="4"/>
      <c r="S2852" s="4"/>
      <c r="T2852" s="4"/>
      <c r="U2852" s="4"/>
      <c r="V2852" s="4"/>
    </row>
    <row r="2853" spans="1:22" ht="14.5" customHeight="1" x14ac:dyDescent="0.2">
      <c r="A2853">
        <v>2018</v>
      </c>
      <c r="B2853" t="s">
        <v>191</v>
      </c>
      <c r="C2853" t="s">
        <v>1729</v>
      </c>
      <c r="D2853" s="65">
        <v>120</v>
      </c>
      <c r="E2853" s="33"/>
      <c r="G2853" t="s">
        <v>151</v>
      </c>
      <c r="H2853" t="s">
        <v>224</v>
      </c>
      <c r="I2853" t="s">
        <v>9</v>
      </c>
      <c r="J2853" t="s">
        <v>9</v>
      </c>
      <c r="K2853" s="17">
        <v>0</v>
      </c>
      <c r="L2853" s="28" t="s">
        <v>178</v>
      </c>
      <c r="N2853" s="21"/>
      <c r="O2853" s="2"/>
      <c r="P2853" s="2"/>
      <c r="Q2853" s="4"/>
      <c r="R2853" s="4"/>
      <c r="S2853" s="4"/>
      <c r="T2853" s="4"/>
      <c r="U2853" s="4"/>
      <c r="V2853" s="4"/>
    </row>
    <row r="2854" spans="1:22" ht="14.5" customHeight="1" x14ac:dyDescent="0.2">
      <c r="A2854">
        <v>2018</v>
      </c>
      <c r="B2854" t="s">
        <v>191</v>
      </c>
      <c r="C2854" t="s">
        <v>1730</v>
      </c>
      <c r="D2854" s="65">
        <v>840</v>
      </c>
      <c r="E2854" s="33"/>
      <c r="G2854" t="s">
        <v>151</v>
      </c>
      <c r="H2854" t="s">
        <v>224</v>
      </c>
      <c r="I2854" t="s">
        <v>72</v>
      </c>
      <c r="J2854" t="s">
        <v>183</v>
      </c>
      <c r="K2854" s="17">
        <v>1</v>
      </c>
      <c r="L2854" s="28" t="s">
        <v>178</v>
      </c>
      <c r="N2854" s="21"/>
      <c r="O2854" s="2"/>
      <c r="P2854" s="2"/>
      <c r="Q2854" s="4"/>
      <c r="R2854" s="4"/>
      <c r="S2854" s="4"/>
      <c r="T2854" s="4"/>
      <c r="U2854" s="4"/>
      <c r="V2854" s="4"/>
    </row>
    <row r="2855" spans="1:22" ht="14.5" customHeight="1" x14ac:dyDescent="0.2">
      <c r="A2855">
        <v>2018</v>
      </c>
      <c r="B2855" t="s">
        <v>198</v>
      </c>
      <c r="C2855" t="s">
        <v>1318</v>
      </c>
      <c r="D2855" s="65">
        <v>540</v>
      </c>
      <c r="E2855" s="33">
        <v>0.01</v>
      </c>
      <c r="F2855" t="s">
        <v>1731</v>
      </c>
      <c r="G2855" t="s">
        <v>142</v>
      </c>
      <c r="I2855" t="s">
        <v>85</v>
      </c>
      <c r="J2855" t="s">
        <v>195</v>
      </c>
      <c r="K2855" s="17">
        <v>0</v>
      </c>
      <c r="L2855" s="28"/>
      <c r="N2855" s="21"/>
      <c r="O2855" s="2"/>
      <c r="P2855" s="2"/>
      <c r="Q2855" s="4"/>
      <c r="R2855" s="4"/>
      <c r="S2855" s="4"/>
      <c r="T2855" s="4"/>
      <c r="U2855" s="4"/>
      <c r="V2855" s="4"/>
    </row>
    <row r="2856" spans="1:22" ht="15" customHeight="1" x14ac:dyDescent="0.2">
      <c r="A2856">
        <v>2018</v>
      </c>
      <c r="B2856" t="s">
        <v>198</v>
      </c>
      <c r="C2856" t="s">
        <v>559</v>
      </c>
      <c r="D2856" s="65">
        <v>690</v>
      </c>
      <c r="E2856" s="33">
        <v>0.63</v>
      </c>
      <c r="F2856" t="s">
        <v>1732</v>
      </c>
      <c r="G2856" t="s">
        <v>149</v>
      </c>
      <c r="H2856" t="s">
        <v>236</v>
      </c>
      <c r="I2856" t="s">
        <v>106</v>
      </c>
      <c r="J2856" t="s">
        <v>195</v>
      </c>
      <c r="K2856" s="17">
        <v>1</v>
      </c>
      <c r="L2856" s="28"/>
      <c r="N2856" s="21"/>
      <c r="O2856" s="2"/>
      <c r="P2856" s="2"/>
      <c r="Q2856" s="4"/>
      <c r="R2856" s="4"/>
      <c r="S2856" s="4"/>
      <c r="T2856" s="4"/>
      <c r="U2856" s="4"/>
      <c r="V2856" s="4"/>
    </row>
    <row r="2857" spans="1:22" ht="14.5" customHeight="1" x14ac:dyDescent="0.2">
      <c r="A2857">
        <v>2018</v>
      </c>
      <c r="B2857" t="s">
        <v>198</v>
      </c>
      <c r="C2857" t="s">
        <v>1655</v>
      </c>
      <c r="D2857" s="65">
        <v>2130</v>
      </c>
      <c r="E2857" s="33"/>
      <c r="G2857" t="s">
        <v>149</v>
      </c>
      <c r="H2857" t="s">
        <v>182</v>
      </c>
      <c r="I2857" t="s">
        <v>13</v>
      </c>
      <c r="J2857" t="s">
        <v>201</v>
      </c>
      <c r="K2857" s="17">
        <v>1</v>
      </c>
      <c r="L2857" s="28" t="s">
        <v>178</v>
      </c>
      <c r="N2857" s="21"/>
      <c r="O2857" s="2"/>
      <c r="P2857" s="2"/>
      <c r="Q2857" s="4"/>
      <c r="R2857" s="4"/>
      <c r="S2857" s="4"/>
      <c r="T2857" s="4"/>
      <c r="U2857" s="4"/>
      <c r="V2857" s="4"/>
    </row>
    <row r="2858" spans="1:22" ht="14.5" customHeight="1" x14ac:dyDescent="0.2">
      <c r="A2858">
        <v>2018</v>
      </c>
      <c r="B2858" t="s">
        <v>198</v>
      </c>
      <c r="C2858" t="s">
        <v>557</v>
      </c>
      <c r="D2858" s="65">
        <v>180</v>
      </c>
      <c r="E2858" s="33"/>
      <c r="G2858" t="s">
        <v>150</v>
      </c>
      <c r="H2858" t="s">
        <v>217</v>
      </c>
      <c r="I2858" t="s">
        <v>38</v>
      </c>
      <c r="J2858" t="s">
        <v>214</v>
      </c>
      <c r="K2858" s="17">
        <v>1</v>
      </c>
      <c r="L2858" s="28"/>
      <c r="N2858" s="21"/>
      <c r="O2858" s="2"/>
      <c r="P2858" s="2"/>
      <c r="Q2858" s="4"/>
      <c r="R2858" s="4"/>
      <c r="S2858" s="4"/>
      <c r="T2858" s="4"/>
      <c r="U2858" s="4"/>
      <c r="V2858" s="4"/>
    </row>
    <row r="2859" spans="1:22" ht="14.5" customHeight="1" x14ac:dyDescent="0.2">
      <c r="A2859">
        <v>2018</v>
      </c>
      <c r="B2859" t="s">
        <v>198</v>
      </c>
      <c r="C2859" t="s">
        <v>1654</v>
      </c>
      <c r="D2859" s="65">
        <v>170</v>
      </c>
      <c r="E2859" s="33">
        <v>1</v>
      </c>
      <c r="G2859" t="s">
        <v>150</v>
      </c>
      <c r="H2859" t="s">
        <v>226</v>
      </c>
      <c r="I2859" t="s">
        <v>131</v>
      </c>
      <c r="J2859" t="s">
        <v>131</v>
      </c>
      <c r="K2859" s="17">
        <v>0</v>
      </c>
      <c r="L2859" s="28"/>
      <c r="N2859" s="21"/>
      <c r="O2859" s="2"/>
      <c r="P2859" s="2"/>
      <c r="Q2859" s="4"/>
      <c r="R2859" s="4"/>
      <c r="S2859" s="4"/>
      <c r="T2859" s="4"/>
      <c r="U2859" s="4"/>
      <c r="V2859" s="4"/>
    </row>
    <row r="2860" spans="1:22" ht="14.5" customHeight="1" x14ac:dyDescent="0.2">
      <c r="A2860">
        <v>2018</v>
      </c>
      <c r="B2860" t="s">
        <v>198</v>
      </c>
      <c r="C2860" t="s">
        <v>1685</v>
      </c>
      <c r="D2860" s="65">
        <v>220</v>
      </c>
      <c r="E2860" s="33">
        <v>1</v>
      </c>
      <c r="F2860" t="s">
        <v>1733</v>
      </c>
      <c r="G2860" t="s">
        <v>147</v>
      </c>
      <c r="I2860" t="s">
        <v>20</v>
      </c>
      <c r="J2860" t="s">
        <v>195</v>
      </c>
      <c r="K2860" s="17">
        <v>0</v>
      </c>
      <c r="L2860" s="28"/>
      <c r="N2860" s="21"/>
      <c r="O2860" s="2"/>
      <c r="P2860" s="2"/>
      <c r="Q2860" s="4"/>
      <c r="R2860" s="4"/>
      <c r="S2860" s="4"/>
      <c r="T2860" s="4"/>
      <c r="U2860" s="4"/>
      <c r="V2860" s="4"/>
    </row>
    <row r="2861" spans="1:22" ht="14.5" customHeight="1" x14ac:dyDescent="0.2">
      <c r="A2861">
        <v>2018</v>
      </c>
      <c r="B2861" t="s">
        <v>198</v>
      </c>
      <c r="C2861" s="17" t="s">
        <v>630</v>
      </c>
      <c r="D2861" s="65">
        <v>160</v>
      </c>
      <c r="E2861" s="33">
        <v>0.2</v>
      </c>
      <c r="F2861" t="s">
        <v>1734</v>
      </c>
      <c r="G2861" t="s">
        <v>154</v>
      </c>
      <c r="H2861" t="s">
        <v>194</v>
      </c>
      <c r="I2861" t="s">
        <v>25</v>
      </c>
      <c r="J2861" t="s">
        <v>177</v>
      </c>
      <c r="K2861" s="17">
        <v>0</v>
      </c>
      <c r="L2861" s="28"/>
      <c r="N2861" s="21"/>
      <c r="O2861" s="2"/>
      <c r="P2861" s="2"/>
      <c r="Q2861" s="4"/>
      <c r="R2861" s="4"/>
      <c r="S2861" s="4"/>
      <c r="T2861" s="4"/>
      <c r="U2861" s="4"/>
      <c r="V2861" s="4"/>
    </row>
    <row r="2862" spans="1:22" ht="14.5" customHeight="1" x14ac:dyDescent="0.2">
      <c r="A2862">
        <v>2018</v>
      </c>
      <c r="B2862" t="s">
        <v>198</v>
      </c>
      <c r="C2862" t="s">
        <v>1287</v>
      </c>
      <c r="D2862" s="65">
        <v>1070</v>
      </c>
      <c r="E2862" s="33">
        <v>0.75</v>
      </c>
      <c r="F2862" t="s">
        <v>1735</v>
      </c>
      <c r="G2862" t="s">
        <v>154</v>
      </c>
      <c r="H2862" t="s">
        <v>194</v>
      </c>
      <c r="I2862" t="s">
        <v>61</v>
      </c>
      <c r="J2862" t="s">
        <v>183</v>
      </c>
      <c r="K2862" s="17">
        <v>0</v>
      </c>
      <c r="L2862" s="28"/>
      <c r="N2862" s="21"/>
      <c r="O2862" s="2"/>
      <c r="P2862" s="2"/>
      <c r="Q2862" s="4"/>
      <c r="R2862" s="4"/>
      <c r="S2862" s="4"/>
      <c r="T2862" s="4"/>
      <c r="U2862" s="4"/>
      <c r="V2862" s="4"/>
    </row>
    <row r="2863" spans="1:22" ht="14.5" customHeight="1" x14ac:dyDescent="0.2">
      <c r="A2863">
        <v>2018</v>
      </c>
      <c r="B2863" t="s">
        <v>198</v>
      </c>
      <c r="C2863" t="s">
        <v>1736</v>
      </c>
      <c r="D2863" s="65">
        <v>200</v>
      </c>
      <c r="E2863" s="33">
        <v>1</v>
      </c>
      <c r="G2863" t="s">
        <v>152</v>
      </c>
      <c r="H2863" t="s">
        <v>257</v>
      </c>
      <c r="I2863" t="s">
        <v>52</v>
      </c>
      <c r="J2863" t="s">
        <v>201</v>
      </c>
      <c r="K2863" s="17">
        <v>0</v>
      </c>
      <c r="L2863" s="28" t="s">
        <v>178</v>
      </c>
      <c r="N2863" s="21"/>
      <c r="O2863" s="2"/>
      <c r="P2863" s="2"/>
      <c r="Q2863" s="4"/>
      <c r="R2863" s="4"/>
      <c r="S2863" s="4"/>
      <c r="T2863" s="4"/>
      <c r="U2863" s="4"/>
      <c r="V2863" s="4"/>
    </row>
    <row r="2864" spans="1:22" ht="14.5" customHeight="1" x14ac:dyDescent="0.2">
      <c r="A2864">
        <v>2018</v>
      </c>
      <c r="B2864" t="s">
        <v>198</v>
      </c>
      <c r="C2864" t="s">
        <v>246</v>
      </c>
      <c r="D2864" s="65">
        <v>1390</v>
      </c>
      <c r="E2864" s="33"/>
      <c r="F2864" t="s">
        <v>1737</v>
      </c>
      <c r="G2864" t="s">
        <v>144</v>
      </c>
      <c r="H2864" t="s">
        <v>197</v>
      </c>
      <c r="I2864" t="s">
        <v>96</v>
      </c>
      <c r="J2864" t="s">
        <v>205</v>
      </c>
      <c r="K2864" s="17">
        <v>1</v>
      </c>
      <c r="L2864" s="28"/>
      <c r="N2864" s="21"/>
      <c r="O2864" s="2"/>
      <c r="P2864" s="2"/>
      <c r="Q2864" s="4"/>
      <c r="R2864" s="4"/>
      <c r="S2864" s="4"/>
      <c r="T2864" s="4"/>
      <c r="U2864" s="4"/>
      <c r="V2864" s="4"/>
    </row>
    <row r="2865" spans="1:22" ht="14.5" customHeight="1" x14ac:dyDescent="0.2">
      <c r="A2865">
        <v>2018</v>
      </c>
      <c r="B2865" t="s">
        <v>198</v>
      </c>
      <c r="C2865" t="s">
        <v>822</v>
      </c>
      <c r="D2865" s="65">
        <v>730</v>
      </c>
      <c r="E2865" s="33">
        <v>0.76</v>
      </c>
      <c r="F2865" t="s">
        <v>1738</v>
      </c>
      <c r="G2865" t="s">
        <v>150</v>
      </c>
      <c r="H2865" t="s">
        <v>556</v>
      </c>
      <c r="I2865" t="s">
        <v>128</v>
      </c>
      <c r="J2865" t="s">
        <v>201</v>
      </c>
      <c r="K2865" s="17">
        <v>1</v>
      </c>
      <c r="L2865" s="28"/>
      <c r="N2865" s="21"/>
      <c r="O2865" s="2"/>
      <c r="P2865" s="2"/>
      <c r="Q2865" s="4"/>
      <c r="R2865" s="4"/>
      <c r="S2865" s="4"/>
      <c r="T2865" s="4"/>
      <c r="U2865" s="4"/>
      <c r="V2865" s="4"/>
    </row>
    <row r="2866" spans="1:22" ht="14.5" customHeight="1" x14ac:dyDescent="0.2">
      <c r="A2866">
        <v>2018</v>
      </c>
      <c r="B2866" t="s">
        <v>202</v>
      </c>
      <c r="C2866" t="s">
        <v>559</v>
      </c>
      <c r="D2866" s="65">
        <v>1410</v>
      </c>
      <c r="E2866" s="33">
        <v>1</v>
      </c>
      <c r="F2866" t="s">
        <v>1739</v>
      </c>
      <c r="G2866" t="s">
        <v>149</v>
      </c>
      <c r="H2866" t="s">
        <v>236</v>
      </c>
      <c r="I2866" t="s">
        <v>25</v>
      </c>
      <c r="J2866" t="s">
        <v>177</v>
      </c>
      <c r="K2866" s="17">
        <v>0</v>
      </c>
      <c r="L2866" s="28"/>
      <c r="N2866" s="21"/>
      <c r="O2866" s="2"/>
      <c r="P2866" s="2"/>
      <c r="Q2866" s="4"/>
      <c r="R2866" s="4"/>
      <c r="S2866" s="4"/>
      <c r="T2866" s="4"/>
      <c r="U2866" s="4"/>
      <c r="V2866" s="4"/>
    </row>
    <row r="2867" spans="1:22" ht="14.5" customHeight="1" x14ac:dyDescent="0.2">
      <c r="A2867">
        <v>2018</v>
      </c>
      <c r="B2867" t="s">
        <v>202</v>
      </c>
      <c r="C2867" t="s">
        <v>1740</v>
      </c>
      <c r="D2867" s="65">
        <v>950</v>
      </c>
      <c r="E2867" s="33">
        <v>1</v>
      </c>
      <c r="F2867" t="s">
        <v>1741</v>
      </c>
      <c r="G2867" t="s">
        <v>146</v>
      </c>
      <c r="I2867" t="s">
        <v>20</v>
      </c>
      <c r="J2867" t="s">
        <v>195</v>
      </c>
      <c r="K2867" s="17">
        <v>0</v>
      </c>
      <c r="L2867" s="28"/>
      <c r="N2867" s="21"/>
      <c r="O2867" s="2"/>
      <c r="P2867" s="2"/>
      <c r="Q2867" s="4"/>
      <c r="R2867" s="4"/>
      <c r="S2867" s="4"/>
      <c r="T2867" s="4"/>
      <c r="U2867" s="4"/>
      <c r="V2867" s="4"/>
    </row>
    <row r="2868" spans="1:22" ht="14.5" customHeight="1" x14ac:dyDescent="0.2">
      <c r="A2868">
        <v>2018</v>
      </c>
      <c r="B2868" t="s">
        <v>202</v>
      </c>
      <c r="C2868" t="s">
        <v>698</v>
      </c>
      <c r="D2868" s="65">
        <v>200</v>
      </c>
      <c r="E2868" s="33">
        <v>1</v>
      </c>
      <c r="G2868" t="s">
        <v>150</v>
      </c>
      <c r="H2868" t="s">
        <v>292</v>
      </c>
      <c r="I2868" t="s">
        <v>89</v>
      </c>
      <c r="J2868" t="s">
        <v>219</v>
      </c>
      <c r="K2868" s="17">
        <v>1</v>
      </c>
      <c r="L2868" s="28" t="s">
        <v>178</v>
      </c>
      <c r="N2868" s="21"/>
      <c r="O2868" s="2"/>
      <c r="P2868" s="2"/>
      <c r="Q2868" s="4"/>
      <c r="R2868" s="4"/>
      <c r="S2868" s="4"/>
      <c r="T2868" s="4"/>
      <c r="U2868" s="4"/>
      <c r="V2868" s="4"/>
    </row>
    <row r="2869" spans="1:22" ht="14.5" customHeight="1" x14ac:dyDescent="0.2">
      <c r="A2869">
        <v>2018</v>
      </c>
      <c r="B2869" t="s">
        <v>202</v>
      </c>
      <c r="C2869" t="s">
        <v>479</v>
      </c>
      <c r="D2869" s="65">
        <v>260</v>
      </c>
      <c r="E2869" s="33"/>
      <c r="G2869" t="s">
        <v>150</v>
      </c>
      <c r="H2869" t="s">
        <v>217</v>
      </c>
      <c r="I2869" t="s">
        <v>106</v>
      </c>
      <c r="J2869" t="s">
        <v>195</v>
      </c>
      <c r="K2869" s="17">
        <v>1</v>
      </c>
      <c r="L2869" s="28" t="s">
        <v>178</v>
      </c>
      <c r="N2869" s="21"/>
      <c r="O2869" s="2"/>
      <c r="P2869" s="2"/>
      <c r="Q2869" s="4"/>
      <c r="R2869" s="4"/>
      <c r="S2869" s="4"/>
      <c r="T2869" s="4"/>
      <c r="U2869" s="4"/>
      <c r="V2869" s="4"/>
    </row>
    <row r="2870" spans="1:22" ht="14.5" customHeight="1" x14ac:dyDescent="0.2">
      <c r="A2870">
        <v>2018</v>
      </c>
      <c r="B2870" t="s">
        <v>202</v>
      </c>
      <c r="C2870" t="s">
        <v>554</v>
      </c>
      <c r="D2870" s="65">
        <v>110</v>
      </c>
      <c r="E2870" s="33">
        <v>0.8</v>
      </c>
      <c r="F2870" t="s">
        <v>1742</v>
      </c>
      <c r="G2870" t="s">
        <v>150</v>
      </c>
      <c r="H2870" t="s">
        <v>556</v>
      </c>
      <c r="I2870" t="s">
        <v>85</v>
      </c>
      <c r="J2870" t="s">
        <v>195</v>
      </c>
      <c r="K2870" s="17">
        <v>0</v>
      </c>
      <c r="L2870" s="28"/>
      <c r="N2870" s="21"/>
      <c r="O2870" s="2"/>
      <c r="P2870" s="2"/>
      <c r="Q2870" s="4"/>
      <c r="R2870" s="4"/>
      <c r="S2870" s="4"/>
      <c r="T2870" s="4"/>
      <c r="U2870" s="4"/>
      <c r="V2870" s="4"/>
    </row>
    <row r="2871" spans="1:22" ht="14.5" customHeight="1" x14ac:dyDescent="0.2">
      <c r="A2871">
        <v>2018</v>
      </c>
      <c r="B2871" t="s">
        <v>202</v>
      </c>
      <c r="C2871" t="s">
        <v>822</v>
      </c>
      <c r="D2871" s="65">
        <v>480</v>
      </c>
      <c r="E2871" s="33">
        <v>0.1</v>
      </c>
      <c r="F2871" t="s">
        <v>1743</v>
      </c>
      <c r="G2871" t="s">
        <v>152</v>
      </c>
      <c r="I2871" t="s">
        <v>101</v>
      </c>
      <c r="J2871" t="s">
        <v>201</v>
      </c>
      <c r="K2871" s="17">
        <v>1</v>
      </c>
      <c r="L2871" s="28"/>
      <c r="N2871" s="21"/>
      <c r="O2871" s="2"/>
      <c r="P2871" s="2"/>
      <c r="Q2871" s="4"/>
      <c r="R2871" s="4"/>
      <c r="S2871" s="4"/>
      <c r="T2871" s="4"/>
      <c r="U2871" s="4"/>
      <c r="V2871" s="4"/>
    </row>
    <row r="2872" spans="1:22" ht="14.5" customHeight="1" x14ac:dyDescent="0.2">
      <c r="A2872">
        <v>2018</v>
      </c>
      <c r="B2872" t="s">
        <v>202</v>
      </c>
      <c r="C2872" t="s">
        <v>1744</v>
      </c>
      <c r="D2872" s="65">
        <v>440</v>
      </c>
      <c r="E2872" s="33">
        <v>0.76</v>
      </c>
      <c r="F2872" t="s">
        <v>1745</v>
      </c>
      <c r="G2872" t="s">
        <v>152</v>
      </c>
      <c r="I2872" t="s">
        <v>72</v>
      </c>
      <c r="J2872" t="s">
        <v>183</v>
      </c>
      <c r="K2872" s="17">
        <v>1</v>
      </c>
      <c r="L2872" s="28"/>
      <c r="N2872" s="21"/>
      <c r="O2872" s="2"/>
      <c r="P2872" s="2"/>
      <c r="Q2872" s="4"/>
      <c r="R2872" s="4"/>
      <c r="S2872" s="4"/>
      <c r="T2872" s="4"/>
      <c r="U2872" s="4"/>
      <c r="V2872" s="4"/>
    </row>
    <row r="2873" spans="1:22" s="41" customFormat="1" ht="14.5" customHeight="1" x14ac:dyDescent="0.2">
      <c r="A2873">
        <v>2018</v>
      </c>
      <c r="B2873" t="s">
        <v>202</v>
      </c>
      <c r="C2873" t="s">
        <v>1746</v>
      </c>
      <c r="D2873" s="65">
        <v>100</v>
      </c>
      <c r="E2873" s="33">
        <v>1</v>
      </c>
      <c r="F2873" t="s">
        <v>1747</v>
      </c>
      <c r="G2873" t="s">
        <v>147</v>
      </c>
      <c r="I2873" t="s">
        <v>57</v>
      </c>
      <c r="J2873" t="s">
        <v>195</v>
      </c>
      <c r="K2873" s="17">
        <v>0</v>
      </c>
      <c r="L2873" s="28"/>
      <c r="N2873" s="42"/>
      <c r="O2873" s="78"/>
      <c r="P2873" s="78"/>
      <c r="Q2873" s="77"/>
      <c r="R2873" s="77"/>
      <c r="S2873" s="77"/>
      <c r="T2873" s="77"/>
      <c r="U2873" s="77"/>
      <c r="V2873" s="77"/>
    </row>
    <row r="2874" spans="1:22" ht="14.5" customHeight="1" x14ac:dyDescent="0.2">
      <c r="A2874">
        <v>2018</v>
      </c>
      <c r="B2874" t="s">
        <v>202</v>
      </c>
      <c r="C2874" t="s">
        <v>600</v>
      </c>
      <c r="D2874" s="65">
        <v>650</v>
      </c>
      <c r="E2874" s="33">
        <v>1</v>
      </c>
      <c r="F2874" t="s">
        <v>1748</v>
      </c>
      <c r="G2874" t="s">
        <v>144</v>
      </c>
      <c r="I2874" t="s">
        <v>65</v>
      </c>
      <c r="J2874" t="s">
        <v>214</v>
      </c>
      <c r="K2874" s="17">
        <v>1</v>
      </c>
      <c r="L2874" s="28"/>
      <c r="N2874" s="21"/>
      <c r="O2874" s="2"/>
      <c r="P2874" s="2"/>
      <c r="Q2874" s="4"/>
      <c r="R2874" s="4"/>
      <c r="S2874" s="4"/>
      <c r="T2874" s="4"/>
      <c r="U2874" s="4"/>
      <c r="V2874" s="4"/>
    </row>
    <row r="2875" spans="1:22" ht="14.5" customHeight="1" x14ac:dyDescent="0.2">
      <c r="A2875">
        <v>2018</v>
      </c>
      <c r="B2875" t="s">
        <v>202</v>
      </c>
      <c r="C2875" t="s">
        <v>263</v>
      </c>
      <c r="D2875" s="65">
        <v>690</v>
      </c>
      <c r="E2875" s="33"/>
      <c r="F2875" t="s">
        <v>1749</v>
      </c>
      <c r="G2875" t="s">
        <v>150</v>
      </c>
      <c r="H2875" t="s">
        <v>217</v>
      </c>
      <c r="I2875" t="s">
        <v>131</v>
      </c>
      <c r="J2875" t="s">
        <v>131</v>
      </c>
      <c r="K2875" s="17">
        <v>0</v>
      </c>
      <c r="L2875" s="28"/>
      <c r="N2875" s="21"/>
      <c r="O2875" s="2"/>
      <c r="P2875" s="2"/>
      <c r="Q2875" s="4"/>
      <c r="R2875" s="4"/>
      <c r="S2875" s="4"/>
      <c r="T2875" s="4"/>
      <c r="U2875" s="4"/>
      <c r="V2875" s="4"/>
    </row>
    <row r="2876" spans="1:22" ht="14.5" customHeight="1" x14ac:dyDescent="0.2">
      <c r="A2876">
        <v>2018</v>
      </c>
      <c r="B2876" t="s">
        <v>202</v>
      </c>
      <c r="C2876" t="s">
        <v>1750</v>
      </c>
      <c r="D2876" s="65">
        <v>300</v>
      </c>
      <c r="E2876" s="33">
        <v>1</v>
      </c>
      <c r="G2876" t="s">
        <v>154</v>
      </c>
      <c r="H2876" t="s">
        <v>194</v>
      </c>
      <c r="I2876" t="s">
        <v>124</v>
      </c>
      <c r="J2876" t="s">
        <v>183</v>
      </c>
      <c r="K2876" s="17">
        <v>1</v>
      </c>
      <c r="L2876" s="28" t="s">
        <v>178</v>
      </c>
      <c r="N2876" s="21"/>
      <c r="O2876" s="2"/>
      <c r="P2876" s="2"/>
      <c r="Q2876" s="4"/>
      <c r="R2876" s="4"/>
      <c r="S2876" s="4"/>
      <c r="T2876" s="4"/>
      <c r="U2876" s="4"/>
      <c r="V2876" s="4"/>
    </row>
    <row r="2877" spans="1:22" ht="14.5" customHeight="1" x14ac:dyDescent="0.2">
      <c r="A2877">
        <v>2018</v>
      </c>
      <c r="B2877" t="s">
        <v>202</v>
      </c>
      <c r="C2877" t="s">
        <v>199</v>
      </c>
      <c r="D2877" s="65">
        <v>360</v>
      </c>
      <c r="E2877" s="33">
        <v>0.1</v>
      </c>
      <c r="F2877" t="s">
        <v>453</v>
      </c>
      <c r="G2877" t="s">
        <v>144</v>
      </c>
      <c r="H2877" t="s">
        <v>187</v>
      </c>
      <c r="I2877" t="s">
        <v>135</v>
      </c>
      <c r="J2877" t="s">
        <v>205</v>
      </c>
      <c r="K2877" s="17">
        <v>1</v>
      </c>
      <c r="L2877" s="28"/>
      <c r="N2877" s="21"/>
      <c r="O2877" s="2"/>
      <c r="P2877" s="2"/>
      <c r="Q2877" s="4"/>
      <c r="R2877" s="4"/>
      <c r="S2877" s="4"/>
      <c r="T2877" s="4"/>
      <c r="U2877" s="4"/>
      <c r="V2877" s="4"/>
    </row>
    <row r="2878" spans="1:22" ht="14.5" customHeight="1" x14ac:dyDescent="0.2">
      <c r="A2878">
        <v>2018</v>
      </c>
      <c r="B2878" t="s">
        <v>202</v>
      </c>
      <c r="C2878" t="s">
        <v>1751</v>
      </c>
      <c r="D2878" s="65">
        <v>150</v>
      </c>
      <c r="E2878" s="33">
        <v>0.49</v>
      </c>
      <c r="F2878" t="s">
        <v>1752</v>
      </c>
      <c r="G2878" t="s">
        <v>148</v>
      </c>
      <c r="I2878" t="s">
        <v>101</v>
      </c>
      <c r="J2878" t="s">
        <v>201</v>
      </c>
      <c r="K2878" s="17">
        <v>1</v>
      </c>
      <c r="L2878" s="28" t="s">
        <v>178</v>
      </c>
      <c r="N2878" s="21"/>
      <c r="O2878" s="2"/>
      <c r="P2878" s="2"/>
      <c r="Q2878" s="4"/>
      <c r="R2878" s="4"/>
      <c r="S2878" s="4"/>
      <c r="T2878" s="4"/>
      <c r="U2878" s="4"/>
      <c r="V2878" s="4"/>
    </row>
    <row r="2879" spans="1:22" ht="14.5" customHeight="1" x14ac:dyDescent="0.2">
      <c r="A2879">
        <v>2018</v>
      </c>
      <c r="B2879" t="s">
        <v>202</v>
      </c>
      <c r="C2879" t="s">
        <v>1091</v>
      </c>
      <c r="D2879" s="65">
        <v>300</v>
      </c>
      <c r="E2879" s="33"/>
      <c r="G2879" t="s">
        <v>151</v>
      </c>
      <c r="H2879" t="s">
        <v>279</v>
      </c>
      <c r="I2879" t="s">
        <v>53</v>
      </c>
      <c r="J2879" t="s">
        <v>183</v>
      </c>
      <c r="K2879" s="17">
        <v>1</v>
      </c>
      <c r="L2879" s="28" t="s">
        <v>178</v>
      </c>
      <c r="N2879" s="21"/>
      <c r="O2879" s="2"/>
      <c r="P2879" s="2"/>
      <c r="Q2879" s="4"/>
      <c r="R2879" s="4"/>
      <c r="S2879" s="4"/>
      <c r="T2879" s="4"/>
      <c r="U2879" s="4"/>
      <c r="V2879" s="4"/>
    </row>
    <row r="2880" spans="1:22" ht="14.5" customHeight="1" x14ac:dyDescent="0.2">
      <c r="A2880">
        <v>2018</v>
      </c>
      <c r="B2880" t="s">
        <v>202</v>
      </c>
      <c r="C2880" t="s">
        <v>399</v>
      </c>
      <c r="D2880" s="65">
        <v>980</v>
      </c>
      <c r="E2880" s="33">
        <v>0.51</v>
      </c>
      <c r="G2880" t="s">
        <v>144</v>
      </c>
      <c r="H2880" t="s">
        <v>273</v>
      </c>
      <c r="I2880" t="s">
        <v>93</v>
      </c>
      <c r="J2880" t="s">
        <v>201</v>
      </c>
      <c r="K2880" s="17">
        <v>1</v>
      </c>
      <c r="L2880" s="28" t="s">
        <v>178</v>
      </c>
      <c r="N2880" s="21"/>
      <c r="O2880" s="2"/>
      <c r="P2880" s="2"/>
      <c r="Q2880" s="4"/>
      <c r="R2880" s="4"/>
      <c r="S2880" s="4"/>
      <c r="T2880" s="4"/>
      <c r="U2880" s="4"/>
      <c r="V2880" s="4"/>
    </row>
    <row r="2881" spans="1:22" ht="14.5" customHeight="1" x14ac:dyDescent="0.2">
      <c r="A2881">
        <v>2018</v>
      </c>
      <c r="B2881" t="s">
        <v>202</v>
      </c>
      <c r="C2881" t="s">
        <v>1093</v>
      </c>
      <c r="D2881" s="65">
        <v>400</v>
      </c>
      <c r="E2881" s="33">
        <v>0.5</v>
      </c>
      <c r="F2881" t="s">
        <v>1753</v>
      </c>
      <c r="G2881" t="s">
        <v>151</v>
      </c>
      <c r="H2881" t="s">
        <v>224</v>
      </c>
      <c r="I2881" t="s">
        <v>131</v>
      </c>
      <c r="J2881" t="s">
        <v>131</v>
      </c>
      <c r="K2881" s="17">
        <v>0</v>
      </c>
      <c r="L2881" s="28" t="s">
        <v>178</v>
      </c>
      <c r="N2881" s="21"/>
      <c r="O2881" s="2"/>
      <c r="P2881" s="2"/>
      <c r="Q2881" s="4"/>
      <c r="R2881" s="4"/>
      <c r="S2881" s="4"/>
      <c r="T2881" s="4"/>
      <c r="U2881" s="4"/>
      <c r="V2881" s="4"/>
    </row>
    <row r="2882" spans="1:22" ht="14.5" customHeight="1" x14ac:dyDescent="0.2">
      <c r="A2882">
        <v>2018</v>
      </c>
      <c r="B2882" t="s">
        <v>202</v>
      </c>
      <c r="C2882" t="s">
        <v>336</v>
      </c>
      <c r="D2882" s="65">
        <v>150</v>
      </c>
      <c r="E2882" s="33"/>
      <c r="G2882" t="s">
        <v>149</v>
      </c>
      <c r="I2882" t="s">
        <v>83</v>
      </c>
      <c r="J2882" t="s">
        <v>219</v>
      </c>
      <c r="K2882" s="17">
        <v>1</v>
      </c>
      <c r="L2882" s="28"/>
      <c r="N2882" s="21"/>
      <c r="O2882" s="2"/>
      <c r="P2882" s="2"/>
      <c r="Q2882" s="4"/>
      <c r="R2882" s="4"/>
      <c r="S2882" s="4"/>
      <c r="T2882" s="4"/>
      <c r="U2882" s="4"/>
      <c r="V2882" s="4"/>
    </row>
    <row r="2883" spans="1:22" ht="14.5" customHeight="1" x14ac:dyDescent="0.2">
      <c r="A2883">
        <v>2018</v>
      </c>
      <c r="B2883" t="s">
        <v>207</v>
      </c>
      <c r="C2883" t="s">
        <v>199</v>
      </c>
      <c r="D2883" s="65">
        <v>2830</v>
      </c>
      <c r="E2883" s="33">
        <v>0.15</v>
      </c>
      <c r="F2883" t="s">
        <v>462</v>
      </c>
      <c r="G2883" t="s">
        <v>144</v>
      </c>
      <c r="H2883" t="s">
        <v>299</v>
      </c>
      <c r="I2883" t="s">
        <v>25</v>
      </c>
      <c r="J2883" t="s">
        <v>177</v>
      </c>
      <c r="K2883" s="17">
        <v>0</v>
      </c>
      <c r="L2883" s="28" t="s">
        <v>178</v>
      </c>
      <c r="N2883" s="21"/>
      <c r="O2883" s="2"/>
      <c r="P2883" s="2"/>
      <c r="Q2883" s="4"/>
      <c r="R2883" s="4"/>
      <c r="S2883" s="4"/>
      <c r="T2883" s="4"/>
      <c r="U2883" s="4"/>
      <c r="V2883" s="4"/>
    </row>
    <row r="2884" spans="1:22" ht="14.5" customHeight="1" x14ac:dyDescent="0.2">
      <c r="A2884">
        <v>2018</v>
      </c>
      <c r="B2884" t="s">
        <v>207</v>
      </c>
      <c r="C2884" t="s">
        <v>1754</v>
      </c>
      <c r="D2884" s="65">
        <v>270</v>
      </c>
      <c r="E2884" s="33">
        <v>0.6</v>
      </c>
      <c r="F2884" t="s">
        <v>1755</v>
      </c>
      <c r="G2884" t="s">
        <v>145</v>
      </c>
      <c r="I2884" t="s">
        <v>138</v>
      </c>
      <c r="J2884" t="s">
        <v>219</v>
      </c>
      <c r="K2884" s="17">
        <v>1</v>
      </c>
      <c r="L2884" s="28"/>
      <c r="N2884" s="21"/>
      <c r="O2884" s="2"/>
      <c r="P2884" s="2"/>
      <c r="Q2884" s="4"/>
      <c r="R2884" s="4"/>
      <c r="S2884" s="4"/>
      <c r="T2884" s="4"/>
      <c r="U2884" s="4"/>
      <c r="V2884" s="4"/>
    </row>
    <row r="2885" spans="1:22" ht="14.5" customHeight="1" x14ac:dyDescent="0.2">
      <c r="A2885">
        <v>2018</v>
      </c>
      <c r="B2885" t="s">
        <v>207</v>
      </c>
      <c r="C2885" t="s">
        <v>454</v>
      </c>
      <c r="D2885" s="65">
        <v>180</v>
      </c>
      <c r="E2885" s="33">
        <v>0.05</v>
      </c>
      <c r="F2885" t="s">
        <v>1756</v>
      </c>
      <c r="G2885" t="s">
        <v>146</v>
      </c>
      <c r="H2885" t="s">
        <v>275</v>
      </c>
      <c r="I2885" t="s">
        <v>19</v>
      </c>
      <c r="J2885" t="s">
        <v>205</v>
      </c>
      <c r="K2885" s="17">
        <v>0</v>
      </c>
      <c r="L2885" s="28"/>
      <c r="N2885" s="21"/>
      <c r="O2885" s="2"/>
      <c r="P2885" s="2"/>
      <c r="Q2885" s="4"/>
      <c r="R2885" s="4"/>
      <c r="S2885" s="4"/>
      <c r="T2885" s="4"/>
      <c r="U2885" s="4"/>
      <c r="V2885" s="4"/>
    </row>
    <row r="2886" spans="1:22" ht="14.5" customHeight="1" x14ac:dyDescent="0.2">
      <c r="A2886">
        <v>2018</v>
      </c>
      <c r="B2886" t="s">
        <v>207</v>
      </c>
      <c r="C2886" t="s">
        <v>822</v>
      </c>
      <c r="D2886" s="65">
        <v>100</v>
      </c>
      <c r="E2886" s="33"/>
      <c r="F2886" t="s">
        <v>1757</v>
      </c>
      <c r="G2886" t="s">
        <v>146</v>
      </c>
      <c r="I2886" t="s">
        <v>19</v>
      </c>
      <c r="J2886" t="s">
        <v>205</v>
      </c>
      <c r="K2886" s="17">
        <v>0</v>
      </c>
      <c r="L2886" s="28"/>
      <c r="N2886" s="21"/>
      <c r="O2886" s="2"/>
      <c r="P2886" s="2"/>
      <c r="Q2886" s="4"/>
      <c r="R2886" s="4"/>
      <c r="S2886" s="4"/>
      <c r="T2886" s="4"/>
      <c r="U2886" s="4"/>
      <c r="V2886" s="4"/>
    </row>
    <row r="2887" spans="1:22" ht="14.5" customHeight="1" x14ac:dyDescent="0.2">
      <c r="A2887">
        <v>2018</v>
      </c>
      <c r="B2887" t="s">
        <v>207</v>
      </c>
      <c r="C2887" t="s">
        <v>822</v>
      </c>
      <c r="D2887" s="65">
        <v>210</v>
      </c>
      <c r="E2887" s="33">
        <v>0.1</v>
      </c>
      <c r="F2887" t="s">
        <v>1632</v>
      </c>
      <c r="G2887" t="s">
        <v>142</v>
      </c>
      <c r="I2887" t="s">
        <v>52</v>
      </c>
      <c r="J2887" t="s">
        <v>201</v>
      </c>
      <c r="K2887" s="17">
        <v>0</v>
      </c>
      <c r="L2887" s="28"/>
      <c r="N2887" s="21"/>
      <c r="O2887" s="2"/>
      <c r="P2887" s="2"/>
      <c r="Q2887" s="4"/>
      <c r="R2887" s="4"/>
      <c r="S2887" s="4"/>
      <c r="T2887" s="4"/>
      <c r="U2887" s="4"/>
      <c r="V2887" s="4"/>
    </row>
    <row r="2888" spans="1:22" ht="14.5" customHeight="1" x14ac:dyDescent="0.2">
      <c r="A2888">
        <v>2018</v>
      </c>
      <c r="B2888" t="s">
        <v>207</v>
      </c>
      <c r="C2888" t="s">
        <v>577</v>
      </c>
      <c r="D2888" s="65">
        <v>550</v>
      </c>
      <c r="E2888" s="33">
        <v>1</v>
      </c>
      <c r="F2888" t="s">
        <v>1758</v>
      </c>
      <c r="G2888" t="s">
        <v>150</v>
      </c>
      <c r="H2888" t="s">
        <v>556</v>
      </c>
      <c r="I2888" t="s">
        <v>58</v>
      </c>
      <c r="J2888" t="s">
        <v>195</v>
      </c>
      <c r="K2888" s="17">
        <v>0</v>
      </c>
      <c r="L2888" s="28"/>
      <c r="N2888" s="21"/>
      <c r="O2888" s="2"/>
      <c r="P2888" s="2"/>
      <c r="Q2888" s="4"/>
      <c r="R2888" s="4"/>
      <c r="S2888" s="4"/>
      <c r="T2888" s="4"/>
      <c r="U2888" s="4"/>
      <c r="V2888" s="4"/>
    </row>
    <row r="2889" spans="1:22" ht="14.5" customHeight="1" x14ac:dyDescent="0.2">
      <c r="A2889">
        <v>2018</v>
      </c>
      <c r="B2889" t="s">
        <v>207</v>
      </c>
      <c r="C2889" t="s">
        <v>1625</v>
      </c>
      <c r="D2889" s="65">
        <v>120</v>
      </c>
      <c r="E2889" s="33"/>
      <c r="G2889" t="s">
        <v>144</v>
      </c>
      <c r="H2889" t="s">
        <v>232</v>
      </c>
      <c r="I2889" t="s">
        <v>9</v>
      </c>
      <c r="J2889" t="s">
        <v>9</v>
      </c>
      <c r="K2889" s="17">
        <v>0</v>
      </c>
      <c r="L2889" s="28"/>
      <c r="N2889" s="21"/>
      <c r="O2889" s="2"/>
      <c r="P2889" s="2"/>
      <c r="Q2889" s="4"/>
      <c r="R2889" s="4"/>
      <c r="S2889" s="4"/>
      <c r="T2889" s="4"/>
      <c r="U2889" s="4"/>
      <c r="V2889" s="4"/>
    </row>
    <row r="2890" spans="1:22" ht="14.5" customHeight="1" x14ac:dyDescent="0.2">
      <c r="A2890">
        <v>2018</v>
      </c>
      <c r="B2890" t="s">
        <v>207</v>
      </c>
      <c r="C2890" t="s">
        <v>474</v>
      </c>
      <c r="D2890" s="65">
        <v>150</v>
      </c>
      <c r="E2890" s="33"/>
      <c r="F2890" t="s">
        <v>1759</v>
      </c>
      <c r="G2890" t="s">
        <v>144</v>
      </c>
      <c r="H2890" t="s">
        <v>232</v>
      </c>
      <c r="I2890" t="s">
        <v>20</v>
      </c>
      <c r="J2890" t="s">
        <v>195</v>
      </c>
      <c r="K2890" s="17">
        <v>0</v>
      </c>
      <c r="L2890" s="28"/>
      <c r="N2890" s="21"/>
      <c r="O2890" s="2"/>
      <c r="P2890" s="2"/>
      <c r="Q2890" s="4"/>
      <c r="R2890" s="4"/>
      <c r="S2890" s="4"/>
      <c r="T2890" s="4"/>
      <c r="U2890" s="4"/>
      <c r="V2890" s="4"/>
    </row>
    <row r="2891" spans="1:22" ht="15.5" customHeight="1" x14ac:dyDescent="0.2">
      <c r="A2891">
        <v>2018</v>
      </c>
      <c r="B2891" t="s">
        <v>207</v>
      </c>
      <c r="C2891" t="s">
        <v>1180</v>
      </c>
      <c r="D2891" s="65">
        <v>110</v>
      </c>
      <c r="E2891" s="33"/>
      <c r="G2891" t="s">
        <v>144</v>
      </c>
      <c r="H2891" t="s">
        <v>232</v>
      </c>
      <c r="I2891" t="s">
        <v>9</v>
      </c>
      <c r="J2891" t="s">
        <v>9</v>
      </c>
      <c r="K2891" s="17">
        <v>0</v>
      </c>
      <c r="L2891" s="28" t="s">
        <v>178</v>
      </c>
      <c r="N2891" s="21"/>
      <c r="O2891" s="2"/>
      <c r="P2891" s="2"/>
      <c r="Q2891" s="4"/>
      <c r="R2891" s="4"/>
      <c r="S2891" s="4"/>
      <c r="T2891" s="4"/>
      <c r="U2891" s="4"/>
      <c r="V2891" s="4"/>
    </row>
    <row r="2892" spans="1:22" ht="14.5" customHeight="1" x14ac:dyDescent="0.2">
      <c r="A2892">
        <v>2018</v>
      </c>
      <c r="B2892" t="s">
        <v>207</v>
      </c>
      <c r="C2892" t="s">
        <v>953</v>
      </c>
      <c r="D2892" s="65">
        <v>340</v>
      </c>
      <c r="E2892" s="33"/>
      <c r="G2892" t="s">
        <v>151</v>
      </c>
      <c r="H2892" t="s">
        <v>224</v>
      </c>
      <c r="I2892" t="s">
        <v>9</v>
      </c>
      <c r="J2892" t="s">
        <v>9</v>
      </c>
      <c r="K2892" s="17">
        <v>0</v>
      </c>
      <c r="L2892" s="28" t="s">
        <v>178</v>
      </c>
      <c r="N2892" s="21"/>
      <c r="O2892" s="2"/>
      <c r="P2892" s="2"/>
      <c r="Q2892" s="4"/>
      <c r="R2892" s="4"/>
      <c r="S2892" s="4"/>
      <c r="T2892" s="4"/>
      <c r="U2892" s="4"/>
      <c r="V2892" s="4"/>
    </row>
    <row r="2893" spans="1:22" ht="14.5" customHeight="1" x14ac:dyDescent="0.2">
      <c r="A2893">
        <v>2018</v>
      </c>
      <c r="B2893" t="s">
        <v>207</v>
      </c>
      <c r="C2893" t="s">
        <v>1760</v>
      </c>
      <c r="D2893" s="65">
        <v>4170</v>
      </c>
      <c r="E2893" s="33">
        <v>0.7</v>
      </c>
      <c r="G2893" t="s">
        <v>154</v>
      </c>
      <c r="H2893" t="s">
        <v>529</v>
      </c>
      <c r="I2893" t="s">
        <v>67</v>
      </c>
      <c r="J2893" t="s">
        <v>183</v>
      </c>
      <c r="K2893" s="17">
        <v>1</v>
      </c>
      <c r="L2893" s="28" t="s">
        <v>178</v>
      </c>
      <c r="N2893" s="21"/>
      <c r="O2893" s="2"/>
      <c r="P2893" s="2"/>
      <c r="Q2893" s="4"/>
      <c r="R2893" s="4"/>
      <c r="S2893" s="4"/>
      <c r="T2893" s="4"/>
      <c r="U2893" s="4"/>
      <c r="V2893" s="4"/>
    </row>
    <row r="2894" spans="1:22" ht="14.5" customHeight="1" x14ac:dyDescent="0.2">
      <c r="A2894">
        <v>2018</v>
      </c>
      <c r="B2894" t="s">
        <v>207</v>
      </c>
      <c r="C2894" t="s">
        <v>483</v>
      </c>
      <c r="D2894" s="65">
        <v>220</v>
      </c>
      <c r="E2894" s="33"/>
      <c r="G2894" t="s">
        <v>144</v>
      </c>
      <c r="H2894" t="s">
        <v>232</v>
      </c>
      <c r="I2894" t="s">
        <v>30</v>
      </c>
      <c r="J2894" t="s">
        <v>195</v>
      </c>
      <c r="K2894" s="17">
        <v>1</v>
      </c>
      <c r="L2894" s="28" t="s">
        <v>178</v>
      </c>
      <c r="N2894" s="21"/>
      <c r="O2894" s="2"/>
      <c r="P2894" s="2"/>
      <c r="Q2894" s="4"/>
      <c r="R2894" s="4"/>
      <c r="S2894" s="4"/>
      <c r="T2894" s="4"/>
      <c r="U2894" s="4"/>
      <c r="V2894" s="4"/>
    </row>
    <row r="2895" spans="1:22" ht="14.5" customHeight="1" x14ac:dyDescent="0.2">
      <c r="A2895">
        <v>2018</v>
      </c>
      <c r="B2895" t="s">
        <v>207</v>
      </c>
      <c r="C2895" t="s">
        <v>1761</v>
      </c>
      <c r="D2895" s="65">
        <v>140</v>
      </c>
      <c r="E2895" s="33"/>
      <c r="G2895" t="s">
        <v>144</v>
      </c>
      <c r="H2895" t="s">
        <v>187</v>
      </c>
      <c r="I2895" t="s">
        <v>72</v>
      </c>
      <c r="J2895" t="s">
        <v>183</v>
      </c>
      <c r="K2895" s="17">
        <v>1</v>
      </c>
      <c r="L2895" s="28"/>
      <c r="N2895" s="21"/>
      <c r="O2895" s="2"/>
      <c r="P2895" s="2"/>
      <c r="Q2895" s="4"/>
      <c r="R2895" s="4"/>
      <c r="S2895" s="4"/>
      <c r="T2895" s="4"/>
      <c r="U2895" s="4"/>
      <c r="V2895" s="4"/>
    </row>
    <row r="2896" spans="1:22" ht="14.5" customHeight="1" x14ac:dyDescent="0.2">
      <c r="A2896">
        <v>2018</v>
      </c>
      <c r="B2896" t="s">
        <v>207</v>
      </c>
      <c r="C2896" t="s">
        <v>244</v>
      </c>
      <c r="D2896" s="65">
        <v>180</v>
      </c>
      <c r="E2896" s="33"/>
      <c r="G2896" t="s">
        <v>149</v>
      </c>
      <c r="H2896" t="s">
        <v>236</v>
      </c>
      <c r="I2896" t="s">
        <v>138</v>
      </c>
      <c r="J2896" t="s">
        <v>219</v>
      </c>
      <c r="K2896" s="17">
        <v>1</v>
      </c>
      <c r="L2896" s="28"/>
      <c r="N2896" s="21"/>
      <c r="O2896" s="2"/>
      <c r="P2896" s="2"/>
      <c r="Q2896" s="4"/>
      <c r="R2896" s="4"/>
      <c r="S2896" s="4"/>
      <c r="T2896" s="4"/>
      <c r="U2896" s="4"/>
      <c r="V2896" s="4"/>
    </row>
    <row r="2897" spans="1:22" ht="14.5" customHeight="1" x14ac:dyDescent="0.2">
      <c r="A2897">
        <v>2018</v>
      </c>
      <c r="B2897" t="s">
        <v>240</v>
      </c>
      <c r="C2897" t="s">
        <v>286</v>
      </c>
      <c r="D2897" s="65">
        <v>2300</v>
      </c>
      <c r="E2897" s="33">
        <v>0.02</v>
      </c>
      <c r="F2897" t="s">
        <v>1612</v>
      </c>
      <c r="G2897" t="s">
        <v>146</v>
      </c>
      <c r="H2897" t="s">
        <v>275</v>
      </c>
      <c r="I2897" t="s">
        <v>20</v>
      </c>
      <c r="J2897" t="s">
        <v>195</v>
      </c>
      <c r="K2897" s="17">
        <v>0</v>
      </c>
      <c r="L2897" s="28"/>
      <c r="N2897" s="21"/>
      <c r="O2897" s="2"/>
      <c r="P2897" s="2"/>
      <c r="Q2897" s="4"/>
      <c r="R2897" s="4"/>
      <c r="S2897" s="4"/>
      <c r="T2897" s="4"/>
      <c r="U2897" s="4"/>
      <c r="V2897" s="4"/>
    </row>
    <row r="2898" spans="1:22" ht="14.5" customHeight="1" x14ac:dyDescent="0.2">
      <c r="A2898">
        <v>2018</v>
      </c>
      <c r="B2898" t="s">
        <v>240</v>
      </c>
      <c r="C2898" t="s">
        <v>927</v>
      </c>
      <c r="D2898" s="65">
        <v>830</v>
      </c>
      <c r="E2898" s="33">
        <v>0.94</v>
      </c>
      <c r="F2898" t="s">
        <v>1762</v>
      </c>
      <c r="G2898" t="s">
        <v>142</v>
      </c>
      <c r="I2898" t="s">
        <v>27</v>
      </c>
      <c r="J2898" t="s">
        <v>205</v>
      </c>
      <c r="K2898" s="17">
        <v>1</v>
      </c>
      <c r="L2898" s="28"/>
      <c r="N2898" s="21"/>
      <c r="O2898" s="2"/>
      <c r="P2898" s="2"/>
      <c r="Q2898" s="4"/>
      <c r="R2898" s="4"/>
      <c r="S2898" s="4"/>
      <c r="T2898" s="4"/>
      <c r="U2898" s="4"/>
      <c r="V2898" s="4"/>
    </row>
    <row r="2899" spans="1:22" ht="14.5" customHeight="1" x14ac:dyDescent="0.2">
      <c r="A2899">
        <v>2018</v>
      </c>
      <c r="B2899" t="s">
        <v>240</v>
      </c>
      <c r="C2899" t="s">
        <v>223</v>
      </c>
      <c r="D2899" s="65">
        <v>270</v>
      </c>
      <c r="E2899" s="33">
        <v>1</v>
      </c>
      <c r="F2899" t="s">
        <v>1763</v>
      </c>
      <c r="G2899" t="s">
        <v>150</v>
      </c>
      <c r="H2899" t="s">
        <v>292</v>
      </c>
      <c r="I2899" t="s">
        <v>45</v>
      </c>
      <c r="J2899" t="s">
        <v>195</v>
      </c>
      <c r="K2899" s="17">
        <v>0</v>
      </c>
      <c r="L2899" s="28"/>
      <c r="N2899" s="21"/>
      <c r="O2899" s="2"/>
      <c r="P2899" s="2"/>
      <c r="Q2899" s="4"/>
      <c r="R2899" s="4"/>
      <c r="S2899" s="4"/>
      <c r="T2899" s="4"/>
      <c r="U2899" s="4"/>
      <c r="V2899" s="4"/>
    </row>
    <row r="2900" spans="1:22" ht="14.5" customHeight="1" x14ac:dyDescent="0.2">
      <c r="A2900">
        <v>2018</v>
      </c>
      <c r="B2900" t="s">
        <v>240</v>
      </c>
      <c r="C2900" t="s">
        <v>1764</v>
      </c>
      <c r="D2900" s="65">
        <v>200</v>
      </c>
      <c r="E2900" s="33">
        <v>1</v>
      </c>
      <c r="G2900" t="s">
        <v>150</v>
      </c>
      <c r="I2900" t="s">
        <v>138</v>
      </c>
      <c r="J2900" t="s">
        <v>219</v>
      </c>
      <c r="K2900" s="17">
        <v>1</v>
      </c>
      <c r="L2900" s="28" t="s">
        <v>178</v>
      </c>
      <c r="N2900" s="21"/>
      <c r="O2900" s="2"/>
      <c r="P2900" s="2"/>
      <c r="Q2900" s="4"/>
      <c r="R2900" s="4"/>
      <c r="S2900" s="4"/>
      <c r="T2900" s="4"/>
      <c r="U2900" s="4"/>
      <c r="V2900" s="4"/>
    </row>
    <row r="2901" spans="1:22" ht="14.5" customHeight="1" x14ac:dyDescent="0.2">
      <c r="A2901">
        <v>2018</v>
      </c>
      <c r="B2901" t="s">
        <v>240</v>
      </c>
      <c r="C2901" t="s">
        <v>221</v>
      </c>
      <c r="D2901" s="65">
        <v>100</v>
      </c>
      <c r="E2901" s="33"/>
      <c r="F2901" t="s">
        <v>1765</v>
      </c>
      <c r="G2901" t="s">
        <v>144</v>
      </c>
      <c r="H2901" t="s">
        <v>187</v>
      </c>
      <c r="I2901" t="s">
        <v>61</v>
      </c>
      <c r="J2901" t="s">
        <v>183</v>
      </c>
      <c r="K2901" s="17">
        <v>0</v>
      </c>
      <c r="L2901" s="28"/>
      <c r="N2901" s="21"/>
      <c r="O2901" s="2"/>
      <c r="P2901" s="2"/>
      <c r="Q2901" s="4"/>
      <c r="R2901" s="4"/>
      <c r="S2901" s="4"/>
      <c r="T2901" s="4"/>
      <c r="U2901" s="4"/>
      <c r="V2901" s="4"/>
    </row>
    <row r="2902" spans="1:22" ht="14.5" customHeight="1" x14ac:dyDescent="0.2">
      <c r="A2902">
        <v>2018</v>
      </c>
      <c r="B2902" t="s">
        <v>240</v>
      </c>
      <c r="C2902" t="s">
        <v>319</v>
      </c>
      <c r="D2902" s="65">
        <v>490</v>
      </c>
      <c r="E2902" s="33">
        <v>0.8</v>
      </c>
      <c r="F2902" t="s">
        <v>1766</v>
      </c>
      <c r="G2902" t="s">
        <v>151</v>
      </c>
      <c r="H2902" t="s">
        <v>224</v>
      </c>
      <c r="I2902" t="s">
        <v>131</v>
      </c>
      <c r="J2902" t="s">
        <v>131</v>
      </c>
      <c r="K2902" s="17">
        <v>0</v>
      </c>
      <c r="L2902" s="28"/>
      <c r="N2902" s="21"/>
      <c r="O2902" s="2"/>
      <c r="P2902" s="2"/>
      <c r="Q2902" s="4"/>
      <c r="R2902" s="4"/>
      <c r="S2902" s="4"/>
      <c r="T2902" s="4"/>
      <c r="U2902" s="4"/>
      <c r="V2902" s="4"/>
    </row>
    <row r="2903" spans="1:22" ht="14.5" customHeight="1" x14ac:dyDescent="0.2">
      <c r="A2903">
        <v>2018</v>
      </c>
      <c r="B2903" t="s">
        <v>240</v>
      </c>
      <c r="C2903" t="s">
        <v>581</v>
      </c>
      <c r="D2903" s="65">
        <v>190</v>
      </c>
      <c r="E2903" s="33"/>
      <c r="G2903" t="s">
        <v>150</v>
      </c>
      <c r="H2903" t="s">
        <v>556</v>
      </c>
      <c r="I2903" t="s">
        <v>52</v>
      </c>
      <c r="J2903" t="s">
        <v>201</v>
      </c>
      <c r="K2903" s="17">
        <v>0</v>
      </c>
      <c r="L2903" s="28" t="s">
        <v>178</v>
      </c>
      <c r="N2903" s="21"/>
      <c r="O2903" s="2"/>
      <c r="P2903" s="2"/>
      <c r="Q2903" s="4"/>
      <c r="R2903" s="4"/>
      <c r="S2903" s="4"/>
      <c r="T2903" s="4"/>
      <c r="U2903" s="4"/>
      <c r="V2903" s="4"/>
    </row>
    <row r="2904" spans="1:22" ht="14.5" customHeight="1" x14ac:dyDescent="0.2">
      <c r="A2904">
        <v>2018</v>
      </c>
      <c r="B2904" t="s">
        <v>240</v>
      </c>
      <c r="C2904" t="s">
        <v>246</v>
      </c>
      <c r="D2904" s="65">
        <v>230</v>
      </c>
      <c r="E2904" s="33">
        <v>0.5</v>
      </c>
      <c r="F2904" t="s">
        <v>737</v>
      </c>
      <c r="G2904" t="s">
        <v>144</v>
      </c>
      <c r="H2904" t="s">
        <v>197</v>
      </c>
      <c r="I2904" t="s">
        <v>28</v>
      </c>
      <c r="J2904" t="s">
        <v>205</v>
      </c>
      <c r="K2904" s="17">
        <v>0</v>
      </c>
      <c r="L2904" s="28"/>
      <c r="N2904" s="21"/>
      <c r="O2904" s="2"/>
      <c r="P2904" s="2"/>
      <c r="Q2904" s="4"/>
      <c r="R2904" s="4"/>
      <c r="S2904" s="4"/>
      <c r="T2904" s="4"/>
      <c r="U2904" s="4"/>
      <c r="V2904" s="4"/>
    </row>
    <row r="2905" spans="1:22" ht="14.5" customHeight="1" x14ac:dyDescent="0.2">
      <c r="A2905">
        <v>2018</v>
      </c>
      <c r="B2905" t="s">
        <v>240</v>
      </c>
      <c r="C2905" t="s">
        <v>307</v>
      </c>
      <c r="D2905" s="65">
        <v>400</v>
      </c>
      <c r="E2905" s="33">
        <v>0.4</v>
      </c>
      <c r="G2905" t="s">
        <v>144</v>
      </c>
      <c r="I2905" t="s">
        <v>97</v>
      </c>
      <c r="J2905" t="s">
        <v>183</v>
      </c>
      <c r="K2905" s="17">
        <v>1</v>
      </c>
      <c r="L2905" s="28" t="s">
        <v>178</v>
      </c>
      <c r="N2905" s="21"/>
      <c r="O2905" s="2"/>
      <c r="P2905" s="2"/>
      <c r="Q2905" s="4"/>
      <c r="R2905" s="4"/>
      <c r="S2905" s="4"/>
      <c r="T2905" s="4"/>
      <c r="U2905" s="4"/>
      <c r="V2905" s="4"/>
    </row>
    <row r="2906" spans="1:22" ht="14.5" customHeight="1" x14ac:dyDescent="0.2">
      <c r="A2906">
        <v>2018</v>
      </c>
      <c r="B2906" t="s">
        <v>240</v>
      </c>
      <c r="C2906" t="s">
        <v>416</v>
      </c>
      <c r="D2906" s="65">
        <v>340</v>
      </c>
      <c r="E2906" s="33"/>
      <c r="G2906" t="s">
        <v>154</v>
      </c>
      <c r="H2906" t="s">
        <v>194</v>
      </c>
      <c r="I2906" t="s">
        <v>52</v>
      </c>
      <c r="J2906" t="s">
        <v>201</v>
      </c>
      <c r="K2906" s="17">
        <v>0</v>
      </c>
      <c r="L2906" s="28"/>
      <c r="N2906" s="21"/>
      <c r="O2906" s="2"/>
      <c r="P2906" s="2"/>
      <c r="Q2906" s="4"/>
      <c r="R2906" s="4"/>
      <c r="S2906" s="4"/>
      <c r="T2906" s="4"/>
      <c r="U2906" s="4"/>
      <c r="V2906" s="4"/>
    </row>
    <row r="2907" spans="1:22" ht="14.5" customHeight="1" x14ac:dyDescent="0.2">
      <c r="A2907">
        <v>2018</v>
      </c>
      <c r="B2907" t="s">
        <v>240</v>
      </c>
      <c r="C2907" t="s">
        <v>538</v>
      </c>
      <c r="D2907" s="65">
        <v>390</v>
      </c>
      <c r="E2907" s="33">
        <v>0.3</v>
      </c>
      <c r="F2907" t="s">
        <v>1767</v>
      </c>
      <c r="G2907" t="s">
        <v>149</v>
      </c>
      <c r="H2907" t="s">
        <v>238</v>
      </c>
      <c r="I2907" t="s">
        <v>53</v>
      </c>
      <c r="J2907" t="s">
        <v>183</v>
      </c>
      <c r="K2907" s="17">
        <v>1</v>
      </c>
      <c r="L2907" s="28" t="s">
        <v>178</v>
      </c>
      <c r="N2907" s="21"/>
      <c r="O2907" s="2"/>
      <c r="P2907" s="2"/>
      <c r="Q2907" s="4"/>
      <c r="R2907" s="4"/>
      <c r="S2907" s="4"/>
      <c r="T2907" s="4"/>
      <c r="U2907" s="4"/>
      <c r="V2907" s="4"/>
    </row>
    <row r="2908" spans="1:22" ht="14.5" customHeight="1" x14ac:dyDescent="0.2">
      <c r="A2908">
        <v>2018</v>
      </c>
      <c r="B2908" t="s">
        <v>212</v>
      </c>
      <c r="C2908" t="s">
        <v>557</v>
      </c>
      <c r="D2908" s="65">
        <v>250</v>
      </c>
      <c r="E2908" s="33">
        <v>0.51</v>
      </c>
      <c r="F2908" t="s">
        <v>1768</v>
      </c>
      <c r="G2908" t="s">
        <v>151</v>
      </c>
      <c r="H2908" t="s">
        <v>279</v>
      </c>
      <c r="I2908" t="s">
        <v>138</v>
      </c>
      <c r="J2908" t="s">
        <v>219</v>
      </c>
      <c r="K2908" s="17">
        <v>1</v>
      </c>
      <c r="L2908" s="28" t="s">
        <v>178</v>
      </c>
      <c r="N2908" s="21"/>
      <c r="O2908" s="2"/>
      <c r="P2908" s="2"/>
      <c r="Q2908" s="4"/>
      <c r="R2908" s="4"/>
      <c r="S2908" s="4"/>
      <c r="T2908" s="4"/>
      <c r="U2908" s="4"/>
      <c r="V2908" s="4"/>
    </row>
    <row r="2909" spans="1:22" ht="14.5" customHeight="1" x14ac:dyDescent="0.2">
      <c r="A2909">
        <v>2018</v>
      </c>
      <c r="B2909" t="s">
        <v>212</v>
      </c>
      <c r="C2909" t="s">
        <v>1011</v>
      </c>
      <c r="D2909" s="65">
        <v>150</v>
      </c>
      <c r="E2909" s="33"/>
      <c r="G2909" t="s">
        <v>149</v>
      </c>
      <c r="H2909" t="s">
        <v>236</v>
      </c>
      <c r="I2909" t="s">
        <v>34</v>
      </c>
      <c r="J2909" t="s">
        <v>219</v>
      </c>
      <c r="K2909" s="17">
        <v>1</v>
      </c>
      <c r="L2909" s="28" t="s">
        <v>178</v>
      </c>
      <c r="N2909" s="21"/>
      <c r="O2909" s="2"/>
      <c r="P2909" s="2"/>
      <c r="Q2909" s="4"/>
      <c r="R2909" s="4"/>
      <c r="S2909" s="4"/>
      <c r="T2909" s="4"/>
      <c r="U2909" s="4"/>
      <c r="V2909" s="4"/>
    </row>
    <row r="2910" spans="1:22" ht="14.5" customHeight="1" x14ac:dyDescent="0.2">
      <c r="A2910">
        <v>2018</v>
      </c>
      <c r="B2910" t="s">
        <v>212</v>
      </c>
      <c r="C2910" t="s">
        <v>1769</v>
      </c>
      <c r="D2910" s="65">
        <v>880</v>
      </c>
      <c r="E2910" s="33">
        <v>0.8</v>
      </c>
      <c r="F2910" t="s">
        <v>1770</v>
      </c>
      <c r="G2910" t="s">
        <v>152</v>
      </c>
      <c r="I2910" t="s">
        <v>85</v>
      </c>
      <c r="J2910" t="s">
        <v>195</v>
      </c>
      <c r="K2910" s="17">
        <v>0</v>
      </c>
      <c r="L2910" s="28"/>
      <c r="N2910" s="21"/>
      <c r="O2910" s="2"/>
      <c r="P2910" s="2"/>
      <c r="Q2910" s="4"/>
      <c r="R2910" s="4"/>
      <c r="S2910" s="4"/>
      <c r="T2910" s="4"/>
      <c r="U2910" s="4"/>
      <c r="V2910" s="4"/>
    </row>
    <row r="2911" spans="1:22" ht="14.5" customHeight="1" x14ac:dyDescent="0.2">
      <c r="A2911">
        <v>2018</v>
      </c>
      <c r="B2911" t="s">
        <v>212</v>
      </c>
      <c r="C2911" t="s">
        <v>1771</v>
      </c>
      <c r="D2911" s="65">
        <v>460</v>
      </c>
      <c r="E2911" s="33">
        <v>1</v>
      </c>
      <c r="G2911" t="s">
        <v>152</v>
      </c>
      <c r="H2911" t="s">
        <v>257</v>
      </c>
      <c r="I2911" t="s">
        <v>52</v>
      </c>
      <c r="J2911" t="s">
        <v>201</v>
      </c>
      <c r="K2911" s="17">
        <v>0</v>
      </c>
      <c r="L2911" s="28" t="s">
        <v>178</v>
      </c>
      <c r="N2911" s="21"/>
      <c r="O2911" s="2"/>
      <c r="P2911" s="2"/>
      <c r="Q2911" s="4"/>
      <c r="R2911" s="4"/>
      <c r="S2911" s="4"/>
      <c r="T2911" s="4"/>
      <c r="U2911" s="4"/>
      <c r="V2911" s="4"/>
    </row>
    <row r="2912" spans="1:22" ht="14.5" customHeight="1" x14ac:dyDescent="0.2">
      <c r="A2912">
        <v>2018</v>
      </c>
      <c r="B2912" t="s">
        <v>212</v>
      </c>
      <c r="C2912" t="s">
        <v>1772</v>
      </c>
      <c r="D2912" s="65">
        <v>280</v>
      </c>
      <c r="E2912" s="33">
        <v>1</v>
      </c>
      <c r="G2912" t="s">
        <v>154</v>
      </c>
      <c r="H2912" t="s">
        <v>194</v>
      </c>
      <c r="I2912" t="s">
        <v>45</v>
      </c>
      <c r="J2912" t="s">
        <v>195</v>
      </c>
      <c r="K2912" s="17">
        <v>0</v>
      </c>
      <c r="L2912" s="28" t="s">
        <v>178</v>
      </c>
      <c r="N2912" s="21"/>
      <c r="O2912" s="2"/>
      <c r="P2912" s="2"/>
      <c r="Q2912" s="4"/>
      <c r="R2912" s="4"/>
      <c r="S2912" s="4"/>
      <c r="T2912" s="4"/>
      <c r="U2912" s="4"/>
      <c r="V2912" s="4"/>
    </row>
    <row r="2913" spans="1:22" ht="14.5" customHeight="1" x14ac:dyDescent="0.2">
      <c r="A2913">
        <v>2018</v>
      </c>
      <c r="B2913" t="s">
        <v>212</v>
      </c>
      <c r="C2913" t="s">
        <v>698</v>
      </c>
      <c r="D2913" s="65">
        <v>2040</v>
      </c>
      <c r="E2913" s="33"/>
      <c r="F2913" t="s">
        <v>1773</v>
      </c>
      <c r="G2913" t="s">
        <v>150</v>
      </c>
      <c r="H2913" t="s">
        <v>292</v>
      </c>
      <c r="I2913" t="s">
        <v>131</v>
      </c>
      <c r="J2913" t="s">
        <v>131</v>
      </c>
      <c r="K2913" s="17">
        <v>0</v>
      </c>
      <c r="L2913" s="28"/>
      <c r="N2913" s="21"/>
      <c r="O2913" s="2"/>
      <c r="P2913" s="2"/>
      <c r="Q2913" s="4"/>
      <c r="R2913" s="4"/>
      <c r="S2913" s="4"/>
      <c r="T2913" s="4"/>
      <c r="U2913" s="4"/>
      <c r="V2913" s="4"/>
    </row>
    <row r="2914" spans="1:22" ht="14.5" customHeight="1" x14ac:dyDescent="0.2">
      <c r="A2914">
        <v>2018</v>
      </c>
      <c r="B2914" t="s">
        <v>212</v>
      </c>
      <c r="C2914" t="s">
        <v>263</v>
      </c>
      <c r="D2914" s="65">
        <v>1780</v>
      </c>
      <c r="E2914" s="33">
        <v>0.11</v>
      </c>
      <c r="F2914" t="s">
        <v>1774</v>
      </c>
      <c r="G2914" t="s">
        <v>144</v>
      </c>
      <c r="H2914" t="s">
        <v>299</v>
      </c>
      <c r="I2914" t="s">
        <v>20</v>
      </c>
      <c r="J2914" t="s">
        <v>195</v>
      </c>
      <c r="K2914" s="17">
        <v>0</v>
      </c>
      <c r="L2914" s="28"/>
      <c r="N2914" s="21"/>
      <c r="O2914" s="2"/>
      <c r="P2914" s="2"/>
      <c r="Q2914" s="4"/>
      <c r="R2914" s="4"/>
      <c r="S2914" s="4"/>
      <c r="T2914" s="4"/>
      <c r="U2914" s="4"/>
      <c r="V2914" s="4"/>
    </row>
    <row r="2915" spans="1:22" ht="14.5" customHeight="1" x14ac:dyDescent="0.2">
      <c r="A2915">
        <v>2018</v>
      </c>
      <c r="B2915" t="s">
        <v>212</v>
      </c>
      <c r="C2915" t="s">
        <v>530</v>
      </c>
      <c r="D2915" s="65">
        <v>130</v>
      </c>
      <c r="E2915" s="33"/>
      <c r="G2915" t="s">
        <v>152</v>
      </c>
      <c r="H2915" t="s">
        <v>257</v>
      </c>
      <c r="I2915" t="s">
        <v>25</v>
      </c>
      <c r="J2915" t="s">
        <v>177</v>
      </c>
      <c r="K2915" s="17">
        <v>0</v>
      </c>
      <c r="L2915" s="28"/>
      <c r="N2915" s="21"/>
      <c r="O2915" s="2"/>
      <c r="P2915" s="2"/>
      <c r="Q2915" s="4"/>
      <c r="R2915" s="4"/>
      <c r="S2915" s="4"/>
      <c r="T2915" s="4"/>
      <c r="U2915" s="4"/>
      <c r="V2915" s="4"/>
    </row>
    <row r="2916" spans="1:22" ht="15.5" customHeight="1" x14ac:dyDescent="0.2">
      <c r="A2916">
        <v>2018</v>
      </c>
      <c r="B2916" t="s">
        <v>212</v>
      </c>
      <c r="C2916" t="s">
        <v>1775</v>
      </c>
      <c r="D2916" s="65">
        <v>120</v>
      </c>
      <c r="E2916" s="33">
        <v>1</v>
      </c>
      <c r="G2916" t="s">
        <v>150</v>
      </c>
      <c r="H2916" t="s">
        <v>217</v>
      </c>
      <c r="I2916" t="s">
        <v>139</v>
      </c>
      <c r="J2916" t="s">
        <v>219</v>
      </c>
      <c r="K2916" s="17">
        <v>1</v>
      </c>
      <c r="L2916" s="28" t="s">
        <v>178</v>
      </c>
      <c r="N2916" s="21"/>
      <c r="O2916" s="2"/>
      <c r="P2916" s="2"/>
      <c r="Q2916" s="4"/>
      <c r="R2916" s="4"/>
      <c r="S2916" s="4"/>
      <c r="T2916" s="4"/>
      <c r="U2916" s="4"/>
      <c r="V2916" s="4"/>
    </row>
    <row r="2917" spans="1:22" ht="13.5" customHeight="1" x14ac:dyDescent="0.2">
      <c r="A2917">
        <v>2018</v>
      </c>
      <c r="B2917" t="s">
        <v>212</v>
      </c>
      <c r="C2917" t="s">
        <v>1776</v>
      </c>
      <c r="D2917" s="65">
        <v>150</v>
      </c>
      <c r="E2917" s="33"/>
      <c r="F2917" t="s">
        <v>1777</v>
      </c>
      <c r="G2917" t="s">
        <v>150</v>
      </c>
      <c r="H2917" t="s">
        <v>556</v>
      </c>
      <c r="I2917" t="s">
        <v>52</v>
      </c>
      <c r="J2917" t="s">
        <v>201</v>
      </c>
      <c r="K2917" s="17">
        <v>0</v>
      </c>
      <c r="L2917" s="28"/>
      <c r="N2917" s="21"/>
      <c r="O2917" s="2"/>
      <c r="P2917" s="2"/>
      <c r="Q2917" s="4"/>
      <c r="R2917" s="4"/>
      <c r="S2917" s="4"/>
      <c r="T2917" s="4"/>
      <c r="U2917" s="4"/>
      <c r="V2917" s="4"/>
    </row>
    <row r="2918" spans="1:22" ht="14.5" customHeight="1" x14ac:dyDescent="0.2">
      <c r="A2918">
        <v>2018</v>
      </c>
      <c r="B2918" t="s">
        <v>212</v>
      </c>
      <c r="C2918" t="s">
        <v>1778</v>
      </c>
      <c r="D2918" s="65">
        <v>360</v>
      </c>
      <c r="E2918" s="33"/>
      <c r="G2918" t="s">
        <v>150</v>
      </c>
      <c r="H2918" t="s">
        <v>292</v>
      </c>
      <c r="I2918" t="s">
        <v>136</v>
      </c>
      <c r="J2918" t="s">
        <v>183</v>
      </c>
      <c r="K2918" s="17">
        <v>1</v>
      </c>
      <c r="L2918" s="28" t="s">
        <v>178</v>
      </c>
      <c r="N2918" s="21"/>
      <c r="O2918" s="2"/>
      <c r="P2918" s="2"/>
      <c r="Q2918" s="4"/>
      <c r="R2918" s="4"/>
      <c r="S2918" s="4"/>
      <c r="T2918" s="4"/>
      <c r="U2918" s="4"/>
      <c r="V2918" s="4"/>
    </row>
    <row r="2919" spans="1:22" ht="14.5" customHeight="1" x14ac:dyDescent="0.2">
      <c r="A2919">
        <v>2018</v>
      </c>
      <c r="B2919" t="s">
        <v>212</v>
      </c>
      <c r="C2919" t="s">
        <v>1779</v>
      </c>
      <c r="D2919" s="65">
        <v>110</v>
      </c>
      <c r="E2919" s="33"/>
      <c r="F2919" t="s">
        <v>1780</v>
      </c>
      <c r="G2919" t="s">
        <v>145</v>
      </c>
      <c r="I2919" t="s">
        <v>45</v>
      </c>
      <c r="J2919" t="s">
        <v>195</v>
      </c>
      <c r="K2919" s="17">
        <v>0</v>
      </c>
      <c r="L2919" s="28"/>
      <c r="N2919" s="21"/>
      <c r="O2919" s="2"/>
      <c r="P2919" s="2"/>
      <c r="Q2919" s="4"/>
      <c r="R2919" s="4"/>
      <c r="S2919" s="4"/>
      <c r="T2919" s="4"/>
      <c r="U2919" s="4"/>
      <c r="V2919" s="4"/>
    </row>
    <row r="2920" spans="1:22" ht="14.5" customHeight="1" x14ac:dyDescent="0.2">
      <c r="A2920">
        <v>2018</v>
      </c>
      <c r="B2920" t="s">
        <v>212</v>
      </c>
      <c r="C2920" t="s">
        <v>714</v>
      </c>
      <c r="D2920" s="65">
        <v>180</v>
      </c>
      <c r="E2920" s="33">
        <v>0.65</v>
      </c>
      <c r="F2920" t="s">
        <v>1781</v>
      </c>
      <c r="G2920" t="s">
        <v>154</v>
      </c>
      <c r="H2920" t="s">
        <v>194</v>
      </c>
      <c r="I2920" t="s">
        <v>136</v>
      </c>
      <c r="J2920" t="s">
        <v>183</v>
      </c>
      <c r="K2920" s="17">
        <v>1</v>
      </c>
      <c r="L2920" s="28" t="s">
        <v>178</v>
      </c>
      <c r="N2920" s="21"/>
      <c r="O2920" s="2"/>
      <c r="P2920" s="2"/>
      <c r="Q2920" s="4"/>
      <c r="R2920" s="4"/>
      <c r="S2920" s="4"/>
      <c r="T2920" s="4"/>
      <c r="U2920" s="4"/>
      <c r="V2920" s="4"/>
    </row>
    <row r="2921" spans="1:22" ht="14.5" customHeight="1" x14ac:dyDescent="0.2">
      <c r="A2921">
        <v>2018</v>
      </c>
      <c r="B2921" t="s">
        <v>212</v>
      </c>
      <c r="C2921" t="s">
        <v>449</v>
      </c>
      <c r="D2921" s="65">
        <v>920</v>
      </c>
      <c r="E2921" s="33"/>
      <c r="G2921" t="s">
        <v>149</v>
      </c>
      <c r="H2921" t="s">
        <v>236</v>
      </c>
      <c r="I2921" t="s">
        <v>37</v>
      </c>
      <c r="J2921" t="s">
        <v>205</v>
      </c>
      <c r="K2921" s="17">
        <v>1</v>
      </c>
      <c r="L2921" s="28"/>
      <c r="N2921" s="21"/>
      <c r="O2921" s="2"/>
      <c r="P2921" s="2"/>
      <c r="Q2921" s="4"/>
      <c r="R2921" s="4"/>
      <c r="S2921" s="4"/>
      <c r="T2921" s="4"/>
      <c r="U2921" s="4"/>
      <c r="V2921" s="4"/>
    </row>
    <row r="2922" spans="1:22" ht="14.5" customHeight="1" x14ac:dyDescent="0.2">
      <c r="A2922">
        <v>2018</v>
      </c>
      <c r="B2922" t="s">
        <v>212</v>
      </c>
      <c r="C2922" t="s">
        <v>530</v>
      </c>
      <c r="D2922" s="65">
        <v>100</v>
      </c>
      <c r="E2922" s="33"/>
      <c r="G2922" t="s">
        <v>152</v>
      </c>
      <c r="H2922" t="s">
        <v>257</v>
      </c>
      <c r="I2922" t="s">
        <v>52</v>
      </c>
      <c r="J2922" t="s">
        <v>201</v>
      </c>
      <c r="K2922" s="17">
        <v>0</v>
      </c>
      <c r="L2922" s="28" t="s">
        <v>178</v>
      </c>
      <c r="N2922" s="21"/>
      <c r="O2922" s="2"/>
      <c r="P2922" s="2"/>
      <c r="Q2922" s="4"/>
      <c r="R2922" s="4"/>
      <c r="S2922" s="4"/>
      <c r="T2922" s="4"/>
      <c r="U2922" s="4"/>
      <c r="V2922" s="4"/>
    </row>
    <row r="2923" spans="1:22" ht="14.5" customHeight="1" x14ac:dyDescent="0.2">
      <c r="A2923">
        <v>2018</v>
      </c>
      <c r="B2923" t="s">
        <v>212</v>
      </c>
      <c r="C2923" t="s">
        <v>554</v>
      </c>
      <c r="D2923" s="65">
        <v>110</v>
      </c>
      <c r="E2923" s="33">
        <v>0.51</v>
      </c>
      <c r="F2923" t="s">
        <v>1782</v>
      </c>
      <c r="G2923" t="s">
        <v>146</v>
      </c>
      <c r="I2923" t="s">
        <v>96</v>
      </c>
      <c r="J2923" t="s">
        <v>205</v>
      </c>
      <c r="K2923" s="17">
        <v>1</v>
      </c>
      <c r="L2923" s="28"/>
      <c r="N2923" s="21"/>
      <c r="O2923" s="2"/>
      <c r="P2923" s="2"/>
      <c r="Q2923" s="4"/>
      <c r="R2923" s="4"/>
      <c r="S2923" s="4"/>
      <c r="T2923" s="4"/>
      <c r="U2923" s="4"/>
      <c r="V2923" s="4"/>
    </row>
    <row r="2924" spans="1:22" ht="14.5" customHeight="1" x14ac:dyDescent="0.2">
      <c r="A2924">
        <v>2018</v>
      </c>
      <c r="B2924" t="s">
        <v>212</v>
      </c>
      <c r="C2924" t="s">
        <v>1783</v>
      </c>
      <c r="D2924" s="65">
        <v>210</v>
      </c>
      <c r="E2924" s="33">
        <v>1</v>
      </c>
      <c r="G2924" t="s">
        <v>154</v>
      </c>
      <c r="H2924" t="s">
        <v>194</v>
      </c>
      <c r="I2924" t="s">
        <v>136</v>
      </c>
      <c r="J2924" t="s">
        <v>183</v>
      </c>
      <c r="K2924" s="17">
        <v>1</v>
      </c>
      <c r="L2924" s="28" t="s">
        <v>178</v>
      </c>
      <c r="N2924" s="21"/>
      <c r="O2924" s="2"/>
      <c r="P2924" s="2"/>
      <c r="Q2924" s="4"/>
      <c r="R2924" s="4"/>
      <c r="S2924" s="4"/>
      <c r="T2924" s="4"/>
      <c r="U2924" s="4"/>
      <c r="V2924" s="4"/>
    </row>
    <row r="2925" spans="1:22" ht="14.5" customHeight="1" x14ac:dyDescent="0.2">
      <c r="A2925">
        <v>2018</v>
      </c>
      <c r="B2925" t="s">
        <v>172</v>
      </c>
      <c r="C2925" t="s">
        <v>449</v>
      </c>
      <c r="D2925" s="22">
        <v>540</v>
      </c>
      <c r="E2925" s="16"/>
      <c r="G2925" t="s">
        <v>154</v>
      </c>
      <c r="H2925" t="s">
        <v>529</v>
      </c>
      <c r="I2925" t="s">
        <v>54</v>
      </c>
      <c r="J2925" t="s">
        <v>201</v>
      </c>
      <c r="K2925">
        <v>1</v>
      </c>
      <c r="L2925" s="2"/>
      <c r="N2925" s="21"/>
      <c r="O2925" s="2"/>
      <c r="P2925" s="2"/>
      <c r="Q2925" s="4"/>
      <c r="R2925" s="4"/>
      <c r="S2925" s="4"/>
      <c r="T2925" s="4"/>
      <c r="U2925" s="4"/>
      <c r="V2925" s="4"/>
    </row>
    <row r="2926" spans="1:22" ht="14.5" customHeight="1" x14ac:dyDescent="0.2">
      <c r="A2926">
        <v>2018</v>
      </c>
      <c r="B2926" t="s">
        <v>172</v>
      </c>
      <c r="C2926" t="s">
        <v>449</v>
      </c>
      <c r="D2926" s="22">
        <v>230</v>
      </c>
      <c r="E2926" s="16"/>
      <c r="G2926" t="s">
        <v>155</v>
      </c>
      <c r="I2926" t="s">
        <v>123</v>
      </c>
      <c r="J2926" t="s">
        <v>219</v>
      </c>
      <c r="K2926">
        <v>1</v>
      </c>
      <c r="L2926" s="2"/>
      <c r="N2926" s="21"/>
      <c r="O2926" s="2"/>
      <c r="P2926" s="2"/>
      <c r="Q2926" s="4"/>
      <c r="R2926" s="4"/>
      <c r="S2926" s="4"/>
      <c r="T2926" s="4"/>
      <c r="U2926" s="4"/>
      <c r="V2926" s="4"/>
    </row>
    <row r="2927" spans="1:22" ht="14.5" customHeight="1" x14ac:dyDescent="0.2">
      <c r="A2927">
        <v>2018</v>
      </c>
      <c r="B2927" t="s">
        <v>172</v>
      </c>
      <c r="C2927" t="s">
        <v>1035</v>
      </c>
      <c r="D2927" s="22">
        <v>150</v>
      </c>
      <c r="E2927" s="16"/>
      <c r="F2927" t="s">
        <v>2846</v>
      </c>
      <c r="G2927" t="s">
        <v>154</v>
      </c>
      <c r="H2927" t="s">
        <v>529</v>
      </c>
      <c r="I2927" t="s">
        <v>82</v>
      </c>
      <c r="J2927" t="s">
        <v>183</v>
      </c>
      <c r="K2927">
        <v>1</v>
      </c>
      <c r="L2927" s="2"/>
      <c r="N2927" s="21"/>
      <c r="O2927" s="2"/>
      <c r="P2927" s="2"/>
      <c r="Q2927" s="4"/>
      <c r="R2927" s="4"/>
      <c r="S2927" s="4"/>
      <c r="T2927" s="4"/>
      <c r="U2927" s="4"/>
      <c r="V2927" s="4"/>
    </row>
    <row r="2928" spans="1:22" ht="14.5" customHeight="1" x14ac:dyDescent="0.2">
      <c r="A2928">
        <v>2018</v>
      </c>
      <c r="B2928" t="s">
        <v>172</v>
      </c>
      <c r="C2928" t="s">
        <v>1035</v>
      </c>
      <c r="D2928" s="22">
        <v>110</v>
      </c>
      <c r="E2928" s="16"/>
      <c r="G2928" t="s">
        <v>144</v>
      </c>
      <c r="H2928" t="s">
        <v>197</v>
      </c>
      <c r="I2928" t="s">
        <v>67</v>
      </c>
      <c r="J2928" t="s">
        <v>183</v>
      </c>
      <c r="K2928">
        <v>1</v>
      </c>
      <c r="L2928" s="2"/>
      <c r="N2928" s="21"/>
      <c r="O2928" s="2"/>
      <c r="P2928" s="2"/>
      <c r="Q2928" s="4"/>
      <c r="R2928" s="4"/>
      <c r="S2928" s="4"/>
      <c r="T2928" s="4"/>
      <c r="U2928" s="4"/>
      <c r="V2928" s="4"/>
    </row>
    <row r="2929" spans="1:22" ht="14.5" customHeight="1" x14ac:dyDescent="0.2">
      <c r="A2929">
        <v>2018</v>
      </c>
      <c r="B2929" t="s">
        <v>172</v>
      </c>
      <c r="C2929" t="s">
        <v>2847</v>
      </c>
      <c r="D2929" s="22">
        <v>380</v>
      </c>
      <c r="E2929" s="16"/>
      <c r="F2929" t="s">
        <v>2848</v>
      </c>
      <c r="G2929" t="s">
        <v>152</v>
      </c>
      <c r="H2929" t="s">
        <v>257</v>
      </c>
      <c r="I2929" t="s">
        <v>82</v>
      </c>
      <c r="J2929" t="s">
        <v>183</v>
      </c>
      <c r="K2929">
        <v>1</v>
      </c>
      <c r="L2929" s="2"/>
      <c r="N2929" s="21"/>
      <c r="O2929" s="2"/>
      <c r="P2929" s="2"/>
      <c r="Q2929" s="4"/>
      <c r="R2929" s="4"/>
      <c r="S2929" s="4"/>
      <c r="T2929" s="4"/>
      <c r="U2929" s="4"/>
      <c r="V2929" s="4"/>
    </row>
    <row r="2930" spans="1:22" ht="14.5" customHeight="1" x14ac:dyDescent="0.2">
      <c r="A2930">
        <v>2018</v>
      </c>
      <c r="B2930" t="s">
        <v>172</v>
      </c>
      <c r="C2930" t="s">
        <v>189</v>
      </c>
      <c r="D2930" s="22">
        <v>150</v>
      </c>
      <c r="E2930" s="16"/>
      <c r="F2930" t="s">
        <v>1010</v>
      </c>
      <c r="G2930" t="s">
        <v>144</v>
      </c>
      <c r="H2930" t="s">
        <v>187</v>
      </c>
      <c r="I2930" t="s">
        <v>37</v>
      </c>
      <c r="J2930" t="s">
        <v>205</v>
      </c>
      <c r="K2930">
        <v>1</v>
      </c>
      <c r="L2930" s="2"/>
      <c r="N2930" s="21"/>
      <c r="O2930" s="2"/>
      <c r="P2930" s="2"/>
      <c r="Q2930" s="4"/>
      <c r="R2930" s="4"/>
      <c r="S2930" s="4"/>
      <c r="T2930" s="4"/>
      <c r="U2930" s="4"/>
      <c r="V2930" s="4"/>
    </row>
    <row r="2931" spans="1:22" ht="14.5" customHeight="1" x14ac:dyDescent="0.2">
      <c r="A2931">
        <v>2018</v>
      </c>
      <c r="B2931" t="s">
        <v>172</v>
      </c>
      <c r="C2931" t="s">
        <v>397</v>
      </c>
      <c r="D2931" s="22">
        <v>600</v>
      </c>
      <c r="E2931" s="16"/>
      <c r="G2931" t="s">
        <v>154</v>
      </c>
      <c r="H2931" t="s">
        <v>529</v>
      </c>
      <c r="I2931" t="s">
        <v>131</v>
      </c>
      <c r="J2931" t="s">
        <v>131</v>
      </c>
      <c r="K2931">
        <v>0</v>
      </c>
      <c r="L2931" s="2"/>
      <c r="N2931" s="21"/>
      <c r="O2931" s="2"/>
      <c r="P2931" s="2"/>
      <c r="Q2931" s="4"/>
      <c r="R2931" s="4"/>
      <c r="S2931" s="4"/>
      <c r="T2931" s="4"/>
      <c r="U2931" s="4"/>
      <c r="V2931" s="4"/>
    </row>
    <row r="2932" spans="1:22" ht="14.5" customHeight="1" x14ac:dyDescent="0.2">
      <c r="A2932">
        <v>2018</v>
      </c>
      <c r="B2932" t="s">
        <v>172</v>
      </c>
      <c r="C2932" t="s">
        <v>175</v>
      </c>
      <c r="D2932" s="22">
        <v>320</v>
      </c>
      <c r="E2932" s="16"/>
      <c r="G2932" t="s">
        <v>149</v>
      </c>
      <c r="H2932" t="s">
        <v>182</v>
      </c>
      <c r="I2932" t="s">
        <v>53</v>
      </c>
      <c r="J2932" t="s">
        <v>183</v>
      </c>
      <c r="K2932">
        <v>1</v>
      </c>
      <c r="L2932" s="2"/>
      <c r="N2932" s="21"/>
      <c r="O2932" s="2"/>
      <c r="P2932" s="2"/>
      <c r="Q2932" s="4"/>
      <c r="R2932" s="4"/>
      <c r="S2932" s="4"/>
      <c r="T2932" s="4"/>
      <c r="U2932" s="4"/>
      <c r="V2932" s="4"/>
    </row>
    <row r="2933" spans="1:22" ht="14.5" customHeight="1" x14ac:dyDescent="0.2">
      <c r="A2933">
        <v>2018</v>
      </c>
      <c r="B2933" t="s">
        <v>172</v>
      </c>
      <c r="C2933" t="s">
        <v>175</v>
      </c>
      <c r="D2933" s="22">
        <v>100</v>
      </c>
      <c r="E2933" s="16"/>
      <c r="F2933" t="s">
        <v>2849</v>
      </c>
      <c r="G2933" t="s">
        <v>149</v>
      </c>
      <c r="H2933" t="s">
        <v>182</v>
      </c>
      <c r="I2933" t="s">
        <v>136</v>
      </c>
      <c r="J2933" t="s">
        <v>183</v>
      </c>
      <c r="K2933">
        <v>1</v>
      </c>
      <c r="L2933" s="2"/>
      <c r="N2933" s="21"/>
      <c r="O2933" s="2"/>
      <c r="P2933" s="2"/>
      <c r="Q2933" s="4"/>
      <c r="R2933" s="4"/>
      <c r="S2933" s="4"/>
      <c r="T2933" s="4"/>
      <c r="U2933" s="4"/>
      <c r="V2933" s="4"/>
    </row>
    <row r="2934" spans="1:22" ht="14.5" customHeight="1" x14ac:dyDescent="0.2">
      <c r="A2934">
        <v>2018</v>
      </c>
      <c r="B2934" t="s">
        <v>172</v>
      </c>
      <c r="C2934" t="s">
        <v>175</v>
      </c>
      <c r="D2934" s="22">
        <v>130</v>
      </c>
      <c r="E2934" s="16"/>
      <c r="G2934" t="s">
        <v>151</v>
      </c>
      <c r="H2934" t="s">
        <v>279</v>
      </c>
      <c r="I2934" t="s">
        <v>53</v>
      </c>
      <c r="J2934" t="s">
        <v>183</v>
      </c>
      <c r="K2934">
        <v>1</v>
      </c>
      <c r="L2934" s="2"/>
      <c r="N2934" s="21"/>
      <c r="O2934" s="2"/>
      <c r="P2934" s="2"/>
      <c r="Q2934" s="4"/>
      <c r="R2934" s="4"/>
      <c r="S2934" s="4"/>
      <c r="T2934" s="4"/>
      <c r="U2934" s="4"/>
      <c r="V2934" s="4"/>
    </row>
    <row r="2935" spans="1:22" ht="14.5" customHeight="1" x14ac:dyDescent="0.2">
      <c r="A2935">
        <v>2018</v>
      </c>
      <c r="B2935" t="s">
        <v>172</v>
      </c>
      <c r="C2935" t="s">
        <v>175</v>
      </c>
      <c r="D2935" s="22">
        <v>170</v>
      </c>
      <c r="E2935" s="16"/>
      <c r="G2935" t="s">
        <v>151</v>
      </c>
      <c r="H2935" t="s">
        <v>279</v>
      </c>
      <c r="I2935" t="s">
        <v>72</v>
      </c>
      <c r="J2935" t="s">
        <v>183</v>
      </c>
      <c r="K2935">
        <v>1</v>
      </c>
      <c r="L2935" s="2"/>
      <c r="N2935" s="21"/>
      <c r="O2935" s="2"/>
      <c r="P2935" s="2"/>
      <c r="Q2935" s="4"/>
      <c r="R2935" s="4"/>
      <c r="S2935" s="4"/>
      <c r="T2935" s="4"/>
      <c r="U2935" s="4"/>
      <c r="V2935" s="4"/>
    </row>
    <row r="2936" spans="1:22" ht="14.5" customHeight="1" x14ac:dyDescent="0.2">
      <c r="A2936">
        <v>2018</v>
      </c>
      <c r="B2936" t="s">
        <v>172</v>
      </c>
      <c r="C2936" t="s">
        <v>397</v>
      </c>
      <c r="D2936" s="22">
        <v>140</v>
      </c>
      <c r="E2936" s="16"/>
      <c r="G2936" t="s">
        <v>150</v>
      </c>
      <c r="H2936" t="s">
        <v>556</v>
      </c>
      <c r="I2936" t="s">
        <v>130</v>
      </c>
      <c r="J2936" t="s">
        <v>214</v>
      </c>
      <c r="K2936">
        <v>1</v>
      </c>
      <c r="L2936" s="2"/>
      <c r="N2936" s="21"/>
      <c r="O2936" s="2"/>
      <c r="P2936" s="2"/>
      <c r="Q2936" s="4"/>
      <c r="R2936" s="4"/>
      <c r="S2936" s="4"/>
      <c r="T2936" s="4"/>
      <c r="U2936" s="4"/>
      <c r="V2936" s="4"/>
    </row>
    <row r="2937" spans="1:22" ht="14.5" customHeight="1" x14ac:dyDescent="0.2">
      <c r="A2937">
        <v>2018</v>
      </c>
      <c r="B2937" t="s">
        <v>172</v>
      </c>
      <c r="C2937" t="s">
        <v>479</v>
      </c>
      <c r="D2937" s="22">
        <v>210</v>
      </c>
      <c r="E2937" s="16"/>
      <c r="G2937" t="s">
        <v>154</v>
      </c>
      <c r="H2937" t="s">
        <v>250</v>
      </c>
      <c r="I2937" t="s">
        <v>2554</v>
      </c>
      <c r="J2937" t="s">
        <v>219</v>
      </c>
      <c r="K2937">
        <v>1</v>
      </c>
      <c r="L2937" s="2"/>
      <c r="N2937" s="21"/>
      <c r="O2937" s="2"/>
      <c r="P2937" s="2"/>
      <c r="Q2937" s="4"/>
      <c r="R2937" s="4"/>
      <c r="S2937" s="4"/>
      <c r="T2937" s="4"/>
      <c r="U2937" s="4"/>
      <c r="V2937" s="4"/>
    </row>
    <row r="2938" spans="1:22" ht="14.5" customHeight="1" x14ac:dyDescent="0.2">
      <c r="A2938">
        <v>2018</v>
      </c>
      <c r="B2938" t="s">
        <v>172</v>
      </c>
      <c r="C2938" t="s">
        <v>449</v>
      </c>
      <c r="D2938" s="22">
        <v>220</v>
      </c>
      <c r="E2938" s="16"/>
      <c r="G2938" t="s">
        <v>154</v>
      </c>
      <c r="H2938" t="s">
        <v>194</v>
      </c>
      <c r="I2938" t="s">
        <v>126</v>
      </c>
      <c r="J2938" t="s">
        <v>177</v>
      </c>
      <c r="K2938">
        <v>1</v>
      </c>
      <c r="L2938" s="2"/>
      <c r="N2938" s="21"/>
      <c r="O2938" s="2"/>
      <c r="P2938" s="2"/>
      <c r="Q2938" s="4"/>
      <c r="R2938" s="4"/>
      <c r="S2938" s="4"/>
      <c r="T2938" s="4"/>
      <c r="U2938" s="4"/>
      <c r="V2938" s="4"/>
    </row>
    <row r="2939" spans="1:22" ht="14.5" customHeight="1" x14ac:dyDescent="0.2">
      <c r="A2939">
        <v>2018</v>
      </c>
      <c r="B2939" t="s">
        <v>172</v>
      </c>
      <c r="C2939" t="s">
        <v>2710</v>
      </c>
      <c r="D2939" s="22">
        <v>160</v>
      </c>
      <c r="E2939" s="16"/>
      <c r="F2939" t="s">
        <v>1247</v>
      </c>
      <c r="G2939" t="s">
        <v>144</v>
      </c>
      <c r="H2939" t="s">
        <v>232</v>
      </c>
      <c r="I2939" t="s">
        <v>38</v>
      </c>
      <c r="J2939" t="s">
        <v>214</v>
      </c>
      <c r="K2939">
        <v>1</v>
      </c>
      <c r="L2939" s="2"/>
      <c r="N2939" s="21"/>
      <c r="O2939" s="2"/>
      <c r="P2939" s="2"/>
      <c r="Q2939" s="4"/>
      <c r="R2939" s="4"/>
      <c r="S2939" s="4"/>
      <c r="T2939" s="4"/>
      <c r="U2939" s="4"/>
      <c r="V2939" s="4"/>
    </row>
    <row r="2940" spans="1:22" ht="14.5" customHeight="1" x14ac:dyDescent="0.2">
      <c r="A2940">
        <v>2018</v>
      </c>
      <c r="B2940" t="s">
        <v>172</v>
      </c>
      <c r="C2940" t="s">
        <v>745</v>
      </c>
      <c r="D2940" s="22">
        <v>420</v>
      </c>
      <c r="E2940" s="16"/>
      <c r="G2940" t="s">
        <v>144</v>
      </c>
      <c r="H2940" t="s">
        <v>187</v>
      </c>
      <c r="I2940" t="s">
        <v>101</v>
      </c>
      <c r="J2940" t="s">
        <v>201</v>
      </c>
      <c r="K2940">
        <v>1</v>
      </c>
      <c r="L2940" s="2"/>
      <c r="N2940" s="21"/>
      <c r="O2940" s="2"/>
      <c r="P2940" s="2"/>
      <c r="Q2940" s="4"/>
      <c r="R2940" s="4"/>
      <c r="S2940" s="4"/>
      <c r="T2940" s="4"/>
      <c r="U2940" s="4"/>
      <c r="V2940" s="4"/>
    </row>
    <row r="2941" spans="1:22" ht="14.5" customHeight="1" x14ac:dyDescent="0.2">
      <c r="A2941">
        <v>2018</v>
      </c>
      <c r="B2941" t="s">
        <v>172</v>
      </c>
      <c r="C2941" t="s">
        <v>336</v>
      </c>
      <c r="D2941" s="22">
        <v>360</v>
      </c>
      <c r="E2941" s="16"/>
      <c r="F2941" t="s">
        <v>2850</v>
      </c>
      <c r="G2941" t="s">
        <v>143</v>
      </c>
      <c r="I2941" t="s">
        <v>13</v>
      </c>
      <c r="J2941" t="s">
        <v>201</v>
      </c>
      <c r="K2941">
        <v>1</v>
      </c>
      <c r="L2941" s="2"/>
      <c r="N2941" s="21"/>
      <c r="O2941" s="2"/>
      <c r="P2941" s="2"/>
      <c r="Q2941" s="4"/>
      <c r="R2941" s="4"/>
      <c r="S2941" s="4"/>
      <c r="T2941" s="4"/>
      <c r="U2941" s="4"/>
      <c r="V2941" s="4"/>
    </row>
    <row r="2942" spans="1:22" ht="14.5" customHeight="1" x14ac:dyDescent="0.2">
      <c r="A2942">
        <v>2018</v>
      </c>
      <c r="B2942" t="s">
        <v>258</v>
      </c>
      <c r="C2942" t="s">
        <v>2837</v>
      </c>
      <c r="D2942" s="22">
        <v>100</v>
      </c>
      <c r="E2942" s="16"/>
      <c r="G2942" t="s">
        <v>144</v>
      </c>
      <c r="H2942" t="s">
        <v>232</v>
      </c>
      <c r="I2942" t="s">
        <v>64</v>
      </c>
      <c r="J2942" t="s">
        <v>219</v>
      </c>
      <c r="K2942">
        <v>1</v>
      </c>
      <c r="L2942" s="2"/>
      <c r="N2942" s="21"/>
      <c r="O2942" s="2"/>
      <c r="P2942" s="2"/>
      <c r="Q2942" s="4"/>
      <c r="R2942" s="4"/>
      <c r="S2942" s="4"/>
      <c r="T2942" s="4"/>
      <c r="U2942" s="4"/>
      <c r="V2942" s="4"/>
    </row>
    <row r="2943" spans="1:22" ht="14.5" customHeight="1" x14ac:dyDescent="0.2">
      <c r="A2943">
        <v>2018</v>
      </c>
      <c r="B2943" t="s">
        <v>258</v>
      </c>
      <c r="C2943" t="s">
        <v>341</v>
      </c>
      <c r="D2943" s="22">
        <v>710</v>
      </c>
      <c r="E2943" s="16"/>
      <c r="G2943" t="s">
        <v>154</v>
      </c>
      <c r="H2943" t="s">
        <v>529</v>
      </c>
      <c r="I2943" t="s">
        <v>57</v>
      </c>
      <c r="J2943" t="s">
        <v>195</v>
      </c>
      <c r="K2943">
        <v>0</v>
      </c>
      <c r="L2943" s="2"/>
      <c r="N2943" s="21"/>
      <c r="O2943" s="2"/>
      <c r="P2943" s="2"/>
      <c r="Q2943" s="4"/>
      <c r="R2943" s="4"/>
      <c r="S2943" s="4"/>
      <c r="T2943" s="4"/>
      <c r="U2943" s="4"/>
      <c r="V2943" s="4"/>
    </row>
    <row r="2944" spans="1:22" ht="14.5" customHeight="1" x14ac:dyDescent="0.2">
      <c r="A2944">
        <v>2018</v>
      </c>
      <c r="B2944" t="s">
        <v>258</v>
      </c>
      <c r="C2944" t="s">
        <v>444</v>
      </c>
      <c r="D2944" s="22">
        <v>1140</v>
      </c>
      <c r="E2944" s="16"/>
      <c r="F2944" t="s">
        <v>2730</v>
      </c>
      <c r="G2944" t="s">
        <v>151</v>
      </c>
      <c r="H2944" t="s">
        <v>279</v>
      </c>
      <c r="I2944" t="s">
        <v>130</v>
      </c>
      <c r="J2944" t="s">
        <v>214</v>
      </c>
      <c r="K2944">
        <v>1</v>
      </c>
      <c r="L2944" s="2"/>
      <c r="N2944" s="21"/>
      <c r="O2944" s="2"/>
      <c r="P2944" s="2"/>
      <c r="Q2944" s="4"/>
      <c r="R2944" s="4"/>
      <c r="S2944" s="4"/>
      <c r="T2944" s="4"/>
      <c r="U2944" s="4"/>
      <c r="V2944" s="4"/>
    </row>
    <row r="2945" spans="1:22" ht="14.5" customHeight="1" x14ac:dyDescent="0.2">
      <c r="A2945">
        <v>2018</v>
      </c>
      <c r="B2945" t="s">
        <v>258</v>
      </c>
      <c r="C2945" t="s">
        <v>875</v>
      </c>
      <c r="D2945" s="22">
        <v>430</v>
      </c>
      <c r="E2945" s="16"/>
      <c r="F2945" t="s">
        <v>2851</v>
      </c>
      <c r="G2945" t="s">
        <v>144</v>
      </c>
      <c r="H2945" t="s">
        <v>299</v>
      </c>
      <c r="I2945" t="s">
        <v>89</v>
      </c>
      <c r="J2945" t="s">
        <v>219</v>
      </c>
      <c r="K2945">
        <v>1</v>
      </c>
      <c r="L2945" s="2"/>
      <c r="N2945" s="21"/>
      <c r="O2945" s="2"/>
      <c r="P2945" s="2"/>
      <c r="Q2945" s="4"/>
      <c r="R2945" s="4"/>
      <c r="S2945" s="4"/>
      <c r="T2945" s="4"/>
      <c r="U2945" s="4"/>
      <c r="V2945" s="4"/>
    </row>
    <row r="2946" spans="1:22" ht="14.5" customHeight="1" x14ac:dyDescent="0.2">
      <c r="A2946">
        <v>2018</v>
      </c>
      <c r="B2946" t="s">
        <v>258</v>
      </c>
      <c r="C2946" t="s">
        <v>745</v>
      </c>
      <c r="D2946" s="22">
        <v>720</v>
      </c>
      <c r="E2946" s="16"/>
      <c r="F2946" t="s">
        <v>2405</v>
      </c>
      <c r="G2946" t="s">
        <v>144</v>
      </c>
      <c r="H2946" t="s">
        <v>187</v>
      </c>
      <c r="I2946" t="s">
        <v>89</v>
      </c>
      <c r="J2946" t="s">
        <v>219</v>
      </c>
      <c r="K2946">
        <v>1</v>
      </c>
      <c r="L2946" s="2"/>
      <c r="N2946" s="21"/>
      <c r="O2946" s="2"/>
      <c r="P2946" s="2"/>
      <c r="Q2946" s="4"/>
      <c r="R2946" s="4"/>
      <c r="S2946" s="4"/>
      <c r="T2946" s="4"/>
      <c r="U2946" s="4"/>
      <c r="V2946" s="4"/>
    </row>
    <row r="2947" spans="1:22" ht="14.5" customHeight="1" x14ac:dyDescent="0.2">
      <c r="A2947">
        <v>2018</v>
      </c>
      <c r="B2947" t="s">
        <v>258</v>
      </c>
      <c r="C2947" t="s">
        <v>444</v>
      </c>
      <c r="D2947" s="22">
        <v>350</v>
      </c>
      <c r="E2947" s="16"/>
      <c r="G2947" t="s">
        <v>144</v>
      </c>
      <c r="H2947" t="s">
        <v>299</v>
      </c>
      <c r="I2947" t="s">
        <v>2852</v>
      </c>
      <c r="J2947" t="s">
        <v>195</v>
      </c>
      <c r="K2947">
        <v>1</v>
      </c>
      <c r="L2947" s="2"/>
      <c r="N2947" s="21"/>
      <c r="O2947" s="2"/>
      <c r="P2947" s="2"/>
      <c r="Q2947" s="4"/>
      <c r="R2947" s="4"/>
      <c r="S2947" s="4"/>
      <c r="T2947" s="4"/>
      <c r="U2947" s="4"/>
      <c r="V2947" s="4"/>
    </row>
    <row r="2948" spans="1:22" ht="14.5" customHeight="1" x14ac:dyDescent="0.2">
      <c r="A2948">
        <v>2018</v>
      </c>
      <c r="B2948" t="s">
        <v>258</v>
      </c>
      <c r="C2948" t="s">
        <v>479</v>
      </c>
      <c r="D2948" s="22">
        <v>460</v>
      </c>
      <c r="E2948" s="16"/>
      <c r="G2948" t="s">
        <v>154</v>
      </c>
      <c r="H2948" t="s">
        <v>271</v>
      </c>
      <c r="I2948" t="s">
        <v>89</v>
      </c>
      <c r="J2948" t="s">
        <v>219</v>
      </c>
      <c r="K2948">
        <v>1</v>
      </c>
      <c r="L2948" s="2"/>
      <c r="N2948" s="21"/>
      <c r="O2948" s="2"/>
      <c r="P2948" s="2"/>
      <c r="Q2948" s="4"/>
      <c r="R2948" s="4"/>
      <c r="S2948" s="4"/>
      <c r="T2948" s="4"/>
      <c r="U2948" s="4"/>
      <c r="V2948" s="4"/>
    </row>
    <row r="2949" spans="1:22" ht="14.5" customHeight="1" x14ac:dyDescent="0.2">
      <c r="A2949">
        <v>2018</v>
      </c>
      <c r="B2949" t="s">
        <v>258</v>
      </c>
      <c r="C2949" t="s">
        <v>2837</v>
      </c>
      <c r="D2949" s="22">
        <v>270</v>
      </c>
      <c r="E2949" s="16"/>
      <c r="G2949" t="s">
        <v>144</v>
      </c>
      <c r="I2949" t="s">
        <v>64</v>
      </c>
      <c r="J2949" t="s">
        <v>219</v>
      </c>
      <c r="K2949">
        <v>1</v>
      </c>
      <c r="L2949" s="2"/>
      <c r="N2949" s="21"/>
      <c r="O2949" s="2"/>
      <c r="P2949" s="2"/>
      <c r="Q2949" s="4"/>
      <c r="R2949" s="4"/>
      <c r="S2949" s="4"/>
      <c r="T2949" s="4"/>
      <c r="U2949" s="4"/>
      <c r="V2949" s="4"/>
    </row>
    <row r="2950" spans="1:22" ht="14.5" customHeight="1" x14ac:dyDescent="0.2">
      <c r="A2950">
        <v>2018</v>
      </c>
      <c r="B2950" t="s">
        <v>258</v>
      </c>
      <c r="C2950" t="s">
        <v>479</v>
      </c>
      <c r="D2950" s="22">
        <v>190</v>
      </c>
      <c r="E2950" s="16"/>
      <c r="G2950" t="s">
        <v>154</v>
      </c>
      <c r="H2950" t="s">
        <v>194</v>
      </c>
      <c r="I2950" t="s">
        <v>16</v>
      </c>
      <c r="J2950" t="s">
        <v>205</v>
      </c>
      <c r="K2950">
        <v>1</v>
      </c>
      <c r="L2950" s="2"/>
      <c r="N2950" s="21"/>
      <c r="O2950" s="2"/>
      <c r="P2950" s="2"/>
      <c r="Q2950" s="4"/>
      <c r="R2950" s="4"/>
      <c r="S2950" s="4"/>
      <c r="T2950" s="4"/>
      <c r="U2950" s="4"/>
      <c r="V2950" s="4"/>
    </row>
    <row r="2951" spans="1:22" ht="14.5" customHeight="1" x14ac:dyDescent="0.2">
      <c r="A2951">
        <v>2018</v>
      </c>
      <c r="B2951" t="s">
        <v>258</v>
      </c>
      <c r="C2951" t="s">
        <v>175</v>
      </c>
      <c r="D2951" s="22">
        <v>940</v>
      </c>
      <c r="E2951" s="16"/>
      <c r="F2951" t="s">
        <v>2853</v>
      </c>
      <c r="G2951" t="s">
        <v>149</v>
      </c>
      <c r="H2951" t="s">
        <v>182</v>
      </c>
      <c r="I2951" t="s">
        <v>136</v>
      </c>
      <c r="J2951" t="s">
        <v>183</v>
      </c>
      <c r="K2951">
        <v>1</v>
      </c>
      <c r="L2951" s="2"/>
      <c r="N2951" s="21"/>
      <c r="O2951" s="2"/>
      <c r="P2951" s="2"/>
      <c r="Q2951" s="4"/>
      <c r="R2951" s="4"/>
      <c r="S2951" s="4"/>
      <c r="T2951" s="4"/>
      <c r="U2951" s="4"/>
      <c r="V2951" s="4"/>
    </row>
    <row r="2952" spans="1:22" ht="14.5" customHeight="1" x14ac:dyDescent="0.2">
      <c r="A2952">
        <v>2018</v>
      </c>
      <c r="B2952" t="s">
        <v>258</v>
      </c>
      <c r="C2952" t="s">
        <v>2854</v>
      </c>
      <c r="D2952" s="22">
        <v>230</v>
      </c>
      <c r="E2952" s="16"/>
      <c r="G2952" t="s">
        <v>154</v>
      </c>
      <c r="H2952" t="s">
        <v>250</v>
      </c>
      <c r="I2952" t="s">
        <v>93</v>
      </c>
      <c r="J2952" t="s">
        <v>201</v>
      </c>
      <c r="K2952">
        <v>1</v>
      </c>
      <c r="L2952" s="2"/>
      <c r="N2952" s="21"/>
      <c r="O2952" s="2"/>
      <c r="P2952" s="2"/>
      <c r="Q2952" s="4"/>
      <c r="R2952" s="4"/>
      <c r="S2952" s="4"/>
      <c r="T2952" s="4"/>
      <c r="U2952" s="4"/>
      <c r="V2952" s="4"/>
    </row>
    <row r="2953" spans="1:22" ht="14.5" customHeight="1" x14ac:dyDescent="0.2">
      <c r="A2953">
        <v>2018</v>
      </c>
      <c r="B2953" t="s">
        <v>179</v>
      </c>
      <c r="C2953" t="s">
        <v>397</v>
      </c>
      <c r="D2953" s="22">
        <v>160</v>
      </c>
      <c r="E2953" s="16"/>
      <c r="F2953" t="s">
        <v>2776</v>
      </c>
      <c r="G2953" t="s">
        <v>151</v>
      </c>
      <c r="H2953" t="s">
        <v>279</v>
      </c>
      <c r="I2953" t="s">
        <v>130</v>
      </c>
      <c r="J2953" t="s">
        <v>214</v>
      </c>
      <c r="K2953">
        <v>1</v>
      </c>
      <c r="L2953" s="2"/>
      <c r="N2953" s="21"/>
      <c r="O2953" s="2"/>
      <c r="P2953" s="2"/>
      <c r="Q2953" s="4"/>
      <c r="R2953" s="4"/>
      <c r="S2953" s="4"/>
      <c r="T2953" s="4"/>
      <c r="U2953" s="4"/>
      <c r="V2953" s="4"/>
    </row>
    <row r="2954" spans="1:22" ht="14.5" customHeight="1" x14ac:dyDescent="0.2">
      <c r="A2954">
        <v>2018</v>
      </c>
      <c r="B2954" t="s">
        <v>179</v>
      </c>
      <c r="C2954" t="s">
        <v>444</v>
      </c>
      <c r="D2954" s="22">
        <v>840</v>
      </c>
      <c r="E2954" s="16"/>
      <c r="G2954" t="s">
        <v>154</v>
      </c>
      <c r="H2954" t="s">
        <v>529</v>
      </c>
      <c r="I2954" t="s">
        <v>54</v>
      </c>
      <c r="J2954" t="s">
        <v>201</v>
      </c>
      <c r="K2954">
        <v>1</v>
      </c>
      <c r="L2954" s="2"/>
      <c r="N2954" s="21"/>
      <c r="O2954" s="2"/>
      <c r="P2954" s="2"/>
      <c r="Q2954" s="4"/>
      <c r="R2954" s="4"/>
      <c r="S2954" s="4"/>
      <c r="T2954" s="4"/>
      <c r="U2954" s="4"/>
      <c r="V2954" s="4"/>
    </row>
    <row r="2955" spans="1:22" ht="14.5" customHeight="1" x14ac:dyDescent="0.2">
      <c r="A2955">
        <v>2018</v>
      </c>
      <c r="B2955" t="s">
        <v>179</v>
      </c>
      <c r="C2955" t="s">
        <v>444</v>
      </c>
      <c r="D2955" s="22">
        <v>700</v>
      </c>
      <c r="E2955" s="16"/>
      <c r="G2955" t="s">
        <v>154</v>
      </c>
      <c r="H2955" t="s">
        <v>529</v>
      </c>
      <c r="I2955" t="s">
        <v>54</v>
      </c>
      <c r="J2955" t="s">
        <v>201</v>
      </c>
      <c r="K2955">
        <v>1</v>
      </c>
      <c r="L2955" s="2"/>
      <c r="N2955" s="21"/>
      <c r="O2955" s="2"/>
      <c r="P2955" s="2"/>
      <c r="Q2955" s="4"/>
      <c r="R2955" s="4"/>
      <c r="S2955" s="4"/>
      <c r="T2955" s="4"/>
      <c r="U2955" s="4"/>
      <c r="V2955" s="4"/>
    </row>
    <row r="2956" spans="1:22" ht="14.5" customHeight="1" x14ac:dyDescent="0.2">
      <c r="A2956">
        <v>2018</v>
      </c>
      <c r="B2956" t="s">
        <v>179</v>
      </c>
      <c r="C2956" t="s">
        <v>479</v>
      </c>
      <c r="D2956" s="22">
        <v>170</v>
      </c>
      <c r="E2956" s="16"/>
      <c r="G2956" t="s">
        <v>154</v>
      </c>
      <c r="H2956" t="s">
        <v>250</v>
      </c>
      <c r="I2956" t="s">
        <v>9</v>
      </c>
      <c r="J2956" t="s">
        <v>9</v>
      </c>
      <c r="K2956">
        <v>0</v>
      </c>
      <c r="L2956" s="2"/>
      <c r="N2956" s="21"/>
      <c r="O2956" s="2"/>
      <c r="P2956" s="2"/>
      <c r="Q2956" s="4"/>
      <c r="R2956" s="4"/>
      <c r="S2956" s="4"/>
      <c r="T2956" s="4"/>
      <c r="U2956" s="4"/>
      <c r="V2956" s="4"/>
    </row>
    <row r="2957" spans="1:22" ht="14.5" customHeight="1" x14ac:dyDescent="0.2">
      <c r="A2957">
        <v>2018</v>
      </c>
      <c r="B2957" t="s">
        <v>179</v>
      </c>
      <c r="C2957" t="s">
        <v>479</v>
      </c>
      <c r="D2957" s="22">
        <v>230</v>
      </c>
      <c r="E2957" s="16"/>
      <c r="F2957" t="s">
        <v>2855</v>
      </c>
      <c r="G2957" t="s">
        <v>151</v>
      </c>
      <c r="H2957" t="s">
        <v>279</v>
      </c>
      <c r="I2957" t="s">
        <v>9</v>
      </c>
      <c r="J2957" t="s">
        <v>9</v>
      </c>
      <c r="K2957">
        <v>0</v>
      </c>
      <c r="L2957" s="2"/>
      <c r="N2957" s="21"/>
      <c r="O2957" s="2"/>
      <c r="P2957" s="2"/>
      <c r="Q2957" s="4"/>
      <c r="R2957" s="4"/>
      <c r="S2957" s="4"/>
      <c r="T2957" s="4"/>
      <c r="U2957" s="4"/>
      <c r="V2957" s="4"/>
    </row>
    <row r="2958" spans="1:22" ht="14.25" customHeight="1" x14ac:dyDescent="0.2">
      <c r="A2958">
        <v>2018</v>
      </c>
      <c r="B2958" t="s">
        <v>179</v>
      </c>
      <c r="C2958" t="s">
        <v>2574</v>
      </c>
      <c r="D2958" s="22">
        <v>360</v>
      </c>
      <c r="E2958" s="16"/>
      <c r="G2958" t="s">
        <v>143</v>
      </c>
      <c r="I2958" t="s">
        <v>131</v>
      </c>
      <c r="J2958" t="s">
        <v>131</v>
      </c>
      <c r="K2958">
        <v>0</v>
      </c>
      <c r="N2958" s="21"/>
      <c r="O2958" s="2"/>
      <c r="P2958" s="2"/>
      <c r="Q2958" s="4"/>
      <c r="R2958" s="4"/>
      <c r="S2958" s="4"/>
      <c r="T2958" s="4"/>
      <c r="U2958" s="4"/>
      <c r="V2958" s="4"/>
    </row>
    <row r="2959" spans="1:22" ht="14.5" customHeight="1" x14ac:dyDescent="0.2">
      <c r="A2959">
        <v>2018</v>
      </c>
      <c r="B2959" t="s">
        <v>179</v>
      </c>
      <c r="C2959" t="s">
        <v>2856</v>
      </c>
      <c r="D2959" s="22">
        <v>100</v>
      </c>
      <c r="E2959" s="16"/>
      <c r="G2959" t="s">
        <v>155</v>
      </c>
      <c r="I2959" t="s">
        <v>63</v>
      </c>
      <c r="J2959" t="s">
        <v>201</v>
      </c>
      <c r="K2959">
        <v>1</v>
      </c>
      <c r="N2959" s="21"/>
      <c r="O2959" s="2"/>
      <c r="P2959" s="2"/>
      <c r="Q2959" s="4"/>
      <c r="R2959" s="4"/>
      <c r="S2959" s="4"/>
      <c r="T2959" s="4"/>
      <c r="U2959" s="4"/>
      <c r="V2959" s="4"/>
    </row>
    <row r="2960" spans="1:22" ht="14.5" customHeight="1" x14ac:dyDescent="0.2">
      <c r="A2960">
        <v>2018</v>
      </c>
      <c r="B2960" t="s">
        <v>179</v>
      </c>
      <c r="C2960" t="s">
        <v>2588</v>
      </c>
      <c r="D2960" s="22">
        <v>100</v>
      </c>
      <c r="E2960" s="16"/>
      <c r="F2960" t="s">
        <v>1629</v>
      </c>
      <c r="G2960" t="s">
        <v>145</v>
      </c>
      <c r="I2960" t="s">
        <v>131</v>
      </c>
      <c r="J2960" t="s">
        <v>131</v>
      </c>
      <c r="K2960">
        <v>0</v>
      </c>
      <c r="N2960" s="21"/>
      <c r="O2960" s="2"/>
      <c r="P2960" s="2"/>
      <c r="Q2960" s="4"/>
      <c r="R2960" s="4"/>
      <c r="S2960" s="4"/>
      <c r="T2960" s="4"/>
      <c r="U2960" s="4"/>
      <c r="V2960" s="4"/>
    </row>
    <row r="2961" spans="1:22" ht="14.5" customHeight="1" x14ac:dyDescent="0.2">
      <c r="A2961">
        <v>2018</v>
      </c>
      <c r="B2961" t="s">
        <v>179</v>
      </c>
      <c r="C2961" t="s">
        <v>2857</v>
      </c>
      <c r="D2961" s="22">
        <v>530</v>
      </c>
      <c r="E2961" s="16"/>
      <c r="F2961" t="s">
        <v>2858</v>
      </c>
      <c r="G2961" t="s">
        <v>144</v>
      </c>
      <c r="H2961" t="s">
        <v>299</v>
      </c>
      <c r="I2961" t="s">
        <v>19</v>
      </c>
      <c r="J2961" t="s">
        <v>205</v>
      </c>
      <c r="K2961">
        <v>0</v>
      </c>
      <c r="N2961" s="21"/>
      <c r="O2961" s="2"/>
      <c r="P2961" s="2"/>
      <c r="Q2961" s="4"/>
      <c r="R2961" s="4"/>
      <c r="S2961" s="4"/>
      <c r="T2961" s="4"/>
      <c r="U2961" s="4"/>
      <c r="V2961" s="4"/>
    </row>
    <row r="2962" spans="1:22" ht="14.5" customHeight="1" x14ac:dyDescent="0.2">
      <c r="A2962">
        <v>2018</v>
      </c>
      <c r="B2962" t="s">
        <v>179</v>
      </c>
      <c r="C2962" t="s">
        <v>1035</v>
      </c>
      <c r="D2962" s="22">
        <v>470</v>
      </c>
      <c r="E2962" s="16">
        <v>0.49</v>
      </c>
      <c r="G2962" t="s">
        <v>142</v>
      </c>
      <c r="I2962" t="s">
        <v>124</v>
      </c>
      <c r="J2962" t="s">
        <v>183</v>
      </c>
      <c r="K2962">
        <v>1</v>
      </c>
      <c r="N2962" s="21"/>
      <c r="O2962" s="2"/>
      <c r="P2962" s="2"/>
      <c r="Q2962" s="4"/>
      <c r="R2962" s="4"/>
      <c r="S2962" s="4"/>
      <c r="T2962" s="4"/>
      <c r="U2962" s="4"/>
      <c r="V2962" s="4"/>
    </row>
    <row r="2963" spans="1:22" ht="14.5" customHeight="1" x14ac:dyDescent="0.2">
      <c r="A2963">
        <v>2018</v>
      </c>
      <c r="B2963" t="s">
        <v>179</v>
      </c>
      <c r="C2963" t="s">
        <v>189</v>
      </c>
      <c r="D2963" s="22">
        <v>270</v>
      </c>
      <c r="E2963" s="16"/>
      <c r="F2963" t="s">
        <v>625</v>
      </c>
      <c r="G2963" t="s">
        <v>144</v>
      </c>
      <c r="H2963" t="s">
        <v>299</v>
      </c>
      <c r="I2963" t="s">
        <v>105</v>
      </c>
      <c r="J2963" t="s">
        <v>214</v>
      </c>
      <c r="K2963">
        <v>1</v>
      </c>
      <c r="N2963" s="21"/>
      <c r="O2963" s="2"/>
      <c r="P2963" s="2"/>
      <c r="Q2963" s="4"/>
      <c r="R2963" s="4"/>
      <c r="S2963" s="4"/>
      <c r="T2963" s="4"/>
      <c r="U2963" s="4"/>
      <c r="V2963" s="4"/>
    </row>
    <row r="2964" spans="1:22" ht="14.5" customHeight="1" x14ac:dyDescent="0.2">
      <c r="A2964">
        <v>2018</v>
      </c>
      <c r="B2964" t="s">
        <v>179</v>
      </c>
      <c r="C2964" s="52" t="s">
        <v>2392</v>
      </c>
      <c r="D2964" s="22">
        <v>150</v>
      </c>
      <c r="E2964" s="16"/>
      <c r="F2964" t="s">
        <v>2859</v>
      </c>
      <c r="G2964" t="s">
        <v>144</v>
      </c>
      <c r="H2964" t="s">
        <v>197</v>
      </c>
      <c r="I2964" t="s">
        <v>84</v>
      </c>
      <c r="J2964" t="s">
        <v>201</v>
      </c>
      <c r="K2964">
        <v>1</v>
      </c>
      <c r="N2964" s="21"/>
      <c r="O2964" s="2"/>
      <c r="P2964" s="2"/>
      <c r="Q2964" s="4"/>
      <c r="R2964" s="4"/>
      <c r="S2964" s="4"/>
      <c r="T2964" s="4"/>
      <c r="U2964" s="4"/>
      <c r="V2964" s="4"/>
    </row>
    <row r="2965" spans="1:22" ht="14.5" customHeight="1" x14ac:dyDescent="0.2">
      <c r="A2965">
        <v>2018</v>
      </c>
      <c r="B2965" t="s">
        <v>179</v>
      </c>
      <c r="C2965" t="s">
        <v>1035</v>
      </c>
      <c r="D2965" s="22">
        <v>890</v>
      </c>
      <c r="E2965" s="16"/>
      <c r="F2965" t="s">
        <v>2298</v>
      </c>
      <c r="G2965" t="s">
        <v>144</v>
      </c>
      <c r="H2965" t="s">
        <v>197</v>
      </c>
      <c r="I2965" t="s">
        <v>24</v>
      </c>
      <c r="J2965" t="s">
        <v>219</v>
      </c>
      <c r="K2965">
        <v>1</v>
      </c>
      <c r="N2965" s="21"/>
      <c r="O2965" s="2"/>
      <c r="P2965" s="2"/>
      <c r="Q2965" s="4"/>
      <c r="R2965" s="4"/>
      <c r="S2965" s="4"/>
      <c r="T2965" s="4"/>
      <c r="U2965" s="4"/>
      <c r="V2965" s="4"/>
    </row>
    <row r="2966" spans="1:22" ht="14.5" customHeight="1" x14ac:dyDescent="0.2">
      <c r="A2966">
        <v>2018</v>
      </c>
      <c r="B2966" t="s">
        <v>179</v>
      </c>
      <c r="C2966" t="s">
        <v>875</v>
      </c>
      <c r="D2966" s="22">
        <v>120</v>
      </c>
      <c r="E2966" s="16"/>
      <c r="G2966" t="s">
        <v>144</v>
      </c>
      <c r="H2966" t="s">
        <v>299</v>
      </c>
      <c r="I2966" t="s">
        <v>53</v>
      </c>
      <c r="J2966" t="s">
        <v>183</v>
      </c>
      <c r="K2966">
        <v>1</v>
      </c>
      <c r="N2966" s="21"/>
      <c r="O2966" s="2"/>
      <c r="P2966" s="2"/>
      <c r="Q2966" s="4"/>
      <c r="R2966" s="4"/>
      <c r="S2966" s="4"/>
      <c r="T2966" s="4"/>
      <c r="U2966" s="4"/>
      <c r="V2966" s="4"/>
    </row>
    <row r="2967" spans="1:22" ht="14.5" customHeight="1" x14ac:dyDescent="0.2">
      <c r="A2967">
        <v>2018</v>
      </c>
      <c r="B2967" t="s">
        <v>179</v>
      </c>
      <c r="C2967" t="s">
        <v>479</v>
      </c>
      <c r="D2967" s="22">
        <v>120</v>
      </c>
      <c r="E2967" s="16"/>
      <c r="G2967" t="s">
        <v>148</v>
      </c>
      <c r="I2967" t="s">
        <v>38</v>
      </c>
      <c r="J2967" t="s">
        <v>214</v>
      </c>
      <c r="K2967">
        <v>1</v>
      </c>
      <c r="N2967" s="21"/>
      <c r="O2967" s="2"/>
      <c r="P2967" s="2"/>
      <c r="Q2967" s="4"/>
      <c r="R2967" s="4"/>
      <c r="S2967" s="4"/>
      <c r="T2967" s="4"/>
      <c r="U2967" s="4"/>
      <c r="V2967" s="4"/>
    </row>
    <row r="2968" spans="1:22" ht="14.5" customHeight="1" x14ac:dyDescent="0.2">
      <c r="A2968">
        <v>2018</v>
      </c>
      <c r="B2968" t="s">
        <v>179</v>
      </c>
      <c r="C2968" t="s">
        <v>479</v>
      </c>
      <c r="D2968" s="22">
        <v>410</v>
      </c>
      <c r="E2968" s="16"/>
      <c r="G2968" t="s">
        <v>154</v>
      </c>
      <c r="H2968" t="s">
        <v>194</v>
      </c>
      <c r="I2968" t="s">
        <v>48</v>
      </c>
      <c r="J2968" t="s">
        <v>219</v>
      </c>
      <c r="K2968">
        <v>1</v>
      </c>
      <c r="N2968" s="21"/>
      <c r="O2968" s="2"/>
      <c r="P2968" s="2"/>
      <c r="Q2968" s="4"/>
      <c r="R2968" s="4"/>
      <c r="S2968" s="4"/>
      <c r="T2968" s="4"/>
      <c r="U2968" s="4"/>
      <c r="V2968" s="4"/>
    </row>
    <row r="2969" spans="1:22" ht="14.5" customHeight="1" x14ac:dyDescent="0.2">
      <c r="A2969">
        <v>2018</v>
      </c>
      <c r="B2969" t="s">
        <v>179</v>
      </c>
      <c r="C2969" t="s">
        <v>1035</v>
      </c>
      <c r="D2969" s="22">
        <v>470</v>
      </c>
      <c r="E2969" s="16"/>
      <c r="G2969" t="s">
        <v>154</v>
      </c>
      <c r="H2969" t="s">
        <v>194</v>
      </c>
      <c r="I2969" t="s">
        <v>2462</v>
      </c>
      <c r="J2969" t="s">
        <v>219</v>
      </c>
      <c r="K2969">
        <v>1</v>
      </c>
      <c r="N2969" s="21"/>
      <c r="O2969" s="2"/>
      <c r="P2969" s="2"/>
      <c r="Q2969" s="4"/>
      <c r="R2969" s="4"/>
      <c r="S2969" s="4"/>
      <c r="T2969" s="4"/>
      <c r="U2969" s="4"/>
      <c r="V2969" s="4"/>
    </row>
    <row r="2970" spans="1:22" ht="14.5" customHeight="1" x14ac:dyDescent="0.2">
      <c r="A2970">
        <v>2018</v>
      </c>
      <c r="B2970" t="s">
        <v>179</v>
      </c>
      <c r="C2970" t="s">
        <v>557</v>
      </c>
      <c r="D2970" s="22">
        <v>130</v>
      </c>
      <c r="E2970" s="16"/>
      <c r="G2970" t="s">
        <v>151</v>
      </c>
      <c r="H2970" t="s">
        <v>279</v>
      </c>
      <c r="I2970" t="s">
        <v>5</v>
      </c>
      <c r="J2970" t="s">
        <v>214</v>
      </c>
      <c r="K2970">
        <v>1</v>
      </c>
      <c r="N2970" s="21"/>
      <c r="O2970" s="2"/>
      <c r="P2970" s="2"/>
      <c r="Q2970" s="4"/>
      <c r="R2970" s="4"/>
      <c r="S2970" s="4"/>
      <c r="T2970" s="4"/>
      <c r="U2970" s="4"/>
      <c r="V2970" s="4"/>
    </row>
    <row r="2971" spans="1:22" ht="14.5" customHeight="1" x14ac:dyDescent="0.2">
      <c r="A2971">
        <v>2018</v>
      </c>
      <c r="B2971" t="s">
        <v>179</v>
      </c>
      <c r="C2971" t="s">
        <v>449</v>
      </c>
      <c r="D2971" s="22">
        <v>210</v>
      </c>
      <c r="E2971" s="16"/>
      <c r="F2971" t="s">
        <v>2860</v>
      </c>
      <c r="G2971" t="s">
        <v>154</v>
      </c>
      <c r="H2971" t="s">
        <v>529</v>
      </c>
      <c r="I2971" t="s">
        <v>13</v>
      </c>
      <c r="J2971" t="s">
        <v>201</v>
      </c>
      <c r="K2971">
        <v>1</v>
      </c>
      <c r="N2971" s="21"/>
      <c r="O2971" s="2"/>
      <c r="P2971" s="2"/>
      <c r="Q2971" s="4"/>
      <c r="R2971" s="4"/>
      <c r="S2971" s="4"/>
      <c r="T2971" s="4"/>
      <c r="U2971" s="4"/>
      <c r="V2971" s="4"/>
    </row>
    <row r="2972" spans="1:22" ht="14.5" customHeight="1" x14ac:dyDescent="0.2">
      <c r="A2972" s="17">
        <v>2018</v>
      </c>
      <c r="B2972" s="17" t="s">
        <v>179</v>
      </c>
      <c r="C2972" s="17" t="s">
        <v>2861</v>
      </c>
      <c r="D2972" s="24">
        <v>310</v>
      </c>
      <c r="E2972" s="18"/>
      <c r="F2972" s="17"/>
      <c r="G2972" s="17" t="s">
        <v>154</v>
      </c>
      <c r="H2972" s="17" t="s">
        <v>194</v>
      </c>
      <c r="I2972" s="17" t="s">
        <v>123</v>
      </c>
      <c r="J2972" s="17" t="s">
        <v>219</v>
      </c>
      <c r="K2972" s="17">
        <v>1</v>
      </c>
      <c r="N2972" s="21"/>
      <c r="O2972" s="2"/>
      <c r="P2972" s="2"/>
      <c r="Q2972" s="4"/>
      <c r="R2972" s="4"/>
      <c r="S2972" s="4"/>
      <c r="T2972" s="4"/>
      <c r="U2972" s="4"/>
      <c r="V2972" s="4"/>
    </row>
    <row r="2973" spans="1:22" ht="14.5" customHeight="1" x14ac:dyDescent="0.2">
      <c r="A2973">
        <v>2018</v>
      </c>
      <c r="B2973" t="s">
        <v>179</v>
      </c>
      <c r="C2973" t="s">
        <v>479</v>
      </c>
      <c r="D2973" s="22">
        <v>100</v>
      </c>
      <c r="E2973" s="16"/>
      <c r="G2973" t="s">
        <v>153</v>
      </c>
      <c r="I2973" t="s">
        <v>50</v>
      </c>
      <c r="J2973" t="s">
        <v>205</v>
      </c>
      <c r="K2973">
        <v>1</v>
      </c>
      <c r="N2973" s="21"/>
      <c r="O2973" s="2"/>
      <c r="P2973" s="2"/>
      <c r="Q2973" s="4"/>
      <c r="R2973" s="4"/>
      <c r="S2973" s="4"/>
      <c r="T2973" s="4"/>
      <c r="U2973" s="4"/>
      <c r="V2973" s="4"/>
    </row>
    <row r="2974" spans="1:22" ht="14.5" customHeight="1" x14ac:dyDescent="0.2">
      <c r="A2974">
        <v>2018</v>
      </c>
      <c r="B2974" t="s">
        <v>179</v>
      </c>
      <c r="C2974" t="s">
        <v>479</v>
      </c>
      <c r="D2974" s="22">
        <v>230</v>
      </c>
      <c r="E2974" s="16"/>
      <c r="G2974" t="s">
        <v>154</v>
      </c>
      <c r="H2974" t="s">
        <v>194</v>
      </c>
      <c r="I2974" t="s">
        <v>40</v>
      </c>
      <c r="J2974" t="s">
        <v>219</v>
      </c>
      <c r="K2974">
        <v>1</v>
      </c>
      <c r="N2974" s="21"/>
      <c r="O2974" s="2"/>
      <c r="P2974" s="2"/>
      <c r="Q2974" s="4"/>
      <c r="R2974" s="4"/>
      <c r="S2974" s="4"/>
      <c r="T2974" s="4"/>
      <c r="U2974" s="4"/>
      <c r="V2974" s="4"/>
    </row>
    <row r="2975" spans="1:22" ht="14.5" customHeight="1" x14ac:dyDescent="0.2">
      <c r="A2975">
        <v>2018</v>
      </c>
      <c r="B2975" t="s">
        <v>184</v>
      </c>
      <c r="C2975" t="s">
        <v>2660</v>
      </c>
      <c r="D2975" s="22">
        <v>300</v>
      </c>
      <c r="E2975" s="16"/>
      <c r="G2975" t="s">
        <v>154</v>
      </c>
      <c r="H2975" t="s">
        <v>194</v>
      </c>
      <c r="I2975" t="s">
        <v>23</v>
      </c>
      <c r="J2975" t="s">
        <v>183</v>
      </c>
      <c r="K2975">
        <v>1</v>
      </c>
      <c r="N2975" s="21"/>
      <c r="O2975" s="2"/>
      <c r="P2975" s="2"/>
      <c r="Q2975" s="4"/>
      <c r="R2975" s="4"/>
      <c r="S2975" s="4"/>
      <c r="T2975" s="4"/>
      <c r="U2975" s="4"/>
      <c r="V2975" s="4"/>
    </row>
    <row r="2976" spans="1:22" ht="14.5" customHeight="1" x14ac:dyDescent="0.2">
      <c r="A2976">
        <v>2018</v>
      </c>
      <c r="B2976" t="s">
        <v>184</v>
      </c>
      <c r="C2976" t="s">
        <v>2660</v>
      </c>
      <c r="D2976" s="22">
        <v>220</v>
      </c>
      <c r="E2976" s="16"/>
      <c r="G2976" t="s">
        <v>151</v>
      </c>
      <c r="H2976" t="s">
        <v>279</v>
      </c>
      <c r="I2976" t="s">
        <v>65</v>
      </c>
      <c r="J2976" t="s">
        <v>214</v>
      </c>
      <c r="K2976">
        <v>1</v>
      </c>
      <c r="N2976" s="21"/>
      <c r="O2976" s="2"/>
      <c r="P2976" s="2"/>
      <c r="Q2976" s="4"/>
      <c r="R2976" s="4"/>
      <c r="S2976" s="4"/>
      <c r="T2976" s="4"/>
      <c r="U2976" s="4"/>
      <c r="V2976" s="4"/>
    </row>
    <row r="2977" spans="1:22" ht="14.5" customHeight="1" x14ac:dyDescent="0.2">
      <c r="A2977">
        <v>2018</v>
      </c>
      <c r="B2977" t="s">
        <v>184</v>
      </c>
      <c r="C2977" t="s">
        <v>2660</v>
      </c>
      <c r="D2977" s="22">
        <v>230</v>
      </c>
      <c r="E2977" s="16"/>
      <c r="G2977" t="s">
        <v>151</v>
      </c>
      <c r="H2977" t="s">
        <v>279</v>
      </c>
      <c r="I2977" t="s">
        <v>100</v>
      </c>
      <c r="J2977" t="s">
        <v>214</v>
      </c>
      <c r="K2977">
        <v>1</v>
      </c>
      <c r="N2977" s="21"/>
      <c r="O2977" s="2"/>
      <c r="P2977" s="2"/>
      <c r="Q2977" s="4"/>
      <c r="R2977" s="4"/>
      <c r="S2977" s="4"/>
      <c r="T2977" s="4"/>
      <c r="U2977" s="4"/>
      <c r="V2977" s="4"/>
    </row>
    <row r="2978" spans="1:22" ht="14.5" customHeight="1" x14ac:dyDescent="0.2">
      <c r="A2978">
        <v>2018</v>
      </c>
      <c r="B2978" t="s">
        <v>184</v>
      </c>
      <c r="C2978" t="s">
        <v>479</v>
      </c>
      <c r="D2978" s="22">
        <v>340</v>
      </c>
      <c r="E2978" s="16"/>
      <c r="G2978" t="s">
        <v>154</v>
      </c>
      <c r="H2978" t="s">
        <v>194</v>
      </c>
      <c r="I2978" t="s">
        <v>30</v>
      </c>
      <c r="J2978" t="s">
        <v>195</v>
      </c>
      <c r="K2978">
        <v>1</v>
      </c>
      <c r="N2978" s="21"/>
      <c r="O2978" s="2"/>
      <c r="P2978" s="2"/>
      <c r="Q2978" s="4"/>
      <c r="R2978" s="4"/>
      <c r="S2978" s="4"/>
      <c r="T2978" s="4"/>
      <c r="U2978" s="4"/>
      <c r="V2978" s="4"/>
    </row>
    <row r="2979" spans="1:22" ht="14.5" customHeight="1" x14ac:dyDescent="0.2">
      <c r="A2979">
        <v>2018</v>
      </c>
      <c r="B2979" t="s">
        <v>184</v>
      </c>
      <c r="C2979" t="s">
        <v>444</v>
      </c>
      <c r="D2979" s="22">
        <v>210</v>
      </c>
      <c r="E2979" s="16"/>
      <c r="F2979" t="s">
        <v>2862</v>
      </c>
      <c r="G2979" t="s">
        <v>144</v>
      </c>
      <c r="H2979" t="s">
        <v>232</v>
      </c>
      <c r="I2979" t="s">
        <v>133</v>
      </c>
      <c r="J2979" t="s">
        <v>195</v>
      </c>
      <c r="K2979">
        <v>1</v>
      </c>
      <c r="N2979" s="21"/>
      <c r="O2979" s="2"/>
      <c r="P2979" s="2"/>
      <c r="Q2979" s="4"/>
      <c r="R2979" s="4"/>
      <c r="S2979" s="4"/>
      <c r="T2979" s="4"/>
      <c r="U2979" s="4"/>
      <c r="V2979" s="4"/>
    </row>
    <row r="2980" spans="1:22" ht="14.5" customHeight="1" x14ac:dyDescent="0.2">
      <c r="A2980">
        <v>2018</v>
      </c>
      <c r="B2980" t="s">
        <v>184</v>
      </c>
      <c r="C2980" t="s">
        <v>444</v>
      </c>
      <c r="D2980" s="22">
        <v>110</v>
      </c>
      <c r="E2980" s="16"/>
      <c r="G2980" t="s">
        <v>147</v>
      </c>
      <c r="I2980" t="s">
        <v>67</v>
      </c>
      <c r="J2980" t="s">
        <v>183</v>
      </c>
      <c r="K2980">
        <v>1</v>
      </c>
      <c r="N2980" s="21"/>
      <c r="O2980" s="2"/>
      <c r="P2980" s="2"/>
      <c r="Q2980" s="4"/>
      <c r="R2980" s="4"/>
      <c r="S2980" s="4"/>
      <c r="T2980" s="4"/>
      <c r="U2980" s="4"/>
      <c r="V2980" s="4"/>
    </row>
    <row r="2981" spans="1:22" ht="14.5" customHeight="1" x14ac:dyDescent="0.2">
      <c r="A2981">
        <v>2018</v>
      </c>
      <c r="B2981" t="s">
        <v>184</v>
      </c>
      <c r="C2981" t="s">
        <v>399</v>
      </c>
      <c r="D2981" s="22">
        <v>1930</v>
      </c>
      <c r="E2981" s="16"/>
      <c r="F2981" t="s">
        <v>1247</v>
      </c>
      <c r="G2981" t="s">
        <v>144</v>
      </c>
      <c r="H2981" t="s">
        <v>232</v>
      </c>
      <c r="I2981" t="s">
        <v>130</v>
      </c>
      <c r="J2981" t="s">
        <v>214</v>
      </c>
      <c r="K2981">
        <v>1</v>
      </c>
      <c r="N2981" s="21"/>
      <c r="O2981" s="2"/>
      <c r="P2981" s="2"/>
      <c r="Q2981" s="4"/>
      <c r="R2981" s="4"/>
      <c r="S2981" s="4"/>
      <c r="T2981" s="4"/>
      <c r="U2981" s="4"/>
      <c r="V2981" s="4"/>
    </row>
    <row r="2982" spans="1:22" ht="14.5" customHeight="1" x14ac:dyDescent="0.2">
      <c r="A2982">
        <v>2018</v>
      </c>
      <c r="B2982" t="s">
        <v>184</v>
      </c>
      <c r="C2982" t="s">
        <v>2863</v>
      </c>
      <c r="D2982" s="22">
        <v>120</v>
      </c>
      <c r="E2982" s="16"/>
      <c r="F2982" t="s">
        <v>2864</v>
      </c>
      <c r="G2982" t="s">
        <v>144</v>
      </c>
      <c r="H2982" t="s">
        <v>299</v>
      </c>
      <c r="I2982" t="s">
        <v>133</v>
      </c>
      <c r="J2982" t="s">
        <v>195</v>
      </c>
      <c r="K2982">
        <v>1</v>
      </c>
      <c r="N2982" s="21"/>
      <c r="O2982" s="2"/>
      <c r="P2982" s="2"/>
      <c r="Q2982" s="4"/>
      <c r="R2982" s="4"/>
      <c r="S2982" s="4"/>
      <c r="T2982" s="4"/>
      <c r="U2982" s="4"/>
      <c r="V2982" s="4"/>
    </row>
    <row r="2983" spans="1:22" ht="14.5" customHeight="1" x14ac:dyDescent="0.2">
      <c r="A2983">
        <v>2018</v>
      </c>
      <c r="B2983" t="s">
        <v>184</v>
      </c>
      <c r="C2983" t="s">
        <v>189</v>
      </c>
      <c r="D2983" s="22">
        <v>140</v>
      </c>
      <c r="E2983" s="16"/>
      <c r="F2983" t="s">
        <v>2865</v>
      </c>
      <c r="G2983" t="s">
        <v>144</v>
      </c>
      <c r="H2983" t="s">
        <v>187</v>
      </c>
      <c r="I2983" t="s">
        <v>65</v>
      </c>
      <c r="J2983" t="s">
        <v>214</v>
      </c>
      <c r="K2983">
        <v>1</v>
      </c>
      <c r="N2983" s="21"/>
      <c r="O2983" s="2"/>
      <c r="P2983" s="2"/>
      <c r="Q2983" s="4"/>
      <c r="R2983" s="4"/>
      <c r="S2983" s="4"/>
      <c r="T2983" s="4"/>
      <c r="U2983" s="4"/>
      <c r="V2983" s="4"/>
    </row>
    <row r="2984" spans="1:22" ht="14.5" customHeight="1" x14ac:dyDescent="0.2">
      <c r="A2984">
        <v>2018</v>
      </c>
      <c r="B2984" t="s">
        <v>184</v>
      </c>
      <c r="C2984" t="s">
        <v>2866</v>
      </c>
      <c r="D2984" s="22">
        <v>180</v>
      </c>
      <c r="E2984" s="16"/>
      <c r="G2984" t="s">
        <v>144</v>
      </c>
      <c r="H2984" t="s">
        <v>273</v>
      </c>
      <c r="I2984" t="s">
        <v>78</v>
      </c>
      <c r="J2984" t="s">
        <v>183</v>
      </c>
      <c r="K2984">
        <v>1</v>
      </c>
      <c r="N2984" s="21"/>
      <c r="O2984" s="2"/>
      <c r="P2984" s="2"/>
      <c r="Q2984" s="4"/>
      <c r="R2984" s="4"/>
      <c r="S2984" s="4"/>
      <c r="T2984" s="4"/>
      <c r="U2984" s="4"/>
      <c r="V2984" s="4"/>
    </row>
    <row r="2985" spans="1:22" ht="14.5" customHeight="1" x14ac:dyDescent="0.2">
      <c r="A2985">
        <v>2018</v>
      </c>
      <c r="B2985" t="s">
        <v>184</v>
      </c>
      <c r="C2985" t="s">
        <v>2391</v>
      </c>
      <c r="D2985" s="22">
        <v>150</v>
      </c>
      <c r="E2985" s="16"/>
      <c r="G2985" t="s">
        <v>154</v>
      </c>
      <c r="H2985" t="s">
        <v>250</v>
      </c>
      <c r="I2985" t="s">
        <v>139</v>
      </c>
      <c r="J2985" t="s">
        <v>219</v>
      </c>
      <c r="K2985">
        <v>1</v>
      </c>
      <c r="N2985" s="21"/>
      <c r="O2985" s="2"/>
      <c r="P2985" s="2"/>
      <c r="Q2985" s="4"/>
      <c r="R2985" s="4"/>
      <c r="S2985" s="4"/>
      <c r="T2985" s="4"/>
      <c r="U2985" s="4"/>
      <c r="V2985" s="4"/>
    </row>
    <row r="2986" spans="1:22" ht="14.5" customHeight="1" x14ac:dyDescent="0.2">
      <c r="A2986">
        <v>2018</v>
      </c>
      <c r="B2986" t="s">
        <v>184</v>
      </c>
      <c r="C2986" t="s">
        <v>703</v>
      </c>
      <c r="D2986" s="22">
        <v>280</v>
      </c>
      <c r="E2986" s="16"/>
      <c r="F2986" t="s">
        <v>2545</v>
      </c>
      <c r="G2986" t="s">
        <v>144</v>
      </c>
      <c r="H2986" t="s">
        <v>273</v>
      </c>
      <c r="I2986" t="s">
        <v>93</v>
      </c>
      <c r="J2986" t="s">
        <v>201</v>
      </c>
      <c r="K2986">
        <v>1</v>
      </c>
      <c r="N2986" s="21"/>
      <c r="O2986" s="2"/>
      <c r="P2986" s="2"/>
      <c r="Q2986" s="4"/>
      <c r="R2986" s="4"/>
      <c r="S2986" s="4"/>
      <c r="T2986" s="4"/>
      <c r="U2986" s="4"/>
      <c r="V2986" s="4"/>
    </row>
    <row r="2987" spans="1:22" ht="14.5" customHeight="1" x14ac:dyDescent="0.2">
      <c r="A2987">
        <v>2018</v>
      </c>
      <c r="B2987" t="s">
        <v>184</v>
      </c>
      <c r="C2987" t="s">
        <v>557</v>
      </c>
      <c r="D2987" s="22">
        <v>190</v>
      </c>
      <c r="E2987" s="16"/>
      <c r="F2987" t="s">
        <v>2867</v>
      </c>
      <c r="G2987" t="s">
        <v>151</v>
      </c>
      <c r="H2987" t="s">
        <v>279</v>
      </c>
      <c r="I2987" t="s">
        <v>101</v>
      </c>
      <c r="J2987" t="s">
        <v>201</v>
      </c>
      <c r="K2987">
        <v>1</v>
      </c>
      <c r="N2987" s="21"/>
      <c r="O2987" s="2"/>
      <c r="P2987" s="2"/>
      <c r="Q2987" s="4"/>
      <c r="R2987" s="4"/>
      <c r="S2987" s="4"/>
      <c r="T2987" s="4"/>
      <c r="U2987" s="4"/>
      <c r="V2987" s="4"/>
    </row>
    <row r="2988" spans="1:22" ht="14.5" customHeight="1" x14ac:dyDescent="0.2">
      <c r="A2988">
        <v>2018</v>
      </c>
      <c r="B2988" t="s">
        <v>184</v>
      </c>
      <c r="C2988" t="s">
        <v>449</v>
      </c>
      <c r="D2988" s="22">
        <v>150</v>
      </c>
      <c r="E2988" s="16"/>
      <c r="G2988" t="s">
        <v>154</v>
      </c>
      <c r="H2988" t="s">
        <v>529</v>
      </c>
      <c r="I2988" t="s">
        <v>123</v>
      </c>
      <c r="J2988" t="s">
        <v>219</v>
      </c>
      <c r="K2988">
        <v>1</v>
      </c>
      <c r="N2988" s="21"/>
      <c r="O2988" s="2"/>
      <c r="P2988" s="2"/>
      <c r="Q2988" s="4"/>
      <c r="R2988" s="4"/>
      <c r="S2988" s="4"/>
      <c r="T2988" s="4"/>
      <c r="U2988" s="4"/>
      <c r="V2988" s="4"/>
    </row>
    <row r="2989" spans="1:22" ht="14.5" customHeight="1" x14ac:dyDescent="0.2">
      <c r="A2989">
        <v>2018</v>
      </c>
      <c r="B2989" t="s">
        <v>184</v>
      </c>
      <c r="C2989" t="s">
        <v>444</v>
      </c>
      <c r="D2989" s="22">
        <v>600</v>
      </c>
      <c r="E2989" s="16"/>
      <c r="G2989" t="s">
        <v>144</v>
      </c>
      <c r="H2989" t="s">
        <v>197</v>
      </c>
      <c r="I2989" t="s">
        <v>67</v>
      </c>
      <c r="J2989" t="s">
        <v>183</v>
      </c>
      <c r="K2989">
        <v>1</v>
      </c>
      <c r="N2989" s="21"/>
      <c r="O2989" s="2"/>
      <c r="P2989" s="2"/>
      <c r="Q2989" s="4"/>
      <c r="R2989" s="4"/>
      <c r="S2989" s="4"/>
      <c r="T2989" s="4"/>
      <c r="U2989" s="4"/>
      <c r="V2989" s="4"/>
    </row>
    <row r="2990" spans="1:22" ht="14.5" customHeight="1" x14ac:dyDescent="0.2">
      <c r="A2990">
        <v>2018</v>
      </c>
      <c r="B2990" t="s">
        <v>184</v>
      </c>
      <c r="C2990" t="s">
        <v>668</v>
      </c>
      <c r="D2990" s="22">
        <v>180</v>
      </c>
      <c r="E2990" s="16"/>
      <c r="F2990" t="s">
        <v>2151</v>
      </c>
      <c r="G2990" t="s">
        <v>144</v>
      </c>
      <c r="H2990" t="s">
        <v>232</v>
      </c>
      <c r="I2990" t="s">
        <v>38</v>
      </c>
      <c r="J2990" t="s">
        <v>214</v>
      </c>
      <c r="K2990">
        <v>1</v>
      </c>
      <c r="N2990" s="21"/>
      <c r="O2990" s="2"/>
      <c r="P2990" s="2"/>
      <c r="Q2990" s="4"/>
      <c r="R2990" s="4"/>
      <c r="S2990" s="4"/>
      <c r="T2990" s="4"/>
      <c r="U2990" s="4"/>
      <c r="V2990" s="4"/>
    </row>
    <row r="2991" spans="1:22" ht="14.5" customHeight="1" x14ac:dyDescent="0.2">
      <c r="A2991">
        <v>2018</v>
      </c>
      <c r="B2991" t="s">
        <v>184</v>
      </c>
      <c r="C2991" s="17" t="s">
        <v>2868</v>
      </c>
      <c r="D2991" s="22">
        <v>2120</v>
      </c>
      <c r="E2991" s="16"/>
      <c r="G2991" t="s">
        <v>154</v>
      </c>
      <c r="H2991" t="s">
        <v>529</v>
      </c>
      <c r="I2991" t="s">
        <v>72</v>
      </c>
      <c r="J2991" t="s">
        <v>183</v>
      </c>
      <c r="K2991">
        <v>1</v>
      </c>
      <c r="N2991" s="21"/>
      <c r="O2991" s="2"/>
      <c r="P2991" s="2"/>
      <c r="Q2991" s="4"/>
      <c r="R2991" s="4"/>
      <c r="S2991" s="4"/>
      <c r="T2991" s="4"/>
      <c r="U2991" s="4"/>
      <c r="V2991" s="4"/>
    </row>
    <row r="2992" spans="1:22" ht="14.5" customHeight="1" x14ac:dyDescent="0.2">
      <c r="A2992">
        <v>2018</v>
      </c>
      <c r="B2992" t="s">
        <v>184</v>
      </c>
      <c r="C2992" t="s">
        <v>1356</v>
      </c>
      <c r="D2992" s="22">
        <v>160</v>
      </c>
      <c r="E2992" s="16"/>
      <c r="G2992" t="s">
        <v>154</v>
      </c>
      <c r="H2992" t="s">
        <v>194</v>
      </c>
      <c r="I2992" t="s">
        <v>64</v>
      </c>
      <c r="J2992" t="s">
        <v>219</v>
      </c>
      <c r="K2992">
        <v>1</v>
      </c>
      <c r="N2992" s="21"/>
      <c r="O2992" s="2"/>
      <c r="P2992" s="2"/>
      <c r="Q2992" s="4"/>
      <c r="R2992" s="4"/>
      <c r="S2992" s="4"/>
      <c r="T2992" s="4"/>
      <c r="U2992" s="4"/>
      <c r="V2992" s="4"/>
    </row>
    <row r="2993" spans="1:22" ht="14.5" customHeight="1" x14ac:dyDescent="0.2">
      <c r="A2993">
        <v>2018</v>
      </c>
      <c r="B2993" t="s">
        <v>184</v>
      </c>
      <c r="C2993" t="s">
        <v>479</v>
      </c>
      <c r="D2993" s="22">
        <v>220</v>
      </c>
      <c r="E2993" s="16"/>
      <c r="G2993" t="s">
        <v>154</v>
      </c>
      <c r="H2993" t="s">
        <v>194</v>
      </c>
      <c r="I2993" t="s">
        <v>132</v>
      </c>
      <c r="J2993" t="s">
        <v>219</v>
      </c>
      <c r="K2993">
        <v>1</v>
      </c>
      <c r="N2993" s="21"/>
      <c r="O2993" s="2"/>
      <c r="P2993" s="2"/>
      <c r="Q2993" s="4"/>
      <c r="R2993" s="4"/>
      <c r="S2993" s="4"/>
      <c r="T2993" s="4"/>
      <c r="U2993" s="4"/>
      <c r="V2993" s="4"/>
    </row>
    <row r="2994" spans="1:22" ht="14.5" customHeight="1" x14ac:dyDescent="0.2">
      <c r="A2994">
        <v>2018</v>
      </c>
      <c r="B2994" t="s">
        <v>184</v>
      </c>
      <c r="C2994" t="s">
        <v>1356</v>
      </c>
      <c r="D2994" s="22">
        <v>140</v>
      </c>
      <c r="E2994" s="16"/>
      <c r="G2994" t="s">
        <v>154</v>
      </c>
      <c r="H2994" t="s">
        <v>194</v>
      </c>
      <c r="I2994" t="s">
        <v>132</v>
      </c>
      <c r="J2994" t="s">
        <v>219</v>
      </c>
      <c r="K2994">
        <v>1</v>
      </c>
      <c r="N2994" s="21"/>
      <c r="O2994" s="2"/>
      <c r="P2994" s="2"/>
      <c r="Q2994" s="4"/>
      <c r="R2994" s="4"/>
      <c r="S2994" s="4"/>
      <c r="T2994" s="4"/>
      <c r="U2994" s="4"/>
      <c r="V2994" s="4"/>
    </row>
    <row r="2995" spans="1:22" ht="14.5" customHeight="1" x14ac:dyDescent="0.2">
      <c r="A2995">
        <v>2018</v>
      </c>
      <c r="B2995" t="s">
        <v>184</v>
      </c>
      <c r="C2995" t="s">
        <v>875</v>
      </c>
      <c r="D2995" s="22">
        <v>100</v>
      </c>
      <c r="E2995" s="16"/>
      <c r="G2995" t="s">
        <v>144</v>
      </c>
      <c r="H2995" t="s">
        <v>197</v>
      </c>
      <c r="I2995" t="s">
        <v>115</v>
      </c>
      <c r="J2995" t="s">
        <v>201</v>
      </c>
      <c r="K2995">
        <v>1</v>
      </c>
      <c r="N2995" s="21"/>
      <c r="O2995" s="2"/>
      <c r="P2995" s="2"/>
      <c r="Q2995" s="4"/>
      <c r="R2995" s="4"/>
      <c r="S2995" s="4"/>
      <c r="T2995" s="4"/>
      <c r="U2995" s="4"/>
      <c r="V2995" s="4"/>
    </row>
    <row r="2996" spans="1:22" ht="14.5" customHeight="1" x14ac:dyDescent="0.2">
      <c r="A2996">
        <v>2018</v>
      </c>
      <c r="B2996" t="s">
        <v>225</v>
      </c>
      <c r="C2996" t="s">
        <v>175</v>
      </c>
      <c r="D2996" s="22">
        <v>100</v>
      </c>
      <c r="E2996" s="16"/>
      <c r="G2996" t="s">
        <v>149</v>
      </c>
      <c r="H2996" t="s">
        <v>238</v>
      </c>
      <c r="I2996" t="s">
        <v>53</v>
      </c>
      <c r="J2996" t="s">
        <v>183</v>
      </c>
      <c r="K2996">
        <v>1</v>
      </c>
      <c r="N2996" s="21"/>
      <c r="O2996" s="2"/>
      <c r="P2996" s="2"/>
      <c r="Q2996" s="4"/>
      <c r="R2996" s="4"/>
      <c r="S2996" s="4"/>
      <c r="T2996" s="4"/>
      <c r="U2996" s="4"/>
      <c r="V2996" s="4"/>
    </row>
    <row r="2997" spans="1:22" ht="14.5" customHeight="1" x14ac:dyDescent="0.2">
      <c r="A2997">
        <v>2018</v>
      </c>
      <c r="B2997" t="s">
        <v>225</v>
      </c>
      <c r="C2997" t="s">
        <v>479</v>
      </c>
      <c r="D2997" s="22">
        <v>330</v>
      </c>
      <c r="E2997" s="16"/>
      <c r="G2997" t="s">
        <v>147</v>
      </c>
      <c r="I2997" t="s">
        <v>9</v>
      </c>
      <c r="J2997" t="s">
        <v>9</v>
      </c>
      <c r="K2997">
        <v>0</v>
      </c>
      <c r="N2997" s="21"/>
      <c r="O2997" s="2"/>
      <c r="P2997" s="2"/>
      <c r="Q2997" s="4"/>
      <c r="R2997" s="4"/>
      <c r="S2997" s="4"/>
      <c r="T2997" s="4"/>
      <c r="U2997" s="4"/>
      <c r="V2997" s="4"/>
    </row>
    <row r="2998" spans="1:22" ht="14.5" customHeight="1" x14ac:dyDescent="0.2">
      <c r="A2998">
        <v>2018</v>
      </c>
      <c r="B2998" t="s">
        <v>225</v>
      </c>
      <c r="C2998" t="s">
        <v>479</v>
      </c>
      <c r="D2998" s="22">
        <v>220</v>
      </c>
      <c r="E2998" s="16"/>
      <c r="G2998" t="s">
        <v>154</v>
      </c>
      <c r="H2998" t="s">
        <v>194</v>
      </c>
      <c r="I2998" t="s">
        <v>23</v>
      </c>
      <c r="J2998" t="s">
        <v>183</v>
      </c>
      <c r="K2998">
        <v>1</v>
      </c>
      <c r="N2998" s="21"/>
      <c r="O2998" s="2"/>
      <c r="P2998" s="2"/>
      <c r="Q2998" s="4"/>
      <c r="R2998" s="4"/>
      <c r="S2998" s="4"/>
      <c r="T2998" s="4"/>
      <c r="U2998" s="4"/>
      <c r="V2998" s="4"/>
    </row>
    <row r="2999" spans="1:22" ht="14.5" customHeight="1" x14ac:dyDescent="0.2">
      <c r="A2999">
        <v>2018</v>
      </c>
      <c r="B2999" t="s">
        <v>225</v>
      </c>
      <c r="C2999" t="s">
        <v>444</v>
      </c>
      <c r="D2999" s="22">
        <v>260</v>
      </c>
      <c r="E2999" s="16"/>
      <c r="F2999" t="s">
        <v>2669</v>
      </c>
      <c r="G2999" t="s">
        <v>144</v>
      </c>
      <c r="H2999" t="s">
        <v>273</v>
      </c>
      <c r="I2999" t="s">
        <v>93</v>
      </c>
      <c r="J2999" t="s">
        <v>201</v>
      </c>
      <c r="K2999">
        <v>1</v>
      </c>
      <c r="N2999" s="21"/>
      <c r="O2999" s="2"/>
      <c r="P2999" s="2"/>
      <c r="Q2999" s="4"/>
      <c r="R2999" s="4"/>
      <c r="S2999" s="4"/>
      <c r="T2999" s="4"/>
      <c r="U2999" s="4"/>
      <c r="V2999" s="4"/>
    </row>
    <row r="3000" spans="1:22" ht="14.5" customHeight="1" x14ac:dyDescent="0.2">
      <c r="A3000">
        <v>2018</v>
      </c>
      <c r="B3000" t="s">
        <v>225</v>
      </c>
      <c r="C3000" t="s">
        <v>668</v>
      </c>
      <c r="D3000" s="22">
        <v>130</v>
      </c>
      <c r="E3000" s="16"/>
      <c r="G3000" t="s">
        <v>144</v>
      </c>
      <c r="H3000" t="s">
        <v>299</v>
      </c>
      <c r="I3000" t="s">
        <v>64</v>
      </c>
      <c r="J3000" t="s">
        <v>219</v>
      </c>
      <c r="K3000">
        <v>1</v>
      </c>
      <c r="N3000" s="21"/>
      <c r="O3000" s="2"/>
      <c r="P3000" s="2"/>
      <c r="Q3000" s="4"/>
      <c r="R3000" s="4"/>
      <c r="S3000" s="4"/>
      <c r="T3000" s="4"/>
      <c r="U3000" s="4"/>
      <c r="V3000" s="4"/>
    </row>
    <row r="3001" spans="1:22" ht="14.5" customHeight="1" x14ac:dyDescent="0.2">
      <c r="A3001">
        <v>2018</v>
      </c>
      <c r="B3001" t="s">
        <v>225</v>
      </c>
      <c r="C3001" t="s">
        <v>483</v>
      </c>
      <c r="D3001" s="22">
        <v>1210</v>
      </c>
      <c r="E3001" s="16">
        <v>0.9</v>
      </c>
      <c r="G3001" t="s">
        <v>144</v>
      </c>
      <c r="H3001" t="s">
        <v>187</v>
      </c>
      <c r="I3001" t="s">
        <v>55</v>
      </c>
      <c r="J3001" t="s">
        <v>214</v>
      </c>
      <c r="K3001">
        <v>1</v>
      </c>
      <c r="N3001" s="21"/>
      <c r="O3001" s="2"/>
      <c r="P3001" s="2"/>
      <c r="Q3001" s="4"/>
      <c r="R3001" s="4"/>
      <c r="S3001" s="4"/>
      <c r="T3001" s="4"/>
      <c r="U3001" s="4"/>
      <c r="V3001" s="4"/>
    </row>
    <row r="3002" spans="1:22" ht="14.5" customHeight="1" x14ac:dyDescent="0.2">
      <c r="A3002">
        <v>2018</v>
      </c>
      <c r="B3002" t="s">
        <v>225</v>
      </c>
      <c r="C3002" t="s">
        <v>1035</v>
      </c>
      <c r="D3002" s="22">
        <v>100</v>
      </c>
      <c r="E3002" s="16"/>
      <c r="F3002" t="s">
        <v>2869</v>
      </c>
      <c r="G3002" t="s">
        <v>144</v>
      </c>
      <c r="H3002" t="s">
        <v>273</v>
      </c>
      <c r="I3002" t="s">
        <v>53</v>
      </c>
      <c r="J3002" t="s">
        <v>183</v>
      </c>
      <c r="K3002">
        <v>1</v>
      </c>
      <c r="N3002" s="21"/>
      <c r="O3002" s="2"/>
      <c r="P3002" s="2"/>
      <c r="Q3002" s="4"/>
      <c r="R3002" s="4"/>
      <c r="S3002" s="4"/>
      <c r="T3002" s="4"/>
      <c r="U3002" s="4"/>
      <c r="V3002" s="4"/>
    </row>
    <row r="3003" spans="1:22" ht="14.5" customHeight="1" x14ac:dyDescent="0.2">
      <c r="A3003">
        <v>2018</v>
      </c>
      <c r="B3003" t="s">
        <v>225</v>
      </c>
      <c r="C3003" t="s">
        <v>397</v>
      </c>
      <c r="D3003" s="22">
        <v>240</v>
      </c>
      <c r="E3003" s="16"/>
      <c r="G3003" t="s">
        <v>154</v>
      </c>
      <c r="H3003" t="s">
        <v>194</v>
      </c>
      <c r="I3003" t="s">
        <v>59</v>
      </c>
      <c r="J3003" t="s">
        <v>219</v>
      </c>
      <c r="K3003">
        <v>1</v>
      </c>
      <c r="N3003" s="21"/>
      <c r="O3003" s="2"/>
      <c r="P3003" s="2"/>
      <c r="Q3003" s="4"/>
      <c r="R3003" s="4"/>
      <c r="S3003" s="4"/>
      <c r="T3003" s="4"/>
      <c r="U3003" s="4"/>
      <c r="V3003" s="4"/>
    </row>
    <row r="3004" spans="1:22" ht="14.5" customHeight="1" x14ac:dyDescent="0.2">
      <c r="A3004">
        <v>2018</v>
      </c>
      <c r="B3004" t="s">
        <v>225</v>
      </c>
      <c r="C3004" t="s">
        <v>1035</v>
      </c>
      <c r="D3004" s="22">
        <v>130</v>
      </c>
      <c r="E3004" s="16"/>
      <c r="F3004" t="s">
        <v>2870</v>
      </c>
      <c r="G3004" t="s">
        <v>155</v>
      </c>
      <c r="I3004" t="s">
        <v>94</v>
      </c>
      <c r="J3004" t="s">
        <v>177</v>
      </c>
      <c r="K3004">
        <v>0</v>
      </c>
      <c r="N3004" s="21"/>
      <c r="O3004" s="2"/>
      <c r="P3004" s="2"/>
      <c r="Q3004" s="4"/>
      <c r="R3004" s="4"/>
      <c r="S3004" s="4"/>
      <c r="T3004" s="4"/>
      <c r="U3004" s="4"/>
      <c r="V3004" s="4"/>
    </row>
    <row r="3005" spans="1:22" ht="14.5" customHeight="1" x14ac:dyDescent="0.2">
      <c r="A3005">
        <v>2018</v>
      </c>
      <c r="B3005" t="s">
        <v>225</v>
      </c>
      <c r="C3005" t="s">
        <v>1289</v>
      </c>
      <c r="D3005" s="22">
        <v>130</v>
      </c>
      <c r="E3005" s="16"/>
      <c r="F3005" t="s">
        <v>2871</v>
      </c>
      <c r="G3005" t="s">
        <v>151</v>
      </c>
      <c r="H3005" t="s">
        <v>279</v>
      </c>
      <c r="I3005" t="s">
        <v>108</v>
      </c>
      <c r="J3005" t="s">
        <v>183</v>
      </c>
      <c r="K3005">
        <v>1</v>
      </c>
      <c r="N3005" s="21"/>
      <c r="O3005" s="2"/>
      <c r="P3005" s="2"/>
      <c r="Q3005" s="4"/>
      <c r="R3005" s="4"/>
      <c r="S3005" s="4"/>
      <c r="T3005" s="4"/>
      <c r="U3005" s="4"/>
      <c r="V3005" s="4"/>
    </row>
    <row r="3006" spans="1:22" ht="14.5" customHeight="1" x14ac:dyDescent="0.2">
      <c r="A3006">
        <v>2018</v>
      </c>
      <c r="B3006" t="s">
        <v>225</v>
      </c>
      <c r="C3006" t="s">
        <v>444</v>
      </c>
      <c r="D3006" s="22">
        <v>200</v>
      </c>
      <c r="E3006" s="16"/>
      <c r="G3006" t="s">
        <v>154</v>
      </c>
      <c r="H3006" t="s">
        <v>194</v>
      </c>
      <c r="I3006" t="s">
        <v>138</v>
      </c>
      <c r="J3006" t="s">
        <v>219</v>
      </c>
      <c r="K3006">
        <v>1</v>
      </c>
      <c r="N3006" s="21"/>
      <c r="O3006" s="2"/>
      <c r="P3006" s="2"/>
      <c r="Q3006" s="4"/>
      <c r="R3006" s="4"/>
      <c r="S3006" s="4"/>
      <c r="T3006" s="4"/>
      <c r="U3006" s="4"/>
      <c r="V3006" s="4"/>
    </row>
    <row r="3007" spans="1:22" ht="14.5" customHeight="1" x14ac:dyDescent="0.2">
      <c r="A3007">
        <v>2018</v>
      </c>
      <c r="B3007" t="s">
        <v>225</v>
      </c>
      <c r="C3007" t="s">
        <v>2872</v>
      </c>
      <c r="D3007" s="22">
        <v>100</v>
      </c>
      <c r="E3007" s="16"/>
      <c r="G3007" t="s">
        <v>144</v>
      </c>
      <c r="H3007" t="s">
        <v>273</v>
      </c>
      <c r="I3007" t="s">
        <v>134</v>
      </c>
      <c r="J3007" t="s">
        <v>201</v>
      </c>
      <c r="K3007">
        <v>1</v>
      </c>
      <c r="N3007" s="21"/>
      <c r="O3007" s="2"/>
      <c r="P3007" s="2"/>
      <c r="Q3007" s="4"/>
      <c r="R3007" s="4"/>
      <c r="S3007" s="4"/>
      <c r="T3007" s="4"/>
      <c r="U3007" s="4"/>
      <c r="V3007" s="4"/>
    </row>
    <row r="3008" spans="1:22" ht="14.5" customHeight="1" x14ac:dyDescent="0.2">
      <c r="A3008">
        <v>2018</v>
      </c>
      <c r="B3008" t="s">
        <v>225</v>
      </c>
      <c r="C3008" t="s">
        <v>1356</v>
      </c>
      <c r="D3008" s="22">
        <v>130</v>
      </c>
      <c r="E3008" s="16"/>
      <c r="G3008" t="s">
        <v>146</v>
      </c>
      <c r="I3008" t="s">
        <v>40</v>
      </c>
      <c r="J3008" t="s">
        <v>219</v>
      </c>
      <c r="K3008">
        <v>1</v>
      </c>
      <c r="N3008" s="21"/>
      <c r="O3008" s="2"/>
      <c r="P3008" s="2"/>
      <c r="Q3008" s="4"/>
      <c r="R3008" s="4"/>
      <c r="S3008" s="4"/>
      <c r="T3008" s="4"/>
      <c r="U3008" s="4"/>
      <c r="V3008" s="4"/>
    </row>
    <row r="3009" spans="1:22" ht="14.5" customHeight="1" x14ac:dyDescent="0.2">
      <c r="A3009">
        <v>2018</v>
      </c>
      <c r="B3009" t="s">
        <v>188</v>
      </c>
      <c r="C3009" t="s">
        <v>1035</v>
      </c>
      <c r="D3009" s="22">
        <v>1490</v>
      </c>
      <c r="E3009" s="16"/>
      <c r="F3009" t="s">
        <v>2482</v>
      </c>
      <c r="G3009" t="s">
        <v>144</v>
      </c>
      <c r="H3009" t="s">
        <v>273</v>
      </c>
      <c r="I3009" t="s">
        <v>139</v>
      </c>
      <c r="J3009" t="s">
        <v>219</v>
      </c>
      <c r="K3009">
        <v>1</v>
      </c>
      <c r="N3009" s="21"/>
      <c r="O3009" s="2"/>
      <c r="P3009" s="2"/>
      <c r="Q3009" s="4"/>
      <c r="R3009" s="4"/>
      <c r="S3009" s="4"/>
      <c r="T3009" s="4"/>
      <c r="U3009" s="4"/>
      <c r="V3009" s="4"/>
    </row>
    <row r="3010" spans="1:22" ht="14.5" customHeight="1" x14ac:dyDescent="0.2">
      <c r="A3010">
        <v>2018</v>
      </c>
      <c r="B3010" t="s">
        <v>188</v>
      </c>
      <c r="C3010" t="s">
        <v>1035</v>
      </c>
      <c r="D3010" s="22">
        <v>110</v>
      </c>
      <c r="E3010" s="16"/>
      <c r="G3010" t="s">
        <v>155</v>
      </c>
      <c r="I3010" t="s">
        <v>16</v>
      </c>
      <c r="J3010" t="s">
        <v>205</v>
      </c>
      <c r="K3010">
        <v>1</v>
      </c>
      <c r="N3010" s="21"/>
      <c r="O3010" s="2"/>
      <c r="P3010" s="2"/>
      <c r="Q3010" s="4"/>
      <c r="R3010" s="4"/>
      <c r="S3010" s="4"/>
      <c r="T3010" s="4"/>
      <c r="U3010" s="4"/>
      <c r="V3010" s="4"/>
    </row>
    <row r="3011" spans="1:22" ht="14.5" customHeight="1" x14ac:dyDescent="0.2">
      <c r="A3011">
        <v>2018</v>
      </c>
      <c r="B3011" t="s">
        <v>188</v>
      </c>
      <c r="C3011" t="s">
        <v>1035</v>
      </c>
      <c r="D3011" s="22">
        <v>390</v>
      </c>
      <c r="E3011" s="16"/>
      <c r="F3011" t="s">
        <v>2873</v>
      </c>
      <c r="G3011" t="s">
        <v>144</v>
      </c>
      <c r="H3011" t="s">
        <v>232</v>
      </c>
      <c r="I3011" t="s">
        <v>136</v>
      </c>
      <c r="J3011" t="s">
        <v>183</v>
      </c>
      <c r="K3011">
        <v>1</v>
      </c>
      <c r="N3011" s="21"/>
      <c r="O3011" s="2"/>
      <c r="P3011" s="2"/>
      <c r="Q3011" s="4"/>
      <c r="R3011" s="4"/>
      <c r="S3011" s="4"/>
      <c r="T3011" s="4"/>
      <c r="U3011" s="4"/>
      <c r="V3011" s="4"/>
    </row>
    <row r="3012" spans="1:22" ht="14.5" customHeight="1" x14ac:dyDescent="0.2">
      <c r="A3012">
        <v>2018</v>
      </c>
      <c r="B3012" t="s">
        <v>188</v>
      </c>
      <c r="C3012" t="s">
        <v>244</v>
      </c>
      <c r="D3012" s="22">
        <v>160</v>
      </c>
      <c r="E3012" s="16"/>
      <c r="F3012" t="s">
        <v>2760</v>
      </c>
      <c r="G3012" t="s">
        <v>149</v>
      </c>
      <c r="H3012" t="s">
        <v>236</v>
      </c>
      <c r="I3012" t="s">
        <v>34</v>
      </c>
      <c r="J3012" t="s">
        <v>219</v>
      </c>
      <c r="K3012">
        <v>1</v>
      </c>
      <c r="N3012" s="21"/>
      <c r="O3012" s="2"/>
      <c r="P3012" s="2"/>
      <c r="Q3012" s="4"/>
      <c r="R3012" s="4"/>
      <c r="S3012" s="4"/>
      <c r="T3012" s="4"/>
      <c r="U3012" s="4"/>
      <c r="V3012" s="4"/>
    </row>
    <row r="3013" spans="1:22" ht="14.5" customHeight="1" x14ac:dyDescent="0.2">
      <c r="A3013">
        <v>2018</v>
      </c>
      <c r="B3013" t="s">
        <v>188</v>
      </c>
      <c r="C3013" t="s">
        <v>1035</v>
      </c>
      <c r="D3013" s="22">
        <v>160</v>
      </c>
      <c r="E3013" s="16"/>
      <c r="G3013" t="s">
        <v>144</v>
      </c>
      <c r="H3013" t="s">
        <v>232</v>
      </c>
      <c r="I3013" t="s">
        <v>63</v>
      </c>
      <c r="J3013" t="s">
        <v>201</v>
      </c>
      <c r="K3013">
        <v>1</v>
      </c>
      <c r="N3013" s="21"/>
      <c r="O3013" s="2"/>
      <c r="P3013" s="2"/>
      <c r="Q3013" s="4"/>
      <c r="R3013" s="4"/>
      <c r="S3013" s="4"/>
      <c r="T3013" s="4"/>
      <c r="U3013" s="4"/>
      <c r="V3013" s="4"/>
    </row>
    <row r="3014" spans="1:22" ht="14.5" customHeight="1" x14ac:dyDescent="0.2">
      <c r="A3014">
        <v>2018</v>
      </c>
      <c r="B3014" t="s">
        <v>188</v>
      </c>
      <c r="C3014" t="s">
        <v>199</v>
      </c>
      <c r="D3014" s="22">
        <v>1520</v>
      </c>
      <c r="E3014" s="16"/>
      <c r="F3014" t="s">
        <v>2689</v>
      </c>
      <c r="G3014" t="s">
        <v>144</v>
      </c>
      <c r="H3014" t="s">
        <v>187</v>
      </c>
      <c r="I3014" t="s">
        <v>130</v>
      </c>
      <c r="J3014" t="s">
        <v>214</v>
      </c>
      <c r="K3014">
        <v>1</v>
      </c>
      <c r="N3014" s="21"/>
      <c r="O3014" s="2"/>
      <c r="P3014" s="2"/>
      <c r="Q3014" s="4"/>
      <c r="R3014" s="4"/>
      <c r="S3014" s="4"/>
      <c r="T3014" s="4"/>
      <c r="U3014" s="4"/>
      <c r="V3014" s="4"/>
    </row>
    <row r="3015" spans="1:22" ht="14.5" customHeight="1" x14ac:dyDescent="0.2">
      <c r="A3015">
        <v>2018</v>
      </c>
      <c r="B3015" t="s">
        <v>191</v>
      </c>
      <c r="C3015" t="s">
        <v>479</v>
      </c>
      <c r="D3015" s="22">
        <v>100</v>
      </c>
      <c r="E3015" s="16"/>
      <c r="G3015" t="s">
        <v>154</v>
      </c>
      <c r="H3015" t="s">
        <v>194</v>
      </c>
      <c r="I3015" t="s">
        <v>97</v>
      </c>
      <c r="J3015" t="s">
        <v>183</v>
      </c>
      <c r="K3015">
        <v>1</v>
      </c>
      <c r="N3015" s="21"/>
      <c r="O3015" s="2"/>
      <c r="P3015" s="2"/>
      <c r="Q3015" s="4"/>
      <c r="R3015" s="4"/>
      <c r="S3015" s="4"/>
      <c r="T3015" s="4"/>
      <c r="U3015" s="4"/>
      <c r="V3015" s="4"/>
    </row>
    <row r="3016" spans="1:22" ht="14.5" customHeight="1" x14ac:dyDescent="0.2">
      <c r="A3016">
        <v>2018</v>
      </c>
      <c r="B3016" t="s">
        <v>191</v>
      </c>
      <c r="C3016" t="s">
        <v>341</v>
      </c>
      <c r="D3016" s="22">
        <v>2760</v>
      </c>
      <c r="E3016" s="16"/>
      <c r="G3016" t="s">
        <v>154</v>
      </c>
      <c r="H3016" t="s">
        <v>529</v>
      </c>
      <c r="I3016" t="s">
        <v>13</v>
      </c>
      <c r="J3016" t="s">
        <v>201</v>
      </c>
      <c r="K3016">
        <v>1</v>
      </c>
      <c r="N3016" s="21"/>
      <c r="O3016" s="2"/>
      <c r="P3016" s="2"/>
      <c r="Q3016" s="4"/>
      <c r="R3016" s="4"/>
      <c r="S3016" s="4"/>
      <c r="T3016" s="4"/>
      <c r="U3016" s="4"/>
      <c r="V3016" s="4"/>
    </row>
    <row r="3017" spans="1:22" ht="14.5" customHeight="1" x14ac:dyDescent="0.2">
      <c r="A3017">
        <v>2018</v>
      </c>
      <c r="B3017" t="s">
        <v>191</v>
      </c>
      <c r="C3017" t="s">
        <v>199</v>
      </c>
      <c r="D3017" s="22">
        <v>1600</v>
      </c>
      <c r="E3017" s="16"/>
      <c r="F3017" t="s">
        <v>2689</v>
      </c>
      <c r="G3017" t="s">
        <v>144</v>
      </c>
      <c r="H3017" t="s">
        <v>187</v>
      </c>
      <c r="I3017" t="s">
        <v>130</v>
      </c>
      <c r="J3017" t="s">
        <v>214</v>
      </c>
      <c r="K3017">
        <v>1</v>
      </c>
      <c r="N3017" s="21"/>
      <c r="O3017" s="2"/>
      <c r="P3017" s="2"/>
      <c r="Q3017" s="4"/>
      <c r="R3017" s="4"/>
      <c r="S3017" s="4"/>
      <c r="T3017" s="4"/>
      <c r="U3017" s="4"/>
      <c r="V3017" s="4"/>
    </row>
    <row r="3018" spans="1:22" ht="14.5" customHeight="1" x14ac:dyDescent="0.2">
      <c r="A3018">
        <v>2018</v>
      </c>
      <c r="B3018" t="s">
        <v>191</v>
      </c>
      <c r="C3018" t="s">
        <v>199</v>
      </c>
      <c r="D3018" s="22">
        <v>560</v>
      </c>
      <c r="E3018" s="16"/>
      <c r="F3018" t="s">
        <v>2002</v>
      </c>
      <c r="G3018" t="s">
        <v>144</v>
      </c>
      <c r="H3018" t="s">
        <v>187</v>
      </c>
      <c r="I3018" t="s">
        <v>105</v>
      </c>
      <c r="J3018" t="s">
        <v>214</v>
      </c>
      <c r="K3018">
        <v>1</v>
      </c>
      <c r="N3018" s="21"/>
      <c r="O3018" s="2"/>
      <c r="P3018" s="2"/>
      <c r="Q3018" s="4"/>
      <c r="R3018" s="4"/>
      <c r="S3018" s="4"/>
      <c r="T3018" s="4"/>
      <c r="U3018" s="4"/>
      <c r="V3018" s="4"/>
    </row>
    <row r="3019" spans="1:22" ht="14.5" customHeight="1" x14ac:dyDescent="0.2">
      <c r="A3019">
        <v>2018</v>
      </c>
      <c r="B3019" t="s">
        <v>191</v>
      </c>
      <c r="C3019" t="s">
        <v>189</v>
      </c>
      <c r="D3019" s="22">
        <v>1060</v>
      </c>
      <c r="E3019" s="16"/>
      <c r="F3019" t="s">
        <v>2448</v>
      </c>
      <c r="G3019" t="s">
        <v>144</v>
      </c>
      <c r="H3019" t="s">
        <v>187</v>
      </c>
      <c r="I3019" t="s">
        <v>65</v>
      </c>
      <c r="J3019" t="s">
        <v>214</v>
      </c>
      <c r="K3019">
        <v>1</v>
      </c>
      <c r="N3019" s="21"/>
      <c r="O3019" s="2"/>
      <c r="P3019" s="2"/>
      <c r="Q3019" s="4"/>
      <c r="R3019" s="4"/>
      <c r="S3019" s="4"/>
      <c r="T3019" s="4"/>
      <c r="U3019" s="4"/>
      <c r="V3019" s="4"/>
    </row>
    <row r="3020" spans="1:22" ht="14.5" customHeight="1" x14ac:dyDescent="0.2">
      <c r="A3020">
        <v>2018</v>
      </c>
      <c r="B3020" t="s">
        <v>191</v>
      </c>
      <c r="C3020" t="s">
        <v>1035</v>
      </c>
      <c r="D3020" s="22">
        <v>130</v>
      </c>
      <c r="E3020" s="16"/>
      <c r="G3020" t="s">
        <v>154</v>
      </c>
      <c r="H3020" t="s">
        <v>194</v>
      </c>
      <c r="I3020" t="s">
        <v>102</v>
      </c>
      <c r="J3020" t="s">
        <v>219</v>
      </c>
      <c r="K3020">
        <v>1</v>
      </c>
      <c r="N3020" s="21"/>
      <c r="O3020" s="2"/>
      <c r="P3020" s="2"/>
      <c r="Q3020" s="4"/>
      <c r="R3020" s="4"/>
      <c r="S3020" s="4"/>
      <c r="T3020" s="4"/>
      <c r="U3020" s="4"/>
      <c r="V3020" s="4"/>
    </row>
    <row r="3021" spans="1:22" ht="14.5" customHeight="1" x14ac:dyDescent="0.2">
      <c r="A3021">
        <v>2018</v>
      </c>
      <c r="B3021" t="s">
        <v>191</v>
      </c>
      <c r="C3021" t="s">
        <v>1035</v>
      </c>
      <c r="D3021" s="22">
        <v>300</v>
      </c>
      <c r="E3021" s="16"/>
      <c r="F3021" t="s">
        <v>2874</v>
      </c>
      <c r="G3021" t="s">
        <v>149</v>
      </c>
      <c r="H3021" t="s">
        <v>182</v>
      </c>
      <c r="I3021" t="s">
        <v>107</v>
      </c>
      <c r="J3021" t="s">
        <v>219</v>
      </c>
      <c r="K3021">
        <v>1</v>
      </c>
      <c r="N3021" s="21"/>
      <c r="O3021" s="2"/>
      <c r="P3021" s="2"/>
      <c r="Q3021" s="4"/>
      <c r="R3021" s="4"/>
      <c r="S3021" s="4"/>
      <c r="T3021" s="4"/>
      <c r="U3021" s="4"/>
      <c r="V3021" s="4"/>
    </row>
    <row r="3022" spans="1:22" ht="14.5" customHeight="1" x14ac:dyDescent="0.2">
      <c r="A3022">
        <v>2018</v>
      </c>
      <c r="B3022" t="s">
        <v>191</v>
      </c>
      <c r="C3022" t="s">
        <v>875</v>
      </c>
      <c r="D3022" s="22">
        <v>100</v>
      </c>
      <c r="E3022" s="16"/>
      <c r="G3022" t="s">
        <v>151</v>
      </c>
      <c r="H3022" t="s">
        <v>279</v>
      </c>
      <c r="I3022" t="s">
        <v>14</v>
      </c>
      <c r="J3022" t="s">
        <v>195</v>
      </c>
      <c r="K3022">
        <v>1</v>
      </c>
      <c r="N3022" s="21"/>
      <c r="O3022" s="2"/>
      <c r="P3022" s="2"/>
      <c r="Q3022" s="4"/>
      <c r="R3022" s="4"/>
      <c r="S3022" s="4"/>
      <c r="T3022" s="4"/>
      <c r="U3022" s="4"/>
      <c r="V3022" s="4"/>
    </row>
    <row r="3023" spans="1:22" ht="14.5" customHeight="1" x14ac:dyDescent="0.2">
      <c r="A3023">
        <v>2018</v>
      </c>
      <c r="B3023" t="s">
        <v>191</v>
      </c>
      <c r="C3023" t="s">
        <v>479</v>
      </c>
      <c r="D3023" s="22">
        <v>1840</v>
      </c>
      <c r="E3023" s="16"/>
      <c r="F3023" t="s">
        <v>2875</v>
      </c>
      <c r="G3023" t="s">
        <v>154</v>
      </c>
      <c r="H3023" t="s">
        <v>529</v>
      </c>
      <c r="I3023" t="s">
        <v>9</v>
      </c>
      <c r="J3023" t="s">
        <v>9</v>
      </c>
      <c r="K3023">
        <v>0</v>
      </c>
      <c r="N3023" s="21"/>
      <c r="O3023" s="2"/>
      <c r="P3023" s="2"/>
      <c r="Q3023" s="4"/>
      <c r="R3023" s="4"/>
      <c r="S3023" s="4"/>
      <c r="T3023" s="4"/>
      <c r="U3023" s="4"/>
      <c r="V3023" s="4"/>
    </row>
    <row r="3024" spans="1:22" ht="14.5" customHeight="1" x14ac:dyDescent="0.2">
      <c r="A3024">
        <v>2018</v>
      </c>
      <c r="B3024" t="s">
        <v>191</v>
      </c>
      <c r="C3024" t="s">
        <v>397</v>
      </c>
      <c r="D3024" s="22">
        <v>210</v>
      </c>
      <c r="E3024" s="16"/>
      <c r="G3024" t="s">
        <v>151</v>
      </c>
      <c r="H3024" t="s">
        <v>279</v>
      </c>
      <c r="I3024" t="s">
        <v>131</v>
      </c>
      <c r="J3024" t="s">
        <v>131</v>
      </c>
      <c r="K3024">
        <v>0</v>
      </c>
      <c r="N3024" s="21"/>
      <c r="O3024" s="2"/>
      <c r="P3024" s="2"/>
      <c r="Q3024" s="4"/>
      <c r="R3024" s="4"/>
      <c r="S3024" s="4"/>
      <c r="T3024" s="4"/>
      <c r="U3024" s="4"/>
      <c r="V3024" s="4"/>
    </row>
    <row r="3025" spans="1:22" ht="14.5" customHeight="1" x14ac:dyDescent="0.2">
      <c r="A3025">
        <v>2018</v>
      </c>
      <c r="B3025" t="s">
        <v>191</v>
      </c>
      <c r="C3025" t="s">
        <v>444</v>
      </c>
      <c r="D3025" s="22">
        <v>820</v>
      </c>
      <c r="E3025" s="16"/>
      <c r="G3025" t="s">
        <v>144</v>
      </c>
      <c r="I3025" t="s">
        <v>59</v>
      </c>
      <c r="J3025" t="s">
        <v>219</v>
      </c>
      <c r="K3025">
        <v>1</v>
      </c>
      <c r="N3025" s="20"/>
      <c r="O3025" s="5"/>
      <c r="P3025" s="5"/>
      <c r="Q3025" s="80"/>
      <c r="R3025" s="80"/>
      <c r="S3025" s="80"/>
      <c r="T3025" s="80"/>
      <c r="U3025" s="80"/>
      <c r="V3025" s="80"/>
    </row>
    <row r="3026" spans="1:22" ht="14.5" customHeight="1" x14ac:dyDescent="0.2">
      <c r="A3026">
        <v>2018</v>
      </c>
      <c r="B3026" t="s">
        <v>191</v>
      </c>
      <c r="C3026" t="s">
        <v>477</v>
      </c>
      <c r="D3026" s="22">
        <v>370</v>
      </c>
      <c r="E3026" s="16"/>
      <c r="G3026" t="s">
        <v>148</v>
      </c>
      <c r="I3026" t="s">
        <v>36</v>
      </c>
      <c r="J3026" t="s">
        <v>219</v>
      </c>
      <c r="K3026">
        <v>1</v>
      </c>
      <c r="N3026" s="21"/>
      <c r="O3026" s="2"/>
      <c r="P3026" s="2"/>
      <c r="Q3026" s="4"/>
      <c r="R3026" s="4"/>
      <c r="S3026" s="4"/>
      <c r="T3026" s="4"/>
      <c r="U3026" s="4"/>
      <c r="V3026" s="4"/>
    </row>
    <row r="3027" spans="1:22" ht="14.5" customHeight="1" x14ac:dyDescent="0.2">
      <c r="A3027">
        <v>2018</v>
      </c>
      <c r="B3027" t="s">
        <v>198</v>
      </c>
      <c r="C3027" t="s">
        <v>530</v>
      </c>
      <c r="D3027" s="22">
        <v>200</v>
      </c>
      <c r="E3027" s="16"/>
      <c r="G3027" t="s">
        <v>152</v>
      </c>
      <c r="H3027" t="s">
        <v>257</v>
      </c>
      <c r="I3027" t="s">
        <v>95</v>
      </c>
      <c r="J3027" t="s">
        <v>183</v>
      </c>
      <c r="K3027">
        <v>1</v>
      </c>
      <c r="N3027" s="21"/>
      <c r="O3027" s="2"/>
      <c r="P3027" s="2"/>
      <c r="Q3027" s="4"/>
      <c r="R3027" s="4"/>
      <c r="S3027" s="4"/>
      <c r="T3027" s="4"/>
      <c r="U3027" s="4"/>
      <c r="V3027" s="4"/>
    </row>
    <row r="3028" spans="1:22" ht="14.5" customHeight="1" x14ac:dyDescent="0.2">
      <c r="A3028">
        <v>2018</v>
      </c>
      <c r="B3028" t="s">
        <v>198</v>
      </c>
      <c r="C3028" t="s">
        <v>397</v>
      </c>
      <c r="D3028" s="22">
        <v>2130</v>
      </c>
      <c r="E3028" s="16"/>
      <c r="G3028" t="s">
        <v>154</v>
      </c>
      <c r="H3028" t="s">
        <v>194</v>
      </c>
      <c r="I3028" t="s">
        <v>8</v>
      </c>
      <c r="J3028" t="s">
        <v>205</v>
      </c>
      <c r="K3028">
        <v>1</v>
      </c>
      <c r="N3028" s="21"/>
      <c r="O3028" s="2"/>
      <c r="P3028" s="2"/>
      <c r="Q3028" s="4"/>
      <c r="R3028" s="4"/>
      <c r="S3028" s="4"/>
      <c r="T3028" s="4"/>
      <c r="U3028" s="4"/>
      <c r="V3028" s="4"/>
    </row>
    <row r="3029" spans="1:22" ht="14.5" customHeight="1" x14ac:dyDescent="0.2">
      <c r="A3029">
        <v>2018</v>
      </c>
      <c r="B3029" t="s">
        <v>198</v>
      </c>
      <c r="C3029" t="s">
        <v>397</v>
      </c>
      <c r="D3029" s="22">
        <v>350</v>
      </c>
      <c r="E3029" s="16"/>
      <c r="F3029" t="s">
        <v>2876</v>
      </c>
      <c r="G3029" t="s">
        <v>151</v>
      </c>
      <c r="H3029" t="s">
        <v>279</v>
      </c>
      <c r="I3029" t="s">
        <v>130</v>
      </c>
      <c r="J3029" t="s">
        <v>214</v>
      </c>
      <c r="K3029">
        <v>1</v>
      </c>
      <c r="N3029" s="21"/>
      <c r="O3029" s="2"/>
      <c r="P3029" s="2"/>
      <c r="Q3029" s="4"/>
      <c r="R3029" s="4"/>
      <c r="S3029" s="4"/>
      <c r="T3029" s="4"/>
      <c r="U3029" s="4"/>
      <c r="V3029" s="4"/>
    </row>
    <row r="3030" spans="1:22" ht="14.5" customHeight="1" x14ac:dyDescent="0.2">
      <c r="A3030">
        <v>2018</v>
      </c>
      <c r="B3030" t="s">
        <v>198</v>
      </c>
      <c r="C3030" t="s">
        <v>341</v>
      </c>
      <c r="D3030" s="22">
        <v>110</v>
      </c>
      <c r="E3030" s="16"/>
      <c r="G3030" t="s">
        <v>151</v>
      </c>
      <c r="H3030" t="s">
        <v>279</v>
      </c>
      <c r="I3030" t="s">
        <v>132</v>
      </c>
      <c r="J3030" t="s">
        <v>219</v>
      </c>
      <c r="K3030">
        <v>1</v>
      </c>
      <c r="N3030" s="21"/>
      <c r="O3030" s="2"/>
      <c r="P3030" s="2"/>
      <c r="Q3030" s="4"/>
      <c r="R3030" s="4"/>
      <c r="S3030" s="4"/>
      <c r="T3030" s="4"/>
      <c r="U3030" s="4"/>
      <c r="V3030" s="4"/>
    </row>
    <row r="3031" spans="1:22" ht="14.5" customHeight="1" x14ac:dyDescent="0.2">
      <c r="A3031">
        <v>2018</v>
      </c>
      <c r="B3031" t="s">
        <v>198</v>
      </c>
      <c r="C3031" t="s">
        <v>199</v>
      </c>
      <c r="D3031" s="22">
        <v>320</v>
      </c>
      <c r="E3031" s="16"/>
      <c r="F3031" t="s">
        <v>2877</v>
      </c>
      <c r="G3031" t="s">
        <v>144</v>
      </c>
      <c r="H3031" t="s">
        <v>187</v>
      </c>
      <c r="I3031" t="s">
        <v>92</v>
      </c>
      <c r="J3031" t="s">
        <v>214</v>
      </c>
      <c r="K3031">
        <v>1</v>
      </c>
      <c r="N3031" s="21"/>
      <c r="O3031" s="2"/>
      <c r="P3031" s="2"/>
      <c r="Q3031" s="4"/>
      <c r="R3031" s="4"/>
      <c r="S3031" s="4"/>
      <c r="T3031" s="4"/>
      <c r="U3031" s="4"/>
      <c r="V3031" s="4"/>
    </row>
    <row r="3032" spans="1:22" ht="14.5" customHeight="1" x14ac:dyDescent="0.2">
      <c r="A3032">
        <v>2018</v>
      </c>
      <c r="B3032" t="s">
        <v>198</v>
      </c>
      <c r="C3032" t="s">
        <v>199</v>
      </c>
      <c r="D3032" s="22">
        <v>290</v>
      </c>
      <c r="E3032" s="16"/>
      <c r="F3032" t="s">
        <v>2878</v>
      </c>
      <c r="G3032" t="s">
        <v>144</v>
      </c>
      <c r="H3032" t="s">
        <v>187</v>
      </c>
      <c r="I3032" t="s">
        <v>89</v>
      </c>
      <c r="J3032" t="s">
        <v>219</v>
      </c>
      <c r="K3032">
        <v>1</v>
      </c>
      <c r="N3032" s="21"/>
      <c r="O3032" s="2"/>
      <c r="P3032" s="2"/>
      <c r="Q3032" s="4"/>
      <c r="R3032" s="4"/>
      <c r="S3032" s="4"/>
      <c r="T3032" s="4"/>
      <c r="U3032" s="4"/>
      <c r="V3032" s="4"/>
    </row>
    <row r="3033" spans="1:22" ht="14.5" customHeight="1" x14ac:dyDescent="0.2">
      <c r="A3033">
        <v>2018</v>
      </c>
      <c r="B3033" t="s">
        <v>198</v>
      </c>
      <c r="C3033" t="s">
        <v>1356</v>
      </c>
      <c r="D3033" s="22">
        <v>180</v>
      </c>
      <c r="E3033" s="16"/>
      <c r="F3033" t="s">
        <v>2879</v>
      </c>
      <c r="G3033" t="s">
        <v>151</v>
      </c>
      <c r="H3033" t="s">
        <v>279</v>
      </c>
      <c r="I3033" t="s">
        <v>72</v>
      </c>
      <c r="J3033" t="s">
        <v>183</v>
      </c>
      <c r="K3033">
        <v>1</v>
      </c>
      <c r="N3033" s="21"/>
      <c r="O3033" s="2"/>
      <c r="P3033" s="2"/>
      <c r="Q3033" s="4"/>
      <c r="R3033" s="4"/>
      <c r="S3033" s="4"/>
      <c r="T3033" s="4"/>
      <c r="U3033" s="4"/>
      <c r="V3033" s="4"/>
    </row>
    <row r="3034" spans="1:22" ht="14.5" customHeight="1" x14ac:dyDescent="0.2">
      <c r="A3034">
        <v>2018</v>
      </c>
      <c r="B3034" t="s">
        <v>198</v>
      </c>
      <c r="C3034" t="s">
        <v>1035</v>
      </c>
      <c r="D3034" s="22">
        <v>280</v>
      </c>
      <c r="E3034" s="16"/>
      <c r="G3034" t="s">
        <v>155</v>
      </c>
      <c r="I3034" t="s">
        <v>13</v>
      </c>
      <c r="J3034" t="s">
        <v>201</v>
      </c>
      <c r="K3034">
        <v>1</v>
      </c>
      <c r="N3034" s="21"/>
      <c r="O3034" s="2"/>
      <c r="P3034" s="2"/>
      <c r="Q3034" s="4"/>
      <c r="R3034" s="4"/>
      <c r="S3034" s="4"/>
      <c r="T3034" s="4"/>
      <c r="U3034" s="4"/>
      <c r="V3034" s="4"/>
    </row>
    <row r="3035" spans="1:22" ht="14.5" customHeight="1" x14ac:dyDescent="0.2">
      <c r="A3035">
        <v>2018</v>
      </c>
      <c r="B3035" t="s">
        <v>198</v>
      </c>
      <c r="C3035" t="s">
        <v>449</v>
      </c>
      <c r="D3035" s="22">
        <v>300</v>
      </c>
      <c r="E3035" s="16"/>
      <c r="G3035" t="s">
        <v>154</v>
      </c>
      <c r="H3035" t="s">
        <v>194</v>
      </c>
      <c r="I3035" t="s">
        <v>64</v>
      </c>
      <c r="J3035" t="s">
        <v>219</v>
      </c>
      <c r="K3035">
        <v>1</v>
      </c>
      <c r="N3035" s="21"/>
      <c r="O3035" s="2"/>
      <c r="P3035" s="2"/>
      <c r="Q3035" s="4"/>
      <c r="R3035" s="4"/>
      <c r="S3035" s="4"/>
      <c r="T3035" s="4"/>
      <c r="U3035" s="4"/>
      <c r="V3035" s="4"/>
    </row>
    <row r="3036" spans="1:22" ht="14.5" customHeight="1" x14ac:dyDescent="0.2">
      <c r="A3036">
        <v>2018</v>
      </c>
      <c r="B3036" t="s">
        <v>198</v>
      </c>
      <c r="C3036" t="s">
        <v>745</v>
      </c>
      <c r="D3036" s="22">
        <v>410</v>
      </c>
      <c r="E3036" s="16"/>
      <c r="G3036" t="s">
        <v>143</v>
      </c>
      <c r="I3036" t="s">
        <v>105</v>
      </c>
      <c r="J3036" t="s">
        <v>214</v>
      </c>
      <c r="K3036">
        <v>1</v>
      </c>
      <c r="N3036" s="21"/>
      <c r="O3036" s="2"/>
      <c r="P3036" s="2"/>
      <c r="Q3036" s="4"/>
      <c r="R3036" s="4"/>
      <c r="S3036" s="4"/>
      <c r="T3036" s="4"/>
      <c r="U3036" s="4"/>
      <c r="V3036" s="4"/>
    </row>
    <row r="3037" spans="1:22" ht="14.5" customHeight="1" x14ac:dyDescent="0.2">
      <c r="A3037">
        <v>2018</v>
      </c>
      <c r="B3037" t="s">
        <v>198</v>
      </c>
      <c r="C3037" t="s">
        <v>1035</v>
      </c>
      <c r="D3037" s="22">
        <v>150</v>
      </c>
      <c r="E3037" s="16"/>
      <c r="F3037" t="s">
        <v>2880</v>
      </c>
      <c r="G3037" t="s">
        <v>144</v>
      </c>
      <c r="H3037" t="s">
        <v>273</v>
      </c>
      <c r="I3037" t="s">
        <v>53</v>
      </c>
      <c r="J3037" t="s">
        <v>183</v>
      </c>
      <c r="K3037">
        <v>1</v>
      </c>
      <c r="N3037" s="21"/>
      <c r="O3037" s="2"/>
      <c r="P3037" s="2"/>
      <c r="Q3037" s="4"/>
      <c r="R3037" s="4"/>
      <c r="S3037" s="4"/>
      <c r="T3037" s="4"/>
      <c r="U3037" s="4"/>
      <c r="V3037" s="4"/>
    </row>
    <row r="3038" spans="1:22" ht="14.5" customHeight="1" x14ac:dyDescent="0.2">
      <c r="A3038">
        <v>2018</v>
      </c>
      <c r="B3038" t="s">
        <v>198</v>
      </c>
      <c r="C3038" t="s">
        <v>341</v>
      </c>
      <c r="D3038" s="22">
        <v>140</v>
      </c>
      <c r="E3038" s="16"/>
      <c r="G3038" t="s">
        <v>154</v>
      </c>
      <c r="H3038" t="s">
        <v>194</v>
      </c>
      <c r="I3038" t="s">
        <v>78</v>
      </c>
      <c r="J3038" t="s">
        <v>183</v>
      </c>
      <c r="K3038">
        <v>1</v>
      </c>
      <c r="N3038" s="21"/>
      <c r="O3038" s="2"/>
      <c r="P3038" s="2"/>
      <c r="Q3038" s="4"/>
      <c r="R3038" s="4"/>
      <c r="S3038" s="4"/>
      <c r="T3038" s="4"/>
      <c r="U3038" s="4"/>
      <c r="V3038" s="4"/>
    </row>
    <row r="3039" spans="1:22" ht="14.5" customHeight="1" x14ac:dyDescent="0.2">
      <c r="A3039">
        <v>2018</v>
      </c>
      <c r="B3039" t="s">
        <v>198</v>
      </c>
      <c r="C3039" t="s">
        <v>397</v>
      </c>
      <c r="D3039" s="22">
        <v>160</v>
      </c>
      <c r="E3039" s="16"/>
      <c r="G3039" t="s">
        <v>151</v>
      </c>
      <c r="H3039" t="s">
        <v>224</v>
      </c>
      <c r="I3039" t="s">
        <v>108</v>
      </c>
      <c r="J3039" t="s">
        <v>183</v>
      </c>
      <c r="K3039">
        <v>1</v>
      </c>
      <c r="N3039" s="21"/>
      <c r="O3039" s="2"/>
      <c r="P3039" s="2"/>
      <c r="Q3039" s="4"/>
      <c r="R3039" s="4"/>
      <c r="S3039" s="4"/>
      <c r="T3039" s="4"/>
      <c r="U3039" s="4"/>
      <c r="V3039" s="4"/>
    </row>
    <row r="3040" spans="1:22" ht="14.5" customHeight="1" x14ac:dyDescent="0.2">
      <c r="A3040">
        <v>2018</v>
      </c>
      <c r="B3040" t="s">
        <v>198</v>
      </c>
      <c r="C3040" t="s">
        <v>2881</v>
      </c>
      <c r="D3040" s="22">
        <v>230</v>
      </c>
      <c r="E3040" s="16"/>
      <c r="G3040" t="s">
        <v>144</v>
      </c>
      <c r="H3040" t="s">
        <v>197</v>
      </c>
      <c r="I3040" t="s">
        <v>64</v>
      </c>
      <c r="J3040" t="s">
        <v>219</v>
      </c>
      <c r="K3040">
        <v>1</v>
      </c>
      <c r="N3040" s="21"/>
      <c r="O3040" s="2"/>
      <c r="P3040" s="2"/>
      <c r="Q3040" s="4"/>
      <c r="R3040" s="4"/>
      <c r="S3040" s="4"/>
      <c r="T3040" s="4"/>
      <c r="U3040" s="4"/>
      <c r="V3040" s="4"/>
    </row>
    <row r="3041" spans="1:22" ht="14.5" customHeight="1" x14ac:dyDescent="0.2">
      <c r="A3041">
        <v>2018</v>
      </c>
      <c r="B3041" t="s">
        <v>198</v>
      </c>
      <c r="C3041" t="s">
        <v>557</v>
      </c>
      <c r="D3041" s="22">
        <v>140</v>
      </c>
      <c r="E3041" s="16"/>
      <c r="F3041" t="s">
        <v>2882</v>
      </c>
      <c r="G3041" t="s">
        <v>151</v>
      </c>
      <c r="H3041" t="s">
        <v>279</v>
      </c>
      <c r="I3041" t="s">
        <v>53</v>
      </c>
      <c r="J3041" t="s">
        <v>183</v>
      </c>
      <c r="K3041">
        <v>1</v>
      </c>
      <c r="N3041" s="21"/>
      <c r="O3041" s="2"/>
      <c r="P3041" s="2"/>
      <c r="Q3041" s="4"/>
      <c r="R3041" s="4"/>
      <c r="S3041" s="4"/>
      <c r="T3041" s="4"/>
      <c r="U3041" s="4"/>
      <c r="V3041" s="4"/>
    </row>
    <row r="3042" spans="1:22" ht="14.5" customHeight="1" x14ac:dyDescent="0.2">
      <c r="A3042" s="17">
        <v>2018</v>
      </c>
      <c r="B3042" s="17" t="s">
        <v>202</v>
      </c>
      <c r="C3042" s="17" t="s">
        <v>875</v>
      </c>
      <c r="D3042" s="24">
        <v>200</v>
      </c>
      <c r="E3042" s="18"/>
      <c r="F3042" s="17"/>
      <c r="G3042" s="17" t="s">
        <v>144</v>
      </c>
      <c r="H3042" s="17" t="s">
        <v>197</v>
      </c>
      <c r="I3042" s="17" t="s">
        <v>43</v>
      </c>
      <c r="J3042" s="17" t="s">
        <v>219</v>
      </c>
      <c r="K3042" s="17">
        <v>1</v>
      </c>
      <c r="N3042" s="21"/>
      <c r="O3042" s="2"/>
      <c r="P3042" s="2"/>
      <c r="Q3042" s="4"/>
      <c r="R3042" s="4"/>
      <c r="S3042" s="4"/>
      <c r="T3042" s="4"/>
      <c r="U3042" s="4"/>
      <c r="V3042" s="4"/>
    </row>
    <row r="3043" spans="1:22" ht="14.5" customHeight="1" x14ac:dyDescent="0.2">
      <c r="A3043" s="17">
        <v>2018</v>
      </c>
      <c r="B3043" s="17" t="s">
        <v>202</v>
      </c>
      <c r="C3043" s="17" t="s">
        <v>2883</v>
      </c>
      <c r="D3043" s="22">
        <v>200</v>
      </c>
      <c r="E3043" s="16"/>
      <c r="G3043" t="s">
        <v>154</v>
      </c>
      <c r="H3043" t="s">
        <v>271</v>
      </c>
      <c r="I3043" t="s">
        <v>46</v>
      </c>
      <c r="J3043" t="s">
        <v>219</v>
      </c>
      <c r="K3043">
        <v>1</v>
      </c>
      <c r="N3043" s="21"/>
      <c r="O3043" s="2"/>
      <c r="P3043" s="2"/>
      <c r="Q3043" s="4"/>
      <c r="R3043" s="4"/>
      <c r="S3043" s="4"/>
      <c r="T3043" s="4"/>
      <c r="U3043" s="4"/>
      <c r="V3043" s="4"/>
    </row>
    <row r="3044" spans="1:22" ht="14.5" customHeight="1" x14ac:dyDescent="0.2">
      <c r="A3044" s="17">
        <v>2018</v>
      </c>
      <c r="B3044" s="17" t="s">
        <v>202</v>
      </c>
      <c r="C3044" t="s">
        <v>1035</v>
      </c>
      <c r="D3044" s="22">
        <v>340</v>
      </c>
      <c r="E3044" s="16"/>
      <c r="F3044" t="s">
        <v>2884</v>
      </c>
      <c r="G3044" t="s">
        <v>144</v>
      </c>
      <c r="H3044" t="s">
        <v>232</v>
      </c>
      <c r="I3044" t="s">
        <v>133</v>
      </c>
      <c r="J3044" t="s">
        <v>195</v>
      </c>
      <c r="K3044">
        <v>1</v>
      </c>
      <c r="N3044" s="21"/>
      <c r="O3044" s="2"/>
      <c r="P3044" s="2"/>
      <c r="Q3044" s="4"/>
      <c r="R3044" s="4"/>
      <c r="S3044" s="4"/>
      <c r="T3044" s="4"/>
      <c r="U3044" s="4"/>
      <c r="V3044" s="4"/>
    </row>
    <row r="3045" spans="1:22" ht="14.5" customHeight="1" x14ac:dyDescent="0.2">
      <c r="A3045" s="17">
        <v>2018</v>
      </c>
      <c r="B3045" s="17" t="s">
        <v>202</v>
      </c>
      <c r="C3045" t="s">
        <v>2885</v>
      </c>
      <c r="D3045" s="22">
        <v>390</v>
      </c>
      <c r="E3045" s="16">
        <v>0.7</v>
      </c>
      <c r="F3045" t="s">
        <v>2886</v>
      </c>
      <c r="G3045" t="s">
        <v>154</v>
      </c>
      <c r="H3045" t="s">
        <v>194</v>
      </c>
      <c r="I3045" t="s">
        <v>52</v>
      </c>
      <c r="J3045" t="s">
        <v>201</v>
      </c>
      <c r="K3045">
        <v>0</v>
      </c>
      <c r="N3045" s="21"/>
      <c r="O3045" s="2"/>
      <c r="P3045" s="2"/>
      <c r="Q3045" s="4"/>
      <c r="R3045" s="4"/>
      <c r="S3045" s="4"/>
      <c r="T3045" s="4"/>
      <c r="U3045" s="4"/>
      <c r="V3045" s="4"/>
    </row>
    <row r="3046" spans="1:22" ht="14.5" customHeight="1" x14ac:dyDescent="0.2">
      <c r="A3046" s="17">
        <v>2018</v>
      </c>
      <c r="B3046" s="17" t="s">
        <v>202</v>
      </c>
      <c r="C3046" t="s">
        <v>397</v>
      </c>
      <c r="D3046" s="22">
        <v>140</v>
      </c>
      <c r="E3046" s="16"/>
      <c r="F3046" t="s">
        <v>2776</v>
      </c>
      <c r="G3046" t="s">
        <v>151</v>
      </c>
      <c r="H3046" t="s">
        <v>279</v>
      </c>
      <c r="I3046" t="s">
        <v>130</v>
      </c>
      <c r="J3046" t="s">
        <v>214</v>
      </c>
      <c r="K3046">
        <v>1</v>
      </c>
      <c r="N3046" s="21"/>
      <c r="O3046" s="2"/>
      <c r="P3046" s="2"/>
      <c r="Q3046" s="4"/>
      <c r="R3046" s="4"/>
      <c r="S3046" s="4"/>
      <c r="T3046" s="4"/>
      <c r="U3046" s="4"/>
      <c r="V3046" s="4"/>
    </row>
    <row r="3047" spans="1:22" ht="14.5" customHeight="1" x14ac:dyDescent="0.2">
      <c r="A3047" s="17">
        <v>2018</v>
      </c>
      <c r="B3047" s="17" t="s">
        <v>202</v>
      </c>
      <c r="C3047" t="s">
        <v>397</v>
      </c>
      <c r="D3047" s="22">
        <v>120</v>
      </c>
      <c r="E3047" s="16"/>
      <c r="G3047" t="s">
        <v>154</v>
      </c>
      <c r="H3047" t="s">
        <v>194</v>
      </c>
      <c r="I3047" t="s">
        <v>16</v>
      </c>
      <c r="J3047" t="s">
        <v>205</v>
      </c>
      <c r="K3047">
        <v>1</v>
      </c>
      <c r="N3047" s="21"/>
      <c r="O3047" s="2"/>
      <c r="P3047" s="2"/>
      <c r="Q3047" s="4"/>
      <c r="R3047" s="4"/>
      <c r="S3047" s="4"/>
      <c r="T3047" s="4"/>
      <c r="U3047" s="4"/>
      <c r="V3047" s="4"/>
    </row>
    <row r="3048" spans="1:22" ht="14.5" customHeight="1" x14ac:dyDescent="0.2">
      <c r="A3048" s="17">
        <v>2018</v>
      </c>
      <c r="B3048" s="17" t="s">
        <v>202</v>
      </c>
      <c r="C3048" t="s">
        <v>479</v>
      </c>
      <c r="D3048" s="22">
        <v>440</v>
      </c>
      <c r="E3048" s="16"/>
      <c r="F3048" t="s">
        <v>2887</v>
      </c>
      <c r="G3048" t="s">
        <v>148</v>
      </c>
      <c r="I3048" t="s">
        <v>2684</v>
      </c>
      <c r="J3048" t="s">
        <v>183</v>
      </c>
      <c r="K3048">
        <v>1</v>
      </c>
      <c r="N3048" s="21"/>
      <c r="O3048" s="2"/>
      <c r="P3048" s="2"/>
      <c r="Q3048" s="4"/>
      <c r="R3048" s="4"/>
      <c r="S3048" s="4"/>
      <c r="T3048" s="4"/>
      <c r="U3048" s="4"/>
      <c r="V3048" s="4"/>
    </row>
    <row r="3049" spans="1:22" ht="14.5" customHeight="1" x14ac:dyDescent="0.2">
      <c r="A3049" s="17">
        <v>2018</v>
      </c>
      <c r="B3049" s="17" t="s">
        <v>202</v>
      </c>
      <c r="C3049" t="s">
        <v>175</v>
      </c>
      <c r="D3049" s="22">
        <v>670</v>
      </c>
      <c r="E3049" s="16"/>
      <c r="G3049" t="s">
        <v>150</v>
      </c>
      <c r="H3049" t="s">
        <v>292</v>
      </c>
      <c r="I3049" t="s">
        <v>38</v>
      </c>
      <c r="J3049" t="s">
        <v>214</v>
      </c>
      <c r="K3049">
        <v>1</v>
      </c>
      <c r="N3049" s="21"/>
      <c r="O3049" s="2"/>
      <c r="P3049" s="2"/>
      <c r="Q3049" s="4"/>
      <c r="R3049" s="4"/>
      <c r="S3049" s="4"/>
      <c r="T3049" s="4"/>
      <c r="U3049" s="4"/>
      <c r="V3049" s="4"/>
    </row>
    <row r="3050" spans="1:22" ht="14.5" customHeight="1" x14ac:dyDescent="0.2">
      <c r="A3050" s="17">
        <v>2018</v>
      </c>
      <c r="B3050" s="17" t="s">
        <v>202</v>
      </c>
      <c r="C3050" t="s">
        <v>397</v>
      </c>
      <c r="D3050" s="22">
        <v>2950</v>
      </c>
      <c r="E3050" s="16"/>
      <c r="G3050" t="s">
        <v>151</v>
      </c>
      <c r="H3050" t="s">
        <v>279</v>
      </c>
      <c r="I3050" t="s">
        <v>38</v>
      </c>
      <c r="J3050" t="s">
        <v>214</v>
      </c>
      <c r="K3050">
        <v>1</v>
      </c>
      <c r="N3050" s="21"/>
      <c r="O3050" s="2"/>
      <c r="P3050" s="2"/>
      <c r="Q3050" s="4"/>
      <c r="R3050" s="4"/>
      <c r="S3050" s="4"/>
      <c r="T3050" s="4"/>
      <c r="U3050" s="4"/>
      <c r="V3050" s="4"/>
    </row>
    <row r="3051" spans="1:22" ht="14.5" customHeight="1" x14ac:dyDescent="0.2">
      <c r="A3051" s="17">
        <v>2018</v>
      </c>
      <c r="B3051" s="17" t="s">
        <v>202</v>
      </c>
      <c r="C3051" t="s">
        <v>449</v>
      </c>
      <c r="D3051" s="22">
        <v>110</v>
      </c>
      <c r="E3051" s="16"/>
      <c r="G3051" t="s">
        <v>145</v>
      </c>
      <c r="I3051" t="s">
        <v>59</v>
      </c>
      <c r="J3051" t="s">
        <v>219</v>
      </c>
      <c r="K3051">
        <v>1</v>
      </c>
      <c r="N3051" s="21"/>
      <c r="O3051" s="2"/>
      <c r="P3051" s="2"/>
      <c r="Q3051" s="4"/>
      <c r="R3051" s="4"/>
      <c r="S3051" s="4"/>
      <c r="T3051" s="4"/>
      <c r="U3051" s="4"/>
      <c r="V3051" s="4"/>
    </row>
    <row r="3052" spans="1:22" ht="14.5" customHeight="1" x14ac:dyDescent="0.2">
      <c r="A3052">
        <v>2018</v>
      </c>
      <c r="B3052" s="17" t="s">
        <v>207</v>
      </c>
      <c r="C3052" t="s">
        <v>745</v>
      </c>
      <c r="D3052" s="22">
        <v>400</v>
      </c>
      <c r="E3052" s="16"/>
      <c r="F3052" t="s">
        <v>2888</v>
      </c>
      <c r="G3052" t="s">
        <v>142</v>
      </c>
      <c r="I3052" t="s">
        <v>13</v>
      </c>
      <c r="J3052" t="s">
        <v>201</v>
      </c>
      <c r="K3052">
        <v>1</v>
      </c>
      <c r="N3052" s="21"/>
      <c r="O3052" s="2"/>
      <c r="P3052" s="2"/>
      <c r="Q3052" s="4"/>
      <c r="R3052" s="4"/>
      <c r="S3052" s="4"/>
      <c r="T3052" s="4"/>
      <c r="U3052" s="4"/>
      <c r="V3052" s="4"/>
    </row>
    <row r="3053" spans="1:22" ht="14.5" customHeight="1" x14ac:dyDescent="0.2">
      <c r="A3053">
        <v>2018</v>
      </c>
      <c r="B3053" s="17" t="s">
        <v>207</v>
      </c>
      <c r="C3053" t="s">
        <v>444</v>
      </c>
      <c r="D3053" s="22">
        <v>100</v>
      </c>
      <c r="E3053" s="16"/>
      <c r="F3053" t="s">
        <v>2889</v>
      </c>
      <c r="G3053" t="s">
        <v>143</v>
      </c>
      <c r="I3053" t="s">
        <v>16</v>
      </c>
      <c r="J3053" t="s">
        <v>205</v>
      </c>
      <c r="K3053">
        <v>1</v>
      </c>
      <c r="N3053" s="21"/>
      <c r="O3053" s="2"/>
      <c r="P3053" s="2"/>
      <c r="Q3053" s="4"/>
      <c r="R3053" s="4"/>
      <c r="S3053" s="4"/>
      <c r="T3053" s="4"/>
      <c r="U3053" s="4"/>
      <c r="V3053" s="4"/>
    </row>
    <row r="3054" spans="1:22" ht="14.5" customHeight="1" x14ac:dyDescent="0.2">
      <c r="A3054">
        <v>2018</v>
      </c>
      <c r="B3054" s="17" t="s">
        <v>207</v>
      </c>
      <c r="C3054" t="s">
        <v>397</v>
      </c>
      <c r="D3054" s="22">
        <v>100</v>
      </c>
      <c r="E3054" s="16"/>
      <c r="G3054" t="s">
        <v>152</v>
      </c>
      <c r="H3054" t="s">
        <v>257</v>
      </c>
      <c r="I3054" t="s">
        <v>130</v>
      </c>
      <c r="J3054" t="s">
        <v>214</v>
      </c>
      <c r="K3054">
        <v>1</v>
      </c>
      <c r="N3054" s="21"/>
      <c r="O3054" s="2"/>
      <c r="P3054" s="2"/>
      <c r="Q3054" s="4"/>
      <c r="R3054" s="4"/>
      <c r="S3054" s="4"/>
      <c r="T3054" s="4"/>
      <c r="U3054" s="4"/>
      <c r="V3054" s="4"/>
    </row>
    <row r="3055" spans="1:22" ht="14.5" customHeight="1" x14ac:dyDescent="0.2">
      <c r="A3055">
        <v>2018</v>
      </c>
      <c r="B3055" s="17" t="s">
        <v>207</v>
      </c>
      <c r="C3055" t="s">
        <v>2574</v>
      </c>
      <c r="D3055" s="22">
        <v>150</v>
      </c>
      <c r="E3055" s="16"/>
      <c r="F3055" t="s">
        <v>625</v>
      </c>
      <c r="G3055" t="s">
        <v>152</v>
      </c>
      <c r="I3055" t="s">
        <v>105</v>
      </c>
      <c r="J3055" t="s">
        <v>214</v>
      </c>
      <c r="K3055">
        <v>1</v>
      </c>
      <c r="N3055" s="21"/>
      <c r="O3055" s="2"/>
      <c r="P3055" s="2"/>
      <c r="Q3055" s="4"/>
      <c r="R3055" s="4"/>
      <c r="S3055" s="4"/>
      <c r="T3055" s="4"/>
      <c r="U3055" s="4"/>
      <c r="V3055" s="4"/>
    </row>
    <row r="3056" spans="1:22" ht="14.5" customHeight="1" x14ac:dyDescent="0.2">
      <c r="A3056">
        <v>2018</v>
      </c>
      <c r="B3056" s="17" t="s">
        <v>207</v>
      </c>
      <c r="C3056" t="s">
        <v>175</v>
      </c>
      <c r="D3056" s="22">
        <v>250</v>
      </c>
      <c r="E3056" s="16"/>
      <c r="G3056" t="s">
        <v>151</v>
      </c>
      <c r="H3056" t="s">
        <v>279</v>
      </c>
      <c r="I3056" t="s">
        <v>108</v>
      </c>
      <c r="J3056" t="s">
        <v>183</v>
      </c>
      <c r="K3056">
        <v>1</v>
      </c>
      <c r="N3056" s="21"/>
      <c r="O3056" s="2"/>
      <c r="P3056" s="2"/>
      <c r="Q3056" s="4"/>
      <c r="R3056" s="4"/>
      <c r="S3056" s="4"/>
      <c r="T3056" s="4"/>
      <c r="U3056" s="4"/>
      <c r="V3056" s="4"/>
    </row>
    <row r="3057" spans="1:22" ht="14.5" customHeight="1" x14ac:dyDescent="0.2">
      <c r="A3057">
        <v>2018</v>
      </c>
      <c r="B3057" s="17" t="s">
        <v>207</v>
      </c>
      <c r="C3057" t="s">
        <v>397</v>
      </c>
      <c r="D3057" s="22">
        <v>220</v>
      </c>
      <c r="E3057" s="16"/>
      <c r="G3057" t="s">
        <v>154</v>
      </c>
      <c r="H3057" t="s">
        <v>194</v>
      </c>
      <c r="I3057" t="s">
        <v>130</v>
      </c>
      <c r="J3057" t="s">
        <v>214</v>
      </c>
      <c r="K3057">
        <v>1</v>
      </c>
      <c r="N3057" s="21"/>
      <c r="O3057" s="2"/>
      <c r="P3057" s="2"/>
      <c r="Q3057" s="4"/>
      <c r="R3057" s="4"/>
      <c r="S3057" s="4"/>
      <c r="T3057" s="4"/>
      <c r="U3057" s="4"/>
      <c r="V3057" s="4"/>
    </row>
    <row r="3058" spans="1:22" ht="14.5" customHeight="1" x14ac:dyDescent="0.2">
      <c r="A3058">
        <v>2018</v>
      </c>
      <c r="B3058" s="17" t="s">
        <v>207</v>
      </c>
      <c r="C3058" t="s">
        <v>875</v>
      </c>
      <c r="D3058" s="22">
        <v>350</v>
      </c>
      <c r="E3058" s="16"/>
      <c r="F3058" t="s">
        <v>2890</v>
      </c>
      <c r="G3058" t="s">
        <v>144</v>
      </c>
      <c r="H3058" t="s">
        <v>299</v>
      </c>
      <c r="I3058" t="s">
        <v>97</v>
      </c>
      <c r="J3058" t="s">
        <v>183</v>
      </c>
      <c r="K3058">
        <v>1</v>
      </c>
      <c r="N3058" s="21"/>
      <c r="O3058" s="2"/>
      <c r="P3058" s="2"/>
      <c r="Q3058" s="4"/>
      <c r="R3058" s="4"/>
      <c r="S3058" s="4"/>
      <c r="T3058" s="4"/>
      <c r="U3058" s="4"/>
      <c r="V3058" s="4"/>
    </row>
    <row r="3059" spans="1:22" ht="14.5" customHeight="1" x14ac:dyDescent="0.2">
      <c r="A3059">
        <v>2018</v>
      </c>
      <c r="B3059" s="17" t="s">
        <v>207</v>
      </c>
      <c r="C3059" t="s">
        <v>449</v>
      </c>
      <c r="D3059" s="22">
        <v>140</v>
      </c>
      <c r="E3059" s="16"/>
      <c r="G3059" t="s">
        <v>150</v>
      </c>
      <c r="H3059" t="s">
        <v>217</v>
      </c>
      <c r="I3059" t="s">
        <v>40</v>
      </c>
      <c r="J3059" t="s">
        <v>219</v>
      </c>
      <c r="K3059">
        <v>1</v>
      </c>
      <c r="N3059" s="21"/>
      <c r="O3059" s="2"/>
      <c r="P3059" s="2"/>
      <c r="Q3059" s="4"/>
      <c r="R3059" s="4"/>
      <c r="S3059" s="4"/>
      <c r="T3059" s="4"/>
      <c r="U3059" s="4"/>
      <c r="V3059" s="4"/>
    </row>
    <row r="3060" spans="1:22" ht="14.5" customHeight="1" x14ac:dyDescent="0.2">
      <c r="A3060">
        <v>2018</v>
      </c>
      <c r="B3060" s="17" t="s">
        <v>207</v>
      </c>
      <c r="C3060" t="s">
        <v>397</v>
      </c>
      <c r="D3060" s="22">
        <v>610</v>
      </c>
      <c r="E3060" s="16"/>
      <c r="F3060" t="s">
        <v>2891</v>
      </c>
      <c r="G3060" t="s">
        <v>151</v>
      </c>
      <c r="H3060" t="s">
        <v>279</v>
      </c>
      <c r="I3060" t="s">
        <v>113</v>
      </c>
      <c r="J3060" t="s">
        <v>183</v>
      </c>
      <c r="K3060">
        <v>1</v>
      </c>
      <c r="N3060" s="21"/>
      <c r="O3060" s="2"/>
      <c r="P3060" s="2"/>
      <c r="Q3060" s="4"/>
      <c r="R3060" s="4"/>
      <c r="S3060" s="4"/>
      <c r="T3060" s="4"/>
      <c r="U3060" s="4"/>
      <c r="V3060" s="4"/>
    </row>
    <row r="3061" spans="1:22" ht="15" customHeight="1" x14ac:dyDescent="0.2">
      <c r="A3061">
        <v>2018</v>
      </c>
      <c r="B3061" s="17" t="s">
        <v>207</v>
      </c>
      <c r="C3061" t="s">
        <v>1035</v>
      </c>
      <c r="D3061" s="22">
        <v>140</v>
      </c>
      <c r="E3061" s="16"/>
      <c r="G3061" t="s">
        <v>144</v>
      </c>
      <c r="H3061" t="s">
        <v>232</v>
      </c>
      <c r="I3061" t="s">
        <v>31</v>
      </c>
      <c r="J3061" t="s">
        <v>177</v>
      </c>
      <c r="K3061">
        <v>1</v>
      </c>
      <c r="N3061" s="21"/>
      <c r="O3061" s="2"/>
      <c r="P3061" s="2"/>
      <c r="Q3061" s="4"/>
      <c r="R3061" s="4"/>
      <c r="S3061" s="4"/>
      <c r="T3061" s="4"/>
      <c r="U3061" s="4"/>
      <c r="V3061" s="4"/>
    </row>
    <row r="3062" spans="1:22" ht="14.5" customHeight="1" x14ac:dyDescent="0.2">
      <c r="A3062">
        <v>2018</v>
      </c>
      <c r="B3062" s="17" t="s">
        <v>207</v>
      </c>
      <c r="C3062" t="s">
        <v>449</v>
      </c>
      <c r="D3062" s="22">
        <v>130</v>
      </c>
      <c r="E3062" s="16"/>
      <c r="G3062" t="s">
        <v>153</v>
      </c>
      <c r="I3062" t="s">
        <v>72</v>
      </c>
      <c r="J3062" t="s">
        <v>183</v>
      </c>
      <c r="K3062">
        <v>1</v>
      </c>
      <c r="N3062" s="21"/>
      <c r="O3062" s="2"/>
      <c r="P3062" s="2"/>
      <c r="Q3062" s="4"/>
      <c r="R3062" s="4"/>
      <c r="S3062" s="4"/>
      <c r="T3062" s="4"/>
      <c r="U3062" s="4"/>
      <c r="V3062" s="4"/>
    </row>
    <row r="3063" spans="1:22" s="41" customFormat="1" ht="14.5" customHeight="1" x14ac:dyDescent="0.2">
      <c r="A3063">
        <v>2018</v>
      </c>
      <c r="B3063" s="17" t="s">
        <v>207</v>
      </c>
      <c r="C3063" t="s">
        <v>2157</v>
      </c>
      <c r="D3063" s="22">
        <v>290</v>
      </c>
      <c r="E3063" s="16"/>
      <c r="G3063" t="s">
        <v>154</v>
      </c>
      <c r="H3063" t="s">
        <v>194</v>
      </c>
      <c r="I3063" t="s">
        <v>44</v>
      </c>
      <c r="J3063" t="s">
        <v>201</v>
      </c>
      <c r="K3063">
        <v>1</v>
      </c>
      <c r="N3063" s="42"/>
      <c r="O3063" s="78"/>
      <c r="P3063" s="78"/>
      <c r="Q3063" s="77"/>
      <c r="R3063" s="77"/>
      <c r="S3063" s="77"/>
      <c r="T3063" s="77"/>
      <c r="U3063" s="77"/>
      <c r="V3063" s="77"/>
    </row>
    <row r="3064" spans="1:22" ht="14.5" customHeight="1" x14ac:dyDescent="0.2">
      <c r="A3064">
        <v>2018</v>
      </c>
      <c r="B3064" s="17" t="s">
        <v>240</v>
      </c>
      <c r="C3064" t="s">
        <v>2486</v>
      </c>
      <c r="D3064" s="22">
        <v>120</v>
      </c>
      <c r="E3064" s="16"/>
      <c r="G3064" t="s">
        <v>151</v>
      </c>
      <c r="H3064" t="s">
        <v>279</v>
      </c>
      <c r="I3064" t="s">
        <v>20</v>
      </c>
      <c r="J3064" t="s">
        <v>195</v>
      </c>
      <c r="K3064">
        <v>0</v>
      </c>
      <c r="L3064" s="82"/>
      <c r="N3064" s="21"/>
      <c r="O3064" s="2"/>
      <c r="P3064" s="2"/>
      <c r="Q3064" s="4"/>
      <c r="R3064" s="4"/>
      <c r="S3064" s="4"/>
      <c r="T3064" s="4"/>
      <c r="U3064" s="4"/>
      <c r="V3064" s="4"/>
    </row>
    <row r="3065" spans="1:22" ht="14.5" customHeight="1" x14ac:dyDescent="0.2">
      <c r="A3065">
        <v>2018</v>
      </c>
      <c r="B3065" s="17" t="s">
        <v>240</v>
      </c>
      <c r="C3065" t="s">
        <v>199</v>
      </c>
      <c r="D3065" s="22">
        <v>160</v>
      </c>
      <c r="E3065" s="16"/>
      <c r="F3065" t="s">
        <v>892</v>
      </c>
      <c r="G3065" t="s">
        <v>144</v>
      </c>
      <c r="H3065" t="s">
        <v>187</v>
      </c>
      <c r="I3065" t="s">
        <v>55</v>
      </c>
      <c r="J3065" t="s">
        <v>214</v>
      </c>
      <c r="K3065">
        <v>1</v>
      </c>
      <c r="L3065" s="72"/>
      <c r="N3065" s="21"/>
      <c r="O3065" s="2"/>
      <c r="P3065" s="2"/>
      <c r="Q3065" s="4"/>
      <c r="R3065" s="4"/>
      <c r="S3065" s="4"/>
      <c r="T3065" s="4"/>
      <c r="U3065" s="4"/>
      <c r="V3065" s="4"/>
    </row>
    <row r="3066" spans="1:22" ht="14.5" customHeight="1" x14ac:dyDescent="0.2">
      <c r="A3066">
        <v>2018</v>
      </c>
      <c r="B3066" s="17" t="s">
        <v>240</v>
      </c>
      <c r="C3066" t="s">
        <v>341</v>
      </c>
      <c r="D3066" s="22">
        <v>270</v>
      </c>
      <c r="E3066" s="16"/>
      <c r="G3066" t="s">
        <v>154</v>
      </c>
      <c r="H3066" t="s">
        <v>529</v>
      </c>
      <c r="I3066" t="s">
        <v>97</v>
      </c>
      <c r="J3066" t="s">
        <v>183</v>
      </c>
      <c r="K3066">
        <v>1</v>
      </c>
      <c r="L3066" s="72"/>
      <c r="N3066" s="21"/>
      <c r="O3066" s="2"/>
      <c r="P3066" s="2"/>
      <c r="Q3066" s="4"/>
      <c r="R3066" s="4"/>
      <c r="S3066" s="4"/>
      <c r="T3066" s="4"/>
      <c r="U3066" s="4"/>
      <c r="V3066" s="4"/>
    </row>
    <row r="3067" spans="1:22" ht="14.5" customHeight="1" x14ac:dyDescent="0.2">
      <c r="A3067">
        <v>2018</v>
      </c>
      <c r="B3067" s="17" t="s">
        <v>240</v>
      </c>
      <c r="C3067" t="s">
        <v>875</v>
      </c>
      <c r="D3067" s="22">
        <v>230</v>
      </c>
      <c r="E3067" s="16"/>
      <c r="G3067" t="s">
        <v>144</v>
      </c>
      <c r="H3067" t="s">
        <v>197</v>
      </c>
      <c r="I3067" t="s">
        <v>97</v>
      </c>
      <c r="J3067" t="s">
        <v>183</v>
      </c>
      <c r="K3067">
        <v>1</v>
      </c>
      <c r="L3067" s="72"/>
      <c r="N3067" s="21"/>
      <c r="O3067" s="2"/>
      <c r="P3067" s="2"/>
      <c r="Q3067" s="4"/>
      <c r="R3067" s="4"/>
      <c r="S3067" s="4"/>
      <c r="T3067" s="4"/>
      <c r="U3067" s="4"/>
      <c r="V3067" s="4"/>
    </row>
    <row r="3068" spans="1:22" ht="14.5" customHeight="1" x14ac:dyDescent="0.2">
      <c r="A3068">
        <v>2018</v>
      </c>
      <c r="B3068" s="17" t="s">
        <v>240</v>
      </c>
      <c r="C3068" t="s">
        <v>2892</v>
      </c>
      <c r="D3068" s="22">
        <v>140</v>
      </c>
      <c r="E3068" s="16"/>
      <c r="G3068" t="s">
        <v>151</v>
      </c>
      <c r="H3068" t="s">
        <v>279</v>
      </c>
      <c r="I3068" t="s">
        <v>139</v>
      </c>
      <c r="J3068" t="s">
        <v>219</v>
      </c>
      <c r="K3068">
        <v>1</v>
      </c>
      <c r="L3068" s="72"/>
      <c r="N3068" s="21"/>
      <c r="O3068" s="2"/>
      <c r="P3068" s="2"/>
      <c r="Q3068" s="4"/>
      <c r="R3068" s="4"/>
      <c r="S3068" s="4"/>
      <c r="T3068" s="4"/>
      <c r="U3068" s="4"/>
      <c r="V3068" s="4"/>
    </row>
    <row r="3069" spans="1:22" ht="14.5" customHeight="1" x14ac:dyDescent="0.2">
      <c r="A3069">
        <v>2018</v>
      </c>
      <c r="B3069" s="17" t="s">
        <v>240</v>
      </c>
      <c r="C3069" t="s">
        <v>449</v>
      </c>
      <c r="D3069" s="22">
        <v>370</v>
      </c>
      <c r="E3069" s="16"/>
      <c r="G3069" t="s">
        <v>154</v>
      </c>
      <c r="H3069" t="s">
        <v>194</v>
      </c>
      <c r="I3069" t="s">
        <v>96</v>
      </c>
      <c r="J3069" t="s">
        <v>205</v>
      </c>
      <c r="K3069">
        <v>1</v>
      </c>
      <c r="N3069" s="21"/>
      <c r="O3069" s="2"/>
      <c r="P3069" s="2"/>
      <c r="Q3069" s="4"/>
      <c r="R3069" s="4"/>
      <c r="S3069" s="4"/>
      <c r="T3069" s="4"/>
      <c r="U3069" s="4"/>
      <c r="V3069" s="4"/>
    </row>
    <row r="3070" spans="1:22" ht="14.5" customHeight="1" x14ac:dyDescent="0.2">
      <c r="A3070">
        <v>2018</v>
      </c>
      <c r="B3070" s="17" t="s">
        <v>240</v>
      </c>
      <c r="C3070" t="s">
        <v>397</v>
      </c>
      <c r="D3070" s="22">
        <v>150</v>
      </c>
      <c r="E3070" s="16"/>
      <c r="G3070" t="s">
        <v>154</v>
      </c>
      <c r="H3070" t="s">
        <v>194</v>
      </c>
      <c r="I3070" t="s">
        <v>84</v>
      </c>
      <c r="J3070" t="s">
        <v>201</v>
      </c>
      <c r="K3070">
        <v>1</v>
      </c>
      <c r="N3070" s="21"/>
      <c r="O3070" s="2"/>
      <c r="P3070" s="2"/>
      <c r="Q3070" s="4"/>
      <c r="R3070" s="4"/>
      <c r="S3070" s="4"/>
      <c r="T3070" s="4"/>
      <c r="U3070" s="4"/>
      <c r="V3070" s="4"/>
    </row>
    <row r="3071" spans="1:22" ht="14.5" customHeight="1" x14ac:dyDescent="0.2">
      <c r="A3071">
        <v>2018</v>
      </c>
      <c r="B3071" s="17" t="s">
        <v>240</v>
      </c>
      <c r="C3071" t="s">
        <v>2329</v>
      </c>
      <c r="D3071" s="22">
        <v>100</v>
      </c>
      <c r="E3071" s="16"/>
      <c r="F3071" t="s">
        <v>904</v>
      </c>
      <c r="G3071" t="s">
        <v>144</v>
      </c>
      <c r="H3071" t="s">
        <v>187</v>
      </c>
      <c r="I3071" t="s">
        <v>55</v>
      </c>
      <c r="J3071" t="s">
        <v>214</v>
      </c>
      <c r="K3071">
        <v>1</v>
      </c>
      <c r="N3071" s="21"/>
      <c r="O3071" s="2"/>
      <c r="P3071" s="2"/>
      <c r="Q3071" s="4"/>
      <c r="R3071" s="4"/>
      <c r="S3071" s="4"/>
      <c r="T3071" s="4"/>
      <c r="U3071" s="4"/>
      <c r="V3071" s="4"/>
    </row>
    <row r="3072" spans="1:22" ht="14.5" customHeight="1" x14ac:dyDescent="0.2">
      <c r="A3072">
        <v>2018</v>
      </c>
      <c r="B3072" s="17" t="s">
        <v>240</v>
      </c>
      <c r="C3072" t="s">
        <v>557</v>
      </c>
      <c r="D3072" s="22">
        <v>140</v>
      </c>
      <c r="E3072" s="16"/>
      <c r="G3072" t="s">
        <v>155</v>
      </c>
      <c r="I3072" t="s">
        <v>72</v>
      </c>
      <c r="J3072" t="s">
        <v>183</v>
      </c>
      <c r="K3072">
        <v>1</v>
      </c>
      <c r="N3072" s="21"/>
      <c r="O3072" s="2"/>
      <c r="P3072" s="2"/>
      <c r="Q3072" s="4"/>
      <c r="R3072" s="4"/>
      <c r="S3072" s="4"/>
      <c r="T3072" s="4"/>
      <c r="U3072" s="4"/>
      <c r="V3072" s="4"/>
    </row>
    <row r="3073" spans="1:22" ht="14.5" customHeight="1" x14ac:dyDescent="0.2">
      <c r="A3073">
        <v>2018</v>
      </c>
      <c r="B3073" s="17" t="s">
        <v>240</v>
      </c>
      <c r="C3073" t="s">
        <v>2389</v>
      </c>
      <c r="D3073" s="22">
        <v>230</v>
      </c>
      <c r="E3073" s="16"/>
      <c r="G3073" t="s">
        <v>151</v>
      </c>
      <c r="H3073" t="s">
        <v>279</v>
      </c>
      <c r="I3073" t="s">
        <v>59</v>
      </c>
      <c r="J3073" t="s">
        <v>219</v>
      </c>
      <c r="K3073">
        <v>1</v>
      </c>
      <c r="N3073" s="21"/>
      <c r="O3073" s="2"/>
      <c r="P3073" s="2"/>
      <c r="Q3073" s="4"/>
      <c r="R3073" s="4"/>
      <c r="S3073" s="4"/>
      <c r="T3073" s="4"/>
      <c r="U3073" s="4"/>
      <c r="V3073" s="4"/>
    </row>
    <row r="3074" spans="1:22" ht="14.5" customHeight="1" x14ac:dyDescent="0.2">
      <c r="A3074">
        <v>2018</v>
      </c>
      <c r="B3074" s="17" t="s">
        <v>240</v>
      </c>
      <c r="C3074" t="s">
        <v>244</v>
      </c>
      <c r="D3074" s="22">
        <v>340</v>
      </c>
      <c r="E3074" s="16"/>
      <c r="F3074" t="s">
        <v>2893</v>
      </c>
      <c r="G3074" t="s">
        <v>149</v>
      </c>
      <c r="H3074" t="s">
        <v>238</v>
      </c>
      <c r="I3074" t="s">
        <v>47</v>
      </c>
      <c r="J3074" t="s">
        <v>195</v>
      </c>
      <c r="K3074">
        <v>1</v>
      </c>
      <c r="N3074" s="21"/>
      <c r="O3074" s="2"/>
      <c r="P3074" s="2"/>
      <c r="Q3074" s="4"/>
      <c r="R3074" s="4"/>
      <c r="S3074" s="4"/>
      <c r="T3074" s="4"/>
      <c r="U3074" s="4"/>
      <c r="V3074" s="4"/>
    </row>
    <row r="3075" spans="1:22" ht="14.5" customHeight="1" x14ac:dyDescent="0.2">
      <c r="A3075">
        <v>2018</v>
      </c>
      <c r="B3075" s="17" t="s">
        <v>240</v>
      </c>
      <c r="C3075" t="s">
        <v>2389</v>
      </c>
      <c r="D3075" s="22">
        <v>150</v>
      </c>
      <c r="E3075" s="16"/>
      <c r="G3075" t="s">
        <v>150</v>
      </c>
      <c r="H3075" t="s">
        <v>744</v>
      </c>
      <c r="I3075" t="s">
        <v>59</v>
      </c>
      <c r="J3075" t="s">
        <v>219</v>
      </c>
      <c r="K3075">
        <v>1</v>
      </c>
      <c r="N3075" s="21"/>
      <c r="O3075" s="2"/>
      <c r="P3075" s="2"/>
      <c r="Q3075" s="4"/>
      <c r="R3075" s="4"/>
      <c r="S3075" s="4"/>
      <c r="T3075" s="4"/>
      <c r="U3075" s="4"/>
      <c r="V3075" s="4"/>
    </row>
    <row r="3076" spans="1:22" ht="14.5" customHeight="1" x14ac:dyDescent="0.2">
      <c r="A3076">
        <v>2018</v>
      </c>
      <c r="B3076" s="17" t="s">
        <v>240</v>
      </c>
      <c r="C3076" t="s">
        <v>1035</v>
      </c>
      <c r="D3076" s="22">
        <v>380</v>
      </c>
      <c r="E3076" s="16"/>
      <c r="G3076" t="s">
        <v>144</v>
      </c>
      <c r="H3076" t="s">
        <v>197</v>
      </c>
      <c r="I3076" t="s">
        <v>59</v>
      </c>
      <c r="J3076" t="s">
        <v>219</v>
      </c>
      <c r="K3076">
        <v>1</v>
      </c>
      <c r="N3076" s="21"/>
      <c r="O3076" s="2"/>
      <c r="P3076" s="2"/>
      <c r="Q3076" s="4"/>
      <c r="R3076" s="4"/>
      <c r="S3076" s="4"/>
      <c r="T3076" s="4"/>
      <c r="U3076" s="4"/>
      <c r="V3076" s="4"/>
    </row>
    <row r="3077" spans="1:22" ht="14.5" customHeight="1" x14ac:dyDescent="0.2">
      <c r="A3077">
        <v>2018</v>
      </c>
      <c r="B3077" s="17" t="s">
        <v>240</v>
      </c>
      <c r="C3077" t="s">
        <v>199</v>
      </c>
      <c r="D3077" s="22">
        <v>780</v>
      </c>
      <c r="E3077" s="16"/>
      <c r="G3077" t="s">
        <v>144</v>
      </c>
      <c r="H3077" t="s">
        <v>187</v>
      </c>
      <c r="I3077" t="s">
        <v>13</v>
      </c>
      <c r="J3077" t="s">
        <v>201</v>
      </c>
      <c r="K3077">
        <v>1</v>
      </c>
      <c r="L3077" s="41"/>
      <c r="N3077" s="21"/>
      <c r="O3077" s="2"/>
      <c r="P3077" s="2"/>
      <c r="Q3077" s="4"/>
      <c r="R3077" s="4"/>
      <c r="S3077" s="4"/>
      <c r="T3077" s="4"/>
      <c r="U3077" s="4"/>
      <c r="V3077" s="4"/>
    </row>
    <row r="3078" spans="1:22" ht="14.5" customHeight="1" x14ac:dyDescent="0.2">
      <c r="A3078">
        <v>2018</v>
      </c>
      <c r="B3078" s="17" t="s">
        <v>240</v>
      </c>
      <c r="C3078" t="s">
        <v>1035</v>
      </c>
      <c r="D3078" s="22">
        <v>110</v>
      </c>
      <c r="E3078" s="16"/>
      <c r="G3078" t="s">
        <v>144</v>
      </c>
      <c r="H3078" t="s">
        <v>187</v>
      </c>
      <c r="I3078" t="s">
        <v>13</v>
      </c>
      <c r="J3078" t="s">
        <v>201</v>
      </c>
      <c r="K3078">
        <v>1</v>
      </c>
      <c r="N3078" s="21"/>
      <c r="O3078" s="2"/>
      <c r="P3078" s="2"/>
      <c r="Q3078" s="4"/>
      <c r="R3078" s="4"/>
      <c r="S3078" s="4"/>
      <c r="T3078" s="4"/>
      <c r="U3078" s="4"/>
      <c r="V3078" s="4"/>
    </row>
    <row r="3079" spans="1:22" ht="14.5" customHeight="1" x14ac:dyDescent="0.2">
      <c r="A3079">
        <v>2018</v>
      </c>
      <c r="B3079" s="17" t="s">
        <v>240</v>
      </c>
      <c r="C3079" t="s">
        <v>2894</v>
      </c>
      <c r="D3079" s="22">
        <v>150</v>
      </c>
      <c r="E3079" s="16"/>
      <c r="F3079" t="s">
        <v>2895</v>
      </c>
      <c r="G3079" t="s">
        <v>144</v>
      </c>
      <c r="H3079" t="s">
        <v>187</v>
      </c>
      <c r="I3079" t="s">
        <v>26</v>
      </c>
      <c r="J3079" t="s">
        <v>219</v>
      </c>
      <c r="K3079">
        <v>1</v>
      </c>
      <c r="N3079" s="21"/>
      <c r="O3079" s="2"/>
      <c r="P3079" s="2"/>
      <c r="Q3079" s="4"/>
      <c r="R3079" s="4"/>
      <c r="S3079" s="4"/>
      <c r="T3079" s="4"/>
      <c r="U3079" s="4"/>
      <c r="V3079" s="4"/>
    </row>
    <row r="3080" spans="1:22" ht="14.5" customHeight="1" x14ac:dyDescent="0.2">
      <c r="A3080">
        <v>2018</v>
      </c>
      <c r="B3080" s="17" t="s">
        <v>212</v>
      </c>
      <c r="C3080" t="s">
        <v>1035</v>
      </c>
      <c r="D3080" s="22">
        <v>690</v>
      </c>
      <c r="E3080" s="16"/>
      <c r="F3080" t="s">
        <v>2896</v>
      </c>
      <c r="G3080" t="s">
        <v>154</v>
      </c>
      <c r="H3080" t="s">
        <v>271</v>
      </c>
      <c r="I3080" t="s">
        <v>105</v>
      </c>
      <c r="J3080" t="s">
        <v>214</v>
      </c>
      <c r="K3080">
        <v>1</v>
      </c>
      <c r="N3080" s="21"/>
      <c r="O3080" s="2"/>
      <c r="P3080" s="2"/>
      <c r="Q3080" s="4"/>
      <c r="R3080" s="4"/>
      <c r="S3080" s="4"/>
      <c r="T3080" s="4"/>
      <c r="U3080" s="4"/>
      <c r="V3080" s="4"/>
    </row>
    <row r="3081" spans="1:22" ht="14.5" customHeight="1" x14ac:dyDescent="0.2">
      <c r="A3081">
        <v>2018</v>
      </c>
      <c r="B3081" s="17" t="s">
        <v>212</v>
      </c>
      <c r="C3081" t="s">
        <v>2486</v>
      </c>
      <c r="D3081" s="22">
        <v>140</v>
      </c>
      <c r="E3081" s="16"/>
      <c r="F3081" t="s">
        <v>2712</v>
      </c>
      <c r="G3081" t="s">
        <v>151</v>
      </c>
      <c r="H3081" t="s">
        <v>279</v>
      </c>
      <c r="I3081" t="s">
        <v>20</v>
      </c>
      <c r="J3081" t="s">
        <v>195</v>
      </c>
      <c r="K3081">
        <v>0</v>
      </c>
      <c r="N3081" s="21"/>
      <c r="O3081" s="2"/>
      <c r="P3081" s="2"/>
      <c r="Q3081" s="4"/>
      <c r="R3081" s="4"/>
      <c r="S3081" s="4"/>
      <c r="T3081" s="4"/>
      <c r="U3081" s="4"/>
      <c r="V3081" s="4"/>
    </row>
    <row r="3082" spans="1:22" ht="14.5" customHeight="1" x14ac:dyDescent="0.2">
      <c r="A3082">
        <v>2018</v>
      </c>
      <c r="B3082" s="17" t="s">
        <v>212</v>
      </c>
      <c r="C3082" t="s">
        <v>449</v>
      </c>
      <c r="D3082" s="22">
        <v>160</v>
      </c>
      <c r="E3082" s="16"/>
      <c r="F3082" t="s">
        <v>2897</v>
      </c>
      <c r="G3082" t="s">
        <v>154</v>
      </c>
      <c r="H3082" t="s">
        <v>194</v>
      </c>
      <c r="I3082" t="s">
        <v>123</v>
      </c>
      <c r="J3082" t="s">
        <v>219</v>
      </c>
      <c r="K3082">
        <v>1</v>
      </c>
      <c r="N3082" s="21"/>
      <c r="O3082" s="2"/>
      <c r="P3082" s="2"/>
      <c r="Q3082" s="4"/>
      <c r="R3082" s="4"/>
      <c r="S3082" s="4"/>
      <c r="T3082" s="4"/>
      <c r="U3082" s="4"/>
      <c r="V3082" s="4"/>
    </row>
    <row r="3083" spans="1:22" ht="14.5" customHeight="1" x14ac:dyDescent="0.2">
      <c r="A3083">
        <v>2018</v>
      </c>
      <c r="B3083" s="17" t="s">
        <v>212</v>
      </c>
      <c r="C3083" t="s">
        <v>557</v>
      </c>
      <c r="D3083" s="22">
        <v>230</v>
      </c>
      <c r="E3083" s="16"/>
      <c r="F3083" t="s">
        <v>2898</v>
      </c>
      <c r="G3083" t="s">
        <v>151</v>
      </c>
      <c r="H3083" t="s">
        <v>279</v>
      </c>
      <c r="I3083" t="s">
        <v>138</v>
      </c>
      <c r="J3083" t="s">
        <v>219</v>
      </c>
      <c r="K3083">
        <v>1</v>
      </c>
      <c r="N3083" s="21"/>
      <c r="O3083" s="2"/>
      <c r="P3083" s="2"/>
      <c r="Q3083" s="4"/>
      <c r="R3083" s="4"/>
      <c r="S3083" s="4"/>
      <c r="T3083" s="4"/>
      <c r="U3083" s="4"/>
      <c r="V3083" s="4"/>
    </row>
    <row r="3084" spans="1:22" ht="15" customHeight="1" x14ac:dyDescent="0.2">
      <c r="A3084">
        <v>2018</v>
      </c>
      <c r="B3084" s="17" t="s">
        <v>212</v>
      </c>
      <c r="C3084" t="s">
        <v>1624</v>
      </c>
      <c r="D3084" s="22">
        <v>250</v>
      </c>
      <c r="E3084" s="16"/>
      <c r="F3084" t="s">
        <v>2270</v>
      </c>
      <c r="G3084" t="s">
        <v>151</v>
      </c>
      <c r="H3084" t="s">
        <v>279</v>
      </c>
      <c r="I3084" t="s">
        <v>97</v>
      </c>
      <c r="J3084" t="s">
        <v>183</v>
      </c>
      <c r="K3084">
        <v>1</v>
      </c>
      <c r="N3084" s="21"/>
      <c r="O3084" s="2"/>
      <c r="P3084" s="2"/>
      <c r="Q3084" s="4"/>
      <c r="R3084" s="4"/>
      <c r="S3084" s="4"/>
      <c r="T3084" s="4"/>
      <c r="U3084" s="4"/>
      <c r="V3084" s="4"/>
    </row>
    <row r="3085" spans="1:22" ht="14.5" customHeight="1" x14ac:dyDescent="0.2">
      <c r="A3085">
        <v>2018</v>
      </c>
      <c r="B3085" s="17" t="s">
        <v>212</v>
      </c>
      <c r="C3085" t="s">
        <v>189</v>
      </c>
      <c r="D3085" s="22">
        <v>150</v>
      </c>
      <c r="E3085" s="16"/>
      <c r="G3085" t="s">
        <v>144</v>
      </c>
      <c r="H3085" t="s">
        <v>187</v>
      </c>
      <c r="I3085" t="s">
        <v>105</v>
      </c>
      <c r="J3085" t="s">
        <v>214</v>
      </c>
      <c r="K3085">
        <v>1</v>
      </c>
      <c r="N3085" s="21"/>
      <c r="O3085" s="2"/>
      <c r="P3085" s="2"/>
      <c r="Q3085" s="4"/>
      <c r="R3085" s="4"/>
      <c r="S3085" s="4"/>
      <c r="T3085" s="4"/>
      <c r="U3085" s="4"/>
      <c r="V3085" s="4"/>
    </row>
    <row r="3086" spans="1:22" ht="14.5" customHeight="1" x14ac:dyDescent="0.2">
      <c r="A3086">
        <v>2018</v>
      </c>
      <c r="B3086" s="17" t="s">
        <v>212</v>
      </c>
      <c r="C3086" t="s">
        <v>444</v>
      </c>
      <c r="D3086" s="22">
        <v>1170</v>
      </c>
      <c r="E3086" s="16"/>
      <c r="G3086" t="s">
        <v>149</v>
      </c>
      <c r="H3086" t="s">
        <v>182</v>
      </c>
      <c r="I3086" t="s">
        <v>11</v>
      </c>
      <c r="J3086" t="s">
        <v>201</v>
      </c>
      <c r="K3086">
        <v>1</v>
      </c>
      <c r="N3086" s="21"/>
      <c r="O3086" s="2"/>
      <c r="P3086" s="2"/>
      <c r="Q3086" s="4"/>
      <c r="R3086" s="4"/>
      <c r="S3086" s="4"/>
      <c r="T3086" s="4"/>
      <c r="U3086" s="4"/>
      <c r="V3086" s="4"/>
    </row>
    <row r="3087" spans="1:22" ht="14.5" customHeight="1" x14ac:dyDescent="0.2">
      <c r="A3087">
        <v>2018</v>
      </c>
      <c r="B3087" s="17" t="s">
        <v>212</v>
      </c>
      <c r="C3087" s="52" t="s">
        <v>2392</v>
      </c>
      <c r="D3087" s="22">
        <v>680</v>
      </c>
      <c r="E3087" s="16"/>
      <c r="F3087" t="s">
        <v>2899</v>
      </c>
      <c r="G3087" t="s">
        <v>144</v>
      </c>
      <c r="H3087" t="s">
        <v>273</v>
      </c>
      <c r="I3087" t="s">
        <v>133</v>
      </c>
      <c r="J3087" t="s">
        <v>195</v>
      </c>
      <c r="K3087">
        <v>1</v>
      </c>
      <c r="N3087" s="21"/>
      <c r="O3087" s="2"/>
      <c r="P3087" s="2"/>
      <c r="Q3087" s="4"/>
      <c r="R3087" s="4"/>
      <c r="S3087" s="4"/>
      <c r="T3087" s="4"/>
      <c r="U3087" s="4"/>
      <c r="V3087" s="4"/>
    </row>
    <row r="3088" spans="1:22" ht="14.5" customHeight="1" x14ac:dyDescent="0.2">
      <c r="A3088">
        <v>2018</v>
      </c>
      <c r="B3088" s="17" t="s">
        <v>212</v>
      </c>
      <c r="C3088" t="s">
        <v>2900</v>
      </c>
      <c r="D3088" s="22">
        <v>240</v>
      </c>
      <c r="E3088" s="16"/>
      <c r="G3088" t="s">
        <v>154</v>
      </c>
      <c r="H3088" t="s">
        <v>194</v>
      </c>
      <c r="I3088" t="s">
        <v>40</v>
      </c>
      <c r="J3088" t="s">
        <v>219</v>
      </c>
      <c r="K3088">
        <v>1</v>
      </c>
      <c r="N3088" s="21"/>
      <c r="O3088" s="2"/>
      <c r="P3088" s="2"/>
      <c r="Q3088" s="4"/>
      <c r="R3088" s="4"/>
      <c r="S3088" s="4"/>
      <c r="T3088" s="4"/>
      <c r="U3088" s="4"/>
      <c r="V3088" s="4"/>
    </row>
    <row r="3089" spans="1:22" ht="14.5" customHeight="1" x14ac:dyDescent="0.2">
      <c r="A3089">
        <v>2018</v>
      </c>
      <c r="B3089" s="17" t="s">
        <v>212</v>
      </c>
      <c r="C3089" t="s">
        <v>1289</v>
      </c>
      <c r="D3089" s="22">
        <v>100</v>
      </c>
      <c r="E3089" s="16"/>
      <c r="G3089" t="s">
        <v>154</v>
      </c>
      <c r="H3089" t="s">
        <v>194</v>
      </c>
      <c r="I3089" t="s">
        <v>2901</v>
      </c>
      <c r="J3089" t="s">
        <v>219</v>
      </c>
      <c r="K3089">
        <v>1</v>
      </c>
      <c r="N3089" s="21"/>
      <c r="O3089" s="2"/>
      <c r="P3089" s="2"/>
      <c r="Q3089" s="4"/>
      <c r="R3089" s="4"/>
      <c r="S3089" s="4"/>
      <c r="T3089" s="4"/>
      <c r="U3089" s="4"/>
      <c r="V3089" s="4"/>
    </row>
    <row r="3090" spans="1:22" ht="14.5" customHeight="1" x14ac:dyDescent="0.2">
      <c r="A3090">
        <v>2018</v>
      </c>
      <c r="B3090" s="17" t="s">
        <v>212</v>
      </c>
      <c r="C3090" t="s">
        <v>208</v>
      </c>
      <c r="D3090" s="22">
        <v>680</v>
      </c>
      <c r="E3090" s="16"/>
      <c r="F3090" t="s">
        <v>2902</v>
      </c>
      <c r="G3090" t="s">
        <v>149</v>
      </c>
      <c r="I3090" t="s">
        <v>101</v>
      </c>
      <c r="J3090" t="s">
        <v>201</v>
      </c>
      <c r="K3090">
        <v>1</v>
      </c>
      <c r="N3090" s="21"/>
      <c r="O3090" s="2"/>
      <c r="P3090" s="2"/>
      <c r="Q3090" s="4"/>
      <c r="R3090" s="4"/>
      <c r="S3090" s="4"/>
      <c r="T3090" s="4"/>
      <c r="U3090" s="4"/>
      <c r="V3090" s="4"/>
    </row>
    <row r="3091" spans="1:22" ht="14.5" customHeight="1" x14ac:dyDescent="0.2">
      <c r="A3091">
        <v>2018</v>
      </c>
      <c r="B3091" s="17" t="s">
        <v>212</v>
      </c>
      <c r="C3091" t="s">
        <v>397</v>
      </c>
      <c r="D3091" s="22">
        <v>210</v>
      </c>
      <c r="E3091" s="16"/>
      <c r="G3091" t="s">
        <v>153</v>
      </c>
      <c r="I3091" t="s">
        <v>138</v>
      </c>
      <c r="J3091" t="s">
        <v>219</v>
      </c>
      <c r="K3091">
        <v>1</v>
      </c>
      <c r="N3091" s="21"/>
      <c r="O3091" s="2"/>
      <c r="P3091" s="2"/>
      <c r="Q3091" s="4"/>
      <c r="R3091" s="4"/>
      <c r="S3091" s="4"/>
      <c r="T3091" s="4"/>
      <c r="U3091" s="4"/>
      <c r="V3091" s="4"/>
    </row>
    <row r="3092" spans="1:22" ht="14.5" customHeight="1" x14ac:dyDescent="0.2">
      <c r="A3092">
        <v>2018</v>
      </c>
      <c r="B3092" s="17" t="s">
        <v>212</v>
      </c>
      <c r="C3092" t="s">
        <v>1035</v>
      </c>
      <c r="D3092" s="22">
        <v>150</v>
      </c>
      <c r="E3092" s="16">
        <v>0.49</v>
      </c>
      <c r="F3092" t="s">
        <v>2903</v>
      </c>
      <c r="G3092" t="s">
        <v>154</v>
      </c>
      <c r="H3092" t="s">
        <v>529</v>
      </c>
      <c r="I3092" t="s">
        <v>124</v>
      </c>
      <c r="J3092" t="s">
        <v>183</v>
      </c>
      <c r="K3092">
        <v>1</v>
      </c>
      <c r="N3092" s="21"/>
      <c r="O3092" s="2"/>
      <c r="P3092" s="2"/>
      <c r="Q3092" s="4"/>
      <c r="R3092" s="4"/>
      <c r="S3092" s="4"/>
      <c r="T3092" s="4"/>
      <c r="U3092" s="4"/>
      <c r="V3092" s="4"/>
    </row>
    <row r="3093" spans="1:22" ht="14.5" customHeight="1" x14ac:dyDescent="0.2">
      <c r="A3093">
        <v>2018</v>
      </c>
      <c r="B3093" s="17" t="s">
        <v>212</v>
      </c>
      <c r="C3093" t="s">
        <v>307</v>
      </c>
      <c r="D3093" s="22">
        <v>1760</v>
      </c>
      <c r="E3093" s="16"/>
      <c r="G3093" t="s">
        <v>144</v>
      </c>
      <c r="I3093" t="s">
        <v>93</v>
      </c>
      <c r="J3093" t="s">
        <v>201</v>
      </c>
      <c r="K3093">
        <v>1</v>
      </c>
      <c r="N3093" s="21"/>
      <c r="O3093" s="2"/>
      <c r="P3093" s="2"/>
      <c r="Q3093" s="4"/>
      <c r="R3093" s="4"/>
      <c r="S3093" s="4"/>
      <c r="T3093" s="4"/>
      <c r="U3093" s="4"/>
      <c r="V3093" s="4"/>
    </row>
    <row r="3094" spans="1:22" ht="14.5" customHeight="1" x14ac:dyDescent="0.2">
      <c r="A3094">
        <v>2018</v>
      </c>
      <c r="B3094" s="17" t="s">
        <v>212</v>
      </c>
      <c r="C3094" t="s">
        <v>397</v>
      </c>
      <c r="D3094" s="22">
        <v>110</v>
      </c>
      <c r="E3094" s="16"/>
      <c r="G3094" t="s">
        <v>151</v>
      </c>
      <c r="H3094" t="s">
        <v>279</v>
      </c>
      <c r="I3094" t="s">
        <v>130</v>
      </c>
      <c r="J3094" t="s">
        <v>214</v>
      </c>
      <c r="K3094">
        <v>1</v>
      </c>
      <c r="N3094" s="21"/>
      <c r="O3094" s="2"/>
      <c r="P3094" s="2"/>
      <c r="Q3094" s="4"/>
      <c r="R3094" s="4"/>
      <c r="S3094" s="4"/>
      <c r="T3094" s="4"/>
      <c r="U3094" s="4"/>
      <c r="V3094" s="4"/>
    </row>
    <row r="3095" spans="1:22" ht="14.5" customHeight="1" x14ac:dyDescent="0.2">
      <c r="A3095">
        <v>2018</v>
      </c>
      <c r="B3095" s="17" t="s">
        <v>212</v>
      </c>
      <c r="C3095" t="s">
        <v>668</v>
      </c>
      <c r="D3095" s="22">
        <v>690</v>
      </c>
      <c r="E3095" s="16"/>
      <c r="F3095" t="s">
        <v>2904</v>
      </c>
      <c r="G3095" t="s">
        <v>144</v>
      </c>
      <c r="I3095" t="s">
        <v>123</v>
      </c>
      <c r="J3095" t="s">
        <v>219</v>
      </c>
      <c r="K3095">
        <v>1</v>
      </c>
      <c r="N3095" s="21"/>
      <c r="O3095" s="2"/>
      <c r="P3095" s="2"/>
      <c r="Q3095" s="4"/>
      <c r="R3095" s="4"/>
      <c r="S3095" s="4"/>
      <c r="T3095" s="4"/>
      <c r="U3095" s="4"/>
      <c r="V3095" s="4"/>
    </row>
    <row r="3096" spans="1:22" ht="14.5" customHeight="1" x14ac:dyDescent="0.2">
      <c r="A3096">
        <v>2018</v>
      </c>
      <c r="B3096" s="17" t="s">
        <v>212</v>
      </c>
      <c r="C3096" t="s">
        <v>208</v>
      </c>
      <c r="D3096" s="22">
        <v>520</v>
      </c>
      <c r="E3096" s="16"/>
      <c r="F3096" t="s">
        <v>2905</v>
      </c>
      <c r="G3096" t="s">
        <v>149</v>
      </c>
      <c r="H3096" t="s">
        <v>182</v>
      </c>
      <c r="I3096" t="s">
        <v>16</v>
      </c>
      <c r="J3096" t="s">
        <v>205</v>
      </c>
      <c r="K3096">
        <v>1</v>
      </c>
      <c r="N3096" s="21"/>
      <c r="O3096" s="2"/>
      <c r="P3096" s="2"/>
      <c r="Q3096" s="4"/>
      <c r="R3096" s="4"/>
      <c r="S3096" s="4"/>
      <c r="T3096" s="4"/>
      <c r="U3096" s="4"/>
      <c r="V3096" s="4"/>
    </row>
    <row r="3097" spans="1:22" ht="14.5" customHeight="1" x14ac:dyDescent="0.2">
      <c r="A3097">
        <v>2019</v>
      </c>
      <c r="B3097" t="s">
        <v>172</v>
      </c>
      <c r="C3097" t="s">
        <v>822</v>
      </c>
      <c r="D3097" s="65">
        <v>100</v>
      </c>
      <c r="E3097" s="33">
        <v>1</v>
      </c>
      <c r="F3097" t="s">
        <v>1784</v>
      </c>
      <c r="G3097" t="s">
        <v>152</v>
      </c>
      <c r="I3097" t="s">
        <v>45</v>
      </c>
      <c r="J3097" t="s">
        <v>195</v>
      </c>
      <c r="K3097" s="17">
        <v>0</v>
      </c>
      <c r="L3097" s="28"/>
      <c r="N3097" s="21"/>
      <c r="O3097" s="2"/>
      <c r="P3097" s="2"/>
      <c r="Q3097" s="4"/>
      <c r="R3097" s="4"/>
      <c r="S3097" s="4"/>
      <c r="T3097" s="4"/>
      <c r="U3097" s="4"/>
      <c r="V3097" s="4"/>
    </row>
    <row r="3098" spans="1:22" ht="14.5" customHeight="1" x14ac:dyDescent="0.2">
      <c r="A3098">
        <v>2019</v>
      </c>
      <c r="B3098" t="s">
        <v>172</v>
      </c>
      <c r="C3098" t="s">
        <v>943</v>
      </c>
      <c r="D3098" s="65">
        <v>780</v>
      </c>
      <c r="E3098" s="33">
        <v>1</v>
      </c>
      <c r="F3098" t="s">
        <v>1785</v>
      </c>
      <c r="G3098" t="s">
        <v>144</v>
      </c>
      <c r="H3098" t="s">
        <v>232</v>
      </c>
      <c r="I3098" t="s">
        <v>19</v>
      </c>
      <c r="J3098" t="s">
        <v>205</v>
      </c>
      <c r="K3098" s="17">
        <v>0</v>
      </c>
      <c r="L3098" s="28"/>
      <c r="N3098" s="21"/>
      <c r="O3098" s="2"/>
      <c r="P3098" s="2"/>
      <c r="Q3098" s="4"/>
      <c r="R3098" s="4"/>
      <c r="S3098" s="4"/>
      <c r="T3098" s="4"/>
      <c r="U3098" s="4"/>
      <c r="V3098" s="4"/>
    </row>
    <row r="3099" spans="1:22" ht="14.5" customHeight="1" x14ac:dyDescent="0.2">
      <c r="A3099">
        <v>2019</v>
      </c>
      <c r="B3099" t="s">
        <v>172</v>
      </c>
      <c r="C3099" t="s">
        <v>1705</v>
      </c>
      <c r="D3099" s="65">
        <v>930</v>
      </c>
      <c r="E3099" s="33">
        <v>0.51</v>
      </c>
      <c r="F3099" t="s">
        <v>1650</v>
      </c>
      <c r="G3099" t="s">
        <v>154</v>
      </c>
      <c r="H3099" t="s">
        <v>194</v>
      </c>
      <c r="I3099" t="s">
        <v>118</v>
      </c>
      <c r="J3099" t="s">
        <v>195</v>
      </c>
      <c r="K3099" s="17">
        <v>0</v>
      </c>
      <c r="L3099" s="28"/>
      <c r="N3099" s="21"/>
      <c r="O3099" s="2"/>
      <c r="P3099" s="2"/>
      <c r="Q3099" s="4"/>
      <c r="R3099" s="4"/>
      <c r="S3099" s="4"/>
      <c r="T3099" s="4"/>
      <c r="U3099" s="4"/>
      <c r="V3099" s="4"/>
    </row>
    <row r="3100" spans="1:22" ht="14.5" customHeight="1" x14ac:dyDescent="0.2">
      <c r="A3100">
        <v>2019</v>
      </c>
      <c r="B3100" t="s">
        <v>172</v>
      </c>
      <c r="C3100" t="s">
        <v>1705</v>
      </c>
      <c r="D3100" s="65">
        <v>320</v>
      </c>
      <c r="E3100" s="33">
        <v>0.65</v>
      </c>
      <c r="F3100" t="s">
        <v>1786</v>
      </c>
      <c r="G3100" t="s">
        <v>154</v>
      </c>
      <c r="H3100" t="s">
        <v>194</v>
      </c>
      <c r="I3100" t="s">
        <v>118</v>
      </c>
      <c r="J3100" t="s">
        <v>195</v>
      </c>
      <c r="K3100" s="17">
        <v>0</v>
      </c>
      <c r="L3100" s="28" t="s">
        <v>178</v>
      </c>
      <c r="N3100" s="21"/>
      <c r="O3100" s="2"/>
      <c r="P3100" s="2"/>
      <c r="Q3100" s="4"/>
      <c r="R3100" s="4"/>
      <c r="S3100" s="4"/>
      <c r="T3100" s="4"/>
      <c r="U3100" s="4"/>
      <c r="V3100" s="4"/>
    </row>
    <row r="3101" spans="1:22" ht="14.5" customHeight="1" x14ac:dyDescent="0.2">
      <c r="A3101">
        <v>2019</v>
      </c>
      <c r="B3101" t="s">
        <v>172</v>
      </c>
      <c r="C3101" t="s">
        <v>651</v>
      </c>
      <c r="D3101" s="65">
        <v>130</v>
      </c>
      <c r="E3101" s="33">
        <v>0.7</v>
      </c>
      <c r="F3101" t="s">
        <v>1787</v>
      </c>
      <c r="G3101" t="s">
        <v>149</v>
      </c>
      <c r="H3101" t="s">
        <v>182</v>
      </c>
      <c r="I3101" t="s">
        <v>124</v>
      </c>
      <c r="J3101" t="s">
        <v>183</v>
      </c>
      <c r="K3101" s="17">
        <v>1</v>
      </c>
      <c r="L3101" s="28"/>
      <c r="N3101" s="21"/>
      <c r="O3101" s="2"/>
      <c r="P3101" s="2"/>
      <c r="Q3101" s="4"/>
      <c r="R3101" s="4"/>
      <c r="S3101" s="4"/>
      <c r="T3101" s="4"/>
      <c r="U3101" s="4"/>
      <c r="V3101" s="4"/>
    </row>
    <row r="3102" spans="1:22" ht="14.5" customHeight="1" x14ac:dyDescent="0.2">
      <c r="A3102">
        <v>2019</v>
      </c>
      <c r="B3102" t="s">
        <v>172</v>
      </c>
      <c r="C3102" t="s">
        <v>651</v>
      </c>
      <c r="D3102" s="65">
        <v>330</v>
      </c>
      <c r="E3102" s="33">
        <v>0.7</v>
      </c>
      <c r="F3102" t="s">
        <v>1787</v>
      </c>
      <c r="G3102" t="s">
        <v>149</v>
      </c>
      <c r="H3102" t="s">
        <v>182</v>
      </c>
      <c r="I3102" t="s">
        <v>108</v>
      </c>
      <c r="J3102" t="s">
        <v>183</v>
      </c>
      <c r="K3102" s="17">
        <v>1</v>
      </c>
      <c r="L3102" s="28"/>
      <c r="N3102" s="21"/>
      <c r="O3102" s="2"/>
      <c r="P3102" s="2"/>
      <c r="Q3102" s="4"/>
      <c r="R3102" s="4"/>
      <c r="S3102" s="4"/>
      <c r="T3102" s="4"/>
      <c r="U3102" s="4"/>
      <c r="V3102" s="4"/>
    </row>
    <row r="3103" spans="1:22" ht="14.5" customHeight="1" x14ac:dyDescent="0.2">
      <c r="A3103">
        <v>2019</v>
      </c>
      <c r="B3103" t="s">
        <v>172</v>
      </c>
      <c r="C3103" t="s">
        <v>269</v>
      </c>
      <c r="D3103" s="65">
        <v>230</v>
      </c>
      <c r="E3103" s="33">
        <v>0.6</v>
      </c>
      <c r="F3103" t="s">
        <v>1788</v>
      </c>
      <c r="G3103" t="s">
        <v>148</v>
      </c>
      <c r="I3103" t="s">
        <v>96</v>
      </c>
      <c r="J3103" t="s">
        <v>205</v>
      </c>
      <c r="K3103" s="17">
        <v>1</v>
      </c>
      <c r="L3103" s="28"/>
      <c r="N3103" s="21"/>
      <c r="O3103" s="2"/>
      <c r="P3103" s="2"/>
      <c r="Q3103" s="4"/>
      <c r="R3103" s="4"/>
      <c r="S3103" s="4"/>
      <c r="T3103" s="4"/>
      <c r="U3103" s="4"/>
      <c r="V3103" s="4"/>
    </row>
    <row r="3104" spans="1:22" ht="14.5" customHeight="1" x14ac:dyDescent="0.2">
      <c r="A3104">
        <v>2019</v>
      </c>
      <c r="B3104" t="s">
        <v>172</v>
      </c>
      <c r="C3104" t="s">
        <v>449</v>
      </c>
      <c r="D3104" s="65">
        <v>300</v>
      </c>
      <c r="E3104" s="33">
        <v>0.09</v>
      </c>
      <c r="G3104" t="s">
        <v>154</v>
      </c>
      <c r="H3104" t="s">
        <v>529</v>
      </c>
      <c r="I3104" t="s">
        <v>97</v>
      </c>
      <c r="J3104" t="s">
        <v>183</v>
      </c>
      <c r="K3104" s="17">
        <v>1</v>
      </c>
      <c r="L3104" s="28" t="s">
        <v>178</v>
      </c>
      <c r="N3104" s="21"/>
      <c r="O3104" s="2"/>
      <c r="P3104" s="2"/>
      <c r="Q3104" s="4"/>
      <c r="R3104" s="4"/>
      <c r="S3104" s="4"/>
      <c r="T3104" s="4"/>
      <c r="U3104" s="4"/>
      <c r="V3104" s="4"/>
    </row>
    <row r="3105" spans="1:22" ht="14.5" customHeight="1" x14ac:dyDescent="0.2">
      <c r="A3105">
        <v>2019</v>
      </c>
      <c r="B3105" t="s">
        <v>172</v>
      </c>
      <c r="C3105" t="s">
        <v>1789</v>
      </c>
      <c r="D3105" s="65">
        <v>260</v>
      </c>
      <c r="E3105" s="33">
        <v>1</v>
      </c>
      <c r="G3105" t="s">
        <v>150</v>
      </c>
      <c r="H3105" t="s">
        <v>556</v>
      </c>
      <c r="I3105" t="s">
        <v>136</v>
      </c>
      <c r="J3105" t="s">
        <v>183</v>
      </c>
      <c r="K3105" s="17">
        <v>1</v>
      </c>
      <c r="L3105" s="28" t="s">
        <v>178</v>
      </c>
      <c r="N3105" s="21"/>
      <c r="O3105" s="2"/>
      <c r="P3105" s="2"/>
      <c r="Q3105" s="4"/>
      <c r="R3105" s="4"/>
      <c r="S3105" s="4"/>
      <c r="T3105" s="4"/>
      <c r="U3105" s="4"/>
      <c r="V3105" s="4"/>
    </row>
    <row r="3106" spans="1:22" ht="14.5" customHeight="1" x14ac:dyDescent="0.2">
      <c r="A3106">
        <v>2019</v>
      </c>
      <c r="B3106" t="s">
        <v>172</v>
      </c>
      <c r="C3106" t="s">
        <v>1790</v>
      </c>
      <c r="D3106" s="65">
        <v>340</v>
      </c>
      <c r="E3106" s="33"/>
      <c r="F3106" t="s">
        <v>1539</v>
      </c>
      <c r="G3106" t="s">
        <v>154</v>
      </c>
      <c r="H3106" t="s">
        <v>194</v>
      </c>
      <c r="I3106" t="s">
        <v>53</v>
      </c>
      <c r="J3106" t="s">
        <v>183</v>
      </c>
      <c r="K3106" s="17">
        <v>1</v>
      </c>
      <c r="L3106" s="28"/>
      <c r="N3106" s="21"/>
      <c r="O3106" s="2"/>
      <c r="P3106" s="2"/>
      <c r="Q3106" s="4"/>
      <c r="R3106" s="4"/>
      <c r="S3106" s="4"/>
      <c r="T3106" s="4"/>
      <c r="U3106" s="4"/>
      <c r="V3106" s="4"/>
    </row>
    <row r="3107" spans="1:22" ht="14.5" customHeight="1" x14ac:dyDescent="0.2">
      <c r="A3107">
        <v>2019</v>
      </c>
      <c r="B3107" t="s">
        <v>172</v>
      </c>
      <c r="C3107" t="s">
        <v>244</v>
      </c>
      <c r="D3107" s="65">
        <v>140</v>
      </c>
      <c r="E3107" s="33"/>
      <c r="F3107" t="s">
        <v>1791</v>
      </c>
      <c r="G3107" t="s">
        <v>143</v>
      </c>
      <c r="I3107" t="s">
        <v>131</v>
      </c>
      <c r="J3107" t="s">
        <v>131</v>
      </c>
      <c r="K3107" s="17">
        <v>0</v>
      </c>
      <c r="L3107" s="28"/>
      <c r="N3107" s="21"/>
      <c r="O3107" s="2"/>
      <c r="P3107" s="2"/>
      <c r="Q3107" s="4"/>
      <c r="R3107" s="4"/>
      <c r="S3107" s="4"/>
      <c r="T3107" s="4"/>
      <c r="U3107" s="4"/>
      <c r="V3107" s="4"/>
    </row>
    <row r="3108" spans="1:22" ht="14.5" customHeight="1" x14ac:dyDescent="0.2">
      <c r="A3108">
        <v>2019</v>
      </c>
      <c r="B3108" t="s">
        <v>172</v>
      </c>
      <c r="C3108" t="s">
        <v>557</v>
      </c>
      <c r="D3108" s="65">
        <v>990</v>
      </c>
      <c r="E3108" s="33"/>
      <c r="G3108" t="s">
        <v>151</v>
      </c>
      <c r="H3108" t="s">
        <v>279</v>
      </c>
      <c r="I3108" t="s">
        <v>123</v>
      </c>
      <c r="J3108" t="s">
        <v>219</v>
      </c>
      <c r="K3108" s="17">
        <v>1</v>
      </c>
      <c r="L3108" s="28" t="s">
        <v>178</v>
      </c>
      <c r="N3108" s="21"/>
      <c r="O3108" s="2"/>
      <c r="P3108" s="2"/>
      <c r="Q3108" s="4"/>
      <c r="R3108" s="4"/>
      <c r="S3108" s="4"/>
      <c r="T3108" s="4"/>
      <c r="U3108" s="4"/>
      <c r="V3108" s="4"/>
    </row>
    <row r="3109" spans="1:22" ht="14.25" customHeight="1" x14ac:dyDescent="0.2">
      <c r="A3109">
        <v>2019</v>
      </c>
      <c r="B3109" t="s">
        <v>172</v>
      </c>
      <c r="C3109" t="s">
        <v>286</v>
      </c>
      <c r="D3109" s="65">
        <v>720</v>
      </c>
      <c r="E3109" s="33">
        <v>0.5</v>
      </c>
      <c r="F3109" t="s">
        <v>1792</v>
      </c>
      <c r="G3109" t="s">
        <v>151</v>
      </c>
      <c r="H3109" t="s">
        <v>224</v>
      </c>
      <c r="I3109" t="s">
        <v>9</v>
      </c>
      <c r="J3109" t="s">
        <v>9</v>
      </c>
      <c r="K3109" s="17">
        <v>0</v>
      </c>
      <c r="L3109" s="28" t="s">
        <v>178</v>
      </c>
      <c r="N3109" s="21"/>
      <c r="O3109" s="2"/>
      <c r="P3109" s="2"/>
      <c r="Q3109" s="4"/>
      <c r="R3109" s="4"/>
      <c r="S3109" s="4"/>
      <c r="T3109" s="4"/>
      <c r="U3109" s="4"/>
      <c r="V3109" s="4"/>
    </row>
    <row r="3110" spans="1:22" s="17" customFormat="1" ht="15" customHeight="1" x14ac:dyDescent="0.2">
      <c r="A3110">
        <v>2019</v>
      </c>
      <c r="B3110" t="s">
        <v>172</v>
      </c>
      <c r="C3110" t="s">
        <v>1793</v>
      </c>
      <c r="D3110" s="65">
        <v>180</v>
      </c>
      <c r="E3110" s="33"/>
      <c r="G3110" t="s">
        <v>154</v>
      </c>
      <c r="H3110" t="s">
        <v>194</v>
      </c>
      <c r="I3110" t="s">
        <v>13</v>
      </c>
      <c r="J3110" t="s">
        <v>201</v>
      </c>
      <c r="K3110" s="17">
        <v>1</v>
      </c>
      <c r="L3110" s="28"/>
      <c r="N3110" s="21"/>
      <c r="O3110" s="2"/>
      <c r="P3110" s="2"/>
      <c r="Q3110" s="4"/>
      <c r="R3110" s="4"/>
      <c r="S3110" s="4"/>
      <c r="T3110" s="4"/>
      <c r="U3110" s="4"/>
      <c r="V3110" s="4"/>
    </row>
    <row r="3111" spans="1:22" ht="14.5" customHeight="1" x14ac:dyDescent="0.2">
      <c r="A3111">
        <v>2019</v>
      </c>
      <c r="B3111" t="s">
        <v>172</v>
      </c>
      <c r="C3111" t="s">
        <v>1794</v>
      </c>
      <c r="D3111" s="65">
        <v>180</v>
      </c>
      <c r="E3111" s="33"/>
      <c r="F3111" t="s">
        <v>1795</v>
      </c>
      <c r="G3111" t="s">
        <v>144</v>
      </c>
      <c r="H3111" t="s">
        <v>232</v>
      </c>
      <c r="I3111" t="s">
        <v>136</v>
      </c>
      <c r="J3111" t="s">
        <v>183</v>
      </c>
      <c r="K3111" s="17">
        <v>1</v>
      </c>
      <c r="L3111" s="28" t="s">
        <v>178</v>
      </c>
      <c r="N3111" s="21"/>
      <c r="O3111" s="2"/>
      <c r="P3111" s="2"/>
      <c r="Q3111" s="4"/>
      <c r="R3111" s="4"/>
      <c r="S3111" s="4"/>
      <c r="T3111" s="4"/>
      <c r="U3111" s="4"/>
      <c r="V3111" s="4"/>
    </row>
    <row r="3112" spans="1:22" s="41" customFormat="1" ht="14.5" customHeight="1" x14ac:dyDescent="0.2">
      <c r="A3112">
        <v>2019</v>
      </c>
      <c r="B3112" t="s">
        <v>258</v>
      </c>
      <c r="C3112" t="s">
        <v>454</v>
      </c>
      <c r="D3112" s="65">
        <v>150</v>
      </c>
      <c r="E3112" s="33">
        <v>0.05</v>
      </c>
      <c r="F3112" t="s">
        <v>1796</v>
      </c>
      <c r="G3112" t="s">
        <v>152</v>
      </c>
      <c r="H3112" t="s">
        <v>257</v>
      </c>
      <c r="I3112" t="s">
        <v>131</v>
      </c>
      <c r="J3112" t="s">
        <v>131</v>
      </c>
      <c r="K3112" s="17">
        <v>0</v>
      </c>
      <c r="L3112" s="28"/>
      <c r="N3112" s="42"/>
      <c r="O3112" s="78"/>
      <c r="P3112" s="78"/>
      <c r="Q3112" s="77"/>
      <c r="R3112" s="77"/>
      <c r="S3112" s="77"/>
      <c r="T3112" s="77"/>
      <c r="U3112" s="77"/>
      <c r="V3112" s="77"/>
    </row>
    <row r="3113" spans="1:22" ht="14.5" customHeight="1" x14ac:dyDescent="0.2">
      <c r="A3113">
        <v>2019</v>
      </c>
      <c r="B3113" t="s">
        <v>258</v>
      </c>
      <c r="C3113" t="s">
        <v>822</v>
      </c>
      <c r="D3113" s="65">
        <v>690</v>
      </c>
      <c r="E3113" s="33">
        <v>1</v>
      </c>
      <c r="F3113" t="s">
        <v>1797</v>
      </c>
      <c r="G3113" t="s">
        <v>146</v>
      </c>
      <c r="I3113" t="s">
        <v>20</v>
      </c>
      <c r="J3113" t="s">
        <v>195</v>
      </c>
      <c r="K3113" s="17">
        <v>0</v>
      </c>
      <c r="L3113" s="28"/>
      <c r="N3113" s="21"/>
      <c r="O3113" s="2"/>
      <c r="P3113" s="2"/>
      <c r="Q3113" s="4"/>
      <c r="R3113" s="4"/>
      <c r="S3113" s="4"/>
      <c r="T3113" s="4"/>
      <c r="U3113" s="4"/>
      <c r="V3113" s="4"/>
    </row>
    <row r="3114" spans="1:22" ht="14.5" customHeight="1" x14ac:dyDescent="0.2">
      <c r="A3114">
        <v>2019</v>
      </c>
      <c r="B3114" t="s">
        <v>258</v>
      </c>
      <c r="C3114" t="s">
        <v>1129</v>
      </c>
      <c r="D3114" s="65">
        <v>240</v>
      </c>
      <c r="E3114" s="33"/>
      <c r="G3114" t="s">
        <v>144</v>
      </c>
      <c r="H3114" t="s">
        <v>232</v>
      </c>
      <c r="I3114" t="s">
        <v>72</v>
      </c>
      <c r="J3114" t="s">
        <v>183</v>
      </c>
      <c r="K3114" s="17">
        <v>1</v>
      </c>
      <c r="L3114" s="28" t="s">
        <v>178</v>
      </c>
      <c r="N3114" s="21"/>
      <c r="O3114" s="2"/>
      <c r="P3114" s="2"/>
      <c r="Q3114" s="4"/>
      <c r="R3114" s="4"/>
      <c r="S3114" s="4"/>
      <c r="T3114" s="4"/>
      <c r="U3114" s="4"/>
      <c r="V3114" s="4"/>
    </row>
    <row r="3115" spans="1:22" s="17" customFormat="1" ht="14.5" customHeight="1" x14ac:dyDescent="0.2">
      <c r="A3115">
        <v>2019</v>
      </c>
      <c r="B3115" t="s">
        <v>258</v>
      </c>
      <c r="C3115" t="s">
        <v>1180</v>
      </c>
      <c r="D3115" s="65">
        <v>220</v>
      </c>
      <c r="E3115" s="33"/>
      <c r="F3115" t="s">
        <v>1798</v>
      </c>
      <c r="G3115" t="s">
        <v>144</v>
      </c>
      <c r="H3115" t="s">
        <v>232</v>
      </c>
      <c r="I3115" t="s">
        <v>9</v>
      </c>
      <c r="J3115" t="s">
        <v>9</v>
      </c>
      <c r="K3115" s="17">
        <v>0</v>
      </c>
      <c r="L3115" s="28" t="s">
        <v>178</v>
      </c>
      <c r="N3115" s="21"/>
      <c r="O3115" s="2"/>
      <c r="P3115" s="2"/>
      <c r="Q3115" s="4"/>
      <c r="R3115" s="4"/>
      <c r="S3115" s="4"/>
      <c r="T3115" s="4"/>
      <c r="U3115" s="4"/>
      <c r="V3115" s="4"/>
    </row>
    <row r="3116" spans="1:22" ht="14.5" customHeight="1" x14ac:dyDescent="0.2">
      <c r="A3116">
        <v>2019</v>
      </c>
      <c r="B3116" t="s">
        <v>258</v>
      </c>
      <c r="C3116" t="s">
        <v>596</v>
      </c>
      <c r="D3116" s="65">
        <v>470</v>
      </c>
      <c r="E3116" s="33"/>
      <c r="G3116" t="s">
        <v>144</v>
      </c>
      <c r="H3116" t="s">
        <v>232</v>
      </c>
      <c r="I3116" t="s">
        <v>8</v>
      </c>
      <c r="J3116" t="s">
        <v>205</v>
      </c>
      <c r="K3116" s="17">
        <v>1</v>
      </c>
      <c r="L3116" s="28" t="s">
        <v>178</v>
      </c>
      <c r="N3116" s="21"/>
      <c r="O3116" s="2"/>
      <c r="P3116" s="2"/>
      <c r="Q3116" s="4"/>
      <c r="R3116" s="4"/>
      <c r="S3116" s="4"/>
      <c r="T3116" s="4"/>
      <c r="U3116" s="4"/>
      <c r="V3116" s="4"/>
    </row>
    <row r="3117" spans="1:22" ht="14.5" customHeight="1" x14ac:dyDescent="0.2">
      <c r="A3117">
        <v>2019</v>
      </c>
      <c r="B3117" t="s">
        <v>258</v>
      </c>
      <c r="C3117" t="s">
        <v>1799</v>
      </c>
      <c r="D3117" s="65">
        <v>220</v>
      </c>
      <c r="E3117" s="33"/>
      <c r="G3117" t="s">
        <v>150</v>
      </c>
      <c r="H3117" t="s">
        <v>292</v>
      </c>
      <c r="I3117" t="s">
        <v>40</v>
      </c>
      <c r="J3117" t="s">
        <v>219</v>
      </c>
      <c r="K3117" s="17">
        <v>1</v>
      </c>
      <c r="L3117" s="28" t="s">
        <v>178</v>
      </c>
      <c r="N3117" s="21"/>
      <c r="O3117" s="2"/>
      <c r="P3117" s="2"/>
      <c r="Q3117" s="4"/>
      <c r="R3117" s="4"/>
      <c r="S3117" s="4"/>
      <c r="T3117" s="4"/>
      <c r="U3117" s="4"/>
      <c r="V3117" s="4"/>
    </row>
    <row r="3118" spans="1:22" ht="14.5" customHeight="1" x14ac:dyDescent="0.2">
      <c r="A3118">
        <v>2019</v>
      </c>
      <c r="B3118" t="s">
        <v>258</v>
      </c>
      <c r="C3118" t="s">
        <v>1625</v>
      </c>
      <c r="D3118" s="65">
        <v>230</v>
      </c>
      <c r="E3118" s="33"/>
      <c r="G3118" t="s">
        <v>144</v>
      </c>
      <c r="H3118" t="s">
        <v>232</v>
      </c>
      <c r="I3118" t="s">
        <v>77</v>
      </c>
      <c r="J3118" t="s">
        <v>177</v>
      </c>
      <c r="K3118" s="17">
        <v>0</v>
      </c>
      <c r="L3118" s="28" t="s">
        <v>178</v>
      </c>
      <c r="N3118" s="21"/>
      <c r="O3118" s="2"/>
      <c r="P3118" s="2"/>
      <c r="Q3118" s="4"/>
      <c r="R3118" s="4"/>
      <c r="S3118" s="4"/>
      <c r="T3118" s="4"/>
      <c r="U3118" s="4"/>
      <c r="V3118" s="4"/>
    </row>
    <row r="3119" spans="1:22" ht="14.5" customHeight="1" x14ac:dyDescent="0.2">
      <c r="A3119">
        <v>2019</v>
      </c>
      <c r="B3119" t="s">
        <v>258</v>
      </c>
      <c r="C3119" t="s">
        <v>1800</v>
      </c>
      <c r="D3119" s="65">
        <v>1620</v>
      </c>
      <c r="E3119" s="33"/>
      <c r="G3119" t="s">
        <v>149</v>
      </c>
      <c r="H3119" t="s">
        <v>182</v>
      </c>
      <c r="I3119" t="s">
        <v>53</v>
      </c>
      <c r="J3119" t="s">
        <v>183</v>
      </c>
      <c r="K3119" s="17">
        <v>1</v>
      </c>
      <c r="L3119" s="28" t="s">
        <v>178</v>
      </c>
      <c r="N3119" s="21"/>
      <c r="O3119" s="2"/>
      <c r="P3119" s="2"/>
      <c r="Q3119" s="4"/>
      <c r="R3119" s="4"/>
      <c r="S3119" s="4"/>
      <c r="T3119" s="4"/>
      <c r="U3119" s="4"/>
      <c r="V3119" s="4"/>
    </row>
    <row r="3120" spans="1:22" ht="14.5" customHeight="1" x14ac:dyDescent="0.2">
      <c r="A3120">
        <v>2019</v>
      </c>
      <c r="B3120" t="s">
        <v>258</v>
      </c>
      <c r="C3120" t="s">
        <v>1801</v>
      </c>
      <c r="D3120" s="65">
        <v>140</v>
      </c>
      <c r="E3120" s="33"/>
      <c r="G3120" t="s">
        <v>151</v>
      </c>
      <c r="H3120" t="s">
        <v>224</v>
      </c>
      <c r="I3120" t="s">
        <v>25</v>
      </c>
      <c r="J3120" t="s">
        <v>177</v>
      </c>
      <c r="K3120" s="17">
        <v>0</v>
      </c>
      <c r="L3120" s="28" t="s">
        <v>178</v>
      </c>
      <c r="N3120" s="21"/>
      <c r="O3120" s="2"/>
      <c r="P3120" s="2"/>
      <c r="Q3120" s="4"/>
      <c r="R3120" s="4"/>
      <c r="S3120" s="4"/>
      <c r="T3120" s="4"/>
      <c r="U3120" s="4"/>
      <c r="V3120" s="4"/>
    </row>
    <row r="3121" spans="1:22" ht="14.5" customHeight="1" x14ac:dyDescent="0.2">
      <c r="A3121">
        <v>2019</v>
      </c>
      <c r="B3121" t="s">
        <v>258</v>
      </c>
      <c r="C3121" t="s">
        <v>724</v>
      </c>
      <c r="D3121" s="65">
        <v>220</v>
      </c>
      <c r="E3121" s="33"/>
      <c r="G3121" t="s">
        <v>151</v>
      </c>
      <c r="H3121" t="s">
        <v>224</v>
      </c>
      <c r="I3121" t="s">
        <v>9</v>
      </c>
      <c r="J3121" t="s">
        <v>9</v>
      </c>
      <c r="K3121" s="17">
        <v>0</v>
      </c>
      <c r="L3121" s="28" t="s">
        <v>178</v>
      </c>
      <c r="N3121" s="21"/>
      <c r="O3121" s="2"/>
      <c r="P3121" s="2"/>
      <c r="Q3121" s="4"/>
      <c r="R3121" s="4"/>
      <c r="S3121" s="4"/>
      <c r="T3121" s="4"/>
      <c r="U3121" s="4"/>
      <c r="V3121" s="4"/>
    </row>
    <row r="3122" spans="1:22" ht="14.5" customHeight="1" x14ac:dyDescent="0.2">
      <c r="A3122">
        <v>2019</v>
      </c>
      <c r="B3122" t="s">
        <v>258</v>
      </c>
      <c r="C3122" t="s">
        <v>706</v>
      </c>
      <c r="D3122" s="65">
        <v>990</v>
      </c>
      <c r="E3122" s="33">
        <v>1</v>
      </c>
      <c r="G3122" t="s">
        <v>154</v>
      </c>
      <c r="H3122" t="s">
        <v>194</v>
      </c>
      <c r="I3122" t="s">
        <v>106</v>
      </c>
      <c r="J3122" t="s">
        <v>195</v>
      </c>
      <c r="K3122" s="17">
        <v>1</v>
      </c>
      <c r="L3122" s="28" t="s">
        <v>178</v>
      </c>
      <c r="N3122" s="21"/>
      <c r="O3122" s="2"/>
      <c r="P3122" s="2"/>
      <c r="Q3122" s="4"/>
      <c r="R3122" s="4"/>
      <c r="S3122" s="4"/>
      <c r="T3122" s="4"/>
      <c r="U3122" s="4"/>
      <c r="V3122" s="4"/>
    </row>
    <row r="3123" spans="1:22" ht="14.5" customHeight="1" x14ac:dyDescent="0.2">
      <c r="A3123">
        <v>2019</v>
      </c>
      <c r="B3123" t="s">
        <v>258</v>
      </c>
      <c r="C3123" t="s">
        <v>1802</v>
      </c>
      <c r="D3123" s="65">
        <v>100</v>
      </c>
      <c r="E3123" s="33"/>
      <c r="G3123" t="s">
        <v>150</v>
      </c>
      <c r="H3123" t="s">
        <v>556</v>
      </c>
      <c r="I3123" t="s">
        <v>52</v>
      </c>
      <c r="J3123" t="s">
        <v>201</v>
      </c>
      <c r="K3123" s="17">
        <v>0</v>
      </c>
      <c r="L3123" s="28"/>
      <c r="N3123" s="21"/>
      <c r="O3123" s="2"/>
      <c r="P3123" s="2"/>
      <c r="Q3123" s="4"/>
      <c r="R3123" s="4"/>
      <c r="S3123" s="4"/>
      <c r="T3123" s="4"/>
      <c r="U3123" s="4"/>
      <c r="V3123" s="4"/>
    </row>
    <row r="3124" spans="1:22" ht="14.5" customHeight="1" x14ac:dyDescent="0.2">
      <c r="A3124" s="17">
        <v>2019</v>
      </c>
      <c r="B3124" s="17" t="s">
        <v>179</v>
      </c>
      <c r="C3124" s="17" t="s">
        <v>1294</v>
      </c>
      <c r="D3124" s="66">
        <v>1930</v>
      </c>
      <c r="E3124" s="37">
        <v>0.45</v>
      </c>
      <c r="F3124" s="17" t="s">
        <v>1803</v>
      </c>
      <c r="G3124" s="17" t="s">
        <v>147</v>
      </c>
      <c r="H3124" s="17"/>
      <c r="I3124" s="17" t="s">
        <v>131</v>
      </c>
      <c r="J3124" s="17" t="s">
        <v>131</v>
      </c>
      <c r="K3124" s="17">
        <v>0</v>
      </c>
      <c r="L3124" s="67"/>
      <c r="N3124" s="21"/>
      <c r="O3124" s="2"/>
      <c r="P3124" s="2"/>
      <c r="Q3124" s="4"/>
      <c r="R3124" s="4"/>
      <c r="S3124" s="4"/>
      <c r="T3124" s="4"/>
      <c r="U3124" s="4"/>
      <c r="V3124" s="4"/>
    </row>
    <row r="3125" spans="1:22" ht="14.5" customHeight="1" x14ac:dyDescent="0.2">
      <c r="A3125">
        <v>2019</v>
      </c>
      <c r="B3125" t="s">
        <v>179</v>
      </c>
      <c r="C3125" t="s">
        <v>577</v>
      </c>
      <c r="D3125" s="65">
        <v>520</v>
      </c>
      <c r="E3125" s="33">
        <v>1</v>
      </c>
      <c r="G3125" t="s">
        <v>150</v>
      </c>
      <c r="H3125" t="s">
        <v>556</v>
      </c>
      <c r="I3125" t="s">
        <v>52</v>
      </c>
      <c r="J3125" t="s">
        <v>201</v>
      </c>
      <c r="K3125" s="17">
        <v>0</v>
      </c>
      <c r="L3125" s="28" t="s">
        <v>178</v>
      </c>
      <c r="N3125" s="21"/>
      <c r="O3125" s="2"/>
      <c r="P3125" s="2"/>
      <c r="Q3125" s="4"/>
      <c r="R3125" s="4"/>
      <c r="S3125" s="4"/>
      <c r="T3125" s="4"/>
      <c r="U3125" s="4"/>
      <c r="V3125" s="4"/>
    </row>
    <row r="3126" spans="1:22" ht="14.5" customHeight="1" x14ac:dyDescent="0.2">
      <c r="A3126">
        <v>2019</v>
      </c>
      <c r="B3126" t="s">
        <v>179</v>
      </c>
      <c r="C3126" t="s">
        <v>438</v>
      </c>
      <c r="D3126" s="65">
        <v>280</v>
      </c>
      <c r="E3126" s="33">
        <v>0.5</v>
      </c>
      <c r="G3126" t="s">
        <v>154</v>
      </c>
      <c r="H3126" t="s">
        <v>194</v>
      </c>
      <c r="I3126" t="s">
        <v>42</v>
      </c>
      <c r="J3126" t="s">
        <v>195</v>
      </c>
      <c r="K3126" s="17">
        <v>0</v>
      </c>
      <c r="L3126" s="28"/>
      <c r="N3126" s="21"/>
      <c r="O3126" s="2"/>
      <c r="P3126" s="2"/>
      <c r="Q3126" s="4"/>
      <c r="R3126" s="4"/>
      <c r="S3126" s="4"/>
      <c r="T3126" s="4"/>
      <c r="U3126" s="4"/>
      <c r="V3126" s="4"/>
    </row>
    <row r="3127" spans="1:22" ht="14.5" customHeight="1" x14ac:dyDescent="0.2">
      <c r="A3127">
        <v>2019</v>
      </c>
      <c r="B3127" t="s">
        <v>179</v>
      </c>
      <c r="C3127" t="s">
        <v>263</v>
      </c>
      <c r="D3127" s="65">
        <v>100</v>
      </c>
      <c r="E3127" s="33"/>
      <c r="F3127" t="s">
        <v>1804</v>
      </c>
      <c r="G3127" t="s">
        <v>149</v>
      </c>
      <c r="H3127" t="s">
        <v>182</v>
      </c>
      <c r="I3127" t="s">
        <v>101</v>
      </c>
      <c r="J3127" t="s">
        <v>201</v>
      </c>
      <c r="K3127" s="17">
        <v>1</v>
      </c>
      <c r="L3127" s="28"/>
      <c r="N3127" s="21"/>
      <c r="O3127" s="2"/>
      <c r="P3127" s="2"/>
      <c r="Q3127" s="4"/>
      <c r="R3127" s="4"/>
      <c r="S3127" s="4"/>
      <c r="T3127" s="4"/>
      <c r="U3127" s="4"/>
      <c r="V3127" s="4"/>
    </row>
    <row r="3128" spans="1:22" ht="14.5" customHeight="1" x14ac:dyDescent="0.2">
      <c r="A3128">
        <v>2019</v>
      </c>
      <c r="B3128" t="s">
        <v>179</v>
      </c>
      <c r="C3128" t="s">
        <v>1717</v>
      </c>
      <c r="D3128" s="65">
        <v>1080</v>
      </c>
      <c r="E3128" s="33">
        <v>0.68</v>
      </c>
      <c r="F3128" t="s">
        <v>1718</v>
      </c>
      <c r="G3128" t="s">
        <v>145</v>
      </c>
      <c r="I3128" t="s">
        <v>108</v>
      </c>
      <c r="J3128" t="s">
        <v>183</v>
      </c>
      <c r="K3128" s="17">
        <v>1</v>
      </c>
      <c r="L3128" s="28"/>
      <c r="N3128" s="21"/>
      <c r="O3128" s="2"/>
      <c r="P3128" s="2"/>
      <c r="Q3128" s="4"/>
      <c r="R3128" s="4"/>
      <c r="S3128" s="4"/>
      <c r="T3128" s="4"/>
      <c r="U3128" s="4"/>
      <c r="V3128" s="4"/>
    </row>
    <row r="3129" spans="1:22" ht="14.5" customHeight="1" x14ac:dyDescent="0.2">
      <c r="A3129">
        <v>2019</v>
      </c>
      <c r="B3129" t="s">
        <v>179</v>
      </c>
      <c r="C3129" t="s">
        <v>479</v>
      </c>
      <c r="D3129" s="65">
        <v>2080</v>
      </c>
      <c r="E3129" s="33"/>
      <c r="G3129" t="s">
        <v>154</v>
      </c>
      <c r="H3129" t="s">
        <v>194</v>
      </c>
      <c r="I3129" t="s">
        <v>23</v>
      </c>
      <c r="J3129" t="s">
        <v>183</v>
      </c>
      <c r="K3129" s="17">
        <v>1</v>
      </c>
      <c r="L3129" s="28" t="s">
        <v>178</v>
      </c>
      <c r="N3129" s="21"/>
      <c r="O3129" s="2"/>
      <c r="P3129" s="2"/>
      <c r="Q3129" s="4"/>
      <c r="R3129" s="4"/>
      <c r="S3129" s="4"/>
      <c r="T3129" s="4"/>
      <c r="U3129" s="4"/>
      <c r="V3129" s="4"/>
    </row>
    <row r="3130" spans="1:22" ht="14.5" customHeight="1" x14ac:dyDescent="0.2">
      <c r="A3130">
        <v>2019</v>
      </c>
      <c r="B3130" t="s">
        <v>179</v>
      </c>
      <c r="C3130" t="s">
        <v>734</v>
      </c>
      <c r="D3130" s="65">
        <v>400</v>
      </c>
      <c r="E3130" s="33">
        <v>1</v>
      </c>
      <c r="F3130" t="s">
        <v>1805</v>
      </c>
      <c r="G3130" t="s">
        <v>142</v>
      </c>
      <c r="I3130" t="s">
        <v>86</v>
      </c>
      <c r="J3130" t="s">
        <v>183</v>
      </c>
      <c r="K3130" s="17">
        <v>1</v>
      </c>
      <c r="L3130" s="28"/>
      <c r="N3130" s="21"/>
      <c r="O3130" s="2"/>
      <c r="P3130" s="2"/>
      <c r="Q3130" s="4"/>
      <c r="R3130" s="4"/>
      <c r="S3130" s="4"/>
      <c r="T3130" s="4"/>
      <c r="U3130" s="4"/>
      <c r="V3130" s="4"/>
    </row>
    <row r="3131" spans="1:22" ht="14.5" customHeight="1" x14ac:dyDescent="0.2">
      <c r="A3131">
        <v>2019</v>
      </c>
      <c r="B3131" t="s">
        <v>179</v>
      </c>
      <c r="C3131" t="s">
        <v>479</v>
      </c>
      <c r="D3131" s="65">
        <v>110</v>
      </c>
      <c r="E3131" s="33">
        <v>0.75</v>
      </c>
      <c r="F3131" t="s">
        <v>1806</v>
      </c>
      <c r="G3131" t="s">
        <v>150</v>
      </c>
      <c r="H3131" t="s">
        <v>217</v>
      </c>
      <c r="I3131" t="s">
        <v>61</v>
      </c>
      <c r="J3131" t="s">
        <v>183</v>
      </c>
      <c r="K3131" s="17">
        <v>0</v>
      </c>
      <c r="L3131" s="28"/>
      <c r="N3131" s="21"/>
      <c r="O3131" s="2"/>
      <c r="P3131" s="2"/>
      <c r="Q3131" s="4"/>
      <c r="R3131" s="4"/>
      <c r="S3131" s="4"/>
      <c r="T3131" s="4"/>
      <c r="U3131" s="4"/>
      <c r="V3131" s="4"/>
    </row>
    <row r="3132" spans="1:22" ht="14.5" customHeight="1" x14ac:dyDescent="0.2">
      <c r="A3132">
        <v>2019</v>
      </c>
      <c r="B3132" t="s">
        <v>179</v>
      </c>
      <c r="C3132" t="s">
        <v>1807</v>
      </c>
      <c r="D3132" s="65">
        <v>5050</v>
      </c>
      <c r="E3132" s="33">
        <v>0.79</v>
      </c>
      <c r="F3132" t="s">
        <v>1808</v>
      </c>
      <c r="G3132" t="s">
        <v>145</v>
      </c>
      <c r="I3132" t="s">
        <v>41</v>
      </c>
      <c r="J3132" t="s">
        <v>195</v>
      </c>
      <c r="K3132" s="17">
        <v>0</v>
      </c>
      <c r="L3132" s="28"/>
      <c r="N3132" s="21"/>
      <c r="O3132" s="2"/>
      <c r="P3132" s="2"/>
      <c r="Q3132" s="4"/>
      <c r="R3132" s="4"/>
      <c r="S3132" s="4"/>
      <c r="T3132" s="4"/>
      <c r="U3132" s="4"/>
      <c r="V3132" s="4"/>
    </row>
    <row r="3133" spans="1:22" ht="14.5" customHeight="1" x14ac:dyDescent="0.2">
      <c r="A3133">
        <v>2019</v>
      </c>
      <c r="B3133" t="s">
        <v>179</v>
      </c>
      <c r="C3133" t="s">
        <v>1809</v>
      </c>
      <c r="D3133" s="65">
        <v>490</v>
      </c>
      <c r="E3133" s="33"/>
      <c r="G3133" t="s">
        <v>150</v>
      </c>
      <c r="H3133" t="s">
        <v>556</v>
      </c>
      <c r="I3133" t="s">
        <v>52</v>
      </c>
      <c r="J3133" t="s">
        <v>201</v>
      </c>
      <c r="K3133" s="17">
        <v>0</v>
      </c>
      <c r="L3133" s="28" t="s">
        <v>178</v>
      </c>
      <c r="N3133" s="21"/>
      <c r="O3133" s="2"/>
      <c r="P3133" s="2"/>
      <c r="Q3133" s="4"/>
      <c r="R3133" s="4"/>
      <c r="S3133" s="4"/>
      <c r="T3133" s="4"/>
      <c r="U3133" s="4"/>
      <c r="V3133" s="4"/>
    </row>
    <row r="3134" spans="1:22" ht="14.5" customHeight="1" x14ac:dyDescent="0.2">
      <c r="A3134">
        <v>2019</v>
      </c>
      <c r="B3134" t="s">
        <v>179</v>
      </c>
      <c r="C3134" t="s">
        <v>300</v>
      </c>
      <c r="D3134" s="65">
        <v>690</v>
      </c>
      <c r="E3134" s="33">
        <v>0.01</v>
      </c>
      <c r="F3134" t="s">
        <v>1810</v>
      </c>
      <c r="G3134" t="s">
        <v>146</v>
      </c>
      <c r="H3134" t="s">
        <v>275</v>
      </c>
      <c r="I3134" t="s">
        <v>52</v>
      </c>
      <c r="J3134" t="s">
        <v>201</v>
      </c>
      <c r="K3134" s="17">
        <v>0</v>
      </c>
      <c r="L3134" s="28"/>
      <c r="N3134" s="21"/>
      <c r="O3134" s="2"/>
      <c r="P3134" s="2"/>
      <c r="Q3134" s="4"/>
      <c r="R3134" s="4"/>
      <c r="S3134" s="4"/>
      <c r="T3134" s="4"/>
      <c r="U3134" s="4"/>
      <c r="V3134" s="4"/>
    </row>
    <row r="3135" spans="1:22" ht="14.5" customHeight="1" x14ac:dyDescent="0.2">
      <c r="A3135">
        <v>2019</v>
      </c>
      <c r="B3135" t="s">
        <v>179</v>
      </c>
      <c r="C3135" t="s">
        <v>1149</v>
      </c>
      <c r="D3135" s="65">
        <v>320</v>
      </c>
      <c r="E3135" s="33"/>
      <c r="G3135" t="s">
        <v>151</v>
      </c>
      <c r="H3135" t="s">
        <v>224</v>
      </c>
      <c r="I3135" t="s">
        <v>9</v>
      </c>
      <c r="J3135" t="s">
        <v>9</v>
      </c>
      <c r="K3135" s="17">
        <v>0</v>
      </c>
      <c r="L3135" s="28" t="s">
        <v>178</v>
      </c>
      <c r="N3135" s="21"/>
      <c r="O3135" s="2"/>
      <c r="P3135" s="2"/>
      <c r="Q3135" s="4"/>
      <c r="R3135" s="4"/>
      <c r="S3135" s="4"/>
      <c r="T3135" s="4"/>
      <c r="U3135" s="4"/>
      <c r="V3135" s="4"/>
    </row>
    <row r="3136" spans="1:22" ht="14.5" customHeight="1" x14ac:dyDescent="0.2">
      <c r="A3136">
        <v>2019</v>
      </c>
      <c r="B3136" t="s">
        <v>184</v>
      </c>
      <c r="C3136" t="s">
        <v>1448</v>
      </c>
      <c r="D3136" s="65">
        <v>100</v>
      </c>
      <c r="E3136" s="33">
        <v>0.28999999999999998</v>
      </c>
      <c r="F3136" t="s">
        <v>1811</v>
      </c>
      <c r="G3136" t="s">
        <v>149</v>
      </c>
      <c r="I3136" t="s">
        <v>77</v>
      </c>
      <c r="J3136" t="s">
        <v>177</v>
      </c>
      <c r="K3136" s="17">
        <v>0</v>
      </c>
      <c r="L3136" s="28"/>
      <c r="N3136" s="21"/>
      <c r="O3136" s="2"/>
      <c r="P3136" s="2"/>
      <c r="Q3136" s="4"/>
      <c r="R3136" s="4"/>
      <c r="S3136" s="4"/>
      <c r="T3136" s="4"/>
      <c r="U3136" s="4"/>
      <c r="V3136" s="4"/>
    </row>
    <row r="3137" spans="1:22" ht="14.5" customHeight="1" x14ac:dyDescent="0.2">
      <c r="A3137">
        <v>2019</v>
      </c>
      <c r="B3137" t="s">
        <v>184</v>
      </c>
      <c r="C3137" t="s">
        <v>221</v>
      </c>
      <c r="D3137" s="65">
        <v>450</v>
      </c>
      <c r="E3137" s="33">
        <v>0.1</v>
      </c>
      <c r="F3137" t="s">
        <v>1812</v>
      </c>
      <c r="G3137" t="s">
        <v>149</v>
      </c>
      <c r="I3137" t="s">
        <v>25</v>
      </c>
      <c r="J3137" t="s">
        <v>177</v>
      </c>
      <c r="K3137" s="17">
        <v>0</v>
      </c>
      <c r="L3137" s="28"/>
      <c r="N3137" s="21"/>
      <c r="O3137" s="2"/>
      <c r="P3137" s="2"/>
      <c r="Q3137" s="4"/>
      <c r="R3137" s="4"/>
      <c r="S3137" s="4"/>
      <c r="T3137" s="4"/>
      <c r="U3137" s="4"/>
      <c r="V3137" s="4"/>
    </row>
    <row r="3138" spans="1:22" ht="14.5" customHeight="1" x14ac:dyDescent="0.2">
      <c r="A3138">
        <v>2019</v>
      </c>
      <c r="B3138" t="s">
        <v>184</v>
      </c>
      <c r="C3138" t="s">
        <v>818</v>
      </c>
      <c r="D3138" s="65">
        <v>4040</v>
      </c>
      <c r="E3138" s="33">
        <v>0.2</v>
      </c>
      <c r="F3138" t="s">
        <v>1003</v>
      </c>
      <c r="G3138" t="s">
        <v>144</v>
      </c>
      <c r="H3138" t="s">
        <v>299</v>
      </c>
      <c r="I3138" t="s">
        <v>101</v>
      </c>
      <c r="J3138" t="s">
        <v>201</v>
      </c>
      <c r="K3138" s="17">
        <v>1</v>
      </c>
      <c r="L3138" s="28"/>
      <c r="N3138" s="21"/>
      <c r="O3138" s="2"/>
      <c r="P3138" s="2"/>
      <c r="Q3138" s="4"/>
      <c r="R3138" s="4"/>
      <c r="S3138" s="4"/>
      <c r="T3138" s="4"/>
      <c r="U3138" s="4"/>
      <c r="V3138" s="4"/>
    </row>
    <row r="3139" spans="1:22" ht="14.5" customHeight="1" x14ac:dyDescent="0.2">
      <c r="A3139">
        <v>2019</v>
      </c>
      <c r="B3139" t="s">
        <v>184</v>
      </c>
      <c r="C3139" t="s">
        <v>999</v>
      </c>
      <c r="D3139" s="65">
        <v>1090</v>
      </c>
      <c r="E3139" s="33">
        <v>0.22</v>
      </c>
      <c r="F3139" t="s">
        <v>1196</v>
      </c>
      <c r="G3139" t="s">
        <v>153</v>
      </c>
      <c r="I3139" t="s">
        <v>52</v>
      </c>
      <c r="J3139" t="s">
        <v>201</v>
      </c>
      <c r="K3139" s="17">
        <v>0</v>
      </c>
      <c r="L3139" s="28"/>
      <c r="N3139" s="21"/>
      <c r="O3139" s="2"/>
      <c r="P3139" s="2"/>
      <c r="Q3139" s="4"/>
      <c r="R3139" s="4"/>
      <c r="S3139" s="4"/>
      <c r="T3139" s="4"/>
      <c r="U3139" s="4"/>
      <c r="V3139" s="4"/>
    </row>
    <row r="3140" spans="1:22" ht="14.5" customHeight="1" x14ac:dyDescent="0.2">
      <c r="A3140">
        <v>2019</v>
      </c>
      <c r="B3140" t="s">
        <v>184</v>
      </c>
      <c r="C3140" t="s">
        <v>530</v>
      </c>
      <c r="D3140" s="65">
        <v>170</v>
      </c>
      <c r="E3140" s="33">
        <v>1</v>
      </c>
      <c r="G3140" t="s">
        <v>152</v>
      </c>
      <c r="H3140" t="s">
        <v>257</v>
      </c>
      <c r="I3140" t="s">
        <v>64</v>
      </c>
      <c r="J3140" t="s">
        <v>219</v>
      </c>
      <c r="K3140" s="17">
        <v>1</v>
      </c>
      <c r="L3140" s="28" t="s">
        <v>178</v>
      </c>
      <c r="N3140" s="21"/>
      <c r="O3140" s="2"/>
      <c r="P3140" s="2"/>
      <c r="Q3140" s="4"/>
      <c r="R3140" s="4"/>
      <c r="S3140" s="4"/>
      <c r="T3140" s="4"/>
      <c r="U3140" s="4"/>
      <c r="V3140" s="4"/>
    </row>
    <row r="3141" spans="1:22" ht="14.5" customHeight="1" x14ac:dyDescent="0.2">
      <c r="A3141">
        <v>2019</v>
      </c>
      <c r="B3141" t="s">
        <v>184</v>
      </c>
      <c r="C3141" t="s">
        <v>1813</v>
      </c>
      <c r="D3141" s="65">
        <v>170</v>
      </c>
      <c r="E3141" s="33"/>
      <c r="G3141" t="s">
        <v>142</v>
      </c>
      <c r="I3141" t="s">
        <v>136</v>
      </c>
      <c r="J3141" t="s">
        <v>183</v>
      </c>
      <c r="K3141" s="17">
        <v>1</v>
      </c>
      <c r="L3141" s="28" t="s">
        <v>178</v>
      </c>
      <c r="N3141" s="21"/>
      <c r="O3141" s="2"/>
      <c r="P3141" s="2"/>
      <c r="Q3141" s="4"/>
      <c r="R3141" s="4"/>
      <c r="S3141" s="4"/>
      <c r="T3141" s="4"/>
      <c r="U3141" s="4"/>
      <c r="V3141" s="4"/>
    </row>
    <row r="3142" spans="1:22" ht="14.5" customHeight="1" x14ac:dyDescent="0.2">
      <c r="A3142">
        <v>2019</v>
      </c>
      <c r="B3142" t="s">
        <v>184</v>
      </c>
      <c r="C3142" t="s">
        <v>739</v>
      </c>
      <c r="D3142" s="65">
        <v>150</v>
      </c>
      <c r="E3142" s="33"/>
      <c r="G3142" t="s">
        <v>151</v>
      </c>
      <c r="H3142" t="s">
        <v>279</v>
      </c>
      <c r="I3142" t="s">
        <v>134</v>
      </c>
      <c r="J3142" t="s">
        <v>201</v>
      </c>
      <c r="K3142" s="17">
        <v>1</v>
      </c>
      <c r="L3142" s="28" t="s">
        <v>178</v>
      </c>
      <c r="N3142" s="21"/>
      <c r="O3142" s="2"/>
      <c r="P3142" s="2"/>
      <c r="Q3142" s="4"/>
      <c r="R3142" s="4"/>
      <c r="S3142" s="4"/>
      <c r="T3142" s="4"/>
      <c r="U3142" s="4"/>
      <c r="V3142" s="4"/>
    </row>
    <row r="3143" spans="1:22" ht="14.5" customHeight="1" x14ac:dyDescent="0.2">
      <c r="A3143">
        <v>2019</v>
      </c>
      <c r="B3143" t="s">
        <v>184</v>
      </c>
      <c r="C3143" t="s">
        <v>405</v>
      </c>
      <c r="D3143" s="65">
        <v>220</v>
      </c>
      <c r="E3143" s="33">
        <v>0.08</v>
      </c>
      <c r="F3143" t="s">
        <v>1814</v>
      </c>
      <c r="G3143" t="s">
        <v>149</v>
      </c>
      <c r="H3143" t="s">
        <v>182</v>
      </c>
      <c r="I3143" t="s">
        <v>9</v>
      </c>
      <c r="J3143" t="s">
        <v>9</v>
      </c>
      <c r="K3143" s="17">
        <v>0</v>
      </c>
      <c r="L3143" s="28" t="s">
        <v>178</v>
      </c>
      <c r="N3143" s="21"/>
      <c r="O3143" s="2"/>
      <c r="P3143" s="2"/>
      <c r="Q3143" s="4"/>
      <c r="R3143" s="4"/>
      <c r="S3143" s="4"/>
      <c r="T3143" s="4"/>
      <c r="U3143" s="4"/>
      <c r="V3143" s="4"/>
    </row>
    <row r="3144" spans="1:22" ht="14.5" customHeight="1" x14ac:dyDescent="0.2">
      <c r="A3144">
        <v>2019</v>
      </c>
      <c r="B3144" t="s">
        <v>184</v>
      </c>
      <c r="C3144" t="s">
        <v>479</v>
      </c>
      <c r="D3144" s="65">
        <v>120</v>
      </c>
      <c r="E3144" s="33">
        <v>0.91</v>
      </c>
      <c r="G3144" t="s">
        <v>150</v>
      </c>
      <c r="H3144" t="s">
        <v>217</v>
      </c>
      <c r="I3144" t="s">
        <v>93</v>
      </c>
      <c r="J3144" t="s">
        <v>201</v>
      </c>
      <c r="K3144" s="17">
        <v>1</v>
      </c>
      <c r="L3144" s="28" t="s">
        <v>178</v>
      </c>
      <c r="N3144" s="21"/>
      <c r="O3144" s="2"/>
      <c r="P3144" s="2"/>
      <c r="Q3144" s="4"/>
      <c r="R3144" s="4"/>
      <c r="S3144" s="4"/>
      <c r="T3144" s="4"/>
      <c r="U3144" s="4"/>
      <c r="V3144" s="4"/>
    </row>
    <row r="3145" spans="1:22" ht="14.5" customHeight="1" x14ac:dyDescent="0.2">
      <c r="A3145">
        <v>2019</v>
      </c>
      <c r="B3145" t="s">
        <v>184</v>
      </c>
      <c r="C3145" t="s">
        <v>483</v>
      </c>
      <c r="D3145" s="65">
        <v>790</v>
      </c>
      <c r="E3145" s="33">
        <v>0.5</v>
      </c>
      <c r="F3145" t="s">
        <v>1815</v>
      </c>
      <c r="G3145" t="s">
        <v>144</v>
      </c>
      <c r="H3145" t="s">
        <v>273</v>
      </c>
      <c r="I3145" t="s">
        <v>13</v>
      </c>
      <c r="J3145" t="s">
        <v>201</v>
      </c>
      <c r="K3145" s="17">
        <v>1</v>
      </c>
      <c r="L3145" s="28" t="s">
        <v>178</v>
      </c>
      <c r="N3145" s="21"/>
      <c r="O3145" s="2"/>
      <c r="P3145" s="2"/>
      <c r="Q3145" s="4"/>
      <c r="R3145" s="4"/>
      <c r="S3145" s="4"/>
      <c r="T3145" s="4"/>
      <c r="U3145" s="4"/>
      <c r="V3145" s="4"/>
    </row>
    <row r="3146" spans="1:22" ht="14.5" customHeight="1" x14ac:dyDescent="0.2">
      <c r="A3146">
        <v>2019</v>
      </c>
      <c r="B3146" t="s">
        <v>184</v>
      </c>
      <c r="C3146" t="s">
        <v>1801</v>
      </c>
      <c r="D3146" s="65">
        <v>140</v>
      </c>
      <c r="E3146" s="33">
        <v>1</v>
      </c>
      <c r="F3146" t="s">
        <v>1816</v>
      </c>
      <c r="G3146" t="s">
        <v>151</v>
      </c>
      <c r="H3146" t="s">
        <v>224</v>
      </c>
      <c r="I3146" t="s">
        <v>9</v>
      </c>
      <c r="J3146" t="s">
        <v>9</v>
      </c>
      <c r="K3146" s="17">
        <v>0</v>
      </c>
      <c r="L3146" s="28"/>
      <c r="N3146" s="21"/>
      <c r="O3146" s="2"/>
      <c r="P3146" s="2"/>
      <c r="Q3146" s="4"/>
      <c r="R3146" s="4"/>
      <c r="S3146" s="4"/>
      <c r="T3146" s="4"/>
      <c r="U3146" s="4"/>
      <c r="V3146" s="4"/>
    </row>
    <row r="3147" spans="1:22" ht="14.5" customHeight="1" x14ac:dyDescent="0.2">
      <c r="A3147">
        <v>2019</v>
      </c>
      <c r="B3147" t="s">
        <v>184</v>
      </c>
      <c r="C3147" t="s">
        <v>1817</v>
      </c>
      <c r="D3147" s="65">
        <v>110</v>
      </c>
      <c r="E3147" s="33"/>
      <c r="G3147" t="s">
        <v>154</v>
      </c>
      <c r="H3147" t="s">
        <v>194</v>
      </c>
      <c r="I3147" t="s">
        <v>106</v>
      </c>
      <c r="J3147" t="s">
        <v>195</v>
      </c>
      <c r="K3147" s="17">
        <v>1</v>
      </c>
      <c r="L3147" s="28" t="s">
        <v>178</v>
      </c>
      <c r="N3147" s="21"/>
      <c r="O3147" s="2"/>
      <c r="P3147" s="2"/>
      <c r="Q3147" s="4"/>
      <c r="R3147" s="4"/>
      <c r="S3147" s="4"/>
      <c r="T3147" s="4"/>
      <c r="U3147" s="4"/>
      <c r="V3147" s="4"/>
    </row>
    <row r="3148" spans="1:22" ht="14.5" customHeight="1" x14ac:dyDescent="0.2">
      <c r="A3148">
        <v>2019</v>
      </c>
      <c r="B3148" t="s">
        <v>184</v>
      </c>
      <c r="C3148" t="s">
        <v>1818</v>
      </c>
      <c r="D3148" s="65">
        <v>300</v>
      </c>
      <c r="E3148" s="33"/>
      <c r="G3148" t="s">
        <v>154</v>
      </c>
      <c r="H3148" t="s">
        <v>194</v>
      </c>
      <c r="I3148" t="s">
        <v>124</v>
      </c>
      <c r="J3148" t="s">
        <v>183</v>
      </c>
      <c r="K3148" s="17">
        <v>1</v>
      </c>
      <c r="L3148" s="28" t="s">
        <v>178</v>
      </c>
      <c r="N3148" s="21"/>
      <c r="O3148" s="2"/>
      <c r="P3148" s="2"/>
      <c r="Q3148" s="4"/>
      <c r="R3148" s="4"/>
      <c r="S3148" s="4"/>
      <c r="T3148" s="4"/>
      <c r="U3148" s="4"/>
      <c r="V3148" s="4"/>
    </row>
    <row r="3149" spans="1:22" ht="14.5" customHeight="1" x14ac:dyDescent="0.2">
      <c r="A3149">
        <v>2019</v>
      </c>
      <c r="B3149" t="s">
        <v>225</v>
      </c>
      <c r="C3149" t="s">
        <v>1819</v>
      </c>
      <c r="D3149" s="65">
        <v>260</v>
      </c>
      <c r="E3149" s="33">
        <v>1</v>
      </c>
      <c r="F3149" t="s">
        <v>1820</v>
      </c>
      <c r="G3149" t="s">
        <v>150</v>
      </c>
      <c r="H3149" t="s">
        <v>292</v>
      </c>
      <c r="I3149" t="s">
        <v>131</v>
      </c>
      <c r="J3149" t="s">
        <v>131</v>
      </c>
      <c r="K3149" s="17">
        <v>0</v>
      </c>
      <c r="L3149" s="28"/>
      <c r="N3149" s="21"/>
      <c r="O3149" s="2"/>
      <c r="P3149" s="2"/>
      <c r="Q3149" s="4"/>
      <c r="R3149" s="4"/>
      <c r="S3149" s="4"/>
      <c r="T3149" s="4"/>
      <c r="U3149" s="4"/>
      <c r="V3149" s="4"/>
    </row>
    <row r="3150" spans="1:22" ht="14.5" customHeight="1" x14ac:dyDescent="0.2">
      <c r="A3150">
        <v>2019</v>
      </c>
      <c r="B3150" t="s">
        <v>225</v>
      </c>
      <c r="C3150" t="s">
        <v>199</v>
      </c>
      <c r="D3150" s="65">
        <v>1070</v>
      </c>
      <c r="E3150" s="33">
        <v>1</v>
      </c>
      <c r="G3150" t="s">
        <v>144</v>
      </c>
      <c r="H3150" t="s">
        <v>299</v>
      </c>
      <c r="I3150" t="s">
        <v>55</v>
      </c>
      <c r="J3150" t="s">
        <v>214</v>
      </c>
      <c r="K3150" s="17">
        <v>1</v>
      </c>
      <c r="L3150" s="28" t="s">
        <v>178</v>
      </c>
      <c r="N3150" s="21"/>
      <c r="O3150" s="2"/>
      <c r="P3150" s="2"/>
      <c r="Q3150" s="4"/>
      <c r="R3150" s="4"/>
      <c r="S3150" s="4"/>
      <c r="T3150" s="4"/>
      <c r="U3150" s="4"/>
      <c r="V3150" s="4"/>
    </row>
    <row r="3151" spans="1:22" ht="14.5" customHeight="1" x14ac:dyDescent="0.2">
      <c r="A3151">
        <v>2019</v>
      </c>
      <c r="B3151" t="s">
        <v>225</v>
      </c>
      <c r="C3151" t="s">
        <v>449</v>
      </c>
      <c r="D3151" s="65">
        <v>250</v>
      </c>
      <c r="E3151" s="33">
        <v>1</v>
      </c>
      <c r="G3151" t="s">
        <v>154</v>
      </c>
      <c r="H3151" t="s">
        <v>271</v>
      </c>
      <c r="I3151" t="s">
        <v>89</v>
      </c>
      <c r="J3151" t="s">
        <v>219</v>
      </c>
      <c r="K3151" s="17">
        <v>1</v>
      </c>
      <c r="L3151" s="28" t="s">
        <v>178</v>
      </c>
      <c r="N3151" s="21"/>
      <c r="O3151" s="2"/>
      <c r="P3151" s="2"/>
      <c r="Q3151" s="4"/>
      <c r="R3151" s="4"/>
      <c r="S3151" s="4"/>
      <c r="T3151" s="4"/>
      <c r="U3151" s="4"/>
      <c r="V3151" s="4"/>
    </row>
    <row r="3152" spans="1:22" ht="14.5" customHeight="1" x14ac:dyDescent="0.2">
      <c r="A3152">
        <v>2019</v>
      </c>
      <c r="B3152" t="s">
        <v>225</v>
      </c>
      <c r="C3152" t="s">
        <v>479</v>
      </c>
      <c r="D3152" s="65">
        <v>220</v>
      </c>
      <c r="E3152" s="33">
        <v>1</v>
      </c>
      <c r="G3152" t="s">
        <v>149</v>
      </c>
      <c r="H3152" t="s">
        <v>182</v>
      </c>
      <c r="I3152" t="s">
        <v>19</v>
      </c>
      <c r="J3152" t="s">
        <v>205</v>
      </c>
      <c r="K3152" s="17">
        <v>0</v>
      </c>
      <c r="L3152" s="28" t="s">
        <v>178</v>
      </c>
      <c r="N3152" s="21"/>
      <c r="O3152" s="2"/>
      <c r="P3152" s="2"/>
      <c r="Q3152" s="4"/>
      <c r="R3152" s="4"/>
      <c r="S3152" s="4"/>
      <c r="T3152" s="4"/>
      <c r="U3152" s="4"/>
      <c r="V3152" s="4"/>
    </row>
    <row r="3153" spans="1:22" ht="14.5" customHeight="1" x14ac:dyDescent="0.2">
      <c r="A3153">
        <v>2019</v>
      </c>
      <c r="B3153" t="s">
        <v>225</v>
      </c>
      <c r="C3153" t="s">
        <v>1234</v>
      </c>
      <c r="D3153" s="65">
        <v>560</v>
      </c>
      <c r="E3153" s="33">
        <v>0.51</v>
      </c>
      <c r="F3153" t="s">
        <v>1821</v>
      </c>
      <c r="G3153" t="s">
        <v>154</v>
      </c>
      <c r="H3153" t="s">
        <v>194</v>
      </c>
      <c r="I3153" t="s">
        <v>63</v>
      </c>
      <c r="J3153" t="s">
        <v>201</v>
      </c>
      <c r="K3153" s="17">
        <v>1</v>
      </c>
      <c r="L3153" s="28"/>
      <c r="N3153" s="21"/>
      <c r="O3153" s="2"/>
      <c r="P3153" s="2"/>
      <c r="Q3153" s="4"/>
      <c r="R3153" s="4"/>
      <c r="S3153" s="4"/>
      <c r="T3153" s="4"/>
      <c r="U3153" s="4"/>
      <c r="V3153" s="4"/>
    </row>
    <row r="3154" spans="1:22" ht="14.5" customHeight="1" x14ac:dyDescent="0.2">
      <c r="A3154">
        <v>2019</v>
      </c>
      <c r="B3154" t="s">
        <v>225</v>
      </c>
      <c r="C3154" t="s">
        <v>822</v>
      </c>
      <c r="D3154" s="65">
        <v>100</v>
      </c>
      <c r="E3154" s="33"/>
      <c r="F3154" t="s">
        <v>1822</v>
      </c>
      <c r="G3154" t="s">
        <v>145</v>
      </c>
      <c r="I3154" t="s">
        <v>52</v>
      </c>
      <c r="J3154" t="s">
        <v>201</v>
      </c>
      <c r="K3154" s="17">
        <v>0</v>
      </c>
      <c r="L3154" s="28"/>
      <c r="N3154" s="21"/>
      <c r="O3154" s="2"/>
      <c r="P3154" s="2"/>
      <c r="Q3154" s="4"/>
      <c r="R3154" s="4"/>
      <c r="S3154" s="4"/>
      <c r="T3154" s="4"/>
      <c r="U3154" s="4"/>
      <c r="V3154" s="4"/>
    </row>
    <row r="3155" spans="1:22" ht="14.5" customHeight="1" x14ac:dyDescent="0.2">
      <c r="A3155">
        <v>2019</v>
      </c>
      <c r="B3155" t="s">
        <v>225</v>
      </c>
      <c r="C3155" t="s">
        <v>1823</v>
      </c>
      <c r="D3155" s="65">
        <v>100</v>
      </c>
      <c r="E3155" s="33">
        <v>0.5</v>
      </c>
      <c r="F3155" t="s">
        <v>1824</v>
      </c>
      <c r="G3155" t="s">
        <v>150</v>
      </c>
      <c r="H3155" t="s">
        <v>292</v>
      </c>
      <c r="I3155" t="s">
        <v>53</v>
      </c>
      <c r="J3155" t="s">
        <v>183</v>
      </c>
      <c r="K3155" s="17">
        <v>1</v>
      </c>
      <c r="L3155" s="28" t="s">
        <v>178</v>
      </c>
      <c r="N3155" s="21"/>
      <c r="O3155" s="2"/>
      <c r="P3155" s="2"/>
      <c r="Q3155" s="4"/>
      <c r="R3155" s="4"/>
      <c r="S3155" s="4"/>
      <c r="T3155" s="4"/>
      <c r="U3155" s="4"/>
      <c r="V3155" s="4"/>
    </row>
    <row r="3156" spans="1:22" ht="14.5" customHeight="1" x14ac:dyDescent="0.2">
      <c r="A3156">
        <v>2019</v>
      </c>
      <c r="B3156" t="s">
        <v>225</v>
      </c>
      <c r="C3156" t="s">
        <v>932</v>
      </c>
      <c r="D3156" s="65">
        <v>100</v>
      </c>
      <c r="E3156" s="33"/>
      <c r="G3156" t="s">
        <v>150</v>
      </c>
      <c r="H3156" t="s">
        <v>217</v>
      </c>
      <c r="I3156" t="s">
        <v>40</v>
      </c>
      <c r="J3156" t="s">
        <v>219</v>
      </c>
      <c r="K3156" s="17">
        <v>1</v>
      </c>
      <c r="L3156" s="28" t="s">
        <v>178</v>
      </c>
      <c r="N3156" s="21"/>
      <c r="O3156" s="2"/>
      <c r="P3156" s="2"/>
      <c r="Q3156" s="4"/>
      <c r="R3156" s="4"/>
      <c r="S3156" s="4"/>
      <c r="T3156" s="4"/>
      <c r="U3156" s="4"/>
      <c r="V3156" s="4"/>
    </row>
    <row r="3157" spans="1:22" ht="14.5" customHeight="1" x14ac:dyDescent="0.2">
      <c r="A3157">
        <v>2019</v>
      </c>
      <c r="B3157" t="s">
        <v>225</v>
      </c>
      <c r="C3157" t="s">
        <v>1624</v>
      </c>
      <c r="D3157" s="65">
        <v>150</v>
      </c>
      <c r="E3157" s="33">
        <v>1</v>
      </c>
      <c r="G3157" t="s">
        <v>151</v>
      </c>
      <c r="H3157" t="s">
        <v>279</v>
      </c>
      <c r="I3157" t="s">
        <v>134</v>
      </c>
      <c r="J3157" t="s">
        <v>201</v>
      </c>
      <c r="K3157" s="17">
        <v>1</v>
      </c>
      <c r="L3157" s="28" t="s">
        <v>178</v>
      </c>
      <c r="N3157" s="21"/>
      <c r="O3157" s="2"/>
      <c r="P3157" s="2"/>
      <c r="Q3157" s="4"/>
      <c r="R3157" s="4"/>
      <c r="S3157" s="4"/>
      <c r="T3157" s="4"/>
      <c r="U3157" s="4"/>
      <c r="V3157" s="4"/>
    </row>
    <row r="3158" spans="1:22" ht="14.5" customHeight="1" x14ac:dyDescent="0.2">
      <c r="A3158">
        <v>2019</v>
      </c>
      <c r="B3158" t="s">
        <v>225</v>
      </c>
      <c r="C3158" t="s">
        <v>1825</v>
      </c>
      <c r="D3158" s="65">
        <v>350</v>
      </c>
      <c r="E3158" s="33"/>
      <c r="F3158" t="s">
        <v>1826</v>
      </c>
      <c r="G3158" t="s">
        <v>147</v>
      </c>
      <c r="I3158" t="s">
        <v>131</v>
      </c>
      <c r="J3158" t="s">
        <v>131</v>
      </c>
      <c r="K3158" s="17">
        <v>0</v>
      </c>
      <c r="L3158" s="28"/>
      <c r="N3158" s="21"/>
      <c r="O3158" s="2"/>
      <c r="P3158" s="2"/>
      <c r="Q3158" s="4"/>
      <c r="R3158" s="4"/>
      <c r="S3158" s="4"/>
      <c r="T3158" s="4"/>
      <c r="U3158" s="4"/>
      <c r="V3158" s="4"/>
    </row>
    <row r="3159" spans="1:22" ht="14.5" customHeight="1" x14ac:dyDescent="0.2">
      <c r="A3159">
        <v>2019</v>
      </c>
      <c r="B3159" t="s">
        <v>225</v>
      </c>
      <c r="C3159" t="s">
        <v>234</v>
      </c>
      <c r="D3159" s="65">
        <v>240</v>
      </c>
      <c r="E3159" s="33">
        <v>0.9</v>
      </c>
      <c r="G3159" t="s">
        <v>149</v>
      </c>
      <c r="I3159" t="s">
        <v>63</v>
      </c>
      <c r="J3159" t="s">
        <v>201</v>
      </c>
      <c r="K3159" s="17">
        <v>1</v>
      </c>
      <c r="L3159" s="28" t="s">
        <v>178</v>
      </c>
      <c r="N3159" s="21"/>
      <c r="O3159" s="2"/>
      <c r="P3159" s="2"/>
      <c r="Q3159" s="4"/>
      <c r="R3159" s="4"/>
      <c r="S3159" s="4"/>
      <c r="T3159" s="4"/>
      <c r="U3159" s="4"/>
      <c r="V3159" s="4"/>
    </row>
    <row r="3160" spans="1:22" ht="14.5" customHeight="1" x14ac:dyDescent="0.2">
      <c r="A3160">
        <v>2019</v>
      </c>
      <c r="B3160" t="s">
        <v>225</v>
      </c>
      <c r="C3160" t="s">
        <v>554</v>
      </c>
      <c r="D3160" s="65">
        <v>190</v>
      </c>
      <c r="E3160" s="33">
        <v>0.02</v>
      </c>
      <c r="F3160" t="s">
        <v>1587</v>
      </c>
      <c r="G3160" t="s">
        <v>146</v>
      </c>
      <c r="I3160" t="s">
        <v>15</v>
      </c>
      <c r="J3160" t="s">
        <v>195</v>
      </c>
      <c r="K3160" s="17">
        <v>0</v>
      </c>
      <c r="L3160" s="28"/>
      <c r="N3160" s="21"/>
      <c r="O3160" s="2"/>
      <c r="P3160" s="2"/>
      <c r="Q3160" s="4"/>
      <c r="R3160" s="4"/>
      <c r="S3160" s="4"/>
      <c r="T3160" s="4"/>
      <c r="U3160" s="4"/>
      <c r="V3160" s="4"/>
    </row>
    <row r="3161" spans="1:22" ht="14.5" customHeight="1" x14ac:dyDescent="0.2">
      <c r="A3161">
        <v>2019</v>
      </c>
      <c r="B3161" t="s">
        <v>188</v>
      </c>
      <c r="C3161" t="s">
        <v>1827</v>
      </c>
      <c r="D3161" s="65">
        <v>740</v>
      </c>
      <c r="E3161" s="33">
        <v>1</v>
      </c>
      <c r="F3161" t="s">
        <v>1828</v>
      </c>
      <c r="G3161" t="s">
        <v>150</v>
      </c>
      <c r="H3161" t="s">
        <v>292</v>
      </c>
      <c r="I3161" t="s">
        <v>52</v>
      </c>
      <c r="J3161" t="s">
        <v>201</v>
      </c>
      <c r="K3161" s="17">
        <v>0</v>
      </c>
      <c r="L3161" s="28" t="s">
        <v>178</v>
      </c>
      <c r="N3161" s="21"/>
      <c r="O3161" s="2"/>
      <c r="P3161" s="2"/>
      <c r="Q3161" s="4"/>
      <c r="R3161" s="4"/>
      <c r="S3161" s="4"/>
      <c r="T3161" s="4"/>
      <c r="U3161" s="4"/>
      <c r="V3161" s="4"/>
    </row>
    <row r="3162" spans="1:22" ht="14.5" customHeight="1" x14ac:dyDescent="0.2">
      <c r="A3162">
        <v>2019</v>
      </c>
      <c r="B3162" t="s">
        <v>188</v>
      </c>
      <c r="C3162" t="s">
        <v>1829</v>
      </c>
      <c r="D3162" s="65">
        <v>450</v>
      </c>
      <c r="E3162" s="33">
        <v>1</v>
      </c>
      <c r="F3162" t="s">
        <v>1830</v>
      </c>
      <c r="G3162" t="s">
        <v>142</v>
      </c>
      <c r="I3162" t="s">
        <v>20</v>
      </c>
      <c r="J3162" t="s">
        <v>195</v>
      </c>
      <c r="K3162" s="17">
        <v>0</v>
      </c>
      <c r="L3162" s="28"/>
      <c r="N3162" s="21"/>
      <c r="O3162" s="2"/>
      <c r="P3162" s="2"/>
      <c r="Q3162" s="4"/>
      <c r="R3162" s="4"/>
      <c r="S3162" s="4"/>
      <c r="T3162" s="4"/>
      <c r="U3162" s="4"/>
      <c r="V3162" s="4"/>
    </row>
    <row r="3163" spans="1:22" ht="14.5" customHeight="1" x14ac:dyDescent="0.2">
      <c r="A3163">
        <v>2019</v>
      </c>
      <c r="B3163" t="s">
        <v>188</v>
      </c>
      <c r="C3163" t="s">
        <v>221</v>
      </c>
      <c r="D3163" s="65">
        <v>190</v>
      </c>
      <c r="E3163" s="33"/>
      <c r="G3163" t="s">
        <v>154</v>
      </c>
      <c r="H3163" t="s">
        <v>194</v>
      </c>
      <c r="I3163" t="s">
        <v>80</v>
      </c>
      <c r="J3163" t="s">
        <v>214</v>
      </c>
      <c r="K3163" s="17">
        <v>1</v>
      </c>
      <c r="L3163" s="28" t="s">
        <v>178</v>
      </c>
      <c r="N3163" s="21"/>
      <c r="O3163" s="2"/>
      <c r="P3163" s="2"/>
      <c r="Q3163" s="4"/>
      <c r="R3163" s="4"/>
      <c r="S3163" s="4"/>
      <c r="T3163" s="4"/>
      <c r="U3163" s="4"/>
      <c r="V3163" s="4"/>
    </row>
    <row r="3164" spans="1:22" ht="14.5" customHeight="1" x14ac:dyDescent="0.2">
      <c r="A3164">
        <v>2019</v>
      </c>
      <c r="B3164" t="s">
        <v>188</v>
      </c>
      <c r="C3164" t="s">
        <v>300</v>
      </c>
      <c r="D3164" s="65">
        <v>960</v>
      </c>
      <c r="E3164" s="33">
        <v>0.25</v>
      </c>
      <c r="F3164" t="s">
        <v>1831</v>
      </c>
      <c r="G3164" t="s">
        <v>144</v>
      </c>
      <c r="H3164" t="s">
        <v>232</v>
      </c>
      <c r="I3164" t="s">
        <v>105</v>
      </c>
      <c r="J3164" t="s">
        <v>214</v>
      </c>
      <c r="K3164" s="17">
        <v>1</v>
      </c>
      <c r="L3164" s="28"/>
      <c r="N3164" s="21"/>
      <c r="O3164" s="2"/>
      <c r="P3164" s="2"/>
      <c r="Q3164" s="4"/>
      <c r="R3164" s="4"/>
      <c r="S3164" s="4"/>
      <c r="T3164" s="4"/>
      <c r="U3164" s="4"/>
      <c r="V3164" s="4"/>
    </row>
    <row r="3165" spans="1:22" ht="14.5" customHeight="1" x14ac:dyDescent="0.2">
      <c r="A3165">
        <v>2019</v>
      </c>
      <c r="B3165" t="s">
        <v>188</v>
      </c>
      <c r="C3165" t="s">
        <v>1832</v>
      </c>
      <c r="D3165" s="65">
        <v>100</v>
      </c>
      <c r="E3165" s="33">
        <v>1</v>
      </c>
      <c r="F3165" t="s">
        <v>1833</v>
      </c>
      <c r="G3165" t="s">
        <v>150</v>
      </c>
      <c r="H3165" t="s">
        <v>556</v>
      </c>
      <c r="I3165" t="s">
        <v>41</v>
      </c>
      <c r="J3165" t="s">
        <v>195</v>
      </c>
      <c r="K3165" s="17">
        <v>0</v>
      </c>
      <c r="L3165" s="28"/>
      <c r="N3165" s="21"/>
      <c r="O3165" s="2"/>
      <c r="P3165" s="2"/>
      <c r="Q3165" s="4"/>
      <c r="R3165" s="4"/>
      <c r="S3165" s="4"/>
      <c r="T3165" s="4"/>
      <c r="U3165" s="4"/>
      <c r="V3165" s="4"/>
    </row>
    <row r="3166" spans="1:22" ht="14.5" customHeight="1" x14ac:dyDescent="0.2">
      <c r="A3166">
        <v>2019</v>
      </c>
      <c r="B3166" t="s">
        <v>188</v>
      </c>
      <c r="C3166" t="s">
        <v>1234</v>
      </c>
      <c r="D3166" s="65">
        <v>110</v>
      </c>
      <c r="E3166" s="33"/>
      <c r="G3166" t="s">
        <v>144</v>
      </c>
      <c r="H3166" t="s">
        <v>232</v>
      </c>
      <c r="I3166" t="s">
        <v>51</v>
      </c>
      <c r="J3166" t="s">
        <v>195</v>
      </c>
      <c r="K3166" s="17">
        <v>1</v>
      </c>
      <c r="L3166" s="28" t="s">
        <v>178</v>
      </c>
      <c r="N3166" s="21"/>
      <c r="O3166" s="2"/>
      <c r="P3166" s="2"/>
      <c r="Q3166" s="4"/>
      <c r="R3166" s="4"/>
      <c r="S3166" s="4"/>
      <c r="T3166" s="4"/>
      <c r="U3166" s="4"/>
      <c r="V3166" s="4"/>
    </row>
    <row r="3167" spans="1:22" ht="14.5" customHeight="1" x14ac:dyDescent="0.2">
      <c r="A3167">
        <v>2019</v>
      </c>
      <c r="B3167" t="s">
        <v>188</v>
      </c>
      <c r="C3167" t="s">
        <v>1834</v>
      </c>
      <c r="D3167" s="65">
        <v>110</v>
      </c>
      <c r="E3167" s="33"/>
      <c r="G3167" t="s">
        <v>151</v>
      </c>
      <c r="H3167" t="s">
        <v>224</v>
      </c>
      <c r="I3167" t="s">
        <v>9</v>
      </c>
      <c r="J3167" t="s">
        <v>9</v>
      </c>
      <c r="K3167" s="17">
        <v>0</v>
      </c>
      <c r="L3167" s="28"/>
      <c r="N3167" s="21"/>
      <c r="O3167" s="2"/>
      <c r="P3167" s="2"/>
      <c r="Q3167" s="4"/>
      <c r="R3167" s="4"/>
      <c r="S3167" s="4"/>
      <c r="T3167" s="4"/>
      <c r="U3167" s="4"/>
      <c r="V3167" s="4"/>
    </row>
    <row r="3168" spans="1:22" ht="14.5" customHeight="1" x14ac:dyDescent="0.2">
      <c r="A3168">
        <v>2019</v>
      </c>
      <c r="B3168" t="s">
        <v>188</v>
      </c>
      <c r="C3168" t="s">
        <v>1035</v>
      </c>
      <c r="D3168" s="65">
        <v>210</v>
      </c>
      <c r="E3168" s="33">
        <v>0.51</v>
      </c>
      <c r="F3168" t="s">
        <v>1835</v>
      </c>
      <c r="G3168" t="s">
        <v>144</v>
      </c>
      <c r="H3168" t="s">
        <v>197</v>
      </c>
      <c r="I3168" t="s">
        <v>34</v>
      </c>
      <c r="J3168" t="s">
        <v>219</v>
      </c>
      <c r="K3168" s="17">
        <v>1</v>
      </c>
      <c r="L3168" s="28" t="s">
        <v>178</v>
      </c>
      <c r="N3168" s="21"/>
      <c r="O3168" s="2"/>
      <c r="P3168" s="2"/>
      <c r="Q3168" s="4"/>
      <c r="R3168" s="4"/>
      <c r="S3168" s="4"/>
      <c r="T3168" s="4"/>
      <c r="U3168" s="4"/>
      <c r="V3168" s="4"/>
    </row>
    <row r="3169" spans="1:22" ht="14.5" customHeight="1" x14ac:dyDescent="0.2">
      <c r="A3169">
        <v>2019</v>
      </c>
      <c r="B3169" t="s">
        <v>188</v>
      </c>
      <c r="C3169" t="s">
        <v>943</v>
      </c>
      <c r="D3169" s="65">
        <v>7860</v>
      </c>
      <c r="E3169" s="33">
        <v>0.34</v>
      </c>
      <c r="F3169" t="s">
        <v>1836</v>
      </c>
      <c r="G3169" t="s">
        <v>144</v>
      </c>
      <c r="I3169" t="s">
        <v>20</v>
      </c>
      <c r="J3169" t="s">
        <v>195</v>
      </c>
      <c r="K3169" s="17">
        <v>0</v>
      </c>
      <c r="L3169" s="28" t="s">
        <v>178</v>
      </c>
      <c r="N3169" s="21"/>
      <c r="O3169" s="2"/>
      <c r="P3169" s="2"/>
      <c r="Q3169" s="4"/>
      <c r="R3169" s="4"/>
      <c r="S3169" s="4"/>
      <c r="T3169" s="4"/>
      <c r="U3169" s="4"/>
      <c r="V3169" s="4"/>
    </row>
    <row r="3170" spans="1:22" ht="14.5" customHeight="1" x14ac:dyDescent="0.2">
      <c r="A3170">
        <v>2019</v>
      </c>
      <c r="B3170" t="s">
        <v>191</v>
      </c>
      <c r="C3170" t="s">
        <v>414</v>
      </c>
      <c r="D3170" s="65">
        <v>2750</v>
      </c>
      <c r="E3170" s="33">
        <v>0.05</v>
      </c>
      <c r="F3170" t="s">
        <v>1640</v>
      </c>
      <c r="G3170" t="s">
        <v>154</v>
      </c>
      <c r="H3170" t="s">
        <v>194</v>
      </c>
      <c r="I3170" t="s">
        <v>45</v>
      </c>
      <c r="J3170" t="s">
        <v>195</v>
      </c>
      <c r="K3170" s="17">
        <v>0</v>
      </c>
      <c r="L3170" s="28"/>
      <c r="N3170" s="21"/>
      <c r="O3170" s="2"/>
      <c r="P3170" s="2"/>
      <c r="Q3170" s="4"/>
      <c r="R3170" s="4"/>
      <c r="S3170" s="4"/>
      <c r="T3170" s="4"/>
      <c r="U3170" s="4"/>
      <c r="V3170" s="4"/>
    </row>
    <row r="3171" spans="1:22" ht="14.5" customHeight="1" x14ac:dyDescent="0.2">
      <c r="A3171">
        <v>2019</v>
      </c>
      <c r="B3171" t="s">
        <v>191</v>
      </c>
      <c r="C3171" t="s">
        <v>483</v>
      </c>
      <c r="D3171" s="65">
        <v>130</v>
      </c>
      <c r="E3171" s="33"/>
      <c r="G3171" t="s">
        <v>154</v>
      </c>
      <c r="H3171" t="s">
        <v>194</v>
      </c>
      <c r="I3171" t="s">
        <v>45</v>
      </c>
      <c r="J3171" t="s">
        <v>195</v>
      </c>
      <c r="K3171" s="17">
        <v>0</v>
      </c>
      <c r="L3171" s="28"/>
      <c r="N3171" s="21"/>
      <c r="O3171" s="2"/>
      <c r="P3171" s="2"/>
      <c r="Q3171" s="4"/>
      <c r="R3171" s="4"/>
      <c r="S3171" s="4"/>
      <c r="T3171" s="4"/>
      <c r="U3171" s="4"/>
      <c r="V3171" s="4"/>
    </row>
    <row r="3172" spans="1:22" ht="14.5" customHeight="1" x14ac:dyDescent="0.2">
      <c r="A3172">
        <v>2019</v>
      </c>
      <c r="B3172" t="s">
        <v>191</v>
      </c>
      <c r="C3172" t="s">
        <v>724</v>
      </c>
      <c r="D3172" s="65">
        <v>190</v>
      </c>
      <c r="E3172" s="33"/>
      <c r="F3172" t="s">
        <v>1837</v>
      </c>
      <c r="G3172" t="s">
        <v>150</v>
      </c>
      <c r="H3172" t="s">
        <v>744</v>
      </c>
      <c r="I3172" t="s">
        <v>20</v>
      </c>
      <c r="J3172" t="s">
        <v>195</v>
      </c>
      <c r="K3172" s="17">
        <v>0</v>
      </c>
      <c r="L3172" s="28"/>
      <c r="N3172" s="21"/>
      <c r="O3172" s="2"/>
      <c r="P3172" s="2"/>
      <c r="Q3172" s="4"/>
      <c r="R3172" s="4"/>
      <c r="S3172" s="4"/>
      <c r="T3172" s="4"/>
      <c r="U3172" s="4"/>
      <c r="V3172" s="4"/>
    </row>
    <row r="3173" spans="1:22" ht="14.5" customHeight="1" x14ac:dyDescent="0.2">
      <c r="A3173">
        <v>2019</v>
      </c>
      <c r="B3173" t="s">
        <v>191</v>
      </c>
      <c r="C3173" t="s">
        <v>1834</v>
      </c>
      <c r="D3173" s="65">
        <v>100</v>
      </c>
      <c r="E3173" s="33"/>
      <c r="G3173" t="s">
        <v>153</v>
      </c>
      <c r="I3173" t="s">
        <v>9</v>
      </c>
      <c r="J3173" t="s">
        <v>9</v>
      </c>
      <c r="K3173" s="17">
        <v>0</v>
      </c>
      <c r="L3173" s="28"/>
      <c r="N3173" s="21"/>
      <c r="O3173" s="2"/>
      <c r="P3173" s="2"/>
      <c r="Q3173" s="4"/>
      <c r="R3173" s="4"/>
      <c r="S3173" s="4"/>
      <c r="T3173" s="4"/>
      <c r="U3173" s="4"/>
      <c r="V3173" s="4"/>
    </row>
    <row r="3174" spans="1:22" ht="14.5" customHeight="1" x14ac:dyDescent="0.2">
      <c r="A3174">
        <v>2019</v>
      </c>
      <c r="B3174" t="s">
        <v>191</v>
      </c>
      <c r="C3174" t="s">
        <v>479</v>
      </c>
      <c r="D3174" s="65">
        <v>260</v>
      </c>
      <c r="E3174" s="33">
        <v>0.49</v>
      </c>
      <c r="F3174" t="s">
        <v>1838</v>
      </c>
      <c r="G3174" t="s">
        <v>144</v>
      </c>
      <c r="H3174" t="s">
        <v>299</v>
      </c>
      <c r="I3174" t="s">
        <v>57</v>
      </c>
      <c r="J3174" t="s">
        <v>195</v>
      </c>
      <c r="K3174" s="17">
        <v>0</v>
      </c>
      <c r="L3174" s="28"/>
      <c r="N3174" s="21"/>
      <c r="O3174" s="2"/>
      <c r="P3174" s="2"/>
      <c r="Q3174" s="4"/>
      <c r="R3174" s="4"/>
      <c r="S3174" s="4"/>
      <c r="T3174" s="4"/>
      <c r="U3174" s="4"/>
      <c r="V3174" s="4"/>
    </row>
    <row r="3175" spans="1:22" ht="14.5" customHeight="1" x14ac:dyDescent="0.2">
      <c r="A3175">
        <v>2019</v>
      </c>
      <c r="B3175" t="s">
        <v>191</v>
      </c>
      <c r="C3175" t="s">
        <v>300</v>
      </c>
      <c r="D3175" s="65">
        <v>140</v>
      </c>
      <c r="E3175" s="33">
        <v>0.13</v>
      </c>
      <c r="F3175" t="s">
        <v>1839</v>
      </c>
      <c r="G3175" t="s">
        <v>144</v>
      </c>
      <c r="H3175" t="s">
        <v>232</v>
      </c>
      <c r="I3175" t="s">
        <v>8</v>
      </c>
      <c r="J3175" t="s">
        <v>205</v>
      </c>
      <c r="K3175" s="17">
        <v>1</v>
      </c>
      <c r="L3175" s="28"/>
      <c r="N3175" s="21"/>
      <c r="O3175" s="2"/>
      <c r="P3175" s="2"/>
      <c r="Q3175" s="4"/>
      <c r="R3175" s="4"/>
      <c r="S3175" s="4"/>
      <c r="T3175" s="4"/>
      <c r="U3175" s="4"/>
      <c r="V3175" s="4"/>
    </row>
    <row r="3176" spans="1:22" ht="14.5" customHeight="1" x14ac:dyDescent="0.2">
      <c r="A3176">
        <v>2019</v>
      </c>
      <c r="B3176" t="s">
        <v>191</v>
      </c>
      <c r="C3176" t="s">
        <v>286</v>
      </c>
      <c r="D3176" s="65">
        <v>840</v>
      </c>
      <c r="E3176" s="33">
        <v>0.51</v>
      </c>
      <c r="F3176" t="s">
        <v>1840</v>
      </c>
      <c r="G3176" t="s">
        <v>150</v>
      </c>
      <c r="H3176" t="s">
        <v>744</v>
      </c>
      <c r="I3176" t="s">
        <v>121</v>
      </c>
      <c r="J3176" t="s">
        <v>183</v>
      </c>
      <c r="K3176" s="17">
        <v>0</v>
      </c>
      <c r="L3176" s="28"/>
      <c r="N3176" s="21"/>
      <c r="O3176" s="2"/>
      <c r="P3176" s="2"/>
      <c r="Q3176" s="4"/>
      <c r="R3176" s="4"/>
      <c r="S3176" s="4"/>
      <c r="T3176" s="4"/>
      <c r="U3176" s="4"/>
      <c r="V3176" s="4"/>
    </row>
    <row r="3177" spans="1:22" ht="14.5" customHeight="1" x14ac:dyDescent="0.2">
      <c r="A3177">
        <v>2019</v>
      </c>
      <c r="B3177" t="s">
        <v>191</v>
      </c>
      <c r="C3177" s="52" t="s">
        <v>255</v>
      </c>
      <c r="D3177" s="65">
        <v>120</v>
      </c>
      <c r="E3177" s="33"/>
      <c r="G3177" t="s">
        <v>152</v>
      </c>
      <c r="H3177" t="s">
        <v>257</v>
      </c>
      <c r="I3177" t="s">
        <v>108</v>
      </c>
      <c r="J3177" t="s">
        <v>183</v>
      </c>
      <c r="K3177" s="17">
        <v>1</v>
      </c>
      <c r="L3177" s="28" t="s">
        <v>178</v>
      </c>
      <c r="N3177" s="21"/>
      <c r="O3177" s="2"/>
      <c r="P3177" s="2"/>
      <c r="Q3177" s="4"/>
      <c r="R3177" s="4"/>
      <c r="S3177" s="4"/>
      <c r="T3177" s="4"/>
      <c r="U3177" s="4"/>
      <c r="V3177" s="4"/>
    </row>
    <row r="3178" spans="1:22" ht="14.5" customHeight="1" x14ac:dyDescent="0.2">
      <c r="A3178">
        <v>2019</v>
      </c>
      <c r="B3178" t="s">
        <v>191</v>
      </c>
      <c r="C3178" t="s">
        <v>307</v>
      </c>
      <c r="D3178" s="65">
        <v>100</v>
      </c>
      <c r="E3178" s="33"/>
      <c r="G3178" t="s">
        <v>144</v>
      </c>
      <c r="H3178" t="s">
        <v>299</v>
      </c>
      <c r="I3178" t="s">
        <v>9</v>
      </c>
      <c r="J3178" t="s">
        <v>9</v>
      </c>
      <c r="K3178" s="17">
        <v>0</v>
      </c>
      <c r="L3178" s="28" t="s">
        <v>178</v>
      </c>
      <c r="N3178" s="21"/>
      <c r="O3178" s="2"/>
      <c r="P3178" s="2"/>
      <c r="Q3178" s="4"/>
      <c r="R3178" s="4"/>
      <c r="S3178" s="4"/>
      <c r="T3178" s="4"/>
      <c r="U3178" s="4"/>
      <c r="V3178" s="4"/>
    </row>
    <row r="3179" spans="1:22" ht="14.5" customHeight="1" x14ac:dyDescent="0.2">
      <c r="A3179">
        <v>2019</v>
      </c>
      <c r="B3179" t="s">
        <v>191</v>
      </c>
      <c r="C3179" t="s">
        <v>434</v>
      </c>
      <c r="D3179" s="65">
        <v>130</v>
      </c>
      <c r="E3179" s="33"/>
      <c r="F3179" t="s">
        <v>1841</v>
      </c>
      <c r="G3179" t="s">
        <v>143</v>
      </c>
      <c r="I3179" t="s">
        <v>118</v>
      </c>
      <c r="J3179" t="s">
        <v>195</v>
      </c>
      <c r="K3179" s="17">
        <v>0</v>
      </c>
      <c r="L3179" s="28"/>
      <c r="N3179" s="21"/>
      <c r="O3179" s="2"/>
      <c r="P3179" s="2"/>
      <c r="Q3179" s="4"/>
      <c r="R3179" s="4"/>
      <c r="S3179" s="4"/>
      <c r="T3179" s="4"/>
      <c r="U3179" s="4"/>
      <c r="V3179" s="4"/>
    </row>
    <row r="3180" spans="1:22" ht="14.5" customHeight="1" x14ac:dyDescent="0.2">
      <c r="A3180">
        <v>2019</v>
      </c>
      <c r="B3180" t="s">
        <v>191</v>
      </c>
      <c r="C3180" t="s">
        <v>651</v>
      </c>
      <c r="D3180" s="65">
        <v>120</v>
      </c>
      <c r="E3180" s="33"/>
      <c r="G3180" t="s">
        <v>149</v>
      </c>
      <c r="H3180" t="s">
        <v>182</v>
      </c>
      <c r="I3180" t="s">
        <v>106</v>
      </c>
      <c r="J3180" t="s">
        <v>195</v>
      </c>
      <c r="K3180" s="17">
        <v>1</v>
      </c>
      <c r="L3180" s="28"/>
      <c r="N3180" s="21"/>
      <c r="O3180" s="2"/>
      <c r="P3180" s="2"/>
      <c r="Q3180" s="4"/>
      <c r="R3180" s="4"/>
      <c r="S3180" s="4"/>
      <c r="T3180" s="4"/>
      <c r="U3180" s="4"/>
      <c r="V3180" s="4"/>
    </row>
    <row r="3181" spans="1:22" ht="14.5" customHeight="1" x14ac:dyDescent="0.2">
      <c r="A3181">
        <v>2019</v>
      </c>
      <c r="B3181" t="s">
        <v>191</v>
      </c>
      <c r="C3181" t="s">
        <v>530</v>
      </c>
      <c r="D3181" s="65">
        <v>1250</v>
      </c>
      <c r="E3181" s="33"/>
      <c r="G3181" t="s">
        <v>152</v>
      </c>
      <c r="H3181" t="s">
        <v>257</v>
      </c>
      <c r="I3181" t="s">
        <v>58</v>
      </c>
      <c r="J3181" t="s">
        <v>195</v>
      </c>
      <c r="K3181" s="17">
        <v>0</v>
      </c>
      <c r="L3181" s="28"/>
      <c r="N3181" s="21"/>
      <c r="O3181" s="2"/>
      <c r="P3181" s="2"/>
      <c r="Q3181" s="4"/>
      <c r="R3181" s="4"/>
      <c r="S3181" s="4"/>
      <c r="T3181" s="4"/>
      <c r="U3181" s="4"/>
      <c r="V3181" s="4"/>
    </row>
    <row r="3182" spans="1:22" ht="14.5" customHeight="1" x14ac:dyDescent="0.2">
      <c r="A3182">
        <v>2019</v>
      </c>
      <c r="B3182" t="s">
        <v>191</v>
      </c>
      <c r="C3182" t="s">
        <v>1180</v>
      </c>
      <c r="D3182" s="65">
        <v>110</v>
      </c>
      <c r="E3182" s="33">
        <v>0.8</v>
      </c>
      <c r="G3182" t="s">
        <v>144</v>
      </c>
      <c r="H3182" t="s">
        <v>232</v>
      </c>
      <c r="I3182" t="s">
        <v>63</v>
      </c>
      <c r="J3182" t="s">
        <v>201</v>
      </c>
      <c r="K3182" s="17">
        <v>1</v>
      </c>
      <c r="L3182" s="28" t="s">
        <v>178</v>
      </c>
      <c r="N3182" s="21"/>
      <c r="O3182" s="2"/>
      <c r="P3182" s="2"/>
      <c r="Q3182" s="4"/>
      <c r="R3182" s="4"/>
      <c r="S3182" s="4"/>
      <c r="T3182" s="4"/>
      <c r="U3182" s="4"/>
      <c r="V3182" s="4"/>
    </row>
    <row r="3183" spans="1:22" ht="14.5" customHeight="1" x14ac:dyDescent="0.2">
      <c r="A3183">
        <v>2019</v>
      </c>
      <c r="B3183" t="s">
        <v>191</v>
      </c>
      <c r="C3183" t="s">
        <v>1842</v>
      </c>
      <c r="D3183" s="65">
        <v>1040</v>
      </c>
      <c r="E3183" s="33">
        <v>1</v>
      </c>
      <c r="G3183" t="s">
        <v>149</v>
      </c>
      <c r="H3183" t="s">
        <v>182</v>
      </c>
      <c r="I3183" t="s">
        <v>107</v>
      </c>
      <c r="J3183" t="s">
        <v>219</v>
      </c>
      <c r="K3183" s="17">
        <v>1</v>
      </c>
      <c r="L3183" s="28" t="s">
        <v>178</v>
      </c>
      <c r="N3183" s="21"/>
      <c r="O3183" s="2"/>
      <c r="P3183" s="2"/>
      <c r="Q3183" s="4"/>
      <c r="R3183" s="4"/>
      <c r="S3183" s="4"/>
      <c r="T3183" s="4"/>
      <c r="U3183" s="4"/>
      <c r="V3183" s="4"/>
    </row>
    <row r="3184" spans="1:22" ht="14.5" customHeight="1" x14ac:dyDescent="0.2">
      <c r="A3184">
        <v>2019</v>
      </c>
      <c r="B3184" t="s">
        <v>198</v>
      </c>
      <c r="C3184" t="s">
        <v>1329</v>
      </c>
      <c r="D3184" s="65">
        <v>170</v>
      </c>
      <c r="E3184" s="33"/>
      <c r="G3184" t="s">
        <v>149</v>
      </c>
      <c r="H3184" t="s">
        <v>236</v>
      </c>
      <c r="I3184" t="s">
        <v>131</v>
      </c>
      <c r="J3184" t="s">
        <v>131</v>
      </c>
      <c r="K3184" s="17">
        <v>0</v>
      </c>
      <c r="L3184" s="28" t="s">
        <v>178</v>
      </c>
      <c r="N3184" s="21"/>
      <c r="O3184" s="2"/>
      <c r="P3184" s="2"/>
      <c r="Q3184" s="4"/>
      <c r="R3184" s="4"/>
      <c r="S3184" s="4"/>
      <c r="T3184" s="4"/>
      <c r="U3184" s="4"/>
      <c r="V3184" s="4"/>
    </row>
    <row r="3185" spans="1:22" ht="14.5" customHeight="1" x14ac:dyDescent="0.2">
      <c r="A3185">
        <v>2019</v>
      </c>
      <c r="B3185" t="s">
        <v>198</v>
      </c>
      <c r="C3185" t="s">
        <v>1843</v>
      </c>
      <c r="D3185" s="65">
        <v>150</v>
      </c>
      <c r="E3185" s="33">
        <v>0.36</v>
      </c>
      <c r="G3185" t="s">
        <v>149</v>
      </c>
      <c r="H3185" t="s">
        <v>182</v>
      </c>
      <c r="I3185" t="s">
        <v>53</v>
      </c>
      <c r="J3185" t="s">
        <v>183</v>
      </c>
      <c r="K3185" s="17">
        <v>1</v>
      </c>
      <c r="L3185" s="28" t="s">
        <v>178</v>
      </c>
      <c r="N3185" s="21"/>
      <c r="O3185" s="2"/>
      <c r="P3185" s="2"/>
      <c r="Q3185" s="4"/>
      <c r="R3185" s="4"/>
      <c r="S3185" s="4"/>
      <c r="T3185" s="4"/>
      <c r="U3185" s="4"/>
      <c r="V3185" s="4"/>
    </row>
    <row r="3186" spans="1:22" ht="14.5" customHeight="1" x14ac:dyDescent="0.2">
      <c r="A3186">
        <v>2019</v>
      </c>
      <c r="B3186" t="s">
        <v>198</v>
      </c>
      <c r="C3186" t="s">
        <v>577</v>
      </c>
      <c r="D3186" s="65">
        <v>340</v>
      </c>
      <c r="E3186" s="33"/>
      <c r="G3186" t="s">
        <v>150</v>
      </c>
      <c r="H3186" t="s">
        <v>556</v>
      </c>
      <c r="I3186" t="s">
        <v>101</v>
      </c>
      <c r="J3186" t="s">
        <v>201</v>
      </c>
      <c r="K3186" s="17">
        <v>1</v>
      </c>
      <c r="L3186" s="28" t="s">
        <v>178</v>
      </c>
      <c r="N3186" s="21"/>
      <c r="O3186" s="2"/>
      <c r="P3186" s="2"/>
      <c r="Q3186" s="4"/>
      <c r="R3186" s="4"/>
      <c r="S3186" s="4"/>
      <c r="T3186" s="4"/>
      <c r="U3186" s="4"/>
      <c r="V3186" s="4"/>
    </row>
    <row r="3187" spans="1:22" ht="14.5" customHeight="1" x14ac:dyDescent="0.2">
      <c r="A3187">
        <v>2019</v>
      </c>
      <c r="B3187" t="s">
        <v>198</v>
      </c>
      <c r="C3187" t="s">
        <v>1779</v>
      </c>
      <c r="D3187" s="65">
        <v>270</v>
      </c>
      <c r="E3187" s="33"/>
      <c r="F3187" t="s">
        <v>1844</v>
      </c>
      <c r="G3187" t="s">
        <v>145</v>
      </c>
      <c r="I3187" t="s">
        <v>41</v>
      </c>
      <c r="J3187" t="s">
        <v>195</v>
      </c>
      <c r="K3187" s="17">
        <v>0</v>
      </c>
      <c r="L3187" s="28"/>
      <c r="N3187" s="21"/>
      <c r="O3187" s="2"/>
      <c r="P3187" s="2"/>
      <c r="Q3187" s="4"/>
      <c r="R3187" s="4"/>
      <c r="S3187" s="4"/>
      <c r="T3187" s="4"/>
      <c r="U3187" s="4"/>
      <c r="V3187" s="4"/>
    </row>
    <row r="3188" spans="1:22" ht="14.5" customHeight="1" x14ac:dyDescent="0.2">
      <c r="A3188">
        <v>2019</v>
      </c>
      <c r="B3188" t="s">
        <v>198</v>
      </c>
      <c r="C3188" t="s">
        <v>1845</v>
      </c>
      <c r="D3188" s="65">
        <v>2210</v>
      </c>
      <c r="E3188" s="33">
        <v>0.24</v>
      </c>
      <c r="F3188" t="s">
        <v>1417</v>
      </c>
      <c r="G3188" t="s">
        <v>152</v>
      </c>
      <c r="H3188" t="s">
        <v>257</v>
      </c>
      <c r="I3188" t="s">
        <v>20</v>
      </c>
      <c r="J3188" t="s">
        <v>195</v>
      </c>
      <c r="K3188" s="17">
        <v>0</v>
      </c>
      <c r="L3188" s="28"/>
      <c r="N3188" s="21"/>
      <c r="O3188" s="2"/>
      <c r="P3188" s="2"/>
      <c r="Q3188" s="4"/>
      <c r="R3188" s="4"/>
      <c r="S3188" s="4"/>
      <c r="T3188" s="4"/>
      <c r="U3188" s="4"/>
      <c r="V3188" s="4"/>
    </row>
    <row r="3189" spans="1:22" ht="14.5" customHeight="1" x14ac:dyDescent="0.2">
      <c r="A3189">
        <v>2019</v>
      </c>
      <c r="B3189" t="s">
        <v>198</v>
      </c>
      <c r="C3189" t="s">
        <v>1846</v>
      </c>
      <c r="D3189" s="65">
        <v>100</v>
      </c>
      <c r="E3189" s="33"/>
      <c r="F3189" t="s">
        <v>1847</v>
      </c>
      <c r="G3189" t="s">
        <v>152</v>
      </c>
      <c r="I3189" t="s">
        <v>131</v>
      </c>
      <c r="J3189" t="s">
        <v>131</v>
      </c>
      <c r="K3189" s="17">
        <v>0</v>
      </c>
      <c r="L3189" s="28"/>
      <c r="N3189" s="21"/>
      <c r="O3189" s="2"/>
      <c r="P3189" s="2"/>
      <c r="Q3189" s="4"/>
      <c r="R3189" s="4"/>
      <c r="S3189" s="4"/>
      <c r="T3189" s="4"/>
      <c r="U3189" s="4"/>
      <c r="V3189" s="4"/>
    </row>
    <row r="3190" spans="1:22" ht="14.5" customHeight="1" x14ac:dyDescent="0.2">
      <c r="A3190">
        <v>2019</v>
      </c>
      <c r="B3190" t="s">
        <v>198</v>
      </c>
      <c r="C3190" t="s">
        <v>530</v>
      </c>
      <c r="D3190" s="65">
        <v>100</v>
      </c>
      <c r="E3190" s="33"/>
      <c r="G3190" t="s">
        <v>152</v>
      </c>
      <c r="H3190" t="s">
        <v>257</v>
      </c>
      <c r="I3190" t="s">
        <v>27</v>
      </c>
      <c r="J3190" t="s">
        <v>205</v>
      </c>
      <c r="K3190" s="17">
        <v>1</v>
      </c>
      <c r="L3190" s="28" t="s">
        <v>178</v>
      </c>
      <c r="N3190" s="21"/>
      <c r="O3190" s="2"/>
      <c r="P3190" s="2"/>
      <c r="Q3190" s="4"/>
      <c r="R3190" s="4"/>
      <c r="S3190" s="4"/>
      <c r="T3190" s="4"/>
      <c r="U3190" s="4"/>
      <c r="V3190" s="4"/>
    </row>
    <row r="3191" spans="1:22" ht="14.5" customHeight="1" x14ac:dyDescent="0.2">
      <c r="A3191">
        <v>2019</v>
      </c>
      <c r="B3191" t="s">
        <v>198</v>
      </c>
      <c r="C3191" t="s">
        <v>1448</v>
      </c>
      <c r="D3191" s="65">
        <v>260</v>
      </c>
      <c r="E3191" s="33">
        <v>0.51</v>
      </c>
      <c r="F3191" t="s">
        <v>1449</v>
      </c>
      <c r="G3191" t="s">
        <v>149</v>
      </c>
      <c r="I3191" t="s">
        <v>8</v>
      </c>
      <c r="J3191" t="s">
        <v>205</v>
      </c>
      <c r="K3191" s="17">
        <v>1</v>
      </c>
      <c r="L3191" s="28"/>
      <c r="N3191" s="21"/>
      <c r="O3191" s="2"/>
      <c r="P3191" s="2"/>
      <c r="Q3191" s="4"/>
      <c r="R3191" s="4"/>
      <c r="S3191" s="4"/>
      <c r="T3191" s="4"/>
      <c r="U3191" s="4"/>
      <c r="V3191" s="4"/>
    </row>
    <row r="3192" spans="1:22" ht="14.5" customHeight="1" x14ac:dyDescent="0.2">
      <c r="A3192" s="17">
        <v>2019</v>
      </c>
      <c r="B3192" s="17" t="s">
        <v>198</v>
      </c>
      <c r="C3192" s="17" t="s">
        <v>1848</v>
      </c>
      <c r="D3192" s="66">
        <v>110</v>
      </c>
      <c r="E3192" s="37">
        <v>1</v>
      </c>
      <c r="F3192" s="17"/>
      <c r="G3192" s="17" t="s">
        <v>144</v>
      </c>
      <c r="H3192" s="17" t="s">
        <v>232</v>
      </c>
      <c r="I3192" s="17" t="s">
        <v>63</v>
      </c>
      <c r="J3192" s="17" t="s">
        <v>201</v>
      </c>
      <c r="K3192" s="17">
        <v>1</v>
      </c>
      <c r="L3192" s="67" t="s">
        <v>178</v>
      </c>
      <c r="N3192" s="21"/>
      <c r="O3192" s="2"/>
      <c r="P3192" s="2"/>
      <c r="Q3192" s="4"/>
      <c r="R3192" s="4"/>
      <c r="S3192" s="4"/>
      <c r="T3192" s="4"/>
      <c r="U3192" s="4"/>
      <c r="V3192" s="4"/>
    </row>
    <row r="3193" spans="1:22" ht="14.5" customHeight="1" x14ac:dyDescent="0.2">
      <c r="A3193" s="17">
        <v>2019</v>
      </c>
      <c r="B3193" s="17" t="s">
        <v>198</v>
      </c>
      <c r="C3193" t="s">
        <v>479</v>
      </c>
      <c r="D3193" s="66">
        <v>410</v>
      </c>
      <c r="E3193" s="37">
        <v>0.4</v>
      </c>
      <c r="F3193" s="17"/>
      <c r="G3193" s="17" t="s">
        <v>154</v>
      </c>
      <c r="H3193" s="17" t="s">
        <v>194</v>
      </c>
      <c r="I3193" s="17" t="s">
        <v>28</v>
      </c>
      <c r="J3193" s="17" t="s">
        <v>205</v>
      </c>
      <c r="K3193" s="17">
        <v>0</v>
      </c>
      <c r="L3193" s="67" t="s">
        <v>178</v>
      </c>
      <c r="N3193" s="21"/>
      <c r="O3193" s="2"/>
      <c r="P3193" s="2"/>
      <c r="Q3193" s="4"/>
      <c r="R3193" s="4"/>
      <c r="S3193" s="4"/>
      <c r="T3193" s="4"/>
      <c r="U3193" s="4"/>
      <c r="V3193" s="4"/>
    </row>
    <row r="3194" spans="1:22" ht="14.5" customHeight="1" x14ac:dyDescent="0.2">
      <c r="A3194" s="17">
        <v>2019</v>
      </c>
      <c r="B3194" s="17" t="s">
        <v>198</v>
      </c>
      <c r="C3194" t="s">
        <v>1849</v>
      </c>
      <c r="D3194" s="66">
        <v>140</v>
      </c>
      <c r="E3194" s="37"/>
      <c r="F3194" s="17"/>
      <c r="G3194" s="17" t="s">
        <v>152</v>
      </c>
      <c r="H3194" s="17" t="s">
        <v>257</v>
      </c>
      <c r="I3194" s="17" t="s">
        <v>52</v>
      </c>
      <c r="J3194" s="17" t="s">
        <v>201</v>
      </c>
      <c r="K3194" s="17">
        <v>0</v>
      </c>
      <c r="L3194" s="67" t="s">
        <v>178</v>
      </c>
      <c r="N3194" s="21"/>
      <c r="O3194" s="2"/>
      <c r="P3194" s="2"/>
      <c r="Q3194" s="4"/>
      <c r="R3194" s="4"/>
      <c r="S3194" s="4"/>
      <c r="T3194" s="4"/>
      <c r="U3194" s="4"/>
      <c r="V3194" s="4"/>
    </row>
    <row r="3195" spans="1:22" ht="14.5" customHeight="1" x14ac:dyDescent="0.2">
      <c r="A3195">
        <v>2019</v>
      </c>
      <c r="B3195" t="s">
        <v>202</v>
      </c>
      <c r="C3195" t="s">
        <v>246</v>
      </c>
      <c r="D3195" s="65">
        <v>3590</v>
      </c>
      <c r="E3195" s="33">
        <v>0.84</v>
      </c>
      <c r="F3195" t="s">
        <v>1850</v>
      </c>
      <c r="G3195" t="s">
        <v>144</v>
      </c>
      <c r="I3195" t="s">
        <v>96</v>
      </c>
      <c r="J3195" t="s">
        <v>205</v>
      </c>
      <c r="K3195" s="17">
        <v>1</v>
      </c>
      <c r="L3195" s="28"/>
      <c r="N3195" s="21"/>
      <c r="O3195" s="2"/>
      <c r="P3195" s="2"/>
      <c r="Q3195" s="4"/>
      <c r="R3195" s="4"/>
      <c r="S3195" s="4"/>
      <c r="T3195" s="4"/>
      <c r="U3195" s="4"/>
      <c r="V3195" s="4"/>
    </row>
    <row r="3196" spans="1:22" ht="14.5" customHeight="1" x14ac:dyDescent="0.2">
      <c r="A3196">
        <v>2019</v>
      </c>
      <c r="B3196" t="s">
        <v>202</v>
      </c>
      <c r="C3196" t="s">
        <v>1851</v>
      </c>
      <c r="D3196" s="65">
        <v>1320</v>
      </c>
      <c r="E3196" s="33">
        <v>0.79</v>
      </c>
      <c r="G3196" t="s">
        <v>144</v>
      </c>
      <c r="H3196" t="s">
        <v>273</v>
      </c>
      <c r="I3196" t="s">
        <v>128</v>
      </c>
      <c r="J3196" t="s">
        <v>201</v>
      </c>
      <c r="K3196" s="17">
        <v>1</v>
      </c>
      <c r="L3196" s="28" t="s">
        <v>178</v>
      </c>
      <c r="N3196" s="21"/>
      <c r="O3196" s="2"/>
      <c r="P3196" s="2"/>
      <c r="Q3196" s="4"/>
      <c r="R3196" s="4"/>
      <c r="S3196" s="4"/>
      <c r="T3196" s="4"/>
      <c r="U3196" s="4"/>
      <c r="V3196" s="4"/>
    </row>
    <row r="3197" spans="1:22" ht="14.5" customHeight="1" x14ac:dyDescent="0.2">
      <c r="A3197">
        <v>2019</v>
      </c>
      <c r="B3197" t="s">
        <v>202</v>
      </c>
      <c r="C3197" t="s">
        <v>1852</v>
      </c>
      <c r="D3197" s="65">
        <v>310</v>
      </c>
      <c r="E3197" s="33"/>
      <c r="G3197" t="s">
        <v>145</v>
      </c>
      <c r="I3197" t="s">
        <v>52</v>
      </c>
      <c r="J3197" t="s">
        <v>201</v>
      </c>
      <c r="K3197" s="17">
        <v>0</v>
      </c>
      <c r="L3197" s="28" t="s">
        <v>178</v>
      </c>
      <c r="N3197" s="21"/>
      <c r="O3197" s="2"/>
      <c r="P3197" s="2"/>
      <c r="Q3197" s="4"/>
      <c r="R3197" s="4"/>
      <c r="S3197" s="4"/>
      <c r="T3197" s="4"/>
      <c r="U3197" s="4"/>
      <c r="V3197" s="4"/>
    </row>
    <row r="3198" spans="1:22" ht="14.5" customHeight="1" x14ac:dyDescent="0.2">
      <c r="A3198">
        <v>2019</v>
      </c>
      <c r="B3198" t="s">
        <v>202</v>
      </c>
      <c r="C3198" t="s">
        <v>943</v>
      </c>
      <c r="D3198" s="65">
        <v>1030</v>
      </c>
      <c r="E3198" s="33"/>
      <c r="F3198" t="s">
        <v>1853</v>
      </c>
      <c r="G3198" t="s">
        <v>144</v>
      </c>
      <c r="H3198" t="s">
        <v>232</v>
      </c>
      <c r="I3198" t="s">
        <v>19</v>
      </c>
      <c r="J3198" t="s">
        <v>205</v>
      </c>
      <c r="K3198" s="17">
        <v>0</v>
      </c>
      <c r="L3198" s="28"/>
      <c r="N3198" s="21"/>
      <c r="O3198" s="2"/>
      <c r="P3198" s="2"/>
      <c r="Q3198" s="4"/>
      <c r="R3198" s="4"/>
      <c r="S3198" s="4"/>
      <c r="T3198" s="4"/>
      <c r="U3198" s="4"/>
      <c r="V3198" s="4"/>
    </row>
    <row r="3199" spans="1:22" ht="14.5" customHeight="1" x14ac:dyDescent="0.2">
      <c r="A3199">
        <v>2019</v>
      </c>
      <c r="B3199" t="s">
        <v>202</v>
      </c>
      <c r="C3199" t="s">
        <v>269</v>
      </c>
      <c r="D3199" s="65">
        <v>370</v>
      </c>
      <c r="E3199" s="33"/>
      <c r="G3199" t="s">
        <v>154</v>
      </c>
      <c r="H3199" t="s">
        <v>271</v>
      </c>
      <c r="I3199" t="s">
        <v>47</v>
      </c>
      <c r="J3199" t="s">
        <v>195</v>
      </c>
      <c r="K3199" s="17">
        <v>1</v>
      </c>
      <c r="L3199" s="28"/>
      <c r="N3199" s="21"/>
      <c r="O3199" s="2"/>
      <c r="P3199" s="2"/>
      <c r="Q3199" s="4"/>
      <c r="R3199" s="4"/>
      <c r="S3199" s="4"/>
      <c r="T3199" s="4"/>
      <c r="U3199" s="4"/>
      <c r="V3199" s="4"/>
    </row>
    <row r="3200" spans="1:22" ht="14.5" customHeight="1" x14ac:dyDescent="0.2">
      <c r="A3200">
        <v>2019</v>
      </c>
      <c r="B3200" t="s">
        <v>202</v>
      </c>
      <c r="C3200" t="s">
        <v>1854</v>
      </c>
      <c r="D3200" s="65">
        <v>100</v>
      </c>
      <c r="E3200" s="33">
        <v>0.32</v>
      </c>
      <c r="F3200" t="s">
        <v>1855</v>
      </c>
      <c r="G3200" t="s">
        <v>147</v>
      </c>
      <c r="I3200" t="s">
        <v>98</v>
      </c>
      <c r="J3200" t="s">
        <v>195</v>
      </c>
      <c r="K3200" s="17">
        <v>1</v>
      </c>
      <c r="L3200" s="28"/>
      <c r="N3200" s="21"/>
      <c r="O3200" s="2"/>
      <c r="P3200" s="2"/>
      <c r="Q3200" s="4"/>
      <c r="R3200" s="4"/>
      <c r="S3200" s="4"/>
      <c r="T3200" s="4"/>
      <c r="U3200" s="4"/>
      <c r="V3200" s="4"/>
    </row>
    <row r="3201" spans="1:22" ht="14.5" customHeight="1" x14ac:dyDescent="0.2">
      <c r="A3201">
        <v>2019</v>
      </c>
      <c r="B3201" t="s">
        <v>202</v>
      </c>
      <c r="C3201" t="s">
        <v>477</v>
      </c>
      <c r="D3201" s="65">
        <v>420</v>
      </c>
      <c r="E3201" s="33">
        <v>1</v>
      </c>
      <c r="F3201" t="s">
        <v>1856</v>
      </c>
      <c r="G3201" t="s">
        <v>154</v>
      </c>
      <c r="H3201" t="s">
        <v>271</v>
      </c>
      <c r="I3201" t="s">
        <v>85</v>
      </c>
      <c r="J3201" t="s">
        <v>195</v>
      </c>
      <c r="K3201" s="17">
        <v>0</v>
      </c>
      <c r="L3201" s="28"/>
      <c r="N3201" s="21"/>
      <c r="O3201" s="2"/>
      <c r="P3201" s="2"/>
      <c r="Q3201" s="4"/>
      <c r="R3201" s="4"/>
      <c r="S3201" s="4"/>
      <c r="T3201" s="4"/>
      <c r="U3201" s="4"/>
      <c r="V3201" s="4"/>
    </row>
    <row r="3202" spans="1:22" ht="14.5" customHeight="1" x14ac:dyDescent="0.2">
      <c r="A3202">
        <v>2019</v>
      </c>
      <c r="B3202" t="s">
        <v>202</v>
      </c>
      <c r="C3202" t="s">
        <v>1624</v>
      </c>
      <c r="D3202" s="65">
        <v>150</v>
      </c>
      <c r="E3202" s="33"/>
      <c r="F3202" t="s">
        <v>1857</v>
      </c>
      <c r="G3202" t="s">
        <v>151</v>
      </c>
      <c r="H3202" t="s">
        <v>279</v>
      </c>
      <c r="I3202" t="s">
        <v>123</v>
      </c>
      <c r="J3202" t="s">
        <v>219</v>
      </c>
      <c r="K3202" s="17">
        <v>1</v>
      </c>
      <c r="L3202" s="28"/>
      <c r="N3202" s="21"/>
      <c r="O3202" s="2"/>
      <c r="P3202" s="2"/>
      <c r="Q3202" s="4"/>
      <c r="R3202" s="4"/>
      <c r="S3202" s="4"/>
      <c r="T3202" s="4"/>
      <c r="U3202" s="4"/>
      <c r="V3202" s="4"/>
    </row>
    <row r="3203" spans="1:22" ht="14.5" customHeight="1" x14ac:dyDescent="0.2">
      <c r="A3203">
        <v>2019</v>
      </c>
      <c r="B3203" t="s">
        <v>202</v>
      </c>
      <c r="C3203" t="s">
        <v>554</v>
      </c>
      <c r="D3203" s="65">
        <v>120</v>
      </c>
      <c r="E3203" s="33">
        <v>0.51</v>
      </c>
      <c r="F3203" t="s">
        <v>1858</v>
      </c>
      <c r="G3203" t="s">
        <v>151</v>
      </c>
      <c r="H3203" t="s">
        <v>224</v>
      </c>
      <c r="I3203" t="s">
        <v>52</v>
      </c>
      <c r="J3203" t="s">
        <v>201</v>
      </c>
      <c r="K3203" s="17">
        <v>0</v>
      </c>
      <c r="L3203" s="28"/>
      <c r="N3203" s="21"/>
      <c r="O3203" s="2"/>
      <c r="P3203" s="2"/>
      <c r="Q3203" s="4"/>
      <c r="R3203" s="4"/>
      <c r="S3203" s="4"/>
      <c r="T3203" s="4"/>
      <c r="U3203" s="4"/>
      <c r="V3203" s="4"/>
    </row>
    <row r="3204" spans="1:22" s="17" customFormat="1" ht="14.5" customHeight="1" x14ac:dyDescent="0.2">
      <c r="A3204">
        <v>2019</v>
      </c>
      <c r="B3204" t="s">
        <v>202</v>
      </c>
      <c r="C3204" t="s">
        <v>1859</v>
      </c>
      <c r="D3204" s="65">
        <v>760</v>
      </c>
      <c r="E3204" s="33">
        <v>0.4</v>
      </c>
      <c r="F3204" t="s">
        <v>1860</v>
      </c>
      <c r="G3204" t="s">
        <v>152</v>
      </c>
      <c r="H3204" t="s">
        <v>257</v>
      </c>
      <c r="I3204" t="s">
        <v>97</v>
      </c>
      <c r="J3204" t="s">
        <v>183</v>
      </c>
      <c r="K3204" s="17">
        <v>1</v>
      </c>
      <c r="L3204" s="28" t="s">
        <v>178</v>
      </c>
      <c r="N3204" s="21"/>
      <c r="O3204" s="2"/>
      <c r="P3204" s="2"/>
      <c r="Q3204" s="4"/>
      <c r="R3204" s="4"/>
      <c r="S3204" s="4"/>
      <c r="T3204" s="4"/>
      <c r="U3204" s="4"/>
      <c r="V3204" s="4"/>
    </row>
    <row r="3205" spans="1:22" ht="14.5" customHeight="1" x14ac:dyDescent="0.2">
      <c r="A3205">
        <v>2019</v>
      </c>
      <c r="B3205" t="s">
        <v>202</v>
      </c>
      <c r="C3205" t="s">
        <v>444</v>
      </c>
      <c r="D3205" s="65">
        <v>270</v>
      </c>
      <c r="E3205" s="33">
        <v>0.9</v>
      </c>
      <c r="G3205" t="s">
        <v>154</v>
      </c>
      <c r="H3205" t="s">
        <v>194</v>
      </c>
      <c r="I3205" t="s">
        <v>11</v>
      </c>
      <c r="J3205" t="s">
        <v>201</v>
      </c>
      <c r="K3205" s="17">
        <v>1</v>
      </c>
      <c r="L3205" s="28" t="s">
        <v>178</v>
      </c>
      <c r="N3205" s="21"/>
      <c r="O3205" s="2"/>
      <c r="P3205" s="2"/>
      <c r="Q3205" s="4"/>
      <c r="R3205" s="4"/>
      <c r="S3205" s="4"/>
      <c r="T3205" s="4"/>
      <c r="U3205" s="4"/>
      <c r="V3205" s="4"/>
    </row>
    <row r="3206" spans="1:22" ht="14.5" customHeight="1" x14ac:dyDescent="0.2">
      <c r="A3206">
        <v>2019</v>
      </c>
      <c r="B3206" t="s">
        <v>202</v>
      </c>
      <c r="C3206" t="s">
        <v>822</v>
      </c>
      <c r="D3206" s="65">
        <v>110</v>
      </c>
      <c r="E3206" s="33">
        <v>1</v>
      </c>
      <c r="G3206" t="s">
        <v>148</v>
      </c>
      <c r="I3206" t="s">
        <v>15</v>
      </c>
      <c r="J3206" t="s">
        <v>195</v>
      </c>
      <c r="K3206" s="17">
        <v>0</v>
      </c>
      <c r="L3206" s="28" t="s">
        <v>178</v>
      </c>
      <c r="N3206" s="21"/>
      <c r="O3206" s="2"/>
      <c r="P3206" s="2"/>
      <c r="Q3206" s="4"/>
      <c r="R3206" s="4"/>
      <c r="S3206" s="4"/>
      <c r="T3206" s="4"/>
      <c r="U3206" s="4"/>
      <c r="V3206" s="4"/>
    </row>
    <row r="3207" spans="1:22" ht="14.5" customHeight="1" x14ac:dyDescent="0.2">
      <c r="A3207">
        <v>2019</v>
      </c>
      <c r="B3207" t="s">
        <v>202</v>
      </c>
      <c r="C3207" t="s">
        <v>1861</v>
      </c>
      <c r="D3207" s="65">
        <v>860</v>
      </c>
      <c r="E3207" s="33">
        <v>0.87</v>
      </c>
      <c r="G3207" t="s">
        <v>149</v>
      </c>
      <c r="I3207" t="s">
        <v>53</v>
      </c>
      <c r="J3207" t="s">
        <v>183</v>
      </c>
      <c r="K3207" s="17">
        <v>1</v>
      </c>
      <c r="L3207" s="28" t="s">
        <v>178</v>
      </c>
      <c r="N3207" s="21"/>
      <c r="O3207" s="2"/>
      <c r="P3207" s="2"/>
      <c r="Q3207" s="4"/>
      <c r="R3207" s="4"/>
      <c r="S3207" s="4"/>
      <c r="T3207" s="4"/>
      <c r="U3207" s="4"/>
      <c r="V3207" s="4"/>
    </row>
    <row r="3208" spans="1:22" ht="14.5" customHeight="1" x14ac:dyDescent="0.2">
      <c r="A3208">
        <v>2019</v>
      </c>
      <c r="B3208" t="s">
        <v>202</v>
      </c>
      <c r="C3208" t="s">
        <v>1862</v>
      </c>
      <c r="D3208" s="65">
        <v>160</v>
      </c>
      <c r="E3208" s="33">
        <v>1</v>
      </c>
      <c r="F3208" t="s">
        <v>1863</v>
      </c>
      <c r="G3208" t="s">
        <v>147</v>
      </c>
      <c r="I3208" t="s">
        <v>119</v>
      </c>
      <c r="J3208" t="s">
        <v>195</v>
      </c>
      <c r="K3208" s="17">
        <v>0</v>
      </c>
      <c r="L3208" s="28"/>
      <c r="N3208" s="21"/>
      <c r="O3208" s="2"/>
      <c r="P3208" s="2"/>
      <c r="Q3208" s="4"/>
      <c r="R3208" s="4"/>
      <c r="S3208" s="4"/>
      <c r="T3208" s="4"/>
      <c r="U3208" s="4"/>
      <c r="V3208" s="4"/>
    </row>
    <row r="3209" spans="1:22" ht="14.5" customHeight="1" x14ac:dyDescent="0.2">
      <c r="A3209">
        <v>2019</v>
      </c>
      <c r="B3209" t="s">
        <v>207</v>
      </c>
      <c r="C3209" t="s">
        <v>334</v>
      </c>
      <c r="D3209" s="65">
        <v>980</v>
      </c>
      <c r="E3209" s="33">
        <v>1</v>
      </c>
      <c r="F3209" t="s">
        <v>1864</v>
      </c>
      <c r="G3209" t="s">
        <v>142</v>
      </c>
      <c r="I3209" t="s">
        <v>9</v>
      </c>
      <c r="J3209" t="s">
        <v>9</v>
      </c>
      <c r="K3209" s="17">
        <v>0</v>
      </c>
      <c r="L3209" s="28"/>
      <c r="N3209" s="21"/>
      <c r="O3209" s="2"/>
      <c r="P3209" s="2"/>
      <c r="Q3209" s="4"/>
      <c r="R3209" s="4"/>
      <c r="S3209" s="4"/>
      <c r="T3209" s="4"/>
      <c r="U3209" s="4"/>
      <c r="V3209" s="4"/>
    </row>
    <row r="3210" spans="1:22" ht="14.5" customHeight="1" x14ac:dyDescent="0.2">
      <c r="A3210">
        <v>2019</v>
      </c>
      <c r="B3210" t="s">
        <v>207</v>
      </c>
      <c r="C3210" t="s">
        <v>307</v>
      </c>
      <c r="D3210" s="65">
        <v>2230</v>
      </c>
      <c r="E3210" s="33"/>
      <c r="F3210" t="s">
        <v>1865</v>
      </c>
      <c r="G3210" t="s">
        <v>144</v>
      </c>
      <c r="I3210" t="s">
        <v>27</v>
      </c>
      <c r="J3210" t="s">
        <v>205</v>
      </c>
      <c r="K3210" s="17">
        <v>1</v>
      </c>
      <c r="L3210" s="28"/>
      <c r="N3210" s="21"/>
      <c r="O3210" s="2"/>
      <c r="P3210" s="2"/>
      <c r="Q3210" s="4"/>
      <c r="R3210" s="4"/>
      <c r="S3210" s="4"/>
      <c r="T3210" s="4"/>
      <c r="U3210" s="4"/>
      <c r="V3210" s="4"/>
    </row>
    <row r="3211" spans="1:22" ht="14.5" customHeight="1" x14ac:dyDescent="0.2">
      <c r="A3211">
        <v>2019</v>
      </c>
      <c r="B3211" t="s">
        <v>207</v>
      </c>
      <c r="C3211" t="s">
        <v>559</v>
      </c>
      <c r="D3211" s="65">
        <v>150</v>
      </c>
      <c r="E3211" s="33">
        <v>0.04</v>
      </c>
      <c r="F3211" t="s">
        <v>1812</v>
      </c>
      <c r="G3211" t="s">
        <v>149</v>
      </c>
      <c r="I3211" t="s">
        <v>25</v>
      </c>
      <c r="J3211" t="s">
        <v>177</v>
      </c>
      <c r="K3211" s="17">
        <v>0</v>
      </c>
      <c r="L3211" s="28"/>
      <c r="N3211" s="21"/>
      <c r="O3211" s="2"/>
      <c r="P3211" s="2"/>
      <c r="Q3211" s="4"/>
      <c r="R3211" s="4"/>
      <c r="S3211" s="4"/>
      <c r="T3211" s="4"/>
      <c r="U3211" s="4"/>
      <c r="V3211" s="4"/>
    </row>
    <row r="3212" spans="1:22" ht="14.5" customHeight="1" x14ac:dyDescent="0.2">
      <c r="A3212">
        <v>2019</v>
      </c>
      <c r="B3212" t="s">
        <v>207</v>
      </c>
      <c r="C3212" t="s">
        <v>479</v>
      </c>
      <c r="D3212" s="65">
        <v>1650</v>
      </c>
      <c r="E3212" s="33">
        <v>0.49</v>
      </c>
      <c r="F3212" t="s">
        <v>1866</v>
      </c>
      <c r="G3212" t="s">
        <v>154</v>
      </c>
      <c r="H3212" t="s">
        <v>194</v>
      </c>
      <c r="I3212" t="s">
        <v>53</v>
      </c>
      <c r="J3212" t="s">
        <v>183</v>
      </c>
      <c r="K3212" s="17">
        <v>1</v>
      </c>
      <c r="L3212" s="28"/>
      <c r="N3212" s="21"/>
      <c r="O3212" s="2"/>
      <c r="P3212" s="2"/>
      <c r="Q3212" s="4"/>
      <c r="R3212" s="4"/>
      <c r="S3212" s="4"/>
      <c r="T3212" s="4"/>
      <c r="U3212" s="4"/>
      <c r="V3212" s="4"/>
    </row>
    <row r="3213" spans="1:22" ht="14.5" customHeight="1" x14ac:dyDescent="0.2">
      <c r="A3213">
        <v>2019</v>
      </c>
      <c r="B3213" t="s">
        <v>207</v>
      </c>
      <c r="C3213" t="s">
        <v>208</v>
      </c>
      <c r="D3213" s="65">
        <v>320</v>
      </c>
      <c r="E3213" s="33">
        <v>1</v>
      </c>
      <c r="F3213" t="s">
        <v>1867</v>
      </c>
      <c r="G3213" t="s">
        <v>149</v>
      </c>
      <c r="H3213" t="s">
        <v>182</v>
      </c>
      <c r="I3213" t="s">
        <v>9</v>
      </c>
      <c r="J3213" t="s">
        <v>9</v>
      </c>
      <c r="K3213" s="17">
        <v>0</v>
      </c>
      <c r="L3213" s="28"/>
      <c r="N3213" s="21"/>
      <c r="O3213" s="2"/>
      <c r="P3213" s="2"/>
      <c r="Q3213" s="4"/>
      <c r="R3213" s="4"/>
      <c r="S3213" s="4"/>
      <c r="T3213" s="4"/>
      <c r="U3213" s="4"/>
      <c r="V3213" s="4"/>
    </row>
    <row r="3214" spans="1:22" ht="14.5" customHeight="1" x14ac:dyDescent="0.2">
      <c r="A3214">
        <v>2019</v>
      </c>
      <c r="B3214" t="s">
        <v>207</v>
      </c>
      <c r="C3214" t="s">
        <v>1868</v>
      </c>
      <c r="D3214" s="65">
        <v>100</v>
      </c>
      <c r="E3214" s="33"/>
      <c r="F3214" t="s">
        <v>1869</v>
      </c>
      <c r="G3214" t="s">
        <v>154</v>
      </c>
      <c r="H3214" t="s">
        <v>529</v>
      </c>
      <c r="I3214" t="s">
        <v>97</v>
      </c>
      <c r="J3214" t="s">
        <v>183</v>
      </c>
      <c r="K3214" s="17">
        <v>1</v>
      </c>
      <c r="L3214" s="28"/>
      <c r="N3214" s="21"/>
      <c r="O3214" s="2"/>
      <c r="P3214" s="2"/>
      <c r="Q3214" s="4"/>
      <c r="R3214" s="4"/>
      <c r="S3214" s="4"/>
      <c r="T3214" s="4"/>
      <c r="U3214" s="4"/>
      <c r="V3214" s="4"/>
    </row>
    <row r="3215" spans="1:22" ht="14.5" customHeight="1" x14ac:dyDescent="0.2">
      <c r="A3215">
        <v>2019</v>
      </c>
      <c r="B3215" t="s">
        <v>207</v>
      </c>
      <c r="C3215" t="s">
        <v>1687</v>
      </c>
      <c r="D3215" s="65">
        <v>300</v>
      </c>
      <c r="E3215" s="33"/>
      <c r="F3215" t="s">
        <v>1870</v>
      </c>
      <c r="G3215" t="s">
        <v>150</v>
      </c>
      <c r="H3215" t="s">
        <v>226</v>
      </c>
      <c r="I3215" t="s">
        <v>131</v>
      </c>
      <c r="J3215" t="s">
        <v>131</v>
      </c>
      <c r="K3215" s="17">
        <v>0</v>
      </c>
      <c r="L3215" s="28"/>
      <c r="N3215" s="21"/>
      <c r="O3215" s="2"/>
      <c r="P3215" s="2"/>
      <c r="Q3215" s="4"/>
      <c r="R3215" s="4"/>
      <c r="S3215" s="4"/>
      <c r="T3215" s="4"/>
      <c r="U3215" s="4"/>
      <c r="V3215" s="4"/>
    </row>
    <row r="3216" spans="1:22" ht="14.5" customHeight="1" x14ac:dyDescent="0.2">
      <c r="A3216">
        <v>2019</v>
      </c>
      <c r="B3216" t="s">
        <v>207</v>
      </c>
      <c r="C3216" t="s">
        <v>479</v>
      </c>
      <c r="D3216" s="65">
        <v>150</v>
      </c>
      <c r="E3216" s="33"/>
      <c r="G3216" t="s">
        <v>144</v>
      </c>
      <c r="H3216" t="s">
        <v>197</v>
      </c>
      <c r="I3216" t="s">
        <v>84</v>
      </c>
      <c r="J3216" t="s">
        <v>201</v>
      </c>
      <c r="K3216" s="17">
        <v>1</v>
      </c>
      <c r="L3216" s="28" t="s">
        <v>178</v>
      </c>
      <c r="N3216" s="21"/>
      <c r="O3216" s="2"/>
      <c r="P3216" s="2"/>
      <c r="Q3216" s="4"/>
      <c r="R3216" s="4"/>
      <c r="S3216" s="4"/>
      <c r="T3216" s="4"/>
      <c r="U3216" s="4"/>
      <c r="V3216" s="4"/>
    </row>
    <row r="3217" spans="1:22" ht="14.5" customHeight="1" x14ac:dyDescent="0.2">
      <c r="A3217" s="17">
        <v>2019</v>
      </c>
      <c r="B3217" s="17" t="s">
        <v>207</v>
      </c>
      <c r="C3217" s="17" t="s">
        <v>336</v>
      </c>
      <c r="D3217" s="66">
        <v>110</v>
      </c>
      <c r="E3217" s="37">
        <v>0.69</v>
      </c>
      <c r="F3217" s="17" t="s">
        <v>315</v>
      </c>
      <c r="G3217" s="17" t="s">
        <v>149</v>
      </c>
      <c r="H3217" s="17"/>
      <c r="I3217" s="17" t="s">
        <v>83</v>
      </c>
      <c r="J3217" s="17" t="s">
        <v>219</v>
      </c>
      <c r="K3217" s="17">
        <v>1</v>
      </c>
      <c r="L3217" s="67"/>
      <c r="N3217" s="21"/>
      <c r="O3217" s="2"/>
      <c r="P3217" s="2"/>
      <c r="Q3217" s="4"/>
      <c r="R3217" s="4"/>
      <c r="S3217" s="4"/>
      <c r="T3217" s="4"/>
      <c r="U3217" s="4"/>
      <c r="V3217" s="4"/>
    </row>
    <row r="3218" spans="1:22" ht="14.5" customHeight="1" x14ac:dyDescent="0.2">
      <c r="A3218" s="17">
        <v>2019</v>
      </c>
      <c r="B3218" s="17" t="s">
        <v>207</v>
      </c>
      <c r="C3218" t="s">
        <v>1871</v>
      </c>
      <c r="D3218" s="65">
        <v>610</v>
      </c>
      <c r="E3218" s="33">
        <v>1</v>
      </c>
      <c r="G3218" t="s">
        <v>154</v>
      </c>
      <c r="H3218" t="s">
        <v>194</v>
      </c>
      <c r="I3218" t="s">
        <v>130</v>
      </c>
      <c r="J3218" t="s">
        <v>214</v>
      </c>
      <c r="K3218" s="17">
        <v>1</v>
      </c>
      <c r="L3218" s="28" t="s">
        <v>178</v>
      </c>
      <c r="N3218" s="21"/>
      <c r="O3218" s="2"/>
      <c r="P3218" s="2"/>
      <c r="Q3218" s="4"/>
      <c r="R3218" s="4"/>
      <c r="S3218" s="4"/>
      <c r="T3218" s="4"/>
      <c r="U3218" s="4"/>
      <c r="V3218" s="4"/>
    </row>
    <row r="3219" spans="1:22" ht="14.5" customHeight="1" x14ac:dyDescent="0.2">
      <c r="A3219" s="17">
        <v>2019</v>
      </c>
      <c r="B3219" s="17" t="s">
        <v>207</v>
      </c>
      <c r="C3219" t="s">
        <v>1061</v>
      </c>
      <c r="D3219" s="65">
        <v>140</v>
      </c>
      <c r="E3219" s="33"/>
      <c r="G3219" t="s">
        <v>154</v>
      </c>
      <c r="H3219" t="s">
        <v>194</v>
      </c>
      <c r="I3219" t="s">
        <v>52</v>
      </c>
      <c r="J3219" t="s">
        <v>201</v>
      </c>
      <c r="K3219" s="17">
        <v>0</v>
      </c>
      <c r="L3219" s="28" t="s">
        <v>178</v>
      </c>
      <c r="N3219" s="21"/>
      <c r="O3219" s="2"/>
      <c r="P3219" s="2"/>
      <c r="Q3219" s="4"/>
      <c r="R3219" s="4"/>
      <c r="S3219" s="4"/>
      <c r="T3219" s="4"/>
      <c r="U3219" s="4"/>
      <c r="V3219" s="4"/>
    </row>
    <row r="3220" spans="1:22" ht="14.5" customHeight="1" x14ac:dyDescent="0.2">
      <c r="A3220" s="17">
        <v>2019</v>
      </c>
      <c r="B3220" s="17" t="s">
        <v>207</v>
      </c>
      <c r="C3220" t="s">
        <v>244</v>
      </c>
      <c r="D3220" s="65">
        <v>160</v>
      </c>
      <c r="E3220" s="33"/>
      <c r="G3220" t="s">
        <v>149</v>
      </c>
      <c r="H3220" t="s">
        <v>236</v>
      </c>
      <c r="I3220" t="s">
        <v>138</v>
      </c>
      <c r="J3220" t="s">
        <v>219</v>
      </c>
      <c r="K3220" s="17">
        <v>1</v>
      </c>
      <c r="L3220" s="28"/>
      <c r="N3220" s="21"/>
      <c r="O3220" s="2"/>
      <c r="P3220" s="2"/>
      <c r="Q3220" s="4"/>
      <c r="R3220" s="4"/>
      <c r="S3220" s="4"/>
      <c r="T3220" s="4"/>
      <c r="U3220" s="4"/>
      <c r="V3220" s="4"/>
    </row>
    <row r="3221" spans="1:22" s="17" customFormat="1" ht="14.5" customHeight="1" x14ac:dyDescent="0.2">
      <c r="A3221">
        <v>2019</v>
      </c>
      <c r="B3221" t="s">
        <v>240</v>
      </c>
      <c r="C3221" t="s">
        <v>822</v>
      </c>
      <c r="D3221" s="65">
        <v>400</v>
      </c>
      <c r="E3221" s="33"/>
      <c r="F3221" t="s">
        <v>1872</v>
      </c>
      <c r="G3221" t="s">
        <v>146</v>
      </c>
      <c r="I3221" t="s">
        <v>52</v>
      </c>
      <c r="J3221" t="s">
        <v>201</v>
      </c>
      <c r="K3221" s="17">
        <v>0</v>
      </c>
      <c r="L3221" s="28"/>
      <c r="N3221" s="21"/>
      <c r="O3221" s="2"/>
      <c r="P3221" s="2"/>
      <c r="Q3221" s="4"/>
      <c r="R3221" s="4"/>
      <c r="S3221" s="4"/>
      <c r="T3221" s="4"/>
      <c r="U3221" s="4"/>
      <c r="V3221" s="4"/>
    </row>
    <row r="3222" spans="1:22" ht="14.5" customHeight="1" x14ac:dyDescent="0.2">
      <c r="A3222">
        <v>2019</v>
      </c>
      <c r="B3222" t="s">
        <v>240</v>
      </c>
      <c r="C3222" t="s">
        <v>477</v>
      </c>
      <c r="D3222" s="65">
        <v>870</v>
      </c>
      <c r="E3222" s="33"/>
      <c r="F3222" t="s">
        <v>741</v>
      </c>
      <c r="G3222" t="s">
        <v>148</v>
      </c>
      <c r="I3222" t="s">
        <v>42</v>
      </c>
      <c r="J3222" t="s">
        <v>195</v>
      </c>
      <c r="K3222" s="17">
        <v>0</v>
      </c>
      <c r="L3222" s="28"/>
      <c r="N3222" s="21"/>
      <c r="O3222" s="2"/>
      <c r="P3222" s="2"/>
      <c r="Q3222" s="4"/>
      <c r="R3222" s="4"/>
      <c r="S3222" s="4"/>
      <c r="T3222" s="4"/>
      <c r="U3222" s="4"/>
      <c r="V3222" s="4"/>
    </row>
    <row r="3223" spans="1:22" ht="14.5" customHeight="1" x14ac:dyDescent="0.2">
      <c r="A3223">
        <v>2019</v>
      </c>
      <c r="B3223" t="s">
        <v>240</v>
      </c>
      <c r="C3223" t="s">
        <v>559</v>
      </c>
      <c r="D3223" s="65">
        <v>380</v>
      </c>
      <c r="E3223" s="33">
        <v>1</v>
      </c>
      <c r="F3223" t="s">
        <v>1873</v>
      </c>
      <c r="G3223" t="s">
        <v>149</v>
      </c>
      <c r="I3223" t="s">
        <v>106</v>
      </c>
      <c r="J3223" t="s">
        <v>195</v>
      </c>
      <c r="K3223" s="17">
        <v>1</v>
      </c>
      <c r="L3223" s="28"/>
      <c r="N3223" s="21"/>
      <c r="O3223" s="2"/>
      <c r="P3223" s="2"/>
      <c r="Q3223" s="4"/>
      <c r="R3223" s="4"/>
      <c r="S3223" s="4"/>
      <c r="T3223" s="4"/>
      <c r="U3223" s="4"/>
      <c r="V3223" s="4"/>
    </row>
    <row r="3224" spans="1:22" ht="14.5" customHeight="1" x14ac:dyDescent="0.2">
      <c r="A3224">
        <v>2019</v>
      </c>
      <c r="B3224" t="s">
        <v>240</v>
      </c>
      <c r="C3224" t="s">
        <v>1690</v>
      </c>
      <c r="D3224" s="65">
        <v>780</v>
      </c>
      <c r="E3224" s="33">
        <v>1</v>
      </c>
      <c r="F3224" t="s">
        <v>1874</v>
      </c>
      <c r="G3224" t="s">
        <v>153</v>
      </c>
      <c r="I3224" t="s">
        <v>45</v>
      </c>
      <c r="J3224" t="s">
        <v>195</v>
      </c>
      <c r="K3224" s="17">
        <v>0</v>
      </c>
      <c r="L3224" s="28"/>
      <c r="N3224" s="21"/>
      <c r="O3224" s="2"/>
      <c r="P3224" s="2"/>
      <c r="Q3224" s="4"/>
      <c r="R3224" s="4"/>
      <c r="S3224" s="4"/>
      <c r="T3224" s="4"/>
      <c r="U3224" s="4"/>
      <c r="V3224" s="4"/>
    </row>
    <row r="3225" spans="1:22" ht="14.5" customHeight="1" x14ac:dyDescent="0.2">
      <c r="A3225">
        <v>2019</v>
      </c>
      <c r="B3225" t="s">
        <v>240</v>
      </c>
      <c r="C3225" t="s">
        <v>1875</v>
      </c>
      <c r="D3225" s="65">
        <v>1240</v>
      </c>
      <c r="E3225" s="33">
        <v>0.97</v>
      </c>
      <c r="G3225" t="s">
        <v>149</v>
      </c>
      <c r="I3225" t="s">
        <v>53</v>
      </c>
      <c r="J3225" t="s">
        <v>183</v>
      </c>
      <c r="K3225" s="17">
        <v>1</v>
      </c>
      <c r="L3225" s="28" t="s">
        <v>178</v>
      </c>
      <c r="N3225" s="21"/>
      <c r="O3225" s="2"/>
      <c r="P3225" s="2"/>
      <c r="Q3225" s="4"/>
      <c r="R3225" s="4"/>
      <c r="S3225" s="4"/>
      <c r="T3225" s="4"/>
      <c r="U3225" s="4"/>
      <c r="V3225" s="4"/>
    </row>
    <row r="3226" spans="1:22" ht="14.5" customHeight="1" x14ac:dyDescent="0.2">
      <c r="A3226">
        <v>2019</v>
      </c>
      <c r="B3226" t="s">
        <v>240</v>
      </c>
      <c r="C3226" t="s">
        <v>1876</v>
      </c>
      <c r="D3226" s="65">
        <v>100</v>
      </c>
      <c r="E3226" s="33"/>
      <c r="F3226" t="s">
        <v>1877</v>
      </c>
      <c r="G3226" t="s">
        <v>150</v>
      </c>
      <c r="H3226" t="s">
        <v>556</v>
      </c>
      <c r="I3226" t="s">
        <v>89</v>
      </c>
      <c r="J3226" t="s">
        <v>219</v>
      </c>
      <c r="K3226" s="17">
        <v>1</v>
      </c>
      <c r="L3226" s="28"/>
      <c r="N3226" s="21"/>
      <c r="O3226" s="2"/>
      <c r="P3226" s="2"/>
      <c r="Q3226" s="4"/>
      <c r="R3226" s="4"/>
      <c r="S3226" s="4"/>
      <c r="T3226" s="4"/>
      <c r="U3226" s="4"/>
      <c r="V3226" s="4"/>
    </row>
    <row r="3227" spans="1:22" ht="14.5" customHeight="1" x14ac:dyDescent="0.2">
      <c r="A3227">
        <v>2019</v>
      </c>
      <c r="B3227" t="s">
        <v>240</v>
      </c>
      <c r="C3227" t="s">
        <v>1878</v>
      </c>
      <c r="D3227" s="65">
        <v>200</v>
      </c>
      <c r="E3227" s="33"/>
      <c r="G3227" t="s">
        <v>149</v>
      </c>
      <c r="I3227" t="s">
        <v>111</v>
      </c>
      <c r="J3227" t="s">
        <v>183</v>
      </c>
      <c r="K3227" s="17">
        <v>1</v>
      </c>
      <c r="L3227" s="28"/>
      <c r="N3227" s="21"/>
      <c r="O3227" s="2"/>
      <c r="P3227" s="2"/>
      <c r="Q3227" s="4"/>
      <c r="R3227" s="4"/>
      <c r="S3227" s="4"/>
      <c r="T3227" s="4"/>
      <c r="U3227" s="4"/>
      <c r="V3227" s="4"/>
    </row>
    <row r="3228" spans="1:22" ht="14.5" customHeight="1" x14ac:dyDescent="0.2">
      <c r="A3228">
        <v>2019</v>
      </c>
      <c r="B3228" t="s">
        <v>240</v>
      </c>
      <c r="C3228" t="s">
        <v>1879</v>
      </c>
      <c r="D3228" s="65">
        <v>420</v>
      </c>
      <c r="E3228" s="33">
        <v>0.33</v>
      </c>
      <c r="F3228" t="s">
        <v>1552</v>
      </c>
      <c r="G3228" t="s">
        <v>151</v>
      </c>
      <c r="H3228" t="s">
        <v>224</v>
      </c>
      <c r="I3228" t="s">
        <v>108</v>
      </c>
      <c r="J3228" t="s">
        <v>183</v>
      </c>
      <c r="K3228" s="17">
        <v>1</v>
      </c>
      <c r="L3228" s="28"/>
      <c r="N3228" s="21"/>
      <c r="O3228" s="2"/>
      <c r="P3228" s="2"/>
      <c r="Q3228" s="4"/>
      <c r="R3228" s="4"/>
      <c r="S3228" s="4"/>
      <c r="T3228" s="4"/>
      <c r="U3228" s="4"/>
      <c r="V3228" s="4"/>
    </row>
    <row r="3229" spans="1:22" ht="14.5" customHeight="1" x14ac:dyDescent="0.2">
      <c r="A3229">
        <v>2019</v>
      </c>
      <c r="B3229" t="s">
        <v>240</v>
      </c>
      <c r="C3229" t="s">
        <v>1880</v>
      </c>
      <c r="D3229" s="65">
        <v>300</v>
      </c>
      <c r="E3229" s="33">
        <v>0.28999999999999998</v>
      </c>
      <c r="F3229" t="s">
        <v>1881</v>
      </c>
      <c r="G3229" t="s">
        <v>144</v>
      </c>
      <c r="H3229" t="s">
        <v>232</v>
      </c>
      <c r="I3229" t="s">
        <v>108</v>
      </c>
      <c r="J3229" t="s">
        <v>183</v>
      </c>
      <c r="K3229" s="17">
        <v>1</v>
      </c>
      <c r="L3229" s="28"/>
      <c r="N3229" s="21"/>
      <c r="O3229" s="2"/>
      <c r="P3229" s="2"/>
      <c r="Q3229" s="4"/>
      <c r="R3229" s="4"/>
      <c r="S3229" s="4"/>
      <c r="T3229" s="4"/>
      <c r="U3229" s="4"/>
      <c r="V3229" s="4"/>
    </row>
    <row r="3230" spans="1:22" ht="14.5" customHeight="1" x14ac:dyDescent="0.2">
      <c r="A3230">
        <v>2019</v>
      </c>
      <c r="B3230" t="s">
        <v>240</v>
      </c>
      <c r="C3230" t="s">
        <v>668</v>
      </c>
      <c r="D3230" s="65">
        <v>830</v>
      </c>
      <c r="E3230" s="33"/>
      <c r="G3230" t="s">
        <v>149</v>
      </c>
      <c r="H3230" t="s">
        <v>238</v>
      </c>
      <c r="I3230" t="s">
        <v>48</v>
      </c>
      <c r="J3230" t="s">
        <v>219</v>
      </c>
      <c r="K3230" s="17">
        <v>1</v>
      </c>
      <c r="L3230" s="28" t="s">
        <v>178</v>
      </c>
      <c r="N3230" s="21"/>
      <c r="O3230" s="2"/>
      <c r="P3230" s="2"/>
      <c r="Q3230" s="4"/>
      <c r="R3230" s="4"/>
      <c r="S3230" s="4"/>
      <c r="T3230" s="4"/>
      <c r="U3230" s="4"/>
      <c r="V3230" s="4"/>
    </row>
    <row r="3231" spans="1:22" ht="14.5" customHeight="1" x14ac:dyDescent="0.2">
      <c r="A3231">
        <v>2019</v>
      </c>
      <c r="B3231" t="s">
        <v>240</v>
      </c>
      <c r="C3231" t="s">
        <v>1672</v>
      </c>
      <c r="D3231" s="65">
        <v>240</v>
      </c>
      <c r="E3231" s="33"/>
      <c r="G3231" t="s">
        <v>147</v>
      </c>
      <c r="I3231" t="s">
        <v>56</v>
      </c>
      <c r="J3231" t="s">
        <v>195</v>
      </c>
      <c r="K3231" s="17">
        <v>0</v>
      </c>
      <c r="L3231" s="28"/>
      <c r="N3231" s="21"/>
      <c r="O3231" s="2"/>
      <c r="P3231" s="2"/>
      <c r="Q3231" s="4"/>
      <c r="R3231" s="4"/>
      <c r="S3231" s="4"/>
      <c r="T3231" s="4"/>
      <c r="U3231" s="4"/>
      <c r="V3231" s="4"/>
    </row>
    <row r="3232" spans="1:22" ht="14.5" customHeight="1" x14ac:dyDescent="0.2">
      <c r="A3232">
        <v>2019</v>
      </c>
      <c r="B3232" t="s">
        <v>240</v>
      </c>
      <c r="C3232" t="s">
        <v>449</v>
      </c>
      <c r="D3232" s="65">
        <v>390</v>
      </c>
      <c r="E3232" s="33">
        <v>0.1</v>
      </c>
      <c r="G3232" t="s">
        <v>154</v>
      </c>
      <c r="H3232" t="s">
        <v>529</v>
      </c>
      <c r="I3232" t="s">
        <v>89</v>
      </c>
      <c r="J3232" t="s">
        <v>219</v>
      </c>
      <c r="K3232" s="17">
        <v>1</v>
      </c>
      <c r="L3232" s="28" t="s">
        <v>178</v>
      </c>
      <c r="N3232" s="21"/>
      <c r="O3232" s="2"/>
      <c r="P3232" s="2"/>
      <c r="Q3232" s="4"/>
      <c r="R3232" s="4"/>
      <c r="S3232" s="4"/>
      <c r="T3232" s="4"/>
      <c r="U3232" s="4"/>
      <c r="V3232" s="4"/>
    </row>
    <row r="3233" spans="1:22" ht="14.5" customHeight="1" x14ac:dyDescent="0.2">
      <c r="A3233">
        <v>2019</v>
      </c>
      <c r="B3233" t="s">
        <v>240</v>
      </c>
      <c r="C3233" t="s">
        <v>1705</v>
      </c>
      <c r="D3233" s="65">
        <v>440</v>
      </c>
      <c r="E3233" s="33">
        <v>0.31</v>
      </c>
      <c r="F3233" t="s">
        <v>1650</v>
      </c>
      <c r="G3233" t="s">
        <v>154</v>
      </c>
      <c r="H3233" t="s">
        <v>194</v>
      </c>
      <c r="I3233" t="s">
        <v>118</v>
      </c>
      <c r="J3233" t="s">
        <v>195</v>
      </c>
      <c r="K3233" s="17">
        <v>0</v>
      </c>
      <c r="L3233" s="28"/>
      <c r="N3233" s="21"/>
      <c r="O3233" s="2"/>
      <c r="P3233" s="2"/>
      <c r="Q3233" s="4"/>
      <c r="R3233" s="4"/>
      <c r="S3233" s="4"/>
      <c r="T3233" s="4"/>
      <c r="U3233" s="4"/>
      <c r="V3233" s="4"/>
    </row>
    <row r="3234" spans="1:22" ht="14.5" customHeight="1" x14ac:dyDescent="0.2">
      <c r="A3234">
        <v>2019</v>
      </c>
      <c r="B3234" t="s">
        <v>240</v>
      </c>
      <c r="C3234" t="s">
        <v>477</v>
      </c>
      <c r="D3234" s="65">
        <v>100</v>
      </c>
      <c r="E3234" s="33">
        <v>0.8</v>
      </c>
      <c r="F3234" t="s">
        <v>1882</v>
      </c>
      <c r="G3234" t="s">
        <v>151</v>
      </c>
      <c r="H3234" t="s">
        <v>224</v>
      </c>
      <c r="I3234" t="s">
        <v>9</v>
      </c>
      <c r="J3234" t="s">
        <v>9</v>
      </c>
      <c r="K3234" s="17">
        <v>0</v>
      </c>
      <c r="L3234" s="28"/>
      <c r="N3234" s="21"/>
      <c r="O3234" s="2"/>
      <c r="P3234" s="2"/>
      <c r="Q3234" s="4"/>
      <c r="R3234" s="4"/>
      <c r="S3234" s="4"/>
      <c r="T3234" s="4"/>
      <c r="U3234" s="4"/>
      <c r="V3234" s="4"/>
    </row>
    <row r="3235" spans="1:22" ht="14.5" customHeight="1" x14ac:dyDescent="0.2">
      <c r="A3235">
        <v>2019</v>
      </c>
      <c r="B3235" t="s">
        <v>240</v>
      </c>
      <c r="C3235" t="s">
        <v>454</v>
      </c>
      <c r="D3235" s="65">
        <v>150</v>
      </c>
      <c r="E3235" s="33">
        <v>0.1</v>
      </c>
      <c r="F3235" t="s">
        <v>1883</v>
      </c>
      <c r="G3235" t="s">
        <v>146</v>
      </c>
      <c r="I3235" t="s">
        <v>52</v>
      </c>
      <c r="J3235" t="s">
        <v>201</v>
      </c>
      <c r="K3235" s="17">
        <v>0</v>
      </c>
      <c r="L3235" s="28"/>
      <c r="N3235" s="21"/>
      <c r="O3235" s="2"/>
      <c r="P3235" s="2"/>
      <c r="Q3235" s="4"/>
      <c r="R3235" s="4"/>
      <c r="S3235" s="4"/>
      <c r="T3235" s="4"/>
      <c r="U3235" s="4"/>
      <c r="V3235" s="4"/>
    </row>
    <row r="3236" spans="1:22" ht="14.5" customHeight="1" x14ac:dyDescent="0.2">
      <c r="A3236">
        <v>2019</v>
      </c>
      <c r="B3236" t="s">
        <v>240</v>
      </c>
      <c r="C3236" t="s">
        <v>1884</v>
      </c>
      <c r="D3236" s="65">
        <v>300</v>
      </c>
      <c r="E3236" s="33"/>
      <c r="G3236" t="s">
        <v>150</v>
      </c>
      <c r="H3236" t="s">
        <v>226</v>
      </c>
      <c r="I3236" t="s">
        <v>72</v>
      </c>
      <c r="J3236" t="s">
        <v>183</v>
      </c>
      <c r="K3236" s="17">
        <v>1</v>
      </c>
      <c r="L3236" s="28" t="s">
        <v>178</v>
      </c>
      <c r="N3236" s="21"/>
      <c r="O3236" s="2"/>
      <c r="P3236" s="2"/>
      <c r="Q3236" s="4"/>
      <c r="R3236" s="4"/>
      <c r="S3236" s="4"/>
      <c r="T3236" s="4"/>
      <c r="U3236" s="4"/>
      <c r="V3236" s="4"/>
    </row>
    <row r="3237" spans="1:22" ht="14.5" customHeight="1" x14ac:dyDescent="0.2">
      <c r="A3237">
        <v>2019</v>
      </c>
      <c r="B3237" t="s">
        <v>240</v>
      </c>
      <c r="C3237" t="s">
        <v>1885</v>
      </c>
      <c r="D3237" s="65">
        <v>110</v>
      </c>
      <c r="E3237" s="33"/>
      <c r="G3237" t="s">
        <v>151</v>
      </c>
      <c r="H3237" t="s">
        <v>224</v>
      </c>
      <c r="I3237" t="s">
        <v>23</v>
      </c>
      <c r="J3237" t="s">
        <v>183</v>
      </c>
      <c r="K3237" s="17">
        <v>1</v>
      </c>
      <c r="L3237" s="28" t="s">
        <v>178</v>
      </c>
      <c r="N3237" s="21"/>
      <c r="O3237" s="2"/>
      <c r="P3237" s="2"/>
      <c r="Q3237" s="4"/>
      <c r="R3237" s="4"/>
      <c r="S3237" s="4"/>
      <c r="T3237" s="4"/>
      <c r="U3237" s="4"/>
      <c r="V3237" s="4"/>
    </row>
    <row r="3238" spans="1:22" ht="14.5" customHeight="1" x14ac:dyDescent="0.2">
      <c r="A3238">
        <v>2019</v>
      </c>
      <c r="B3238" t="s">
        <v>240</v>
      </c>
      <c r="C3238" t="s">
        <v>221</v>
      </c>
      <c r="D3238" s="65">
        <v>980</v>
      </c>
      <c r="E3238" s="33">
        <v>0.5</v>
      </c>
      <c r="F3238" t="s">
        <v>1886</v>
      </c>
      <c r="G3238" t="s">
        <v>144</v>
      </c>
      <c r="H3238" t="s">
        <v>299</v>
      </c>
      <c r="I3238" t="s">
        <v>55</v>
      </c>
      <c r="J3238" t="s">
        <v>214</v>
      </c>
      <c r="K3238" s="17">
        <v>1</v>
      </c>
      <c r="L3238" s="28" t="s">
        <v>178</v>
      </c>
      <c r="N3238" s="21"/>
      <c r="O3238" s="2"/>
      <c r="P3238" s="2"/>
      <c r="Q3238" s="4"/>
      <c r="R3238" s="4"/>
      <c r="S3238" s="4"/>
      <c r="T3238" s="4"/>
      <c r="U3238" s="4"/>
      <c r="V3238" s="4"/>
    </row>
    <row r="3239" spans="1:22" ht="14.5" customHeight="1" x14ac:dyDescent="0.2">
      <c r="A3239">
        <v>2019</v>
      </c>
      <c r="B3239" t="s">
        <v>240</v>
      </c>
      <c r="C3239" t="s">
        <v>479</v>
      </c>
      <c r="D3239" s="65">
        <v>160</v>
      </c>
      <c r="E3239" s="33">
        <v>0.8</v>
      </c>
      <c r="G3239" t="s">
        <v>151</v>
      </c>
      <c r="H3239" t="s">
        <v>224</v>
      </c>
      <c r="I3239" t="s">
        <v>72</v>
      </c>
      <c r="J3239" t="s">
        <v>183</v>
      </c>
      <c r="K3239" s="17">
        <v>1</v>
      </c>
      <c r="L3239" s="28" t="s">
        <v>178</v>
      </c>
      <c r="N3239" s="21"/>
      <c r="O3239" s="2"/>
      <c r="P3239" s="2"/>
      <c r="Q3239" s="4"/>
      <c r="R3239" s="4"/>
      <c r="S3239" s="4"/>
      <c r="T3239" s="4"/>
      <c r="U3239" s="4"/>
      <c r="V3239" s="4"/>
    </row>
    <row r="3240" spans="1:22" ht="14.5" customHeight="1" x14ac:dyDescent="0.2">
      <c r="A3240">
        <v>2019</v>
      </c>
      <c r="B3240" t="s">
        <v>212</v>
      </c>
      <c r="C3240" t="s">
        <v>234</v>
      </c>
      <c r="D3240" s="65">
        <v>1120</v>
      </c>
      <c r="E3240" s="33">
        <v>0.18</v>
      </c>
      <c r="F3240" t="s">
        <v>1887</v>
      </c>
      <c r="G3240" t="s">
        <v>149</v>
      </c>
      <c r="H3240" t="s">
        <v>236</v>
      </c>
      <c r="I3240" t="s">
        <v>25</v>
      </c>
      <c r="J3240" t="s">
        <v>177</v>
      </c>
      <c r="K3240" s="17">
        <v>0</v>
      </c>
      <c r="L3240" s="28"/>
      <c r="N3240" s="21"/>
      <c r="O3240" s="2"/>
      <c r="P3240" s="2"/>
      <c r="Q3240" s="4"/>
      <c r="R3240" s="4"/>
      <c r="S3240" s="4"/>
      <c r="T3240" s="4"/>
      <c r="U3240" s="4"/>
      <c r="V3240" s="4"/>
    </row>
    <row r="3241" spans="1:22" ht="14.5" customHeight="1" x14ac:dyDescent="0.2">
      <c r="A3241">
        <v>2019</v>
      </c>
      <c r="B3241" t="s">
        <v>212</v>
      </c>
      <c r="C3241" t="s">
        <v>559</v>
      </c>
      <c r="D3241" s="65">
        <v>1030</v>
      </c>
      <c r="E3241" s="33">
        <v>1</v>
      </c>
      <c r="F3241" t="s">
        <v>1888</v>
      </c>
      <c r="G3241" t="s">
        <v>149</v>
      </c>
      <c r="I3241" t="s">
        <v>28</v>
      </c>
      <c r="J3241" t="s">
        <v>177</v>
      </c>
      <c r="K3241" s="17">
        <v>0</v>
      </c>
      <c r="L3241" s="28"/>
      <c r="N3241" s="21"/>
      <c r="O3241" s="2"/>
      <c r="P3241" s="2"/>
      <c r="Q3241" s="4"/>
      <c r="R3241" s="4"/>
      <c r="S3241" s="4"/>
      <c r="T3241" s="4"/>
      <c r="U3241" s="4"/>
      <c r="V3241" s="4"/>
    </row>
    <row r="3242" spans="1:22" ht="14.5" customHeight="1" x14ac:dyDescent="0.2">
      <c r="A3242">
        <v>2019</v>
      </c>
      <c r="B3242" t="s">
        <v>212</v>
      </c>
      <c r="C3242" t="s">
        <v>953</v>
      </c>
      <c r="D3242" s="65">
        <v>120</v>
      </c>
      <c r="E3242" s="33"/>
      <c r="G3242" t="s">
        <v>151</v>
      </c>
      <c r="H3242" t="s">
        <v>224</v>
      </c>
      <c r="I3242" t="s">
        <v>131</v>
      </c>
      <c r="J3242" t="s">
        <v>131</v>
      </c>
      <c r="K3242" s="17">
        <v>0</v>
      </c>
      <c r="L3242" s="28" t="s">
        <v>178</v>
      </c>
      <c r="N3242" s="21"/>
      <c r="O3242" s="2"/>
      <c r="P3242" s="2"/>
      <c r="Q3242" s="4"/>
      <c r="R3242" s="4"/>
      <c r="S3242" s="4"/>
      <c r="T3242" s="4"/>
      <c r="U3242" s="4"/>
      <c r="V3242" s="4"/>
    </row>
    <row r="3243" spans="1:22" ht="14.5" customHeight="1" x14ac:dyDescent="0.2">
      <c r="A3243">
        <v>2019</v>
      </c>
      <c r="B3243" t="s">
        <v>212</v>
      </c>
      <c r="C3243" t="s">
        <v>1889</v>
      </c>
      <c r="D3243" s="65">
        <v>100</v>
      </c>
      <c r="E3243" s="33"/>
      <c r="G3243" t="s">
        <v>150</v>
      </c>
      <c r="H3243" t="s">
        <v>556</v>
      </c>
      <c r="I3243" t="s">
        <v>52</v>
      </c>
      <c r="J3243" t="s">
        <v>201</v>
      </c>
      <c r="K3243" s="17">
        <v>0</v>
      </c>
      <c r="L3243" s="28" t="s">
        <v>178</v>
      </c>
      <c r="N3243" s="21"/>
      <c r="O3243" s="2"/>
      <c r="P3243" s="2"/>
      <c r="Q3243" s="4"/>
      <c r="R3243" s="4"/>
      <c r="S3243" s="4"/>
      <c r="T3243" s="4"/>
      <c r="U3243" s="4"/>
      <c r="V3243" s="4"/>
    </row>
    <row r="3244" spans="1:22" ht="14.5" customHeight="1" x14ac:dyDescent="0.2">
      <c r="A3244">
        <v>2019</v>
      </c>
      <c r="B3244" t="s">
        <v>212</v>
      </c>
      <c r="C3244" t="s">
        <v>1890</v>
      </c>
      <c r="D3244" s="65">
        <v>170</v>
      </c>
      <c r="E3244" s="33"/>
      <c r="F3244" t="s">
        <v>1891</v>
      </c>
      <c r="G3244" t="s">
        <v>152</v>
      </c>
      <c r="I3244" t="s">
        <v>85</v>
      </c>
      <c r="J3244" t="s">
        <v>195</v>
      </c>
      <c r="K3244" s="17">
        <v>0</v>
      </c>
      <c r="L3244" s="28"/>
      <c r="N3244" s="21"/>
      <c r="O3244" s="2"/>
      <c r="P3244" s="2"/>
      <c r="Q3244" s="4"/>
      <c r="R3244" s="4"/>
      <c r="S3244" s="4"/>
      <c r="T3244" s="4"/>
      <c r="U3244" s="4"/>
      <c r="V3244" s="4"/>
    </row>
    <row r="3245" spans="1:22" ht="14.5" customHeight="1" x14ac:dyDescent="0.2">
      <c r="A3245">
        <v>2019</v>
      </c>
      <c r="B3245" t="s">
        <v>212</v>
      </c>
      <c r="C3245" t="s">
        <v>1270</v>
      </c>
      <c r="D3245" s="65">
        <v>120</v>
      </c>
      <c r="E3245" s="33"/>
      <c r="F3245" t="s">
        <v>1892</v>
      </c>
      <c r="G3245" t="s">
        <v>152</v>
      </c>
      <c r="I3245" t="s">
        <v>131</v>
      </c>
      <c r="J3245" t="s">
        <v>131</v>
      </c>
      <c r="K3245" s="17">
        <v>0</v>
      </c>
      <c r="L3245" s="28"/>
      <c r="N3245" s="21"/>
      <c r="O3245" s="2"/>
      <c r="P3245" s="2"/>
      <c r="Q3245" s="4"/>
      <c r="R3245" s="4"/>
      <c r="S3245" s="4"/>
      <c r="T3245" s="4"/>
      <c r="U3245" s="4"/>
      <c r="V3245" s="4"/>
    </row>
    <row r="3246" spans="1:22" ht="14.5" customHeight="1" x14ac:dyDescent="0.2">
      <c r="A3246">
        <v>2019</v>
      </c>
      <c r="B3246" t="s">
        <v>212</v>
      </c>
      <c r="C3246" t="s">
        <v>307</v>
      </c>
      <c r="D3246" s="65">
        <v>970</v>
      </c>
      <c r="E3246" s="33">
        <v>0.49</v>
      </c>
      <c r="F3246" t="s">
        <v>1893</v>
      </c>
      <c r="G3246" t="s">
        <v>144</v>
      </c>
      <c r="I3246" t="s">
        <v>92</v>
      </c>
      <c r="J3246" t="s">
        <v>214</v>
      </c>
      <c r="K3246" s="17">
        <v>1</v>
      </c>
      <c r="L3246" s="28"/>
      <c r="N3246" s="21"/>
      <c r="O3246" s="2"/>
      <c r="P3246" s="2"/>
      <c r="Q3246" s="4"/>
      <c r="R3246" s="4"/>
      <c r="S3246" s="4"/>
      <c r="T3246" s="4"/>
      <c r="U3246" s="4"/>
      <c r="V3246" s="4"/>
    </row>
    <row r="3247" spans="1:22" ht="14.5" customHeight="1" x14ac:dyDescent="0.2">
      <c r="A3247">
        <v>2019</v>
      </c>
      <c r="B3247" t="s">
        <v>212</v>
      </c>
      <c r="C3247" t="s">
        <v>341</v>
      </c>
      <c r="D3247" s="65">
        <v>340</v>
      </c>
      <c r="E3247" s="33">
        <v>0.24</v>
      </c>
      <c r="G3247" t="s">
        <v>151</v>
      </c>
      <c r="H3247" t="s">
        <v>279</v>
      </c>
      <c r="I3247" t="s">
        <v>72</v>
      </c>
      <c r="J3247" t="s">
        <v>183</v>
      </c>
      <c r="K3247" s="17">
        <v>1</v>
      </c>
      <c r="L3247" s="28" t="s">
        <v>178</v>
      </c>
      <c r="N3247" s="21"/>
      <c r="O3247" s="2"/>
      <c r="P3247" s="2"/>
      <c r="Q3247" s="4"/>
      <c r="R3247" s="4"/>
      <c r="S3247" s="4"/>
      <c r="T3247" s="4"/>
      <c r="U3247" s="4"/>
      <c r="V3247" s="4"/>
    </row>
    <row r="3248" spans="1:22" ht="14.5" customHeight="1" x14ac:dyDescent="0.2">
      <c r="A3248">
        <v>2019</v>
      </c>
      <c r="B3248" t="s">
        <v>212</v>
      </c>
      <c r="C3248" t="s">
        <v>300</v>
      </c>
      <c r="D3248" s="65">
        <v>240</v>
      </c>
      <c r="E3248" s="33">
        <v>0.04</v>
      </c>
      <c r="F3248" t="s">
        <v>1894</v>
      </c>
      <c r="G3248" t="s">
        <v>146</v>
      </c>
      <c r="I3248" t="s">
        <v>15</v>
      </c>
      <c r="J3248" t="s">
        <v>195</v>
      </c>
      <c r="K3248" s="17">
        <v>0</v>
      </c>
      <c r="L3248" s="28"/>
      <c r="N3248" s="21"/>
      <c r="O3248" s="2"/>
      <c r="P3248" s="2"/>
      <c r="Q3248" s="4"/>
      <c r="R3248" s="4"/>
      <c r="S3248" s="4"/>
      <c r="T3248" s="4"/>
      <c r="U3248" s="4"/>
      <c r="V3248" s="4"/>
    </row>
    <row r="3249" spans="1:22" ht="14.5" customHeight="1" x14ac:dyDescent="0.2">
      <c r="A3249">
        <v>2019</v>
      </c>
      <c r="B3249" t="s">
        <v>212</v>
      </c>
      <c r="C3249" t="s">
        <v>185</v>
      </c>
      <c r="D3249" s="65">
        <v>1500</v>
      </c>
      <c r="E3249" s="33">
        <v>0.25</v>
      </c>
      <c r="F3249" t="s">
        <v>1895</v>
      </c>
      <c r="G3249" t="s">
        <v>144</v>
      </c>
      <c r="H3249" t="s">
        <v>187</v>
      </c>
      <c r="I3249" t="s">
        <v>50</v>
      </c>
      <c r="J3249" t="s">
        <v>205</v>
      </c>
      <c r="K3249">
        <v>1</v>
      </c>
      <c r="L3249" s="28" t="s">
        <v>178</v>
      </c>
      <c r="N3249" s="21"/>
      <c r="O3249" s="2"/>
      <c r="P3249" s="2"/>
      <c r="Q3249" s="4"/>
      <c r="R3249" s="4"/>
      <c r="S3249" s="4"/>
      <c r="T3249" s="4"/>
      <c r="U3249" s="4"/>
      <c r="V3249" s="4"/>
    </row>
    <row r="3250" spans="1:22" ht="14.5" customHeight="1" x14ac:dyDescent="0.2">
      <c r="A3250">
        <v>2019</v>
      </c>
      <c r="B3250" t="s">
        <v>212</v>
      </c>
      <c r="C3250" t="s">
        <v>454</v>
      </c>
      <c r="D3250" s="65">
        <v>3130</v>
      </c>
      <c r="E3250" s="33"/>
      <c r="F3250" t="s">
        <v>1651</v>
      </c>
      <c r="G3250" t="s">
        <v>145</v>
      </c>
      <c r="I3250" t="s">
        <v>42</v>
      </c>
      <c r="J3250" t="s">
        <v>195</v>
      </c>
      <c r="K3250" s="17">
        <v>0</v>
      </c>
      <c r="L3250" s="28"/>
      <c r="N3250" s="21"/>
      <c r="O3250" s="2"/>
      <c r="P3250" s="2"/>
      <c r="Q3250" s="4"/>
      <c r="R3250" s="4"/>
      <c r="S3250" s="4"/>
      <c r="T3250" s="4"/>
      <c r="U3250" s="4"/>
      <c r="V3250" s="4"/>
    </row>
    <row r="3251" spans="1:22" ht="14.5" customHeight="1" x14ac:dyDescent="0.2">
      <c r="A3251">
        <v>2019</v>
      </c>
      <c r="B3251" t="s">
        <v>212</v>
      </c>
      <c r="C3251" t="s">
        <v>449</v>
      </c>
      <c r="D3251" s="65">
        <v>280</v>
      </c>
      <c r="E3251" s="33">
        <v>0.75</v>
      </c>
      <c r="F3251" t="s">
        <v>1896</v>
      </c>
      <c r="G3251" t="s">
        <v>151</v>
      </c>
      <c r="H3251" t="s">
        <v>279</v>
      </c>
      <c r="I3251" t="s">
        <v>114</v>
      </c>
      <c r="J3251" t="s">
        <v>195</v>
      </c>
      <c r="K3251" s="17">
        <v>0</v>
      </c>
      <c r="L3251" s="28"/>
      <c r="N3251" s="21"/>
      <c r="O3251" s="2"/>
      <c r="P3251" s="2"/>
      <c r="Q3251" s="4"/>
      <c r="R3251" s="4"/>
      <c r="S3251" s="4"/>
      <c r="T3251" s="4"/>
      <c r="U3251" s="4"/>
      <c r="V3251" s="4"/>
    </row>
    <row r="3252" spans="1:22" ht="14.5" customHeight="1" x14ac:dyDescent="0.2">
      <c r="A3252">
        <v>2019</v>
      </c>
      <c r="B3252" t="s">
        <v>212</v>
      </c>
      <c r="C3252" t="s">
        <v>1897</v>
      </c>
      <c r="D3252" s="65">
        <v>170</v>
      </c>
      <c r="E3252" s="33">
        <v>0.62</v>
      </c>
      <c r="F3252" t="s">
        <v>1898</v>
      </c>
      <c r="G3252" t="s">
        <v>149</v>
      </c>
      <c r="H3252" t="s">
        <v>238</v>
      </c>
      <c r="I3252" t="s">
        <v>42</v>
      </c>
      <c r="J3252" t="s">
        <v>195</v>
      </c>
      <c r="K3252" s="17">
        <v>0</v>
      </c>
      <c r="L3252" s="28"/>
      <c r="N3252" s="21"/>
      <c r="O3252" s="2"/>
      <c r="P3252" s="2"/>
      <c r="Q3252" s="4"/>
      <c r="R3252" s="4"/>
      <c r="S3252" s="4"/>
      <c r="T3252" s="4"/>
      <c r="U3252" s="4"/>
      <c r="V3252" s="4"/>
    </row>
    <row r="3253" spans="1:22" ht="14.5" customHeight="1" x14ac:dyDescent="0.2">
      <c r="A3253">
        <v>2019</v>
      </c>
      <c r="B3253" t="s">
        <v>212</v>
      </c>
      <c r="C3253" t="s">
        <v>1899</v>
      </c>
      <c r="D3253" s="65">
        <v>290</v>
      </c>
      <c r="E3253" s="33"/>
      <c r="G3253" t="s">
        <v>150</v>
      </c>
      <c r="H3253" t="s">
        <v>226</v>
      </c>
      <c r="I3253" t="s">
        <v>72</v>
      </c>
      <c r="J3253" t="s">
        <v>183</v>
      </c>
      <c r="K3253" s="17">
        <v>1</v>
      </c>
      <c r="L3253" s="28" t="s">
        <v>178</v>
      </c>
      <c r="N3253" s="21"/>
      <c r="O3253" s="2"/>
      <c r="P3253" s="2"/>
      <c r="Q3253" s="4"/>
      <c r="R3253" s="4"/>
      <c r="S3253" s="4"/>
      <c r="T3253" s="4"/>
      <c r="U3253" s="4"/>
      <c r="V3253" s="4"/>
    </row>
    <row r="3254" spans="1:22" ht="14.5" customHeight="1" x14ac:dyDescent="0.2">
      <c r="A3254">
        <v>2019</v>
      </c>
      <c r="B3254" t="s">
        <v>212</v>
      </c>
      <c r="C3254" t="s">
        <v>414</v>
      </c>
      <c r="D3254" s="65">
        <v>2750</v>
      </c>
      <c r="E3254" s="33">
        <v>0.05</v>
      </c>
      <c r="F3254" t="s">
        <v>1640</v>
      </c>
      <c r="G3254" t="s">
        <v>154</v>
      </c>
      <c r="H3254" t="s">
        <v>194</v>
      </c>
      <c r="I3254" t="s">
        <v>45</v>
      </c>
      <c r="J3254" t="s">
        <v>195</v>
      </c>
      <c r="K3254" s="17">
        <v>0</v>
      </c>
      <c r="L3254" s="28"/>
      <c r="N3254" s="21"/>
      <c r="O3254" s="2"/>
      <c r="P3254" s="2"/>
      <c r="Q3254" s="4"/>
      <c r="R3254" s="4"/>
      <c r="S3254" s="4"/>
      <c r="T3254" s="4"/>
      <c r="U3254" s="4"/>
      <c r="V3254" s="4"/>
    </row>
    <row r="3255" spans="1:22" ht="15" customHeight="1" x14ac:dyDescent="0.2">
      <c r="A3255">
        <v>2019</v>
      </c>
      <c r="B3255" t="s">
        <v>212</v>
      </c>
      <c r="C3255" t="s">
        <v>479</v>
      </c>
      <c r="D3255" s="65">
        <v>620</v>
      </c>
      <c r="E3255" s="33"/>
      <c r="G3255" t="s">
        <v>154</v>
      </c>
      <c r="H3255" t="s">
        <v>194</v>
      </c>
      <c r="I3255" t="s">
        <v>64</v>
      </c>
      <c r="J3255" t="s">
        <v>219</v>
      </c>
      <c r="K3255" s="17">
        <v>1</v>
      </c>
      <c r="L3255" s="28" t="s">
        <v>178</v>
      </c>
      <c r="N3255" s="21"/>
      <c r="O3255" s="2"/>
      <c r="P3255" s="2"/>
      <c r="Q3255" s="4"/>
      <c r="R3255" s="4"/>
      <c r="S3255" s="4"/>
      <c r="T3255" s="4"/>
      <c r="U3255" s="4"/>
      <c r="V3255" s="4"/>
    </row>
    <row r="3256" spans="1:22" ht="14.5" customHeight="1" x14ac:dyDescent="0.2">
      <c r="A3256">
        <v>2019</v>
      </c>
      <c r="B3256" t="s">
        <v>212</v>
      </c>
      <c r="C3256" t="s">
        <v>880</v>
      </c>
      <c r="D3256" s="65">
        <v>120</v>
      </c>
      <c r="E3256" s="33">
        <v>0.49</v>
      </c>
      <c r="F3256" t="s">
        <v>1719</v>
      </c>
      <c r="G3256" t="s">
        <v>147</v>
      </c>
      <c r="I3256" t="s">
        <v>20</v>
      </c>
      <c r="J3256" t="s">
        <v>195</v>
      </c>
      <c r="K3256" s="17">
        <v>0</v>
      </c>
      <c r="L3256" s="28"/>
      <c r="N3256" s="21"/>
      <c r="O3256" s="2"/>
      <c r="P3256" s="2"/>
      <c r="Q3256" s="4"/>
      <c r="R3256" s="4"/>
      <c r="S3256" s="4"/>
      <c r="T3256" s="4"/>
      <c r="U3256" s="4"/>
      <c r="V3256" s="4"/>
    </row>
    <row r="3257" spans="1:22" ht="14.5" customHeight="1" x14ac:dyDescent="0.2">
      <c r="A3257">
        <v>2019</v>
      </c>
      <c r="B3257" t="s">
        <v>212</v>
      </c>
      <c r="C3257" t="s">
        <v>1900</v>
      </c>
      <c r="D3257" s="65">
        <v>100</v>
      </c>
      <c r="E3257" s="33"/>
      <c r="G3257" t="s">
        <v>150</v>
      </c>
      <c r="H3257" t="s">
        <v>556</v>
      </c>
      <c r="I3257" t="s">
        <v>77</v>
      </c>
      <c r="J3257" t="s">
        <v>177</v>
      </c>
      <c r="K3257" s="17">
        <v>0</v>
      </c>
      <c r="L3257" s="28" t="s">
        <v>178</v>
      </c>
      <c r="N3257" s="21"/>
      <c r="O3257" s="2"/>
      <c r="P3257" s="2"/>
      <c r="Q3257" s="4"/>
      <c r="R3257" s="4"/>
      <c r="S3257" s="4"/>
      <c r="T3257" s="4"/>
      <c r="U3257" s="4"/>
      <c r="V3257" s="4"/>
    </row>
    <row r="3258" spans="1:22" ht="14.5" customHeight="1" x14ac:dyDescent="0.2">
      <c r="A3258">
        <v>2019</v>
      </c>
      <c r="B3258" t="s">
        <v>212</v>
      </c>
      <c r="C3258" t="s">
        <v>1431</v>
      </c>
      <c r="D3258" s="65">
        <v>140</v>
      </c>
      <c r="E3258" s="33"/>
      <c r="G3258" t="s">
        <v>150</v>
      </c>
      <c r="H3258" t="s">
        <v>556</v>
      </c>
      <c r="I3258" t="s">
        <v>136</v>
      </c>
      <c r="J3258" t="s">
        <v>183</v>
      </c>
      <c r="K3258" s="17">
        <v>1</v>
      </c>
      <c r="L3258" s="28" t="s">
        <v>178</v>
      </c>
      <c r="N3258" s="21"/>
      <c r="O3258" s="2"/>
      <c r="P3258" s="2"/>
      <c r="Q3258" s="4"/>
      <c r="R3258" s="4"/>
      <c r="S3258" s="4"/>
      <c r="T3258" s="4"/>
      <c r="U3258" s="4"/>
      <c r="V3258" s="4"/>
    </row>
    <row r="3259" spans="1:22" ht="14.5" customHeight="1" x14ac:dyDescent="0.2">
      <c r="A3259">
        <v>2019</v>
      </c>
      <c r="B3259" t="s">
        <v>212</v>
      </c>
      <c r="C3259" t="s">
        <v>1901</v>
      </c>
      <c r="D3259" s="65">
        <v>150</v>
      </c>
      <c r="E3259" s="33"/>
      <c r="G3259" t="s">
        <v>150</v>
      </c>
      <c r="H3259" t="s">
        <v>292</v>
      </c>
      <c r="I3259" t="s">
        <v>23</v>
      </c>
      <c r="J3259" t="s">
        <v>183</v>
      </c>
      <c r="K3259" s="17">
        <v>1</v>
      </c>
      <c r="L3259" s="28" t="s">
        <v>178</v>
      </c>
      <c r="N3259" s="21"/>
      <c r="O3259" s="2"/>
      <c r="P3259" s="2"/>
      <c r="Q3259" s="4"/>
      <c r="R3259" s="4"/>
      <c r="S3259" s="4"/>
      <c r="T3259" s="4"/>
      <c r="U3259" s="4"/>
      <c r="V3259" s="4"/>
    </row>
    <row r="3260" spans="1:22" ht="14.5" customHeight="1" x14ac:dyDescent="0.2">
      <c r="A3260" s="54">
        <v>2019</v>
      </c>
      <c r="B3260" s="17" t="s">
        <v>172</v>
      </c>
      <c r="C3260" t="s">
        <v>1581</v>
      </c>
      <c r="D3260" s="22">
        <v>200</v>
      </c>
      <c r="E3260" s="16"/>
      <c r="F3260" t="s">
        <v>2906</v>
      </c>
      <c r="G3260" t="s">
        <v>152</v>
      </c>
      <c r="I3260" t="s">
        <v>8</v>
      </c>
      <c r="J3260" t="s">
        <v>205</v>
      </c>
      <c r="K3260">
        <v>1</v>
      </c>
      <c r="L3260" s="17"/>
      <c r="N3260" s="21"/>
      <c r="O3260" s="2"/>
      <c r="P3260" s="2"/>
      <c r="Q3260" s="4"/>
      <c r="R3260" s="4"/>
      <c r="S3260" s="4"/>
      <c r="T3260" s="4"/>
      <c r="U3260" s="4"/>
      <c r="V3260" s="4"/>
    </row>
    <row r="3261" spans="1:22" ht="14.5" customHeight="1" x14ac:dyDescent="0.2">
      <c r="A3261" s="54">
        <v>2019</v>
      </c>
      <c r="B3261" s="17" t="s">
        <v>172</v>
      </c>
      <c r="C3261" t="s">
        <v>557</v>
      </c>
      <c r="D3261" s="22">
        <v>250</v>
      </c>
      <c r="E3261" s="16"/>
      <c r="G3261" t="s">
        <v>151</v>
      </c>
      <c r="H3261" t="s">
        <v>279</v>
      </c>
      <c r="I3261" t="s">
        <v>55</v>
      </c>
      <c r="J3261" t="s">
        <v>214</v>
      </c>
      <c r="K3261">
        <v>1</v>
      </c>
      <c r="N3261" s="21"/>
      <c r="O3261" s="2"/>
      <c r="P3261" s="2"/>
      <c r="Q3261" s="4"/>
      <c r="R3261" s="4"/>
      <c r="S3261" s="4"/>
      <c r="T3261" s="4"/>
      <c r="U3261" s="4"/>
      <c r="V3261" s="4"/>
    </row>
    <row r="3262" spans="1:22" ht="14.5" customHeight="1" x14ac:dyDescent="0.2">
      <c r="A3262" s="54">
        <v>2019</v>
      </c>
      <c r="B3262" s="17" t="s">
        <v>172</v>
      </c>
      <c r="C3262" t="s">
        <v>479</v>
      </c>
      <c r="D3262" s="22">
        <v>440</v>
      </c>
      <c r="E3262" s="16"/>
      <c r="F3262" t="s">
        <v>2300</v>
      </c>
      <c r="G3262" t="s">
        <v>144</v>
      </c>
      <c r="H3262" t="s">
        <v>299</v>
      </c>
      <c r="I3262" t="s">
        <v>5</v>
      </c>
      <c r="J3262" t="s">
        <v>214</v>
      </c>
      <c r="K3262">
        <v>1</v>
      </c>
      <c r="N3262" s="21"/>
      <c r="O3262" s="2"/>
      <c r="P3262" s="2"/>
      <c r="Q3262" s="4"/>
      <c r="R3262" s="4"/>
      <c r="S3262" s="4"/>
      <c r="T3262" s="4"/>
      <c r="U3262" s="4"/>
      <c r="V3262" s="4"/>
    </row>
    <row r="3263" spans="1:22" ht="14.5" customHeight="1" x14ac:dyDescent="0.2">
      <c r="A3263" s="54">
        <v>2019</v>
      </c>
      <c r="B3263" s="17" t="s">
        <v>172</v>
      </c>
      <c r="C3263" t="s">
        <v>175</v>
      </c>
      <c r="D3263" s="22">
        <v>160</v>
      </c>
      <c r="E3263" s="16"/>
      <c r="G3263" t="s">
        <v>154</v>
      </c>
      <c r="H3263" t="s">
        <v>194</v>
      </c>
      <c r="I3263" t="s">
        <v>78</v>
      </c>
      <c r="J3263" t="s">
        <v>183</v>
      </c>
      <c r="K3263">
        <v>1</v>
      </c>
      <c r="N3263" s="21"/>
      <c r="O3263" s="2"/>
      <c r="P3263" s="2"/>
      <c r="Q3263" s="4"/>
      <c r="R3263" s="4"/>
      <c r="S3263" s="4"/>
      <c r="T3263" s="4"/>
      <c r="U3263" s="4"/>
      <c r="V3263" s="4"/>
    </row>
    <row r="3264" spans="1:22" ht="14.5" customHeight="1" x14ac:dyDescent="0.2">
      <c r="A3264" s="54">
        <v>2019</v>
      </c>
      <c r="B3264" s="17" t="s">
        <v>172</v>
      </c>
      <c r="C3264" t="s">
        <v>1149</v>
      </c>
      <c r="D3264" s="22">
        <v>110</v>
      </c>
      <c r="E3264" s="16"/>
      <c r="F3264" t="s">
        <v>2393</v>
      </c>
      <c r="G3264" t="s">
        <v>150</v>
      </c>
      <c r="H3264" t="s">
        <v>226</v>
      </c>
      <c r="I3264" t="s">
        <v>136</v>
      </c>
      <c r="J3264" t="s">
        <v>183</v>
      </c>
      <c r="K3264">
        <v>1</v>
      </c>
      <c r="N3264" s="21"/>
      <c r="O3264" s="2"/>
      <c r="P3264" s="2"/>
      <c r="Q3264" s="4"/>
      <c r="R3264" s="4"/>
      <c r="S3264" s="4"/>
      <c r="T3264" s="4"/>
      <c r="U3264" s="4"/>
      <c r="V3264" s="4"/>
    </row>
    <row r="3265" spans="1:22" ht="14.5" customHeight="1" x14ac:dyDescent="0.2">
      <c r="A3265" s="54">
        <v>2019</v>
      </c>
      <c r="B3265" s="17" t="s">
        <v>172</v>
      </c>
      <c r="C3265" t="s">
        <v>2907</v>
      </c>
      <c r="D3265" s="22">
        <v>520</v>
      </c>
      <c r="E3265" s="16"/>
      <c r="G3265" t="s">
        <v>144</v>
      </c>
      <c r="H3265" t="s">
        <v>232</v>
      </c>
      <c r="I3265" t="s">
        <v>136</v>
      </c>
      <c r="J3265" t="s">
        <v>183</v>
      </c>
      <c r="K3265">
        <v>1</v>
      </c>
      <c r="N3265" s="21"/>
      <c r="O3265" s="2"/>
      <c r="P3265" s="2"/>
      <c r="Q3265" s="4"/>
      <c r="R3265" s="4"/>
      <c r="S3265" s="4"/>
      <c r="T3265" s="4"/>
      <c r="U3265" s="4"/>
      <c r="V3265" s="4"/>
    </row>
    <row r="3266" spans="1:22" ht="14.5" customHeight="1" x14ac:dyDescent="0.2">
      <c r="A3266" s="54">
        <v>2019</v>
      </c>
      <c r="B3266" s="17" t="s">
        <v>172</v>
      </c>
      <c r="C3266" t="s">
        <v>189</v>
      </c>
      <c r="D3266" s="22">
        <v>270</v>
      </c>
      <c r="E3266" s="16"/>
      <c r="F3266" t="s">
        <v>2002</v>
      </c>
      <c r="G3266" t="s">
        <v>144</v>
      </c>
      <c r="H3266" t="s">
        <v>187</v>
      </c>
      <c r="I3266" t="s">
        <v>105</v>
      </c>
      <c r="J3266" t="s">
        <v>214</v>
      </c>
      <c r="K3266">
        <v>1</v>
      </c>
      <c r="N3266" s="21"/>
      <c r="O3266" s="2"/>
      <c r="P3266" s="2"/>
      <c r="Q3266" s="4"/>
      <c r="R3266" s="4"/>
      <c r="S3266" s="4"/>
      <c r="T3266" s="4"/>
      <c r="U3266" s="4"/>
      <c r="V3266" s="4"/>
    </row>
    <row r="3267" spans="1:22" ht="14.5" customHeight="1" x14ac:dyDescent="0.2">
      <c r="A3267" s="54">
        <v>2019</v>
      </c>
      <c r="B3267" s="17" t="s">
        <v>172</v>
      </c>
      <c r="C3267" t="s">
        <v>2434</v>
      </c>
      <c r="D3267" s="22">
        <v>450</v>
      </c>
      <c r="E3267" s="16"/>
      <c r="G3267" t="s">
        <v>154</v>
      </c>
      <c r="H3267" t="s">
        <v>194</v>
      </c>
      <c r="I3267" t="s">
        <v>108</v>
      </c>
      <c r="J3267" t="s">
        <v>183</v>
      </c>
      <c r="K3267">
        <v>1</v>
      </c>
      <c r="N3267" s="21"/>
      <c r="O3267" s="2"/>
      <c r="P3267" s="2"/>
      <c r="Q3267" s="4"/>
      <c r="R3267" s="4"/>
      <c r="S3267" s="4"/>
      <c r="T3267" s="4"/>
      <c r="U3267" s="4"/>
      <c r="V3267" s="4"/>
    </row>
    <row r="3268" spans="1:22" ht="14.5" customHeight="1" x14ac:dyDescent="0.2">
      <c r="A3268" s="54">
        <v>2019</v>
      </c>
      <c r="B3268" s="17" t="s">
        <v>172</v>
      </c>
      <c r="C3268" t="s">
        <v>479</v>
      </c>
      <c r="D3268" s="22">
        <v>1220</v>
      </c>
      <c r="E3268" s="16"/>
      <c r="G3268" t="s">
        <v>154</v>
      </c>
      <c r="H3268" t="s">
        <v>271</v>
      </c>
      <c r="I3268" t="s">
        <v>70</v>
      </c>
      <c r="J3268" t="s">
        <v>219</v>
      </c>
      <c r="K3268">
        <v>1</v>
      </c>
      <c r="N3268" s="21"/>
      <c r="O3268" s="2"/>
      <c r="P3268" s="2"/>
      <c r="Q3268" s="4"/>
      <c r="R3268" s="4"/>
      <c r="S3268" s="4"/>
      <c r="T3268" s="4"/>
      <c r="U3268" s="4"/>
      <c r="V3268" s="4"/>
    </row>
    <row r="3269" spans="1:22" ht="14.5" customHeight="1" x14ac:dyDescent="0.2">
      <c r="A3269" s="54">
        <v>2019</v>
      </c>
      <c r="B3269" s="17" t="s">
        <v>172</v>
      </c>
      <c r="C3269" t="s">
        <v>199</v>
      </c>
      <c r="D3269" s="22">
        <v>590</v>
      </c>
      <c r="E3269" s="16"/>
      <c r="F3269" t="s">
        <v>2002</v>
      </c>
      <c r="G3269" t="s">
        <v>144</v>
      </c>
      <c r="H3269" t="s">
        <v>299</v>
      </c>
      <c r="I3269" t="s">
        <v>105</v>
      </c>
      <c r="J3269" t="s">
        <v>214</v>
      </c>
      <c r="K3269">
        <v>1</v>
      </c>
      <c r="N3269" s="21"/>
      <c r="O3269" s="2"/>
      <c r="P3269" s="2"/>
      <c r="Q3269" s="4"/>
      <c r="R3269" s="4"/>
      <c r="S3269" s="4"/>
      <c r="T3269" s="4"/>
      <c r="U3269" s="4"/>
      <c r="V3269" s="4"/>
    </row>
    <row r="3270" spans="1:22" ht="14.5" customHeight="1" x14ac:dyDescent="0.2">
      <c r="A3270" s="54">
        <v>2019</v>
      </c>
      <c r="B3270" s="17" t="s">
        <v>172</v>
      </c>
      <c r="C3270" t="s">
        <v>479</v>
      </c>
      <c r="D3270" s="22">
        <v>370</v>
      </c>
      <c r="E3270" s="16"/>
      <c r="G3270" t="s">
        <v>154</v>
      </c>
      <c r="H3270" t="s">
        <v>194</v>
      </c>
      <c r="I3270" t="s">
        <v>44</v>
      </c>
      <c r="J3270" t="s">
        <v>201</v>
      </c>
      <c r="K3270">
        <v>1</v>
      </c>
      <c r="N3270" s="21"/>
      <c r="O3270" s="2"/>
      <c r="P3270" s="2"/>
      <c r="Q3270" s="4"/>
      <c r="R3270" s="4"/>
      <c r="S3270" s="4"/>
      <c r="T3270" s="4"/>
      <c r="U3270" s="4"/>
      <c r="V3270" s="4"/>
    </row>
    <row r="3271" spans="1:22" ht="14.5" customHeight="1" x14ac:dyDescent="0.2">
      <c r="A3271" s="54">
        <v>2019</v>
      </c>
      <c r="B3271" s="17" t="s">
        <v>172</v>
      </c>
      <c r="C3271" t="s">
        <v>479</v>
      </c>
      <c r="D3271" s="22">
        <v>2360</v>
      </c>
      <c r="E3271" s="16"/>
      <c r="G3271" t="s">
        <v>154</v>
      </c>
      <c r="H3271" t="s">
        <v>529</v>
      </c>
      <c r="I3271" t="s">
        <v>72</v>
      </c>
      <c r="J3271" t="s">
        <v>183</v>
      </c>
      <c r="K3271">
        <v>1</v>
      </c>
      <c r="N3271" s="21"/>
      <c r="O3271" s="2"/>
      <c r="P3271" s="2"/>
      <c r="Q3271" s="4"/>
      <c r="R3271" s="4"/>
      <c r="S3271" s="4"/>
      <c r="T3271" s="4"/>
      <c r="U3271" s="4"/>
      <c r="V3271" s="4"/>
    </row>
    <row r="3272" spans="1:22" ht="14.5" customHeight="1" x14ac:dyDescent="0.2">
      <c r="A3272" s="54">
        <v>2019</v>
      </c>
      <c r="B3272" s="17" t="s">
        <v>258</v>
      </c>
      <c r="C3272" t="s">
        <v>397</v>
      </c>
      <c r="D3272" s="22">
        <v>670</v>
      </c>
      <c r="E3272" s="16"/>
      <c r="G3272" t="s">
        <v>151</v>
      </c>
      <c r="H3272" t="s">
        <v>279</v>
      </c>
      <c r="I3272" t="s">
        <v>105</v>
      </c>
      <c r="J3272" t="s">
        <v>214</v>
      </c>
      <c r="K3272">
        <v>1</v>
      </c>
      <c r="N3272" s="21"/>
      <c r="O3272" s="2"/>
      <c r="P3272" s="2"/>
      <c r="Q3272" s="4"/>
      <c r="R3272" s="4"/>
      <c r="S3272" s="4"/>
      <c r="T3272" s="4"/>
      <c r="U3272" s="4"/>
      <c r="V3272" s="4"/>
    </row>
    <row r="3273" spans="1:22" ht="14.5" customHeight="1" x14ac:dyDescent="0.2">
      <c r="A3273" s="54">
        <v>2019</v>
      </c>
      <c r="B3273" s="17" t="s">
        <v>258</v>
      </c>
      <c r="C3273" t="s">
        <v>745</v>
      </c>
      <c r="D3273" s="22">
        <v>1480</v>
      </c>
      <c r="E3273" s="16"/>
      <c r="G3273" t="s">
        <v>143</v>
      </c>
      <c r="I3273" t="s">
        <v>101</v>
      </c>
      <c r="J3273" t="s">
        <v>201</v>
      </c>
      <c r="K3273">
        <v>1</v>
      </c>
      <c r="N3273" s="21"/>
      <c r="O3273" s="2"/>
      <c r="P3273" s="2"/>
      <c r="Q3273" s="4"/>
      <c r="R3273" s="4"/>
      <c r="S3273" s="4"/>
      <c r="T3273" s="4"/>
      <c r="U3273" s="4"/>
      <c r="V3273" s="4"/>
    </row>
    <row r="3274" spans="1:22" ht="14.5" customHeight="1" x14ac:dyDescent="0.2">
      <c r="A3274" s="54">
        <v>2019</v>
      </c>
      <c r="B3274" s="17" t="s">
        <v>258</v>
      </c>
      <c r="C3274" t="s">
        <v>479</v>
      </c>
      <c r="D3274" s="22">
        <v>480</v>
      </c>
      <c r="E3274" s="16"/>
      <c r="G3274" t="s">
        <v>151</v>
      </c>
      <c r="H3274" t="s">
        <v>279</v>
      </c>
      <c r="I3274" t="s">
        <v>131</v>
      </c>
      <c r="J3274" t="s">
        <v>131</v>
      </c>
      <c r="K3274">
        <v>0</v>
      </c>
      <c r="N3274" s="21"/>
      <c r="O3274" s="2"/>
      <c r="P3274" s="2"/>
      <c r="Q3274" s="4"/>
      <c r="R3274" s="4"/>
      <c r="S3274" s="4"/>
      <c r="T3274" s="4"/>
      <c r="U3274" s="4"/>
      <c r="V3274" s="4"/>
    </row>
    <row r="3275" spans="1:22" ht="14.5" customHeight="1" x14ac:dyDescent="0.2">
      <c r="A3275" s="54">
        <v>2019</v>
      </c>
      <c r="B3275" s="17" t="s">
        <v>258</v>
      </c>
      <c r="C3275" t="s">
        <v>479</v>
      </c>
      <c r="D3275" s="22">
        <v>700</v>
      </c>
      <c r="E3275" s="16"/>
      <c r="G3275" t="s">
        <v>154</v>
      </c>
      <c r="H3275" t="s">
        <v>194</v>
      </c>
      <c r="I3275" t="s">
        <v>13</v>
      </c>
      <c r="J3275" t="s">
        <v>201</v>
      </c>
      <c r="K3275">
        <v>1</v>
      </c>
      <c r="N3275" s="21"/>
      <c r="O3275" s="2"/>
      <c r="P3275" s="2"/>
      <c r="Q3275" s="4"/>
      <c r="R3275" s="4"/>
      <c r="S3275" s="4"/>
      <c r="T3275" s="4"/>
      <c r="U3275" s="4"/>
      <c r="V3275" s="4"/>
    </row>
    <row r="3276" spans="1:22" ht="14.5" customHeight="1" x14ac:dyDescent="0.2">
      <c r="A3276" s="54">
        <v>2019</v>
      </c>
      <c r="B3276" s="17" t="s">
        <v>258</v>
      </c>
      <c r="C3276" t="s">
        <v>2908</v>
      </c>
      <c r="D3276" s="22">
        <v>150</v>
      </c>
      <c r="E3276" s="16"/>
      <c r="F3276" t="s">
        <v>1794</v>
      </c>
      <c r="G3276" t="s">
        <v>144</v>
      </c>
      <c r="H3276" t="s">
        <v>232</v>
      </c>
      <c r="I3276" t="s">
        <v>136</v>
      </c>
      <c r="J3276" t="s">
        <v>183</v>
      </c>
      <c r="K3276">
        <v>1</v>
      </c>
      <c r="N3276" s="21"/>
      <c r="O3276" s="2"/>
      <c r="P3276" s="2"/>
      <c r="Q3276" s="4"/>
      <c r="R3276" s="4"/>
      <c r="S3276" s="4"/>
      <c r="T3276" s="4"/>
      <c r="U3276" s="4"/>
      <c r="V3276" s="4"/>
    </row>
    <row r="3277" spans="1:22" ht="14.5" customHeight="1" x14ac:dyDescent="0.2">
      <c r="A3277" s="54">
        <v>2019</v>
      </c>
      <c r="B3277" s="17" t="s">
        <v>258</v>
      </c>
      <c r="C3277" t="s">
        <v>2909</v>
      </c>
      <c r="D3277" s="22">
        <v>320</v>
      </c>
      <c r="E3277" s="16"/>
      <c r="F3277" t="s">
        <v>2910</v>
      </c>
      <c r="G3277" t="s">
        <v>144</v>
      </c>
      <c r="H3277" t="s">
        <v>232</v>
      </c>
      <c r="I3277" t="s">
        <v>47</v>
      </c>
      <c r="J3277" t="s">
        <v>195</v>
      </c>
      <c r="K3277">
        <v>1</v>
      </c>
      <c r="N3277" s="21"/>
      <c r="O3277" s="2"/>
      <c r="P3277" s="2"/>
      <c r="Q3277" s="4"/>
      <c r="R3277" s="4"/>
      <c r="S3277" s="4"/>
      <c r="T3277" s="4"/>
      <c r="U3277" s="4"/>
      <c r="V3277" s="4"/>
    </row>
    <row r="3278" spans="1:22" ht="14.5" customHeight="1" x14ac:dyDescent="0.2">
      <c r="A3278" s="54">
        <v>2019</v>
      </c>
      <c r="B3278" s="17" t="s">
        <v>258</v>
      </c>
      <c r="C3278" t="s">
        <v>199</v>
      </c>
      <c r="D3278" s="22">
        <v>280</v>
      </c>
      <c r="E3278" s="16"/>
      <c r="G3278" t="s">
        <v>144</v>
      </c>
      <c r="H3278" t="s">
        <v>187</v>
      </c>
      <c r="I3278" t="s">
        <v>124</v>
      </c>
      <c r="J3278" t="s">
        <v>183</v>
      </c>
      <c r="K3278">
        <v>1</v>
      </c>
      <c r="N3278" s="21"/>
      <c r="O3278" s="2"/>
      <c r="P3278" s="2"/>
      <c r="Q3278" s="4"/>
      <c r="R3278" s="4"/>
      <c r="S3278" s="4"/>
      <c r="T3278" s="4"/>
      <c r="U3278" s="4"/>
      <c r="V3278" s="4"/>
    </row>
    <row r="3279" spans="1:22" ht="14.5" customHeight="1" x14ac:dyDescent="0.2">
      <c r="A3279" s="54">
        <v>2019</v>
      </c>
      <c r="B3279" s="17" t="s">
        <v>258</v>
      </c>
      <c r="C3279" t="s">
        <v>2911</v>
      </c>
      <c r="D3279" s="22">
        <v>270</v>
      </c>
      <c r="E3279" s="16"/>
      <c r="G3279" t="s">
        <v>155</v>
      </c>
      <c r="I3279" t="s">
        <v>78</v>
      </c>
      <c r="J3279" t="s">
        <v>183</v>
      </c>
      <c r="K3279">
        <v>1</v>
      </c>
      <c r="N3279" s="21"/>
      <c r="O3279" s="2"/>
      <c r="P3279" s="2"/>
      <c r="Q3279" s="4"/>
      <c r="R3279" s="4"/>
      <c r="S3279" s="4"/>
      <c r="T3279" s="4"/>
      <c r="U3279" s="4"/>
      <c r="V3279" s="4"/>
    </row>
    <row r="3280" spans="1:22" ht="14.5" customHeight="1" x14ac:dyDescent="0.2">
      <c r="A3280" s="54">
        <v>2019</v>
      </c>
      <c r="B3280" s="17" t="s">
        <v>258</v>
      </c>
      <c r="C3280" t="s">
        <v>1035</v>
      </c>
      <c r="D3280" s="22">
        <v>180</v>
      </c>
      <c r="E3280" s="16"/>
      <c r="F3280" t="s">
        <v>2912</v>
      </c>
      <c r="G3280" t="s">
        <v>144</v>
      </c>
      <c r="H3280" t="s">
        <v>232</v>
      </c>
      <c r="I3280" t="s">
        <v>77</v>
      </c>
      <c r="J3280" t="s">
        <v>177</v>
      </c>
      <c r="K3280">
        <v>0</v>
      </c>
      <c r="N3280" s="21"/>
      <c r="O3280" s="2"/>
      <c r="P3280" s="2"/>
      <c r="Q3280" s="4"/>
      <c r="R3280" s="4"/>
      <c r="S3280" s="4"/>
      <c r="T3280" s="4"/>
      <c r="U3280" s="4"/>
      <c r="V3280" s="4"/>
    </row>
    <row r="3281" spans="1:22" ht="14.5" customHeight="1" x14ac:dyDescent="0.2">
      <c r="A3281" s="54">
        <v>2019</v>
      </c>
      <c r="B3281" s="17" t="s">
        <v>258</v>
      </c>
      <c r="C3281" t="s">
        <v>199</v>
      </c>
      <c r="D3281" s="22">
        <v>150</v>
      </c>
      <c r="E3281" s="16">
        <v>0.5</v>
      </c>
      <c r="F3281" t="s">
        <v>904</v>
      </c>
      <c r="G3281" t="s">
        <v>144</v>
      </c>
      <c r="H3281" t="s">
        <v>187</v>
      </c>
      <c r="I3281" t="s">
        <v>55</v>
      </c>
      <c r="J3281" t="s">
        <v>214</v>
      </c>
      <c r="K3281">
        <v>1</v>
      </c>
      <c r="N3281" s="21"/>
      <c r="O3281" s="2"/>
      <c r="P3281" s="2"/>
      <c r="Q3281" s="4"/>
      <c r="R3281" s="4"/>
      <c r="S3281" s="4"/>
      <c r="T3281" s="4"/>
      <c r="U3281" s="4"/>
      <c r="V3281" s="4"/>
    </row>
    <row r="3282" spans="1:22" ht="14.5" customHeight="1" x14ac:dyDescent="0.2">
      <c r="A3282" s="54">
        <v>2019</v>
      </c>
      <c r="B3282" s="17" t="s">
        <v>258</v>
      </c>
      <c r="C3282" t="s">
        <v>2913</v>
      </c>
      <c r="D3282" s="22">
        <v>170</v>
      </c>
      <c r="E3282" s="16"/>
      <c r="G3282" t="s">
        <v>152</v>
      </c>
      <c r="H3282" t="s">
        <v>257</v>
      </c>
      <c r="I3282" t="s">
        <v>84</v>
      </c>
      <c r="J3282" t="s">
        <v>201</v>
      </c>
      <c r="K3282">
        <v>1</v>
      </c>
      <c r="N3282" s="21"/>
      <c r="O3282" s="2"/>
      <c r="P3282" s="2"/>
      <c r="Q3282" s="4"/>
      <c r="R3282" s="4"/>
      <c r="S3282" s="4"/>
      <c r="T3282" s="4"/>
      <c r="U3282" s="4"/>
      <c r="V3282" s="4"/>
    </row>
    <row r="3283" spans="1:22" ht="14.5" customHeight="1" x14ac:dyDescent="0.2">
      <c r="A3283" s="54">
        <v>2019</v>
      </c>
      <c r="B3283" s="17" t="s">
        <v>258</v>
      </c>
      <c r="C3283" t="s">
        <v>1035</v>
      </c>
      <c r="D3283" s="22">
        <v>1860</v>
      </c>
      <c r="E3283" s="16"/>
      <c r="F3283" t="s">
        <v>2914</v>
      </c>
      <c r="G3283" t="s">
        <v>144</v>
      </c>
      <c r="H3283" t="s">
        <v>273</v>
      </c>
      <c r="I3283" t="s">
        <v>52</v>
      </c>
      <c r="J3283" t="s">
        <v>201</v>
      </c>
      <c r="K3283">
        <v>0</v>
      </c>
      <c r="N3283" s="21"/>
      <c r="O3283" s="2"/>
      <c r="P3283" s="2"/>
      <c r="Q3283" s="4"/>
      <c r="R3283" s="4"/>
      <c r="S3283" s="4"/>
      <c r="T3283" s="4"/>
      <c r="U3283" s="4"/>
      <c r="V3283" s="4"/>
    </row>
    <row r="3284" spans="1:22" ht="14.5" customHeight="1" x14ac:dyDescent="0.2">
      <c r="A3284" s="73">
        <v>2019</v>
      </c>
      <c r="B3284" s="17" t="s">
        <v>258</v>
      </c>
      <c r="C3284" s="17" t="s">
        <v>479</v>
      </c>
      <c r="D3284" s="24">
        <v>400</v>
      </c>
      <c r="E3284" s="18"/>
      <c r="F3284" s="17"/>
      <c r="G3284" s="17" t="s">
        <v>144</v>
      </c>
      <c r="H3284" s="17" t="s">
        <v>187</v>
      </c>
      <c r="I3284" s="17" t="s">
        <v>64</v>
      </c>
      <c r="J3284" s="17" t="s">
        <v>219</v>
      </c>
      <c r="K3284" s="17">
        <v>1</v>
      </c>
      <c r="N3284" s="21"/>
      <c r="O3284" s="2"/>
      <c r="P3284" s="2"/>
      <c r="Q3284" s="4"/>
      <c r="R3284" s="4"/>
      <c r="S3284" s="4"/>
      <c r="T3284" s="4"/>
      <c r="U3284" s="4"/>
      <c r="V3284" s="4"/>
    </row>
    <row r="3285" spans="1:22" ht="14.5" customHeight="1" x14ac:dyDescent="0.2">
      <c r="A3285" s="73">
        <v>2019</v>
      </c>
      <c r="B3285" s="17" t="s">
        <v>258</v>
      </c>
      <c r="C3285" s="17" t="s">
        <v>1035</v>
      </c>
      <c r="D3285" s="24">
        <v>170</v>
      </c>
      <c r="E3285" s="18"/>
      <c r="F3285" s="17"/>
      <c r="G3285" s="17" t="s">
        <v>144</v>
      </c>
      <c r="H3285" s="17" t="s">
        <v>197</v>
      </c>
      <c r="I3285" s="17" t="s">
        <v>84</v>
      </c>
      <c r="J3285" s="17" t="s">
        <v>201</v>
      </c>
      <c r="K3285" s="17">
        <v>1</v>
      </c>
      <c r="N3285" s="21"/>
      <c r="O3285" s="2"/>
      <c r="P3285" s="2"/>
      <c r="Q3285" s="4"/>
      <c r="R3285" s="4"/>
      <c r="S3285" s="4"/>
      <c r="T3285" s="4"/>
      <c r="U3285" s="4"/>
      <c r="V3285" s="4"/>
    </row>
    <row r="3286" spans="1:22" ht="14.5" customHeight="1" x14ac:dyDescent="0.2">
      <c r="A3286" s="73">
        <v>2019</v>
      </c>
      <c r="B3286" s="17" t="s">
        <v>258</v>
      </c>
      <c r="C3286" s="17" t="s">
        <v>397</v>
      </c>
      <c r="D3286" s="24">
        <v>110</v>
      </c>
      <c r="E3286" s="18"/>
      <c r="F3286" s="17"/>
      <c r="G3286" s="17" t="s">
        <v>153</v>
      </c>
      <c r="H3286" s="17"/>
      <c r="I3286" s="17" t="s">
        <v>130</v>
      </c>
      <c r="J3286" s="17" t="s">
        <v>214</v>
      </c>
      <c r="K3286" s="17">
        <v>1</v>
      </c>
      <c r="N3286" s="21"/>
      <c r="O3286" s="2"/>
      <c r="P3286" s="2"/>
      <c r="Q3286" s="4"/>
      <c r="R3286" s="4"/>
      <c r="S3286" s="4"/>
      <c r="T3286" s="4"/>
      <c r="U3286" s="4"/>
      <c r="V3286" s="4"/>
    </row>
    <row r="3287" spans="1:22" ht="14.5" customHeight="1" x14ac:dyDescent="0.2">
      <c r="A3287" s="54">
        <v>2019</v>
      </c>
      <c r="B3287" s="17" t="s">
        <v>179</v>
      </c>
      <c r="C3287" t="s">
        <v>397</v>
      </c>
      <c r="D3287" s="22">
        <v>230</v>
      </c>
      <c r="E3287" s="16"/>
      <c r="F3287" t="s">
        <v>2430</v>
      </c>
      <c r="G3287" t="s">
        <v>145</v>
      </c>
      <c r="I3287" t="s">
        <v>131</v>
      </c>
      <c r="J3287" t="s">
        <v>131</v>
      </c>
      <c r="K3287">
        <v>0</v>
      </c>
      <c r="N3287" s="21"/>
      <c r="O3287" s="2"/>
      <c r="P3287" s="2"/>
      <c r="Q3287" s="4"/>
      <c r="R3287" s="4"/>
      <c r="S3287" s="4"/>
      <c r="T3287" s="4"/>
      <c r="U3287" s="4"/>
      <c r="V3287" s="4"/>
    </row>
    <row r="3288" spans="1:22" ht="14.5" customHeight="1" x14ac:dyDescent="0.2">
      <c r="A3288" s="54">
        <v>2019</v>
      </c>
      <c r="B3288" s="17" t="s">
        <v>179</v>
      </c>
      <c r="C3288" t="s">
        <v>397</v>
      </c>
      <c r="D3288" s="22">
        <v>210</v>
      </c>
      <c r="E3288" s="16"/>
      <c r="F3288" t="s">
        <v>2915</v>
      </c>
      <c r="G3288" t="s">
        <v>154</v>
      </c>
      <c r="H3288" t="s">
        <v>529</v>
      </c>
      <c r="I3288" t="s">
        <v>130</v>
      </c>
      <c r="J3288" t="s">
        <v>214</v>
      </c>
      <c r="K3288">
        <v>1</v>
      </c>
      <c r="N3288" s="21"/>
      <c r="O3288" s="2"/>
      <c r="P3288" s="2"/>
      <c r="Q3288" s="4"/>
      <c r="R3288" s="4"/>
      <c r="S3288" s="4"/>
      <c r="T3288" s="4"/>
      <c r="U3288" s="4"/>
      <c r="V3288" s="4"/>
    </row>
    <row r="3289" spans="1:22" ht="14.5" customHeight="1" x14ac:dyDescent="0.2">
      <c r="A3289" s="54">
        <v>2019</v>
      </c>
      <c r="B3289" s="17" t="s">
        <v>179</v>
      </c>
      <c r="C3289" t="s">
        <v>397</v>
      </c>
      <c r="D3289" s="22">
        <v>220</v>
      </c>
      <c r="E3289" s="16"/>
      <c r="G3289" t="s">
        <v>154</v>
      </c>
      <c r="H3289" t="s">
        <v>194</v>
      </c>
      <c r="I3289" t="s">
        <v>13</v>
      </c>
      <c r="J3289" t="s">
        <v>201</v>
      </c>
      <c r="K3289">
        <v>1</v>
      </c>
      <c r="N3289" s="21"/>
      <c r="O3289" s="2"/>
      <c r="P3289" s="2"/>
      <c r="Q3289" s="4"/>
      <c r="R3289" s="4"/>
      <c r="S3289" s="4"/>
      <c r="T3289" s="4"/>
      <c r="U3289" s="4"/>
      <c r="V3289" s="4"/>
    </row>
    <row r="3290" spans="1:22" ht="14.5" customHeight="1" x14ac:dyDescent="0.2">
      <c r="A3290" s="54">
        <v>2019</v>
      </c>
      <c r="B3290" s="17" t="s">
        <v>179</v>
      </c>
      <c r="C3290" t="s">
        <v>1035</v>
      </c>
      <c r="D3290" s="22">
        <v>270</v>
      </c>
      <c r="E3290" s="16"/>
      <c r="G3290" t="s">
        <v>144</v>
      </c>
      <c r="H3290" t="s">
        <v>299</v>
      </c>
      <c r="I3290" t="s">
        <v>130</v>
      </c>
      <c r="J3290" t="s">
        <v>214</v>
      </c>
      <c r="K3290">
        <v>1</v>
      </c>
      <c r="N3290" s="21"/>
      <c r="O3290" s="2"/>
      <c r="P3290" s="2"/>
      <c r="Q3290" s="4"/>
      <c r="R3290" s="4"/>
      <c r="S3290" s="4"/>
      <c r="T3290" s="4"/>
      <c r="U3290" s="4"/>
      <c r="V3290" s="4"/>
    </row>
    <row r="3291" spans="1:22" ht="14.5" customHeight="1" x14ac:dyDescent="0.2">
      <c r="A3291" s="54">
        <v>2019</v>
      </c>
      <c r="B3291" s="17" t="s">
        <v>179</v>
      </c>
      <c r="C3291" t="s">
        <v>1035</v>
      </c>
      <c r="D3291" s="22">
        <v>220</v>
      </c>
      <c r="E3291" s="16"/>
      <c r="G3291" t="s">
        <v>154</v>
      </c>
      <c r="H3291" t="s">
        <v>194</v>
      </c>
      <c r="I3291" t="s">
        <v>65</v>
      </c>
      <c r="J3291" t="s">
        <v>214</v>
      </c>
      <c r="K3291">
        <v>1</v>
      </c>
      <c r="N3291" s="21"/>
      <c r="O3291" s="2"/>
      <c r="P3291" s="2"/>
      <c r="Q3291" s="4"/>
      <c r="R3291" s="4"/>
      <c r="S3291" s="4"/>
      <c r="T3291" s="4"/>
      <c r="U3291" s="4"/>
      <c r="V3291" s="4"/>
    </row>
    <row r="3292" spans="1:22" ht="14.5" customHeight="1" x14ac:dyDescent="0.2">
      <c r="A3292" s="54">
        <v>2019</v>
      </c>
      <c r="B3292" s="17" t="s">
        <v>179</v>
      </c>
      <c r="C3292" t="s">
        <v>1035</v>
      </c>
      <c r="D3292" s="22">
        <v>240</v>
      </c>
      <c r="E3292" s="16"/>
      <c r="G3292" t="s">
        <v>155</v>
      </c>
      <c r="I3292" t="s">
        <v>139</v>
      </c>
      <c r="J3292" t="s">
        <v>219</v>
      </c>
      <c r="K3292">
        <v>1</v>
      </c>
      <c r="N3292" s="21"/>
      <c r="O3292" s="2"/>
      <c r="P3292" s="2"/>
      <c r="Q3292" s="4"/>
      <c r="R3292" s="4"/>
      <c r="S3292" s="4"/>
      <c r="T3292" s="4"/>
      <c r="U3292" s="4"/>
      <c r="V3292" s="4"/>
    </row>
    <row r="3293" spans="1:22" ht="14.5" customHeight="1" x14ac:dyDescent="0.2">
      <c r="A3293" s="54">
        <v>2019</v>
      </c>
      <c r="B3293" s="17" t="s">
        <v>179</v>
      </c>
      <c r="C3293" t="s">
        <v>1035</v>
      </c>
      <c r="D3293" s="22">
        <v>810</v>
      </c>
      <c r="E3293" s="16"/>
      <c r="G3293" t="s">
        <v>144</v>
      </c>
      <c r="H3293" t="s">
        <v>197</v>
      </c>
      <c r="I3293" t="s">
        <v>48</v>
      </c>
      <c r="J3293" t="s">
        <v>219</v>
      </c>
      <c r="K3293">
        <v>1</v>
      </c>
      <c r="N3293" s="21"/>
      <c r="O3293" s="2"/>
      <c r="P3293" s="2"/>
      <c r="Q3293" s="4"/>
      <c r="R3293" s="4"/>
      <c r="S3293" s="4"/>
      <c r="T3293" s="4"/>
      <c r="U3293" s="4"/>
      <c r="V3293" s="4"/>
    </row>
    <row r="3294" spans="1:22" s="41" customFormat="1" ht="14.5" customHeight="1" x14ac:dyDescent="0.2">
      <c r="A3294" s="54">
        <v>2019</v>
      </c>
      <c r="B3294" s="17" t="s">
        <v>179</v>
      </c>
      <c r="C3294" t="s">
        <v>875</v>
      </c>
      <c r="D3294" s="22">
        <v>770</v>
      </c>
      <c r="E3294" s="16"/>
      <c r="G3294" t="s">
        <v>144</v>
      </c>
      <c r="H3294" t="s">
        <v>197</v>
      </c>
      <c r="I3294" t="s">
        <v>88</v>
      </c>
      <c r="J3294" t="s">
        <v>219</v>
      </c>
      <c r="K3294">
        <v>1</v>
      </c>
      <c r="N3294" s="42"/>
      <c r="O3294" s="78"/>
      <c r="P3294" s="78"/>
      <c r="Q3294" s="77"/>
      <c r="R3294" s="77"/>
      <c r="S3294" s="77"/>
      <c r="T3294" s="77"/>
      <c r="U3294" s="77"/>
      <c r="V3294" s="77"/>
    </row>
    <row r="3295" spans="1:22" ht="14.5" customHeight="1" x14ac:dyDescent="0.2">
      <c r="A3295" s="54">
        <v>2019</v>
      </c>
      <c r="B3295" s="17" t="s">
        <v>179</v>
      </c>
      <c r="C3295" t="s">
        <v>175</v>
      </c>
      <c r="D3295" s="22">
        <v>180</v>
      </c>
      <c r="E3295" s="16"/>
      <c r="G3295" t="s">
        <v>144</v>
      </c>
      <c r="H3295" t="s">
        <v>232</v>
      </c>
      <c r="I3295" t="s">
        <v>53</v>
      </c>
      <c r="J3295" t="s">
        <v>183</v>
      </c>
      <c r="K3295">
        <v>1</v>
      </c>
      <c r="N3295" s="21"/>
      <c r="O3295" s="2"/>
      <c r="P3295" s="2"/>
      <c r="Q3295" s="4"/>
      <c r="R3295" s="4"/>
      <c r="S3295" s="4"/>
      <c r="T3295" s="4"/>
      <c r="U3295" s="4"/>
      <c r="V3295" s="4"/>
    </row>
    <row r="3296" spans="1:22" ht="14.5" customHeight="1" x14ac:dyDescent="0.2">
      <c r="A3296" s="54">
        <v>2019</v>
      </c>
      <c r="B3296" s="17" t="s">
        <v>179</v>
      </c>
      <c r="C3296" t="s">
        <v>199</v>
      </c>
      <c r="D3296" s="22">
        <v>170</v>
      </c>
      <c r="E3296" s="16"/>
      <c r="F3296" t="s">
        <v>2916</v>
      </c>
      <c r="G3296" t="s">
        <v>144</v>
      </c>
      <c r="H3296" t="s">
        <v>299</v>
      </c>
      <c r="I3296" t="s">
        <v>55</v>
      </c>
      <c r="J3296" t="s">
        <v>214</v>
      </c>
      <c r="K3296">
        <v>1</v>
      </c>
      <c r="N3296" s="21"/>
      <c r="O3296" s="2"/>
      <c r="P3296" s="2"/>
      <c r="Q3296" s="4"/>
      <c r="R3296" s="4"/>
      <c r="S3296" s="4"/>
      <c r="T3296" s="4"/>
      <c r="U3296" s="4"/>
      <c r="V3296" s="4"/>
    </row>
    <row r="3297" spans="1:22" ht="14.5" customHeight="1" x14ac:dyDescent="0.2">
      <c r="A3297" s="54">
        <v>2019</v>
      </c>
      <c r="B3297" s="17" t="s">
        <v>179</v>
      </c>
      <c r="C3297" t="s">
        <v>397</v>
      </c>
      <c r="D3297" s="22">
        <v>150</v>
      </c>
      <c r="E3297" s="16"/>
      <c r="G3297" t="s">
        <v>151</v>
      </c>
      <c r="H3297" t="s">
        <v>279</v>
      </c>
      <c r="I3297" t="s">
        <v>82</v>
      </c>
      <c r="J3297" t="s">
        <v>183</v>
      </c>
      <c r="K3297">
        <v>1</v>
      </c>
      <c r="N3297" s="21"/>
      <c r="O3297" s="2"/>
      <c r="P3297" s="2"/>
      <c r="Q3297" s="4"/>
      <c r="R3297" s="4"/>
      <c r="S3297" s="4"/>
      <c r="T3297" s="4"/>
      <c r="U3297" s="4"/>
      <c r="V3297" s="4"/>
    </row>
    <row r="3298" spans="1:22" ht="14.5" customHeight="1" x14ac:dyDescent="0.2">
      <c r="A3298" s="54">
        <v>2019</v>
      </c>
      <c r="B3298" s="17" t="s">
        <v>179</v>
      </c>
      <c r="C3298" t="s">
        <v>815</v>
      </c>
      <c r="D3298" s="22">
        <v>600</v>
      </c>
      <c r="E3298" s="16"/>
      <c r="F3298" t="s">
        <v>2917</v>
      </c>
      <c r="G3298" t="s">
        <v>151</v>
      </c>
      <c r="H3298" t="s">
        <v>279</v>
      </c>
      <c r="I3298" t="s">
        <v>89</v>
      </c>
      <c r="J3298" t="s">
        <v>219</v>
      </c>
      <c r="K3298">
        <v>1</v>
      </c>
      <c r="N3298" s="21"/>
      <c r="O3298" s="2"/>
      <c r="P3298" s="2"/>
      <c r="Q3298" s="4"/>
      <c r="R3298" s="4"/>
      <c r="S3298" s="4"/>
      <c r="T3298" s="4"/>
      <c r="U3298" s="4"/>
      <c r="V3298" s="4"/>
    </row>
    <row r="3299" spans="1:22" ht="14.5" customHeight="1" x14ac:dyDescent="0.2">
      <c r="A3299" s="54">
        <v>2019</v>
      </c>
      <c r="B3299" s="17" t="s">
        <v>179</v>
      </c>
      <c r="C3299" s="17" t="s">
        <v>479</v>
      </c>
      <c r="D3299" s="22">
        <v>130</v>
      </c>
      <c r="E3299" s="16"/>
      <c r="G3299" t="s">
        <v>154</v>
      </c>
      <c r="H3299" t="s">
        <v>194</v>
      </c>
      <c r="I3299" t="s">
        <v>59</v>
      </c>
      <c r="J3299" t="s">
        <v>219</v>
      </c>
      <c r="K3299">
        <v>1</v>
      </c>
      <c r="N3299" s="21"/>
      <c r="O3299" s="2"/>
      <c r="P3299" s="2"/>
      <c r="Q3299" s="4"/>
      <c r="R3299" s="4"/>
      <c r="S3299" s="4"/>
      <c r="T3299" s="4"/>
      <c r="U3299" s="4"/>
      <c r="V3299" s="4"/>
    </row>
    <row r="3300" spans="1:22" ht="14.5" customHeight="1" x14ac:dyDescent="0.2">
      <c r="A3300" s="54">
        <v>2019</v>
      </c>
      <c r="B3300" s="17" t="s">
        <v>179</v>
      </c>
      <c r="C3300" t="s">
        <v>189</v>
      </c>
      <c r="D3300" s="22">
        <v>140</v>
      </c>
      <c r="E3300" s="16">
        <v>0.5</v>
      </c>
      <c r="F3300" t="s">
        <v>2918</v>
      </c>
      <c r="G3300" t="s">
        <v>144</v>
      </c>
      <c r="H3300" t="s">
        <v>187</v>
      </c>
      <c r="I3300" t="s">
        <v>77</v>
      </c>
      <c r="J3300" t="s">
        <v>177</v>
      </c>
      <c r="K3300">
        <v>0</v>
      </c>
      <c r="N3300" s="21"/>
      <c r="O3300" s="2"/>
      <c r="P3300" s="2"/>
      <c r="Q3300" s="4"/>
      <c r="R3300" s="4"/>
      <c r="S3300" s="4"/>
      <c r="T3300" s="4"/>
      <c r="U3300" s="4"/>
      <c r="V3300" s="4"/>
    </row>
    <row r="3301" spans="1:22" ht="14.5" customHeight="1" x14ac:dyDescent="0.2">
      <c r="A3301" s="54">
        <v>2019</v>
      </c>
      <c r="B3301" s="17" t="s">
        <v>179</v>
      </c>
      <c r="C3301" s="17" t="s">
        <v>1093</v>
      </c>
      <c r="D3301" s="22">
        <v>260</v>
      </c>
      <c r="E3301" s="16"/>
      <c r="G3301" t="s">
        <v>154</v>
      </c>
      <c r="H3301" t="s">
        <v>194</v>
      </c>
      <c r="I3301" t="s">
        <v>23</v>
      </c>
      <c r="J3301" t="s">
        <v>183</v>
      </c>
      <c r="K3301">
        <v>1</v>
      </c>
      <c r="N3301" s="21"/>
      <c r="O3301" s="2"/>
      <c r="P3301" s="2"/>
      <c r="Q3301" s="4"/>
      <c r="R3301" s="4"/>
      <c r="S3301" s="4"/>
      <c r="T3301" s="4"/>
      <c r="U3301" s="4"/>
      <c r="V3301" s="4"/>
    </row>
    <row r="3302" spans="1:22" ht="14.5" customHeight="1" x14ac:dyDescent="0.2">
      <c r="A3302" s="54">
        <v>2019</v>
      </c>
      <c r="B3302" s="17" t="s">
        <v>179</v>
      </c>
      <c r="C3302" s="17" t="s">
        <v>479</v>
      </c>
      <c r="D3302" s="22">
        <v>540</v>
      </c>
      <c r="E3302" s="16"/>
      <c r="G3302" t="s">
        <v>154</v>
      </c>
      <c r="H3302" t="s">
        <v>194</v>
      </c>
      <c r="I3302" t="s">
        <v>89</v>
      </c>
      <c r="J3302" t="s">
        <v>219</v>
      </c>
      <c r="K3302">
        <v>1</v>
      </c>
      <c r="N3302" s="21"/>
      <c r="O3302" s="2"/>
      <c r="P3302" s="2"/>
      <c r="Q3302" s="4"/>
      <c r="R3302" s="4"/>
      <c r="S3302" s="4"/>
      <c r="T3302" s="4"/>
      <c r="U3302" s="4"/>
      <c r="V3302" s="4"/>
    </row>
    <row r="3303" spans="1:22" ht="14.5" customHeight="1" x14ac:dyDescent="0.2">
      <c r="A3303" s="54">
        <v>2019</v>
      </c>
      <c r="B3303" s="17" t="s">
        <v>179</v>
      </c>
      <c r="C3303" t="s">
        <v>397</v>
      </c>
      <c r="D3303" s="22">
        <v>150</v>
      </c>
      <c r="E3303" s="16"/>
      <c r="G3303" t="s">
        <v>154</v>
      </c>
      <c r="H3303" t="s">
        <v>194</v>
      </c>
      <c r="I3303" t="s">
        <v>84</v>
      </c>
      <c r="J3303" t="s">
        <v>201</v>
      </c>
      <c r="K3303">
        <v>1</v>
      </c>
      <c r="N3303" s="21"/>
      <c r="O3303" s="2"/>
      <c r="P3303" s="2"/>
      <c r="Q3303" s="4"/>
      <c r="R3303" s="4"/>
      <c r="S3303" s="4"/>
      <c r="T3303" s="4"/>
      <c r="U3303" s="4"/>
      <c r="V3303" s="4"/>
    </row>
    <row r="3304" spans="1:22" ht="14.5" customHeight="1" x14ac:dyDescent="0.2">
      <c r="A3304" s="54">
        <v>2019</v>
      </c>
      <c r="B3304" s="17" t="s">
        <v>184</v>
      </c>
      <c r="C3304" t="s">
        <v>444</v>
      </c>
      <c r="D3304" s="22">
        <v>540</v>
      </c>
      <c r="E3304" s="16"/>
      <c r="F3304" t="s">
        <v>2919</v>
      </c>
      <c r="G3304" t="s">
        <v>149</v>
      </c>
      <c r="H3304" t="s">
        <v>238</v>
      </c>
      <c r="I3304" t="s">
        <v>122</v>
      </c>
      <c r="J3304" t="s">
        <v>201</v>
      </c>
      <c r="K3304">
        <v>1</v>
      </c>
      <c r="N3304" s="21"/>
      <c r="O3304" s="2"/>
      <c r="P3304" s="2"/>
      <c r="Q3304" s="4"/>
      <c r="R3304" s="4"/>
      <c r="S3304" s="4"/>
      <c r="T3304" s="4"/>
      <c r="U3304" s="4"/>
      <c r="V3304" s="4"/>
    </row>
    <row r="3305" spans="1:22" ht="14.5" customHeight="1" x14ac:dyDescent="0.2">
      <c r="A3305" s="54">
        <v>2019</v>
      </c>
      <c r="B3305" s="17" t="s">
        <v>184</v>
      </c>
      <c r="C3305" t="s">
        <v>875</v>
      </c>
      <c r="D3305" s="22">
        <v>1290</v>
      </c>
      <c r="E3305" s="16">
        <v>0.7</v>
      </c>
      <c r="F3305" t="s">
        <v>2920</v>
      </c>
      <c r="G3305" t="s">
        <v>144</v>
      </c>
      <c r="H3305" t="s">
        <v>197</v>
      </c>
      <c r="I3305" t="s">
        <v>93</v>
      </c>
      <c r="J3305" t="s">
        <v>201</v>
      </c>
      <c r="K3305">
        <v>1</v>
      </c>
      <c r="N3305" s="21"/>
      <c r="O3305" s="2"/>
      <c r="P3305" s="2"/>
      <c r="Q3305" s="4"/>
      <c r="R3305" s="4"/>
      <c r="S3305" s="4"/>
      <c r="T3305" s="4"/>
      <c r="U3305" s="4"/>
      <c r="V3305" s="4"/>
    </row>
    <row r="3306" spans="1:22" ht="14.5" customHeight="1" x14ac:dyDescent="0.2">
      <c r="A3306" s="54">
        <v>2019</v>
      </c>
      <c r="B3306" s="17" t="s">
        <v>184</v>
      </c>
      <c r="C3306" t="s">
        <v>745</v>
      </c>
      <c r="D3306" s="22">
        <v>160</v>
      </c>
      <c r="E3306" s="16"/>
      <c r="F3306" t="s">
        <v>2921</v>
      </c>
      <c r="G3306" t="s">
        <v>144</v>
      </c>
      <c r="H3306" t="s">
        <v>299</v>
      </c>
      <c r="I3306" t="s">
        <v>53</v>
      </c>
      <c r="J3306" t="s">
        <v>183</v>
      </c>
      <c r="K3306">
        <v>1</v>
      </c>
      <c r="N3306" s="21"/>
      <c r="O3306" s="2"/>
      <c r="P3306" s="2"/>
      <c r="Q3306" s="4"/>
      <c r="R3306" s="4"/>
      <c r="S3306" s="4"/>
      <c r="T3306" s="4"/>
      <c r="U3306" s="4"/>
      <c r="V3306" s="4"/>
    </row>
    <row r="3307" spans="1:22" ht="14.5" customHeight="1" x14ac:dyDescent="0.2">
      <c r="A3307" s="54">
        <v>2019</v>
      </c>
      <c r="B3307" s="17" t="s">
        <v>184</v>
      </c>
      <c r="C3307" t="s">
        <v>2922</v>
      </c>
      <c r="D3307" s="22">
        <v>570</v>
      </c>
      <c r="E3307" s="16"/>
      <c r="F3307" t="s">
        <v>2923</v>
      </c>
      <c r="G3307" t="s">
        <v>144</v>
      </c>
      <c r="H3307" t="s">
        <v>273</v>
      </c>
      <c r="I3307" t="s">
        <v>78</v>
      </c>
      <c r="J3307" t="s">
        <v>183</v>
      </c>
      <c r="K3307">
        <v>1</v>
      </c>
      <c r="N3307" s="21"/>
      <c r="O3307" s="2"/>
      <c r="P3307" s="2"/>
      <c r="Q3307" s="4"/>
      <c r="R3307" s="4"/>
      <c r="S3307" s="4"/>
      <c r="T3307" s="4"/>
      <c r="U3307" s="4"/>
      <c r="V3307" s="4"/>
    </row>
    <row r="3308" spans="1:22" ht="14.5" customHeight="1" x14ac:dyDescent="0.2">
      <c r="A3308" s="54">
        <v>2019</v>
      </c>
      <c r="B3308" s="17" t="s">
        <v>184</v>
      </c>
      <c r="C3308" t="s">
        <v>444</v>
      </c>
      <c r="D3308" s="22">
        <v>160</v>
      </c>
      <c r="E3308" s="16"/>
      <c r="F3308" t="s">
        <v>2924</v>
      </c>
      <c r="G3308" t="s">
        <v>151</v>
      </c>
      <c r="H3308" t="s">
        <v>279</v>
      </c>
      <c r="I3308" t="s">
        <v>2628</v>
      </c>
      <c r="J3308" t="s">
        <v>195</v>
      </c>
      <c r="K3308">
        <v>1</v>
      </c>
      <c r="N3308" s="21"/>
      <c r="O3308" s="2"/>
      <c r="P3308" s="2"/>
      <c r="Q3308" s="4"/>
      <c r="R3308" s="4"/>
      <c r="S3308" s="4"/>
      <c r="T3308" s="4"/>
      <c r="U3308" s="4"/>
      <c r="V3308" s="4"/>
    </row>
    <row r="3309" spans="1:22" ht="14.5" customHeight="1" x14ac:dyDescent="0.2">
      <c r="A3309" s="54">
        <v>2019</v>
      </c>
      <c r="B3309" s="17" t="s">
        <v>184</v>
      </c>
      <c r="C3309" t="s">
        <v>444</v>
      </c>
      <c r="D3309" s="22">
        <v>240</v>
      </c>
      <c r="E3309" s="16"/>
      <c r="G3309" t="s">
        <v>142</v>
      </c>
      <c r="I3309" t="s">
        <v>63</v>
      </c>
      <c r="J3309" t="s">
        <v>201</v>
      </c>
      <c r="K3309">
        <v>1</v>
      </c>
      <c r="N3309" s="21"/>
      <c r="O3309" s="2"/>
      <c r="P3309" s="2"/>
      <c r="Q3309" s="4"/>
      <c r="R3309" s="4"/>
      <c r="S3309" s="4"/>
      <c r="T3309" s="4"/>
      <c r="U3309" s="4"/>
      <c r="V3309" s="4"/>
    </row>
    <row r="3310" spans="1:22" ht="14.5" customHeight="1" x14ac:dyDescent="0.2">
      <c r="A3310" s="54">
        <v>2019</v>
      </c>
      <c r="B3310" s="17" t="s">
        <v>184</v>
      </c>
      <c r="C3310" t="s">
        <v>444</v>
      </c>
      <c r="D3310" s="22">
        <v>130</v>
      </c>
      <c r="E3310" s="16"/>
      <c r="G3310" t="s">
        <v>154</v>
      </c>
      <c r="H3310" t="s">
        <v>271</v>
      </c>
      <c r="I3310" t="s">
        <v>22</v>
      </c>
      <c r="J3310" t="s">
        <v>195</v>
      </c>
      <c r="K3310">
        <v>1</v>
      </c>
      <c r="N3310" s="21"/>
      <c r="O3310" s="2"/>
      <c r="P3310" s="2"/>
      <c r="Q3310" s="4"/>
      <c r="R3310" s="4"/>
      <c r="S3310" s="4"/>
      <c r="T3310" s="4"/>
      <c r="U3310" s="4"/>
      <c r="V3310" s="4"/>
    </row>
    <row r="3311" spans="1:22" ht="14.5" customHeight="1" x14ac:dyDescent="0.2">
      <c r="A3311" s="54">
        <v>2019</v>
      </c>
      <c r="B3311" s="17" t="s">
        <v>184</v>
      </c>
      <c r="C3311" t="s">
        <v>397</v>
      </c>
      <c r="D3311" s="22">
        <v>190</v>
      </c>
      <c r="E3311" s="16"/>
      <c r="G3311" t="s">
        <v>154</v>
      </c>
      <c r="H3311" t="s">
        <v>194</v>
      </c>
      <c r="I3311" t="s">
        <v>130</v>
      </c>
      <c r="J3311" t="s">
        <v>214</v>
      </c>
      <c r="K3311">
        <v>1</v>
      </c>
      <c r="N3311" s="21"/>
      <c r="O3311" s="2"/>
      <c r="P3311" s="2"/>
      <c r="Q3311" s="4"/>
      <c r="R3311" s="4"/>
      <c r="S3311" s="4"/>
      <c r="T3311" s="4"/>
      <c r="U3311" s="4"/>
      <c r="V3311" s="4"/>
    </row>
    <row r="3312" spans="1:22" ht="14.5" customHeight="1" x14ac:dyDescent="0.2">
      <c r="A3312" s="54">
        <v>2019</v>
      </c>
      <c r="B3312" s="17" t="s">
        <v>184</v>
      </c>
      <c r="C3312" t="s">
        <v>449</v>
      </c>
      <c r="D3312" s="22">
        <v>500</v>
      </c>
      <c r="E3312" s="16"/>
      <c r="G3312" t="s">
        <v>154</v>
      </c>
      <c r="H3312" t="s">
        <v>529</v>
      </c>
      <c r="I3312" t="s">
        <v>46</v>
      </c>
      <c r="J3312" t="s">
        <v>219</v>
      </c>
      <c r="K3312">
        <v>1</v>
      </c>
      <c r="N3312" s="21"/>
      <c r="O3312" s="2"/>
      <c r="P3312" s="2"/>
      <c r="Q3312" s="4"/>
      <c r="R3312" s="4"/>
      <c r="S3312" s="4"/>
      <c r="T3312" s="4"/>
      <c r="U3312" s="4"/>
      <c r="V3312" s="4"/>
    </row>
    <row r="3313" spans="1:22" ht="14.5" customHeight="1" x14ac:dyDescent="0.2">
      <c r="A3313" s="54">
        <v>2019</v>
      </c>
      <c r="B3313" s="17" t="s">
        <v>184</v>
      </c>
      <c r="C3313" t="s">
        <v>1035</v>
      </c>
      <c r="D3313" s="22">
        <v>260</v>
      </c>
      <c r="E3313" s="16"/>
      <c r="G3313" t="s">
        <v>155</v>
      </c>
      <c r="I3313" t="s">
        <v>2449</v>
      </c>
      <c r="J3313" t="s">
        <v>183</v>
      </c>
      <c r="K3313">
        <v>1</v>
      </c>
      <c r="N3313" s="21"/>
      <c r="O3313" s="2"/>
      <c r="P3313" s="2"/>
      <c r="Q3313" s="4"/>
      <c r="R3313" s="4"/>
      <c r="S3313" s="4"/>
      <c r="T3313" s="4"/>
      <c r="U3313" s="4"/>
      <c r="V3313" s="4"/>
    </row>
    <row r="3314" spans="1:22" ht="14.5" customHeight="1" x14ac:dyDescent="0.2">
      <c r="A3314" s="54">
        <v>2019</v>
      </c>
      <c r="B3314" s="17" t="s">
        <v>184</v>
      </c>
      <c r="C3314" t="s">
        <v>399</v>
      </c>
      <c r="D3314" s="22">
        <v>960</v>
      </c>
      <c r="E3314" s="16"/>
      <c r="G3314" t="s">
        <v>144</v>
      </c>
      <c r="H3314" t="s">
        <v>273</v>
      </c>
      <c r="I3314" t="s">
        <v>93</v>
      </c>
      <c r="J3314" t="s">
        <v>201</v>
      </c>
      <c r="K3314">
        <v>1</v>
      </c>
      <c r="N3314" s="21"/>
      <c r="O3314" s="2"/>
      <c r="P3314" s="2"/>
      <c r="Q3314" s="4"/>
      <c r="R3314" s="4"/>
      <c r="S3314" s="4"/>
      <c r="T3314" s="4"/>
      <c r="U3314" s="4"/>
      <c r="V3314" s="4"/>
    </row>
    <row r="3315" spans="1:22" ht="14.5" customHeight="1" x14ac:dyDescent="0.2">
      <c r="A3315" s="54">
        <v>2019</v>
      </c>
      <c r="B3315" s="17" t="s">
        <v>184</v>
      </c>
      <c r="C3315" t="s">
        <v>875</v>
      </c>
      <c r="D3315" s="22">
        <v>800</v>
      </c>
      <c r="E3315" s="16"/>
      <c r="G3315" t="s">
        <v>144</v>
      </c>
      <c r="H3315" t="s">
        <v>197</v>
      </c>
      <c r="I3315" t="s">
        <v>97</v>
      </c>
      <c r="J3315" t="s">
        <v>183</v>
      </c>
      <c r="K3315">
        <v>1</v>
      </c>
      <c r="N3315" s="21"/>
      <c r="O3315" s="2"/>
      <c r="P3315" s="2"/>
      <c r="Q3315" s="4"/>
      <c r="R3315" s="4"/>
      <c r="S3315" s="4"/>
      <c r="T3315" s="4"/>
      <c r="U3315" s="4"/>
      <c r="V3315" s="4"/>
    </row>
    <row r="3316" spans="1:22" ht="14.5" customHeight="1" x14ac:dyDescent="0.2">
      <c r="A3316" s="54">
        <v>2019</v>
      </c>
      <c r="B3316" s="17" t="s">
        <v>184</v>
      </c>
      <c r="C3316" t="s">
        <v>397</v>
      </c>
      <c r="D3316" s="22">
        <v>110</v>
      </c>
      <c r="E3316" s="16"/>
      <c r="G3316" t="s">
        <v>151</v>
      </c>
      <c r="H3316" t="s">
        <v>279</v>
      </c>
      <c r="I3316" t="s">
        <v>108</v>
      </c>
      <c r="J3316" t="s">
        <v>183</v>
      </c>
      <c r="K3316">
        <v>1</v>
      </c>
      <c r="N3316" s="21"/>
      <c r="O3316" s="2"/>
      <c r="P3316" s="2"/>
      <c r="Q3316" s="4"/>
      <c r="R3316" s="4"/>
      <c r="S3316" s="4"/>
      <c r="T3316" s="4"/>
      <c r="U3316" s="4"/>
      <c r="V3316" s="4"/>
    </row>
    <row r="3317" spans="1:22" ht="14.5" customHeight="1" x14ac:dyDescent="0.2">
      <c r="A3317" s="54">
        <v>2019</v>
      </c>
      <c r="B3317" s="17" t="s">
        <v>184</v>
      </c>
      <c r="C3317" t="s">
        <v>397</v>
      </c>
      <c r="D3317" s="22">
        <v>100</v>
      </c>
      <c r="E3317" s="16"/>
      <c r="F3317" t="s">
        <v>2925</v>
      </c>
      <c r="G3317" t="s">
        <v>151</v>
      </c>
      <c r="H3317" t="s">
        <v>279</v>
      </c>
      <c r="I3317" t="s">
        <v>115</v>
      </c>
      <c r="J3317" t="s">
        <v>201</v>
      </c>
      <c r="K3317">
        <v>1</v>
      </c>
      <c r="N3317" s="21"/>
      <c r="O3317" s="2"/>
      <c r="P3317" s="2"/>
      <c r="Q3317" s="4"/>
      <c r="R3317" s="4"/>
      <c r="S3317" s="4"/>
      <c r="T3317" s="4"/>
      <c r="U3317" s="4"/>
      <c r="V3317" s="4"/>
    </row>
    <row r="3318" spans="1:22" ht="14.5" customHeight="1" x14ac:dyDescent="0.2">
      <c r="A3318" s="54">
        <v>2019</v>
      </c>
      <c r="B3318" s="17" t="s">
        <v>184</v>
      </c>
      <c r="C3318" t="s">
        <v>449</v>
      </c>
      <c r="D3318" s="22">
        <v>420</v>
      </c>
      <c r="E3318" s="16"/>
      <c r="G3318" t="s">
        <v>154</v>
      </c>
      <c r="H3318" t="s">
        <v>529</v>
      </c>
      <c r="I3318" t="s">
        <v>101</v>
      </c>
      <c r="J3318" t="s">
        <v>201</v>
      </c>
      <c r="K3318">
        <v>1</v>
      </c>
      <c r="N3318" s="21"/>
      <c r="O3318" s="2"/>
      <c r="P3318" s="2"/>
      <c r="Q3318" s="4"/>
      <c r="R3318" s="4"/>
      <c r="S3318" s="4"/>
      <c r="T3318" s="4"/>
      <c r="U3318" s="4"/>
      <c r="V3318" s="4"/>
    </row>
    <row r="3319" spans="1:22" ht="14.5" customHeight="1" x14ac:dyDescent="0.2">
      <c r="A3319" s="54">
        <v>2019</v>
      </c>
      <c r="B3319" s="17" t="s">
        <v>184</v>
      </c>
      <c r="C3319" t="s">
        <v>397</v>
      </c>
      <c r="D3319" s="22">
        <v>200</v>
      </c>
      <c r="E3319" s="16"/>
      <c r="G3319" t="s">
        <v>145</v>
      </c>
      <c r="I3319" t="s">
        <v>130</v>
      </c>
      <c r="J3319" t="s">
        <v>214</v>
      </c>
      <c r="K3319">
        <v>1</v>
      </c>
      <c r="N3319" s="21"/>
      <c r="O3319" s="2"/>
      <c r="P3319" s="2"/>
      <c r="Q3319" s="4"/>
      <c r="R3319" s="4"/>
      <c r="S3319" s="4"/>
      <c r="T3319" s="4"/>
      <c r="U3319" s="4"/>
      <c r="V3319" s="4"/>
    </row>
    <row r="3320" spans="1:22" ht="14.5" customHeight="1" x14ac:dyDescent="0.2">
      <c r="A3320" s="54">
        <v>2019</v>
      </c>
      <c r="B3320" s="17" t="s">
        <v>184</v>
      </c>
      <c r="C3320" t="s">
        <v>397</v>
      </c>
      <c r="D3320" s="22">
        <v>140</v>
      </c>
      <c r="E3320" s="16"/>
      <c r="F3320" t="s">
        <v>2926</v>
      </c>
      <c r="G3320" t="s">
        <v>142</v>
      </c>
      <c r="I3320" t="s">
        <v>108</v>
      </c>
      <c r="J3320" t="s">
        <v>183</v>
      </c>
      <c r="K3320">
        <v>1</v>
      </c>
      <c r="N3320" s="21"/>
      <c r="O3320" s="2"/>
      <c r="P3320" s="2"/>
      <c r="Q3320" s="4"/>
      <c r="R3320" s="4"/>
      <c r="S3320" s="4"/>
      <c r="T3320" s="4"/>
      <c r="U3320" s="4"/>
      <c r="V3320" s="4"/>
    </row>
    <row r="3321" spans="1:22" ht="14.5" customHeight="1" x14ac:dyDescent="0.2">
      <c r="A3321" s="54">
        <v>2019</v>
      </c>
      <c r="B3321" s="17" t="s">
        <v>184</v>
      </c>
      <c r="C3321" t="s">
        <v>397</v>
      </c>
      <c r="D3321" s="22">
        <v>220</v>
      </c>
      <c r="E3321" s="16"/>
      <c r="G3321" t="s">
        <v>154</v>
      </c>
      <c r="H3321" t="s">
        <v>194</v>
      </c>
      <c r="I3321" t="s">
        <v>78</v>
      </c>
      <c r="J3321" t="s">
        <v>183</v>
      </c>
      <c r="K3321">
        <v>1</v>
      </c>
      <c r="N3321" s="21"/>
      <c r="O3321" s="2"/>
      <c r="P3321" s="2"/>
      <c r="Q3321" s="4"/>
      <c r="R3321" s="4"/>
      <c r="S3321" s="4"/>
      <c r="T3321" s="4"/>
      <c r="U3321" s="4"/>
      <c r="V3321" s="4"/>
    </row>
    <row r="3322" spans="1:22" ht="14.5" customHeight="1" x14ac:dyDescent="0.2">
      <c r="A3322" s="54">
        <v>2019</v>
      </c>
      <c r="B3322" s="17" t="s">
        <v>184</v>
      </c>
      <c r="C3322" t="s">
        <v>449</v>
      </c>
      <c r="D3322" s="22">
        <v>230</v>
      </c>
      <c r="E3322" s="16"/>
      <c r="G3322" t="s">
        <v>142</v>
      </c>
      <c r="I3322" t="s">
        <v>134</v>
      </c>
      <c r="J3322" t="s">
        <v>201</v>
      </c>
      <c r="K3322">
        <v>1</v>
      </c>
      <c r="N3322" s="21"/>
      <c r="O3322" s="2"/>
      <c r="P3322" s="2"/>
      <c r="Q3322" s="4"/>
      <c r="R3322" s="4"/>
      <c r="S3322" s="4"/>
      <c r="T3322" s="4"/>
      <c r="U3322" s="4"/>
      <c r="V3322" s="4"/>
    </row>
    <row r="3323" spans="1:22" ht="14.5" customHeight="1" x14ac:dyDescent="0.2">
      <c r="A3323" s="54">
        <v>2019</v>
      </c>
      <c r="B3323" s="17" t="s">
        <v>184</v>
      </c>
      <c r="C3323" t="s">
        <v>2927</v>
      </c>
      <c r="D3323" s="22">
        <v>360</v>
      </c>
      <c r="E3323" s="16"/>
      <c r="G3323" t="s">
        <v>144</v>
      </c>
      <c r="H3323" t="s">
        <v>299</v>
      </c>
      <c r="I3323" t="s">
        <v>13</v>
      </c>
      <c r="J3323" t="s">
        <v>201</v>
      </c>
      <c r="K3323">
        <v>1</v>
      </c>
      <c r="L3323" s="17"/>
      <c r="N3323" s="21"/>
      <c r="O3323" s="2"/>
      <c r="P3323" s="2"/>
      <c r="Q3323" s="4"/>
      <c r="R3323" s="4"/>
      <c r="S3323" s="4"/>
      <c r="T3323" s="4"/>
      <c r="U3323" s="4"/>
      <c r="V3323" s="4"/>
    </row>
    <row r="3324" spans="1:22" ht="14.5" customHeight="1" x14ac:dyDescent="0.2">
      <c r="A3324" s="54">
        <v>2019</v>
      </c>
      <c r="B3324" s="17" t="s">
        <v>225</v>
      </c>
      <c r="C3324" t="s">
        <v>479</v>
      </c>
      <c r="D3324" s="22">
        <v>110</v>
      </c>
      <c r="E3324" s="16"/>
      <c r="G3324" t="s">
        <v>154</v>
      </c>
      <c r="H3324" t="s">
        <v>271</v>
      </c>
      <c r="I3324" t="s">
        <v>46</v>
      </c>
      <c r="J3324" t="s">
        <v>219</v>
      </c>
      <c r="K3324">
        <v>1</v>
      </c>
      <c r="L3324" s="17"/>
      <c r="N3324" s="21"/>
      <c r="O3324" s="2"/>
      <c r="P3324" s="2"/>
      <c r="Q3324" s="4"/>
      <c r="R3324" s="4"/>
      <c r="S3324" s="4"/>
      <c r="T3324" s="4"/>
      <c r="U3324" s="4"/>
      <c r="V3324" s="4"/>
    </row>
    <row r="3325" spans="1:22" ht="14.5" customHeight="1" x14ac:dyDescent="0.2">
      <c r="A3325" s="54">
        <v>2019</v>
      </c>
      <c r="B3325" s="17" t="s">
        <v>225</v>
      </c>
      <c r="C3325" t="s">
        <v>479</v>
      </c>
      <c r="D3325" s="22">
        <v>120</v>
      </c>
      <c r="E3325" s="16"/>
      <c r="G3325" t="s">
        <v>144</v>
      </c>
      <c r="H3325" t="s">
        <v>187</v>
      </c>
      <c r="I3325" t="s">
        <v>105</v>
      </c>
      <c r="J3325" t="s">
        <v>214</v>
      </c>
      <c r="K3325">
        <v>1</v>
      </c>
      <c r="N3325" s="21"/>
      <c r="O3325" s="2"/>
      <c r="P3325" s="2"/>
      <c r="Q3325" s="4"/>
      <c r="R3325" s="4"/>
      <c r="S3325" s="4"/>
      <c r="T3325" s="4"/>
      <c r="U3325" s="4"/>
      <c r="V3325" s="4"/>
    </row>
    <row r="3326" spans="1:22" ht="14.5" customHeight="1" x14ac:dyDescent="0.2">
      <c r="A3326" s="54">
        <v>2019</v>
      </c>
      <c r="B3326" s="17" t="s">
        <v>225</v>
      </c>
      <c r="C3326" t="s">
        <v>479</v>
      </c>
      <c r="D3326" s="22">
        <v>160</v>
      </c>
      <c r="E3326" s="16"/>
      <c r="G3326" t="s">
        <v>154</v>
      </c>
      <c r="H3326" t="s">
        <v>194</v>
      </c>
      <c r="I3326" t="s">
        <v>70</v>
      </c>
      <c r="J3326" t="s">
        <v>219</v>
      </c>
      <c r="K3326">
        <v>1</v>
      </c>
      <c r="N3326" s="21"/>
      <c r="O3326" s="2"/>
      <c r="P3326" s="2"/>
      <c r="Q3326" s="4"/>
      <c r="R3326" s="4"/>
      <c r="S3326" s="4"/>
      <c r="T3326" s="4"/>
      <c r="U3326" s="4"/>
      <c r="V3326" s="4"/>
    </row>
    <row r="3327" spans="1:22" ht="14.5" customHeight="1" x14ac:dyDescent="0.2">
      <c r="A3327" s="54">
        <v>2019</v>
      </c>
      <c r="B3327" s="17" t="s">
        <v>225</v>
      </c>
      <c r="C3327" t="s">
        <v>444</v>
      </c>
      <c r="D3327" s="22">
        <v>260</v>
      </c>
      <c r="E3327" s="16"/>
      <c r="G3327" t="s">
        <v>151</v>
      </c>
      <c r="H3327" t="s">
        <v>279</v>
      </c>
      <c r="I3327" t="s">
        <v>55</v>
      </c>
      <c r="J3327" t="s">
        <v>214</v>
      </c>
      <c r="K3327">
        <v>1</v>
      </c>
      <c r="N3327" s="21"/>
      <c r="O3327" s="2"/>
      <c r="P3327" s="2"/>
      <c r="Q3327" s="4"/>
      <c r="R3327" s="4"/>
      <c r="S3327" s="4"/>
      <c r="T3327" s="4"/>
      <c r="U3327" s="4"/>
      <c r="V3327" s="4"/>
    </row>
    <row r="3328" spans="1:22" ht="14.5" customHeight="1" x14ac:dyDescent="0.2">
      <c r="A3328" s="54">
        <v>2019</v>
      </c>
      <c r="B3328" s="17" t="s">
        <v>225</v>
      </c>
      <c r="C3328" t="s">
        <v>1093</v>
      </c>
      <c r="D3328" s="22">
        <v>160</v>
      </c>
      <c r="E3328" s="16"/>
      <c r="G3328" t="s">
        <v>147</v>
      </c>
      <c r="I3328" t="s">
        <v>126</v>
      </c>
      <c r="J3328" t="s">
        <v>177</v>
      </c>
      <c r="K3328">
        <v>1</v>
      </c>
      <c r="N3328" s="21"/>
      <c r="O3328" s="2"/>
      <c r="P3328" s="2"/>
      <c r="Q3328" s="4"/>
      <c r="R3328" s="4"/>
      <c r="S3328" s="4"/>
      <c r="T3328" s="4"/>
      <c r="U3328" s="4"/>
      <c r="V3328" s="4"/>
    </row>
    <row r="3329" spans="1:22" ht="14.5" customHeight="1" x14ac:dyDescent="0.2">
      <c r="A3329" s="54">
        <v>2019</v>
      </c>
      <c r="B3329" s="17" t="s">
        <v>225</v>
      </c>
      <c r="C3329" t="s">
        <v>1035</v>
      </c>
      <c r="D3329" s="22">
        <v>510</v>
      </c>
      <c r="E3329" s="16"/>
      <c r="F3329" t="s">
        <v>1247</v>
      </c>
      <c r="G3329" t="s">
        <v>155</v>
      </c>
      <c r="I3329" t="s">
        <v>130</v>
      </c>
      <c r="J3329" t="s">
        <v>214</v>
      </c>
      <c r="K3329">
        <v>1</v>
      </c>
      <c r="N3329" s="21"/>
      <c r="O3329" s="2"/>
      <c r="P3329" s="2"/>
      <c r="Q3329" s="4"/>
      <c r="R3329" s="4"/>
      <c r="S3329" s="4"/>
      <c r="T3329" s="4"/>
      <c r="U3329" s="4"/>
      <c r="V3329" s="4"/>
    </row>
    <row r="3330" spans="1:22" ht="14.5" customHeight="1" x14ac:dyDescent="0.2">
      <c r="A3330" s="54">
        <v>2019</v>
      </c>
      <c r="B3330" s="17" t="s">
        <v>225</v>
      </c>
      <c r="C3330" t="s">
        <v>341</v>
      </c>
      <c r="D3330" s="22">
        <v>330</v>
      </c>
      <c r="E3330" s="16"/>
      <c r="G3330" t="s">
        <v>154</v>
      </c>
      <c r="H3330" t="s">
        <v>194</v>
      </c>
      <c r="I3330" t="s">
        <v>108</v>
      </c>
      <c r="J3330" t="s">
        <v>183</v>
      </c>
      <c r="K3330">
        <v>1</v>
      </c>
      <c r="N3330" s="21"/>
      <c r="O3330" s="2"/>
      <c r="P3330" s="2"/>
      <c r="Q3330" s="4"/>
      <c r="R3330" s="4"/>
      <c r="S3330" s="4"/>
      <c r="T3330" s="4"/>
      <c r="U3330" s="4"/>
      <c r="V3330" s="4"/>
    </row>
    <row r="3331" spans="1:22" ht="14.5" customHeight="1" x14ac:dyDescent="0.2">
      <c r="A3331" s="54">
        <v>2019</v>
      </c>
      <c r="B3331" s="17" t="s">
        <v>225</v>
      </c>
      <c r="C3331" t="s">
        <v>2928</v>
      </c>
      <c r="D3331" s="22">
        <v>430</v>
      </c>
      <c r="E3331" s="16"/>
      <c r="G3331" t="s">
        <v>154</v>
      </c>
      <c r="H3331" t="s">
        <v>271</v>
      </c>
      <c r="I3331" t="s">
        <v>59</v>
      </c>
      <c r="J3331" t="s">
        <v>219</v>
      </c>
      <c r="K3331">
        <v>1</v>
      </c>
      <c r="N3331" s="21"/>
      <c r="O3331" s="2"/>
      <c r="P3331" s="2"/>
      <c r="Q3331" s="4"/>
      <c r="R3331" s="4"/>
      <c r="S3331" s="4"/>
      <c r="T3331" s="4"/>
      <c r="U3331" s="4"/>
      <c r="V3331" s="4"/>
    </row>
    <row r="3332" spans="1:22" ht="14.5" customHeight="1" x14ac:dyDescent="0.2">
      <c r="A3332" s="54">
        <v>2019</v>
      </c>
      <c r="B3332" s="17" t="s">
        <v>225</v>
      </c>
      <c r="C3332" t="s">
        <v>449</v>
      </c>
      <c r="D3332" s="22">
        <v>210</v>
      </c>
      <c r="E3332" s="16"/>
      <c r="G3332" t="s">
        <v>154</v>
      </c>
      <c r="H3332" t="s">
        <v>194</v>
      </c>
      <c r="I3332" t="s">
        <v>2852</v>
      </c>
      <c r="J3332" t="s">
        <v>195</v>
      </c>
      <c r="K3332">
        <v>1</v>
      </c>
      <c r="N3332" s="21"/>
      <c r="O3332" s="2"/>
      <c r="P3332" s="2"/>
      <c r="Q3332" s="4"/>
      <c r="R3332" s="4"/>
      <c r="S3332" s="4"/>
      <c r="T3332" s="4"/>
      <c r="U3332" s="4"/>
      <c r="V3332" s="4"/>
    </row>
    <row r="3333" spans="1:22" ht="14.5" customHeight="1" x14ac:dyDescent="0.2">
      <c r="A3333" s="54">
        <v>2019</v>
      </c>
      <c r="B3333" s="17" t="s">
        <v>225</v>
      </c>
      <c r="C3333" t="s">
        <v>1035</v>
      </c>
      <c r="D3333" s="22">
        <v>730</v>
      </c>
      <c r="E3333" s="16">
        <v>0.7</v>
      </c>
      <c r="F3333" t="s">
        <v>1247</v>
      </c>
      <c r="G3333" t="s">
        <v>155</v>
      </c>
      <c r="I3333" t="s">
        <v>2929</v>
      </c>
      <c r="J3333" t="s">
        <v>214</v>
      </c>
      <c r="K3333">
        <v>1</v>
      </c>
      <c r="L3333" s="17"/>
      <c r="N3333" s="21"/>
      <c r="O3333" s="2"/>
      <c r="P3333" s="2"/>
      <c r="Q3333" s="4"/>
      <c r="R3333" s="4"/>
      <c r="S3333" s="4"/>
      <c r="T3333" s="4"/>
      <c r="U3333" s="4"/>
      <c r="V3333" s="4"/>
    </row>
    <row r="3334" spans="1:22" ht="14.5" customHeight="1" x14ac:dyDescent="0.2">
      <c r="A3334" s="54">
        <v>2019</v>
      </c>
      <c r="B3334" s="17" t="s">
        <v>225</v>
      </c>
      <c r="C3334" t="s">
        <v>397</v>
      </c>
      <c r="D3334" s="22">
        <v>120</v>
      </c>
      <c r="E3334" s="16"/>
      <c r="G3334" t="s">
        <v>151</v>
      </c>
      <c r="H3334" t="s">
        <v>279</v>
      </c>
      <c r="I3334" t="s">
        <v>108</v>
      </c>
      <c r="J3334" t="s">
        <v>183</v>
      </c>
      <c r="K3334">
        <v>1</v>
      </c>
      <c r="N3334" s="21"/>
      <c r="O3334" s="2"/>
      <c r="P3334" s="2"/>
      <c r="Q3334" s="4"/>
      <c r="R3334" s="4"/>
      <c r="S3334" s="4"/>
      <c r="T3334" s="4"/>
      <c r="U3334" s="4"/>
      <c r="V3334" s="4"/>
    </row>
    <row r="3335" spans="1:22" ht="14.5" customHeight="1" x14ac:dyDescent="0.2">
      <c r="A3335" s="54">
        <v>2019</v>
      </c>
      <c r="B3335" s="17" t="s">
        <v>225</v>
      </c>
      <c r="C3335" t="s">
        <v>221</v>
      </c>
      <c r="D3335" s="22">
        <v>680</v>
      </c>
      <c r="E3335" s="16"/>
      <c r="G3335" t="s">
        <v>154</v>
      </c>
      <c r="H3335" t="s">
        <v>194</v>
      </c>
      <c r="I3335" t="s">
        <v>63</v>
      </c>
      <c r="J3335" t="s">
        <v>201</v>
      </c>
      <c r="K3335">
        <v>1</v>
      </c>
      <c r="N3335" s="21"/>
      <c r="O3335" s="2"/>
      <c r="P3335" s="2"/>
      <c r="Q3335" s="4"/>
      <c r="R3335" s="4"/>
      <c r="S3335" s="4"/>
      <c r="T3335" s="4"/>
      <c r="U3335" s="4"/>
      <c r="V3335" s="4"/>
    </row>
    <row r="3336" spans="1:22" ht="14.5" customHeight="1" x14ac:dyDescent="0.2">
      <c r="A3336" s="54">
        <v>2019</v>
      </c>
      <c r="B3336" s="17" t="s">
        <v>188</v>
      </c>
      <c r="C3336" t="s">
        <v>341</v>
      </c>
      <c r="D3336" s="22">
        <v>1040</v>
      </c>
      <c r="E3336" s="16">
        <v>0.5</v>
      </c>
      <c r="F3336" t="s">
        <v>2930</v>
      </c>
      <c r="G3336" t="s">
        <v>154</v>
      </c>
      <c r="H3336" t="s">
        <v>529</v>
      </c>
      <c r="I3336" t="s">
        <v>51</v>
      </c>
      <c r="J3336" t="s">
        <v>195</v>
      </c>
      <c r="K3336">
        <v>1</v>
      </c>
      <c r="N3336" s="21"/>
      <c r="O3336" s="2"/>
      <c r="P3336" s="2"/>
      <c r="Q3336" s="4"/>
      <c r="R3336" s="4"/>
      <c r="S3336" s="4"/>
      <c r="T3336" s="4"/>
      <c r="U3336" s="4"/>
      <c r="V3336" s="4"/>
    </row>
    <row r="3337" spans="1:22" ht="14.5" customHeight="1" x14ac:dyDescent="0.2">
      <c r="A3337" s="54">
        <v>2019</v>
      </c>
      <c r="B3337" s="17" t="s">
        <v>188</v>
      </c>
      <c r="C3337" t="s">
        <v>221</v>
      </c>
      <c r="D3337" s="22">
        <v>320</v>
      </c>
      <c r="E3337" s="16"/>
      <c r="G3337" t="s">
        <v>142</v>
      </c>
      <c r="I3337" t="s">
        <v>23</v>
      </c>
      <c r="J3337" t="s">
        <v>183</v>
      </c>
      <c r="K3337">
        <v>1</v>
      </c>
      <c r="N3337" s="21"/>
      <c r="O3337" s="2"/>
      <c r="P3337" s="2"/>
      <c r="Q3337" s="4"/>
      <c r="R3337" s="4"/>
      <c r="S3337" s="4"/>
      <c r="T3337" s="4"/>
      <c r="U3337" s="4"/>
      <c r="V3337" s="4"/>
    </row>
    <row r="3338" spans="1:22" ht="14.5" customHeight="1" x14ac:dyDescent="0.2">
      <c r="A3338" s="54">
        <v>2019</v>
      </c>
      <c r="B3338" s="17" t="s">
        <v>188</v>
      </c>
      <c r="C3338" s="17" t="s">
        <v>2931</v>
      </c>
      <c r="D3338" s="22">
        <v>100</v>
      </c>
      <c r="E3338" s="16">
        <v>0.9</v>
      </c>
      <c r="F3338" t="s">
        <v>2932</v>
      </c>
      <c r="G3338" t="s">
        <v>154</v>
      </c>
      <c r="H3338" t="s">
        <v>194</v>
      </c>
      <c r="I3338" t="s">
        <v>17</v>
      </c>
      <c r="J3338" t="s">
        <v>195</v>
      </c>
      <c r="K3338">
        <v>1</v>
      </c>
      <c r="N3338" s="21"/>
      <c r="O3338" s="2"/>
      <c r="P3338" s="2"/>
      <c r="Q3338" s="4"/>
      <c r="R3338" s="4"/>
      <c r="S3338" s="4"/>
      <c r="T3338" s="4"/>
      <c r="U3338" s="4"/>
      <c r="V3338" s="4"/>
    </row>
    <row r="3339" spans="1:22" ht="14.5" customHeight="1" x14ac:dyDescent="0.2">
      <c r="A3339" s="54">
        <v>2019</v>
      </c>
      <c r="B3339" s="17" t="s">
        <v>188</v>
      </c>
      <c r="C3339" t="s">
        <v>444</v>
      </c>
      <c r="D3339" s="22">
        <v>300</v>
      </c>
      <c r="E3339" s="16"/>
      <c r="G3339" t="s">
        <v>143</v>
      </c>
      <c r="I3339" t="s">
        <v>46</v>
      </c>
      <c r="J3339" t="s">
        <v>219</v>
      </c>
      <c r="K3339">
        <v>1</v>
      </c>
      <c r="N3339" s="21"/>
      <c r="O3339" s="2"/>
      <c r="P3339" s="2"/>
      <c r="Q3339" s="4"/>
      <c r="R3339" s="4"/>
      <c r="S3339" s="4"/>
      <c r="T3339" s="4"/>
      <c r="U3339" s="4"/>
      <c r="V3339" s="4"/>
    </row>
    <row r="3340" spans="1:22" ht="14.5" customHeight="1" x14ac:dyDescent="0.2">
      <c r="A3340" s="54">
        <v>2019</v>
      </c>
      <c r="B3340" s="17" t="s">
        <v>188</v>
      </c>
      <c r="C3340" t="s">
        <v>397</v>
      </c>
      <c r="D3340" s="22">
        <v>120</v>
      </c>
      <c r="E3340" s="16"/>
      <c r="F3340" t="s">
        <v>2933</v>
      </c>
      <c r="G3340" t="s">
        <v>151</v>
      </c>
      <c r="H3340" t="s">
        <v>279</v>
      </c>
      <c r="I3340" t="s">
        <v>130</v>
      </c>
      <c r="J3340" t="s">
        <v>214</v>
      </c>
      <c r="K3340">
        <v>1</v>
      </c>
      <c r="N3340" s="21"/>
      <c r="O3340" s="2"/>
      <c r="P3340" s="2"/>
      <c r="Q3340" s="4"/>
      <c r="R3340" s="4"/>
      <c r="S3340" s="4"/>
      <c r="T3340" s="4"/>
      <c r="U3340" s="4"/>
      <c r="V3340" s="4"/>
    </row>
    <row r="3341" spans="1:22" ht="14.5" customHeight="1" x14ac:dyDescent="0.2">
      <c r="A3341" s="54">
        <v>2019</v>
      </c>
      <c r="B3341" s="17" t="s">
        <v>188</v>
      </c>
      <c r="C3341" t="s">
        <v>1035</v>
      </c>
      <c r="D3341" s="22">
        <v>210</v>
      </c>
      <c r="E3341" s="16"/>
      <c r="G3341" t="s">
        <v>144</v>
      </c>
      <c r="I3341" t="s">
        <v>132</v>
      </c>
      <c r="J3341" t="s">
        <v>219</v>
      </c>
      <c r="K3341">
        <v>1</v>
      </c>
      <c r="N3341" s="21"/>
      <c r="O3341" s="2"/>
      <c r="P3341" s="2"/>
      <c r="Q3341" s="4"/>
      <c r="R3341" s="4"/>
      <c r="S3341" s="4"/>
      <c r="T3341" s="4"/>
      <c r="U3341" s="4"/>
      <c r="V3341" s="4"/>
    </row>
    <row r="3342" spans="1:22" ht="14.5" customHeight="1" x14ac:dyDescent="0.2">
      <c r="A3342" s="54">
        <v>2019</v>
      </c>
      <c r="B3342" s="17" t="s">
        <v>188</v>
      </c>
      <c r="C3342" t="s">
        <v>397</v>
      </c>
      <c r="D3342" s="22">
        <v>350</v>
      </c>
      <c r="E3342" s="16"/>
      <c r="F3342" t="s">
        <v>2934</v>
      </c>
      <c r="G3342" t="s">
        <v>151</v>
      </c>
      <c r="H3342" t="s">
        <v>279</v>
      </c>
      <c r="I3342" t="s">
        <v>131</v>
      </c>
      <c r="J3342" t="s">
        <v>131</v>
      </c>
      <c r="K3342">
        <v>0</v>
      </c>
      <c r="N3342" s="21"/>
      <c r="O3342" s="2"/>
      <c r="P3342" s="2"/>
      <c r="Q3342" s="4"/>
      <c r="R3342" s="4"/>
      <c r="S3342" s="4"/>
      <c r="T3342" s="4"/>
      <c r="U3342" s="4"/>
      <c r="V3342" s="4"/>
    </row>
    <row r="3343" spans="1:22" ht="14.5" customHeight="1" x14ac:dyDescent="0.2">
      <c r="A3343" s="54">
        <v>2019</v>
      </c>
      <c r="B3343" s="17" t="s">
        <v>188</v>
      </c>
      <c r="C3343" t="s">
        <v>397</v>
      </c>
      <c r="D3343" s="22">
        <v>260</v>
      </c>
      <c r="E3343" s="16"/>
      <c r="G3343" t="s">
        <v>153</v>
      </c>
      <c r="I3343" t="s">
        <v>23</v>
      </c>
      <c r="J3343" t="s">
        <v>183</v>
      </c>
      <c r="K3343">
        <v>1</v>
      </c>
      <c r="N3343" s="21"/>
      <c r="O3343" s="2"/>
      <c r="P3343" s="2"/>
      <c r="Q3343" s="4"/>
      <c r="R3343" s="4"/>
      <c r="S3343" s="4"/>
      <c r="T3343" s="4"/>
      <c r="U3343" s="4"/>
      <c r="V3343" s="4"/>
    </row>
    <row r="3344" spans="1:22" ht="14.5" customHeight="1" x14ac:dyDescent="0.2">
      <c r="A3344" s="54">
        <v>2019</v>
      </c>
      <c r="B3344" s="17" t="s">
        <v>188</v>
      </c>
      <c r="C3344" t="s">
        <v>449</v>
      </c>
      <c r="D3344" s="22">
        <v>600</v>
      </c>
      <c r="E3344" s="16"/>
      <c r="F3344" t="s">
        <v>2935</v>
      </c>
      <c r="G3344" t="s">
        <v>154</v>
      </c>
      <c r="H3344" t="s">
        <v>529</v>
      </c>
      <c r="I3344" t="s">
        <v>130</v>
      </c>
      <c r="J3344" t="s">
        <v>214</v>
      </c>
      <c r="K3344">
        <v>1</v>
      </c>
      <c r="N3344" s="21"/>
      <c r="O3344" s="2"/>
      <c r="P3344" s="2"/>
      <c r="Q3344" s="4"/>
      <c r="R3344" s="4"/>
      <c r="S3344" s="4"/>
      <c r="T3344" s="4"/>
      <c r="U3344" s="4"/>
      <c r="V3344" s="4"/>
    </row>
    <row r="3345" spans="1:22" ht="14.5" customHeight="1" x14ac:dyDescent="0.2">
      <c r="A3345" s="54">
        <v>2019</v>
      </c>
      <c r="B3345" s="17" t="s">
        <v>188</v>
      </c>
      <c r="C3345" t="s">
        <v>189</v>
      </c>
      <c r="D3345" s="22">
        <v>180</v>
      </c>
      <c r="E3345" s="16"/>
      <c r="G3345" t="s">
        <v>154</v>
      </c>
      <c r="H3345" t="s">
        <v>194</v>
      </c>
      <c r="I3345" t="s">
        <v>40</v>
      </c>
      <c r="J3345" t="s">
        <v>219</v>
      </c>
      <c r="K3345">
        <v>1</v>
      </c>
      <c r="N3345" s="21"/>
      <c r="O3345" s="2"/>
      <c r="P3345" s="2"/>
      <c r="Q3345" s="4"/>
      <c r="R3345" s="4"/>
      <c r="S3345" s="4"/>
      <c r="T3345" s="4"/>
      <c r="U3345" s="4"/>
      <c r="V3345" s="4"/>
    </row>
    <row r="3346" spans="1:22" ht="14.5" customHeight="1" x14ac:dyDescent="0.2">
      <c r="A3346" s="54">
        <v>2019</v>
      </c>
      <c r="B3346" s="17" t="s">
        <v>188</v>
      </c>
      <c r="C3346" t="s">
        <v>1035</v>
      </c>
      <c r="D3346" s="22">
        <v>140</v>
      </c>
      <c r="E3346" s="16"/>
      <c r="F3346" t="s">
        <v>2936</v>
      </c>
      <c r="G3346" t="s">
        <v>144</v>
      </c>
      <c r="H3346" t="s">
        <v>232</v>
      </c>
      <c r="I3346" t="s">
        <v>133</v>
      </c>
      <c r="J3346" t="s">
        <v>195</v>
      </c>
      <c r="K3346">
        <v>1</v>
      </c>
      <c r="N3346" s="21"/>
      <c r="O3346" s="2"/>
      <c r="P3346" s="2"/>
      <c r="Q3346" s="4"/>
      <c r="R3346" s="4"/>
      <c r="S3346" s="4"/>
      <c r="T3346" s="4"/>
      <c r="U3346" s="4"/>
      <c r="V3346" s="4"/>
    </row>
    <row r="3347" spans="1:22" ht="14.5" customHeight="1" x14ac:dyDescent="0.2">
      <c r="A3347" s="54">
        <v>2019</v>
      </c>
      <c r="B3347" s="17" t="s">
        <v>188</v>
      </c>
      <c r="C3347" t="s">
        <v>1035</v>
      </c>
      <c r="D3347" s="22">
        <v>280</v>
      </c>
      <c r="E3347" s="16"/>
      <c r="G3347" t="s">
        <v>144</v>
      </c>
      <c r="H3347" t="s">
        <v>197</v>
      </c>
      <c r="I3347" t="s">
        <v>34</v>
      </c>
      <c r="J3347" t="s">
        <v>219</v>
      </c>
      <c r="K3347">
        <v>1</v>
      </c>
      <c r="N3347" s="21"/>
      <c r="O3347" s="2"/>
      <c r="P3347" s="2"/>
      <c r="Q3347" s="4"/>
      <c r="R3347" s="4"/>
      <c r="S3347" s="4"/>
      <c r="T3347" s="4"/>
      <c r="U3347" s="4"/>
      <c r="V3347" s="4"/>
    </row>
    <row r="3348" spans="1:22" ht="14.5" customHeight="1" x14ac:dyDescent="0.2">
      <c r="A3348" s="73">
        <v>2019</v>
      </c>
      <c r="B3348" s="17" t="s">
        <v>188</v>
      </c>
      <c r="C3348" s="17" t="s">
        <v>1093</v>
      </c>
      <c r="D3348" s="24">
        <v>230</v>
      </c>
      <c r="E3348" s="18"/>
      <c r="F3348" s="17"/>
      <c r="G3348" s="17" t="s">
        <v>146</v>
      </c>
      <c r="H3348" s="17"/>
      <c r="I3348" s="17" t="s">
        <v>134</v>
      </c>
      <c r="J3348" s="17" t="s">
        <v>201</v>
      </c>
      <c r="K3348" s="17">
        <v>1</v>
      </c>
      <c r="N3348" s="21"/>
      <c r="O3348" s="2"/>
      <c r="P3348" s="2"/>
      <c r="Q3348" s="4"/>
      <c r="R3348" s="4"/>
      <c r="S3348" s="4"/>
      <c r="T3348" s="4"/>
      <c r="U3348" s="4"/>
      <c r="V3348" s="4"/>
    </row>
    <row r="3349" spans="1:22" ht="14.5" customHeight="1" x14ac:dyDescent="0.2">
      <c r="A3349" s="73">
        <v>2019</v>
      </c>
      <c r="B3349" s="17" t="s">
        <v>188</v>
      </c>
      <c r="C3349" t="s">
        <v>479</v>
      </c>
      <c r="D3349" s="24">
        <v>190</v>
      </c>
      <c r="E3349" s="18"/>
      <c r="F3349" s="17"/>
      <c r="G3349" s="17" t="s">
        <v>154</v>
      </c>
      <c r="H3349" s="17" t="s">
        <v>194</v>
      </c>
      <c r="I3349" s="17" t="s">
        <v>9</v>
      </c>
      <c r="J3349" s="17" t="s">
        <v>9</v>
      </c>
      <c r="K3349" s="17">
        <v>0</v>
      </c>
      <c r="N3349" s="21"/>
      <c r="O3349" s="2"/>
      <c r="P3349" s="2"/>
      <c r="Q3349" s="4"/>
      <c r="R3349" s="4"/>
      <c r="S3349" s="4"/>
      <c r="T3349" s="4"/>
      <c r="U3349" s="4"/>
      <c r="V3349" s="4"/>
    </row>
    <row r="3350" spans="1:22" ht="14.5" customHeight="1" x14ac:dyDescent="0.2">
      <c r="A3350" s="54">
        <v>2019</v>
      </c>
      <c r="B3350" s="17" t="s">
        <v>191</v>
      </c>
      <c r="C3350" t="s">
        <v>1289</v>
      </c>
      <c r="D3350" s="22">
        <v>140</v>
      </c>
      <c r="E3350" s="22"/>
      <c r="G3350" t="s">
        <v>151</v>
      </c>
      <c r="H3350" t="s">
        <v>224</v>
      </c>
      <c r="I3350" t="s">
        <v>108</v>
      </c>
      <c r="J3350" t="s">
        <v>183</v>
      </c>
      <c r="K3350">
        <v>1</v>
      </c>
      <c r="N3350" s="21"/>
      <c r="O3350" s="2"/>
      <c r="P3350" s="2"/>
      <c r="Q3350" s="4"/>
      <c r="R3350" s="4"/>
      <c r="S3350" s="4"/>
      <c r="T3350" s="4"/>
      <c r="U3350" s="4"/>
      <c r="V3350" s="4"/>
    </row>
    <row r="3351" spans="1:22" ht="14.5" customHeight="1" x14ac:dyDescent="0.2">
      <c r="A3351" s="54">
        <v>2019</v>
      </c>
      <c r="B3351" s="17" t="s">
        <v>191</v>
      </c>
      <c r="C3351" t="s">
        <v>875</v>
      </c>
      <c r="D3351" s="22">
        <v>440</v>
      </c>
      <c r="E3351" s="22"/>
      <c r="G3351" t="s">
        <v>144</v>
      </c>
      <c r="I3351" t="s">
        <v>53</v>
      </c>
      <c r="J3351" t="s">
        <v>183</v>
      </c>
      <c r="K3351">
        <v>1</v>
      </c>
      <c r="N3351" s="21"/>
      <c r="O3351" s="2"/>
      <c r="P3351" s="2"/>
      <c r="Q3351" s="4"/>
      <c r="R3351" s="4"/>
      <c r="S3351" s="4"/>
      <c r="T3351" s="4"/>
      <c r="U3351" s="4"/>
      <c r="V3351" s="4"/>
    </row>
    <row r="3352" spans="1:22" ht="14.5" customHeight="1" x14ac:dyDescent="0.2">
      <c r="A3352" s="54">
        <v>2019</v>
      </c>
      <c r="B3352" s="17" t="s">
        <v>191</v>
      </c>
      <c r="C3352" t="s">
        <v>444</v>
      </c>
      <c r="D3352" s="22">
        <v>350</v>
      </c>
      <c r="E3352" s="22"/>
      <c r="G3352" t="s">
        <v>144</v>
      </c>
      <c r="H3352" t="s">
        <v>232</v>
      </c>
      <c r="I3352" t="s">
        <v>67</v>
      </c>
      <c r="J3352" t="s">
        <v>183</v>
      </c>
      <c r="K3352">
        <v>1</v>
      </c>
      <c r="N3352" s="21"/>
      <c r="O3352" s="2"/>
      <c r="P3352" s="2"/>
      <c r="Q3352" s="4"/>
      <c r="R3352" s="4"/>
      <c r="S3352" s="4"/>
      <c r="T3352" s="4"/>
      <c r="U3352" s="4"/>
      <c r="V3352" s="4"/>
    </row>
    <row r="3353" spans="1:22" ht="14.5" customHeight="1" x14ac:dyDescent="0.2">
      <c r="A3353" s="54">
        <v>2019</v>
      </c>
      <c r="B3353" s="17" t="s">
        <v>191</v>
      </c>
      <c r="C3353" t="s">
        <v>2937</v>
      </c>
      <c r="D3353" s="22">
        <v>240</v>
      </c>
      <c r="E3353" s="22"/>
      <c r="G3353" t="s">
        <v>151</v>
      </c>
      <c r="H3353" t="s">
        <v>279</v>
      </c>
      <c r="I3353" t="s">
        <v>64</v>
      </c>
      <c r="J3353" t="s">
        <v>219</v>
      </c>
      <c r="K3353">
        <v>1</v>
      </c>
      <c r="N3353" s="21"/>
      <c r="O3353" s="2"/>
      <c r="P3353" s="2"/>
      <c r="Q3353" s="4"/>
      <c r="R3353" s="4"/>
      <c r="S3353" s="4"/>
      <c r="T3353" s="4"/>
      <c r="U3353" s="4"/>
      <c r="V3353" s="4"/>
    </row>
    <row r="3354" spans="1:22" ht="14.5" customHeight="1" x14ac:dyDescent="0.2">
      <c r="A3354" s="54">
        <v>2019</v>
      </c>
      <c r="B3354" s="17" t="s">
        <v>191</v>
      </c>
      <c r="C3354" t="s">
        <v>875</v>
      </c>
      <c r="D3354" s="22">
        <v>200</v>
      </c>
      <c r="E3354" s="22"/>
      <c r="G3354" t="s">
        <v>144</v>
      </c>
      <c r="H3354" t="s">
        <v>232</v>
      </c>
      <c r="I3354" t="s">
        <v>139</v>
      </c>
      <c r="J3354" t="s">
        <v>219</v>
      </c>
      <c r="K3354">
        <v>1</v>
      </c>
      <c r="N3354" s="21"/>
      <c r="O3354" s="2"/>
      <c r="P3354" s="2"/>
      <c r="Q3354" s="4"/>
      <c r="R3354" s="4"/>
      <c r="S3354" s="4"/>
      <c r="T3354" s="4"/>
      <c r="U3354" s="4"/>
      <c r="V3354" s="4"/>
    </row>
    <row r="3355" spans="1:22" ht="14.5" customHeight="1" x14ac:dyDescent="0.2">
      <c r="A3355" s="54">
        <v>2019</v>
      </c>
      <c r="B3355" s="17" t="s">
        <v>191</v>
      </c>
      <c r="C3355" t="s">
        <v>449</v>
      </c>
      <c r="D3355" s="22">
        <v>110</v>
      </c>
      <c r="E3355" s="22"/>
      <c r="F3355" t="s">
        <v>2938</v>
      </c>
      <c r="G3355" t="s">
        <v>151</v>
      </c>
      <c r="H3355" t="s">
        <v>279</v>
      </c>
      <c r="I3355" t="s">
        <v>101</v>
      </c>
      <c r="J3355" t="s">
        <v>201</v>
      </c>
      <c r="K3355">
        <v>1</v>
      </c>
      <c r="N3355" s="21"/>
      <c r="O3355" s="2"/>
      <c r="P3355" s="2"/>
      <c r="Q3355" s="4"/>
      <c r="R3355" s="4"/>
      <c r="S3355" s="4"/>
      <c r="T3355" s="4"/>
      <c r="U3355" s="4"/>
      <c r="V3355" s="4"/>
    </row>
    <row r="3356" spans="1:22" ht="14.5" customHeight="1" x14ac:dyDescent="0.2">
      <c r="A3356" s="54">
        <v>2019</v>
      </c>
      <c r="B3356" s="17" t="s">
        <v>191</v>
      </c>
      <c r="C3356" t="s">
        <v>397</v>
      </c>
      <c r="D3356" s="22">
        <v>390</v>
      </c>
      <c r="E3356" s="22"/>
      <c r="F3356" t="s">
        <v>2939</v>
      </c>
      <c r="G3356" t="s">
        <v>150</v>
      </c>
      <c r="H3356" t="s">
        <v>744</v>
      </c>
      <c r="I3356" t="s">
        <v>108</v>
      </c>
      <c r="J3356" t="s">
        <v>183</v>
      </c>
      <c r="K3356">
        <v>1</v>
      </c>
      <c r="N3356" s="21"/>
      <c r="O3356" s="2"/>
      <c r="P3356" s="2"/>
      <c r="Q3356" s="4"/>
      <c r="R3356" s="4"/>
      <c r="S3356" s="4"/>
      <c r="T3356" s="4"/>
      <c r="U3356" s="4"/>
      <c r="V3356" s="4"/>
    </row>
    <row r="3357" spans="1:22" ht="14.5" customHeight="1" x14ac:dyDescent="0.2">
      <c r="A3357" s="73">
        <v>2019</v>
      </c>
      <c r="B3357" s="17" t="s">
        <v>191</v>
      </c>
      <c r="C3357" s="17" t="s">
        <v>479</v>
      </c>
      <c r="D3357" s="24">
        <v>360</v>
      </c>
      <c r="E3357" s="24"/>
      <c r="F3357" s="17"/>
      <c r="G3357" s="17" t="s">
        <v>144</v>
      </c>
      <c r="H3357" s="17" t="s">
        <v>197</v>
      </c>
      <c r="I3357" s="17" t="s">
        <v>8</v>
      </c>
      <c r="J3357" s="17" t="s">
        <v>205</v>
      </c>
      <c r="K3357" s="17">
        <v>1</v>
      </c>
      <c r="N3357" s="21"/>
      <c r="O3357" s="2"/>
      <c r="P3357" s="2"/>
      <c r="Q3357" s="4"/>
      <c r="R3357" s="4"/>
      <c r="S3357" s="4"/>
      <c r="T3357" s="4"/>
      <c r="U3357" s="4"/>
      <c r="V3357" s="4"/>
    </row>
    <row r="3358" spans="1:22" ht="14.5" customHeight="1" x14ac:dyDescent="0.2">
      <c r="A3358" s="54">
        <v>2019</v>
      </c>
      <c r="B3358" s="17" t="s">
        <v>191</v>
      </c>
      <c r="C3358" t="s">
        <v>1794</v>
      </c>
      <c r="D3358" s="22">
        <v>250</v>
      </c>
      <c r="E3358" s="22"/>
      <c r="G3358" t="s">
        <v>155</v>
      </c>
      <c r="I3358" t="s">
        <v>42</v>
      </c>
      <c r="J3358" t="s">
        <v>195</v>
      </c>
      <c r="K3358">
        <v>0</v>
      </c>
      <c r="N3358" s="21"/>
      <c r="O3358" s="2"/>
      <c r="P3358" s="2"/>
      <c r="Q3358" s="4"/>
      <c r="R3358" s="4"/>
      <c r="S3358" s="4"/>
      <c r="T3358" s="4"/>
      <c r="U3358" s="4"/>
      <c r="V3358" s="4"/>
    </row>
    <row r="3359" spans="1:22" ht="14.5" customHeight="1" x14ac:dyDescent="0.2">
      <c r="A3359" s="54">
        <v>2019</v>
      </c>
      <c r="B3359" s="17" t="s">
        <v>191</v>
      </c>
      <c r="C3359" t="s">
        <v>2940</v>
      </c>
      <c r="D3359" s="22">
        <v>610</v>
      </c>
      <c r="E3359" s="22"/>
      <c r="F3359" t="s">
        <v>2941</v>
      </c>
      <c r="G3359" t="s">
        <v>144</v>
      </c>
      <c r="H3359" t="s">
        <v>299</v>
      </c>
      <c r="I3359" t="s">
        <v>101</v>
      </c>
      <c r="J3359" t="s">
        <v>201</v>
      </c>
      <c r="K3359">
        <v>1</v>
      </c>
      <c r="N3359" s="21"/>
      <c r="O3359" s="2"/>
      <c r="P3359" s="2"/>
      <c r="Q3359" s="4"/>
      <c r="R3359" s="4"/>
      <c r="S3359" s="4"/>
      <c r="T3359" s="4"/>
      <c r="U3359" s="4"/>
      <c r="V3359" s="4"/>
    </row>
    <row r="3360" spans="1:22" ht="14.5" customHeight="1" x14ac:dyDescent="0.2">
      <c r="A3360" s="54">
        <v>2019</v>
      </c>
      <c r="B3360" s="17" t="s">
        <v>191</v>
      </c>
      <c r="C3360" t="s">
        <v>875</v>
      </c>
      <c r="D3360" s="22">
        <v>220</v>
      </c>
      <c r="E3360" s="22"/>
      <c r="G3360" t="s">
        <v>151</v>
      </c>
      <c r="H3360" t="s">
        <v>279</v>
      </c>
      <c r="I3360" t="s">
        <v>53</v>
      </c>
      <c r="J3360" t="s">
        <v>183</v>
      </c>
      <c r="K3360">
        <v>1</v>
      </c>
      <c r="N3360" s="21"/>
      <c r="O3360" s="2"/>
      <c r="P3360" s="2"/>
      <c r="Q3360" s="4"/>
      <c r="R3360" s="4"/>
      <c r="S3360" s="4"/>
      <c r="T3360" s="4"/>
      <c r="U3360" s="4"/>
      <c r="V3360" s="4"/>
    </row>
    <row r="3361" spans="1:22" ht="14.5" customHeight="1" x14ac:dyDescent="0.2">
      <c r="A3361" s="54">
        <v>2019</v>
      </c>
      <c r="B3361" s="17" t="s">
        <v>191</v>
      </c>
      <c r="C3361" t="s">
        <v>397</v>
      </c>
      <c r="D3361" s="22">
        <v>120</v>
      </c>
      <c r="E3361" s="22"/>
      <c r="F3361" t="s">
        <v>2876</v>
      </c>
      <c r="G3361" t="s">
        <v>151</v>
      </c>
      <c r="H3361" t="s">
        <v>224</v>
      </c>
      <c r="I3361" t="s">
        <v>130</v>
      </c>
      <c r="J3361" t="s">
        <v>214</v>
      </c>
      <c r="K3361">
        <v>1</v>
      </c>
      <c r="N3361" s="21"/>
      <c r="O3361" s="2"/>
      <c r="P3361" s="2"/>
      <c r="Q3361" s="4"/>
      <c r="R3361" s="4"/>
      <c r="S3361" s="4"/>
      <c r="T3361" s="4"/>
      <c r="U3361" s="4"/>
      <c r="V3361" s="4"/>
    </row>
    <row r="3362" spans="1:22" ht="14.5" customHeight="1" x14ac:dyDescent="0.2">
      <c r="A3362" s="54">
        <v>2019</v>
      </c>
      <c r="B3362" s="17" t="s">
        <v>191</v>
      </c>
      <c r="C3362" t="s">
        <v>397</v>
      </c>
      <c r="D3362" s="22">
        <v>260</v>
      </c>
      <c r="E3362" s="22"/>
      <c r="G3362" t="s">
        <v>151</v>
      </c>
      <c r="H3362" t="s">
        <v>279</v>
      </c>
      <c r="I3362" t="s">
        <v>108</v>
      </c>
      <c r="J3362" t="s">
        <v>183</v>
      </c>
      <c r="K3362">
        <v>1</v>
      </c>
      <c r="N3362" s="21"/>
      <c r="O3362" s="2"/>
      <c r="P3362" s="2"/>
      <c r="Q3362" s="4"/>
      <c r="R3362" s="4"/>
      <c r="S3362" s="4"/>
      <c r="T3362" s="4"/>
      <c r="U3362" s="4"/>
      <c r="V3362" s="4"/>
    </row>
    <row r="3363" spans="1:22" ht="14.5" customHeight="1" x14ac:dyDescent="0.2">
      <c r="A3363" s="54">
        <v>2019</v>
      </c>
      <c r="B3363" s="17" t="s">
        <v>191</v>
      </c>
      <c r="C3363" t="s">
        <v>1035</v>
      </c>
      <c r="D3363" s="22">
        <v>110</v>
      </c>
      <c r="E3363" s="22"/>
      <c r="G3363" t="s">
        <v>144</v>
      </c>
      <c r="H3363" t="s">
        <v>197</v>
      </c>
      <c r="I3363" t="s">
        <v>72</v>
      </c>
      <c r="J3363" t="s">
        <v>183</v>
      </c>
      <c r="K3363">
        <v>1</v>
      </c>
      <c r="N3363" s="21"/>
      <c r="O3363" s="2"/>
      <c r="P3363" s="2"/>
      <c r="Q3363" s="4"/>
      <c r="R3363" s="4"/>
      <c r="S3363" s="4"/>
      <c r="T3363" s="4"/>
      <c r="U3363" s="4"/>
      <c r="V3363" s="4"/>
    </row>
    <row r="3364" spans="1:22" ht="14.5" customHeight="1" x14ac:dyDescent="0.2">
      <c r="A3364" s="54">
        <v>2019</v>
      </c>
      <c r="B3364" s="17" t="s">
        <v>198</v>
      </c>
      <c r="C3364" t="s">
        <v>444</v>
      </c>
      <c r="D3364" s="22">
        <v>150</v>
      </c>
      <c r="E3364" s="22"/>
      <c r="F3364" t="s">
        <v>2942</v>
      </c>
      <c r="G3364" t="s">
        <v>144</v>
      </c>
      <c r="H3364" t="s">
        <v>299</v>
      </c>
      <c r="I3364" t="s">
        <v>89</v>
      </c>
      <c r="J3364" t="s">
        <v>219</v>
      </c>
      <c r="K3364">
        <v>1</v>
      </c>
      <c r="N3364" s="21"/>
      <c r="O3364" s="2"/>
      <c r="P3364" s="2"/>
      <c r="Q3364" s="4"/>
      <c r="R3364" s="4"/>
      <c r="S3364" s="4"/>
      <c r="T3364" s="4"/>
      <c r="U3364" s="4"/>
      <c r="V3364" s="4"/>
    </row>
    <row r="3365" spans="1:22" ht="14.5" customHeight="1" x14ac:dyDescent="0.2">
      <c r="A3365" s="54">
        <v>2019</v>
      </c>
      <c r="B3365" s="17" t="s">
        <v>198</v>
      </c>
      <c r="C3365" t="s">
        <v>444</v>
      </c>
      <c r="D3365" s="22">
        <v>450</v>
      </c>
      <c r="E3365" s="22"/>
      <c r="G3365" t="s">
        <v>155</v>
      </c>
      <c r="I3365" t="s">
        <v>138</v>
      </c>
      <c r="J3365" t="s">
        <v>219</v>
      </c>
      <c r="K3365">
        <v>1</v>
      </c>
      <c r="N3365" s="21"/>
      <c r="O3365" s="2"/>
      <c r="P3365" s="2"/>
      <c r="Q3365" s="4"/>
      <c r="R3365" s="4"/>
      <c r="S3365" s="4"/>
      <c r="T3365" s="4"/>
      <c r="U3365" s="4"/>
      <c r="V3365" s="4"/>
    </row>
    <row r="3366" spans="1:22" ht="14.5" customHeight="1" x14ac:dyDescent="0.2">
      <c r="A3366" s="54">
        <v>2019</v>
      </c>
      <c r="B3366" s="17" t="s">
        <v>198</v>
      </c>
      <c r="C3366" t="s">
        <v>449</v>
      </c>
      <c r="D3366" s="22">
        <v>260</v>
      </c>
      <c r="E3366" s="22"/>
      <c r="F3366" t="s">
        <v>2002</v>
      </c>
      <c r="G3366" t="s">
        <v>155</v>
      </c>
      <c r="I3366" t="s">
        <v>105</v>
      </c>
      <c r="J3366" t="s">
        <v>214</v>
      </c>
      <c r="K3366">
        <v>1</v>
      </c>
      <c r="N3366" s="21"/>
      <c r="O3366" s="2"/>
      <c r="P3366" s="2"/>
      <c r="Q3366" s="4"/>
      <c r="R3366" s="4"/>
      <c r="S3366" s="4"/>
      <c r="T3366" s="4"/>
      <c r="U3366" s="4"/>
      <c r="V3366" s="4"/>
    </row>
    <row r="3367" spans="1:22" ht="14.5" customHeight="1" x14ac:dyDescent="0.2">
      <c r="A3367" s="54">
        <v>2019</v>
      </c>
      <c r="B3367" s="17" t="s">
        <v>198</v>
      </c>
      <c r="C3367" t="s">
        <v>449</v>
      </c>
      <c r="D3367" s="22">
        <v>270</v>
      </c>
      <c r="E3367" s="22"/>
      <c r="G3367" t="s">
        <v>154</v>
      </c>
      <c r="H3367" t="s">
        <v>194</v>
      </c>
      <c r="I3367" t="s">
        <v>123</v>
      </c>
      <c r="J3367" t="s">
        <v>219</v>
      </c>
      <c r="K3367">
        <v>1</v>
      </c>
      <c r="N3367" s="21"/>
      <c r="O3367" s="2"/>
      <c r="P3367" s="2"/>
      <c r="Q3367" s="4"/>
      <c r="R3367" s="4"/>
      <c r="S3367" s="4"/>
      <c r="T3367" s="4"/>
      <c r="U3367" s="4"/>
      <c r="V3367" s="4"/>
    </row>
    <row r="3368" spans="1:22" ht="14.5" customHeight="1" x14ac:dyDescent="0.2">
      <c r="A3368" s="54">
        <v>2019</v>
      </c>
      <c r="B3368" s="17" t="s">
        <v>198</v>
      </c>
      <c r="C3368" t="s">
        <v>449</v>
      </c>
      <c r="D3368" s="22">
        <v>100</v>
      </c>
      <c r="E3368" s="22"/>
      <c r="G3368" t="s">
        <v>154</v>
      </c>
      <c r="H3368" t="s">
        <v>529</v>
      </c>
      <c r="I3368" t="s">
        <v>105</v>
      </c>
      <c r="J3368" t="s">
        <v>214</v>
      </c>
      <c r="K3368">
        <v>1</v>
      </c>
      <c r="N3368" s="21"/>
      <c r="O3368" s="2"/>
      <c r="P3368" s="2"/>
      <c r="Q3368" s="4"/>
      <c r="R3368" s="4"/>
      <c r="S3368" s="4"/>
      <c r="T3368" s="4"/>
      <c r="U3368" s="4"/>
      <c r="V3368" s="4"/>
    </row>
    <row r="3369" spans="1:22" ht="14.5" customHeight="1" x14ac:dyDescent="0.2">
      <c r="A3369" s="54">
        <v>2019</v>
      </c>
      <c r="B3369" s="17" t="s">
        <v>198</v>
      </c>
      <c r="C3369" t="s">
        <v>1035</v>
      </c>
      <c r="D3369" s="22">
        <v>150</v>
      </c>
      <c r="E3369" s="22"/>
      <c r="G3369" t="s">
        <v>144</v>
      </c>
      <c r="H3369" t="s">
        <v>197</v>
      </c>
      <c r="I3369" t="s">
        <v>64</v>
      </c>
      <c r="J3369" t="s">
        <v>219</v>
      </c>
      <c r="K3369">
        <v>1</v>
      </c>
      <c r="N3369" s="21"/>
      <c r="O3369" s="2"/>
      <c r="P3369" s="2"/>
      <c r="Q3369" s="4"/>
      <c r="R3369" s="4"/>
      <c r="S3369" s="4"/>
      <c r="T3369" s="4"/>
      <c r="U3369" s="4"/>
      <c r="V3369" s="4"/>
    </row>
    <row r="3370" spans="1:22" ht="14.5" customHeight="1" x14ac:dyDescent="0.2">
      <c r="A3370" s="54">
        <v>2019</v>
      </c>
      <c r="B3370" s="17" t="s">
        <v>198</v>
      </c>
      <c r="C3370" t="s">
        <v>1035</v>
      </c>
      <c r="D3370" s="22">
        <v>970</v>
      </c>
      <c r="E3370" s="22"/>
      <c r="G3370" t="s">
        <v>144</v>
      </c>
      <c r="H3370" t="s">
        <v>197</v>
      </c>
      <c r="I3370" t="s">
        <v>123</v>
      </c>
      <c r="J3370" t="s">
        <v>219</v>
      </c>
      <c r="K3370">
        <v>1</v>
      </c>
      <c r="N3370" s="21"/>
      <c r="O3370" s="2"/>
      <c r="P3370" s="2"/>
      <c r="Q3370" s="4"/>
      <c r="R3370" s="4"/>
      <c r="S3370" s="4"/>
      <c r="T3370" s="4"/>
      <c r="U3370" s="4"/>
      <c r="V3370" s="4"/>
    </row>
    <row r="3371" spans="1:22" ht="14.5" customHeight="1" x14ac:dyDescent="0.2">
      <c r="A3371" s="54">
        <v>2019</v>
      </c>
      <c r="B3371" s="17" t="s">
        <v>198</v>
      </c>
      <c r="C3371" t="s">
        <v>745</v>
      </c>
      <c r="D3371" s="22">
        <v>460</v>
      </c>
      <c r="E3371" s="22"/>
      <c r="F3371" t="s">
        <v>2943</v>
      </c>
      <c r="G3371" t="s">
        <v>151</v>
      </c>
      <c r="H3371" t="s">
        <v>279</v>
      </c>
      <c r="I3371" t="s">
        <v>130</v>
      </c>
      <c r="J3371" t="s">
        <v>214</v>
      </c>
      <c r="K3371">
        <v>1</v>
      </c>
      <c r="N3371" s="21"/>
      <c r="O3371" s="2"/>
      <c r="P3371" s="2"/>
      <c r="Q3371" s="4"/>
      <c r="R3371" s="4"/>
      <c r="S3371" s="4"/>
      <c r="T3371" s="4"/>
      <c r="U3371" s="4"/>
      <c r="V3371" s="4"/>
    </row>
    <row r="3372" spans="1:22" ht="14.5" customHeight="1" x14ac:dyDescent="0.2">
      <c r="A3372" s="54">
        <v>2019</v>
      </c>
      <c r="B3372" s="17" t="s">
        <v>198</v>
      </c>
      <c r="C3372" t="s">
        <v>397</v>
      </c>
      <c r="D3372" s="22">
        <v>120</v>
      </c>
      <c r="E3372" s="22"/>
      <c r="G3372" t="s">
        <v>154</v>
      </c>
      <c r="H3372" t="s">
        <v>194</v>
      </c>
      <c r="I3372" t="s">
        <v>44</v>
      </c>
      <c r="J3372" t="s">
        <v>201</v>
      </c>
      <c r="K3372">
        <v>1</v>
      </c>
      <c r="N3372" s="21"/>
      <c r="O3372" s="2"/>
      <c r="P3372" s="2"/>
      <c r="Q3372" s="4"/>
      <c r="R3372" s="4"/>
      <c r="S3372" s="4"/>
      <c r="T3372" s="4"/>
      <c r="U3372" s="4"/>
      <c r="V3372" s="4"/>
    </row>
    <row r="3373" spans="1:22" ht="14.5" customHeight="1" x14ac:dyDescent="0.2">
      <c r="A3373" s="54">
        <v>2019</v>
      </c>
      <c r="B3373" s="17" t="s">
        <v>198</v>
      </c>
      <c r="C3373" t="s">
        <v>875</v>
      </c>
      <c r="D3373" s="22">
        <v>240</v>
      </c>
      <c r="E3373" s="22"/>
      <c r="F3373" t="s">
        <v>2944</v>
      </c>
      <c r="G3373" t="s">
        <v>151</v>
      </c>
      <c r="H3373" t="s">
        <v>279</v>
      </c>
      <c r="I3373" t="s">
        <v>53</v>
      </c>
      <c r="J3373" t="s">
        <v>183</v>
      </c>
      <c r="K3373">
        <v>1</v>
      </c>
      <c r="N3373" s="21"/>
      <c r="O3373" s="2"/>
      <c r="P3373" s="2"/>
      <c r="Q3373" s="4"/>
      <c r="R3373" s="4"/>
      <c r="S3373" s="4"/>
      <c r="T3373" s="4"/>
      <c r="U3373" s="4"/>
      <c r="V3373" s="4"/>
    </row>
    <row r="3374" spans="1:22" ht="14.5" customHeight="1" x14ac:dyDescent="0.2">
      <c r="A3374" s="54">
        <v>2019</v>
      </c>
      <c r="B3374" s="17" t="s">
        <v>198</v>
      </c>
      <c r="C3374" t="s">
        <v>221</v>
      </c>
      <c r="D3374" s="22">
        <v>110</v>
      </c>
      <c r="E3374" s="22"/>
      <c r="G3374" t="s">
        <v>151</v>
      </c>
      <c r="H3374" t="s">
        <v>279</v>
      </c>
      <c r="I3374" t="s">
        <v>72</v>
      </c>
      <c r="J3374" t="s">
        <v>183</v>
      </c>
      <c r="K3374">
        <v>1</v>
      </c>
      <c r="N3374" s="21"/>
      <c r="O3374" s="2"/>
      <c r="P3374" s="2"/>
      <c r="Q3374" s="4"/>
      <c r="R3374" s="4"/>
      <c r="S3374" s="4"/>
      <c r="T3374" s="4"/>
      <c r="U3374" s="4"/>
      <c r="V3374" s="4"/>
    </row>
    <row r="3375" spans="1:22" ht="14.5" customHeight="1" x14ac:dyDescent="0.2">
      <c r="A3375" s="54">
        <v>2019</v>
      </c>
      <c r="B3375" s="17" t="s">
        <v>198</v>
      </c>
      <c r="C3375" t="s">
        <v>397</v>
      </c>
      <c r="D3375" s="22">
        <v>210</v>
      </c>
      <c r="E3375" s="22"/>
      <c r="F3375" t="s">
        <v>2945</v>
      </c>
      <c r="G3375" t="s">
        <v>151</v>
      </c>
      <c r="H3375" t="s">
        <v>279</v>
      </c>
      <c r="I3375" t="s">
        <v>108</v>
      </c>
      <c r="J3375" t="s">
        <v>183</v>
      </c>
      <c r="K3375">
        <v>1</v>
      </c>
      <c r="N3375" s="21"/>
      <c r="O3375" s="2"/>
      <c r="P3375" s="2"/>
      <c r="Q3375" s="4"/>
      <c r="R3375" s="4"/>
      <c r="S3375" s="4"/>
      <c r="T3375" s="4"/>
      <c r="U3375" s="4"/>
      <c r="V3375" s="4"/>
    </row>
    <row r="3376" spans="1:22" ht="14.5" customHeight="1" x14ac:dyDescent="0.2">
      <c r="A3376" s="54">
        <v>2019</v>
      </c>
      <c r="B3376" s="17" t="s">
        <v>198</v>
      </c>
      <c r="C3376" t="s">
        <v>596</v>
      </c>
      <c r="D3376" s="22">
        <v>580</v>
      </c>
      <c r="E3376" s="16">
        <v>0.81</v>
      </c>
      <c r="F3376" t="s">
        <v>2946</v>
      </c>
      <c r="G3376" t="s">
        <v>144</v>
      </c>
      <c r="H3376" t="s">
        <v>232</v>
      </c>
      <c r="I3376" t="s">
        <v>9</v>
      </c>
      <c r="J3376" t="s">
        <v>9</v>
      </c>
      <c r="K3376">
        <v>0</v>
      </c>
      <c r="N3376" s="21"/>
      <c r="O3376" s="2"/>
      <c r="P3376" s="2"/>
      <c r="Q3376" s="4"/>
      <c r="R3376" s="4"/>
      <c r="S3376" s="4"/>
      <c r="T3376" s="4"/>
      <c r="U3376" s="4"/>
      <c r="V3376" s="4"/>
    </row>
    <row r="3377" spans="1:22" ht="14.5" customHeight="1" x14ac:dyDescent="0.2">
      <c r="A3377" s="54">
        <v>2019</v>
      </c>
      <c r="B3377" s="17" t="s">
        <v>198</v>
      </c>
      <c r="C3377" t="s">
        <v>2813</v>
      </c>
      <c r="D3377" s="22">
        <v>150</v>
      </c>
      <c r="E3377" s="16"/>
      <c r="G3377" t="s">
        <v>151</v>
      </c>
      <c r="H3377" t="s">
        <v>279</v>
      </c>
      <c r="I3377" t="s">
        <v>130</v>
      </c>
      <c r="J3377" t="s">
        <v>214</v>
      </c>
      <c r="K3377">
        <v>1</v>
      </c>
      <c r="N3377" s="21"/>
      <c r="O3377" s="2"/>
      <c r="P3377" s="2"/>
      <c r="Q3377" s="4"/>
      <c r="R3377" s="4"/>
      <c r="S3377" s="4"/>
      <c r="T3377" s="4"/>
      <c r="U3377" s="4"/>
      <c r="V3377" s="4"/>
    </row>
    <row r="3378" spans="1:22" ht="14.5" customHeight="1" x14ac:dyDescent="0.2">
      <c r="A3378" s="54">
        <v>2019</v>
      </c>
      <c r="B3378" s="17" t="s">
        <v>198</v>
      </c>
      <c r="C3378" t="s">
        <v>189</v>
      </c>
      <c r="D3378" s="22">
        <v>180</v>
      </c>
      <c r="E3378" s="16"/>
      <c r="G3378" t="s">
        <v>144</v>
      </c>
      <c r="H3378" t="s">
        <v>187</v>
      </c>
      <c r="I3378" t="s">
        <v>105</v>
      </c>
      <c r="J3378" t="s">
        <v>214</v>
      </c>
      <c r="K3378">
        <v>1</v>
      </c>
      <c r="N3378" s="21"/>
      <c r="O3378" s="2"/>
      <c r="P3378" s="2"/>
      <c r="Q3378" s="4"/>
      <c r="R3378" s="4"/>
      <c r="S3378" s="4"/>
      <c r="T3378" s="4"/>
      <c r="U3378" s="4"/>
      <c r="V3378" s="4"/>
    </row>
    <row r="3379" spans="1:22" ht="14.5" customHeight="1" x14ac:dyDescent="0.2">
      <c r="A3379" s="54">
        <v>2019</v>
      </c>
      <c r="B3379" s="17" t="s">
        <v>198</v>
      </c>
      <c r="C3379" t="s">
        <v>745</v>
      </c>
      <c r="D3379" s="22">
        <v>180</v>
      </c>
      <c r="E3379" s="16"/>
      <c r="F3379" t="s">
        <v>2947</v>
      </c>
      <c r="G3379" t="s">
        <v>143</v>
      </c>
      <c r="I3379" t="s">
        <v>108</v>
      </c>
      <c r="J3379" t="s">
        <v>183</v>
      </c>
      <c r="K3379">
        <v>1</v>
      </c>
      <c r="N3379" s="21"/>
      <c r="O3379" s="2"/>
      <c r="P3379" s="2"/>
      <c r="Q3379" s="4"/>
      <c r="R3379" s="4"/>
      <c r="S3379" s="4"/>
      <c r="T3379" s="4"/>
      <c r="U3379" s="4"/>
      <c r="V3379" s="4"/>
    </row>
    <row r="3380" spans="1:22" ht="14.5" customHeight="1" x14ac:dyDescent="0.2">
      <c r="A3380" s="54">
        <v>2019</v>
      </c>
      <c r="B3380" s="17" t="s">
        <v>198</v>
      </c>
      <c r="C3380" t="s">
        <v>479</v>
      </c>
      <c r="D3380" s="22">
        <v>220</v>
      </c>
      <c r="E3380" s="16"/>
      <c r="F3380" t="s">
        <v>2948</v>
      </c>
      <c r="G3380" t="s">
        <v>154</v>
      </c>
      <c r="H3380" t="s">
        <v>271</v>
      </c>
      <c r="I3380" t="s">
        <v>37</v>
      </c>
      <c r="J3380" t="s">
        <v>205</v>
      </c>
      <c r="K3380">
        <v>1</v>
      </c>
      <c r="N3380" s="21"/>
      <c r="O3380" s="2"/>
      <c r="P3380" s="2"/>
      <c r="Q3380" s="4"/>
      <c r="R3380" s="4"/>
      <c r="S3380" s="4"/>
      <c r="T3380" s="4"/>
      <c r="U3380" s="4"/>
      <c r="V3380" s="4"/>
    </row>
    <row r="3381" spans="1:22" ht="14.5" customHeight="1" x14ac:dyDescent="0.2">
      <c r="A3381" s="54">
        <v>2019</v>
      </c>
      <c r="B3381" s="17" t="s">
        <v>198</v>
      </c>
      <c r="C3381" t="s">
        <v>479</v>
      </c>
      <c r="D3381" s="22">
        <v>210</v>
      </c>
      <c r="E3381" s="16"/>
      <c r="G3381" t="s">
        <v>154</v>
      </c>
      <c r="H3381" t="s">
        <v>250</v>
      </c>
      <c r="I3381" t="s">
        <v>73</v>
      </c>
      <c r="J3381" t="s">
        <v>201</v>
      </c>
      <c r="K3381">
        <v>1</v>
      </c>
      <c r="N3381" s="21"/>
      <c r="O3381" s="2"/>
      <c r="P3381" s="2"/>
      <c r="Q3381" s="4"/>
      <c r="R3381" s="4"/>
      <c r="S3381" s="4"/>
      <c r="T3381" s="4"/>
      <c r="U3381" s="4"/>
      <c r="V3381" s="4"/>
    </row>
    <row r="3382" spans="1:22" ht="14.5" customHeight="1" x14ac:dyDescent="0.2">
      <c r="A3382" s="54">
        <v>2019</v>
      </c>
      <c r="B3382" s="17" t="s">
        <v>202</v>
      </c>
      <c r="C3382" t="s">
        <v>875</v>
      </c>
      <c r="D3382" s="22">
        <v>270</v>
      </c>
      <c r="E3382" s="22"/>
      <c r="G3382" t="s">
        <v>155</v>
      </c>
      <c r="I3382" t="s">
        <v>40</v>
      </c>
      <c r="J3382" t="s">
        <v>219</v>
      </c>
      <c r="K3382">
        <v>1</v>
      </c>
      <c r="N3382" s="21"/>
      <c r="O3382" s="2"/>
      <c r="P3382" s="2"/>
      <c r="Q3382" s="4"/>
      <c r="R3382" s="4"/>
      <c r="S3382" s="4"/>
      <c r="T3382" s="4"/>
      <c r="U3382" s="4"/>
      <c r="V3382" s="4"/>
    </row>
    <row r="3383" spans="1:22" ht="14.5" customHeight="1" x14ac:dyDescent="0.2">
      <c r="A3383" s="54">
        <v>2019</v>
      </c>
      <c r="B3383" s="17" t="s">
        <v>202</v>
      </c>
      <c r="C3383" t="s">
        <v>557</v>
      </c>
      <c r="D3383" s="22">
        <v>230</v>
      </c>
      <c r="E3383" s="22"/>
      <c r="F3383" t="s">
        <v>2949</v>
      </c>
      <c r="G3383" t="s">
        <v>143</v>
      </c>
      <c r="I3383" t="s">
        <v>63</v>
      </c>
      <c r="J3383" t="s">
        <v>201</v>
      </c>
      <c r="K3383">
        <v>1</v>
      </c>
      <c r="N3383" s="21"/>
      <c r="O3383" s="2"/>
      <c r="P3383" s="2"/>
      <c r="Q3383" s="4"/>
      <c r="R3383" s="4"/>
      <c r="S3383" s="4"/>
      <c r="T3383" s="4"/>
      <c r="U3383" s="4"/>
      <c r="V3383" s="4"/>
    </row>
    <row r="3384" spans="1:22" ht="14.5" customHeight="1" x14ac:dyDescent="0.2">
      <c r="A3384" s="54">
        <v>2019</v>
      </c>
      <c r="B3384" s="17" t="s">
        <v>202</v>
      </c>
      <c r="C3384" t="s">
        <v>397</v>
      </c>
      <c r="D3384" s="22">
        <v>300</v>
      </c>
      <c r="E3384" s="22"/>
      <c r="F3384" t="s">
        <v>2950</v>
      </c>
      <c r="G3384" t="s">
        <v>153</v>
      </c>
      <c r="I3384" t="s">
        <v>131</v>
      </c>
      <c r="J3384" t="s">
        <v>131</v>
      </c>
      <c r="K3384">
        <v>0</v>
      </c>
      <c r="N3384" s="21"/>
      <c r="O3384" s="2"/>
      <c r="P3384" s="2"/>
      <c r="Q3384" s="4"/>
      <c r="R3384" s="4"/>
      <c r="S3384" s="4"/>
      <c r="T3384" s="4"/>
      <c r="U3384" s="4"/>
      <c r="V3384" s="4"/>
    </row>
    <row r="3385" spans="1:22" ht="14.5" customHeight="1" x14ac:dyDescent="0.2">
      <c r="A3385" s="54">
        <v>2019</v>
      </c>
      <c r="B3385" s="17" t="s">
        <v>202</v>
      </c>
      <c r="C3385" t="s">
        <v>745</v>
      </c>
      <c r="D3385" s="22">
        <v>1130</v>
      </c>
      <c r="E3385" s="22"/>
      <c r="F3385" t="s">
        <v>2951</v>
      </c>
      <c r="G3385" t="s">
        <v>142</v>
      </c>
      <c r="I3385" t="s">
        <v>52</v>
      </c>
      <c r="J3385" t="s">
        <v>201</v>
      </c>
      <c r="K3385">
        <v>0</v>
      </c>
      <c r="N3385" s="21"/>
      <c r="O3385" s="2"/>
      <c r="P3385" s="2"/>
      <c r="Q3385" s="4"/>
      <c r="R3385" s="4"/>
      <c r="S3385" s="4"/>
      <c r="T3385" s="4"/>
      <c r="U3385" s="4"/>
      <c r="V3385" s="4"/>
    </row>
    <row r="3386" spans="1:22" ht="14.25" customHeight="1" x14ac:dyDescent="0.2">
      <c r="A3386" s="54">
        <v>2019</v>
      </c>
      <c r="B3386" s="17" t="s">
        <v>202</v>
      </c>
      <c r="C3386" t="s">
        <v>341</v>
      </c>
      <c r="D3386" s="22">
        <v>150</v>
      </c>
      <c r="E3386" s="22"/>
      <c r="F3386" t="s">
        <v>2952</v>
      </c>
      <c r="G3386" t="s">
        <v>151</v>
      </c>
      <c r="H3386" t="s">
        <v>279</v>
      </c>
      <c r="I3386" t="s">
        <v>123</v>
      </c>
      <c r="J3386" t="s">
        <v>219</v>
      </c>
      <c r="K3386">
        <v>1</v>
      </c>
      <c r="N3386" s="21"/>
      <c r="O3386" s="2"/>
      <c r="P3386" s="2"/>
      <c r="Q3386" s="4"/>
      <c r="R3386" s="4"/>
      <c r="S3386" s="4"/>
      <c r="T3386" s="4"/>
      <c r="U3386" s="4"/>
      <c r="V3386" s="4"/>
    </row>
    <row r="3387" spans="1:22" ht="14.5" customHeight="1" x14ac:dyDescent="0.2">
      <c r="A3387" s="54">
        <v>2019</v>
      </c>
      <c r="B3387" s="17" t="s">
        <v>202</v>
      </c>
      <c r="C3387" t="s">
        <v>2434</v>
      </c>
      <c r="D3387" s="22">
        <v>340</v>
      </c>
      <c r="E3387" s="22"/>
      <c r="G3387" t="s">
        <v>154</v>
      </c>
      <c r="H3387" t="s">
        <v>529</v>
      </c>
      <c r="I3387" t="s">
        <v>108</v>
      </c>
      <c r="J3387" t="s">
        <v>183</v>
      </c>
      <c r="K3387">
        <v>1</v>
      </c>
      <c r="N3387" s="21"/>
      <c r="O3387" s="2"/>
      <c r="P3387" s="2"/>
      <c r="Q3387" s="4"/>
      <c r="R3387" s="4"/>
      <c r="S3387" s="4"/>
      <c r="T3387" s="4"/>
      <c r="U3387" s="4"/>
      <c r="V3387" s="4"/>
    </row>
    <row r="3388" spans="1:22" ht="14.5" customHeight="1" x14ac:dyDescent="0.2">
      <c r="A3388" s="54">
        <v>2019</v>
      </c>
      <c r="B3388" s="17" t="s">
        <v>202</v>
      </c>
      <c r="C3388" t="s">
        <v>1035</v>
      </c>
      <c r="D3388" s="22">
        <v>110</v>
      </c>
      <c r="E3388" s="22"/>
      <c r="G3388" t="s">
        <v>144</v>
      </c>
      <c r="H3388" t="s">
        <v>187</v>
      </c>
      <c r="I3388" t="s">
        <v>55</v>
      </c>
      <c r="J3388" t="s">
        <v>214</v>
      </c>
      <c r="K3388">
        <v>1</v>
      </c>
      <c r="N3388" s="21"/>
      <c r="O3388" s="2"/>
      <c r="P3388" s="2"/>
      <c r="Q3388" s="4"/>
      <c r="R3388" s="4"/>
      <c r="S3388" s="4"/>
      <c r="T3388" s="4"/>
      <c r="U3388" s="4"/>
      <c r="V3388" s="4"/>
    </row>
    <row r="3389" spans="1:22" ht="14.5" customHeight="1" x14ac:dyDescent="0.2">
      <c r="A3389" s="54">
        <v>2019</v>
      </c>
      <c r="B3389" s="17" t="s">
        <v>202</v>
      </c>
      <c r="C3389" t="s">
        <v>479</v>
      </c>
      <c r="D3389" s="22">
        <v>100</v>
      </c>
      <c r="E3389" s="22"/>
      <c r="G3389" t="s">
        <v>154</v>
      </c>
      <c r="H3389" t="s">
        <v>194</v>
      </c>
      <c r="I3389" t="s">
        <v>2462</v>
      </c>
      <c r="J3389" t="s">
        <v>219</v>
      </c>
      <c r="K3389">
        <v>1</v>
      </c>
      <c r="N3389" s="21"/>
      <c r="O3389" s="2"/>
      <c r="P3389" s="2"/>
      <c r="Q3389" s="4"/>
      <c r="R3389" s="4"/>
      <c r="S3389" s="4"/>
      <c r="T3389" s="4"/>
      <c r="U3389" s="4"/>
      <c r="V3389" s="4"/>
    </row>
    <row r="3390" spans="1:22" ht="14.5" customHeight="1" x14ac:dyDescent="0.2">
      <c r="A3390" s="54">
        <v>2019</v>
      </c>
      <c r="B3390" s="17" t="s">
        <v>202</v>
      </c>
      <c r="C3390" t="s">
        <v>175</v>
      </c>
      <c r="D3390" s="22">
        <v>140</v>
      </c>
      <c r="E3390" s="22"/>
      <c r="G3390" t="s">
        <v>149</v>
      </c>
      <c r="H3390" t="s">
        <v>182</v>
      </c>
      <c r="I3390" t="s">
        <v>53</v>
      </c>
      <c r="J3390" t="s">
        <v>183</v>
      </c>
      <c r="K3390">
        <v>1</v>
      </c>
      <c r="N3390" s="21"/>
      <c r="O3390" s="2"/>
      <c r="P3390" s="2"/>
      <c r="Q3390" s="4"/>
      <c r="R3390" s="4"/>
      <c r="S3390" s="4"/>
      <c r="T3390" s="4"/>
      <c r="U3390" s="4"/>
      <c r="V3390" s="4"/>
    </row>
    <row r="3391" spans="1:22" ht="14.5" customHeight="1" x14ac:dyDescent="0.2">
      <c r="A3391" s="54">
        <v>2019</v>
      </c>
      <c r="B3391" s="17" t="s">
        <v>202</v>
      </c>
      <c r="C3391" t="s">
        <v>397</v>
      </c>
      <c r="D3391" s="22">
        <v>520</v>
      </c>
      <c r="E3391" s="22"/>
      <c r="G3391" t="s">
        <v>154</v>
      </c>
      <c r="H3391" t="s">
        <v>529</v>
      </c>
      <c r="I3391" t="s">
        <v>57</v>
      </c>
      <c r="J3391" t="s">
        <v>195</v>
      </c>
      <c r="K3391">
        <v>0</v>
      </c>
      <c r="N3391" s="21"/>
      <c r="O3391" s="2"/>
      <c r="P3391" s="2"/>
      <c r="Q3391" s="4"/>
      <c r="R3391" s="4"/>
      <c r="S3391" s="4"/>
      <c r="T3391" s="4"/>
      <c r="U3391" s="4"/>
      <c r="V3391" s="4"/>
    </row>
    <row r="3392" spans="1:22" ht="14.5" customHeight="1" x14ac:dyDescent="0.2">
      <c r="A3392" s="54">
        <v>2019</v>
      </c>
      <c r="B3392" s="17" t="s">
        <v>202</v>
      </c>
      <c r="C3392" t="s">
        <v>1035</v>
      </c>
      <c r="D3392" s="22">
        <v>650</v>
      </c>
      <c r="E3392" s="22"/>
      <c r="G3392" t="s">
        <v>154</v>
      </c>
      <c r="H3392" t="s">
        <v>194</v>
      </c>
      <c r="I3392" t="s">
        <v>46</v>
      </c>
      <c r="J3392" t="s">
        <v>219</v>
      </c>
      <c r="K3392">
        <v>1</v>
      </c>
      <c r="N3392" s="21"/>
      <c r="O3392" s="2"/>
      <c r="P3392" s="2"/>
      <c r="Q3392" s="4"/>
      <c r="R3392" s="4"/>
      <c r="S3392" s="4"/>
      <c r="T3392" s="4"/>
      <c r="U3392" s="4"/>
      <c r="V3392" s="4"/>
    </row>
    <row r="3393" spans="1:22" ht="14.5" customHeight="1" x14ac:dyDescent="0.2">
      <c r="A3393" s="54">
        <v>2019</v>
      </c>
      <c r="B3393" s="17" t="s">
        <v>202</v>
      </c>
      <c r="C3393" t="s">
        <v>199</v>
      </c>
      <c r="D3393" s="22">
        <v>690</v>
      </c>
      <c r="E3393" s="22"/>
      <c r="G3393" t="s">
        <v>144</v>
      </c>
      <c r="H3393" t="s">
        <v>187</v>
      </c>
      <c r="I3393" t="s">
        <v>2557</v>
      </c>
      <c r="J3393" t="s">
        <v>219</v>
      </c>
      <c r="K3393">
        <v>1</v>
      </c>
      <c r="N3393" s="21"/>
      <c r="O3393" s="2"/>
      <c r="P3393" s="2"/>
      <c r="Q3393" s="4"/>
      <c r="R3393" s="4"/>
      <c r="S3393" s="4"/>
      <c r="T3393" s="4"/>
      <c r="U3393" s="4"/>
      <c r="V3393" s="4"/>
    </row>
    <row r="3394" spans="1:22" ht="14.5" customHeight="1" x14ac:dyDescent="0.2">
      <c r="A3394" s="54">
        <v>2019</v>
      </c>
      <c r="B3394" s="17" t="s">
        <v>202</v>
      </c>
      <c r="C3394" t="s">
        <v>199</v>
      </c>
      <c r="D3394" s="22">
        <v>1310</v>
      </c>
      <c r="E3394" s="22"/>
      <c r="G3394" t="s">
        <v>144</v>
      </c>
      <c r="H3394" t="s">
        <v>187</v>
      </c>
      <c r="I3394" t="s">
        <v>88</v>
      </c>
      <c r="J3394" t="s">
        <v>219</v>
      </c>
      <c r="K3394">
        <v>1</v>
      </c>
      <c r="N3394" s="21"/>
      <c r="O3394" s="2"/>
      <c r="P3394" s="2"/>
      <c r="Q3394" s="4"/>
      <c r="R3394" s="4"/>
      <c r="S3394" s="4"/>
      <c r="T3394" s="4"/>
      <c r="U3394" s="4"/>
      <c r="V3394" s="4"/>
    </row>
    <row r="3395" spans="1:22" ht="14.5" customHeight="1" x14ac:dyDescent="0.2">
      <c r="A3395" s="54">
        <v>2019</v>
      </c>
      <c r="B3395" s="17" t="s">
        <v>202</v>
      </c>
      <c r="C3395" t="s">
        <v>246</v>
      </c>
      <c r="D3395" s="22">
        <v>990</v>
      </c>
      <c r="E3395" s="22"/>
      <c r="G3395" t="s">
        <v>144</v>
      </c>
      <c r="H3395" t="s">
        <v>197</v>
      </c>
      <c r="I3395" t="s">
        <v>16</v>
      </c>
      <c r="J3395" t="s">
        <v>205</v>
      </c>
      <c r="K3395">
        <v>1</v>
      </c>
      <c r="N3395" s="21"/>
      <c r="O3395" s="2"/>
      <c r="P3395" s="2"/>
      <c r="Q3395" s="4"/>
      <c r="R3395" s="4"/>
      <c r="S3395" s="4"/>
      <c r="T3395" s="4"/>
      <c r="U3395" s="4"/>
      <c r="V3395" s="4"/>
    </row>
    <row r="3396" spans="1:22" ht="14.5" customHeight="1" x14ac:dyDescent="0.2">
      <c r="A3396" s="54">
        <v>2019</v>
      </c>
      <c r="B3396" s="17" t="s">
        <v>202</v>
      </c>
      <c r="C3396" t="s">
        <v>444</v>
      </c>
      <c r="D3396" s="22">
        <v>100</v>
      </c>
      <c r="E3396" s="22"/>
      <c r="G3396" t="s">
        <v>142</v>
      </c>
      <c r="I3396" t="s">
        <v>40</v>
      </c>
      <c r="J3396" t="s">
        <v>219</v>
      </c>
      <c r="K3396">
        <v>1</v>
      </c>
      <c r="N3396" s="21"/>
      <c r="O3396" s="2"/>
      <c r="P3396" s="2"/>
      <c r="Q3396" s="4"/>
      <c r="R3396" s="4"/>
      <c r="S3396" s="4"/>
      <c r="T3396" s="4"/>
      <c r="U3396" s="4"/>
      <c r="V3396" s="4"/>
    </row>
    <row r="3397" spans="1:22" ht="14.5" customHeight="1" x14ac:dyDescent="0.2">
      <c r="A3397" s="54">
        <v>2019</v>
      </c>
      <c r="B3397" s="17" t="s">
        <v>202</v>
      </c>
      <c r="C3397" t="s">
        <v>479</v>
      </c>
      <c r="D3397" s="22">
        <v>140</v>
      </c>
      <c r="E3397" s="22"/>
      <c r="G3397" t="s">
        <v>154</v>
      </c>
      <c r="H3397" t="s">
        <v>194</v>
      </c>
      <c r="I3397" t="s">
        <v>72</v>
      </c>
      <c r="J3397" t="s">
        <v>183</v>
      </c>
      <c r="K3397">
        <v>1</v>
      </c>
      <c r="N3397" s="21"/>
      <c r="O3397" s="2"/>
      <c r="P3397" s="2"/>
      <c r="Q3397" s="4"/>
      <c r="R3397" s="4"/>
      <c r="S3397" s="4"/>
      <c r="T3397" s="4"/>
      <c r="U3397" s="4"/>
      <c r="V3397" s="4"/>
    </row>
    <row r="3398" spans="1:22" ht="14.5" customHeight="1" x14ac:dyDescent="0.2">
      <c r="A3398" s="54">
        <v>2019</v>
      </c>
      <c r="B3398" s="17" t="s">
        <v>202</v>
      </c>
      <c r="C3398" t="s">
        <v>668</v>
      </c>
      <c r="D3398" s="22">
        <v>1660</v>
      </c>
      <c r="E3398" s="22"/>
      <c r="G3398" t="s">
        <v>155</v>
      </c>
      <c r="I3398" t="s">
        <v>13</v>
      </c>
      <c r="J3398" t="s">
        <v>201</v>
      </c>
      <c r="K3398">
        <v>1</v>
      </c>
      <c r="N3398" s="21"/>
      <c r="O3398" s="2"/>
      <c r="P3398" s="2"/>
      <c r="Q3398" s="4"/>
      <c r="R3398" s="4"/>
      <c r="S3398" s="4"/>
      <c r="T3398" s="4"/>
      <c r="U3398" s="4"/>
      <c r="V3398" s="4"/>
    </row>
    <row r="3399" spans="1:22" ht="14.5" customHeight="1" x14ac:dyDescent="0.2">
      <c r="A3399" s="54">
        <v>2019</v>
      </c>
      <c r="B3399" s="17" t="s">
        <v>207</v>
      </c>
      <c r="C3399" t="s">
        <v>444</v>
      </c>
      <c r="D3399" s="22">
        <v>210</v>
      </c>
      <c r="E3399" s="22"/>
      <c r="G3399" t="s">
        <v>154</v>
      </c>
      <c r="H3399" t="s">
        <v>271</v>
      </c>
      <c r="I3399" t="s">
        <v>82</v>
      </c>
      <c r="J3399" t="s">
        <v>183</v>
      </c>
      <c r="K3399">
        <v>1</v>
      </c>
      <c r="N3399" s="21"/>
      <c r="O3399" s="2"/>
      <c r="P3399" s="2"/>
      <c r="Q3399" s="4"/>
      <c r="R3399" s="4"/>
      <c r="S3399" s="4"/>
      <c r="T3399" s="4"/>
      <c r="U3399" s="4"/>
      <c r="V3399" s="4"/>
    </row>
    <row r="3400" spans="1:22" ht="14.5" customHeight="1" x14ac:dyDescent="0.2">
      <c r="A3400" s="54">
        <v>2019</v>
      </c>
      <c r="B3400" s="17" t="s">
        <v>207</v>
      </c>
      <c r="C3400" t="s">
        <v>444</v>
      </c>
      <c r="D3400" s="22">
        <v>220</v>
      </c>
      <c r="E3400" s="22"/>
      <c r="G3400" t="s">
        <v>144</v>
      </c>
      <c r="I3400" t="s">
        <v>132</v>
      </c>
      <c r="J3400" t="s">
        <v>219</v>
      </c>
      <c r="K3400">
        <v>1</v>
      </c>
      <c r="N3400" s="21"/>
      <c r="O3400" s="2"/>
      <c r="P3400" s="2"/>
      <c r="Q3400" s="4"/>
      <c r="R3400" s="4"/>
      <c r="S3400" s="4"/>
      <c r="T3400" s="4"/>
      <c r="U3400" s="4"/>
      <c r="V3400" s="4"/>
    </row>
    <row r="3401" spans="1:22" ht="14.5" customHeight="1" x14ac:dyDescent="0.2">
      <c r="A3401" s="54">
        <v>2019</v>
      </c>
      <c r="B3401" s="17" t="s">
        <v>207</v>
      </c>
      <c r="C3401" t="s">
        <v>2953</v>
      </c>
      <c r="D3401" s="22">
        <v>190</v>
      </c>
      <c r="E3401" s="16">
        <v>0.5</v>
      </c>
      <c r="F3401" t="s">
        <v>2954</v>
      </c>
      <c r="G3401" t="s">
        <v>144</v>
      </c>
      <c r="I3401" t="s">
        <v>23</v>
      </c>
      <c r="J3401" t="s">
        <v>183</v>
      </c>
      <c r="K3401">
        <v>1</v>
      </c>
      <c r="N3401" s="21"/>
      <c r="O3401" s="2"/>
      <c r="P3401" s="2"/>
      <c r="Q3401" s="4"/>
      <c r="R3401" s="4"/>
      <c r="S3401" s="4"/>
      <c r="T3401" s="4"/>
      <c r="U3401" s="4"/>
      <c r="V3401" s="4"/>
    </row>
    <row r="3402" spans="1:22" ht="14.5" customHeight="1" x14ac:dyDescent="0.2">
      <c r="A3402" s="54">
        <v>2019</v>
      </c>
      <c r="B3402" s="17" t="s">
        <v>207</v>
      </c>
      <c r="C3402" t="s">
        <v>307</v>
      </c>
      <c r="D3402" s="22">
        <v>1120</v>
      </c>
      <c r="E3402" s="22"/>
      <c r="F3402" t="s">
        <v>2884</v>
      </c>
      <c r="G3402" t="s">
        <v>144</v>
      </c>
      <c r="H3402" t="s">
        <v>232</v>
      </c>
      <c r="I3402" t="s">
        <v>133</v>
      </c>
      <c r="J3402" t="s">
        <v>195</v>
      </c>
      <c r="K3402">
        <v>1</v>
      </c>
      <c r="N3402" s="21"/>
      <c r="O3402" s="2"/>
      <c r="P3402" s="2"/>
      <c r="Q3402" s="4"/>
      <c r="R3402" s="4"/>
      <c r="S3402" s="4"/>
      <c r="T3402" s="4"/>
      <c r="U3402" s="4"/>
      <c r="V3402" s="4"/>
    </row>
    <row r="3403" spans="1:22" ht="14.5" customHeight="1" x14ac:dyDescent="0.2">
      <c r="A3403" s="54">
        <v>2019</v>
      </c>
      <c r="B3403" s="17" t="s">
        <v>207</v>
      </c>
      <c r="C3403" t="s">
        <v>1035</v>
      </c>
      <c r="D3403" s="22">
        <v>2360</v>
      </c>
      <c r="E3403" s="22"/>
      <c r="G3403" t="s">
        <v>151</v>
      </c>
      <c r="H3403" t="s">
        <v>279</v>
      </c>
      <c r="I3403" t="s">
        <v>13</v>
      </c>
      <c r="J3403" t="s">
        <v>201</v>
      </c>
      <c r="K3403">
        <v>1</v>
      </c>
      <c r="N3403" s="21"/>
      <c r="O3403" s="2"/>
      <c r="P3403" s="2"/>
      <c r="Q3403" s="4"/>
      <c r="R3403" s="4"/>
      <c r="S3403" s="4"/>
      <c r="T3403" s="4"/>
      <c r="U3403" s="4"/>
      <c r="V3403" s="4"/>
    </row>
    <row r="3404" spans="1:22" ht="14.5" customHeight="1" x14ac:dyDescent="0.2">
      <c r="A3404" s="54">
        <v>2019</v>
      </c>
      <c r="B3404" s="17" t="s">
        <v>207</v>
      </c>
      <c r="C3404" t="s">
        <v>479</v>
      </c>
      <c r="D3404" s="22">
        <v>330</v>
      </c>
      <c r="E3404" s="22"/>
      <c r="G3404" t="s">
        <v>154</v>
      </c>
      <c r="H3404" t="s">
        <v>194</v>
      </c>
      <c r="I3404" t="s">
        <v>9</v>
      </c>
      <c r="J3404" t="s">
        <v>9</v>
      </c>
      <c r="K3404">
        <v>0</v>
      </c>
      <c r="N3404" s="21"/>
      <c r="O3404" s="2"/>
      <c r="P3404" s="2"/>
      <c r="Q3404" s="4"/>
      <c r="R3404" s="4"/>
      <c r="S3404" s="4"/>
      <c r="T3404" s="4"/>
      <c r="U3404" s="4"/>
      <c r="V3404" s="4"/>
    </row>
    <row r="3405" spans="1:22" ht="14.5" customHeight="1" x14ac:dyDescent="0.2">
      <c r="A3405" s="54">
        <v>2019</v>
      </c>
      <c r="B3405" s="17" t="s">
        <v>207</v>
      </c>
      <c r="C3405" t="s">
        <v>479</v>
      </c>
      <c r="D3405" s="22">
        <v>200</v>
      </c>
      <c r="E3405" s="16">
        <v>0.4</v>
      </c>
      <c r="G3405" t="s">
        <v>155</v>
      </c>
      <c r="I3405" t="s">
        <v>108</v>
      </c>
      <c r="J3405" t="s">
        <v>183</v>
      </c>
      <c r="K3405">
        <v>1</v>
      </c>
      <c r="N3405" s="21"/>
      <c r="O3405" s="2"/>
      <c r="P3405" s="2"/>
      <c r="Q3405" s="4"/>
      <c r="R3405" s="4"/>
      <c r="S3405" s="4"/>
      <c r="T3405" s="4"/>
      <c r="U3405" s="4"/>
      <c r="V3405" s="4"/>
    </row>
    <row r="3406" spans="1:22" ht="14.5" customHeight="1" x14ac:dyDescent="0.2">
      <c r="A3406" s="54">
        <v>2019</v>
      </c>
      <c r="B3406" s="17" t="s">
        <v>207</v>
      </c>
      <c r="C3406" t="s">
        <v>2434</v>
      </c>
      <c r="D3406" s="22">
        <v>230</v>
      </c>
      <c r="E3406" s="16"/>
      <c r="G3406" t="s">
        <v>154</v>
      </c>
      <c r="H3406" t="s">
        <v>250</v>
      </c>
      <c r="I3406" t="s">
        <v>108</v>
      </c>
      <c r="J3406" t="s">
        <v>183</v>
      </c>
      <c r="K3406">
        <v>1</v>
      </c>
      <c r="N3406" s="21"/>
      <c r="O3406" s="2"/>
      <c r="P3406" s="2"/>
      <c r="Q3406" s="4"/>
      <c r="R3406" s="4"/>
      <c r="S3406" s="4"/>
      <c r="T3406" s="4"/>
      <c r="U3406" s="4"/>
      <c r="V3406" s="4"/>
    </row>
    <row r="3407" spans="1:22" ht="14.5" customHeight="1" x14ac:dyDescent="0.2">
      <c r="A3407" s="54">
        <v>2019</v>
      </c>
      <c r="B3407" s="17" t="s">
        <v>207</v>
      </c>
      <c r="C3407" t="s">
        <v>479</v>
      </c>
      <c r="D3407" s="22">
        <v>110</v>
      </c>
      <c r="E3407" s="16"/>
      <c r="G3407" t="s">
        <v>154</v>
      </c>
      <c r="H3407" t="s">
        <v>194</v>
      </c>
      <c r="I3407" t="s">
        <v>124</v>
      </c>
      <c r="J3407" t="s">
        <v>183</v>
      </c>
      <c r="K3407">
        <v>1</v>
      </c>
      <c r="N3407" s="21"/>
      <c r="O3407" s="2"/>
      <c r="P3407" s="2"/>
      <c r="Q3407" s="4"/>
      <c r="R3407" s="4"/>
      <c r="S3407" s="4"/>
      <c r="T3407" s="4"/>
      <c r="U3407" s="4"/>
      <c r="V3407" s="4"/>
    </row>
    <row r="3408" spans="1:22" ht="14.5" customHeight="1" x14ac:dyDescent="0.2">
      <c r="A3408" s="54">
        <v>2019</v>
      </c>
      <c r="B3408" s="17" t="s">
        <v>207</v>
      </c>
      <c r="C3408" t="s">
        <v>483</v>
      </c>
      <c r="D3408" s="22">
        <v>780</v>
      </c>
      <c r="E3408" s="16"/>
      <c r="G3408" t="s">
        <v>144</v>
      </c>
      <c r="H3408" t="s">
        <v>273</v>
      </c>
      <c r="I3408" t="s">
        <v>13</v>
      </c>
      <c r="J3408" t="s">
        <v>201</v>
      </c>
      <c r="K3408">
        <v>1</v>
      </c>
      <c r="N3408" s="21"/>
      <c r="O3408" s="2"/>
      <c r="P3408" s="2"/>
      <c r="Q3408" s="4"/>
      <c r="R3408" s="4"/>
      <c r="S3408" s="4"/>
      <c r="T3408" s="4"/>
      <c r="U3408" s="4"/>
      <c r="V3408" s="4"/>
    </row>
    <row r="3409" spans="1:22" ht="14.5" customHeight="1" x14ac:dyDescent="0.2">
      <c r="A3409" s="54">
        <v>2019</v>
      </c>
      <c r="B3409" s="17" t="s">
        <v>207</v>
      </c>
      <c r="C3409" t="s">
        <v>1061</v>
      </c>
      <c r="D3409" s="22">
        <v>680</v>
      </c>
      <c r="E3409" s="16"/>
      <c r="G3409" t="s">
        <v>154</v>
      </c>
      <c r="H3409" t="s">
        <v>529</v>
      </c>
      <c r="I3409" t="s">
        <v>19</v>
      </c>
      <c r="J3409" t="s">
        <v>205</v>
      </c>
      <c r="K3409">
        <v>0</v>
      </c>
      <c r="N3409" s="21"/>
      <c r="O3409" s="2"/>
      <c r="P3409" s="2"/>
      <c r="Q3409" s="4"/>
      <c r="R3409" s="4"/>
      <c r="S3409" s="4"/>
      <c r="T3409" s="4"/>
      <c r="U3409" s="4"/>
      <c r="V3409" s="4"/>
    </row>
    <row r="3410" spans="1:22" ht="14.5" customHeight="1" x14ac:dyDescent="0.2">
      <c r="A3410" s="54">
        <v>2019</v>
      </c>
      <c r="B3410" s="17" t="s">
        <v>207</v>
      </c>
      <c r="C3410" s="17" t="s">
        <v>2955</v>
      </c>
      <c r="D3410" s="22">
        <v>310</v>
      </c>
      <c r="E3410" s="16"/>
      <c r="G3410" t="s">
        <v>154</v>
      </c>
      <c r="H3410" t="s">
        <v>194</v>
      </c>
      <c r="I3410" t="s">
        <v>95</v>
      </c>
      <c r="J3410" t="s">
        <v>183</v>
      </c>
      <c r="K3410">
        <v>1</v>
      </c>
      <c r="N3410" s="21"/>
      <c r="O3410" s="2"/>
      <c r="P3410" s="2"/>
      <c r="Q3410" s="4"/>
      <c r="R3410" s="4"/>
      <c r="S3410" s="4"/>
      <c r="T3410" s="4"/>
      <c r="U3410" s="4"/>
      <c r="V3410" s="4"/>
    </row>
    <row r="3411" spans="1:22" ht="14.5" customHeight="1" x14ac:dyDescent="0.2">
      <c r="A3411" s="54">
        <v>2019</v>
      </c>
      <c r="B3411" s="17" t="s">
        <v>207</v>
      </c>
      <c r="C3411" t="s">
        <v>479</v>
      </c>
      <c r="D3411" s="22">
        <v>310</v>
      </c>
      <c r="E3411" s="16"/>
      <c r="G3411" t="s">
        <v>147</v>
      </c>
      <c r="I3411" t="s">
        <v>9</v>
      </c>
      <c r="J3411" t="s">
        <v>9</v>
      </c>
      <c r="K3411">
        <v>0</v>
      </c>
      <c r="N3411" s="21"/>
      <c r="O3411" s="2"/>
      <c r="P3411" s="2"/>
      <c r="Q3411" s="4"/>
      <c r="R3411" s="4"/>
      <c r="S3411" s="4"/>
      <c r="T3411" s="4"/>
      <c r="U3411" s="4"/>
      <c r="V3411" s="4"/>
    </row>
    <row r="3412" spans="1:22" ht="14.5" customHeight="1" x14ac:dyDescent="0.2">
      <c r="A3412" s="54">
        <v>2019</v>
      </c>
      <c r="B3412" s="17" t="s">
        <v>240</v>
      </c>
      <c r="C3412" t="s">
        <v>199</v>
      </c>
      <c r="D3412" s="22">
        <v>120</v>
      </c>
      <c r="E3412" s="22"/>
      <c r="G3412" t="s">
        <v>144</v>
      </c>
      <c r="H3412" t="s">
        <v>187</v>
      </c>
      <c r="I3412" t="s">
        <v>55</v>
      </c>
      <c r="J3412" t="s">
        <v>214</v>
      </c>
      <c r="K3412">
        <v>1</v>
      </c>
      <c r="N3412" s="21"/>
      <c r="O3412" s="2"/>
      <c r="P3412" s="2"/>
      <c r="Q3412" s="4"/>
      <c r="R3412" s="4"/>
      <c r="S3412" s="4"/>
      <c r="T3412" s="4"/>
      <c r="U3412" s="4"/>
      <c r="V3412" s="4"/>
    </row>
    <row r="3413" spans="1:22" ht="14.5" customHeight="1" x14ac:dyDescent="0.2">
      <c r="A3413" s="54">
        <v>2019</v>
      </c>
      <c r="B3413" s="17" t="s">
        <v>240</v>
      </c>
      <c r="C3413" t="s">
        <v>449</v>
      </c>
      <c r="D3413" s="22">
        <v>540</v>
      </c>
      <c r="E3413" s="22"/>
      <c r="G3413" t="s">
        <v>154</v>
      </c>
      <c r="H3413" t="s">
        <v>194</v>
      </c>
      <c r="I3413" t="s">
        <v>108</v>
      </c>
      <c r="J3413" t="s">
        <v>183</v>
      </c>
      <c r="K3413">
        <v>1</v>
      </c>
      <c r="N3413" s="21"/>
      <c r="O3413" s="2"/>
      <c r="P3413" s="2"/>
      <c r="Q3413" s="4"/>
      <c r="R3413" s="4"/>
      <c r="S3413" s="4"/>
      <c r="T3413" s="4"/>
      <c r="U3413" s="4"/>
      <c r="V3413" s="4"/>
    </row>
    <row r="3414" spans="1:22" ht="14.5" customHeight="1" x14ac:dyDescent="0.2">
      <c r="A3414" s="54">
        <v>2019</v>
      </c>
      <c r="B3414" s="17" t="s">
        <v>240</v>
      </c>
      <c r="C3414" t="s">
        <v>444</v>
      </c>
      <c r="D3414" s="22">
        <v>140</v>
      </c>
      <c r="E3414" s="22"/>
      <c r="G3414" t="s">
        <v>144</v>
      </c>
      <c r="H3414" t="s">
        <v>187</v>
      </c>
      <c r="I3414" t="s">
        <v>55</v>
      </c>
      <c r="J3414" t="s">
        <v>214</v>
      </c>
      <c r="K3414">
        <v>1</v>
      </c>
      <c r="N3414" s="21"/>
      <c r="O3414" s="2"/>
      <c r="P3414" s="2"/>
      <c r="Q3414" s="4"/>
      <c r="R3414" s="4"/>
      <c r="S3414" s="4"/>
      <c r="T3414" s="4"/>
      <c r="U3414" s="4"/>
      <c r="V3414" s="4"/>
    </row>
    <row r="3415" spans="1:22" s="17" customFormat="1" ht="15.75" customHeight="1" x14ac:dyDescent="0.2">
      <c r="A3415" s="54">
        <v>2019</v>
      </c>
      <c r="B3415" s="17" t="s">
        <v>240</v>
      </c>
      <c r="C3415" t="s">
        <v>189</v>
      </c>
      <c r="D3415" s="22">
        <v>400</v>
      </c>
      <c r="E3415" s="22"/>
      <c r="F3415" t="s">
        <v>2002</v>
      </c>
      <c r="G3415" t="s">
        <v>144</v>
      </c>
      <c r="H3415" t="s">
        <v>299</v>
      </c>
      <c r="I3415" t="s">
        <v>105</v>
      </c>
      <c r="J3415" t="s">
        <v>214</v>
      </c>
      <c r="K3415">
        <v>1</v>
      </c>
      <c r="N3415" s="21"/>
      <c r="O3415" s="2"/>
      <c r="P3415" s="2"/>
      <c r="Q3415" s="4"/>
      <c r="R3415" s="4"/>
      <c r="S3415" s="4"/>
      <c r="T3415" s="4"/>
      <c r="U3415" s="4"/>
      <c r="V3415" s="4"/>
    </row>
    <row r="3416" spans="1:22" ht="14.5" customHeight="1" x14ac:dyDescent="0.2">
      <c r="A3416" s="54">
        <v>2019</v>
      </c>
      <c r="B3416" s="17" t="s">
        <v>240</v>
      </c>
      <c r="C3416" t="s">
        <v>2956</v>
      </c>
      <c r="D3416" s="22">
        <v>110</v>
      </c>
      <c r="E3416" s="22"/>
      <c r="F3416" t="s">
        <v>2957</v>
      </c>
      <c r="G3416" t="s">
        <v>144</v>
      </c>
      <c r="H3416" t="s">
        <v>232</v>
      </c>
      <c r="I3416" t="s">
        <v>128</v>
      </c>
      <c r="J3416" t="s">
        <v>201</v>
      </c>
      <c r="K3416">
        <v>1</v>
      </c>
      <c r="N3416" s="21"/>
      <c r="O3416" s="2"/>
      <c r="P3416" s="2"/>
      <c r="Q3416" s="4"/>
      <c r="R3416" s="4"/>
      <c r="S3416" s="4"/>
      <c r="T3416" s="4"/>
      <c r="U3416" s="4"/>
      <c r="V3416" s="4"/>
    </row>
    <row r="3417" spans="1:22" ht="14.5" customHeight="1" x14ac:dyDescent="0.2">
      <c r="A3417" s="54">
        <v>2019</v>
      </c>
      <c r="B3417" s="17" t="s">
        <v>240</v>
      </c>
      <c r="C3417" t="s">
        <v>703</v>
      </c>
      <c r="D3417" s="22">
        <v>100</v>
      </c>
      <c r="E3417" s="22"/>
      <c r="F3417" t="s">
        <v>1815</v>
      </c>
      <c r="G3417" t="s">
        <v>144</v>
      </c>
      <c r="H3417" t="s">
        <v>299</v>
      </c>
      <c r="I3417" t="s">
        <v>13</v>
      </c>
      <c r="J3417" t="s">
        <v>201</v>
      </c>
      <c r="K3417">
        <v>1</v>
      </c>
      <c r="N3417" s="21"/>
      <c r="O3417" s="2"/>
      <c r="P3417" s="2"/>
      <c r="Q3417" s="4"/>
      <c r="R3417" s="4"/>
      <c r="S3417" s="4"/>
      <c r="T3417" s="4"/>
      <c r="U3417" s="4"/>
      <c r="V3417" s="4"/>
    </row>
    <row r="3418" spans="1:22" ht="14.5" customHeight="1" x14ac:dyDescent="0.2">
      <c r="A3418" s="54">
        <v>2019</v>
      </c>
      <c r="B3418" s="17" t="s">
        <v>240</v>
      </c>
      <c r="C3418" t="s">
        <v>875</v>
      </c>
      <c r="D3418" s="22">
        <v>290</v>
      </c>
      <c r="E3418" s="22"/>
      <c r="G3418" t="s">
        <v>144</v>
      </c>
      <c r="H3418" t="s">
        <v>197</v>
      </c>
      <c r="I3418" t="s">
        <v>115</v>
      </c>
      <c r="J3418" t="s">
        <v>201</v>
      </c>
      <c r="K3418">
        <v>1</v>
      </c>
      <c r="N3418" s="21"/>
      <c r="O3418" s="2"/>
      <c r="P3418" s="2"/>
      <c r="Q3418" s="4"/>
      <c r="R3418" s="4"/>
      <c r="S3418" s="4"/>
      <c r="T3418" s="4"/>
      <c r="U3418" s="4"/>
      <c r="V3418" s="4"/>
    </row>
    <row r="3419" spans="1:22" ht="14.5" customHeight="1" x14ac:dyDescent="0.2">
      <c r="A3419" s="54">
        <v>2019</v>
      </c>
      <c r="B3419" s="17" t="s">
        <v>240</v>
      </c>
      <c r="C3419" t="s">
        <v>875</v>
      </c>
      <c r="D3419" s="22">
        <v>370</v>
      </c>
      <c r="E3419" s="16">
        <v>0.6</v>
      </c>
      <c r="F3419" t="s">
        <v>1247</v>
      </c>
      <c r="G3419" t="s">
        <v>155</v>
      </c>
      <c r="I3419" t="s">
        <v>130</v>
      </c>
      <c r="J3419" t="s">
        <v>214</v>
      </c>
      <c r="K3419">
        <v>1</v>
      </c>
      <c r="N3419" s="21"/>
      <c r="O3419" s="2"/>
      <c r="P3419" s="2"/>
      <c r="Q3419" s="4"/>
      <c r="R3419" s="4"/>
      <c r="S3419" s="4"/>
      <c r="T3419" s="4"/>
      <c r="U3419" s="4"/>
      <c r="V3419" s="4"/>
    </row>
    <row r="3420" spans="1:22" ht="14.5" customHeight="1" x14ac:dyDescent="0.2">
      <c r="A3420" s="54">
        <v>2019</v>
      </c>
      <c r="B3420" s="17" t="s">
        <v>240</v>
      </c>
      <c r="C3420" t="s">
        <v>1035</v>
      </c>
      <c r="D3420" s="22">
        <v>190</v>
      </c>
      <c r="E3420" s="22"/>
      <c r="G3420" t="s">
        <v>154</v>
      </c>
      <c r="H3420" t="s">
        <v>194</v>
      </c>
      <c r="I3420" t="s">
        <v>98</v>
      </c>
      <c r="J3420" t="s">
        <v>195</v>
      </c>
      <c r="K3420">
        <v>1</v>
      </c>
      <c r="N3420" s="21"/>
      <c r="O3420" s="2"/>
      <c r="P3420" s="2"/>
      <c r="Q3420" s="4"/>
      <c r="R3420" s="4"/>
      <c r="S3420" s="4"/>
      <c r="T3420" s="4"/>
      <c r="U3420" s="4"/>
      <c r="V3420" s="4"/>
    </row>
    <row r="3421" spans="1:22" ht="14.5" customHeight="1" x14ac:dyDescent="0.2">
      <c r="A3421" s="54">
        <v>2019</v>
      </c>
      <c r="B3421" s="17" t="s">
        <v>240</v>
      </c>
      <c r="C3421" t="s">
        <v>175</v>
      </c>
      <c r="D3421" s="22">
        <v>110</v>
      </c>
      <c r="E3421" s="22"/>
      <c r="G3421" t="s">
        <v>151</v>
      </c>
      <c r="H3421" t="s">
        <v>279</v>
      </c>
      <c r="I3421" t="s">
        <v>134</v>
      </c>
      <c r="J3421" t="s">
        <v>201</v>
      </c>
      <c r="K3421">
        <v>1</v>
      </c>
      <c r="N3421" s="21"/>
      <c r="O3421" s="2"/>
      <c r="P3421" s="2"/>
      <c r="Q3421" s="4"/>
      <c r="R3421" s="4"/>
      <c r="S3421" s="4"/>
      <c r="T3421" s="4"/>
      <c r="U3421" s="4"/>
      <c r="V3421" s="4"/>
    </row>
    <row r="3422" spans="1:22" ht="14.5" customHeight="1" x14ac:dyDescent="0.2">
      <c r="A3422" s="54">
        <v>2019</v>
      </c>
      <c r="B3422" s="17" t="s">
        <v>240</v>
      </c>
      <c r="C3422" t="s">
        <v>449</v>
      </c>
      <c r="D3422" s="22">
        <v>1660</v>
      </c>
      <c r="E3422" s="22"/>
      <c r="G3422" t="s">
        <v>154</v>
      </c>
      <c r="H3422" t="s">
        <v>529</v>
      </c>
      <c r="I3422" t="s">
        <v>89</v>
      </c>
      <c r="J3422" t="s">
        <v>219</v>
      </c>
      <c r="K3422">
        <v>1</v>
      </c>
      <c r="N3422" s="21"/>
      <c r="O3422" s="2"/>
      <c r="P3422" s="2"/>
      <c r="Q3422" s="4"/>
      <c r="R3422" s="4"/>
      <c r="S3422" s="4"/>
      <c r="T3422" s="4"/>
      <c r="U3422" s="4"/>
      <c r="V3422" s="4"/>
    </row>
    <row r="3423" spans="1:22" ht="14.5" customHeight="1" x14ac:dyDescent="0.2">
      <c r="A3423" s="54">
        <v>2019</v>
      </c>
      <c r="B3423" s="17" t="s">
        <v>240</v>
      </c>
      <c r="C3423" t="s">
        <v>1035</v>
      </c>
      <c r="D3423" s="22">
        <v>340</v>
      </c>
      <c r="E3423" s="22"/>
      <c r="F3423" t="s">
        <v>828</v>
      </c>
      <c r="G3423" t="s">
        <v>144</v>
      </c>
      <c r="H3423" t="s">
        <v>197</v>
      </c>
      <c r="I3423" t="s">
        <v>93</v>
      </c>
      <c r="J3423" t="s">
        <v>201</v>
      </c>
      <c r="K3423">
        <v>1</v>
      </c>
      <c r="N3423" s="21"/>
      <c r="O3423" s="2"/>
      <c r="P3423" s="2"/>
      <c r="Q3423" s="4"/>
      <c r="R3423" s="4"/>
      <c r="S3423" s="4"/>
      <c r="T3423" s="4"/>
      <c r="U3423" s="4"/>
      <c r="V3423" s="4"/>
    </row>
    <row r="3424" spans="1:22" ht="14.5" customHeight="1" x14ac:dyDescent="0.2">
      <c r="A3424" s="54">
        <v>2019</v>
      </c>
      <c r="B3424" s="17" t="s">
        <v>240</v>
      </c>
      <c r="C3424" t="s">
        <v>449</v>
      </c>
      <c r="D3424" s="22">
        <v>190</v>
      </c>
      <c r="E3424" s="22"/>
      <c r="G3424" t="s">
        <v>153</v>
      </c>
      <c r="I3424" t="s">
        <v>23</v>
      </c>
      <c r="J3424" t="s">
        <v>183</v>
      </c>
      <c r="K3424">
        <v>1</v>
      </c>
      <c r="N3424" s="21"/>
      <c r="O3424" s="2"/>
      <c r="P3424" s="2"/>
      <c r="Q3424" s="4"/>
      <c r="R3424" s="4"/>
      <c r="S3424" s="4"/>
      <c r="T3424" s="4"/>
      <c r="U3424" s="4"/>
      <c r="V3424" s="4"/>
    </row>
    <row r="3425" spans="1:22" ht="14.5" customHeight="1" x14ac:dyDescent="0.2">
      <c r="A3425" s="54">
        <v>2019</v>
      </c>
      <c r="B3425" s="17" t="s">
        <v>240</v>
      </c>
      <c r="C3425" t="s">
        <v>479</v>
      </c>
      <c r="D3425" s="22">
        <v>500</v>
      </c>
      <c r="E3425" s="22"/>
      <c r="G3425" t="s">
        <v>145</v>
      </c>
      <c r="I3425" t="s">
        <v>9</v>
      </c>
      <c r="J3425" t="s">
        <v>9</v>
      </c>
      <c r="K3425">
        <v>0</v>
      </c>
      <c r="N3425" s="21"/>
      <c r="O3425" s="2"/>
      <c r="P3425" s="2"/>
      <c r="Q3425" s="4"/>
      <c r="R3425" s="4"/>
      <c r="S3425" s="4"/>
      <c r="T3425" s="4"/>
      <c r="U3425" s="4"/>
      <c r="V3425" s="4"/>
    </row>
    <row r="3426" spans="1:22" ht="14.5" customHeight="1" x14ac:dyDescent="0.2">
      <c r="A3426" s="54">
        <v>2019</v>
      </c>
      <c r="B3426" s="17" t="s">
        <v>240</v>
      </c>
      <c r="C3426" t="s">
        <v>1035</v>
      </c>
      <c r="D3426" s="22">
        <v>360</v>
      </c>
      <c r="E3426" s="22"/>
      <c r="G3426" t="s">
        <v>155</v>
      </c>
      <c r="I3426" t="s">
        <v>6</v>
      </c>
      <c r="J3426" t="s">
        <v>219</v>
      </c>
      <c r="K3426">
        <v>1</v>
      </c>
      <c r="N3426" s="21"/>
      <c r="O3426" s="2"/>
      <c r="P3426" s="2"/>
      <c r="Q3426" s="4"/>
      <c r="R3426" s="4"/>
      <c r="S3426" s="4"/>
      <c r="T3426" s="4"/>
      <c r="U3426" s="4"/>
      <c r="V3426" s="4"/>
    </row>
    <row r="3427" spans="1:22" ht="14.5" customHeight="1" x14ac:dyDescent="0.2">
      <c r="A3427" s="54">
        <v>2019</v>
      </c>
      <c r="B3427" s="17" t="s">
        <v>240</v>
      </c>
      <c r="C3427" t="s">
        <v>341</v>
      </c>
      <c r="D3427" s="22">
        <v>350</v>
      </c>
      <c r="E3427" s="22"/>
      <c r="G3427" t="s">
        <v>154</v>
      </c>
      <c r="H3427" t="s">
        <v>529</v>
      </c>
      <c r="I3427" t="s">
        <v>106</v>
      </c>
      <c r="J3427" t="s">
        <v>195</v>
      </c>
      <c r="K3427">
        <v>1</v>
      </c>
      <c r="N3427" s="21"/>
      <c r="O3427" s="2"/>
      <c r="P3427" s="2"/>
      <c r="Q3427" s="4"/>
      <c r="R3427" s="4"/>
      <c r="S3427" s="4"/>
      <c r="T3427" s="4"/>
      <c r="U3427" s="4"/>
      <c r="V3427" s="4"/>
    </row>
    <row r="3428" spans="1:22" ht="14.5" customHeight="1" x14ac:dyDescent="0.2">
      <c r="A3428" s="54">
        <v>2019</v>
      </c>
      <c r="B3428" s="17" t="s">
        <v>240</v>
      </c>
      <c r="C3428" t="s">
        <v>2228</v>
      </c>
      <c r="D3428" s="22">
        <v>710</v>
      </c>
      <c r="E3428" s="22"/>
      <c r="G3428" t="s">
        <v>154</v>
      </c>
      <c r="H3428" t="s">
        <v>194</v>
      </c>
      <c r="I3428" t="s">
        <v>2554</v>
      </c>
      <c r="J3428" t="s">
        <v>219</v>
      </c>
      <c r="K3428">
        <v>1</v>
      </c>
      <c r="N3428" s="21"/>
      <c r="O3428" s="2"/>
      <c r="P3428" s="2"/>
      <c r="Q3428" s="4"/>
      <c r="R3428" s="4"/>
      <c r="S3428" s="4"/>
      <c r="T3428" s="4"/>
      <c r="U3428" s="4"/>
      <c r="V3428" s="4"/>
    </row>
    <row r="3429" spans="1:22" ht="15" customHeight="1" x14ac:dyDescent="0.2">
      <c r="A3429" s="54">
        <v>2019</v>
      </c>
      <c r="B3429" s="17" t="s">
        <v>240</v>
      </c>
      <c r="C3429" t="s">
        <v>2486</v>
      </c>
      <c r="D3429" s="22">
        <v>100</v>
      </c>
      <c r="E3429" s="22"/>
      <c r="G3429" t="s">
        <v>150</v>
      </c>
      <c r="H3429" t="s">
        <v>217</v>
      </c>
      <c r="I3429" t="s">
        <v>126</v>
      </c>
      <c r="J3429" t="s">
        <v>177</v>
      </c>
      <c r="K3429">
        <v>1</v>
      </c>
      <c r="N3429" s="21"/>
      <c r="O3429" s="2"/>
      <c r="P3429" s="2"/>
      <c r="Q3429" s="4"/>
      <c r="R3429" s="4"/>
      <c r="S3429" s="4"/>
      <c r="T3429" s="4"/>
      <c r="U3429" s="4"/>
      <c r="V3429" s="4"/>
    </row>
    <row r="3430" spans="1:22" ht="14.5" customHeight="1" x14ac:dyDescent="0.2">
      <c r="A3430" s="54">
        <v>2019</v>
      </c>
      <c r="B3430" s="17" t="s">
        <v>212</v>
      </c>
      <c r="C3430" t="s">
        <v>307</v>
      </c>
      <c r="D3430" s="22">
        <v>1100</v>
      </c>
      <c r="E3430" s="22"/>
      <c r="F3430" t="s">
        <v>2958</v>
      </c>
      <c r="G3430" t="s">
        <v>155</v>
      </c>
      <c r="I3430" t="s">
        <v>105</v>
      </c>
      <c r="J3430" t="s">
        <v>214</v>
      </c>
      <c r="K3430">
        <v>1</v>
      </c>
      <c r="N3430" s="21"/>
      <c r="O3430" s="2"/>
      <c r="P3430" s="2"/>
      <c r="Q3430" s="4"/>
      <c r="R3430" s="4"/>
      <c r="S3430" s="4"/>
      <c r="T3430" s="4"/>
      <c r="U3430" s="4"/>
      <c r="V3430" s="4"/>
    </row>
    <row r="3431" spans="1:22" ht="14.5" customHeight="1" x14ac:dyDescent="0.2">
      <c r="A3431" s="54">
        <v>2019</v>
      </c>
      <c r="B3431" s="17" t="s">
        <v>212</v>
      </c>
      <c r="C3431" t="s">
        <v>479</v>
      </c>
      <c r="D3431" s="22">
        <v>100</v>
      </c>
      <c r="E3431" s="22"/>
      <c r="F3431" t="s">
        <v>2959</v>
      </c>
      <c r="G3431" t="s">
        <v>154</v>
      </c>
      <c r="H3431" t="s">
        <v>529</v>
      </c>
      <c r="I3431" t="s">
        <v>9</v>
      </c>
      <c r="J3431" t="s">
        <v>9</v>
      </c>
      <c r="K3431">
        <v>0</v>
      </c>
      <c r="N3431" s="21"/>
      <c r="O3431" s="2"/>
      <c r="P3431" s="2"/>
      <c r="Q3431" s="4"/>
      <c r="R3431" s="4"/>
      <c r="S3431" s="4"/>
      <c r="T3431" s="4"/>
      <c r="U3431" s="4"/>
      <c r="V3431" s="4"/>
    </row>
    <row r="3432" spans="1:22" ht="14.5" customHeight="1" x14ac:dyDescent="0.2">
      <c r="A3432" s="54">
        <v>2019</v>
      </c>
      <c r="B3432" s="17" t="s">
        <v>212</v>
      </c>
      <c r="C3432" t="s">
        <v>479</v>
      </c>
      <c r="D3432" s="22">
        <v>160</v>
      </c>
      <c r="E3432" s="27"/>
      <c r="G3432" t="s">
        <v>154</v>
      </c>
      <c r="H3432" t="s">
        <v>529</v>
      </c>
      <c r="I3432" t="s">
        <v>9</v>
      </c>
      <c r="J3432" t="s">
        <v>9</v>
      </c>
      <c r="K3432">
        <v>0</v>
      </c>
      <c r="N3432" s="21"/>
      <c r="O3432" s="2"/>
      <c r="P3432" s="2"/>
      <c r="Q3432" s="4"/>
      <c r="R3432" s="4"/>
      <c r="S3432" s="4"/>
      <c r="T3432" s="4"/>
      <c r="U3432" s="4"/>
      <c r="V3432" s="4"/>
    </row>
    <row r="3433" spans="1:22" ht="14.5" customHeight="1" x14ac:dyDescent="0.2">
      <c r="A3433" s="54">
        <v>2019</v>
      </c>
      <c r="B3433" s="17" t="s">
        <v>212</v>
      </c>
      <c r="C3433" t="s">
        <v>444</v>
      </c>
      <c r="D3433" s="22">
        <v>690</v>
      </c>
      <c r="E3433" s="16"/>
      <c r="G3433" t="s">
        <v>151</v>
      </c>
      <c r="H3433" t="s">
        <v>279</v>
      </c>
      <c r="I3433" t="s">
        <v>2929</v>
      </c>
      <c r="J3433" t="s">
        <v>214</v>
      </c>
      <c r="K3433">
        <v>1</v>
      </c>
      <c r="N3433" s="21"/>
      <c r="O3433" s="2"/>
      <c r="P3433" s="2"/>
      <c r="Q3433" s="4"/>
      <c r="R3433" s="4"/>
      <c r="S3433" s="4"/>
      <c r="T3433" s="4"/>
      <c r="U3433" s="4"/>
      <c r="V3433" s="4"/>
    </row>
    <row r="3434" spans="1:22" ht="14.5" customHeight="1" x14ac:dyDescent="0.2">
      <c r="A3434" s="54">
        <v>2019</v>
      </c>
      <c r="B3434" s="17" t="s">
        <v>212</v>
      </c>
      <c r="C3434" t="s">
        <v>397</v>
      </c>
      <c r="D3434" s="22">
        <v>110</v>
      </c>
      <c r="E3434" s="16"/>
      <c r="G3434" t="s">
        <v>151</v>
      </c>
      <c r="H3434" t="s">
        <v>279</v>
      </c>
      <c r="I3434" t="s">
        <v>130</v>
      </c>
      <c r="J3434" t="s">
        <v>214</v>
      </c>
      <c r="K3434">
        <v>1</v>
      </c>
      <c r="N3434" s="21"/>
      <c r="O3434" s="2"/>
      <c r="P3434" s="2"/>
      <c r="Q3434" s="4"/>
      <c r="R3434" s="4"/>
      <c r="S3434" s="4"/>
      <c r="T3434" s="4"/>
      <c r="U3434" s="4"/>
      <c r="V3434" s="4"/>
    </row>
    <row r="3435" spans="1:22" ht="14.5" customHeight="1" x14ac:dyDescent="0.2">
      <c r="A3435" s="54">
        <v>2019</v>
      </c>
      <c r="B3435" s="17" t="s">
        <v>212</v>
      </c>
      <c r="C3435" t="s">
        <v>341</v>
      </c>
      <c r="D3435" s="22">
        <v>160</v>
      </c>
      <c r="E3435" s="16"/>
      <c r="G3435" t="s">
        <v>154</v>
      </c>
      <c r="H3435" t="s">
        <v>529</v>
      </c>
      <c r="I3435" t="s">
        <v>108</v>
      </c>
      <c r="J3435" t="s">
        <v>183</v>
      </c>
      <c r="K3435">
        <v>1</v>
      </c>
      <c r="N3435" s="21"/>
      <c r="O3435" s="2"/>
      <c r="P3435" s="2"/>
      <c r="Q3435" s="4"/>
      <c r="R3435" s="4"/>
      <c r="S3435" s="4"/>
      <c r="T3435" s="4"/>
      <c r="U3435" s="4"/>
      <c r="V3435" s="4"/>
    </row>
    <row r="3436" spans="1:22" ht="14.5" customHeight="1" x14ac:dyDescent="0.2">
      <c r="A3436" s="54">
        <v>2019</v>
      </c>
      <c r="B3436" s="17" t="s">
        <v>212</v>
      </c>
      <c r="C3436" t="s">
        <v>189</v>
      </c>
      <c r="D3436" s="22">
        <v>140</v>
      </c>
      <c r="E3436" s="16"/>
      <c r="G3436" t="s">
        <v>144</v>
      </c>
      <c r="I3436" t="s">
        <v>105</v>
      </c>
      <c r="J3436" t="s">
        <v>214</v>
      </c>
      <c r="K3436">
        <v>1</v>
      </c>
      <c r="N3436" s="21"/>
      <c r="O3436" s="2"/>
      <c r="P3436" s="2"/>
      <c r="Q3436" s="4"/>
      <c r="R3436" s="4"/>
      <c r="S3436" s="4"/>
      <c r="T3436" s="4"/>
      <c r="U3436" s="4"/>
      <c r="V3436" s="4"/>
    </row>
    <row r="3437" spans="1:22" ht="14.5" customHeight="1" x14ac:dyDescent="0.2">
      <c r="A3437" s="54">
        <v>2019</v>
      </c>
      <c r="B3437" s="17" t="s">
        <v>212</v>
      </c>
      <c r="C3437" t="s">
        <v>449</v>
      </c>
      <c r="D3437" s="22">
        <v>420</v>
      </c>
      <c r="E3437" s="16"/>
      <c r="G3437" t="s">
        <v>154</v>
      </c>
      <c r="H3437" t="s">
        <v>194</v>
      </c>
      <c r="I3437" t="s">
        <v>37</v>
      </c>
      <c r="J3437" t="s">
        <v>205</v>
      </c>
      <c r="K3437">
        <v>1</v>
      </c>
      <c r="N3437" s="21"/>
      <c r="O3437" s="2"/>
      <c r="P3437" s="2"/>
      <c r="Q3437" s="4"/>
      <c r="R3437" s="4"/>
      <c r="S3437" s="4"/>
      <c r="T3437" s="4"/>
      <c r="U3437" s="4"/>
      <c r="V3437" s="4"/>
    </row>
    <row r="3438" spans="1:22" ht="14.5" customHeight="1" x14ac:dyDescent="0.2">
      <c r="A3438" s="54">
        <v>2019</v>
      </c>
      <c r="B3438" s="17" t="s">
        <v>212</v>
      </c>
      <c r="C3438" t="s">
        <v>449</v>
      </c>
      <c r="D3438" s="22">
        <v>600</v>
      </c>
      <c r="E3438" s="16"/>
      <c r="G3438" t="s">
        <v>154</v>
      </c>
      <c r="H3438" t="s">
        <v>529</v>
      </c>
      <c r="I3438" t="s">
        <v>130</v>
      </c>
      <c r="J3438" t="s">
        <v>214</v>
      </c>
      <c r="K3438">
        <v>1</v>
      </c>
      <c r="N3438" s="21"/>
      <c r="O3438" s="2"/>
      <c r="P3438" s="2"/>
      <c r="Q3438" s="4"/>
      <c r="R3438" s="4"/>
      <c r="S3438" s="4"/>
      <c r="T3438" s="4"/>
      <c r="U3438" s="4"/>
      <c r="V3438" s="4"/>
    </row>
    <row r="3439" spans="1:22" ht="14.5" customHeight="1" x14ac:dyDescent="0.2">
      <c r="A3439" s="54">
        <v>2019</v>
      </c>
      <c r="B3439" s="17" t="s">
        <v>212</v>
      </c>
      <c r="C3439" t="s">
        <v>2960</v>
      </c>
      <c r="D3439" s="22">
        <v>190</v>
      </c>
      <c r="E3439" s="16"/>
      <c r="G3439" t="s">
        <v>154</v>
      </c>
      <c r="H3439" t="s">
        <v>529</v>
      </c>
      <c r="I3439" t="s">
        <v>124</v>
      </c>
      <c r="J3439" t="s">
        <v>183</v>
      </c>
      <c r="K3439">
        <v>1</v>
      </c>
      <c r="N3439" s="21"/>
      <c r="O3439" s="2"/>
      <c r="P3439" s="2"/>
      <c r="Q3439" s="4"/>
      <c r="R3439" s="4"/>
      <c r="S3439" s="4"/>
      <c r="T3439" s="4"/>
      <c r="U3439" s="4"/>
      <c r="V3439" s="4"/>
    </row>
    <row r="3440" spans="1:22" ht="14.5" customHeight="1" x14ac:dyDescent="0.2">
      <c r="A3440" s="73">
        <v>2019</v>
      </c>
      <c r="B3440" s="17" t="s">
        <v>212</v>
      </c>
      <c r="C3440" s="17" t="s">
        <v>175</v>
      </c>
      <c r="D3440" s="24">
        <v>280</v>
      </c>
      <c r="E3440" s="18"/>
      <c r="F3440" s="17" t="s">
        <v>2961</v>
      </c>
      <c r="G3440" s="17" t="s">
        <v>144</v>
      </c>
      <c r="H3440" s="17" t="s">
        <v>232</v>
      </c>
      <c r="I3440" s="17" t="s">
        <v>123</v>
      </c>
      <c r="J3440" s="17" t="s">
        <v>219</v>
      </c>
      <c r="K3440" s="17">
        <v>1</v>
      </c>
      <c r="L3440" s="17"/>
      <c r="N3440" s="21"/>
      <c r="O3440" s="2"/>
      <c r="P3440" s="2"/>
      <c r="Q3440" s="4"/>
      <c r="R3440" s="4"/>
      <c r="S3440" s="4"/>
      <c r="T3440" s="4"/>
      <c r="U3440" s="4"/>
      <c r="V3440" s="4"/>
    </row>
    <row r="3441" spans="1:22" ht="14.5" customHeight="1" x14ac:dyDescent="0.2">
      <c r="A3441" s="54">
        <v>2019</v>
      </c>
      <c r="B3441" s="17" t="s">
        <v>212</v>
      </c>
      <c r="C3441" t="s">
        <v>199</v>
      </c>
      <c r="D3441" s="22">
        <v>120</v>
      </c>
      <c r="E3441" s="16"/>
      <c r="G3441" t="s">
        <v>144</v>
      </c>
      <c r="H3441" t="s">
        <v>187</v>
      </c>
      <c r="I3441" t="s">
        <v>5</v>
      </c>
      <c r="J3441" t="s">
        <v>214</v>
      </c>
      <c r="K3441">
        <v>1</v>
      </c>
      <c r="N3441" s="21"/>
      <c r="O3441" s="2"/>
      <c r="P3441" s="2"/>
      <c r="Q3441" s="4"/>
      <c r="R3441" s="4"/>
      <c r="S3441" s="4"/>
      <c r="T3441" s="4"/>
      <c r="U3441" s="4"/>
      <c r="V3441" s="4"/>
    </row>
    <row r="3442" spans="1:22" ht="14.5" customHeight="1" x14ac:dyDescent="0.2">
      <c r="A3442" s="54">
        <v>2019</v>
      </c>
      <c r="B3442" s="17" t="s">
        <v>212</v>
      </c>
      <c r="C3442" t="s">
        <v>703</v>
      </c>
      <c r="D3442" s="22">
        <v>220</v>
      </c>
      <c r="E3442" s="16"/>
      <c r="F3442" t="s">
        <v>2962</v>
      </c>
      <c r="G3442" t="s">
        <v>144</v>
      </c>
      <c r="H3442" t="s">
        <v>299</v>
      </c>
      <c r="I3442" t="s">
        <v>93</v>
      </c>
      <c r="J3442" t="s">
        <v>201</v>
      </c>
      <c r="K3442">
        <v>1</v>
      </c>
      <c r="N3442" s="21"/>
      <c r="O3442" s="2"/>
      <c r="P3442" s="2"/>
      <c r="Q3442" s="4"/>
      <c r="R3442" s="4"/>
      <c r="S3442" s="4"/>
      <c r="T3442" s="4"/>
      <c r="U3442" s="4"/>
      <c r="V3442" s="4"/>
    </row>
    <row r="3443" spans="1:22" ht="14.5" customHeight="1" x14ac:dyDescent="0.2">
      <c r="A3443">
        <v>2020</v>
      </c>
      <c r="B3443" t="s">
        <v>172</v>
      </c>
      <c r="C3443" t="s">
        <v>449</v>
      </c>
      <c r="D3443" s="65">
        <v>140</v>
      </c>
      <c r="E3443" s="33">
        <v>0.2</v>
      </c>
      <c r="G3443" t="s">
        <v>154</v>
      </c>
      <c r="H3443" t="s">
        <v>529</v>
      </c>
      <c r="I3443" t="s">
        <v>28</v>
      </c>
      <c r="J3443" t="s">
        <v>205</v>
      </c>
      <c r="K3443">
        <v>0</v>
      </c>
      <c r="L3443" s="28" t="s">
        <v>178</v>
      </c>
      <c r="N3443" s="21"/>
      <c r="O3443" s="2"/>
      <c r="P3443" s="2"/>
      <c r="Q3443" s="4"/>
      <c r="R3443" s="4"/>
      <c r="S3443" s="4"/>
      <c r="T3443" s="4"/>
      <c r="U3443" s="4"/>
      <c r="V3443" s="4"/>
    </row>
    <row r="3444" spans="1:22" ht="14.5" customHeight="1" x14ac:dyDescent="0.2">
      <c r="A3444">
        <v>2020</v>
      </c>
      <c r="B3444" t="s">
        <v>172</v>
      </c>
      <c r="C3444" t="s">
        <v>454</v>
      </c>
      <c r="D3444" s="65">
        <v>110</v>
      </c>
      <c r="E3444" s="33">
        <v>0.71</v>
      </c>
      <c r="F3444" t="s">
        <v>1902</v>
      </c>
      <c r="G3444" t="s">
        <v>145</v>
      </c>
      <c r="I3444" t="s">
        <v>91</v>
      </c>
      <c r="J3444" t="s">
        <v>195</v>
      </c>
      <c r="K3444" s="17">
        <v>0</v>
      </c>
      <c r="L3444" s="28"/>
      <c r="N3444" s="21"/>
      <c r="O3444" s="2"/>
      <c r="P3444" s="2"/>
      <c r="Q3444" s="4"/>
      <c r="R3444" s="4"/>
      <c r="S3444" s="4"/>
      <c r="T3444" s="4"/>
      <c r="U3444" s="4"/>
      <c r="V3444" s="4"/>
    </row>
    <row r="3445" spans="1:22" ht="14.5" customHeight="1" x14ac:dyDescent="0.2">
      <c r="A3445">
        <v>2020</v>
      </c>
      <c r="B3445" t="s">
        <v>172</v>
      </c>
      <c r="C3445" t="s">
        <v>221</v>
      </c>
      <c r="D3445" s="65">
        <v>210</v>
      </c>
      <c r="E3445" s="33">
        <v>1</v>
      </c>
      <c r="F3445" t="s">
        <v>1903</v>
      </c>
      <c r="G3445" t="s">
        <v>149</v>
      </c>
      <c r="H3445" t="s">
        <v>182</v>
      </c>
      <c r="I3445" t="s">
        <v>20</v>
      </c>
      <c r="J3445" t="s">
        <v>195</v>
      </c>
      <c r="K3445">
        <v>0</v>
      </c>
      <c r="L3445" s="28"/>
      <c r="N3445" s="21"/>
      <c r="O3445" s="2"/>
      <c r="P3445" s="2"/>
      <c r="Q3445" s="4"/>
      <c r="R3445" s="4"/>
      <c r="S3445" s="4"/>
      <c r="T3445" s="4"/>
      <c r="U3445" s="4"/>
      <c r="V3445" s="4"/>
    </row>
    <row r="3446" spans="1:22" ht="14.5" customHeight="1" x14ac:dyDescent="0.2">
      <c r="A3446">
        <v>2020</v>
      </c>
      <c r="B3446" t="s">
        <v>172</v>
      </c>
      <c r="C3446" t="s">
        <v>822</v>
      </c>
      <c r="D3446" s="65">
        <v>130</v>
      </c>
      <c r="E3446" s="33"/>
      <c r="F3446" t="s">
        <v>1904</v>
      </c>
      <c r="G3446" t="s">
        <v>146</v>
      </c>
      <c r="I3446" t="s">
        <v>119</v>
      </c>
      <c r="J3446" t="s">
        <v>195</v>
      </c>
      <c r="K3446" s="17">
        <v>0</v>
      </c>
      <c r="L3446" s="28"/>
      <c r="N3446" s="21"/>
      <c r="O3446" s="2"/>
      <c r="P3446" s="2"/>
      <c r="Q3446" s="4"/>
      <c r="R3446" s="4"/>
      <c r="S3446" s="4"/>
      <c r="T3446" s="4"/>
      <c r="U3446" s="4"/>
      <c r="V3446" s="4"/>
    </row>
    <row r="3447" spans="1:22" ht="14.5" customHeight="1" x14ac:dyDescent="0.2">
      <c r="A3447">
        <v>2020</v>
      </c>
      <c r="B3447" t="s">
        <v>172</v>
      </c>
      <c r="C3447" t="s">
        <v>1465</v>
      </c>
      <c r="D3447" s="65">
        <v>260</v>
      </c>
      <c r="E3447" s="33"/>
      <c r="G3447" t="s">
        <v>151</v>
      </c>
      <c r="H3447" t="s">
        <v>224</v>
      </c>
      <c r="I3447" t="s">
        <v>20</v>
      </c>
      <c r="J3447" t="s">
        <v>195</v>
      </c>
      <c r="K3447">
        <v>0</v>
      </c>
      <c r="L3447" s="28"/>
      <c r="N3447" s="21"/>
      <c r="O3447" s="2"/>
      <c r="P3447" s="2"/>
      <c r="Q3447" s="4"/>
      <c r="R3447" s="4"/>
      <c r="S3447" s="4"/>
      <c r="T3447" s="4"/>
      <c r="U3447" s="4"/>
      <c r="V3447" s="4"/>
    </row>
    <row r="3448" spans="1:22" ht="14.5" customHeight="1" x14ac:dyDescent="0.2">
      <c r="A3448">
        <v>2020</v>
      </c>
      <c r="B3448" t="s">
        <v>172</v>
      </c>
      <c r="C3448" t="s">
        <v>1905</v>
      </c>
      <c r="D3448" s="65">
        <v>100</v>
      </c>
      <c r="E3448" s="33"/>
      <c r="F3448" t="s">
        <v>1906</v>
      </c>
      <c r="G3448" t="s">
        <v>151</v>
      </c>
      <c r="H3448" t="s">
        <v>279</v>
      </c>
      <c r="I3448" t="s">
        <v>83</v>
      </c>
      <c r="J3448" t="s">
        <v>219</v>
      </c>
      <c r="K3448" s="17">
        <v>1</v>
      </c>
      <c r="L3448" s="28"/>
      <c r="N3448" s="21"/>
      <c r="O3448" s="2"/>
      <c r="P3448" s="2"/>
      <c r="Q3448" s="4"/>
      <c r="R3448" s="4"/>
      <c r="S3448" s="4"/>
      <c r="T3448" s="4"/>
      <c r="U3448" s="4"/>
      <c r="V3448" s="4"/>
    </row>
    <row r="3449" spans="1:22" ht="14.5" customHeight="1" x14ac:dyDescent="0.2">
      <c r="A3449">
        <v>2020</v>
      </c>
      <c r="B3449" t="s">
        <v>172</v>
      </c>
      <c r="C3449" t="s">
        <v>1907</v>
      </c>
      <c r="D3449" s="65">
        <v>140</v>
      </c>
      <c r="E3449" s="33">
        <v>1</v>
      </c>
      <c r="G3449" t="s">
        <v>151</v>
      </c>
      <c r="H3449" t="s">
        <v>224</v>
      </c>
      <c r="I3449" t="s">
        <v>138</v>
      </c>
      <c r="J3449" t="s">
        <v>219</v>
      </c>
      <c r="K3449">
        <v>1</v>
      </c>
      <c r="L3449" s="28" t="s">
        <v>178</v>
      </c>
      <c r="N3449" s="21"/>
      <c r="O3449" s="2"/>
      <c r="P3449" s="2"/>
      <c r="Q3449" s="4"/>
      <c r="R3449" s="4"/>
      <c r="S3449" s="4"/>
      <c r="T3449" s="4"/>
      <c r="U3449" s="4"/>
      <c r="V3449" s="4"/>
    </row>
    <row r="3450" spans="1:22" ht="14.5" customHeight="1" x14ac:dyDescent="0.2">
      <c r="A3450">
        <v>2020</v>
      </c>
      <c r="B3450" t="s">
        <v>172</v>
      </c>
      <c r="C3450" t="s">
        <v>244</v>
      </c>
      <c r="D3450" s="65">
        <v>240</v>
      </c>
      <c r="E3450" s="33"/>
      <c r="F3450" t="s">
        <v>1908</v>
      </c>
      <c r="G3450" t="s">
        <v>149</v>
      </c>
      <c r="H3450" t="s">
        <v>236</v>
      </c>
      <c r="I3450" t="s">
        <v>34</v>
      </c>
      <c r="J3450" t="s">
        <v>219</v>
      </c>
      <c r="K3450" s="17">
        <v>1</v>
      </c>
      <c r="L3450" s="28" t="s">
        <v>178</v>
      </c>
      <c r="N3450" s="21"/>
      <c r="O3450" s="2"/>
      <c r="P3450" s="2"/>
      <c r="Q3450" s="4"/>
      <c r="R3450" s="4"/>
      <c r="S3450" s="4"/>
      <c r="T3450" s="4"/>
      <c r="U3450" s="4"/>
      <c r="V3450" s="4"/>
    </row>
    <row r="3451" spans="1:22" ht="14.5" customHeight="1" x14ac:dyDescent="0.2">
      <c r="A3451">
        <v>2020</v>
      </c>
      <c r="B3451" t="s">
        <v>258</v>
      </c>
      <c r="C3451" t="s">
        <v>559</v>
      </c>
      <c r="D3451" s="65">
        <v>360</v>
      </c>
      <c r="E3451" s="33"/>
      <c r="F3451" t="s">
        <v>1732</v>
      </c>
      <c r="G3451" t="s">
        <v>149</v>
      </c>
      <c r="H3451" t="s">
        <v>236</v>
      </c>
      <c r="I3451" t="s">
        <v>106</v>
      </c>
      <c r="J3451" t="s">
        <v>195</v>
      </c>
      <c r="K3451" s="17">
        <v>1</v>
      </c>
      <c r="L3451" s="28"/>
      <c r="N3451" s="21"/>
      <c r="O3451" s="2"/>
      <c r="P3451" s="2"/>
      <c r="Q3451" s="4"/>
      <c r="R3451" s="4"/>
      <c r="S3451" s="4"/>
      <c r="T3451" s="4"/>
      <c r="U3451" s="4"/>
      <c r="V3451" s="4"/>
    </row>
    <row r="3452" spans="1:22" ht="14.5" customHeight="1" x14ac:dyDescent="0.2">
      <c r="A3452">
        <v>2020</v>
      </c>
      <c r="B3452" t="s">
        <v>258</v>
      </c>
      <c r="C3452" t="s">
        <v>410</v>
      </c>
      <c r="D3452" s="65">
        <v>200</v>
      </c>
      <c r="E3452" s="33"/>
      <c r="F3452" t="s">
        <v>476</v>
      </c>
      <c r="G3452" t="s">
        <v>154</v>
      </c>
      <c r="H3452" t="s">
        <v>194</v>
      </c>
      <c r="I3452" t="s">
        <v>124</v>
      </c>
      <c r="J3452" t="s">
        <v>183</v>
      </c>
      <c r="K3452" s="17">
        <v>1</v>
      </c>
      <c r="L3452" s="28"/>
      <c r="N3452" s="21"/>
      <c r="O3452" s="2"/>
      <c r="P3452" s="2"/>
      <c r="Q3452" s="4"/>
      <c r="R3452" s="4"/>
      <c r="S3452" s="4"/>
      <c r="T3452" s="4"/>
      <c r="U3452" s="4"/>
      <c r="V3452" s="4"/>
    </row>
    <row r="3453" spans="1:22" ht="14.5" customHeight="1" x14ac:dyDescent="0.2">
      <c r="A3453">
        <v>2020</v>
      </c>
      <c r="B3453" t="s">
        <v>258</v>
      </c>
      <c r="C3453" t="s">
        <v>1909</v>
      </c>
      <c r="D3453" s="65">
        <v>860</v>
      </c>
      <c r="E3453" s="33">
        <v>0.7</v>
      </c>
      <c r="G3453" t="s">
        <v>154</v>
      </c>
      <c r="H3453" t="s">
        <v>194</v>
      </c>
      <c r="I3453" t="s">
        <v>13</v>
      </c>
      <c r="J3453" t="s">
        <v>201</v>
      </c>
      <c r="K3453" s="17">
        <v>1</v>
      </c>
      <c r="L3453" s="28" t="s">
        <v>178</v>
      </c>
      <c r="N3453" s="21"/>
      <c r="O3453" s="2"/>
      <c r="P3453" s="2"/>
      <c r="Q3453" s="4"/>
      <c r="R3453" s="4"/>
      <c r="S3453" s="4"/>
      <c r="T3453" s="4"/>
      <c r="U3453" s="4"/>
      <c r="V3453" s="4"/>
    </row>
    <row r="3454" spans="1:22" ht="14.5" customHeight="1" x14ac:dyDescent="0.2">
      <c r="A3454">
        <v>2020</v>
      </c>
      <c r="B3454" t="s">
        <v>258</v>
      </c>
      <c r="C3454" t="s">
        <v>1149</v>
      </c>
      <c r="D3454" s="65">
        <v>180</v>
      </c>
      <c r="E3454" s="33"/>
      <c r="G3454" t="s">
        <v>151</v>
      </c>
      <c r="H3454" t="s">
        <v>224</v>
      </c>
      <c r="I3454" t="s">
        <v>9</v>
      </c>
      <c r="J3454" t="s">
        <v>9</v>
      </c>
      <c r="K3454" s="17">
        <v>0</v>
      </c>
      <c r="L3454" s="28"/>
      <c r="N3454" s="21"/>
      <c r="O3454" s="2"/>
      <c r="P3454" s="2"/>
      <c r="Q3454" s="4"/>
      <c r="R3454" s="4"/>
      <c r="S3454" s="4"/>
      <c r="T3454" s="4"/>
      <c r="U3454" s="4"/>
      <c r="V3454" s="4"/>
    </row>
    <row r="3455" spans="1:22" ht="14.5" customHeight="1" x14ac:dyDescent="0.2">
      <c r="A3455">
        <v>2020</v>
      </c>
      <c r="B3455" t="s">
        <v>258</v>
      </c>
      <c r="C3455" t="s">
        <v>1102</v>
      </c>
      <c r="D3455" s="65">
        <v>180</v>
      </c>
      <c r="E3455" s="33"/>
      <c r="G3455" t="s">
        <v>154</v>
      </c>
      <c r="H3455" t="s">
        <v>194</v>
      </c>
      <c r="I3455" t="s">
        <v>131</v>
      </c>
      <c r="J3455" t="s">
        <v>131</v>
      </c>
      <c r="K3455" s="17">
        <v>0</v>
      </c>
      <c r="L3455" s="28"/>
      <c r="N3455" s="21"/>
      <c r="O3455" s="2"/>
      <c r="P3455" s="2"/>
      <c r="Q3455" s="4"/>
      <c r="R3455" s="4"/>
      <c r="S3455" s="4"/>
      <c r="T3455" s="4"/>
      <c r="U3455" s="4"/>
      <c r="V3455" s="4"/>
    </row>
    <row r="3456" spans="1:22" ht="14.5" customHeight="1" x14ac:dyDescent="0.2">
      <c r="A3456">
        <v>2020</v>
      </c>
      <c r="B3456" t="s">
        <v>258</v>
      </c>
      <c r="C3456" t="s">
        <v>1910</v>
      </c>
      <c r="D3456" s="65">
        <v>1040</v>
      </c>
      <c r="E3456" s="33"/>
      <c r="G3456" t="s">
        <v>149</v>
      </c>
      <c r="H3456" t="s">
        <v>182</v>
      </c>
      <c r="I3456" t="s">
        <v>53</v>
      </c>
      <c r="J3456" t="s">
        <v>183</v>
      </c>
      <c r="K3456" s="17">
        <v>1</v>
      </c>
      <c r="L3456" s="28" t="s">
        <v>178</v>
      </c>
      <c r="N3456" s="21"/>
      <c r="O3456" s="2"/>
      <c r="P3456" s="2"/>
      <c r="Q3456" s="4"/>
      <c r="R3456" s="4"/>
      <c r="S3456" s="4"/>
      <c r="T3456" s="4"/>
      <c r="U3456" s="4"/>
      <c r="V3456" s="4"/>
    </row>
    <row r="3457" spans="1:22" ht="14.5" customHeight="1" x14ac:dyDescent="0.2">
      <c r="A3457">
        <v>2020</v>
      </c>
      <c r="B3457" t="s">
        <v>179</v>
      </c>
      <c r="C3457" t="s">
        <v>1769</v>
      </c>
      <c r="D3457" s="65">
        <v>890</v>
      </c>
      <c r="E3457" s="33">
        <v>0.24</v>
      </c>
      <c r="F3457" t="s">
        <v>1911</v>
      </c>
      <c r="G3457" t="s">
        <v>152</v>
      </c>
      <c r="I3457" t="s">
        <v>85</v>
      </c>
      <c r="J3457" t="s">
        <v>195</v>
      </c>
      <c r="K3457" s="17">
        <v>0</v>
      </c>
      <c r="L3457" s="28"/>
      <c r="N3457" s="21"/>
      <c r="O3457" s="2"/>
      <c r="P3457" s="2"/>
      <c r="Q3457" s="4"/>
      <c r="R3457" s="4"/>
      <c r="S3457" s="4"/>
      <c r="T3457" s="4"/>
      <c r="U3457" s="4"/>
      <c r="V3457" s="4"/>
    </row>
    <row r="3458" spans="1:22" ht="14.5" customHeight="1" x14ac:dyDescent="0.2">
      <c r="A3458">
        <v>2020</v>
      </c>
      <c r="B3458" t="s">
        <v>179</v>
      </c>
      <c r="C3458" t="s">
        <v>554</v>
      </c>
      <c r="D3458" s="65">
        <v>140</v>
      </c>
      <c r="E3458" s="33"/>
      <c r="F3458" t="s">
        <v>1912</v>
      </c>
      <c r="G3458" t="s">
        <v>147</v>
      </c>
      <c r="I3458" t="s">
        <v>45</v>
      </c>
      <c r="J3458" t="s">
        <v>195</v>
      </c>
      <c r="K3458" s="17">
        <v>0</v>
      </c>
      <c r="L3458" s="28"/>
      <c r="N3458" s="21"/>
      <c r="O3458" s="2"/>
      <c r="P3458" s="2"/>
      <c r="Q3458" s="4"/>
      <c r="R3458" s="4"/>
      <c r="S3458" s="4"/>
      <c r="T3458" s="4"/>
      <c r="U3458" s="4"/>
      <c r="V3458" s="4"/>
    </row>
    <row r="3459" spans="1:22" s="41" customFormat="1" ht="14.5" customHeight="1" x14ac:dyDescent="0.2">
      <c r="A3459">
        <v>2020</v>
      </c>
      <c r="B3459" t="s">
        <v>179</v>
      </c>
      <c r="C3459" t="s">
        <v>300</v>
      </c>
      <c r="D3459" s="65">
        <v>100</v>
      </c>
      <c r="E3459" s="33"/>
      <c r="F3459" t="s">
        <v>1810</v>
      </c>
      <c r="G3459" t="s">
        <v>146</v>
      </c>
      <c r="H3459" t="s">
        <v>275</v>
      </c>
      <c r="I3459" t="s">
        <v>52</v>
      </c>
      <c r="J3459" t="s">
        <v>201</v>
      </c>
      <c r="K3459" s="17">
        <v>0</v>
      </c>
      <c r="L3459" s="28"/>
      <c r="N3459" s="42"/>
      <c r="O3459" s="78"/>
      <c r="P3459" s="78"/>
      <c r="Q3459" s="77"/>
      <c r="R3459" s="77"/>
      <c r="S3459" s="77"/>
      <c r="T3459" s="77"/>
      <c r="U3459" s="77"/>
      <c r="V3459" s="77"/>
    </row>
    <row r="3460" spans="1:22" ht="14.5" customHeight="1" x14ac:dyDescent="0.2">
      <c r="A3460">
        <v>2020</v>
      </c>
      <c r="B3460" t="s">
        <v>179</v>
      </c>
      <c r="C3460" t="s">
        <v>1304</v>
      </c>
      <c r="D3460" s="65">
        <v>140</v>
      </c>
      <c r="E3460" s="33">
        <v>0.62</v>
      </c>
      <c r="F3460" t="s">
        <v>1913</v>
      </c>
      <c r="G3460" t="s">
        <v>150</v>
      </c>
      <c r="H3460" t="s">
        <v>744</v>
      </c>
      <c r="I3460" t="s">
        <v>72</v>
      </c>
      <c r="J3460" t="s">
        <v>183</v>
      </c>
      <c r="K3460" s="17">
        <v>1</v>
      </c>
      <c r="L3460" s="28"/>
      <c r="N3460" s="21"/>
      <c r="O3460" s="2"/>
      <c r="P3460" s="2"/>
      <c r="Q3460" s="4"/>
      <c r="R3460" s="4"/>
      <c r="S3460" s="4"/>
      <c r="T3460" s="4"/>
      <c r="U3460" s="4"/>
      <c r="V3460" s="4"/>
    </row>
    <row r="3461" spans="1:22" ht="14.5" customHeight="1" x14ac:dyDescent="0.2">
      <c r="A3461">
        <v>2020</v>
      </c>
      <c r="B3461" t="s">
        <v>179</v>
      </c>
      <c r="C3461" t="s">
        <v>286</v>
      </c>
      <c r="D3461" s="65">
        <v>310</v>
      </c>
      <c r="E3461" s="33">
        <v>0.02</v>
      </c>
      <c r="F3461" t="s">
        <v>1914</v>
      </c>
      <c r="G3461" t="s">
        <v>147</v>
      </c>
      <c r="I3461" t="s">
        <v>61</v>
      </c>
      <c r="J3461" t="s">
        <v>183</v>
      </c>
      <c r="K3461" s="17">
        <v>0</v>
      </c>
      <c r="L3461" s="28"/>
      <c r="N3461" s="21"/>
      <c r="O3461" s="2"/>
      <c r="P3461" s="2"/>
      <c r="Q3461" s="4"/>
      <c r="R3461" s="4"/>
      <c r="S3461" s="4"/>
      <c r="T3461" s="4"/>
      <c r="U3461" s="4"/>
      <c r="V3461" s="4"/>
    </row>
    <row r="3462" spans="1:22" ht="14.5" customHeight="1" x14ac:dyDescent="0.2">
      <c r="A3462">
        <v>2020</v>
      </c>
      <c r="B3462" t="s">
        <v>179</v>
      </c>
      <c r="C3462" t="s">
        <v>479</v>
      </c>
      <c r="D3462" s="65">
        <v>540</v>
      </c>
      <c r="E3462" s="33">
        <v>0.53</v>
      </c>
      <c r="F3462" t="s">
        <v>1915</v>
      </c>
      <c r="G3462" t="s">
        <v>154</v>
      </c>
      <c r="H3462" t="s">
        <v>271</v>
      </c>
      <c r="I3462" t="s">
        <v>89</v>
      </c>
      <c r="J3462" t="s">
        <v>219</v>
      </c>
      <c r="K3462" s="17">
        <v>1</v>
      </c>
      <c r="L3462" s="28" t="s">
        <v>178</v>
      </c>
      <c r="N3462" s="21"/>
      <c r="O3462" s="2"/>
      <c r="P3462" s="2"/>
      <c r="Q3462" s="4"/>
      <c r="R3462" s="4"/>
      <c r="S3462" s="4"/>
      <c r="T3462" s="4"/>
      <c r="U3462" s="4"/>
      <c r="V3462" s="4"/>
    </row>
    <row r="3463" spans="1:22" ht="14.5" customHeight="1" x14ac:dyDescent="0.2">
      <c r="A3463">
        <v>2020</v>
      </c>
      <c r="B3463" t="s">
        <v>179</v>
      </c>
      <c r="C3463" t="s">
        <v>1916</v>
      </c>
      <c r="D3463" s="65">
        <v>600</v>
      </c>
      <c r="E3463" s="33"/>
      <c r="G3463" t="s">
        <v>149</v>
      </c>
      <c r="I3463" t="s">
        <v>53</v>
      </c>
      <c r="J3463" t="s">
        <v>183</v>
      </c>
      <c r="K3463" s="17">
        <v>1</v>
      </c>
      <c r="L3463" s="28" t="s">
        <v>178</v>
      </c>
      <c r="N3463" s="21"/>
      <c r="O3463" s="2"/>
      <c r="P3463" s="2"/>
      <c r="Q3463" s="4"/>
      <c r="R3463" s="4"/>
      <c r="S3463" s="4"/>
      <c r="T3463" s="4"/>
      <c r="U3463" s="4"/>
      <c r="V3463" s="4"/>
    </row>
    <row r="3464" spans="1:22" ht="14.5" customHeight="1" x14ac:dyDescent="0.2">
      <c r="A3464">
        <v>2020</v>
      </c>
      <c r="B3464" t="s">
        <v>179</v>
      </c>
      <c r="C3464" t="s">
        <v>872</v>
      </c>
      <c r="D3464" s="65">
        <v>1120</v>
      </c>
      <c r="E3464" s="33"/>
      <c r="F3464" t="s">
        <v>391</v>
      </c>
      <c r="G3464" t="s">
        <v>148</v>
      </c>
      <c r="I3464" t="s">
        <v>9</v>
      </c>
      <c r="J3464" t="s">
        <v>9</v>
      </c>
      <c r="K3464" s="17">
        <v>0</v>
      </c>
      <c r="L3464" s="28"/>
      <c r="N3464" s="21"/>
      <c r="O3464" s="2"/>
      <c r="P3464" s="2"/>
      <c r="Q3464" s="4"/>
      <c r="R3464" s="4"/>
      <c r="S3464" s="4"/>
      <c r="T3464" s="4"/>
      <c r="U3464" s="4"/>
      <c r="V3464" s="4"/>
    </row>
    <row r="3465" spans="1:22" ht="14.5" customHeight="1" x14ac:dyDescent="0.2">
      <c r="A3465">
        <v>2020</v>
      </c>
      <c r="B3465" t="s">
        <v>179</v>
      </c>
      <c r="C3465" t="s">
        <v>454</v>
      </c>
      <c r="D3465" s="65">
        <v>100</v>
      </c>
      <c r="E3465" s="33"/>
      <c r="F3465" t="s">
        <v>1917</v>
      </c>
      <c r="G3465" t="s">
        <v>154</v>
      </c>
      <c r="H3465" t="s">
        <v>250</v>
      </c>
      <c r="I3465" t="s">
        <v>45</v>
      </c>
      <c r="J3465" t="s">
        <v>195</v>
      </c>
      <c r="K3465" s="17">
        <v>0</v>
      </c>
      <c r="L3465" s="28"/>
      <c r="N3465" s="21"/>
      <c r="O3465" s="2"/>
      <c r="P3465" s="2"/>
      <c r="Q3465" s="4"/>
      <c r="R3465" s="4"/>
      <c r="S3465" s="4"/>
      <c r="T3465" s="4"/>
      <c r="U3465" s="4"/>
      <c r="V3465" s="4"/>
    </row>
    <row r="3466" spans="1:22" ht="14.5" customHeight="1" x14ac:dyDescent="0.2">
      <c r="A3466">
        <v>2020</v>
      </c>
      <c r="B3466" t="s">
        <v>179</v>
      </c>
      <c r="C3466" t="s">
        <v>389</v>
      </c>
      <c r="D3466" s="65">
        <v>180</v>
      </c>
      <c r="E3466" s="33">
        <v>0.1</v>
      </c>
      <c r="F3466" t="s">
        <v>1918</v>
      </c>
      <c r="G3466" t="s">
        <v>144</v>
      </c>
      <c r="H3466" t="s">
        <v>273</v>
      </c>
      <c r="I3466" t="s">
        <v>9</v>
      </c>
      <c r="J3466" t="s">
        <v>9</v>
      </c>
      <c r="K3466" s="17">
        <v>0</v>
      </c>
      <c r="L3466" s="28"/>
      <c r="N3466" s="21"/>
      <c r="O3466" s="2"/>
      <c r="P3466" s="2"/>
      <c r="Q3466" s="4"/>
      <c r="R3466" s="4"/>
      <c r="S3466" s="4"/>
      <c r="T3466" s="4"/>
      <c r="U3466" s="4"/>
      <c r="V3466" s="4"/>
    </row>
    <row r="3467" spans="1:22" ht="14.5" customHeight="1" x14ac:dyDescent="0.2">
      <c r="A3467">
        <v>2020</v>
      </c>
      <c r="B3467" t="s">
        <v>179</v>
      </c>
      <c r="C3467" t="s">
        <v>734</v>
      </c>
      <c r="D3467" s="65">
        <v>140</v>
      </c>
      <c r="E3467" s="33"/>
      <c r="G3467" t="s">
        <v>142</v>
      </c>
      <c r="I3467" t="s">
        <v>53</v>
      </c>
      <c r="J3467" t="s">
        <v>183</v>
      </c>
      <c r="K3467" s="17">
        <v>1</v>
      </c>
      <c r="L3467" s="28" t="s">
        <v>178</v>
      </c>
      <c r="N3467" s="21"/>
      <c r="O3467" s="2"/>
      <c r="P3467" s="2"/>
      <c r="Q3467" s="4"/>
      <c r="R3467" s="4"/>
      <c r="S3467" s="4"/>
      <c r="T3467" s="4"/>
      <c r="U3467" s="4"/>
      <c r="V3467" s="4"/>
    </row>
    <row r="3468" spans="1:22" ht="14.5" customHeight="1" x14ac:dyDescent="0.2">
      <c r="A3468" s="17">
        <v>2020</v>
      </c>
      <c r="B3468" s="17" t="s">
        <v>179</v>
      </c>
      <c r="C3468" t="s">
        <v>474</v>
      </c>
      <c r="D3468" s="66">
        <v>300</v>
      </c>
      <c r="E3468" s="37">
        <v>0.75</v>
      </c>
      <c r="F3468" s="17"/>
      <c r="G3468" s="17" t="s">
        <v>144</v>
      </c>
      <c r="H3468" s="17" t="s">
        <v>197</v>
      </c>
      <c r="I3468" s="17" t="s">
        <v>53</v>
      </c>
      <c r="J3468" s="17" t="s">
        <v>183</v>
      </c>
      <c r="K3468" s="17">
        <v>1</v>
      </c>
      <c r="L3468" s="67"/>
      <c r="N3468" s="21"/>
      <c r="O3468" s="2"/>
      <c r="P3468" s="2"/>
      <c r="Q3468" s="4"/>
      <c r="R3468" s="4"/>
      <c r="S3468" s="4"/>
      <c r="T3468" s="4"/>
      <c r="U3468" s="4"/>
      <c r="V3468" s="4"/>
    </row>
    <row r="3469" spans="1:22" ht="14.5" customHeight="1" x14ac:dyDescent="0.2">
      <c r="A3469">
        <v>2020</v>
      </c>
      <c r="B3469" t="s">
        <v>184</v>
      </c>
      <c r="C3469" t="s">
        <v>454</v>
      </c>
      <c r="D3469" s="65">
        <v>250</v>
      </c>
      <c r="E3469" s="33">
        <v>0.05</v>
      </c>
      <c r="F3469" t="s">
        <v>1919</v>
      </c>
      <c r="G3469" t="s">
        <v>146</v>
      </c>
      <c r="I3469" t="s">
        <v>9</v>
      </c>
      <c r="J3469" t="s">
        <v>9</v>
      </c>
      <c r="K3469" s="17">
        <v>0</v>
      </c>
      <c r="L3469" s="28"/>
      <c r="N3469" s="21"/>
      <c r="O3469" s="2"/>
      <c r="P3469" s="2"/>
      <c r="Q3469" s="4"/>
      <c r="R3469" s="4"/>
      <c r="S3469" s="4"/>
      <c r="T3469" s="4"/>
      <c r="U3469" s="4"/>
      <c r="V3469" s="4"/>
    </row>
    <row r="3470" spans="1:22" ht="14.5" customHeight="1" x14ac:dyDescent="0.2">
      <c r="A3470">
        <v>2020</v>
      </c>
      <c r="B3470" t="s">
        <v>184</v>
      </c>
      <c r="C3470" t="s">
        <v>1920</v>
      </c>
      <c r="D3470" s="65">
        <v>110</v>
      </c>
      <c r="E3470" s="33"/>
      <c r="F3470" t="s">
        <v>1921</v>
      </c>
      <c r="G3470" t="s">
        <v>149</v>
      </c>
      <c r="H3470" t="s">
        <v>238</v>
      </c>
      <c r="I3470" t="s">
        <v>17</v>
      </c>
      <c r="J3470" t="s">
        <v>195</v>
      </c>
      <c r="K3470">
        <v>1</v>
      </c>
      <c r="L3470" s="28"/>
      <c r="N3470" s="21"/>
      <c r="O3470" s="2"/>
      <c r="P3470" s="2"/>
      <c r="Q3470" s="4"/>
      <c r="R3470" s="4"/>
      <c r="S3470" s="4"/>
      <c r="T3470" s="4"/>
      <c r="U3470" s="4"/>
      <c r="V3470" s="4"/>
    </row>
    <row r="3471" spans="1:22" ht="14.5" customHeight="1" x14ac:dyDescent="0.2">
      <c r="A3471">
        <v>2020</v>
      </c>
      <c r="B3471" t="s">
        <v>184</v>
      </c>
      <c r="C3471" t="s">
        <v>1705</v>
      </c>
      <c r="D3471" s="65">
        <v>260</v>
      </c>
      <c r="E3471" s="33"/>
      <c r="G3471" t="s">
        <v>151</v>
      </c>
      <c r="H3471" t="s">
        <v>224</v>
      </c>
      <c r="I3471" t="s">
        <v>20</v>
      </c>
      <c r="J3471" t="s">
        <v>195</v>
      </c>
      <c r="K3471">
        <v>0</v>
      </c>
      <c r="L3471" s="28"/>
      <c r="N3471" s="21"/>
      <c r="O3471" s="2"/>
      <c r="P3471" s="2"/>
      <c r="Q3471" s="4"/>
      <c r="R3471" s="4"/>
      <c r="S3471" s="4"/>
      <c r="T3471" s="4"/>
      <c r="U3471" s="4"/>
      <c r="V3471" s="4"/>
    </row>
    <row r="3472" spans="1:22" ht="14.5" customHeight="1" x14ac:dyDescent="0.2">
      <c r="A3472">
        <v>2020</v>
      </c>
      <c r="B3472" t="s">
        <v>225</v>
      </c>
      <c r="C3472" t="s">
        <v>248</v>
      </c>
      <c r="D3472" s="65">
        <v>180</v>
      </c>
      <c r="E3472" s="33">
        <v>0.13</v>
      </c>
      <c r="F3472" t="s">
        <v>1922</v>
      </c>
      <c r="G3472" t="s">
        <v>154</v>
      </c>
      <c r="H3472" t="s">
        <v>250</v>
      </c>
      <c r="I3472" t="s">
        <v>91</v>
      </c>
      <c r="J3472" t="s">
        <v>195</v>
      </c>
      <c r="K3472" s="17">
        <v>0</v>
      </c>
      <c r="L3472" s="28"/>
      <c r="N3472" s="21"/>
      <c r="O3472" s="2"/>
      <c r="P3472" s="2"/>
      <c r="Q3472" s="4"/>
      <c r="R3472" s="4"/>
      <c r="S3472" s="4"/>
      <c r="T3472" s="4"/>
      <c r="U3472" s="4"/>
      <c r="V3472" s="4"/>
    </row>
    <row r="3473" spans="1:22" ht="14.5" customHeight="1" x14ac:dyDescent="0.2">
      <c r="A3473">
        <v>2020</v>
      </c>
      <c r="B3473" t="s">
        <v>225</v>
      </c>
      <c r="C3473" t="s">
        <v>822</v>
      </c>
      <c r="D3473" s="65">
        <v>600</v>
      </c>
      <c r="E3473" s="33">
        <v>0.5</v>
      </c>
      <c r="G3473" t="s">
        <v>151</v>
      </c>
      <c r="H3473" t="s">
        <v>224</v>
      </c>
      <c r="I3473" t="s">
        <v>108</v>
      </c>
      <c r="J3473" t="s">
        <v>183</v>
      </c>
      <c r="K3473" s="17">
        <v>1</v>
      </c>
      <c r="L3473" s="28"/>
      <c r="N3473" s="21"/>
      <c r="O3473" s="2"/>
      <c r="P3473" s="2"/>
      <c r="Q3473" s="4"/>
      <c r="R3473" s="4"/>
      <c r="S3473" s="4"/>
      <c r="T3473" s="4"/>
      <c r="U3473" s="4"/>
      <c r="V3473" s="4"/>
    </row>
    <row r="3474" spans="1:22" ht="14.5" customHeight="1" x14ac:dyDescent="0.2">
      <c r="A3474">
        <v>2020</v>
      </c>
      <c r="B3474" t="s">
        <v>188</v>
      </c>
      <c r="C3474" t="s">
        <v>559</v>
      </c>
      <c r="D3474" s="65">
        <v>240</v>
      </c>
      <c r="E3474" s="33"/>
      <c r="F3474" t="s">
        <v>1923</v>
      </c>
      <c r="G3474" t="s">
        <v>149</v>
      </c>
      <c r="I3474" t="s">
        <v>50</v>
      </c>
      <c r="J3474" t="s">
        <v>205</v>
      </c>
      <c r="K3474">
        <v>1</v>
      </c>
      <c r="L3474" s="28"/>
      <c r="N3474" s="21"/>
      <c r="O3474" s="2"/>
      <c r="P3474" s="2"/>
      <c r="Q3474" s="4"/>
      <c r="R3474" s="4"/>
      <c r="S3474" s="4"/>
      <c r="T3474" s="4"/>
      <c r="U3474" s="4"/>
      <c r="V3474" s="4"/>
    </row>
    <row r="3475" spans="1:22" ht="14.5" customHeight="1" x14ac:dyDescent="0.2">
      <c r="A3475">
        <v>2020</v>
      </c>
      <c r="B3475" t="s">
        <v>188</v>
      </c>
      <c r="C3475" t="s">
        <v>1852</v>
      </c>
      <c r="D3475" s="65">
        <v>190</v>
      </c>
      <c r="E3475" s="33">
        <v>0.11</v>
      </c>
      <c r="F3475" t="s">
        <v>1924</v>
      </c>
      <c r="G3475" t="s">
        <v>152</v>
      </c>
      <c r="I3475" t="s">
        <v>61</v>
      </c>
      <c r="J3475" t="s">
        <v>183</v>
      </c>
      <c r="K3475" s="17">
        <v>0</v>
      </c>
      <c r="L3475" s="28"/>
      <c r="N3475" s="21"/>
      <c r="O3475" s="2"/>
      <c r="P3475" s="2"/>
      <c r="Q3475" s="4"/>
      <c r="R3475" s="4"/>
      <c r="S3475" s="4"/>
      <c r="T3475" s="4"/>
      <c r="U3475" s="4"/>
      <c r="V3475" s="4"/>
    </row>
    <row r="3476" spans="1:22" ht="14.5" customHeight="1" x14ac:dyDescent="0.2">
      <c r="A3476">
        <v>2020</v>
      </c>
      <c r="B3476" t="s">
        <v>188</v>
      </c>
      <c r="C3476" t="s">
        <v>454</v>
      </c>
      <c r="D3476" s="65">
        <v>200</v>
      </c>
      <c r="E3476" s="33">
        <v>0.02</v>
      </c>
      <c r="F3476" t="s">
        <v>1925</v>
      </c>
      <c r="G3476" t="s">
        <v>145</v>
      </c>
      <c r="I3476" t="s">
        <v>131</v>
      </c>
      <c r="J3476" t="s">
        <v>131</v>
      </c>
      <c r="K3476" s="17">
        <v>0</v>
      </c>
      <c r="L3476" s="28"/>
      <c r="N3476" s="21"/>
      <c r="O3476" s="2"/>
      <c r="P3476" s="2"/>
      <c r="Q3476" s="4"/>
      <c r="R3476" s="4"/>
      <c r="S3476" s="4"/>
      <c r="T3476" s="4"/>
      <c r="U3476" s="4"/>
      <c r="V3476" s="4"/>
    </row>
    <row r="3477" spans="1:22" ht="14.5" customHeight="1" x14ac:dyDescent="0.2">
      <c r="A3477">
        <v>2020</v>
      </c>
      <c r="B3477" t="s">
        <v>188</v>
      </c>
      <c r="C3477" t="s">
        <v>1926</v>
      </c>
      <c r="D3477" s="65">
        <v>490</v>
      </c>
      <c r="E3477" s="33"/>
      <c r="F3477" t="s">
        <v>1927</v>
      </c>
      <c r="G3477" t="s">
        <v>150</v>
      </c>
      <c r="H3477" t="s">
        <v>744</v>
      </c>
      <c r="I3477" t="s">
        <v>108</v>
      </c>
      <c r="J3477" t="s">
        <v>183</v>
      </c>
      <c r="K3477" s="17">
        <v>1</v>
      </c>
      <c r="L3477" s="28"/>
      <c r="N3477" s="21"/>
      <c r="O3477" s="2"/>
      <c r="P3477" s="2"/>
      <c r="Q3477" s="4"/>
      <c r="R3477" s="4"/>
      <c r="S3477" s="4"/>
      <c r="T3477" s="4"/>
      <c r="U3477" s="4"/>
      <c r="V3477" s="4"/>
    </row>
    <row r="3478" spans="1:22" ht="14.5" customHeight="1" x14ac:dyDescent="0.2">
      <c r="A3478">
        <v>2020</v>
      </c>
      <c r="B3478" t="s">
        <v>188</v>
      </c>
      <c r="C3478" t="s">
        <v>1928</v>
      </c>
      <c r="D3478" s="65">
        <v>760</v>
      </c>
      <c r="E3478" s="33">
        <v>0.7</v>
      </c>
      <c r="F3478" t="s">
        <v>1929</v>
      </c>
      <c r="G3478" t="s">
        <v>152</v>
      </c>
      <c r="I3478" t="s">
        <v>113</v>
      </c>
      <c r="J3478" t="s">
        <v>183</v>
      </c>
      <c r="K3478" s="17">
        <v>0</v>
      </c>
      <c r="L3478" s="28"/>
      <c r="N3478" s="21"/>
      <c r="O3478" s="2"/>
      <c r="P3478" s="2"/>
      <c r="Q3478" s="4"/>
      <c r="R3478" s="4"/>
      <c r="S3478" s="4"/>
      <c r="T3478" s="4"/>
      <c r="U3478" s="4"/>
      <c r="V3478" s="4"/>
    </row>
    <row r="3479" spans="1:22" ht="14.5" customHeight="1" x14ac:dyDescent="0.2">
      <c r="A3479">
        <v>2020</v>
      </c>
      <c r="B3479" t="s">
        <v>188</v>
      </c>
      <c r="C3479" t="s">
        <v>875</v>
      </c>
      <c r="D3479" s="65">
        <v>280</v>
      </c>
      <c r="E3479" s="33">
        <v>0.7</v>
      </c>
      <c r="G3479" t="s">
        <v>151</v>
      </c>
      <c r="H3479" t="s">
        <v>279</v>
      </c>
      <c r="I3479" t="s">
        <v>82</v>
      </c>
      <c r="J3479" t="s">
        <v>183</v>
      </c>
      <c r="K3479" s="17">
        <v>1</v>
      </c>
      <c r="L3479" s="28" t="s">
        <v>178</v>
      </c>
      <c r="N3479" s="21"/>
      <c r="O3479" s="2"/>
      <c r="P3479" s="2"/>
      <c r="Q3479" s="4"/>
      <c r="R3479" s="4"/>
      <c r="S3479" s="4"/>
      <c r="T3479" s="4"/>
      <c r="U3479" s="4"/>
      <c r="V3479" s="4"/>
    </row>
    <row r="3480" spans="1:22" ht="14.5" customHeight="1" x14ac:dyDescent="0.2">
      <c r="A3480">
        <v>2020</v>
      </c>
      <c r="B3480" t="s">
        <v>188</v>
      </c>
      <c r="C3480" t="s">
        <v>1705</v>
      </c>
      <c r="D3480" s="65">
        <v>380</v>
      </c>
      <c r="E3480" s="33">
        <v>0.18</v>
      </c>
      <c r="F3480" t="s">
        <v>1650</v>
      </c>
      <c r="G3480" t="s">
        <v>154</v>
      </c>
      <c r="H3480" t="s">
        <v>194</v>
      </c>
      <c r="I3480" t="s">
        <v>118</v>
      </c>
      <c r="J3480" t="s">
        <v>195</v>
      </c>
      <c r="K3480" s="17">
        <v>0</v>
      </c>
      <c r="L3480" s="28"/>
      <c r="N3480" s="21"/>
      <c r="O3480" s="2"/>
      <c r="P3480" s="2"/>
      <c r="Q3480" s="4"/>
      <c r="R3480" s="4"/>
      <c r="S3480" s="4"/>
      <c r="T3480" s="4"/>
      <c r="U3480" s="4"/>
      <c r="V3480" s="4"/>
    </row>
    <row r="3481" spans="1:22" ht="14.5" customHeight="1" x14ac:dyDescent="0.2">
      <c r="A3481">
        <v>2020</v>
      </c>
      <c r="B3481" t="s">
        <v>188</v>
      </c>
      <c r="C3481" t="s">
        <v>724</v>
      </c>
      <c r="D3481" s="65">
        <v>310</v>
      </c>
      <c r="E3481" s="33"/>
      <c r="G3481" t="s">
        <v>151</v>
      </c>
      <c r="H3481" t="s">
        <v>224</v>
      </c>
      <c r="I3481" t="s">
        <v>72</v>
      </c>
      <c r="J3481" t="s">
        <v>183</v>
      </c>
      <c r="K3481" s="17">
        <v>1</v>
      </c>
      <c r="L3481" s="28"/>
      <c r="N3481" s="21"/>
      <c r="O3481" s="2"/>
      <c r="P3481" s="2"/>
      <c r="Q3481" s="4"/>
      <c r="R3481" s="4"/>
      <c r="S3481" s="4"/>
      <c r="T3481" s="4"/>
      <c r="U3481" s="4"/>
      <c r="V3481" s="4"/>
    </row>
    <row r="3482" spans="1:22" ht="14.5" customHeight="1" x14ac:dyDescent="0.2">
      <c r="A3482">
        <v>2020</v>
      </c>
      <c r="B3482" t="s">
        <v>188</v>
      </c>
      <c r="C3482" t="s">
        <v>337</v>
      </c>
      <c r="D3482" s="65">
        <v>1190</v>
      </c>
      <c r="E3482" s="33"/>
      <c r="G3482" t="s">
        <v>144</v>
      </c>
      <c r="H3482" t="s">
        <v>273</v>
      </c>
      <c r="I3482" t="s">
        <v>23</v>
      </c>
      <c r="J3482" t="s">
        <v>183</v>
      </c>
      <c r="K3482" s="17">
        <v>1</v>
      </c>
      <c r="L3482" s="28" t="s">
        <v>178</v>
      </c>
      <c r="N3482" s="21"/>
      <c r="O3482" s="2"/>
      <c r="P3482" s="2"/>
      <c r="Q3482" s="4"/>
      <c r="R3482" s="4"/>
      <c r="S3482" s="4"/>
      <c r="T3482" s="4"/>
      <c r="U3482" s="4"/>
      <c r="V3482" s="4"/>
    </row>
    <row r="3483" spans="1:22" ht="14.5" customHeight="1" x14ac:dyDescent="0.2">
      <c r="A3483">
        <v>2020</v>
      </c>
      <c r="B3483" t="s">
        <v>188</v>
      </c>
      <c r="C3483" t="s">
        <v>1930</v>
      </c>
      <c r="D3483" s="65">
        <v>220</v>
      </c>
      <c r="E3483" s="33">
        <v>0.35</v>
      </c>
      <c r="F3483" t="s">
        <v>1931</v>
      </c>
      <c r="G3483" t="s">
        <v>152</v>
      </c>
      <c r="H3483" t="s">
        <v>257</v>
      </c>
      <c r="I3483" t="s">
        <v>131</v>
      </c>
      <c r="J3483" t="s">
        <v>131</v>
      </c>
      <c r="K3483" s="17">
        <v>0</v>
      </c>
      <c r="L3483" s="28"/>
      <c r="N3483" s="21"/>
      <c r="O3483" s="2"/>
      <c r="P3483" s="2"/>
      <c r="Q3483" s="4"/>
      <c r="R3483" s="4"/>
      <c r="S3483" s="4"/>
      <c r="T3483" s="4"/>
      <c r="U3483" s="4"/>
      <c r="V3483" s="4"/>
    </row>
    <row r="3484" spans="1:22" ht="14.5" customHeight="1" x14ac:dyDescent="0.2">
      <c r="A3484">
        <v>2020</v>
      </c>
      <c r="B3484" t="s">
        <v>191</v>
      </c>
      <c r="C3484" t="s">
        <v>875</v>
      </c>
      <c r="D3484" s="65">
        <v>1230</v>
      </c>
      <c r="E3484" s="33">
        <v>0.8</v>
      </c>
      <c r="F3484" t="s">
        <v>1932</v>
      </c>
      <c r="G3484" t="s">
        <v>144</v>
      </c>
      <c r="H3484" t="s">
        <v>197</v>
      </c>
      <c r="I3484" t="s">
        <v>93</v>
      </c>
      <c r="J3484" t="s">
        <v>201</v>
      </c>
      <c r="K3484" s="17">
        <v>1</v>
      </c>
      <c r="L3484" s="28" t="s">
        <v>178</v>
      </c>
      <c r="N3484" s="21"/>
      <c r="O3484" s="2"/>
      <c r="P3484" s="2"/>
      <c r="Q3484" s="4"/>
      <c r="R3484" s="4"/>
      <c r="S3484" s="4"/>
      <c r="T3484" s="4"/>
      <c r="U3484" s="4"/>
      <c r="V3484" s="4"/>
    </row>
    <row r="3485" spans="1:22" ht="14.5" customHeight="1" x14ac:dyDescent="0.2">
      <c r="A3485">
        <v>2020</v>
      </c>
      <c r="B3485" t="s">
        <v>191</v>
      </c>
      <c r="C3485" t="s">
        <v>1029</v>
      </c>
      <c r="D3485" s="65">
        <v>180</v>
      </c>
      <c r="E3485" s="33">
        <v>0.2</v>
      </c>
      <c r="F3485" t="s">
        <v>1933</v>
      </c>
      <c r="G3485" t="s">
        <v>144</v>
      </c>
      <c r="H3485" t="s">
        <v>232</v>
      </c>
      <c r="I3485" t="s">
        <v>130</v>
      </c>
      <c r="J3485" t="s">
        <v>214</v>
      </c>
      <c r="K3485" s="17">
        <v>1</v>
      </c>
      <c r="L3485" s="28" t="s">
        <v>178</v>
      </c>
      <c r="N3485" s="21"/>
      <c r="O3485" s="2"/>
      <c r="P3485" s="2"/>
      <c r="Q3485" s="4"/>
      <c r="R3485" s="4"/>
      <c r="S3485" s="4"/>
      <c r="T3485" s="4"/>
      <c r="U3485" s="4"/>
      <c r="V3485" s="4"/>
    </row>
    <row r="3486" spans="1:22" ht="14.5" customHeight="1" x14ac:dyDescent="0.2">
      <c r="A3486">
        <v>2020</v>
      </c>
      <c r="B3486" t="s">
        <v>191</v>
      </c>
      <c r="C3486" t="s">
        <v>283</v>
      </c>
      <c r="D3486" s="65">
        <v>180</v>
      </c>
      <c r="E3486" s="33">
        <v>0.2</v>
      </c>
      <c r="F3486" t="s">
        <v>284</v>
      </c>
      <c r="G3486" t="s">
        <v>146</v>
      </c>
      <c r="H3486" t="s">
        <v>275</v>
      </c>
      <c r="I3486" t="s">
        <v>8</v>
      </c>
      <c r="J3486" t="s">
        <v>205</v>
      </c>
      <c r="K3486" s="17">
        <v>1</v>
      </c>
      <c r="L3486" s="28"/>
      <c r="N3486" s="21"/>
      <c r="O3486" s="2"/>
      <c r="P3486" s="2"/>
      <c r="Q3486" s="4"/>
      <c r="R3486" s="4"/>
      <c r="S3486" s="4"/>
      <c r="T3486" s="4"/>
      <c r="U3486" s="4"/>
      <c r="V3486" s="4"/>
    </row>
    <row r="3487" spans="1:22" ht="14.5" customHeight="1" x14ac:dyDescent="0.2">
      <c r="A3487">
        <v>2020</v>
      </c>
      <c r="B3487" t="s">
        <v>191</v>
      </c>
      <c r="C3487" t="s">
        <v>1625</v>
      </c>
      <c r="D3487" s="65">
        <v>320</v>
      </c>
      <c r="E3487" s="33"/>
      <c r="G3487" t="s">
        <v>144</v>
      </c>
      <c r="H3487" t="s">
        <v>232</v>
      </c>
      <c r="I3487" t="s">
        <v>72</v>
      </c>
      <c r="J3487" t="s">
        <v>183</v>
      </c>
      <c r="K3487" s="17">
        <v>1</v>
      </c>
      <c r="L3487" s="28"/>
      <c r="N3487" s="21"/>
      <c r="O3487" s="2"/>
      <c r="P3487" s="2"/>
      <c r="Q3487" s="4"/>
      <c r="R3487" s="4"/>
      <c r="S3487" s="4"/>
      <c r="T3487" s="4"/>
      <c r="U3487" s="4"/>
      <c r="V3487" s="4"/>
    </row>
    <row r="3488" spans="1:22" ht="14.5" customHeight="1" x14ac:dyDescent="0.2">
      <c r="A3488">
        <v>2020</v>
      </c>
      <c r="B3488" t="s">
        <v>191</v>
      </c>
      <c r="C3488" t="s">
        <v>246</v>
      </c>
      <c r="D3488" s="65">
        <v>260</v>
      </c>
      <c r="E3488" s="33"/>
      <c r="F3488" t="s">
        <v>737</v>
      </c>
      <c r="G3488" t="s">
        <v>144</v>
      </c>
      <c r="I3488" t="s">
        <v>99</v>
      </c>
      <c r="J3488" t="s">
        <v>195</v>
      </c>
      <c r="K3488" s="17">
        <v>1</v>
      </c>
      <c r="L3488" s="28"/>
      <c r="N3488" s="21"/>
      <c r="O3488" s="2"/>
      <c r="P3488" s="2"/>
      <c r="Q3488" s="4"/>
      <c r="R3488" s="4"/>
      <c r="S3488" s="4"/>
      <c r="T3488" s="4"/>
      <c r="U3488" s="4"/>
      <c r="V3488" s="4"/>
    </row>
    <row r="3489" spans="1:22" ht="14.5" customHeight="1" x14ac:dyDescent="0.2">
      <c r="A3489">
        <v>2020</v>
      </c>
      <c r="B3489" t="s">
        <v>191</v>
      </c>
      <c r="C3489" t="s">
        <v>1934</v>
      </c>
      <c r="D3489" s="65">
        <v>260</v>
      </c>
      <c r="E3489" s="33">
        <v>1</v>
      </c>
      <c r="G3489" t="s">
        <v>154</v>
      </c>
      <c r="H3489" t="s">
        <v>194</v>
      </c>
      <c r="I3489" t="s">
        <v>77</v>
      </c>
      <c r="J3489" t="s">
        <v>177</v>
      </c>
      <c r="K3489" s="17">
        <v>0</v>
      </c>
      <c r="L3489" s="28" t="s">
        <v>178</v>
      </c>
      <c r="N3489" s="21"/>
      <c r="O3489" s="2"/>
      <c r="P3489" s="2"/>
      <c r="Q3489" s="4"/>
      <c r="R3489" s="4"/>
      <c r="S3489" s="4"/>
      <c r="T3489" s="4"/>
      <c r="U3489" s="4"/>
      <c r="V3489" s="4"/>
    </row>
    <row r="3490" spans="1:22" ht="14.5" customHeight="1" x14ac:dyDescent="0.2">
      <c r="A3490">
        <v>2020</v>
      </c>
      <c r="B3490" t="s">
        <v>198</v>
      </c>
      <c r="C3490" t="s">
        <v>246</v>
      </c>
      <c r="D3490" s="65">
        <v>610</v>
      </c>
      <c r="E3490" s="33"/>
      <c r="F3490" t="s">
        <v>1935</v>
      </c>
      <c r="G3490" t="s">
        <v>144</v>
      </c>
      <c r="H3490" t="s">
        <v>232</v>
      </c>
      <c r="I3490" t="s">
        <v>114</v>
      </c>
      <c r="J3490" t="s">
        <v>195</v>
      </c>
      <c r="K3490" s="17">
        <v>0</v>
      </c>
      <c r="L3490" s="28"/>
      <c r="N3490" s="21"/>
      <c r="O3490" s="2"/>
      <c r="P3490" s="2"/>
      <c r="Q3490" s="4"/>
      <c r="R3490" s="4"/>
      <c r="S3490" s="4"/>
      <c r="T3490" s="4"/>
      <c r="U3490" s="4"/>
      <c r="V3490" s="4"/>
    </row>
    <row r="3491" spans="1:22" ht="14.5" customHeight="1" x14ac:dyDescent="0.2">
      <c r="A3491">
        <v>2020</v>
      </c>
      <c r="B3491" t="s">
        <v>198</v>
      </c>
      <c r="C3491" t="s">
        <v>1180</v>
      </c>
      <c r="D3491" s="65">
        <v>260</v>
      </c>
      <c r="E3491" s="33">
        <v>0.33</v>
      </c>
      <c r="G3491" t="s">
        <v>144</v>
      </c>
      <c r="H3491" t="s">
        <v>299</v>
      </c>
      <c r="I3491" t="s">
        <v>19</v>
      </c>
      <c r="J3491" t="s">
        <v>205</v>
      </c>
      <c r="K3491" s="17">
        <v>0</v>
      </c>
      <c r="L3491" s="28" t="s">
        <v>178</v>
      </c>
      <c r="N3491" s="21"/>
      <c r="O3491" s="2"/>
      <c r="P3491" s="2"/>
      <c r="Q3491" s="4"/>
      <c r="R3491" s="4"/>
      <c r="S3491" s="4"/>
      <c r="T3491" s="4"/>
      <c r="U3491" s="4"/>
      <c r="V3491" s="4"/>
    </row>
    <row r="3492" spans="1:22" ht="14.5" customHeight="1" x14ac:dyDescent="0.2">
      <c r="A3492">
        <v>2020</v>
      </c>
      <c r="B3492" t="s">
        <v>198</v>
      </c>
      <c r="C3492" t="s">
        <v>454</v>
      </c>
      <c r="D3492" s="65">
        <v>330</v>
      </c>
      <c r="E3492" s="33">
        <v>0.2</v>
      </c>
      <c r="F3492" t="s">
        <v>1936</v>
      </c>
      <c r="G3492" t="s">
        <v>145</v>
      </c>
      <c r="I3492" t="s">
        <v>42</v>
      </c>
      <c r="J3492" t="s">
        <v>195</v>
      </c>
      <c r="K3492" s="17">
        <v>0</v>
      </c>
      <c r="L3492" s="28"/>
      <c r="N3492" s="21"/>
      <c r="O3492" s="2"/>
      <c r="P3492" s="2"/>
      <c r="Q3492" s="4"/>
      <c r="R3492" s="4"/>
      <c r="S3492" s="4"/>
      <c r="T3492" s="4"/>
      <c r="U3492" s="4"/>
      <c r="V3492" s="4"/>
    </row>
    <row r="3493" spans="1:22" ht="14.5" customHeight="1" x14ac:dyDescent="0.2">
      <c r="A3493">
        <v>2020</v>
      </c>
      <c r="B3493" t="s">
        <v>198</v>
      </c>
      <c r="C3493" t="s">
        <v>280</v>
      </c>
      <c r="D3493" s="65">
        <v>100</v>
      </c>
      <c r="E3493" s="33">
        <v>0.5</v>
      </c>
      <c r="F3493" t="s">
        <v>1937</v>
      </c>
      <c r="G3493" t="s">
        <v>149</v>
      </c>
      <c r="H3493" t="s">
        <v>182</v>
      </c>
      <c r="I3493" t="s">
        <v>9</v>
      </c>
      <c r="J3493" t="s">
        <v>9</v>
      </c>
      <c r="K3493" s="17">
        <v>0</v>
      </c>
      <c r="L3493" s="28" t="s">
        <v>178</v>
      </c>
      <c r="N3493" s="21"/>
      <c r="O3493" s="2"/>
      <c r="P3493" s="2"/>
      <c r="Q3493" s="4"/>
      <c r="R3493" s="4"/>
      <c r="S3493" s="4"/>
      <c r="T3493" s="4"/>
      <c r="U3493" s="4"/>
      <c r="V3493" s="4"/>
    </row>
    <row r="3494" spans="1:22" ht="14.5" customHeight="1" x14ac:dyDescent="0.2">
      <c r="A3494">
        <v>2020</v>
      </c>
      <c r="B3494" t="s">
        <v>198</v>
      </c>
      <c r="C3494" t="s">
        <v>596</v>
      </c>
      <c r="D3494" s="65">
        <v>290</v>
      </c>
      <c r="E3494" s="33">
        <v>0.5</v>
      </c>
      <c r="F3494" t="s">
        <v>1938</v>
      </c>
      <c r="G3494" t="s">
        <v>144</v>
      </c>
      <c r="H3494" t="s">
        <v>232</v>
      </c>
      <c r="I3494" t="s">
        <v>9</v>
      </c>
      <c r="J3494" t="s">
        <v>9</v>
      </c>
      <c r="K3494" s="17">
        <v>0</v>
      </c>
      <c r="L3494" s="28" t="s">
        <v>178</v>
      </c>
      <c r="N3494" s="21"/>
      <c r="O3494" s="2"/>
      <c r="P3494" s="2"/>
      <c r="Q3494" s="4"/>
      <c r="R3494" s="4"/>
      <c r="S3494" s="4"/>
      <c r="T3494" s="4"/>
      <c r="U3494" s="4"/>
      <c r="V3494" s="4"/>
    </row>
    <row r="3495" spans="1:22" ht="14.5" customHeight="1" x14ac:dyDescent="0.2">
      <c r="A3495">
        <v>2020</v>
      </c>
      <c r="B3495" t="s">
        <v>198</v>
      </c>
      <c r="C3495" t="s">
        <v>1939</v>
      </c>
      <c r="D3495" s="65">
        <v>300</v>
      </c>
      <c r="E3495" s="33"/>
      <c r="G3495" t="s">
        <v>150</v>
      </c>
      <c r="H3495" t="s">
        <v>292</v>
      </c>
      <c r="I3495" t="s">
        <v>13</v>
      </c>
      <c r="J3495" t="s">
        <v>201</v>
      </c>
      <c r="K3495" s="17">
        <v>1</v>
      </c>
      <c r="L3495" s="28" t="s">
        <v>178</v>
      </c>
      <c r="N3495" s="21"/>
      <c r="O3495" s="2"/>
      <c r="P3495" s="2"/>
      <c r="Q3495" s="4"/>
      <c r="R3495" s="4"/>
      <c r="S3495" s="4"/>
      <c r="T3495" s="4"/>
      <c r="U3495" s="4"/>
      <c r="V3495" s="4"/>
    </row>
    <row r="3496" spans="1:22" ht="14.5" customHeight="1" x14ac:dyDescent="0.2">
      <c r="A3496">
        <v>2020</v>
      </c>
      <c r="B3496" t="s">
        <v>198</v>
      </c>
      <c r="C3496" t="s">
        <v>1852</v>
      </c>
      <c r="D3496" s="65">
        <v>270</v>
      </c>
      <c r="E3496" s="33">
        <v>0.22</v>
      </c>
      <c r="F3496" t="s">
        <v>1881</v>
      </c>
      <c r="G3496" t="s">
        <v>144</v>
      </c>
      <c r="H3496" t="s">
        <v>232</v>
      </c>
      <c r="I3496" t="s">
        <v>108</v>
      </c>
      <c r="J3496" t="s">
        <v>183</v>
      </c>
      <c r="K3496" s="17">
        <v>1</v>
      </c>
      <c r="L3496" s="28"/>
      <c r="N3496" s="21"/>
      <c r="O3496" s="2"/>
      <c r="P3496" s="2"/>
      <c r="Q3496" s="4"/>
      <c r="R3496" s="4"/>
      <c r="S3496" s="4"/>
      <c r="T3496" s="4"/>
      <c r="U3496" s="4"/>
      <c r="V3496" s="4"/>
    </row>
    <row r="3497" spans="1:22" ht="14.5" customHeight="1" x14ac:dyDescent="0.2">
      <c r="A3497">
        <v>2020</v>
      </c>
      <c r="B3497" t="s">
        <v>202</v>
      </c>
      <c r="C3497" t="s">
        <v>286</v>
      </c>
      <c r="D3497" s="65">
        <v>740</v>
      </c>
      <c r="E3497" s="33">
        <v>0.01</v>
      </c>
      <c r="F3497" t="s">
        <v>1612</v>
      </c>
      <c r="G3497" t="s">
        <v>146</v>
      </c>
      <c r="H3497" t="s">
        <v>275</v>
      </c>
      <c r="I3497" t="s">
        <v>20</v>
      </c>
      <c r="J3497" t="s">
        <v>195</v>
      </c>
      <c r="K3497" s="17">
        <v>0</v>
      </c>
      <c r="L3497" s="28"/>
      <c r="N3497" s="21"/>
      <c r="O3497" s="2"/>
      <c r="P3497" s="2"/>
      <c r="Q3497" s="4"/>
      <c r="R3497" s="4"/>
      <c r="S3497" s="4"/>
      <c r="T3497" s="4"/>
      <c r="U3497" s="4"/>
      <c r="V3497" s="4"/>
    </row>
    <row r="3498" spans="1:22" ht="14.5" customHeight="1" x14ac:dyDescent="0.2">
      <c r="A3498">
        <v>2020</v>
      </c>
      <c r="B3498" t="s">
        <v>202</v>
      </c>
      <c r="C3498" t="s">
        <v>410</v>
      </c>
      <c r="D3498" s="65">
        <v>540</v>
      </c>
      <c r="E3498" s="33"/>
      <c r="G3498" t="s">
        <v>154</v>
      </c>
      <c r="H3498" t="s">
        <v>194</v>
      </c>
      <c r="I3498" t="s">
        <v>101</v>
      </c>
      <c r="J3498" t="s">
        <v>201</v>
      </c>
      <c r="K3498" s="17">
        <v>1</v>
      </c>
      <c r="L3498" s="28"/>
      <c r="N3498" s="21"/>
      <c r="O3498" s="2"/>
      <c r="P3498" s="2"/>
      <c r="Q3498" s="4"/>
      <c r="R3498" s="4"/>
      <c r="S3498" s="4"/>
      <c r="T3498" s="4"/>
      <c r="U3498" s="4"/>
      <c r="V3498" s="4"/>
    </row>
    <row r="3499" spans="1:22" ht="14.5" customHeight="1" x14ac:dyDescent="0.2">
      <c r="A3499">
        <v>2020</v>
      </c>
      <c r="B3499" t="s">
        <v>202</v>
      </c>
      <c r="C3499" t="s">
        <v>449</v>
      </c>
      <c r="D3499" s="65">
        <v>740</v>
      </c>
      <c r="E3499" s="33">
        <v>0.1</v>
      </c>
      <c r="G3499" t="s">
        <v>154</v>
      </c>
      <c r="H3499" t="s">
        <v>529</v>
      </c>
      <c r="I3499" t="s">
        <v>124</v>
      </c>
      <c r="J3499" t="s">
        <v>183</v>
      </c>
      <c r="K3499" s="17">
        <v>1</v>
      </c>
      <c r="L3499" s="28" t="s">
        <v>178</v>
      </c>
      <c r="N3499" s="21"/>
      <c r="O3499" s="2"/>
      <c r="P3499" s="2"/>
      <c r="Q3499" s="4"/>
      <c r="R3499" s="4"/>
      <c r="S3499" s="4"/>
      <c r="T3499" s="4"/>
      <c r="U3499" s="4"/>
      <c r="V3499" s="4"/>
    </row>
    <row r="3500" spans="1:22" ht="14.5" customHeight="1" x14ac:dyDescent="0.2">
      <c r="A3500">
        <v>2020</v>
      </c>
      <c r="B3500" t="s">
        <v>202</v>
      </c>
      <c r="C3500" t="s">
        <v>269</v>
      </c>
      <c r="D3500" s="65">
        <v>780</v>
      </c>
      <c r="E3500" s="33">
        <v>0.6</v>
      </c>
      <c r="G3500" t="s">
        <v>154</v>
      </c>
      <c r="H3500" t="s">
        <v>271</v>
      </c>
      <c r="I3500" t="s">
        <v>96</v>
      </c>
      <c r="J3500" t="s">
        <v>205</v>
      </c>
      <c r="K3500" s="17">
        <v>1</v>
      </c>
      <c r="L3500" s="28" t="s">
        <v>178</v>
      </c>
      <c r="N3500" s="21"/>
      <c r="O3500" s="2"/>
      <c r="P3500" s="2"/>
      <c r="Q3500" s="4"/>
      <c r="R3500" s="4"/>
      <c r="S3500" s="4"/>
      <c r="T3500" s="4"/>
      <c r="U3500" s="4"/>
      <c r="V3500" s="4"/>
    </row>
    <row r="3501" spans="1:22" ht="14.5" customHeight="1" x14ac:dyDescent="0.2">
      <c r="A3501">
        <v>2020</v>
      </c>
      <c r="B3501" t="s">
        <v>202</v>
      </c>
      <c r="C3501" t="s">
        <v>1940</v>
      </c>
      <c r="D3501" s="65">
        <v>150</v>
      </c>
      <c r="E3501" s="33"/>
      <c r="G3501" t="s">
        <v>151</v>
      </c>
      <c r="H3501" t="s">
        <v>224</v>
      </c>
      <c r="I3501" t="s">
        <v>25</v>
      </c>
      <c r="J3501" t="s">
        <v>177</v>
      </c>
      <c r="K3501" s="17">
        <v>0</v>
      </c>
      <c r="L3501" s="28"/>
      <c r="N3501" s="21"/>
      <c r="O3501" s="2"/>
      <c r="P3501" s="2"/>
      <c r="Q3501" s="4"/>
      <c r="R3501" s="4"/>
      <c r="S3501" s="4"/>
      <c r="T3501" s="4"/>
      <c r="U3501" s="4"/>
      <c r="V3501" s="4"/>
    </row>
    <row r="3502" spans="1:22" ht="14.5" customHeight="1" x14ac:dyDescent="0.2">
      <c r="A3502">
        <v>2020</v>
      </c>
      <c r="B3502" t="s">
        <v>202</v>
      </c>
      <c r="C3502" t="s">
        <v>185</v>
      </c>
      <c r="D3502" s="65">
        <v>2280</v>
      </c>
      <c r="E3502" s="33">
        <v>0.25</v>
      </c>
      <c r="G3502" t="s">
        <v>144</v>
      </c>
      <c r="H3502" t="s">
        <v>187</v>
      </c>
      <c r="I3502" t="s">
        <v>50</v>
      </c>
      <c r="J3502" t="s">
        <v>205</v>
      </c>
      <c r="K3502" s="17">
        <v>1</v>
      </c>
      <c r="L3502" s="28" t="s">
        <v>178</v>
      </c>
      <c r="N3502" s="21"/>
      <c r="O3502" s="2"/>
      <c r="P3502" s="2"/>
      <c r="Q3502" s="4"/>
      <c r="R3502" s="4"/>
      <c r="S3502" s="4"/>
      <c r="T3502" s="4"/>
      <c r="U3502" s="4"/>
      <c r="V3502" s="4"/>
    </row>
    <row r="3503" spans="1:22" ht="14.5" customHeight="1" x14ac:dyDescent="0.2">
      <c r="A3503">
        <v>2020</v>
      </c>
      <c r="B3503" t="s">
        <v>202</v>
      </c>
      <c r="C3503" t="s">
        <v>175</v>
      </c>
      <c r="D3503" s="65">
        <v>100</v>
      </c>
      <c r="E3503" s="33"/>
      <c r="G3503" t="s">
        <v>149</v>
      </c>
      <c r="I3503" t="s">
        <v>9</v>
      </c>
      <c r="J3503" t="s">
        <v>9</v>
      </c>
      <c r="K3503" s="17">
        <v>0</v>
      </c>
      <c r="L3503" s="28"/>
      <c r="N3503" s="21"/>
      <c r="O3503" s="2"/>
      <c r="P3503" s="2"/>
      <c r="Q3503" s="4"/>
      <c r="R3503" s="4"/>
      <c r="S3503" s="4"/>
      <c r="T3503" s="4"/>
      <c r="U3503" s="4"/>
      <c r="V3503" s="4"/>
    </row>
    <row r="3504" spans="1:22" ht="14.5" customHeight="1" x14ac:dyDescent="0.2">
      <c r="A3504">
        <v>2020</v>
      </c>
      <c r="B3504" t="s">
        <v>202</v>
      </c>
      <c r="C3504" t="s">
        <v>1941</v>
      </c>
      <c r="D3504" s="65">
        <v>170</v>
      </c>
      <c r="E3504" s="33"/>
      <c r="F3504" t="s">
        <v>1942</v>
      </c>
      <c r="G3504" t="s">
        <v>144</v>
      </c>
      <c r="H3504" t="s">
        <v>232</v>
      </c>
      <c r="I3504" t="s">
        <v>128</v>
      </c>
      <c r="J3504" t="s">
        <v>201</v>
      </c>
      <c r="K3504" s="17">
        <v>1</v>
      </c>
      <c r="L3504" s="28" t="s">
        <v>178</v>
      </c>
      <c r="N3504" s="21"/>
      <c r="O3504" s="2"/>
      <c r="P3504" s="2"/>
      <c r="Q3504" s="4"/>
      <c r="R3504" s="4"/>
      <c r="S3504" s="4"/>
      <c r="T3504" s="4"/>
      <c r="U3504" s="4"/>
      <c r="V3504" s="4"/>
    </row>
    <row r="3505" spans="1:22" ht="14.5" customHeight="1" x14ac:dyDescent="0.2">
      <c r="A3505">
        <v>2020</v>
      </c>
      <c r="B3505" t="s">
        <v>207</v>
      </c>
      <c r="C3505" t="s">
        <v>221</v>
      </c>
      <c r="D3505" s="65">
        <v>780</v>
      </c>
      <c r="E3505" s="33">
        <v>0.6</v>
      </c>
      <c r="F3505" t="s">
        <v>1638</v>
      </c>
      <c r="G3505" t="s">
        <v>150</v>
      </c>
      <c r="H3505" t="s">
        <v>556</v>
      </c>
      <c r="I3505" t="s">
        <v>131</v>
      </c>
      <c r="J3505" t="s">
        <v>131</v>
      </c>
      <c r="K3505" s="17">
        <v>0</v>
      </c>
      <c r="L3505" s="28"/>
      <c r="N3505" s="21"/>
      <c r="O3505" s="2"/>
      <c r="P3505" s="2"/>
      <c r="Q3505" s="4"/>
      <c r="R3505" s="4"/>
      <c r="S3505" s="4"/>
      <c r="T3505" s="4"/>
      <c r="U3505" s="4"/>
      <c r="V3505" s="4"/>
    </row>
    <row r="3506" spans="1:22" ht="14.5" customHeight="1" x14ac:dyDescent="0.2">
      <c r="A3506">
        <v>2020</v>
      </c>
      <c r="B3506" t="s">
        <v>207</v>
      </c>
      <c r="C3506" t="s">
        <v>822</v>
      </c>
      <c r="D3506" s="65">
        <v>180</v>
      </c>
      <c r="E3506" s="33">
        <v>0.06</v>
      </c>
      <c r="F3506" t="s">
        <v>1488</v>
      </c>
      <c r="G3506" t="s">
        <v>153</v>
      </c>
      <c r="I3506" t="s">
        <v>119</v>
      </c>
      <c r="J3506" t="s">
        <v>195</v>
      </c>
      <c r="K3506" s="17">
        <v>0</v>
      </c>
      <c r="L3506" s="28"/>
      <c r="N3506" s="21"/>
      <c r="O3506" s="2"/>
      <c r="P3506" s="2"/>
      <c r="Q3506" s="4"/>
      <c r="R3506" s="4"/>
      <c r="S3506" s="4"/>
      <c r="T3506" s="4"/>
      <c r="U3506" s="4"/>
      <c r="V3506" s="4"/>
    </row>
    <row r="3507" spans="1:22" ht="14.5" customHeight="1" x14ac:dyDescent="0.2">
      <c r="A3507">
        <v>2020</v>
      </c>
      <c r="B3507" t="s">
        <v>207</v>
      </c>
      <c r="C3507" t="s">
        <v>872</v>
      </c>
      <c r="D3507" s="65">
        <v>750</v>
      </c>
      <c r="E3507" s="33">
        <v>0.5</v>
      </c>
      <c r="F3507" t="s">
        <v>1943</v>
      </c>
      <c r="G3507" t="s">
        <v>148</v>
      </c>
      <c r="I3507" t="s">
        <v>136</v>
      </c>
      <c r="J3507" t="s">
        <v>183</v>
      </c>
      <c r="K3507" s="17">
        <v>1</v>
      </c>
      <c r="L3507" s="28" t="s">
        <v>178</v>
      </c>
      <c r="N3507" s="21"/>
      <c r="O3507" s="2"/>
      <c r="P3507" s="2"/>
      <c r="Q3507" s="4"/>
      <c r="R3507" s="4"/>
      <c r="S3507" s="4"/>
      <c r="T3507" s="4"/>
      <c r="U3507" s="4"/>
      <c r="V3507" s="4"/>
    </row>
    <row r="3508" spans="1:22" ht="14.5" customHeight="1" x14ac:dyDescent="0.2">
      <c r="A3508">
        <v>2020</v>
      </c>
      <c r="B3508" t="s">
        <v>207</v>
      </c>
      <c r="C3508" t="s">
        <v>477</v>
      </c>
      <c r="D3508" s="65">
        <v>510</v>
      </c>
      <c r="E3508" s="33"/>
      <c r="G3508" t="s">
        <v>154</v>
      </c>
      <c r="H3508" t="s">
        <v>271</v>
      </c>
      <c r="I3508" t="s">
        <v>36</v>
      </c>
      <c r="J3508" t="s">
        <v>219</v>
      </c>
      <c r="K3508" s="17">
        <v>1</v>
      </c>
      <c r="L3508" s="28" t="s">
        <v>178</v>
      </c>
      <c r="N3508" s="21"/>
      <c r="O3508" s="2"/>
      <c r="P3508" s="2"/>
      <c r="Q3508" s="4"/>
      <c r="R3508" s="4"/>
      <c r="S3508" s="4"/>
      <c r="T3508" s="4"/>
      <c r="U3508" s="4"/>
      <c r="V3508" s="4"/>
    </row>
    <row r="3509" spans="1:22" ht="14.5" customHeight="1" x14ac:dyDescent="0.2">
      <c r="A3509">
        <v>2020</v>
      </c>
      <c r="B3509" t="s">
        <v>207</v>
      </c>
      <c r="C3509" t="s">
        <v>210</v>
      </c>
      <c r="D3509" s="65">
        <v>580</v>
      </c>
      <c r="E3509" s="33">
        <v>1</v>
      </c>
      <c r="F3509" t="s">
        <v>1944</v>
      </c>
      <c r="G3509" t="s">
        <v>142</v>
      </c>
      <c r="I3509" t="s">
        <v>58</v>
      </c>
      <c r="J3509" t="s">
        <v>195</v>
      </c>
      <c r="K3509" s="17">
        <v>0</v>
      </c>
      <c r="L3509" s="28"/>
      <c r="N3509" s="21"/>
      <c r="O3509" s="2"/>
      <c r="P3509" s="2"/>
      <c r="Q3509" s="4"/>
      <c r="R3509" s="4"/>
      <c r="S3509" s="4"/>
      <c r="T3509" s="4"/>
      <c r="U3509" s="4"/>
      <c r="V3509" s="4"/>
    </row>
    <row r="3510" spans="1:22" ht="14.5" customHeight="1" x14ac:dyDescent="0.2">
      <c r="A3510">
        <v>2020</v>
      </c>
      <c r="B3510" t="s">
        <v>207</v>
      </c>
      <c r="C3510" t="s">
        <v>1945</v>
      </c>
      <c r="D3510" s="65">
        <v>120</v>
      </c>
      <c r="E3510" s="33"/>
      <c r="G3510" t="s">
        <v>148</v>
      </c>
      <c r="I3510" t="s">
        <v>15</v>
      </c>
      <c r="J3510" t="s">
        <v>195</v>
      </c>
      <c r="K3510" s="17">
        <v>0</v>
      </c>
      <c r="L3510" s="28" t="s">
        <v>178</v>
      </c>
      <c r="N3510" s="21"/>
      <c r="O3510" s="2"/>
      <c r="P3510" s="2"/>
      <c r="Q3510" s="4"/>
      <c r="R3510" s="4"/>
      <c r="S3510" s="4"/>
      <c r="T3510" s="4"/>
      <c r="U3510" s="4"/>
      <c r="V3510" s="4"/>
    </row>
    <row r="3511" spans="1:22" ht="14.5" customHeight="1" x14ac:dyDescent="0.2">
      <c r="A3511">
        <v>2020</v>
      </c>
      <c r="B3511" t="s">
        <v>207</v>
      </c>
      <c r="C3511" t="s">
        <v>1946</v>
      </c>
      <c r="D3511" s="65">
        <v>240</v>
      </c>
      <c r="E3511" s="33"/>
      <c r="F3511" t="s">
        <v>1947</v>
      </c>
      <c r="G3511" t="s">
        <v>147</v>
      </c>
      <c r="I3511" t="s">
        <v>131</v>
      </c>
      <c r="J3511" t="s">
        <v>131</v>
      </c>
      <c r="K3511" s="17">
        <v>0</v>
      </c>
      <c r="L3511" s="28"/>
      <c r="N3511" s="21"/>
      <c r="O3511" s="2"/>
      <c r="P3511" s="2"/>
      <c r="Q3511" s="4"/>
      <c r="R3511" s="4"/>
      <c r="S3511" s="4"/>
      <c r="T3511" s="4"/>
      <c r="U3511" s="4"/>
      <c r="V3511" s="4"/>
    </row>
    <row r="3512" spans="1:22" ht="14.5" customHeight="1" x14ac:dyDescent="0.2">
      <c r="A3512">
        <v>2020</v>
      </c>
      <c r="B3512" t="s">
        <v>207</v>
      </c>
      <c r="C3512" t="s">
        <v>1948</v>
      </c>
      <c r="D3512" s="65">
        <v>130</v>
      </c>
      <c r="E3512" s="33">
        <v>1</v>
      </c>
      <c r="G3512" t="s">
        <v>149</v>
      </c>
      <c r="H3512" t="s">
        <v>182</v>
      </c>
      <c r="I3512" t="s">
        <v>136</v>
      </c>
      <c r="J3512" t="s">
        <v>183</v>
      </c>
      <c r="K3512" s="17">
        <v>1</v>
      </c>
      <c r="L3512" s="28" t="s">
        <v>178</v>
      </c>
      <c r="N3512" s="21"/>
      <c r="O3512" s="2"/>
      <c r="P3512" s="2"/>
      <c r="Q3512" s="4"/>
      <c r="R3512" s="4"/>
      <c r="S3512" s="4"/>
      <c r="T3512" s="4"/>
      <c r="U3512" s="4"/>
      <c r="V3512" s="4"/>
    </row>
    <row r="3513" spans="1:22" ht="14.5" customHeight="1" x14ac:dyDescent="0.2">
      <c r="A3513">
        <v>2020</v>
      </c>
      <c r="B3513" t="s">
        <v>207</v>
      </c>
      <c r="C3513" t="s">
        <v>1949</v>
      </c>
      <c r="D3513" s="65">
        <v>110</v>
      </c>
      <c r="E3513" s="33">
        <v>0.44</v>
      </c>
      <c r="F3513" t="s">
        <v>1950</v>
      </c>
      <c r="G3513" t="s">
        <v>154</v>
      </c>
      <c r="H3513" t="s">
        <v>194</v>
      </c>
      <c r="I3513" t="s">
        <v>93</v>
      </c>
      <c r="J3513" t="s">
        <v>201</v>
      </c>
      <c r="K3513" s="17">
        <v>1</v>
      </c>
      <c r="L3513" s="28" t="s">
        <v>178</v>
      </c>
      <c r="N3513" s="21"/>
      <c r="O3513" s="2"/>
      <c r="P3513" s="2"/>
      <c r="Q3513" s="4"/>
      <c r="R3513" s="4"/>
      <c r="S3513" s="4"/>
      <c r="T3513" s="4"/>
      <c r="U3513" s="4"/>
      <c r="V3513" s="4"/>
    </row>
    <row r="3514" spans="1:22" ht="14.5" customHeight="1" x14ac:dyDescent="0.2">
      <c r="A3514">
        <v>2020</v>
      </c>
      <c r="B3514" t="s">
        <v>240</v>
      </c>
      <c r="C3514" t="s">
        <v>1951</v>
      </c>
      <c r="D3514" s="65">
        <v>320</v>
      </c>
      <c r="E3514" s="33">
        <v>1</v>
      </c>
      <c r="G3514" t="s">
        <v>144</v>
      </c>
      <c r="H3514" t="s">
        <v>232</v>
      </c>
      <c r="I3514" t="s">
        <v>136</v>
      </c>
      <c r="J3514" t="s">
        <v>183</v>
      </c>
      <c r="K3514" s="17">
        <v>1</v>
      </c>
      <c r="L3514" s="28" t="s">
        <v>178</v>
      </c>
      <c r="N3514" s="21"/>
      <c r="O3514" s="2"/>
      <c r="P3514" s="2"/>
      <c r="Q3514" s="4"/>
      <c r="R3514" s="4"/>
      <c r="S3514" s="4"/>
      <c r="T3514" s="4"/>
      <c r="U3514" s="4"/>
      <c r="V3514" s="4"/>
    </row>
    <row r="3515" spans="1:22" ht="14.5" customHeight="1" x14ac:dyDescent="0.2">
      <c r="A3515">
        <v>2020</v>
      </c>
      <c r="B3515" t="s">
        <v>240</v>
      </c>
      <c r="C3515" t="s">
        <v>307</v>
      </c>
      <c r="D3515" s="65">
        <v>3030</v>
      </c>
      <c r="E3515" s="33">
        <v>0.96</v>
      </c>
      <c r="F3515" t="s">
        <v>1952</v>
      </c>
      <c r="G3515" t="s">
        <v>144</v>
      </c>
      <c r="I3515" t="s">
        <v>27</v>
      </c>
      <c r="J3515" t="s">
        <v>205</v>
      </c>
      <c r="K3515" s="17">
        <v>1</v>
      </c>
      <c r="L3515" s="28"/>
      <c r="N3515" s="21"/>
      <c r="O3515" s="2"/>
      <c r="P3515" s="2"/>
      <c r="Q3515" s="4"/>
      <c r="R3515" s="4"/>
      <c r="S3515" s="4"/>
      <c r="T3515" s="4"/>
      <c r="U3515" s="4"/>
      <c r="V3515" s="4"/>
    </row>
    <row r="3516" spans="1:22" ht="14.5" customHeight="1" x14ac:dyDescent="0.2">
      <c r="A3516">
        <v>2020</v>
      </c>
      <c r="B3516" t="s">
        <v>240</v>
      </c>
      <c r="C3516" t="s">
        <v>822</v>
      </c>
      <c r="D3516" s="65">
        <v>300</v>
      </c>
      <c r="E3516" s="33"/>
      <c r="F3516" t="s">
        <v>1521</v>
      </c>
      <c r="G3516" t="s">
        <v>150</v>
      </c>
      <c r="H3516" t="s">
        <v>556</v>
      </c>
      <c r="I3516" t="s">
        <v>20</v>
      </c>
      <c r="J3516" t="s">
        <v>195</v>
      </c>
      <c r="K3516" s="17">
        <v>0</v>
      </c>
      <c r="L3516" s="28"/>
      <c r="N3516" s="21"/>
      <c r="O3516" s="2"/>
      <c r="P3516" s="2"/>
      <c r="Q3516" s="4"/>
      <c r="R3516" s="4"/>
      <c r="S3516" s="4"/>
      <c r="T3516" s="4"/>
      <c r="U3516" s="4"/>
      <c r="V3516" s="4"/>
    </row>
    <row r="3517" spans="1:22" ht="14.5" customHeight="1" x14ac:dyDescent="0.2">
      <c r="A3517">
        <v>2020</v>
      </c>
      <c r="B3517" t="s">
        <v>240</v>
      </c>
      <c r="C3517" t="s">
        <v>1953</v>
      </c>
      <c r="D3517" s="65">
        <v>140</v>
      </c>
      <c r="E3517" s="33">
        <v>1</v>
      </c>
      <c r="F3517" t="s">
        <v>1954</v>
      </c>
      <c r="G3517" t="s">
        <v>147</v>
      </c>
      <c r="I3517" t="s">
        <v>131</v>
      </c>
      <c r="J3517" t="s">
        <v>131</v>
      </c>
      <c r="K3517" s="17">
        <v>0</v>
      </c>
      <c r="L3517" s="28"/>
      <c r="N3517" s="21"/>
      <c r="O3517" s="2"/>
      <c r="P3517" s="2"/>
      <c r="Q3517" s="4"/>
      <c r="R3517" s="4"/>
      <c r="S3517" s="4"/>
      <c r="T3517" s="4"/>
      <c r="U3517" s="4"/>
      <c r="V3517" s="4"/>
    </row>
    <row r="3518" spans="1:22" ht="14.5" customHeight="1" x14ac:dyDescent="0.2">
      <c r="A3518">
        <v>2020</v>
      </c>
      <c r="B3518" t="s">
        <v>240</v>
      </c>
      <c r="C3518" t="s">
        <v>1955</v>
      </c>
      <c r="D3518" s="65">
        <v>300</v>
      </c>
      <c r="E3518" s="33">
        <v>1</v>
      </c>
      <c r="G3518" t="s">
        <v>154</v>
      </c>
      <c r="H3518" t="s">
        <v>194</v>
      </c>
      <c r="I3518" t="s">
        <v>115</v>
      </c>
      <c r="J3518" t="s">
        <v>201</v>
      </c>
      <c r="K3518" s="17">
        <v>1</v>
      </c>
      <c r="L3518" s="28" t="s">
        <v>178</v>
      </c>
      <c r="N3518" s="21"/>
      <c r="O3518" s="2"/>
      <c r="P3518" s="2"/>
      <c r="Q3518" s="4"/>
      <c r="R3518" s="4"/>
      <c r="S3518" s="4"/>
      <c r="T3518" s="4"/>
      <c r="U3518" s="4"/>
      <c r="V3518" s="4"/>
    </row>
    <row r="3519" spans="1:22" ht="14.5" customHeight="1" x14ac:dyDescent="0.2">
      <c r="A3519">
        <v>2020</v>
      </c>
      <c r="B3519" t="s">
        <v>240</v>
      </c>
      <c r="C3519" t="s">
        <v>263</v>
      </c>
      <c r="D3519" s="65">
        <v>670</v>
      </c>
      <c r="E3519" s="33">
        <v>0.5</v>
      </c>
      <c r="F3519" t="s">
        <v>1956</v>
      </c>
      <c r="G3519" t="s">
        <v>151</v>
      </c>
      <c r="H3519" t="s">
        <v>224</v>
      </c>
      <c r="I3519" t="s">
        <v>9</v>
      </c>
      <c r="J3519" t="s">
        <v>9</v>
      </c>
      <c r="K3519" s="17">
        <v>0</v>
      </c>
      <c r="L3519" s="28"/>
      <c r="N3519" s="21"/>
      <c r="O3519" s="2"/>
      <c r="P3519" s="2"/>
      <c r="Q3519" s="4"/>
      <c r="R3519" s="4"/>
      <c r="S3519" s="4"/>
      <c r="T3519" s="4"/>
      <c r="U3519" s="4"/>
      <c r="V3519" s="4"/>
    </row>
    <row r="3520" spans="1:22" ht="14.5" customHeight="1" x14ac:dyDescent="0.2">
      <c r="A3520">
        <v>2020</v>
      </c>
      <c r="B3520" t="s">
        <v>240</v>
      </c>
      <c r="C3520" t="s">
        <v>208</v>
      </c>
      <c r="D3520" s="65">
        <v>670</v>
      </c>
      <c r="E3520" s="33"/>
      <c r="F3520" t="s">
        <v>1957</v>
      </c>
      <c r="G3520" t="s">
        <v>144</v>
      </c>
      <c r="H3520" t="s">
        <v>273</v>
      </c>
      <c r="I3520" t="s">
        <v>23</v>
      </c>
      <c r="J3520" t="s">
        <v>183</v>
      </c>
      <c r="K3520" s="17">
        <v>1</v>
      </c>
      <c r="L3520" s="28" t="s">
        <v>178</v>
      </c>
      <c r="N3520" s="21"/>
      <c r="O3520" s="2"/>
      <c r="P3520" s="2"/>
      <c r="Q3520" s="4"/>
      <c r="R3520" s="4"/>
      <c r="S3520" s="4"/>
      <c r="T3520" s="4"/>
      <c r="U3520" s="4"/>
      <c r="V3520" s="4"/>
    </row>
    <row r="3521" spans="1:22" ht="14.5" customHeight="1" x14ac:dyDescent="0.2">
      <c r="A3521">
        <v>2020</v>
      </c>
      <c r="B3521" t="s">
        <v>240</v>
      </c>
      <c r="C3521" t="s">
        <v>1958</v>
      </c>
      <c r="D3521" s="65">
        <v>110</v>
      </c>
      <c r="E3521" s="33"/>
      <c r="F3521" t="s">
        <v>1959</v>
      </c>
      <c r="G3521" t="s">
        <v>152</v>
      </c>
      <c r="I3521" t="s">
        <v>57</v>
      </c>
      <c r="J3521" t="s">
        <v>195</v>
      </c>
      <c r="K3521" s="17">
        <v>0</v>
      </c>
      <c r="L3521" s="28"/>
      <c r="N3521" s="21"/>
      <c r="O3521" s="2"/>
      <c r="P3521" s="2"/>
      <c r="Q3521" s="4"/>
      <c r="R3521" s="4"/>
      <c r="S3521" s="4"/>
      <c r="T3521" s="4"/>
      <c r="U3521" s="4"/>
      <c r="V3521" s="4"/>
    </row>
    <row r="3522" spans="1:22" ht="14.5" customHeight="1" x14ac:dyDescent="0.2">
      <c r="A3522">
        <v>2020</v>
      </c>
      <c r="B3522" t="s">
        <v>240</v>
      </c>
      <c r="C3522" t="s">
        <v>479</v>
      </c>
      <c r="D3522" s="65">
        <v>200</v>
      </c>
      <c r="E3522" s="33">
        <v>0.23</v>
      </c>
      <c r="F3522" t="s">
        <v>1960</v>
      </c>
      <c r="G3522" t="s">
        <v>151</v>
      </c>
      <c r="H3522" t="s">
        <v>279</v>
      </c>
      <c r="I3522" t="s">
        <v>99</v>
      </c>
      <c r="J3522" t="s">
        <v>195</v>
      </c>
      <c r="K3522" s="17">
        <v>1</v>
      </c>
      <c r="L3522" s="28"/>
      <c r="N3522" s="21"/>
      <c r="O3522" s="2"/>
      <c r="P3522" s="2"/>
      <c r="Q3522" s="4"/>
      <c r="R3522" s="4"/>
      <c r="S3522" s="4"/>
      <c r="T3522" s="4"/>
      <c r="U3522" s="4"/>
      <c r="V3522" s="4"/>
    </row>
    <row r="3523" spans="1:22" ht="14.5" customHeight="1" x14ac:dyDescent="0.2">
      <c r="A3523">
        <v>2020</v>
      </c>
      <c r="B3523" t="s">
        <v>240</v>
      </c>
      <c r="C3523" t="s">
        <v>1961</v>
      </c>
      <c r="D3523" s="65">
        <v>160</v>
      </c>
      <c r="E3523" s="33">
        <v>1</v>
      </c>
      <c r="F3523" t="s">
        <v>1962</v>
      </c>
      <c r="G3523" t="s">
        <v>150</v>
      </c>
      <c r="H3523" t="s">
        <v>556</v>
      </c>
      <c r="I3523" t="s">
        <v>131</v>
      </c>
      <c r="J3523" t="s">
        <v>131</v>
      </c>
      <c r="K3523" s="17">
        <v>0</v>
      </c>
      <c r="L3523" s="28"/>
      <c r="N3523" s="21"/>
      <c r="O3523" s="2"/>
      <c r="P3523" s="2"/>
      <c r="Q3523" s="4"/>
      <c r="R3523" s="4"/>
      <c r="S3523" s="4"/>
      <c r="T3523" s="4"/>
      <c r="U3523" s="4"/>
      <c r="V3523" s="4"/>
    </row>
    <row r="3524" spans="1:22" ht="14.5" customHeight="1" x14ac:dyDescent="0.2">
      <c r="A3524">
        <v>2020</v>
      </c>
      <c r="B3524" t="s">
        <v>240</v>
      </c>
      <c r="C3524" t="s">
        <v>1180</v>
      </c>
      <c r="D3524" s="65">
        <v>530</v>
      </c>
      <c r="E3524" s="33">
        <v>1</v>
      </c>
      <c r="F3524" t="s">
        <v>1963</v>
      </c>
      <c r="G3524" t="s">
        <v>144</v>
      </c>
      <c r="H3524" t="s">
        <v>232</v>
      </c>
      <c r="I3524" t="s">
        <v>77</v>
      </c>
      <c r="J3524" t="s">
        <v>177</v>
      </c>
      <c r="K3524" s="17">
        <v>0</v>
      </c>
      <c r="L3524" s="28"/>
      <c r="N3524" s="21"/>
      <c r="O3524" s="2"/>
      <c r="P3524" s="2"/>
      <c r="Q3524" s="4"/>
      <c r="R3524" s="4"/>
      <c r="S3524" s="4"/>
      <c r="T3524" s="4"/>
      <c r="U3524" s="4"/>
      <c r="V3524" s="4"/>
    </row>
    <row r="3525" spans="1:22" ht="14.5" customHeight="1" x14ac:dyDescent="0.2">
      <c r="A3525">
        <v>2020</v>
      </c>
      <c r="B3525" t="s">
        <v>240</v>
      </c>
      <c r="C3525" t="s">
        <v>1964</v>
      </c>
      <c r="D3525" s="65">
        <v>180</v>
      </c>
      <c r="E3525" s="33">
        <v>1</v>
      </c>
      <c r="G3525" t="s">
        <v>143</v>
      </c>
      <c r="I3525" t="s">
        <v>113</v>
      </c>
      <c r="J3525" t="s">
        <v>183</v>
      </c>
      <c r="K3525" s="17">
        <v>0</v>
      </c>
      <c r="L3525" s="28" t="s">
        <v>178</v>
      </c>
      <c r="N3525" s="21"/>
      <c r="O3525" s="2"/>
      <c r="P3525" s="2"/>
      <c r="Q3525" s="4"/>
      <c r="R3525" s="4"/>
      <c r="S3525" s="4"/>
      <c r="T3525" s="4"/>
      <c r="U3525" s="4"/>
      <c r="V3525" s="4"/>
    </row>
    <row r="3526" spans="1:22" ht="14.5" customHeight="1" x14ac:dyDescent="0.2">
      <c r="A3526">
        <v>2020</v>
      </c>
      <c r="B3526" t="s">
        <v>212</v>
      </c>
      <c r="C3526" t="s">
        <v>694</v>
      </c>
      <c r="D3526" s="65">
        <v>430</v>
      </c>
      <c r="E3526" s="33">
        <v>1</v>
      </c>
      <c r="F3526" t="s">
        <v>1965</v>
      </c>
      <c r="G3526" t="s">
        <v>149</v>
      </c>
      <c r="I3526" t="s">
        <v>46</v>
      </c>
      <c r="J3526" t="s">
        <v>219</v>
      </c>
      <c r="K3526" s="17">
        <v>1</v>
      </c>
      <c r="L3526" s="28"/>
      <c r="N3526" s="21"/>
      <c r="O3526" s="2"/>
      <c r="P3526" s="2"/>
      <c r="Q3526" s="4"/>
      <c r="R3526" s="4"/>
      <c r="S3526" s="4"/>
      <c r="T3526" s="4"/>
      <c r="U3526" s="4"/>
      <c r="V3526" s="4"/>
    </row>
    <row r="3527" spans="1:22" ht="14.5" customHeight="1" x14ac:dyDescent="0.2">
      <c r="A3527">
        <v>2020</v>
      </c>
      <c r="B3527" t="s">
        <v>212</v>
      </c>
      <c r="C3527" t="s">
        <v>1966</v>
      </c>
      <c r="D3527" s="65">
        <v>320</v>
      </c>
      <c r="E3527" s="33"/>
      <c r="F3527" t="s">
        <v>1967</v>
      </c>
      <c r="G3527" t="s">
        <v>147</v>
      </c>
      <c r="I3527" t="s">
        <v>61</v>
      </c>
      <c r="J3527" t="s">
        <v>183</v>
      </c>
      <c r="K3527" s="17">
        <v>0</v>
      </c>
      <c r="L3527" s="28"/>
      <c r="N3527" s="21"/>
      <c r="O3527" s="2"/>
      <c r="P3527" s="2"/>
      <c r="Q3527" s="4"/>
      <c r="R3527" s="4"/>
      <c r="S3527" s="4"/>
      <c r="T3527" s="4"/>
      <c r="U3527" s="4"/>
      <c r="V3527" s="4"/>
    </row>
    <row r="3528" spans="1:22" ht="14.5" customHeight="1" x14ac:dyDescent="0.2">
      <c r="A3528">
        <v>2020</v>
      </c>
      <c r="B3528" t="s">
        <v>212</v>
      </c>
      <c r="C3528" t="s">
        <v>1968</v>
      </c>
      <c r="D3528" s="65">
        <v>550</v>
      </c>
      <c r="E3528" s="33">
        <v>0.95</v>
      </c>
      <c r="F3528" t="s">
        <v>1873</v>
      </c>
      <c r="G3528" t="s">
        <v>149</v>
      </c>
      <c r="H3528" t="s">
        <v>236</v>
      </c>
      <c r="I3528" t="s">
        <v>34</v>
      </c>
      <c r="J3528" t="s">
        <v>219</v>
      </c>
      <c r="K3528" s="17">
        <v>1</v>
      </c>
      <c r="L3528" s="28" t="s">
        <v>178</v>
      </c>
      <c r="N3528" s="21"/>
      <c r="O3528" s="2"/>
      <c r="P3528" s="2"/>
      <c r="Q3528" s="4"/>
      <c r="R3528" s="4"/>
      <c r="S3528" s="4"/>
      <c r="T3528" s="4"/>
      <c r="U3528" s="4"/>
      <c r="V3528" s="4"/>
    </row>
    <row r="3529" spans="1:22" ht="14.5" customHeight="1" x14ac:dyDescent="0.2">
      <c r="A3529">
        <v>2020</v>
      </c>
      <c r="B3529" t="s">
        <v>212</v>
      </c>
      <c r="C3529" t="s">
        <v>277</v>
      </c>
      <c r="D3529" s="65">
        <v>390</v>
      </c>
      <c r="E3529" s="33">
        <v>0.75</v>
      </c>
      <c r="F3529" t="s">
        <v>1969</v>
      </c>
      <c r="G3529" t="s">
        <v>144</v>
      </c>
      <c r="H3529" t="s">
        <v>273</v>
      </c>
      <c r="I3529" t="s">
        <v>53</v>
      </c>
      <c r="J3529" t="s">
        <v>183</v>
      </c>
      <c r="K3529" s="17">
        <v>1</v>
      </c>
      <c r="L3529" s="28"/>
      <c r="N3529" s="21"/>
      <c r="O3529" s="2"/>
      <c r="P3529" s="2"/>
      <c r="Q3529" s="4"/>
      <c r="R3529" s="4"/>
      <c r="S3529" s="4"/>
      <c r="T3529" s="4"/>
      <c r="U3529" s="4"/>
      <c r="V3529" s="4"/>
    </row>
    <row r="3530" spans="1:22" ht="14.5" customHeight="1" x14ac:dyDescent="0.2">
      <c r="A3530">
        <v>2020</v>
      </c>
      <c r="B3530" t="s">
        <v>212</v>
      </c>
      <c r="C3530" t="s">
        <v>1672</v>
      </c>
      <c r="D3530" s="65">
        <v>180</v>
      </c>
      <c r="E3530" s="33"/>
      <c r="F3530" t="s">
        <v>1970</v>
      </c>
      <c r="G3530" t="s">
        <v>147</v>
      </c>
      <c r="I3530" t="s">
        <v>45</v>
      </c>
      <c r="J3530" t="s">
        <v>195</v>
      </c>
      <c r="K3530" s="17">
        <v>0</v>
      </c>
      <c r="L3530" s="28"/>
      <c r="N3530" s="21"/>
      <c r="O3530" s="2"/>
      <c r="P3530" s="2"/>
      <c r="Q3530" s="4"/>
      <c r="R3530" s="4"/>
      <c r="S3530" s="4"/>
      <c r="T3530" s="4"/>
      <c r="U3530" s="4"/>
      <c r="V3530" s="4"/>
    </row>
    <row r="3531" spans="1:22" ht="14.5" customHeight="1" x14ac:dyDescent="0.2">
      <c r="A3531">
        <v>2020</v>
      </c>
      <c r="B3531" t="s">
        <v>212</v>
      </c>
      <c r="C3531" t="s">
        <v>454</v>
      </c>
      <c r="D3531" s="65">
        <v>3420</v>
      </c>
      <c r="E3531" s="33"/>
      <c r="F3531" t="s">
        <v>1651</v>
      </c>
      <c r="G3531" t="s">
        <v>145</v>
      </c>
      <c r="I3531" t="s">
        <v>42</v>
      </c>
      <c r="J3531" t="s">
        <v>195</v>
      </c>
      <c r="K3531" s="17">
        <v>0</v>
      </c>
      <c r="L3531" s="28"/>
      <c r="N3531" s="21"/>
      <c r="O3531" s="2"/>
      <c r="P3531" s="2"/>
      <c r="Q3531" s="4"/>
      <c r="R3531" s="4"/>
      <c r="S3531" s="4"/>
      <c r="T3531" s="4"/>
      <c r="U3531" s="4"/>
      <c r="V3531" s="4"/>
    </row>
    <row r="3532" spans="1:22" ht="14.5" customHeight="1" x14ac:dyDescent="0.2">
      <c r="A3532">
        <v>2020</v>
      </c>
      <c r="B3532" t="s">
        <v>212</v>
      </c>
      <c r="C3532" t="s">
        <v>1971</v>
      </c>
      <c r="D3532" s="65">
        <v>450</v>
      </c>
      <c r="E3532" s="33">
        <v>1</v>
      </c>
      <c r="F3532" t="s">
        <v>1972</v>
      </c>
      <c r="G3532" t="s">
        <v>152</v>
      </c>
      <c r="I3532" t="s">
        <v>42</v>
      </c>
      <c r="J3532" t="s">
        <v>195</v>
      </c>
      <c r="K3532" s="17">
        <v>0</v>
      </c>
      <c r="L3532" s="28"/>
      <c r="N3532" s="21"/>
      <c r="O3532" s="2"/>
      <c r="P3532" s="2"/>
      <c r="Q3532" s="4"/>
      <c r="R3532" s="4"/>
      <c r="S3532" s="4"/>
      <c r="T3532" s="4"/>
      <c r="U3532" s="4"/>
      <c r="V3532" s="4"/>
    </row>
    <row r="3533" spans="1:22" ht="14.5" customHeight="1" x14ac:dyDescent="0.2">
      <c r="A3533">
        <v>2020</v>
      </c>
      <c r="B3533" t="s">
        <v>212</v>
      </c>
      <c r="C3533" t="s">
        <v>285</v>
      </c>
      <c r="D3533" s="65">
        <v>2400</v>
      </c>
      <c r="E3533" s="33"/>
      <c r="G3533" t="s">
        <v>144</v>
      </c>
      <c r="I3533" t="s">
        <v>67</v>
      </c>
      <c r="J3533" t="s">
        <v>183</v>
      </c>
      <c r="K3533" s="17">
        <v>1</v>
      </c>
      <c r="L3533" s="28"/>
      <c r="N3533" s="21"/>
      <c r="O3533" s="2"/>
      <c r="P3533" s="2"/>
      <c r="Q3533" s="4"/>
      <c r="R3533" s="4"/>
      <c r="S3533" s="4"/>
      <c r="T3533" s="4"/>
      <c r="U3533" s="4"/>
      <c r="V3533" s="4"/>
    </row>
    <row r="3534" spans="1:22" ht="14.5" customHeight="1" x14ac:dyDescent="0.2">
      <c r="A3534">
        <v>2020</v>
      </c>
      <c r="B3534" t="s">
        <v>212</v>
      </c>
      <c r="C3534" t="s">
        <v>479</v>
      </c>
      <c r="D3534" s="65">
        <v>1430</v>
      </c>
      <c r="E3534" s="33"/>
      <c r="G3534" t="s">
        <v>151</v>
      </c>
      <c r="H3534" t="s">
        <v>224</v>
      </c>
      <c r="I3534" t="s">
        <v>115</v>
      </c>
      <c r="J3534" t="s">
        <v>201</v>
      </c>
      <c r="K3534" s="17">
        <v>1</v>
      </c>
      <c r="L3534" s="28" t="s">
        <v>178</v>
      </c>
      <c r="N3534" s="21"/>
      <c r="O3534" s="2"/>
      <c r="P3534" s="2"/>
      <c r="Q3534" s="4"/>
      <c r="R3534" s="4"/>
      <c r="S3534" s="4"/>
      <c r="T3534" s="4"/>
      <c r="U3534" s="4"/>
      <c r="V3534" s="4"/>
    </row>
    <row r="3535" spans="1:22" ht="14.5" customHeight="1" x14ac:dyDescent="0.2">
      <c r="A3535">
        <v>2020</v>
      </c>
      <c r="B3535" t="s">
        <v>212</v>
      </c>
      <c r="C3535" t="s">
        <v>1973</v>
      </c>
      <c r="D3535" s="65">
        <v>240</v>
      </c>
      <c r="E3535" s="33"/>
      <c r="G3535" t="s">
        <v>144</v>
      </c>
      <c r="H3535" t="s">
        <v>232</v>
      </c>
      <c r="I3535" t="s">
        <v>136</v>
      </c>
      <c r="J3535" t="s">
        <v>183</v>
      </c>
      <c r="K3535" s="17">
        <v>1</v>
      </c>
      <c r="L3535" s="28" t="s">
        <v>178</v>
      </c>
      <c r="N3535" s="21"/>
      <c r="O3535" s="2"/>
      <c r="P3535" s="2"/>
      <c r="Q3535" s="4"/>
      <c r="R3535" s="4"/>
      <c r="S3535" s="4"/>
      <c r="T3535" s="4"/>
      <c r="U3535" s="4"/>
      <c r="V3535" s="4"/>
    </row>
    <row r="3536" spans="1:22" ht="15" customHeight="1" x14ac:dyDescent="0.2">
      <c r="A3536">
        <v>2020</v>
      </c>
      <c r="B3536" t="s">
        <v>212</v>
      </c>
      <c r="C3536" t="s">
        <v>600</v>
      </c>
      <c r="D3536" s="65">
        <v>180</v>
      </c>
      <c r="E3536" s="33"/>
      <c r="G3536" t="s">
        <v>144</v>
      </c>
      <c r="H3536" t="s">
        <v>187</v>
      </c>
      <c r="I3536" t="s">
        <v>55</v>
      </c>
      <c r="J3536" t="s">
        <v>214</v>
      </c>
      <c r="K3536" s="17">
        <v>1</v>
      </c>
      <c r="L3536" s="28"/>
      <c r="N3536" s="21"/>
      <c r="O3536" s="2"/>
      <c r="P3536" s="2"/>
      <c r="Q3536" s="4"/>
      <c r="R3536" s="4"/>
      <c r="S3536" s="4"/>
      <c r="T3536" s="4"/>
      <c r="U3536" s="4"/>
      <c r="V3536" s="4"/>
    </row>
    <row r="3537" spans="1:22" ht="14.5" customHeight="1" x14ac:dyDescent="0.2">
      <c r="A3537">
        <v>2020</v>
      </c>
      <c r="B3537" t="s">
        <v>212</v>
      </c>
      <c r="C3537" t="s">
        <v>1974</v>
      </c>
      <c r="D3537" s="65">
        <v>910</v>
      </c>
      <c r="E3537" s="33">
        <v>0.7</v>
      </c>
      <c r="G3537" t="s">
        <v>154</v>
      </c>
      <c r="H3537" t="s">
        <v>271</v>
      </c>
      <c r="I3537" t="s">
        <v>82</v>
      </c>
      <c r="J3537" t="s">
        <v>183</v>
      </c>
      <c r="K3537" s="17">
        <v>1</v>
      </c>
      <c r="L3537" s="28" t="s">
        <v>178</v>
      </c>
      <c r="N3537" s="21"/>
      <c r="O3537" s="2"/>
      <c r="P3537" s="2"/>
      <c r="Q3537" s="4"/>
      <c r="R3537" s="4"/>
      <c r="S3537" s="4"/>
      <c r="T3537" s="4"/>
      <c r="U3537" s="4"/>
      <c r="V3537" s="4"/>
    </row>
    <row r="3538" spans="1:22" ht="14.5" customHeight="1" x14ac:dyDescent="0.2">
      <c r="A3538" s="54">
        <v>2020</v>
      </c>
      <c r="B3538" s="17" t="s">
        <v>172</v>
      </c>
      <c r="C3538" t="s">
        <v>397</v>
      </c>
      <c r="D3538" s="22">
        <v>100</v>
      </c>
      <c r="E3538" s="16"/>
      <c r="G3538" t="s">
        <v>151</v>
      </c>
      <c r="H3538" t="s">
        <v>279</v>
      </c>
      <c r="I3538" t="s">
        <v>65</v>
      </c>
      <c r="J3538" t="s">
        <v>214</v>
      </c>
      <c r="K3538">
        <v>1</v>
      </c>
      <c r="N3538" s="21"/>
      <c r="O3538" s="2"/>
      <c r="P3538" s="2"/>
      <c r="Q3538" s="4"/>
      <c r="R3538" s="4"/>
      <c r="S3538" s="4"/>
      <c r="T3538" s="4"/>
      <c r="U3538" s="4"/>
      <c r="V3538" s="4"/>
    </row>
    <row r="3539" spans="1:22" ht="14.5" customHeight="1" x14ac:dyDescent="0.2">
      <c r="A3539" s="54">
        <v>2020</v>
      </c>
      <c r="B3539" s="17" t="s">
        <v>172</v>
      </c>
      <c r="C3539" t="s">
        <v>2963</v>
      </c>
      <c r="D3539" s="22">
        <v>1100</v>
      </c>
      <c r="E3539" s="16"/>
      <c r="F3539" t="s">
        <v>2760</v>
      </c>
      <c r="G3539" t="s">
        <v>149</v>
      </c>
      <c r="H3539" t="s">
        <v>238</v>
      </c>
      <c r="I3539" t="s">
        <v>48</v>
      </c>
      <c r="J3539" t="s">
        <v>219</v>
      </c>
      <c r="K3539">
        <v>1</v>
      </c>
      <c r="N3539" s="21"/>
      <c r="O3539" s="2"/>
      <c r="P3539" s="2"/>
      <c r="Q3539" s="4"/>
      <c r="R3539" s="4"/>
      <c r="S3539" s="4"/>
      <c r="T3539" s="4"/>
      <c r="U3539" s="4"/>
      <c r="V3539" s="4"/>
    </row>
    <row r="3540" spans="1:22" ht="14.5" customHeight="1" x14ac:dyDescent="0.2">
      <c r="A3540" s="54">
        <v>2020</v>
      </c>
      <c r="B3540" s="17" t="s">
        <v>172</v>
      </c>
      <c r="C3540" t="s">
        <v>2964</v>
      </c>
      <c r="D3540" s="22">
        <v>140</v>
      </c>
      <c r="E3540" s="16">
        <v>0.9</v>
      </c>
      <c r="F3540" t="s">
        <v>2965</v>
      </c>
      <c r="G3540" t="s">
        <v>154</v>
      </c>
      <c r="H3540" t="s">
        <v>529</v>
      </c>
      <c r="I3540" t="s">
        <v>52</v>
      </c>
      <c r="J3540" t="s">
        <v>201</v>
      </c>
      <c r="K3540">
        <v>0</v>
      </c>
      <c r="N3540" s="21"/>
      <c r="O3540" s="2"/>
      <c r="P3540" s="2"/>
      <c r="Q3540" s="4"/>
      <c r="R3540" s="4"/>
      <c r="S3540" s="4"/>
      <c r="T3540" s="4"/>
      <c r="U3540" s="4"/>
      <c r="V3540" s="4"/>
    </row>
    <row r="3541" spans="1:22" ht="14.5" customHeight="1" x14ac:dyDescent="0.2">
      <c r="A3541" s="54">
        <v>2020</v>
      </c>
      <c r="B3541" s="17" t="s">
        <v>172</v>
      </c>
      <c r="C3541" t="s">
        <v>875</v>
      </c>
      <c r="D3541" s="22">
        <v>750</v>
      </c>
      <c r="E3541" s="16"/>
      <c r="G3541" t="s">
        <v>144</v>
      </c>
      <c r="H3541" t="s">
        <v>273</v>
      </c>
      <c r="I3541" t="s">
        <v>136</v>
      </c>
      <c r="J3541" t="s">
        <v>183</v>
      </c>
      <c r="K3541">
        <v>1</v>
      </c>
      <c r="N3541" s="21"/>
      <c r="O3541" s="2"/>
      <c r="P3541" s="2"/>
      <c r="Q3541" s="4"/>
      <c r="R3541" s="4"/>
      <c r="S3541" s="4"/>
      <c r="T3541" s="4"/>
      <c r="U3541" s="4"/>
      <c r="V3541" s="4"/>
    </row>
    <row r="3542" spans="1:22" ht="14.5" customHeight="1" x14ac:dyDescent="0.2">
      <c r="A3542" s="54">
        <v>2020</v>
      </c>
      <c r="B3542" s="17" t="s">
        <v>172</v>
      </c>
      <c r="C3542" t="s">
        <v>2966</v>
      </c>
      <c r="D3542" s="22">
        <v>140</v>
      </c>
      <c r="E3542" s="16"/>
      <c r="G3542" t="s">
        <v>154</v>
      </c>
      <c r="H3542" t="s">
        <v>194</v>
      </c>
      <c r="I3542" t="s">
        <v>64</v>
      </c>
      <c r="J3542" t="s">
        <v>219</v>
      </c>
      <c r="K3542">
        <v>1</v>
      </c>
      <c r="N3542" s="21"/>
      <c r="O3542" s="2"/>
      <c r="P3542" s="2"/>
      <c r="Q3542" s="4"/>
      <c r="R3542" s="4"/>
      <c r="S3542" s="4"/>
      <c r="T3542" s="4"/>
      <c r="U3542" s="4"/>
      <c r="V3542" s="4"/>
    </row>
    <row r="3543" spans="1:22" s="17" customFormat="1" ht="14.5" customHeight="1" x14ac:dyDescent="0.2">
      <c r="A3543" s="54">
        <v>2020</v>
      </c>
      <c r="B3543" s="17" t="s">
        <v>172</v>
      </c>
      <c r="C3543" t="s">
        <v>199</v>
      </c>
      <c r="D3543" s="22">
        <v>840</v>
      </c>
      <c r="E3543" s="16">
        <v>0.8</v>
      </c>
      <c r="F3543" t="s">
        <v>2878</v>
      </c>
      <c r="G3543" t="s">
        <v>144</v>
      </c>
      <c r="H3543" t="s">
        <v>299</v>
      </c>
      <c r="I3543" t="s">
        <v>89</v>
      </c>
      <c r="J3543" t="s">
        <v>219</v>
      </c>
      <c r="K3543">
        <v>1</v>
      </c>
      <c r="N3543" s="21"/>
      <c r="O3543" s="2"/>
      <c r="P3543" s="2"/>
      <c r="Q3543" s="4"/>
      <c r="R3543" s="4"/>
      <c r="S3543" s="4"/>
      <c r="T3543" s="4"/>
      <c r="U3543" s="4"/>
      <c r="V3543" s="4"/>
    </row>
    <row r="3544" spans="1:22" ht="14.5" customHeight="1" x14ac:dyDescent="0.2">
      <c r="A3544" s="54">
        <v>2020</v>
      </c>
      <c r="B3544" s="17" t="s">
        <v>172</v>
      </c>
      <c r="C3544" t="s">
        <v>2967</v>
      </c>
      <c r="D3544" s="22">
        <v>310</v>
      </c>
      <c r="E3544" s="16"/>
      <c r="G3544" t="s">
        <v>151</v>
      </c>
      <c r="H3544" t="s">
        <v>279</v>
      </c>
      <c r="I3544" t="s">
        <v>122</v>
      </c>
      <c r="J3544" t="s">
        <v>201</v>
      </c>
      <c r="K3544">
        <v>1</v>
      </c>
      <c r="N3544" s="21"/>
      <c r="O3544" s="2"/>
      <c r="P3544" s="2"/>
      <c r="Q3544" s="4"/>
      <c r="R3544" s="4"/>
      <c r="S3544" s="4"/>
      <c r="T3544" s="4"/>
      <c r="U3544" s="4"/>
      <c r="V3544" s="4"/>
    </row>
    <row r="3545" spans="1:22" ht="14.5" customHeight="1" x14ac:dyDescent="0.2">
      <c r="A3545" s="54">
        <v>2020</v>
      </c>
      <c r="B3545" s="17" t="s">
        <v>172</v>
      </c>
      <c r="C3545" t="s">
        <v>1035</v>
      </c>
      <c r="D3545" s="22">
        <v>110</v>
      </c>
      <c r="E3545" s="16"/>
      <c r="G3545" t="s">
        <v>144</v>
      </c>
      <c r="H3545" t="s">
        <v>197</v>
      </c>
      <c r="I3545" t="s">
        <v>77</v>
      </c>
      <c r="J3545" t="s">
        <v>177</v>
      </c>
      <c r="K3545">
        <v>0</v>
      </c>
      <c r="N3545" s="21"/>
      <c r="O3545" s="2"/>
      <c r="P3545" s="2"/>
      <c r="Q3545" s="4"/>
      <c r="R3545" s="4"/>
      <c r="S3545" s="4"/>
      <c r="T3545" s="4"/>
      <c r="U3545" s="4"/>
      <c r="V3545" s="4"/>
    </row>
    <row r="3546" spans="1:22" ht="14.5" customHeight="1" x14ac:dyDescent="0.2">
      <c r="A3546" s="54">
        <v>2020</v>
      </c>
      <c r="B3546" s="17" t="s">
        <v>172</v>
      </c>
      <c r="C3546" t="s">
        <v>2968</v>
      </c>
      <c r="D3546" s="22">
        <v>200</v>
      </c>
      <c r="E3546" s="16"/>
      <c r="G3546" t="s">
        <v>154</v>
      </c>
      <c r="H3546" t="s">
        <v>194</v>
      </c>
      <c r="I3546" t="s">
        <v>44</v>
      </c>
      <c r="J3546" t="s">
        <v>201</v>
      </c>
      <c r="K3546">
        <v>1</v>
      </c>
      <c r="N3546" s="21"/>
      <c r="O3546" s="2"/>
      <c r="P3546" s="2"/>
      <c r="Q3546" s="4"/>
      <c r="R3546" s="4"/>
      <c r="S3546" s="4"/>
      <c r="T3546" s="4"/>
      <c r="U3546" s="4"/>
      <c r="V3546" s="4"/>
    </row>
    <row r="3547" spans="1:22" ht="14.5" customHeight="1" x14ac:dyDescent="0.2">
      <c r="A3547" s="54">
        <v>2020</v>
      </c>
      <c r="B3547" s="17" t="s">
        <v>172</v>
      </c>
      <c r="C3547" t="s">
        <v>449</v>
      </c>
      <c r="D3547" s="22">
        <v>180</v>
      </c>
      <c r="E3547" s="16"/>
      <c r="F3547" t="s">
        <v>2969</v>
      </c>
      <c r="G3547" t="s">
        <v>154</v>
      </c>
      <c r="H3547" t="s">
        <v>529</v>
      </c>
      <c r="I3547" t="s">
        <v>108</v>
      </c>
      <c r="J3547" t="s">
        <v>183</v>
      </c>
      <c r="K3547">
        <v>1</v>
      </c>
      <c r="N3547" s="21"/>
      <c r="O3547" s="2"/>
      <c r="P3547" s="2"/>
      <c r="Q3547" s="4"/>
      <c r="R3547" s="4"/>
      <c r="S3547" s="4"/>
      <c r="T3547" s="4"/>
      <c r="U3547" s="4"/>
      <c r="V3547" s="4"/>
    </row>
    <row r="3548" spans="1:22" ht="14.5" customHeight="1" x14ac:dyDescent="0.2">
      <c r="A3548" s="54">
        <v>2020</v>
      </c>
      <c r="B3548" s="17" t="s">
        <v>172</v>
      </c>
      <c r="C3548" t="s">
        <v>444</v>
      </c>
      <c r="D3548" s="22">
        <v>230</v>
      </c>
      <c r="E3548" s="16"/>
      <c r="G3548" t="s">
        <v>155</v>
      </c>
      <c r="I3548" t="s">
        <v>115</v>
      </c>
      <c r="J3548" t="s">
        <v>201</v>
      </c>
      <c r="K3548">
        <v>1</v>
      </c>
      <c r="N3548" s="21"/>
      <c r="O3548" s="2"/>
      <c r="P3548" s="2"/>
      <c r="Q3548" s="4"/>
      <c r="R3548" s="4"/>
      <c r="S3548" s="4"/>
      <c r="T3548" s="4"/>
      <c r="U3548" s="4"/>
      <c r="V3548" s="4"/>
    </row>
    <row r="3549" spans="1:22" ht="14.5" customHeight="1" x14ac:dyDescent="0.2">
      <c r="A3549" s="54">
        <v>2020</v>
      </c>
      <c r="B3549" s="17" t="s">
        <v>258</v>
      </c>
      <c r="C3549" t="s">
        <v>1035</v>
      </c>
      <c r="D3549" s="22">
        <v>230</v>
      </c>
      <c r="E3549" s="16"/>
      <c r="F3549" t="s">
        <v>2970</v>
      </c>
      <c r="G3549" t="s">
        <v>154</v>
      </c>
      <c r="H3549" t="s">
        <v>529</v>
      </c>
      <c r="I3549" t="s">
        <v>130</v>
      </c>
      <c r="J3549" t="s">
        <v>214</v>
      </c>
      <c r="K3549">
        <v>1</v>
      </c>
      <c r="N3549" s="21"/>
      <c r="O3549" s="2"/>
      <c r="P3549" s="2"/>
      <c r="Q3549" s="4"/>
      <c r="R3549" s="4"/>
      <c r="S3549" s="4"/>
      <c r="T3549" s="4"/>
      <c r="U3549" s="4"/>
      <c r="V3549" s="4"/>
    </row>
    <row r="3550" spans="1:22" ht="14.5" customHeight="1" x14ac:dyDescent="0.2">
      <c r="A3550" s="54">
        <v>2020</v>
      </c>
      <c r="B3550" s="17" t="s">
        <v>258</v>
      </c>
      <c r="C3550" t="s">
        <v>1035</v>
      </c>
      <c r="D3550" s="22">
        <v>460</v>
      </c>
      <c r="E3550" s="16"/>
      <c r="F3550" t="s">
        <v>2971</v>
      </c>
      <c r="G3550" t="s">
        <v>144</v>
      </c>
      <c r="H3550" t="s">
        <v>232</v>
      </c>
      <c r="I3550" t="s">
        <v>100</v>
      </c>
      <c r="J3550" t="s">
        <v>214</v>
      </c>
      <c r="K3550">
        <v>1</v>
      </c>
      <c r="N3550" s="21"/>
      <c r="O3550" s="2"/>
      <c r="P3550" s="2"/>
      <c r="Q3550" s="4"/>
      <c r="R3550" s="4"/>
      <c r="S3550" s="4"/>
      <c r="T3550" s="4"/>
      <c r="U3550" s="4"/>
      <c r="V3550" s="4"/>
    </row>
    <row r="3551" spans="1:22" ht="14.5" customHeight="1" x14ac:dyDescent="0.2">
      <c r="A3551" s="54">
        <v>2020</v>
      </c>
      <c r="B3551" s="17" t="s">
        <v>258</v>
      </c>
      <c r="C3551" t="s">
        <v>449</v>
      </c>
      <c r="D3551" s="22">
        <v>990</v>
      </c>
      <c r="E3551" s="16"/>
      <c r="G3551" t="s">
        <v>154</v>
      </c>
      <c r="H3551" t="s">
        <v>529</v>
      </c>
      <c r="I3551" t="s">
        <v>89</v>
      </c>
      <c r="J3551" t="s">
        <v>219</v>
      </c>
      <c r="K3551">
        <v>1</v>
      </c>
      <c r="N3551" s="21"/>
      <c r="O3551" s="2"/>
      <c r="P3551" s="2"/>
      <c r="Q3551" s="4"/>
      <c r="R3551" s="4"/>
      <c r="S3551" s="4"/>
      <c r="T3551" s="4"/>
      <c r="U3551" s="4"/>
      <c r="V3551" s="4"/>
    </row>
    <row r="3552" spans="1:22" ht="14.5" customHeight="1" x14ac:dyDescent="0.2">
      <c r="A3552" s="54">
        <v>2020</v>
      </c>
      <c r="B3552" s="17" t="s">
        <v>258</v>
      </c>
      <c r="C3552" t="s">
        <v>1035</v>
      </c>
      <c r="D3552" s="22">
        <v>380</v>
      </c>
      <c r="E3552" s="16"/>
      <c r="G3552" t="s">
        <v>144</v>
      </c>
      <c r="H3552" t="s">
        <v>197</v>
      </c>
      <c r="I3552" t="s">
        <v>53</v>
      </c>
      <c r="J3552" t="s">
        <v>183</v>
      </c>
      <c r="K3552">
        <v>1</v>
      </c>
      <c r="N3552" s="21"/>
      <c r="O3552" s="2"/>
      <c r="P3552" s="2"/>
      <c r="Q3552" s="4"/>
      <c r="R3552" s="4"/>
      <c r="S3552" s="4"/>
      <c r="T3552" s="4"/>
      <c r="U3552" s="4"/>
      <c r="V3552" s="4"/>
    </row>
    <row r="3553" spans="1:22" ht="14.5" customHeight="1" x14ac:dyDescent="0.2">
      <c r="A3553" s="54">
        <v>2020</v>
      </c>
      <c r="B3553" s="17" t="s">
        <v>258</v>
      </c>
      <c r="C3553" t="s">
        <v>397</v>
      </c>
      <c r="D3553" s="22">
        <v>100</v>
      </c>
      <c r="E3553" s="16">
        <v>0.7</v>
      </c>
      <c r="F3553" t="s">
        <v>2945</v>
      </c>
      <c r="G3553" t="s">
        <v>151</v>
      </c>
      <c r="H3553" t="s">
        <v>279</v>
      </c>
      <c r="I3553" t="s">
        <v>108</v>
      </c>
      <c r="J3553" t="s">
        <v>183</v>
      </c>
      <c r="K3553">
        <v>1</v>
      </c>
      <c r="N3553" s="21"/>
      <c r="O3553" s="2"/>
      <c r="P3553" s="2"/>
      <c r="Q3553" s="4"/>
      <c r="R3553" s="4"/>
      <c r="S3553" s="4"/>
      <c r="T3553" s="4"/>
      <c r="U3553" s="4"/>
      <c r="V3553" s="4"/>
    </row>
    <row r="3554" spans="1:22" ht="14.5" customHeight="1" x14ac:dyDescent="0.2">
      <c r="A3554" s="54">
        <v>2020</v>
      </c>
      <c r="B3554" s="17" t="s">
        <v>258</v>
      </c>
      <c r="C3554" t="s">
        <v>479</v>
      </c>
      <c r="D3554" s="22">
        <v>100</v>
      </c>
      <c r="E3554" s="16"/>
      <c r="G3554" t="s">
        <v>150</v>
      </c>
      <c r="H3554" t="s">
        <v>217</v>
      </c>
      <c r="I3554" t="s">
        <v>59</v>
      </c>
      <c r="J3554" t="s">
        <v>219</v>
      </c>
      <c r="K3554">
        <v>1</v>
      </c>
      <c r="N3554" s="21"/>
      <c r="O3554" s="2"/>
      <c r="P3554" s="2"/>
      <c r="Q3554" s="4"/>
      <c r="R3554" s="4"/>
      <c r="S3554" s="4"/>
      <c r="T3554" s="4"/>
      <c r="U3554" s="4"/>
      <c r="V3554" s="4"/>
    </row>
    <row r="3555" spans="1:22" ht="14.5" customHeight="1" x14ac:dyDescent="0.2">
      <c r="A3555" s="54">
        <v>2020</v>
      </c>
      <c r="B3555" s="17" t="s">
        <v>258</v>
      </c>
      <c r="C3555" t="s">
        <v>479</v>
      </c>
      <c r="D3555" s="22">
        <v>290</v>
      </c>
      <c r="E3555" s="16"/>
      <c r="G3555" t="s">
        <v>150</v>
      </c>
      <c r="I3555" t="s">
        <v>9</v>
      </c>
      <c r="J3555" t="s">
        <v>9</v>
      </c>
      <c r="K3555">
        <v>0</v>
      </c>
      <c r="N3555" s="21"/>
      <c r="O3555" s="2"/>
      <c r="P3555" s="2"/>
      <c r="Q3555" s="4"/>
      <c r="R3555" s="4"/>
      <c r="S3555" s="4"/>
      <c r="T3555" s="4"/>
      <c r="U3555" s="4"/>
      <c r="V3555" s="4"/>
    </row>
    <row r="3556" spans="1:22" ht="14.5" customHeight="1" x14ac:dyDescent="0.2">
      <c r="A3556" s="54">
        <v>2020</v>
      </c>
      <c r="B3556" s="17" t="s">
        <v>258</v>
      </c>
      <c r="C3556" t="s">
        <v>444</v>
      </c>
      <c r="D3556" s="22">
        <v>600</v>
      </c>
      <c r="E3556" s="16"/>
      <c r="F3556" t="s">
        <v>2972</v>
      </c>
      <c r="G3556" t="s">
        <v>144</v>
      </c>
      <c r="H3556" t="s">
        <v>299</v>
      </c>
      <c r="I3556" t="s">
        <v>128</v>
      </c>
      <c r="J3556" t="s">
        <v>201</v>
      </c>
      <c r="K3556">
        <v>1</v>
      </c>
      <c r="N3556" s="21"/>
      <c r="O3556" s="2"/>
      <c r="P3556" s="2"/>
      <c r="Q3556" s="4"/>
      <c r="R3556" s="4"/>
      <c r="S3556" s="4"/>
      <c r="T3556" s="4"/>
      <c r="U3556" s="4"/>
      <c r="V3556" s="4"/>
    </row>
    <row r="3557" spans="1:22" ht="14.5" customHeight="1" x14ac:dyDescent="0.2">
      <c r="A3557" s="54">
        <v>2020</v>
      </c>
      <c r="B3557" s="17" t="s">
        <v>179</v>
      </c>
      <c r="C3557" t="s">
        <v>199</v>
      </c>
      <c r="D3557" s="22">
        <v>200</v>
      </c>
      <c r="E3557" s="16"/>
      <c r="G3557" t="s">
        <v>144</v>
      </c>
      <c r="H3557" t="s">
        <v>299</v>
      </c>
      <c r="I3557" t="s">
        <v>55</v>
      </c>
      <c r="J3557" t="s">
        <v>214</v>
      </c>
      <c r="K3557">
        <v>1</v>
      </c>
      <c r="N3557" s="21"/>
      <c r="O3557" s="2"/>
      <c r="P3557" s="2"/>
      <c r="Q3557" s="4"/>
      <c r="R3557" s="4"/>
      <c r="S3557" s="4"/>
      <c r="T3557" s="4"/>
      <c r="U3557" s="4"/>
      <c r="V3557" s="4"/>
    </row>
    <row r="3558" spans="1:22" ht="14.5" customHeight="1" x14ac:dyDescent="0.2">
      <c r="A3558" s="54">
        <v>2020</v>
      </c>
      <c r="B3558" s="17" t="s">
        <v>179</v>
      </c>
      <c r="C3558" t="s">
        <v>875</v>
      </c>
      <c r="D3558" s="22">
        <v>240</v>
      </c>
      <c r="E3558" s="16"/>
      <c r="F3558" t="s">
        <v>2973</v>
      </c>
      <c r="G3558" t="s">
        <v>144</v>
      </c>
      <c r="H3558" t="s">
        <v>232</v>
      </c>
      <c r="I3558" t="s">
        <v>133</v>
      </c>
      <c r="J3558" t="s">
        <v>195</v>
      </c>
      <c r="K3558">
        <v>1</v>
      </c>
      <c r="N3558" s="21"/>
      <c r="O3558" s="2"/>
      <c r="P3558" s="2"/>
      <c r="Q3558" s="4"/>
      <c r="R3558" s="4"/>
      <c r="S3558" s="4"/>
      <c r="T3558" s="4"/>
      <c r="U3558" s="4"/>
      <c r="V3558" s="4"/>
    </row>
    <row r="3559" spans="1:22" ht="14.5" customHeight="1" x14ac:dyDescent="0.2">
      <c r="A3559" s="54">
        <v>2020</v>
      </c>
      <c r="B3559" s="17" t="s">
        <v>179</v>
      </c>
      <c r="C3559" t="s">
        <v>2547</v>
      </c>
      <c r="D3559" s="22">
        <v>260</v>
      </c>
      <c r="E3559" s="16"/>
      <c r="G3559" t="s">
        <v>154</v>
      </c>
      <c r="H3559" t="s">
        <v>250</v>
      </c>
      <c r="I3559" t="s">
        <v>13</v>
      </c>
      <c r="J3559" t="s">
        <v>201</v>
      </c>
      <c r="K3559">
        <v>1</v>
      </c>
      <c r="N3559" s="21"/>
      <c r="O3559" s="2"/>
      <c r="P3559" s="2"/>
      <c r="Q3559" s="4"/>
      <c r="R3559" s="4"/>
      <c r="S3559" s="4"/>
      <c r="T3559" s="4"/>
      <c r="U3559" s="4"/>
      <c r="V3559" s="4"/>
    </row>
    <row r="3560" spans="1:22" ht="14.5" customHeight="1" x14ac:dyDescent="0.2">
      <c r="A3560" s="54">
        <v>2020</v>
      </c>
      <c r="B3560" s="17" t="s">
        <v>179</v>
      </c>
      <c r="C3560" t="s">
        <v>1035</v>
      </c>
      <c r="D3560" s="22">
        <v>630</v>
      </c>
      <c r="E3560" s="16"/>
      <c r="G3560" t="s">
        <v>144</v>
      </c>
      <c r="H3560" t="s">
        <v>273</v>
      </c>
      <c r="I3560" t="s">
        <v>139</v>
      </c>
      <c r="J3560" t="s">
        <v>219</v>
      </c>
      <c r="K3560">
        <v>1</v>
      </c>
      <c r="N3560" s="21"/>
      <c r="O3560" s="2"/>
      <c r="P3560" s="2"/>
      <c r="Q3560" s="4"/>
      <c r="R3560" s="4"/>
      <c r="S3560" s="4"/>
      <c r="T3560" s="4"/>
      <c r="U3560" s="4"/>
      <c r="V3560" s="4"/>
    </row>
    <row r="3561" spans="1:22" ht="14.5" customHeight="1" x14ac:dyDescent="0.2">
      <c r="A3561" s="54">
        <v>2020</v>
      </c>
      <c r="B3561" s="17" t="s">
        <v>179</v>
      </c>
      <c r="C3561" t="s">
        <v>1035</v>
      </c>
      <c r="D3561" s="22">
        <v>130</v>
      </c>
      <c r="E3561" s="16"/>
      <c r="F3561" t="s">
        <v>2974</v>
      </c>
      <c r="G3561" t="s">
        <v>144</v>
      </c>
      <c r="I3561" t="s">
        <v>13</v>
      </c>
      <c r="J3561" t="s">
        <v>201</v>
      </c>
      <c r="K3561">
        <v>1</v>
      </c>
      <c r="N3561" s="21"/>
      <c r="O3561" s="2"/>
      <c r="P3561" s="2"/>
      <c r="Q3561" s="4"/>
      <c r="R3561" s="4"/>
      <c r="S3561" s="4"/>
      <c r="T3561" s="4"/>
      <c r="U3561" s="4"/>
      <c r="V3561" s="4"/>
    </row>
    <row r="3562" spans="1:22" ht="14.5" customHeight="1" x14ac:dyDescent="0.2">
      <c r="A3562" s="54">
        <v>2020</v>
      </c>
      <c r="B3562" s="17" t="s">
        <v>179</v>
      </c>
      <c r="C3562" t="s">
        <v>530</v>
      </c>
      <c r="D3562" s="22">
        <v>190</v>
      </c>
      <c r="E3562" s="16"/>
      <c r="G3562" t="s">
        <v>152</v>
      </c>
      <c r="I3562" t="s">
        <v>97</v>
      </c>
      <c r="J3562" t="s">
        <v>183</v>
      </c>
      <c r="K3562">
        <v>1</v>
      </c>
      <c r="N3562" s="21"/>
      <c r="O3562" s="2"/>
      <c r="P3562" s="2"/>
      <c r="Q3562" s="4"/>
      <c r="R3562" s="4"/>
      <c r="S3562" s="4"/>
      <c r="T3562" s="4"/>
      <c r="U3562" s="4"/>
      <c r="V3562" s="4"/>
    </row>
    <row r="3563" spans="1:22" ht="14.5" customHeight="1" x14ac:dyDescent="0.2">
      <c r="A3563" s="54">
        <v>2020</v>
      </c>
      <c r="B3563" s="17" t="s">
        <v>179</v>
      </c>
      <c r="C3563" t="s">
        <v>479</v>
      </c>
      <c r="D3563" s="22">
        <v>190</v>
      </c>
      <c r="E3563" s="16"/>
      <c r="G3563" t="s">
        <v>154</v>
      </c>
      <c r="H3563" t="s">
        <v>194</v>
      </c>
      <c r="I3563" t="s">
        <v>23</v>
      </c>
      <c r="J3563" t="s">
        <v>183</v>
      </c>
      <c r="K3563">
        <v>1</v>
      </c>
      <c r="N3563" s="21"/>
      <c r="O3563" s="2"/>
      <c r="P3563" s="2"/>
      <c r="Q3563" s="4"/>
      <c r="R3563" s="4"/>
      <c r="S3563" s="4"/>
      <c r="T3563" s="4"/>
      <c r="U3563" s="4"/>
      <c r="V3563" s="4"/>
    </row>
    <row r="3564" spans="1:22" ht="14.5" customHeight="1" x14ac:dyDescent="0.2">
      <c r="A3564" s="54">
        <v>2020</v>
      </c>
      <c r="B3564" s="17" t="s">
        <v>179</v>
      </c>
      <c r="C3564" t="s">
        <v>449</v>
      </c>
      <c r="D3564" s="22">
        <v>830</v>
      </c>
      <c r="E3564" s="16"/>
      <c r="G3564" t="s">
        <v>154</v>
      </c>
      <c r="H3564" t="s">
        <v>529</v>
      </c>
      <c r="I3564" t="s">
        <v>138</v>
      </c>
      <c r="J3564" t="s">
        <v>219</v>
      </c>
      <c r="K3564">
        <v>1</v>
      </c>
      <c r="N3564" s="21"/>
      <c r="O3564" s="2"/>
      <c r="P3564" s="2"/>
      <c r="Q3564" s="4"/>
      <c r="R3564" s="4"/>
      <c r="S3564" s="4"/>
      <c r="T3564" s="4"/>
      <c r="U3564" s="4"/>
      <c r="V3564" s="4"/>
    </row>
    <row r="3565" spans="1:22" ht="14.5" customHeight="1" x14ac:dyDescent="0.2">
      <c r="A3565" s="54">
        <v>2020</v>
      </c>
      <c r="B3565" s="17" t="s">
        <v>179</v>
      </c>
      <c r="C3565" t="s">
        <v>341</v>
      </c>
      <c r="D3565" s="22">
        <v>120</v>
      </c>
      <c r="E3565" s="16"/>
      <c r="G3565" t="s">
        <v>150</v>
      </c>
      <c r="I3565" t="s">
        <v>96</v>
      </c>
      <c r="J3565" t="s">
        <v>205</v>
      </c>
      <c r="K3565">
        <v>1</v>
      </c>
      <c r="N3565" s="21"/>
      <c r="O3565" s="2"/>
      <c r="P3565" s="2"/>
      <c r="Q3565" s="4"/>
      <c r="R3565" s="4"/>
      <c r="S3565" s="4"/>
      <c r="T3565" s="4"/>
      <c r="U3565" s="4"/>
      <c r="V3565" s="4"/>
    </row>
    <row r="3566" spans="1:22" ht="14.5" customHeight="1" x14ac:dyDescent="0.2">
      <c r="A3566" s="54">
        <v>2020</v>
      </c>
      <c r="B3566" s="17" t="s">
        <v>179</v>
      </c>
      <c r="C3566" t="s">
        <v>2975</v>
      </c>
      <c r="D3566" s="22">
        <v>320</v>
      </c>
      <c r="E3566" s="16"/>
      <c r="G3566" t="s">
        <v>155</v>
      </c>
      <c r="I3566" t="s">
        <v>92</v>
      </c>
      <c r="J3566" t="s">
        <v>214</v>
      </c>
      <c r="K3566">
        <v>1</v>
      </c>
      <c r="N3566" s="21"/>
      <c r="O3566" s="2"/>
      <c r="P3566" s="2"/>
      <c r="Q3566" s="4"/>
      <c r="R3566" s="4"/>
      <c r="S3566" s="4"/>
      <c r="T3566" s="4"/>
      <c r="U3566" s="4"/>
      <c r="V3566" s="4"/>
    </row>
    <row r="3567" spans="1:22" ht="14.5" customHeight="1" x14ac:dyDescent="0.2">
      <c r="A3567" s="54">
        <v>2020</v>
      </c>
      <c r="B3567" s="17" t="s">
        <v>179</v>
      </c>
      <c r="C3567" t="s">
        <v>221</v>
      </c>
      <c r="D3567" s="22">
        <v>860</v>
      </c>
      <c r="E3567" s="16"/>
      <c r="G3567" t="s">
        <v>143</v>
      </c>
      <c r="I3567" t="s">
        <v>14</v>
      </c>
      <c r="J3567" t="s">
        <v>195</v>
      </c>
      <c r="K3567">
        <v>1</v>
      </c>
      <c r="N3567" s="21"/>
      <c r="O3567" s="2"/>
      <c r="P3567" s="2"/>
      <c r="Q3567" s="4"/>
      <c r="R3567" s="4"/>
      <c r="S3567" s="4"/>
      <c r="T3567" s="4"/>
      <c r="U3567" s="4"/>
      <c r="V3567" s="4"/>
    </row>
    <row r="3568" spans="1:22" ht="14.5" customHeight="1" x14ac:dyDescent="0.2">
      <c r="A3568" s="54">
        <v>2020</v>
      </c>
      <c r="B3568" s="17" t="s">
        <v>184</v>
      </c>
      <c r="C3568" t="s">
        <v>479</v>
      </c>
      <c r="D3568" s="22">
        <v>320</v>
      </c>
      <c r="E3568" s="16">
        <v>0.31</v>
      </c>
      <c r="G3568" t="s">
        <v>155</v>
      </c>
      <c r="I3568" t="s">
        <v>108</v>
      </c>
      <c r="J3568" t="s">
        <v>183</v>
      </c>
      <c r="K3568">
        <v>1</v>
      </c>
      <c r="N3568" s="21"/>
      <c r="O3568" s="2"/>
      <c r="P3568" s="2"/>
      <c r="Q3568" s="4"/>
      <c r="R3568" s="4"/>
      <c r="S3568" s="4"/>
      <c r="T3568" s="4"/>
      <c r="U3568" s="4"/>
      <c r="V3568" s="4"/>
    </row>
    <row r="3569" spans="1:22" ht="14.5" customHeight="1" x14ac:dyDescent="0.2">
      <c r="A3569" s="54">
        <v>2020</v>
      </c>
      <c r="B3569" s="17" t="s">
        <v>184</v>
      </c>
      <c r="C3569" t="s">
        <v>449</v>
      </c>
      <c r="D3569" s="22">
        <v>100</v>
      </c>
      <c r="E3569" s="16"/>
      <c r="G3569" t="s">
        <v>154</v>
      </c>
      <c r="H3569" t="s">
        <v>194</v>
      </c>
      <c r="I3569" t="s">
        <v>134</v>
      </c>
      <c r="J3569" t="s">
        <v>201</v>
      </c>
      <c r="K3569">
        <v>1</v>
      </c>
      <c r="N3569" s="21"/>
      <c r="O3569" s="2"/>
      <c r="P3569" s="2"/>
      <c r="Q3569" s="4"/>
      <c r="R3569" s="4"/>
      <c r="S3569" s="4"/>
      <c r="T3569" s="4"/>
      <c r="U3569" s="4"/>
      <c r="V3569" s="4"/>
    </row>
    <row r="3570" spans="1:22" ht="14.5" customHeight="1" x14ac:dyDescent="0.2">
      <c r="A3570" s="54">
        <v>2020</v>
      </c>
      <c r="B3570" s="17" t="s">
        <v>184</v>
      </c>
      <c r="C3570" t="s">
        <v>1035</v>
      </c>
      <c r="D3570" s="22">
        <v>930</v>
      </c>
      <c r="E3570" s="16"/>
      <c r="G3570" t="s">
        <v>144</v>
      </c>
      <c r="H3570" t="s">
        <v>197</v>
      </c>
      <c r="I3570" t="s">
        <v>46</v>
      </c>
      <c r="J3570" t="s">
        <v>219</v>
      </c>
      <c r="K3570">
        <v>1</v>
      </c>
      <c r="N3570" s="21"/>
      <c r="O3570" s="2"/>
      <c r="P3570" s="2"/>
      <c r="Q3570" s="4"/>
      <c r="R3570" s="4"/>
      <c r="S3570" s="4"/>
      <c r="T3570" s="4"/>
      <c r="U3570" s="4"/>
      <c r="V3570" s="4"/>
    </row>
    <row r="3571" spans="1:22" ht="14.5" customHeight="1" x14ac:dyDescent="0.2">
      <c r="A3571" s="54">
        <v>2020</v>
      </c>
      <c r="B3571" s="17" t="s">
        <v>184</v>
      </c>
      <c r="C3571" t="s">
        <v>449</v>
      </c>
      <c r="D3571" s="22">
        <v>160</v>
      </c>
      <c r="E3571" s="16"/>
      <c r="G3571" t="s">
        <v>145</v>
      </c>
      <c r="I3571" t="s">
        <v>23</v>
      </c>
      <c r="J3571" t="s">
        <v>183</v>
      </c>
      <c r="K3571">
        <v>1</v>
      </c>
      <c r="N3571" s="21"/>
      <c r="O3571" s="2"/>
      <c r="P3571" s="2"/>
      <c r="Q3571" s="4"/>
      <c r="R3571" s="4"/>
      <c r="S3571" s="4"/>
      <c r="T3571" s="4"/>
      <c r="U3571" s="4"/>
      <c r="V3571" s="4"/>
    </row>
    <row r="3572" spans="1:22" ht="14.5" customHeight="1" x14ac:dyDescent="0.2">
      <c r="A3572" s="54">
        <v>2020</v>
      </c>
      <c r="B3572" s="17" t="s">
        <v>184</v>
      </c>
      <c r="C3572" t="s">
        <v>2667</v>
      </c>
      <c r="D3572" s="22">
        <v>320</v>
      </c>
      <c r="E3572" s="16"/>
      <c r="G3572" t="s">
        <v>144</v>
      </c>
      <c r="H3572" t="s">
        <v>197</v>
      </c>
      <c r="I3572" t="s">
        <v>67</v>
      </c>
      <c r="J3572" t="s">
        <v>183</v>
      </c>
      <c r="K3572">
        <v>1</v>
      </c>
      <c r="N3572" s="21"/>
      <c r="O3572" s="2"/>
      <c r="P3572" s="2"/>
      <c r="Q3572" s="4"/>
      <c r="R3572" s="4"/>
      <c r="S3572" s="4"/>
      <c r="T3572" s="4"/>
      <c r="U3572" s="4"/>
      <c r="V3572" s="4"/>
    </row>
    <row r="3573" spans="1:22" ht="14.5" customHeight="1" x14ac:dyDescent="0.2">
      <c r="A3573" s="54">
        <v>2020</v>
      </c>
      <c r="B3573" s="17" t="s">
        <v>184</v>
      </c>
      <c r="C3573" t="s">
        <v>875</v>
      </c>
      <c r="D3573" s="22">
        <v>500</v>
      </c>
      <c r="E3573" s="16"/>
      <c r="G3573" t="s">
        <v>144</v>
      </c>
      <c r="H3573" t="s">
        <v>232</v>
      </c>
      <c r="I3573" t="s">
        <v>124</v>
      </c>
      <c r="J3573" t="s">
        <v>183</v>
      </c>
      <c r="K3573">
        <v>1</v>
      </c>
      <c r="N3573" s="21"/>
      <c r="O3573" s="2"/>
      <c r="P3573" s="2"/>
      <c r="Q3573" s="4"/>
      <c r="R3573" s="4"/>
      <c r="S3573" s="4"/>
      <c r="T3573" s="4"/>
      <c r="U3573" s="4"/>
      <c r="V3573" s="4"/>
    </row>
    <row r="3574" spans="1:22" ht="14.5" customHeight="1" x14ac:dyDescent="0.2">
      <c r="A3574" s="54">
        <v>2020</v>
      </c>
      <c r="B3574" s="17" t="s">
        <v>225</v>
      </c>
      <c r="C3574" t="s">
        <v>875</v>
      </c>
      <c r="D3574" s="22">
        <v>1400</v>
      </c>
      <c r="E3574" s="16"/>
      <c r="F3574" t="s">
        <v>2976</v>
      </c>
      <c r="G3574" t="s">
        <v>144</v>
      </c>
      <c r="H3574" t="s">
        <v>273</v>
      </c>
      <c r="I3574" t="s">
        <v>136</v>
      </c>
      <c r="J3574" t="s">
        <v>183</v>
      </c>
      <c r="K3574">
        <v>1</v>
      </c>
      <c r="N3574" s="21"/>
      <c r="O3574" s="2"/>
      <c r="P3574" s="2"/>
      <c r="Q3574" s="4"/>
      <c r="R3574" s="4"/>
      <c r="S3574" s="4"/>
      <c r="T3574" s="4"/>
      <c r="U3574" s="4"/>
      <c r="V3574" s="4"/>
    </row>
    <row r="3575" spans="1:22" ht="14.5" customHeight="1" x14ac:dyDescent="0.2">
      <c r="A3575" s="54">
        <v>2020</v>
      </c>
      <c r="B3575" s="17" t="s">
        <v>225</v>
      </c>
      <c r="C3575" t="s">
        <v>1035</v>
      </c>
      <c r="D3575" s="22">
        <v>350</v>
      </c>
      <c r="E3575" s="16"/>
      <c r="F3575" t="s">
        <v>2435</v>
      </c>
      <c r="G3575" t="s">
        <v>144</v>
      </c>
      <c r="H3575" t="s">
        <v>232</v>
      </c>
      <c r="I3575" t="s">
        <v>138</v>
      </c>
      <c r="J3575" t="s">
        <v>219</v>
      </c>
      <c r="K3575">
        <v>1</v>
      </c>
      <c r="N3575" s="21"/>
      <c r="O3575" s="2"/>
      <c r="P3575" s="2"/>
      <c r="Q3575" s="4"/>
      <c r="R3575" s="4"/>
      <c r="S3575" s="4"/>
      <c r="T3575" s="4"/>
      <c r="U3575" s="4"/>
      <c r="V3575" s="4"/>
    </row>
    <row r="3576" spans="1:22" ht="14.5" customHeight="1" x14ac:dyDescent="0.2">
      <c r="A3576" s="54">
        <v>2020</v>
      </c>
      <c r="B3576" s="17" t="s">
        <v>225</v>
      </c>
      <c r="C3576" t="s">
        <v>1018</v>
      </c>
      <c r="D3576" s="22">
        <v>130</v>
      </c>
      <c r="E3576" s="16"/>
      <c r="G3576" t="s">
        <v>147</v>
      </c>
      <c r="I3576" t="s">
        <v>138</v>
      </c>
      <c r="J3576" t="s">
        <v>219</v>
      </c>
      <c r="K3576">
        <v>1</v>
      </c>
      <c r="N3576" s="21"/>
      <c r="O3576" s="2"/>
      <c r="P3576" s="2"/>
      <c r="Q3576" s="4"/>
      <c r="R3576" s="4"/>
      <c r="S3576" s="4"/>
      <c r="T3576" s="4"/>
      <c r="U3576" s="4"/>
      <c r="V3576" s="4"/>
    </row>
    <row r="3577" spans="1:22" s="17" customFormat="1" ht="14.5" customHeight="1" x14ac:dyDescent="0.2">
      <c r="A3577" s="54">
        <v>2020</v>
      </c>
      <c r="B3577" s="17" t="s">
        <v>225</v>
      </c>
      <c r="C3577" t="s">
        <v>341</v>
      </c>
      <c r="D3577" s="22">
        <v>1920</v>
      </c>
      <c r="E3577" s="16"/>
      <c r="G3577" t="s">
        <v>154</v>
      </c>
      <c r="H3577" t="s">
        <v>529</v>
      </c>
      <c r="I3577" t="s">
        <v>53</v>
      </c>
      <c r="J3577" t="s">
        <v>183</v>
      </c>
      <c r="K3577">
        <v>1</v>
      </c>
      <c r="N3577" s="21"/>
      <c r="O3577" s="2"/>
      <c r="P3577" s="2"/>
      <c r="Q3577" s="4"/>
      <c r="R3577" s="4"/>
      <c r="S3577" s="4"/>
      <c r="T3577" s="4"/>
      <c r="U3577" s="4"/>
      <c r="V3577" s="4"/>
    </row>
    <row r="3578" spans="1:22" ht="14.5" customHeight="1" x14ac:dyDescent="0.2">
      <c r="A3578" s="54">
        <v>2020</v>
      </c>
      <c r="B3578" s="17" t="s">
        <v>225</v>
      </c>
      <c r="C3578" t="s">
        <v>397</v>
      </c>
      <c r="D3578" s="22">
        <v>120</v>
      </c>
      <c r="E3578" s="16"/>
      <c r="G3578" t="s">
        <v>148</v>
      </c>
      <c r="I3578" t="s">
        <v>5</v>
      </c>
      <c r="J3578" t="s">
        <v>214</v>
      </c>
      <c r="K3578">
        <v>1</v>
      </c>
      <c r="N3578" s="21"/>
      <c r="O3578" s="2"/>
      <c r="P3578" s="2"/>
      <c r="Q3578" s="4"/>
      <c r="R3578" s="4"/>
      <c r="S3578" s="4"/>
      <c r="T3578" s="4"/>
      <c r="U3578" s="4"/>
      <c r="V3578" s="4"/>
    </row>
    <row r="3579" spans="1:22" ht="14.5" customHeight="1" x14ac:dyDescent="0.2">
      <c r="A3579" s="54">
        <v>2020</v>
      </c>
      <c r="B3579" s="17" t="s">
        <v>225</v>
      </c>
      <c r="C3579" t="s">
        <v>479</v>
      </c>
      <c r="D3579" s="22">
        <v>170</v>
      </c>
      <c r="E3579" s="16"/>
      <c r="G3579" t="s">
        <v>154</v>
      </c>
      <c r="H3579" t="s">
        <v>529</v>
      </c>
      <c r="I3579" t="s">
        <v>9</v>
      </c>
      <c r="J3579" t="s">
        <v>9</v>
      </c>
      <c r="K3579">
        <v>0</v>
      </c>
      <c r="N3579" s="21"/>
      <c r="O3579" s="2"/>
      <c r="P3579" s="2"/>
      <c r="Q3579" s="4"/>
      <c r="R3579" s="4"/>
      <c r="S3579" s="4"/>
      <c r="T3579" s="4"/>
      <c r="U3579" s="4"/>
      <c r="V3579" s="4"/>
    </row>
    <row r="3580" spans="1:22" ht="14.5" customHeight="1" x14ac:dyDescent="0.2">
      <c r="A3580" s="54">
        <v>2020</v>
      </c>
      <c r="B3580" s="17" t="s">
        <v>225</v>
      </c>
      <c r="C3580" t="s">
        <v>341</v>
      </c>
      <c r="D3580" s="22">
        <v>140</v>
      </c>
      <c r="E3580" s="16"/>
      <c r="G3580" t="s">
        <v>154</v>
      </c>
      <c r="H3580" t="s">
        <v>529</v>
      </c>
      <c r="I3580" t="s">
        <v>67</v>
      </c>
      <c r="J3580" t="s">
        <v>183</v>
      </c>
      <c r="K3580">
        <v>1</v>
      </c>
      <c r="N3580" s="21"/>
      <c r="O3580" s="2"/>
      <c r="P3580" s="2"/>
      <c r="Q3580" s="4"/>
      <c r="R3580" s="4"/>
      <c r="S3580" s="4"/>
      <c r="T3580" s="4"/>
      <c r="U3580" s="4"/>
      <c r="V3580" s="4"/>
    </row>
    <row r="3581" spans="1:22" ht="14.5" customHeight="1" x14ac:dyDescent="0.2">
      <c r="A3581" s="54">
        <v>2020</v>
      </c>
      <c r="B3581" s="17" t="s">
        <v>225</v>
      </c>
      <c r="C3581" t="s">
        <v>1035</v>
      </c>
      <c r="D3581" s="22">
        <v>430</v>
      </c>
      <c r="E3581" s="16"/>
      <c r="F3581" t="s">
        <v>1247</v>
      </c>
      <c r="G3581" t="s">
        <v>155</v>
      </c>
      <c r="I3581" t="s">
        <v>105</v>
      </c>
      <c r="J3581" t="s">
        <v>214</v>
      </c>
      <c r="K3581">
        <v>1</v>
      </c>
      <c r="N3581" s="21"/>
      <c r="O3581" s="2"/>
      <c r="P3581" s="2"/>
      <c r="Q3581" s="4"/>
      <c r="R3581" s="4"/>
      <c r="S3581" s="4"/>
      <c r="T3581" s="4"/>
      <c r="U3581" s="4"/>
      <c r="V3581" s="4"/>
    </row>
    <row r="3582" spans="1:22" ht="14.5" customHeight="1" x14ac:dyDescent="0.2">
      <c r="A3582" s="54">
        <v>2020</v>
      </c>
      <c r="B3582" s="17" t="s">
        <v>225</v>
      </c>
      <c r="C3582" t="s">
        <v>875</v>
      </c>
      <c r="D3582" s="22">
        <v>110</v>
      </c>
      <c r="E3582" s="16"/>
      <c r="F3582" t="s">
        <v>2977</v>
      </c>
      <c r="G3582" t="s">
        <v>144</v>
      </c>
      <c r="H3582" t="s">
        <v>232</v>
      </c>
      <c r="I3582" t="s">
        <v>94</v>
      </c>
      <c r="J3582" t="s">
        <v>177</v>
      </c>
      <c r="K3582">
        <v>0</v>
      </c>
      <c r="N3582" s="21"/>
      <c r="O3582" s="2"/>
      <c r="P3582" s="2"/>
      <c r="Q3582" s="4"/>
      <c r="R3582" s="4"/>
      <c r="S3582" s="4"/>
      <c r="T3582" s="4"/>
      <c r="U3582" s="4"/>
      <c r="V3582" s="4"/>
    </row>
    <row r="3583" spans="1:22" ht="14.25" customHeight="1" x14ac:dyDescent="0.2">
      <c r="A3583" s="54">
        <v>2020</v>
      </c>
      <c r="B3583" s="17" t="s">
        <v>188</v>
      </c>
      <c r="C3583" t="s">
        <v>875</v>
      </c>
      <c r="D3583" s="22">
        <v>120</v>
      </c>
      <c r="E3583" s="16"/>
      <c r="F3583" t="s">
        <v>2978</v>
      </c>
      <c r="G3583" t="s">
        <v>144</v>
      </c>
      <c r="H3583" t="s">
        <v>273</v>
      </c>
      <c r="I3583" t="s">
        <v>17</v>
      </c>
      <c r="J3583" t="s">
        <v>195</v>
      </c>
      <c r="K3583">
        <v>1</v>
      </c>
      <c r="N3583" s="21"/>
      <c r="O3583" s="2"/>
      <c r="P3583" s="2"/>
      <c r="Q3583" s="4"/>
      <c r="R3583" s="4"/>
      <c r="S3583" s="4"/>
      <c r="T3583" s="4"/>
      <c r="U3583" s="4"/>
      <c r="V3583" s="4"/>
    </row>
    <row r="3584" spans="1:22" ht="14.5" customHeight="1" x14ac:dyDescent="0.2">
      <c r="A3584" s="54">
        <v>2020</v>
      </c>
      <c r="B3584" s="17" t="s">
        <v>188</v>
      </c>
      <c r="C3584" t="s">
        <v>2228</v>
      </c>
      <c r="D3584" s="22">
        <v>180</v>
      </c>
      <c r="E3584" s="16"/>
      <c r="G3584" t="s">
        <v>154</v>
      </c>
      <c r="H3584" t="s">
        <v>194</v>
      </c>
      <c r="I3584" t="s">
        <v>106</v>
      </c>
      <c r="J3584" t="s">
        <v>195</v>
      </c>
      <c r="K3584">
        <v>1</v>
      </c>
      <c r="N3584" s="21"/>
      <c r="O3584" s="2"/>
      <c r="P3584" s="2"/>
      <c r="Q3584" s="4"/>
      <c r="R3584" s="4"/>
      <c r="S3584" s="4"/>
      <c r="T3584" s="4"/>
      <c r="U3584" s="4"/>
      <c r="V3584" s="4"/>
    </row>
    <row r="3585" spans="1:22" ht="14.5" customHeight="1" x14ac:dyDescent="0.2">
      <c r="A3585" s="54">
        <v>2020</v>
      </c>
      <c r="B3585" s="17" t="s">
        <v>188</v>
      </c>
      <c r="C3585" t="s">
        <v>1035</v>
      </c>
      <c r="D3585" s="22">
        <v>1930</v>
      </c>
      <c r="E3585" s="16">
        <v>0.7</v>
      </c>
      <c r="G3585" t="s">
        <v>144</v>
      </c>
      <c r="H3585" t="s">
        <v>197</v>
      </c>
      <c r="I3585" t="s">
        <v>93</v>
      </c>
      <c r="J3585" t="s">
        <v>201</v>
      </c>
      <c r="K3585">
        <v>1</v>
      </c>
      <c r="N3585" s="21"/>
      <c r="O3585" s="2"/>
      <c r="P3585" s="2"/>
      <c r="Q3585" s="4"/>
      <c r="R3585" s="4"/>
      <c r="S3585" s="4"/>
      <c r="T3585" s="4"/>
      <c r="U3585" s="4"/>
      <c r="V3585" s="4"/>
    </row>
    <row r="3586" spans="1:22" ht="14.5" customHeight="1" x14ac:dyDescent="0.2">
      <c r="A3586" s="54">
        <v>2020</v>
      </c>
      <c r="B3586" s="17" t="s">
        <v>188</v>
      </c>
      <c r="C3586" t="s">
        <v>449</v>
      </c>
      <c r="D3586" s="22">
        <v>290</v>
      </c>
      <c r="E3586" s="16"/>
      <c r="G3586" t="s">
        <v>151</v>
      </c>
      <c r="H3586" t="s">
        <v>279</v>
      </c>
      <c r="I3586" t="s">
        <v>100</v>
      </c>
      <c r="J3586" t="s">
        <v>214</v>
      </c>
      <c r="K3586">
        <v>1</v>
      </c>
      <c r="N3586" s="21"/>
      <c r="O3586" s="2"/>
      <c r="P3586" s="2"/>
      <c r="Q3586" s="4"/>
      <c r="R3586" s="4"/>
      <c r="S3586" s="4"/>
      <c r="T3586" s="4"/>
      <c r="U3586" s="4"/>
      <c r="V3586" s="4"/>
    </row>
    <row r="3587" spans="1:22" ht="14.5" customHeight="1" x14ac:dyDescent="0.2">
      <c r="A3587" s="54">
        <v>2020</v>
      </c>
      <c r="B3587" s="17" t="s">
        <v>188</v>
      </c>
      <c r="C3587" t="s">
        <v>399</v>
      </c>
      <c r="D3587" s="22">
        <v>180</v>
      </c>
      <c r="E3587" s="16"/>
      <c r="F3587" t="s">
        <v>2979</v>
      </c>
      <c r="G3587" t="s">
        <v>144</v>
      </c>
      <c r="H3587" t="s">
        <v>299</v>
      </c>
      <c r="I3587" t="s">
        <v>13</v>
      </c>
      <c r="J3587" t="s">
        <v>201</v>
      </c>
      <c r="K3587">
        <v>1</v>
      </c>
      <c r="N3587" s="21"/>
      <c r="O3587" s="2"/>
      <c r="P3587" s="2"/>
      <c r="Q3587" s="4"/>
      <c r="R3587" s="4"/>
      <c r="S3587" s="4"/>
      <c r="T3587" s="4"/>
      <c r="U3587" s="4"/>
      <c r="V3587" s="4"/>
    </row>
    <row r="3588" spans="1:22" ht="14.5" customHeight="1" x14ac:dyDescent="0.2">
      <c r="A3588" s="54">
        <v>2020</v>
      </c>
      <c r="B3588" s="17" t="s">
        <v>188</v>
      </c>
      <c r="C3588" t="s">
        <v>449</v>
      </c>
      <c r="D3588" s="22">
        <v>120</v>
      </c>
      <c r="E3588" s="16"/>
      <c r="G3588" t="s">
        <v>154</v>
      </c>
      <c r="H3588" t="s">
        <v>250</v>
      </c>
      <c r="I3588" t="s">
        <v>126</v>
      </c>
      <c r="J3588" t="s">
        <v>177</v>
      </c>
      <c r="K3588">
        <v>1</v>
      </c>
      <c r="N3588" s="21"/>
      <c r="O3588" s="2"/>
      <c r="P3588" s="2"/>
      <c r="Q3588" s="4"/>
      <c r="R3588" s="4"/>
      <c r="S3588" s="4"/>
      <c r="T3588" s="4"/>
      <c r="U3588" s="4"/>
      <c r="V3588" s="4"/>
    </row>
    <row r="3589" spans="1:22" ht="14.5" customHeight="1" x14ac:dyDescent="0.2">
      <c r="A3589" s="54">
        <v>2020</v>
      </c>
      <c r="B3589" s="17" t="s">
        <v>188</v>
      </c>
      <c r="C3589" t="s">
        <v>2980</v>
      </c>
      <c r="D3589" s="22">
        <v>100</v>
      </c>
      <c r="E3589" s="16"/>
      <c r="G3589" t="s">
        <v>145</v>
      </c>
      <c r="I3589" t="s">
        <v>14</v>
      </c>
      <c r="J3589" t="s">
        <v>195</v>
      </c>
      <c r="K3589">
        <v>1</v>
      </c>
      <c r="N3589" s="21"/>
      <c r="O3589" s="2"/>
      <c r="P3589" s="2"/>
      <c r="Q3589" s="4"/>
      <c r="R3589" s="4"/>
      <c r="S3589" s="4"/>
      <c r="T3589" s="4"/>
      <c r="U3589" s="4"/>
      <c r="V3589" s="4"/>
    </row>
    <row r="3590" spans="1:22" ht="14.5" customHeight="1" x14ac:dyDescent="0.2">
      <c r="A3590" s="54">
        <v>2020</v>
      </c>
      <c r="B3590" s="17" t="s">
        <v>188</v>
      </c>
      <c r="C3590" t="s">
        <v>449</v>
      </c>
      <c r="D3590" s="22">
        <v>480</v>
      </c>
      <c r="E3590" s="16"/>
      <c r="G3590" t="s">
        <v>151</v>
      </c>
      <c r="H3590" t="s">
        <v>279</v>
      </c>
      <c r="I3590" t="s">
        <v>130</v>
      </c>
      <c r="J3590" t="s">
        <v>214</v>
      </c>
      <c r="K3590">
        <v>1</v>
      </c>
      <c r="N3590" s="21"/>
      <c r="O3590" s="2"/>
      <c r="P3590" s="2"/>
      <c r="Q3590" s="4"/>
      <c r="R3590" s="4"/>
      <c r="S3590" s="4"/>
      <c r="T3590" s="4"/>
      <c r="U3590" s="4"/>
      <c r="V3590" s="4"/>
    </row>
    <row r="3591" spans="1:22" ht="14.5" customHeight="1" x14ac:dyDescent="0.2">
      <c r="A3591" s="54">
        <v>2020</v>
      </c>
      <c r="B3591" s="17" t="s">
        <v>191</v>
      </c>
      <c r="C3591" t="s">
        <v>2981</v>
      </c>
      <c r="D3591" s="22">
        <v>100</v>
      </c>
      <c r="E3591" s="16"/>
      <c r="G3591" t="s">
        <v>154</v>
      </c>
      <c r="H3591" t="s">
        <v>194</v>
      </c>
      <c r="I3591" t="s">
        <v>123</v>
      </c>
      <c r="J3591" t="s">
        <v>219</v>
      </c>
      <c r="K3591">
        <v>1</v>
      </c>
      <c r="N3591" s="21"/>
      <c r="O3591" s="2"/>
      <c r="P3591" s="2"/>
      <c r="Q3591" s="4"/>
      <c r="R3591" s="4"/>
      <c r="S3591" s="4"/>
      <c r="T3591" s="4"/>
      <c r="U3591" s="4"/>
      <c r="V3591" s="4"/>
    </row>
    <row r="3592" spans="1:22" ht="14.5" customHeight="1" x14ac:dyDescent="0.2">
      <c r="A3592" s="54">
        <v>2020</v>
      </c>
      <c r="B3592" s="17" t="s">
        <v>191</v>
      </c>
      <c r="C3592" t="s">
        <v>2982</v>
      </c>
      <c r="D3592" s="22">
        <v>120</v>
      </c>
      <c r="E3592" s="16"/>
      <c r="G3592" t="s">
        <v>154</v>
      </c>
      <c r="H3592" t="s">
        <v>529</v>
      </c>
      <c r="I3592" t="s">
        <v>130</v>
      </c>
      <c r="J3592" t="s">
        <v>214</v>
      </c>
      <c r="K3592">
        <v>1</v>
      </c>
      <c r="N3592" s="21"/>
      <c r="O3592" s="2"/>
      <c r="P3592" s="2"/>
      <c r="Q3592" s="4"/>
      <c r="R3592" s="4"/>
      <c r="S3592" s="4"/>
      <c r="T3592" s="4"/>
      <c r="U3592" s="4"/>
      <c r="V3592" s="4"/>
    </row>
    <row r="3593" spans="1:22" ht="14.5" customHeight="1" x14ac:dyDescent="0.2">
      <c r="A3593" s="54">
        <v>2020</v>
      </c>
      <c r="B3593" s="17" t="s">
        <v>191</v>
      </c>
      <c r="C3593" t="s">
        <v>2517</v>
      </c>
      <c r="D3593" s="22">
        <v>120</v>
      </c>
      <c r="E3593" s="16"/>
      <c r="G3593" t="s">
        <v>154</v>
      </c>
      <c r="H3593" t="s">
        <v>271</v>
      </c>
      <c r="I3593" t="s">
        <v>13</v>
      </c>
      <c r="J3593" t="s">
        <v>201</v>
      </c>
      <c r="K3593">
        <v>1</v>
      </c>
      <c r="N3593" s="21"/>
      <c r="O3593" s="2"/>
      <c r="P3593" s="2"/>
      <c r="Q3593" s="4"/>
      <c r="R3593" s="4"/>
      <c r="S3593" s="4"/>
      <c r="T3593" s="4"/>
      <c r="U3593" s="4"/>
      <c r="V3593" s="4"/>
    </row>
    <row r="3594" spans="1:22" ht="14.5" customHeight="1" x14ac:dyDescent="0.2">
      <c r="A3594" s="54">
        <v>2020</v>
      </c>
      <c r="B3594" s="17" t="s">
        <v>191</v>
      </c>
      <c r="C3594" t="s">
        <v>1035</v>
      </c>
      <c r="D3594" s="22">
        <v>330</v>
      </c>
      <c r="E3594" s="16"/>
      <c r="G3594" t="s">
        <v>155</v>
      </c>
      <c r="I3594" t="s">
        <v>108</v>
      </c>
      <c r="J3594" t="s">
        <v>183</v>
      </c>
      <c r="K3594">
        <v>1</v>
      </c>
      <c r="N3594" s="21"/>
      <c r="O3594" s="2"/>
      <c r="P3594" s="2"/>
      <c r="Q3594" s="4"/>
      <c r="R3594" s="4"/>
      <c r="S3594" s="4"/>
      <c r="T3594" s="4"/>
      <c r="U3594" s="4"/>
      <c r="V3594" s="4"/>
    </row>
    <row r="3595" spans="1:22" ht="14.5" customHeight="1" x14ac:dyDescent="0.2">
      <c r="A3595" s="54">
        <v>2020</v>
      </c>
      <c r="B3595" s="17" t="s">
        <v>191</v>
      </c>
      <c r="C3595" t="s">
        <v>2983</v>
      </c>
      <c r="D3595" s="22">
        <v>100</v>
      </c>
      <c r="E3595" s="16"/>
      <c r="G3595" t="s">
        <v>154</v>
      </c>
      <c r="H3595" t="s">
        <v>194</v>
      </c>
      <c r="I3595" t="s">
        <v>40</v>
      </c>
      <c r="J3595" t="s">
        <v>219</v>
      </c>
      <c r="K3595">
        <v>1</v>
      </c>
      <c r="N3595" s="21"/>
      <c r="O3595" s="2"/>
      <c r="P3595" s="2"/>
      <c r="Q3595" s="4"/>
      <c r="R3595" s="4"/>
      <c r="S3595" s="4"/>
      <c r="T3595" s="4"/>
      <c r="U3595" s="4"/>
      <c r="V3595" s="4"/>
    </row>
    <row r="3596" spans="1:22" ht="14.5" customHeight="1" x14ac:dyDescent="0.2">
      <c r="A3596" s="54">
        <v>2020</v>
      </c>
      <c r="B3596" s="17" t="s">
        <v>191</v>
      </c>
      <c r="C3596" t="s">
        <v>479</v>
      </c>
      <c r="D3596" s="22">
        <v>830</v>
      </c>
      <c r="E3596" s="16"/>
      <c r="G3596" t="s">
        <v>154</v>
      </c>
      <c r="H3596" t="s">
        <v>529</v>
      </c>
      <c r="I3596" t="s">
        <v>77</v>
      </c>
      <c r="J3596" t="s">
        <v>177</v>
      </c>
      <c r="K3596">
        <v>0</v>
      </c>
      <c r="N3596" s="21"/>
      <c r="O3596" s="2"/>
      <c r="P3596" s="2"/>
      <c r="Q3596" s="4"/>
      <c r="R3596" s="4"/>
      <c r="S3596" s="4"/>
      <c r="T3596" s="4"/>
      <c r="U3596" s="4"/>
      <c r="V3596" s="4"/>
    </row>
    <row r="3597" spans="1:22" ht="14.5" customHeight="1" x14ac:dyDescent="0.2">
      <c r="A3597" s="54">
        <v>2020</v>
      </c>
      <c r="B3597" s="17" t="s">
        <v>191</v>
      </c>
      <c r="C3597" t="s">
        <v>479</v>
      </c>
      <c r="D3597" s="22">
        <v>100</v>
      </c>
      <c r="E3597" s="16"/>
      <c r="F3597" t="s">
        <v>2984</v>
      </c>
      <c r="G3597" t="s">
        <v>154</v>
      </c>
      <c r="H3597" t="s">
        <v>194</v>
      </c>
      <c r="I3597" t="s">
        <v>72</v>
      </c>
      <c r="J3597" t="s">
        <v>183</v>
      </c>
      <c r="K3597">
        <v>1</v>
      </c>
      <c r="N3597" s="21"/>
      <c r="O3597" s="2"/>
      <c r="P3597" s="2"/>
      <c r="Q3597" s="4"/>
      <c r="R3597" s="4"/>
      <c r="S3597" s="4"/>
      <c r="T3597" s="4"/>
      <c r="U3597" s="4"/>
      <c r="V3597" s="4"/>
    </row>
    <row r="3598" spans="1:22" ht="14.5" customHeight="1" x14ac:dyDescent="0.2">
      <c r="A3598" s="54">
        <v>2020</v>
      </c>
      <c r="B3598" s="17" t="s">
        <v>198</v>
      </c>
      <c r="C3598" t="s">
        <v>875</v>
      </c>
      <c r="D3598" s="22">
        <v>160</v>
      </c>
      <c r="E3598" s="16"/>
      <c r="F3598" t="s">
        <v>2985</v>
      </c>
      <c r="G3598" t="s">
        <v>149</v>
      </c>
      <c r="H3598" t="s">
        <v>182</v>
      </c>
      <c r="I3598" t="s">
        <v>53</v>
      </c>
      <c r="J3598" t="s">
        <v>183</v>
      </c>
      <c r="K3598">
        <v>1</v>
      </c>
      <c r="N3598" s="21"/>
      <c r="O3598" s="2"/>
      <c r="P3598" s="2"/>
      <c r="Q3598" s="4"/>
      <c r="R3598" s="4"/>
      <c r="S3598" s="4"/>
      <c r="T3598" s="4"/>
      <c r="U3598" s="4"/>
      <c r="V3598" s="4"/>
    </row>
    <row r="3599" spans="1:22" ht="14.5" customHeight="1" x14ac:dyDescent="0.2">
      <c r="A3599" s="54">
        <v>2020</v>
      </c>
      <c r="B3599" s="17" t="s">
        <v>198</v>
      </c>
      <c r="C3599" t="s">
        <v>745</v>
      </c>
      <c r="D3599" s="22">
        <v>410</v>
      </c>
      <c r="E3599" s="16"/>
      <c r="F3599" t="s">
        <v>2986</v>
      </c>
      <c r="G3599" t="s">
        <v>143</v>
      </c>
      <c r="I3599" t="s">
        <v>92</v>
      </c>
      <c r="J3599" t="s">
        <v>214</v>
      </c>
      <c r="K3599">
        <v>1</v>
      </c>
      <c r="N3599" s="21"/>
      <c r="O3599" s="2"/>
      <c r="P3599" s="2"/>
      <c r="Q3599" s="4"/>
      <c r="R3599" s="4"/>
      <c r="S3599" s="4"/>
      <c r="T3599" s="4"/>
      <c r="U3599" s="4"/>
      <c r="V3599" s="4"/>
    </row>
    <row r="3600" spans="1:22" ht="14.5" customHeight="1" x14ac:dyDescent="0.2">
      <c r="A3600" s="54">
        <v>2020</v>
      </c>
      <c r="B3600" s="17" t="s">
        <v>198</v>
      </c>
      <c r="C3600" t="s">
        <v>557</v>
      </c>
      <c r="D3600" s="22">
        <v>300</v>
      </c>
      <c r="E3600" s="16"/>
      <c r="F3600" t="s">
        <v>2987</v>
      </c>
      <c r="G3600" t="s">
        <v>151</v>
      </c>
      <c r="H3600" t="s">
        <v>279</v>
      </c>
      <c r="I3600" t="s">
        <v>2462</v>
      </c>
      <c r="J3600" t="s">
        <v>219</v>
      </c>
      <c r="K3600">
        <v>1</v>
      </c>
      <c r="N3600" s="21"/>
      <c r="O3600" s="2"/>
      <c r="P3600" s="2"/>
      <c r="Q3600" s="4"/>
      <c r="R3600" s="4"/>
      <c r="S3600" s="4"/>
      <c r="T3600" s="4"/>
      <c r="U3600" s="4"/>
      <c r="V3600" s="4"/>
    </row>
    <row r="3601" spans="1:22" ht="14.5" customHeight="1" x14ac:dyDescent="0.2">
      <c r="A3601" s="54">
        <v>2020</v>
      </c>
      <c r="B3601" s="17" t="s">
        <v>198</v>
      </c>
      <c r="C3601" t="s">
        <v>2983</v>
      </c>
      <c r="D3601" s="22">
        <v>130</v>
      </c>
      <c r="E3601" s="16"/>
      <c r="G3601" t="s">
        <v>154</v>
      </c>
      <c r="H3601" t="s">
        <v>194</v>
      </c>
      <c r="I3601" t="s">
        <v>40</v>
      </c>
      <c r="J3601" t="s">
        <v>219</v>
      </c>
      <c r="K3601">
        <v>1</v>
      </c>
      <c r="N3601" s="21"/>
      <c r="O3601" s="2"/>
      <c r="P3601" s="2"/>
      <c r="Q3601" s="4"/>
      <c r="R3601" s="4"/>
      <c r="S3601" s="4"/>
      <c r="T3601" s="4"/>
      <c r="U3601" s="4"/>
      <c r="V3601" s="4"/>
    </row>
    <row r="3602" spans="1:22" ht="14.5" customHeight="1" x14ac:dyDescent="0.2">
      <c r="A3602" s="54">
        <v>2020</v>
      </c>
      <c r="B3602" s="17" t="s">
        <v>198</v>
      </c>
      <c r="C3602" t="s">
        <v>189</v>
      </c>
      <c r="D3602" s="22">
        <v>1220</v>
      </c>
      <c r="E3602" s="16"/>
      <c r="F3602" t="s">
        <v>2002</v>
      </c>
      <c r="G3602" t="s">
        <v>144</v>
      </c>
      <c r="H3602" t="s">
        <v>187</v>
      </c>
      <c r="I3602" t="s">
        <v>105</v>
      </c>
      <c r="J3602" t="s">
        <v>214</v>
      </c>
      <c r="K3602">
        <v>1</v>
      </c>
      <c r="N3602" s="21"/>
      <c r="O3602" s="2"/>
      <c r="P3602" s="2"/>
      <c r="Q3602" s="4"/>
      <c r="R3602" s="4"/>
      <c r="S3602" s="4"/>
      <c r="T3602" s="4"/>
      <c r="U3602" s="4"/>
      <c r="V3602" s="4"/>
    </row>
    <row r="3603" spans="1:22" ht="14.5" customHeight="1" x14ac:dyDescent="0.2">
      <c r="A3603" s="54">
        <v>2020</v>
      </c>
      <c r="B3603" s="17" t="s">
        <v>198</v>
      </c>
      <c r="C3603" t="s">
        <v>479</v>
      </c>
      <c r="D3603" s="22">
        <v>430</v>
      </c>
      <c r="E3603" s="16"/>
      <c r="G3603" t="s">
        <v>148</v>
      </c>
      <c r="I3603" t="s">
        <v>59</v>
      </c>
      <c r="J3603" t="s">
        <v>219</v>
      </c>
      <c r="K3603">
        <v>1</v>
      </c>
      <c r="N3603" s="21"/>
      <c r="O3603" s="2"/>
      <c r="P3603" s="2"/>
      <c r="Q3603" s="4"/>
      <c r="R3603" s="4"/>
      <c r="S3603" s="4"/>
      <c r="T3603" s="4"/>
      <c r="U3603" s="4"/>
      <c r="V3603" s="4"/>
    </row>
    <row r="3604" spans="1:22" ht="14.5" customHeight="1" x14ac:dyDescent="0.2">
      <c r="A3604" s="54">
        <v>2020</v>
      </c>
      <c r="B3604" s="17" t="s">
        <v>198</v>
      </c>
      <c r="C3604" t="s">
        <v>399</v>
      </c>
      <c r="D3604" s="22">
        <v>560</v>
      </c>
      <c r="E3604" s="16"/>
      <c r="G3604" t="s">
        <v>144</v>
      </c>
      <c r="H3604" t="s">
        <v>232</v>
      </c>
      <c r="I3604" t="s">
        <v>130</v>
      </c>
      <c r="J3604" t="s">
        <v>214</v>
      </c>
      <c r="K3604">
        <v>1</v>
      </c>
      <c r="N3604" s="21"/>
      <c r="O3604" s="2"/>
      <c r="P3604" s="2"/>
      <c r="Q3604" s="4"/>
      <c r="R3604" s="4"/>
      <c r="S3604" s="4"/>
      <c r="T3604" s="4"/>
      <c r="U3604" s="4"/>
      <c r="V3604" s="4"/>
    </row>
    <row r="3605" spans="1:22" ht="14.5" customHeight="1" x14ac:dyDescent="0.2">
      <c r="A3605" s="54">
        <v>2020</v>
      </c>
      <c r="B3605" s="17" t="s">
        <v>198</v>
      </c>
      <c r="C3605" t="s">
        <v>221</v>
      </c>
      <c r="D3605" s="22">
        <v>520</v>
      </c>
      <c r="E3605" s="16"/>
      <c r="G3605" t="s">
        <v>142</v>
      </c>
      <c r="I3605" t="s">
        <v>14</v>
      </c>
      <c r="J3605" t="s">
        <v>195</v>
      </c>
      <c r="K3605">
        <v>1</v>
      </c>
      <c r="N3605" s="21"/>
      <c r="O3605" s="2"/>
      <c r="P3605" s="2"/>
      <c r="Q3605" s="4"/>
      <c r="R3605" s="4"/>
      <c r="S3605" s="4"/>
      <c r="T3605" s="4"/>
      <c r="U3605" s="4"/>
      <c r="V3605" s="4"/>
    </row>
    <row r="3606" spans="1:22" ht="14.5" customHeight="1" x14ac:dyDescent="0.2">
      <c r="A3606" s="54">
        <v>2020</v>
      </c>
      <c r="B3606" s="17" t="s">
        <v>198</v>
      </c>
      <c r="C3606" t="s">
        <v>397</v>
      </c>
      <c r="D3606" s="22">
        <v>600</v>
      </c>
      <c r="E3606" s="16"/>
      <c r="G3606" t="s">
        <v>154</v>
      </c>
      <c r="H3606" t="s">
        <v>250</v>
      </c>
      <c r="I3606" t="s">
        <v>23</v>
      </c>
      <c r="J3606" t="s">
        <v>183</v>
      </c>
      <c r="K3606">
        <v>1</v>
      </c>
      <c r="N3606" s="21"/>
      <c r="O3606" s="2"/>
      <c r="P3606" s="2"/>
      <c r="Q3606" s="4"/>
      <c r="R3606" s="4"/>
      <c r="S3606" s="4"/>
      <c r="T3606" s="4"/>
      <c r="U3606" s="4"/>
      <c r="V3606" s="4"/>
    </row>
    <row r="3607" spans="1:22" ht="14.5" customHeight="1" x14ac:dyDescent="0.2">
      <c r="A3607" s="54">
        <v>2020</v>
      </c>
      <c r="B3607" s="17" t="s">
        <v>198</v>
      </c>
      <c r="C3607" t="s">
        <v>397</v>
      </c>
      <c r="D3607" s="22">
        <v>170</v>
      </c>
      <c r="E3607" s="16"/>
      <c r="F3607" t="s">
        <v>2988</v>
      </c>
      <c r="G3607" t="s">
        <v>151</v>
      </c>
      <c r="H3607" t="s">
        <v>279</v>
      </c>
      <c r="I3607" t="s">
        <v>53</v>
      </c>
      <c r="J3607" t="s">
        <v>183</v>
      </c>
      <c r="K3607">
        <v>1</v>
      </c>
      <c r="N3607" s="21"/>
      <c r="O3607" s="2"/>
      <c r="P3607" s="2"/>
      <c r="Q3607" s="4"/>
      <c r="R3607" s="4"/>
      <c r="S3607" s="4"/>
      <c r="T3607" s="4"/>
      <c r="U3607" s="4"/>
      <c r="V3607" s="4"/>
    </row>
    <row r="3608" spans="1:22" ht="14.5" customHeight="1" x14ac:dyDescent="0.2">
      <c r="A3608" s="54">
        <v>2020</v>
      </c>
      <c r="B3608" s="17" t="s">
        <v>202</v>
      </c>
      <c r="C3608" t="s">
        <v>199</v>
      </c>
      <c r="D3608" s="22">
        <v>140</v>
      </c>
      <c r="E3608" s="16"/>
      <c r="F3608" t="s">
        <v>2689</v>
      </c>
      <c r="G3608" t="s">
        <v>144</v>
      </c>
      <c r="H3608" t="s">
        <v>187</v>
      </c>
      <c r="I3608" t="s">
        <v>130</v>
      </c>
      <c r="J3608" t="s">
        <v>214</v>
      </c>
      <c r="K3608">
        <v>1</v>
      </c>
      <c r="N3608" s="21"/>
      <c r="O3608" s="2"/>
      <c r="P3608" s="2"/>
      <c r="Q3608" s="4"/>
      <c r="R3608" s="4"/>
      <c r="S3608" s="4"/>
      <c r="T3608" s="4"/>
      <c r="U3608" s="4"/>
      <c r="V3608" s="4"/>
    </row>
    <row r="3609" spans="1:22" ht="14.5" customHeight="1" x14ac:dyDescent="0.2">
      <c r="A3609" s="54">
        <v>2020</v>
      </c>
      <c r="B3609" s="17" t="s">
        <v>202</v>
      </c>
      <c r="C3609" t="s">
        <v>875</v>
      </c>
      <c r="D3609" s="22">
        <v>110</v>
      </c>
      <c r="E3609" s="16"/>
      <c r="G3609" t="s">
        <v>144</v>
      </c>
      <c r="H3609" t="s">
        <v>197</v>
      </c>
      <c r="I3609" t="s">
        <v>88</v>
      </c>
      <c r="J3609" t="s">
        <v>219</v>
      </c>
      <c r="K3609">
        <v>1</v>
      </c>
      <c r="N3609" s="21"/>
      <c r="O3609" s="2"/>
      <c r="P3609" s="2"/>
      <c r="Q3609" s="4"/>
      <c r="R3609" s="4"/>
      <c r="S3609" s="4"/>
      <c r="T3609" s="4"/>
      <c r="U3609" s="4"/>
      <c r="V3609" s="4"/>
    </row>
    <row r="3610" spans="1:22" ht="14.5" customHeight="1" x14ac:dyDescent="0.2">
      <c r="A3610" s="54">
        <v>2020</v>
      </c>
      <c r="B3610" s="17" t="s">
        <v>202</v>
      </c>
      <c r="C3610" t="s">
        <v>745</v>
      </c>
      <c r="D3610" s="22">
        <v>390</v>
      </c>
      <c r="E3610" s="16"/>
      <c r="F3610" t="s">
        <v>2935</v>
      </c>
      <c r="G3610" t="s">
        <v>143</v>
      </c>
      <c r="I3610" t="s">
        <v>130</v>
      </c>
      <c r="J3610" t="s">
        <v>214</v>
      </c>
      <c r="K3610">
        <v>1</v>
      </c>
      <c r="N3610" s="21"/>
      <c r="O3610" s="2"/>
      <c r="P3610" s="2"/>
      <c r="Q3610" s="4"/>
      <c r="R3610" s="4"/>
      <c r="S3610" s="4"/>
      <c r="T3610" s="4"/>
      <c r="U3610" s="4"/>
      <c r="V3610" s="4"/>
    </row>
    <row r="3611" spans="1:22" ht="14.5" customHeight="1" x14ac:dyDescent="0.2">
      <c r="A3611" s="54">
        <v>2020</v>
      </c>
      <c r="B3611" s="17" t="s">
        <v>202</v>
      </c>
      <c r="C3611" t="s">
        <v>1035</v>
      </c>
      <c r="D3611" s="22">
        <v>120</v>
      </c>
      <c r="E3611" s="16"/>
      <c r="F3611" t="s">
        <v>2989</v>
      </c>
      <c r="G3611" t="s">
        <v>151</v>
      </c>
      <c r="H3611" t="s">
        <v>279</v>
      </c>
      <c r="I3611" t="s">
        <v>23</v>
      </c>
      <c r="J3611" t="s">
        <v>183</v>
      </c>
      <c r="K3611">
        <v>1</v>
      </c>
      <c r="N3611" s="21"/>
      <c r="O3611" s="2"/>
      <c r="P3611" s="2"/>
      <c r="Q3611" s="4"/>
      <c r="R3611" s="4"/>
      <c r="S3611" s="4"/>
      <c r="T3611" s="4"/>
      <c r="U3611" s="4"/>
      <c r="V3611" s="4"/>
    </row>
    <row r="3612" spans="1:22" ht="14.5" customHeight="1" x14ac:dyDescent="0.2">
      <c r="A3612" s="54">
        <v>2020</v>
      </c>
      <c r="B3612" s="17" t="s">
        <v>202</v>
      </c>
      <c r="C3612" t="s">
        <v>397</v>
      </c>
      <c r="D3612" s="22">
        <v>1130</v>
      </c>
      <c r="E3612" s="16"/>
      <c r="G3612" t="s">
        <v>154</v>
      </c>
      <c r="H3612" t="s">
        <v>529</v>
      </c>
      <c r="I3612" t="s">
        <v>97</v>
      </c>
      <c r="J3612" t="s">
        <v>183</v>
      </c>
      <c r="K3612">
        <v>1</v>
      </c>
      <c r="N3612" s="21"/>
      <c r="O3612" s="2"/>
      <c r="P3612" s="2"/>
      <c r="Q3612" s="4"/>
      <c r="R3612" s="4"/>
      <c r="S3612" s="4"/>
      <c r="T3612" s="4"/>
      <c r="U3612" s="4"/>
      <c r="V3612" s="4"/>
    </row>
    <row r="3613" spans="1:22" ht="14.5" customHeight="1" x14ac:dyDescent="0.2">
      <c r="A3613" s="54">
        <v>2020</v>
      </c>
      <c r="B3613" s="17" t="s">
        <v>202</v>
      </c>
      <c r="C3613" t="s">
        <v>1035</v>
      </c>
      <c r="D3613" s="22">
        <v>180</v>
      </c>
      <c r="E3613" s="16"/>
      <c r="F3613" t="s">
        <v>2990</v>
      </c>
      <c r="G3613" t="s">
        <v>144</v>
      </c>
      <c r="H3613" t="s">
        <v>232</v>
      </c>
      <c r="I3613" t="s">
        <v>136</v>
      </c>
      <c r="J3613" t="s">
        <v>183</v>
      </c>
      <c r="K3613">
        <v>1</v>
      </c>
      <c r="N3613" s="21"/>
      <c r="O3613" s="2"/>
      <c r="P3613" s="2"/>
      <c r="Q3613" s="4"/>
      <c r="R3613" s="4"/>
      <c r="S3613" s="4"/>
      <c r="T3613" s="4"/>
      <c r="U3613" s="4"/>
      <c r="V3613" s="4"/>
    </row>
    <row r="3614" spans="1:22" ht="14.5" customHeight="1" x14ac:dyDescent="0.2">
      <c r="A3614" s="54">
        <v>2020</v>
      </c>
      <c r="B3614" s="17" t="s">
        <v>202</v>
      </c>
      <c r="C3614" t="s">
        <v>1035</v>
      </c>
      <c r="D3614" s="22">
        <v>400</v>
      </c>
      <c r="E3614" s="16"/>
      <c r="G3614" t="s">
        <v>144</v>
      </c>
      <c r="H3614" t="s">
        <v>232</v>
      </c>
      <c r="I3614" t="s">
        <v>92</v>
      </c>
      <c r="J3614" t="s">
        <v>214</v>
      </c>
      <c r="K3614">
        <v>1</v>
      </c>
      <c r="N3614" s="21"/>
      <c r="O3614" s="2"/>
      <c r="P3614" s="2"/>
      <c r="Q3614" s="4"/>
      <c r="R3614" s="4"/>
      <c r="S3614" s="4"/>
      <c r="T3614" s="4"/>
      <c r="U3614" s="4"/>
      <c r="V3614" s="4"/>
    </row>
    <row r="3615" spans="1:22" ht="14.25" customHeight="1" x14ac:dyDescent="0.2">
      <c r="A3615" s="54">
        <v>2020</v>
      </c>
      <c r="B3615" s="17" t="s">
        <v>202</v>
      </c>
      <c r="C3615" t="s">
        <v>479</v>
      </c>
      <c r="D3615" s="22">
        <v>130</v>
      </c>
      <c r="E3615" s="16"/>
      <c r="G3615" t="s">
        <v>150</v>
      </c>
      <c r="H3615" t="s">
        <v>217</v>
      </c>
      <c r="I3615" t="s">
        <v>93</v>
      </c>
      <c r="J3615" t="s">
        <v>201</v>
      </c>
      <c r="K3615">
        <v>1</v>
      </c>
      <c r="N3615" s="21"/>
      <c r="O3615" s="2"/>
      <c r="P3615" s="2"/>
      <c r="Q3615" s="4"/>
      <c r="R3615" s="4"/>
      <c r="S3615" s="4"/>
      <c r="T3615" s="4"/>
      <c r="U3615" s="4"/>
      <c r="V3615" s="4"/>
    </row>
    <row r="3616" spans="1:22" ht="14.5" customHeight="1" x14ac:dyDescent="0.2">
      <c r="A3616" s="54">
        <v>2020</v>
      </c>
      <c r="B3616" s="17" t="s">
        <v>202</v>
      </c>
      <c r="C3616" t="s">
        <v>479</v>
      </c>
      <c r="D3616" s="22">
        <v>370</v>
      </c>
      <c r="E3616" s="16"/>
      <c r="G3616" t="s">
        <v>150</v>
      </c>
      <c r="I3616" t="s">
        <v>9</v>
      </c>
      <c r="J3616" t="s">
        <v>9</v>
      </c>
      <c r="K3616">
        <v>0</v>
      </c>
      <c r="N3616" s="21"/>
      <c r="O3616" s="2"/>
      <c r="P3616" s="2"/>
      <c r="Q3616" s="4"/>
      <c r="R3616" s="4"/>
      <c r="S3616" s="4"/>
      <c r="T3616" s="4"/>
      <c r="U3616" s="4"/>
      <c r="V3616" s="4"/>
    </row>
    <row r="3617" spans="1:22" ht="14.5" customHeight="1" x14ac:dyDescent="0.2">
      <c r="A3617" s="54">
        <v>2020</v>
      </c>
      <c r="B3617" s="17" t="s">
        <v>202</v>
      </c>
      <c r="C3617" t="s">
        <v>479</v>
      </c>
      <c r="D3617" s="22">
        <v>280</v>
      </c>
      <c r="E3617" s="16"/>
      <c r="G3617" t="s">
        <v>154</v>
      </c>
      <c r="H3617" t="s">
        <v>271</v>
      </c>
      <c r="I3617" t="s">
        <v>124</v>
      </c>
      <c r="J3617" t="s">
        <v>183</v>
      </c>
      <c r="K3617">
        <v>1</v>
      </c>
      <c r="N3617" s="21"/>
      <c r="O3617" s="2"/>
      <c r="P3617" s="2"/>
      <c r="Q3617" s="4"/>
      <c r="R3617" s="4"/>
      <c r="S3617" s="4"/>
      <c r="T3617" s="4"/>
      <c r="U3617" s="4"/>
      <c r="V3617" s="4"/>
    </row>
    <row r="3618" spans="1:22" ht="14.5" customHeight="1" x14ac:dyDescent="0.2">
      <c r="A3618" s="54">
        <v>2020</v>
      </c>
      <c r="B3618" s="17" t="s">
        <v>202</v>
      </c>
      <c r="C3618" t="s">
        <v>479</v>
      </c>
      <c r="D3618" s="22">
        <v>130</v>
      </c>
      <c r="E3618" s="16"/>
      <c r="F3618" t="s">
        <v>2991</v>
      </c>
      <c r="G3618" t="s">
        <v>154</v>
      </c>
      <c r="H3618" t="s">
        <v>529</v>
      </c>
      <c r="I3618" t="s">
        <v>86</v>
      </c>
      <c r="J3618" t="s">
        <v>183</v>
      </c>
      <c r="K3618">
        <v>1</v>
      </c>
      <c r="N3618" s="21"/>
      <c r="O3618" s="2"/>
      <c r="P3618" s="2"/>
      <c r="Q3618" s="4"/>
      <c r="R3618" s="4"/>
      <c r="S3618" s="4"/>
      <c r="T3618" s="4"/>
      <c r="U3618" s="4"/>
      <c r="V3618" s="4"/>
    </row>
    <row r="3619" spans="1:22" ht="14.5" customHeight="1" x14ac:dyDescent="0.2">
      <c r="A3619" s="54">
        <v>2020</v>
      </c>
      <c r="B3619" s="17" t="s">
        <v>202</v>
      </c>
      <c r="C3619" t="s">
        <v>2157</v>
      </c>
      <c r="D3619" s="22">
        <v>120</v>
      </c>
      <c r="E3619" s="16"/>
      <c r="F3619" t="s">
        <v>2992</v>
      </c>
      <c r="G3619" t="s">
        <v>151</v>
      </c>
      <c r="H3619" t="s">
        <v>279</v>
      </c>
      <c r="I3619" t="s">
        <v>86</v>
      </c>
      <c r="J3619" t="s">
        <v>183</v>
      </c>
      <c r="K3619">
        <v>1</v>
      </c>
      <c r="N3619" s="21"/>
      <c r="O3619" s="2"/>
      <c r="P3619" s="2"/>
      <c r="Q3619" s="4"/>
      <c r="R3619" s="4"/>
      <c r="S3619" s="4"/>
      <c r="T3619" s="4"/>
      <c r="U3619" s="4"/>
      <c r="V3619" s="4"/>
    </row>
    <row r="3620" spans="1:22" ht="14.5" customHeight="1" x14ac:dyDescent="0.2">
      <c r="A3620" s="54">
        <v>2020</v>
      </c>
      <c r="B3620" s="17" t="s">
        <v>202</v>
      </c>
      <c r="C3620" t="s">
        <v>2983</v>
      </c>
      <c r="D3620" s="22">
        <v>130</v>
      </c>
      <c r="E3620" s="16"/>
      <c r="G3620" t="s">
        <v>154</v>
      </c>
      <c r="H3620" t="s">
        <v>194</v>
      </c>
      <c r="I3620" t="s">
        <v>132</v>
      </c>
      <c r="J3620" t="s">
        <v>219</v>
      </c>
      <c r="K3620">
        <v>1</v>
      </c>
      <c r="N3620" s="21"/>
      <c r="O3620" s="2"/>
      <c r="P3620" s="2"/>
      <c r="Q3620" s="4"/>
      <c r="R3620" s="4"/>
      <c r="S3620" s="4"/>
      <c r="T3620" s="4"/>
      <c r="U3620" s="4"/>
      <c r="V3620" s="4"/>
    </row>
    <row r="3621" spans="1:22" ht="14.5" customHeight="1" x14ac:dyDescent="0.2">
      <c r="A3621" s="54">
        <v>2020</v>
      </c>
      <c r="B3621" s="17" t="s">
        <v>202</v>
      </c>
      <c r="C3621" t="s">
        <v>1149</v>
      </c>
      <c r="D3621" s="22">
        <v>450</v>
      </c>
      <c r="E3621" s="16"/>
      <c r="G3621" t="s">
        <v>142</v>
      </c>
      <c r="I3621" t="s">
        <v>59</v>
      </c>
      <c r="J3621" t="s">
        <v>219</v>
      </c>
      <c r="K3621">
        <v>1</v>
      </c>
      <c r="N3621" s="21"/>
      <c r="O3621" s="2"/>
      <c r="P3621" s="2"/>
      <c r="Q3621" s="4"/>
      <c r="R3621" s="4"/>
      <c r="S3621" s="4"/>
      <c r="T3621" s="4"/>
      <c r="U3621" s="4"/>
      <c r="V3621" s="4"/>
    </row>
    <row r="3622" spans="1:22" ht="14.5" customHeight="1" x14ac:dyDescent="0.2">
      <c r="A3622" s="54">
        <v>2020</v>
      </c>
      <c r="B3622" s="17" t="s">
        <v>202</v>
      </c>
      <c r="C3622" t="s">
        <v>1035</v>
      </c>
      <c r="D3622" s="22">
        <v>160</v>
      </c>
      <c r="E3622" s="16"/>
      <c r="G3622" t="s">
        <v>155</v>
      </c>
      <c r="I3622" t="s">
        <v>6</v>
      </c>
      <c r="J3622" t="s">
        <v>219</v>
      </c>
      <c r="K3622">
        <v>1</v>
      </c>
      <c r="N3622" s="21"/>
      <c r="O3622" s="2"/>
      <c r="P3622" s="2"/>
      <c r="Q3622" s="4"/>
      <c r="R3622" s="4"/>
      <c r="S3622" s="4"/>
      <c r="T3622" s="4"/>
      <c r="U3622" s="4"/>
      <c r="V3622" s="4"/>
    </row>
    <row r="3623" spans="1:22" ht="15" customHeight="1" x14ac:dyDescent="0.2">
      <c r="A3623" s="54">
        <v>2020</v>
      </c>
      <c r="B3623" s="17" t="s">
        <v>202</v>
      </c>
      <c r="C3623" t="s">
        <v>479</v>
      </c>
      <c r="D3623" s="22">
        <v>1270</v>
      </c>
      <c r="E3623" s="16"/>
      <c r="G3623" t="s">
        <v>154</v>
      </c>
      <c r="H3623" t="s">
        <v>194</v>
      </c>
      <c r="I3623" t="s">
        <v>94</v>
      </c>
      <c r="J3623" t="s">
        <v>177</v>
      </c>
      <c r="K3623">
        <v>0</v>
      </c>
      <c r="N3623" s="21"/>
      <c r="O3623" s="2"/>
      <c r="P3623" s="2"/>
      <c r="Q3623" s="4"/>
      <c r="R3623" s="4"/>
      <c r="S3623" s="4"/>
      <c r="T3623" s="4"/>
      <c r="U3623" s="4"/>
      <c r="V3623" s="4"/>
    </row>
    <row r="3624" spans="1:22" ht="14.5" customHeight="1" x14ac:dyDescent="0.2">
      <c r="A3624" s="54">
        <v>2020</v>
      </c>
      <c r="B3624" s="17" t="s">
        <v>202</v>
      </c>
      <c r="C3624" t="s">
        <v>397</v>
      </c>
      <c r="D3624" s="22">
        <v>110</v>
      </c>
      <c r="E3624" s="16"/>
      <c r="G3624" t="s">
        <v>154</v>
      </c>
      <c r="H3624" t="s">
        <v>194</v>
      </c>
      <c r="I3624" t="s">
        <v>132</v>
      </c>
      <c r="J3624" t="s">
        <v>219</v>
      </c>
      <c r="K3624">
        <v>1</v>
      </c>
      <c r="N3624" s="21"/>
      <c r="O3624" s="2"/>
      <c r="P3624" s="2"/>
      <c r="Q3624" s="4"/>
      <c r="R3624" s="4"/>
      <c r="S3624" s="4"/>
      <c r="T3624" s="4"/>
      <c r="U3624" s="4"/>
      <c r="V3624" s="4"/>
    </row>
    <row r="3625" spans="1:22" ht="14.5" customHeight="1" x14ac:dyDescent="0.2">
      <c r="A3625" s="54">
        <v>2020</v>
      </c>
      <c r="B3625" s="17" t="s">
        <v>202</v>
      </c>
      <c r="C3625" t="s">
        <v>1292</v>
      </c>
      <c r="D3625" s="22">
        <v>360</v>
      </c>
      <c r="E3625" s="16"/>
      <c r="G3625" t="s">
        <v>155</v>
      </c>
      <c r="I3625" t="s">
        <v>59</v>
      </c>
      <c r="J3625" t="s">
        <v>219</v>
      </c>
      <c r="K3625">
        <v>1</v>
      </c>
      <c r="N3625" s="21"/>
      <c r="O3625" s="2"/>
      <c r="P3625" s="2"/>
      <c r="Q3625" s="4"/>
      <c r="R3625" s="4"/>
      <c r="S3625" s="4"/>
      <c r="T3625" s="4"/>
      <c r="U3625" s="4"/>
      <c r="V3625" s="4"/>
    </row>
    <row r="3626" spans="1:22" ht="14.5" customHeight="1" x14ac:dyDescent="0.2">
      <c r="A3626" s="54">
        <v>2020</v>
      </c>
      <c r="B3626" s="17" t="s">
        <v>207</v>
      </c>
      <c r="C3626" t="s">
        <v>745</v>
      </c>
      <c r="D3626" s="22">
        <v>890</v>
      </c>
      <c r="E3626" s="16"/>
      <c r="F3626" t="s">
        <v>2993</v>
      </c>
      <c r="G3626" t="s">
        <v>143</v>
      </c>
      <c r="I3626" t="s">
        <v>101</v>
      </c>
      <c r="J3626" t="s">
        <v>201</v>
      </c>
      <c r="K3626">
        <v>1</v>
      </c>
      <c r="N3626" s="21"/>
      <c r="O3626" s="2"/>
      <c r="P3626" s="2"/>
      <c r="Q3626" s="4"/>
      <c r="R3626" s="4"/>
      <c r="S3626" s="4"/>
      <c r="T3626" s="4"/>
      <c r="U3626" s="4"/>
      <c r="V3626" s="4"/>
    </row>
    <row r="3627" spans="1:22" ht="14.5" customHeight="1" x14ac:dyDescent="0.2">
      <c r="A3627" s="54">
        <v>2020</v>
      </c>
      <c r="B3627" s="17" t="s">
        <v>207</v>
      </c>
      <c r="C3627" t="s">
        <v>745</v>
      </c>
      <c r="D3627" s="22">
        <v>450</v>
      </c>
      <c r="E3627" s="16"/>
      <c r="F3627" t="s">
        <v>2994</v>
      </c>
      <c r="G3627" t="s">
        <v>142</v>
      </c>
      <c r="I3627" t="s">
        <v>101</v>
      </c>
      <c r="J3627" t="s">
        <v>201</v>
      </c>
      <c r="K3627">
        <v>1</v>
      </c>
      <c r="N3627" s="21"/>
      <c r="O3627" s="2"/>
      <c r="P3627" s="2"/>
      <c r="Q3627" s="4"/>
      <c r="R3627" s="4"/>
      <c r="S3627" s="4"/>
      <c r="T3627" s="4"/>
      <c r="U3627" s="4"/>
      <c r="V3627" s="4"/>
    </row>
    <row r="3628" spans="1:22" ht="14.5" customHeight="1" x14ac:dyDescent="0.2">
      <c r="A3628" s="54">
        <v>2020</v>
      </c>
      <c r="B3628" s="17" t="s">
        <v>207</v>
      </c>
      <c r="C3628" t="s">
        <v>479</v>
      </c>
      <c r="D3628" s="22">
        <v>110</v>
      </c>
      <c r="E3628" s="16"/>
      <c r="G3628" t="s">
        <v>154</v>
      </c>
      <c r="H3628" t="s">
        <v>194</v>
      </c>
      <c r="I3628" t="s">
        <v>59</v>
      </c>
      <c r="J3628" t="s">
        <v>219</v>
      </c>
      <c r="K3628">
        <v>1</v>
      </c>
      <c r="N3628" s="21"/>
      <c r="O3628" s="2"/>
      <c r="P3628" s="2"/>
      <c r="Q3628" s="4"/>
      <c r="R3628" s="4"/>
      <c r="S3628" s="4"/>
      <c r="T3628" s="4"/>
      <c r="U3628" s="4"/>
      <c r="V3628" s="4"/>
    </row>
    <row r="3629" spans="1:22" ht="14.5" customHeight="1" x14ac:dyDescent="0.2">
      <c r="A3629" s="54">
        <v>2020</v>
      </c>
      <c r="B3629" s="17" t="s">
        <v>207</v>
      </c>
      <c r="C3629" t="s">
        <v>479</v>
      </c>
      <c r="D3629" s="22">
        <v>380</v>
      </c>
      <c r="E3629" s="16"/>
      <c r="F3629" t="s">
        <v>2995</v>
      </c>
      <c r="G3629" t="s">
        <v>148</v>
      </c>
      <c r="I3629" t="s">
        <v>38</v>
      </c>
      <c r="J3629" t="s">
        <v>214</v>
      </c>
      <c r="K3629">
        <v>1</v>
      </c>
      <c r="N3629" s="21"/>
      <c r="O3629" s="2"/>
      <c r="P3629" s="2"/>
      <c r="Q3629" s="4"/>
      <c r="R3629" s="4"/>
      <c r="S3629" s="4"/>
      <c r="T3629" s="4"/>
      <c r="U3629" s="4"/>
      <c r="V3629" s="4"/>
    </row>
    <row r="3630" spans="1:22" ht="14.5" customHeight="1" x14ac:dyDescent="0.2">
      <c r="A3630" s="54">
        <v>2020</v>
      </c>
      <c r="B3630" s="17" t="s">
        <v>207</v>
      </c>
      <c r="C3630" t="s">
        <v>449</v>
      </c>
      <c r="D3630" s="22">
        <v>400</v>
      </c>
      <c r="E3630" s="16"/>
      <c r="G3630" t="s">
        <v>154</v>
      </c>
      <c r="H3630" t="s">
        <v>529</v>
      </c>
      <c r="I3630" t="s">
        <v>89</v>
      </c>
      <c r="J3630" t="s">
        <v>219</v>
      </c>
      <c r="K3630">
        <v>1</v>
      </c>
      <c r="N3630" s="21"/>
      <c r="O3630" s="2"/>
      <c r="P3630" s="2"/>
      <c r="Q3630" s="4"/>
      <c r="R3630" s="4"/>
      <c r="S3630" s="4"/>
      <c r="T3630" s="4"/>
      <c r="U3630" s="4"/>
      <c r="V3630" s="4"/>
    </row>
    <row r="3631" spans="1:22" s="41" customFormat="1" ht="14.5" customHeight="1" x14ac:dyDescent="0.2">
      <c r="A3631" s="54">
        <v>2020</v>
      </c>
      <c r="B3631" s="17" t="s">
        <v>207</v>
      </c>
      <c r="C3631" t="s">
        <v>875</v>
      </c>
      <c r="D3631" s="22">
        <v>230</v>
      </c>
      <c r="E3631" s="16"/>
      <c r="F3631" t="s">
        <v>2996</v>
      </c>
      <c r="G3631" t="s">
        <v>144</v>
      </c>
      <c r="H3631" t="s">
        <v>232</v>
      </c>
      <c r="I3631" t="s">
        <v>136</v>
      </c>
      <c r="J3631" t="s">
        <v>183</v>
      </c>
      <c r="K3631">
        <v>1</v>
      </c>
      <c r="N3631" s="42"/>
      <c r="O3631" s="78"/>
      <c r="P3631" s="78"/>
      <c r="Q3631" s="77"/>
      <c r="R3631" s="77"/>
      <c r="S3631" s="77"/>
      <c r="T3631" s="77"/>
      <c r="U3631" s="77"/>
      <c r="V3631" s="77"/>
    </row>
    <row r="3632" spans="1:22" ht="14.5" customHeight="1" x14ac:dyDescent="0.2">
      <c r="A3632" s="54">
        <v>2020</v>
      </c>
      <c r="B3632" s="17" t="s">
        <v>240</v>
      </c>
      <c r="C3632" t="s">
        <v>175</v>
      </c>
      <c r="D3632" s="22">
        <v>410</v>
      </c>
      <c r="E3632" s="16"/>
      <c r="G3632" t="s">
        <v>154</v>
      </c>
      <c r="H3632" t="s">
        <v>250</v>
      </c>
      <c r="I3632" t="s">
        <v>23</v>
      </c>
      <c r="J3632" t="s">
        <v>183</v>
      </c>
      <c r="K3632">
        <v>1</v>
      </c>
      <c r="N3632" s="21"/>
      <c r="O3632" s="2"/>
      <c r="P3632" s="2"/>
      <c r="Q3632" s="4"/>
      <c r="R3632" s="4"/>
      <c r="S3632" s="4"/>
      <c r="T3632" s="4"/>
      <c r="U3632" s="4"/>
      <c r="V3632" s="4"/>
    </row>
    <row r="3633" spans="1:22" ht="14.5" customHeight="1" x14ac:dyDescent="0.2">
      <c r="A3633" s="54">
        <v>2020</v>
      </c>
      <c r="B3633" s="17" t="s">
        <v>240</v>
      </c>
      <c r="C3633" t="s">
        <v>479</v>
      </c>
      <c r="D3633" s="22">
        <v>540</v>
      </c>
      <c r="E3633" s="16"/>
      <c r="F3633" t="s">
        <v>2997</v>
      </c>
      <c r="G3633" t="s">
        <v>154</v>
      </c>
      <c r="H3633" t="s">
        <v>194</v>
      </c>
      <c r="I3633" t="s">
        <v>9</v>
      </c>
      <c r="J3633" t="s">
        <v>9</v>
      </c>
      <c r="K3633">
        <v>0</v>
      </c>
      <c r="N3633" s="21"/>
      <c r="O3633" s="2"/>
      <c r="P3633" s="2"/>
      <c r="Q3633" s="4"/>
      <c r="R3633" s="4"/>
      <c r="S3633" s="4"/>
      <c r="T3633" s="4"/>
      <c r="U3633" s="4"/>
      <c r="V3633" s="4"/>
    </row>
    <row r="3634" spans="1:22" ht="14.5" customHeight="1" x14ac:dyDescent="0.2">
      <c r="A3634" s="54">
        <v>2020</v>
      </c>
      <c r="B3634" s="17" t="s">
        <v>240</v>
      </c>
      <c r="C3634" t="s">
        <v>199</v>
      </c>
      <c r="D3634" s="22">
        <v>520</v>
      </c>
      <c r="E3634" s="16"/>
      <c r="F3634" t="s">
        <v>2689</v>
      </c>
      <c r="G3634" t="s">
        <v>144</v>
      </c>
      <c r="H3634" t="s">
        <v>187</v>
      </c>
      <c r="I3634" t="s">
        <v>130</v>
      </c>
      <c r="J3634" t="s">
        <v>214</v>
      </c>
      <c r="K3634">
        <v>1</v>
      </c>
      <c r="N3634" s="21"/>
      <c r="O3634" s="2"/>
      <c r="P3634" s="2"/>
      <c r="Q3634" s="4"/>
      <c r="R3634" s="4"/>
      <c r="S3634" s="4"/>
      <c r="T3634" s="4"/>
      <c r="U3634" s="4"/>
      <c r="V3634" s="4"/>
    </row>
    <row r="3635" spans="1:22" ht="14.5" customHeight="1" x14ac:dyDescent="0.2">
      <c r="A3635" s="54">
        <v>2020</v>
      </c>
      <c r="B3635" s="17" t="s">
        <v>240</v>
      </c>
      <c r="C3635" t="s">
        <v>2998</v>
      </c>
      <c r="D3635" s="22">
        <v>180</v>
      </c>
      <c r="E3635" s="16"/>
      <c r="G3635" t="s">
        <v>152</v>
      </c>
      <c r="H3635" t="s">
        <v>257</v>
      </c>
      <c r="I3635" t="s">
        <v>46</v>
      </c>
      <c r="J3635" t="s">
        <v>219</v>
      </c>
      <c r="K3635">
        <v>1</v>
      </c>
      <c r="N3635" s="21"/>
      <c r="O3635" s="2"/>
      <c r="P3635" s="2"/>
      <c r="Q3635" s="4"/>
      <c r="R3635" s="4"/>
      <c r="S3635" s="4"/>
      <c r="T3635" s="4"/>
      <c r="U3635" s="4"/>
      <c r="V3635" s="4"/>
    </row>
    <row r="3636" spans="1:22" ht="14.5" customHeight="1" x14ac:dyDescent="0.2">
      <c r="A3636" s="54">
        <v>2020</v>
      </c>
      <c r="B3636" s="17" t="s">
        <v>240</v>
      </c>
      <c r="C3636" t="s">
        <v>397</v>
      </c>
      <c r="D3636" s="22">
        <v>200</v>
      </c>
      <c r="E3636" s="16"/>
      <c r="G3636" t="s">
        <v>151</v>
      </c>
      <c r="H3636" t="s">
        <v>279</v>
      </c>
      <c r="I3636" t="s">
        <v>134</v>
      </c>
      <c r="J3636" t="s">
        <v>201</v>
      </c>
      <c r="K3636">
        <v>1</v>
      </c>
      <c r="N3636" s="21"/>
      <c r="O3636" s="2"/>
      <c r="P3636" s="2"/>
      <c r="Q3636" s="4"/>
      <c r="R3636" s="4"/>
      <c r="S3636" s="4"/>
      <c r="T3636" s="4"/>
      <c r="U3636" s="4"/>
      <c r="V3636" s="4"/>
    </row>
    <row r="3637" spans="1:22" ht="14.5" customHeight="1" x14ac:dyDescent="0.2">
      <c r="A3637" s="54">
        <v>2020</v>
      </c>
      <c r="B3637" s="17" t="s">
        <v>240</v>
      </c>
      <c r="C3637" t="s">
        <v>2999</v>
      </c>
      <c r="D3637" s="22">
        <v>160</v>
      </c>
      <c r="E3637" s="16"/>
      <c r="G3637" t="s">
        <v>144</v>
      </c>
      <c r="H3637" t="s">
        <v>197</v>
      </c>
      <c r="I3637" t="s">
        <v>27</v>
      </c>
      <c r="J3637" t="s">
        <v>205</v>
      </c>
      <c r="K3637">
        <v>1</v>
      </c>
      <c r="N3637" s="21"/>
      <c r="O3637" s="2"/>
      <c r="P3637" s="2"/>
      <c r="Q3637" s="4"/>
      <c r="R3637" s="4"/>
      <c r="S3637" s="4"/>
      <c r="T3637" s="4"/>
      <c r="U3637" s="4"/>
      <c r="V3637" s="4"/>
    </row>
    <row r="3638" spans="1:22" ht="14.5" customHeight="1" x14ac:dyDescent="0.2">
      <c r="A3638" s="54">
        <v>2020</v>
      </c>
      <c r="B3638" s="17" t="s">
        <v>240</v>
      </c>
      <c r="C3638" t="s">
        <v>1035</v>
      </c>
      <c r="D3638" s="22">
        <v>130</v>
      </c>
      <c r="E3638" s="16"/>
      <c r="G3638" t="s">
        <v>144</v>
      </c>
      <c r="H3638" t="s">
        <v>273</v>
      </c>
      <c r="I3638" t="s">
        <v>53</v>
      </c>
      <c r="J3638" t="s">
        <v>183</v>
      </c>
      <c r="K3638">
        <v>1</v>
      </c>
      <c r="N3638" s="21"/>
      <c r="O3638" s="2"/>
      <c r="P3638" s="2"/>
      <c r="Q3638" s="4"/>
      <c r="R3638" s="4"/>
      <c r="S3638" s="4"/>
      <c r="T3638" s="4"/>
      <c r="U3638" s="4"/>
      <c r="V3638" s="4"/>
    </row>
    <row r="3639" spans="1:22" ht="14.5" customHeight="1" x14ac:dyDescent="0.2">
      <c r="A3639" s="54">
        <v>2020</v>
      </c>
      <c r="B3639" s="17" t="s">
        <v>240</v>
      </c>
      <c r="C3639" t="s">
        <v>479</v>
      </c>
      <c r="D3639" s="22">
        <v>240</v>
      </c>
      <c r="E3639" s="16"/>
      <c r="F3639" t="s">
        <v>3000</v>
      </c>
      <c r="G3639" t="s">
        <v>154</v>
      </c>
      <c r="H3639" t="s">
        <v>529</v>
      </c>
      <c r="I3639" t="s">
        <v>9</v>
      </c>
      <c r="J3639" t="s">
        <v>9</v>
      </c>
      <c r="K3639">
        <v>0</v>
      </c>
      <c r="N3639" s="21"/>
      <c r="O3639" s="2"/>
      <c r="P3639" s="2"/>
      <c r="Q3639" s="4"/>
      <c r="R3639" s="4"/>
      <c r="S3639" s="4"/>
      <c r="T3639" s="4"/>
      <c r="U3639" s="4"/>
      <c r="V3639" s="4"/>
    </row>
    <row r="3640" spans="1:22" ht="14.5" customHeight="1" x14ac:dyDescent="0.2">
      <c r="A3640" s="54">
        <v>2020</v>
      </c>
      <c r="B3640" s="17" t="s">
        <v>212</v>
      </c>
      <c r="C3640" t="s">
        <v>397</v>
      </c>
      <c r="D3640" s="22">
        <v>180</v>
      </c>
      <c r="E3640" s="16"/>
      <c r="G3640" t="s">
        <v>155</v>
      </c>
      <c r="I3640" t="s">
        <v>108</v>
      </c>
      <c r="J3640" t="s">
        <v>183</v>
      </c>
      <c r="K3640">
        <v>1</v>
      </c>
      <c r="N3640" s="21"/>
      <c r="O3640" s="2"/>
      <c r="P3640" s="2"/>
      <c r="Q3640" s="4"/>
      <c r="R3640" s="4"/>
      <c r="S3640" s="4"/>
      <c r="T3640" s="4"/>
      <c r="U3640" s="4"/>
      <c r="V3640" s="4"/>
    </row>
    <row r="3641" spans="1:22" ht="14.5" customHeight="1" x14ac:dyDescent="0.2">
      <c r="A3641" s="54">
        <v>2020</v>
      </c>
      <c r="B3641" s="17" t="s">
        <v>212</v>
      </c>
      <c r="C3641" t="s">
        <v>397</v>
      </c>
      <c r="D3641" s="22">
        <v>1490</v>
      </c>
      <c r="E3641" s="16"/>
      <c r="G3641" t="s">
        <v>154</v>
      </c>
      <c r="H3641" t="s">
        <v>529</v>
      </c>
      <c r="I3641" t="s">
        <v>63</v>
      </c>
      <c r="J3641" t="s">
        <v>201</v>
      </c>
      <c r="K3641">
        <v>1</v>
      </c>
      <c r="N3641" s="21"/>
      <c r="O3641" s="2"/>
      <c r="P3641" s="2"/>
      <c r="Q3641" s="4"/>
      <c r="R3641" s="4"/>
      <c r="S3641" s="4"/>
      <c r="T3641" s="4"/>
      <c r="U3641" s="4"/>
      <c r="V3641" s="4"/>
    </row>
    <row r="3642" spans="1:22" ht="14.5" customHeight="1" x14ac:dyDescent="0.2">
      <c r="A3642" s="54">
        <v>2020</v>
      </c>
      <c r="B3642" s="17" t="s">
        <v>212</v>
      </c>
      <c r="C3642" t="s">
        <v>1035</v>
      </c>
      <c r="D3642" s="22">
        <v>120</v>
      </c>
      <c r="E3642" s="16"/>
      <c r="G3642" t="s">
        <v>144</v>
      </c>
      <c r="H3642" t="s">
        <v>232</v>
      </c>
      <c r="I3642" t="s">
        <v>134</v>
      </c>
      <c r="J3642" t="s">
        <v>201</v>
      </c>
      <c r="K3642">
        <v>1</v>
      </c>
      <c r="N3642" s="21"/>
      <c r="O3642" s="2"/>
      <c r="P3642" s="2"/>
      <c r="Q3642" s="4"/>
      <c r="R3642" s="4"/>
      <c r="S3642" s="4"/>
      <c r="T3642" s="4"/>
      <c r="U3642" s="4"/>
      <c r="V3642" s="4"/>
    </row>
    <row r="3643" spans="1:22" ht="14.5" customHeight="1" x14ac:dyDescent="0.2">
      <c r="A3643" s="54">
        <v>2020</v>
      </c>
      <c r="B3643" s="17" t="s">
        <v>212</v>
      </c>
      <c r="C3643" t="s">
        <v>3001</v>
      </c>
      <c r="D3643" s="22">
        <v>460</v>
      </c>
      <c r="E3643" s="16"/>
      <c r="G3643" t="s">
        <v>144</v>
      </c>
      <c r="H3643" t="s">
        <v>232</v>
      </c>
      <c r="I3643" t="s">
        <v>136</v>
      </c>
      <c r="J3643" t="s">
        <v>183</v>
      </c>
      <c r="K3643">
        <v>1</v>
      </c>
      <c r="N3643" s="21"/>
      <c r="O3643" s="2"/>
      <c r="P3643" s="2"/>
      <c r="Q3643" s="4"/>
      <c r="R3643" s="4"/>
      <c r="S3643" s="4"/>
      <c r="T3643" s="4"/>
      <c r="U3643" s="4"/>
      <c r="V3643" s="4"/>
    </row>
    <row r="3644" spans="1:22" ht="14.5" customHeight="1" x14ac:dyDescent="0.2">
      <c r="A3644" s="54">
        <v>2020</v>
      </c>
      <c r="B3644" s="17" t="s">
        <v>212</v>
      </c>
      <c r="C3644" t="s">
        <v>449</v>
      </c>
      <c r="D3644" s="22">
        <v>150</v>
      </c>
      <c r="E3644" s="16"/>
      <c r="G3644" t="s">
        <v>154</v>
      </c>
      <c r="H3644" t="s">
        <v>194</v>
      </c>
      <c r="I3644" t="s">
        <v>132</v>
      </c>
      <c r="J3644" t="s">
        <v>219</v>
      </c>
      <c r="K3644">
        <v>1</v>
      </c>
      <c r="N3644" s="21"/>
      <c r="O3644" s="2"/>
      <c r="P3644" s="2"/>
      <c r="Q3644" s="4"/>
      <c r="R3644" s="4"/>
      <c r="S3644" s="4"/>
      <c r="T3644" s="4"/>
      <c r="U3644" s="4"/>
      <c r="V3644" s="4"/>
    </row>
    <row r="3645" spans="1:22" ht="14.5" customHeight="1" x14ac:dyDescent="0.2">
      <c r="A3645" s="54">
        <v>2020</v>
      </c>
      <c r="B3645" s="17" t="s">
        <v>212</v>
      </c>
      <c r="C3645" t="s">
        <v>449</v>
      </c>
      <c r="D3645" s="22">
        <v>420</v>
      </c>
      <c r="E3645" s="16"/>
      <c r="G3645" t="s">
        <v>154</v>
      </c>
      <c r="H3645" t="s">
        <v>529</v>
      </c>
      <c r="I3645" t="s">
        <v>124</v>
      </c>
      <c r="J3645" t="s">
        <v>183</v>
      </c>
      <c r="K3645">
        <v>1</v>
      </c>
      <c r="N3645" s="21"/>
      <c r="O3645" s="2"/>
      <c r="P3645" s="2"/>
      <c r="Q3645" s="4"/>
      <c r="R3645" s="4"/>
      <c r="S3645" s="4"/>
      <c r="T3645" s="4"/>
      <c r="U3645" s="4"/>
      <c r="V3645" s="4"/>
    </row>
    <row r="3646" spans="1:22" ht="14.5" customHeight="1" x14ac:dyDescent="0.2">
      <c r="A3646" s="54">
        <v>2020</v>
      </c>
      <c r="B3646" s="17" t="s">
        <v>212</v>
      </c>
      <c r="C3646" t="s">
        <v>479</v>
      </c>
      <c r="D3646" s="22">
        <v>710</v>
      </c>
      <c r="E3646" s="16"/>
      <c r="G3646" t="s">
        <v>154</v>
      </c>
      <c r="H3646" t="s">
        <v>194</v>
      </c>
      <c r="I3646" t="s">
        <v>106</v>
      </c>
      <c r="J3646" t="s">
        <v>195</v>
      </c>
      <c r="K3646">
        <v>1</v>
      </c>
      <c r="N3646" s="21"/>
      <c r="O3646" s="2"/>
      <c r="P3646" s="2"/>
      <c r="Q3646" s="4"/>
      <c r="R3646" s="4"/>
      <c r="S3646" s="4"/>
      <c r="T3646" s="4"/>
      <c r="U3646" s="4"/>
      <c r="V3646" s="4"/>
    </row>
    <row r="3647" spans="1:22" ht="14.5" customHeight="1" x14ac:dyDescent="0.2">
      <c r="A3647" s="54">
        <v>2020</v>
      </c>
      <c r="B3647" s="17" t="s">
        <v>212</v>
      </c>
      <c r="C3647" t="s">
        <v>341</v>
      </c>
      <c r="D3647" s="22">
        <v>130</v>
      </c>
      <c r="E3647" s="16"/>
      <c r="G3647" t="s">
        <v>154</v>
      </c>
      <c r="H3647" t="s">
        <v>194</v>
      </c>
      <c r="I3647" t="s">
        <v>84</v>
      </c>
      <c r="J3647" t="s">
        <v>201</v>
      </c>
      <c r="K3647">
        <v>1</v>
      </c>
      <c r="N3647" s="21"/>
      <c r="O3647" s="2"/>
      <c r="P3647" s="2"/>
      <c r="Q3647" s="4"/>
      <c r="R3647" s="4"/>
      <c r="S3647" s="4"/>
      <c r="T3647" s="4"/>
      <c r="U3647" s="4"/>
      <c r="V3647" s="4"/>
    </row>
    <row r="3648" spans="1:22" ht="14.5" customHeight="1" x14ac:dyDescent="0.2">
      <c r="A3648" s="54">
        <v>2020</v>
      </c>
      <c r="B3648" s="17" t="s">
        <v>212</v>
      </c>
      <c r="C3648" t="s">
        <v>267</v>
      </c>
      <c r="D3648" s="22">
        <v>520</v>
      </c>
      <c r="E3648" s="16">
        <v>0.75</v>
      </c>
      <c r="F3648" t="s">
        <v>3002</v>
      </c>
      <c r="G3648" t="s">
        <v>149</v>
      </c>
      <c r="H3648" t="s">
        <v>238</v>
      </c>
      <c r="I3648" t="s">
        <v>53</v>
      </c>
      <c r="J3648" t="s">
        <v>183</v>
      </c>
      <c r="K3648">
        <v>1</v>
      </c>
      <c r="N3648" s="21"/>
      <c r="O3648" s="2"/>
      <c r="P3648" s="2"/>
      <c r="Q3648" s="4"/>
      <c r="R3648" s="4"/>
      <c r="S3648" s="4"/>
      <c r="T3648" s="4"/>
      <c r="U3648" s="4"/>
      <c r="V3648" s="4"/>
    </row>
    <row r="3649" spans="1:22" ht="14.5" customHeight="1" x14ac:dyDescent="0.2">
      <c r="A3649" s="54">
        <v>2020</v>
      </c>
      <c r="B3649" s="17" t="s">
        <v>212</v>
      </c>
      <c r="C3649" t="s">
        <v>3003</v>
      </c>
      <c r="D3649" s="22">
        <v>120</v>
      </c>
      <c r="E3649" s="16"/>
      <c r="G3649" t="s">
        <v>154</v>
      </c>
      <c r="H3649" t="s">
        <v>194</v>
      </c>
      <c r="I3649" t="s">
        <v>122</v>
      </c>
      <c r="J3649" t="s">
        <v>201</v>
      </c>
      <c r="K3649">
        <v>1</v>
      </c>
      <c r="N3649" s="21"/>
      <c r="O3649" s="2"/>
      <c r="P3649" s="2"/>
      <c r="Q3649" s="4"/>
      <c r="R3649" s="4"/>
      <c r="S3649" s="4"/>
      <c r="T3649" s="4"/>
      <c r="U3649" s="4"/>
      <c r="V3649" s="4"/>
    </row>
    <row r="3650" spans="1:22" ht="14.5" customHeight="1" x14ac:dyDescent="0.2">
      <c r="A3650" s="54">
        <v>2020</v>
      </c>
      <c r="B3650" s="17" t="s">
        <v>212</v>
      </c>
      <c r="C3650" t="s">
        <v>479</v>
      </c>
      <c r="D3650" s="22">
        <v>160</v>
      </c>
      <c r="E3650" s="16"/>
      <c r="G3650" t="s">
        <v>154</v>
      </c>
      <c r="H3650" t="s">
        <v>529</v>
      </c>
      <c r="I3650" t="s">
        <v>9</v>
      </c>
      <c r="J3650" t="s">
        <v>9</v>
      </c>
      <c r="K3650">
        <v>0</v>
      </c>
      <c r="N3650" s="21"/>
      <c r="O3650" s="2"/>
      <c r="P3650" s="2"/>
      <c r="Q3650" s="4"/>
      <c r="R3650" s="4"/>
      <c r="S3650" s="4"/>
      <c r="T3650" s="4"/>
      <c r="U3650" s="4"/>
      <c r="V3650" s="4"/>
    </row>
    <row r="3651" spans="1:22" ht="14.5" customHeight="1" x14ac:dyDescent="0.2">
      <c r="A3651" s="54">
        <v>2020</v>
      </c>
      <c r="B3651" s="17" t="s">
        <v>212</v>
      </c>
      <c r="C3651" t="s">
        <v>1035</v>
      </c>
      <c r="D3651" s="22">
        <v>380</v>
      </c>
      <c r="E3651" s="16"/>
      <c r="G3651" t="s">
        <v>154</v>
      </c>
      <c r="H3651" t="s">
        <v>529</v>
      </c>
      <c r="I3651" t="s">
        <v>19</v>
      </c>
      <c r="J3651" t="s">
        <v>205</v>
      </c>
      <c r="K3651">
        <v>0</v>
      </c>
      <c r="N3651" s="21"/>
      <c r="O3651" s="2"/>
      <c r="P3651" s="2"/>
      <c r="Q3651" s="4"/>
      <c r="R3651" s="4"/>
      <c r="S3651" s="4"/>
      <c r="T3651" s="4"/>
      <c r="U3651" s="4"/>
      <c r="V3651" s="4"/>
    </row>
    <row r="3652" spans="1:22" ht="14.5" customHeight="1" x14ac:dyDescent="0.2">
      <c r="A3652" s="54">
        <v>2020</v>
      </c>
      <c r="B3652" s="17" t="s">
        <v>212</v>
      </c>
      <c r="C3652" t="s">
        <v>875</v>
      </c>
      <c r="D3652" s="22">
        <v>110</v>
      </c>
      <c r="E3652" s="16"/>
      <c r="G3652" t="s">
        <v>154</v>
      </c>
      <c r="H3652" t="s">
        <v>529</v>
      </c>
      <c r="I3652" t="s">
        <v>83</v>
      </c>
      <c r="J3652" t="s">
        <v>219</v>
      </c>
      <c r="K3652">
        <v>1</v>
      </c>
      <c r="N3652" s="21"/>
      <c r="O3652" s="2"/>
      <c r="P3652" s="2"/>
      <c r="Q3652" s="4"/>
      <c r="R3652" s="4"/>
      <c r="S3652" s="4"/>
      <c r="T3652" s="4"/>
      <c r="U3652" s="4"/>
      <c r="V3652" s="4"/>
    </row>
    <row r="3653" spans="1:22" ht="14.5" customHeight="1" x14ac:dyDescent="0.2">
      <c r="A3653" s="54">
        <v>2020</v>
      </c>
      <c r="B3653" s="17" t="s">
        <v>212</v>
      </c>
      <c r="C3653" t="s">
        <v>397</v>
      </c>
      <c r="D3653" s="22">
        <v>100</v>
      </c>
      <c r="E3653" s="16"/>
      <c r="G3653" t="s">
        <v>154</v>
      </c>
      <c r="H3653" t="s">
        <v>194</v>
      </c>
      <c r="I3653" t="s">
        <v>97</v>
      </c>
      <c r="J3653" t="s">
        <v>183</v>
      </c>
      <c r="K3653">
        <v>1</v>
      </c>
      <c r="N3653" s="21"/>
      <c r="O3653" s="2"/>
      <c r="P3653" s="2"/>
      <c r="Q3653" s="4"/>
      <c r="R3653" s="4"/>
      <c r="S3653" s="4"/>
      <c r="T3653" s="4"/>
      <c r="U3653" s="4"/>
      <c r="V3653" s="4"/>
    </row>
    <row r="3654" spans="1:22" ht="14.5" customHeight="1" x14ac:dyDescent="0.2">
      <c r="A3654">
        <v>2021</v>
      </c>
      <c r="B3654" t="s">
        <v>172</v>
      </c>
      <c r="C3654" t="s">
        <v>189</v>
      </c>
      <c r="D3654" s="65">
        <v>360</v>
      </c>
      <c r="E3654" s="33">
        <v>0.4</v>
      </c>
      <c r="F3654" t="s">
        <v>1975</v>
      </c>
      <c r="G3654" t="s">
        <v>143</v>
      </c>
      <c r="I3654" t="s">
        <v>101</v>
      </c>
      <c r="J3654" t="s">
        <v>201</v>
      </c>
      <c r="K3654" s="17">
        <v>1</v>
      </c>
      <c r="L3654" s="28" t="s">
        <v>178</v>
      </c>
      <c r="N3654" s="21"/>
      <c r="O3654" s="2"/>
      <c r="P3654" s="2"/>
      <c r="Q3654" s="4"/>
      <c r="R3654" s="4"/>
      <c r="S3654" s="4"/>
      <c r="T3654" s="4"/>
      <c r="U3654" s="4"/>
      <c r="V3654" s="4"/>
    </row>
    <row r="3655" spans="1:22" ht="14.5" customHeight="1" x14ac:dyDescent="0.2">
      <c r="A3655">
        <v>2021</v>
      </c>
      <c r="B3655" t="s">
        <v>172</v>
      </c>
      <c r="C3655" t="s">
        <v>714</v>
      </c>
      <c r="D3655" s="65">
        <v>430</v>
      </c>
      <c r="E3655" s="33"/>
      <c r="G3655" t="s">
        <v>154</v>
      </c>
      <c r="H3655" t="s">
        <v>194</v>
      </c>
      <c r="I3655" t="s">
        <v>136</v>
      </c>
      <c r="J3655" t="s">
        <v>183</v>
      </c>
      <c r="K3655" s="17">
        <v>1</v>
      </c>
      <c r="L3655" s="28"/>
      <c r="N3655" s="21"/>
      <c r="O3655" s="2"/>
      <c r="P3655" s="2"/>
      <c r="Q3655" s="4"/>
      <c r="R3655" s="4"/>
      <c r="S3655" s="4"/>
      <c r="T3655" s="4"/>
      <c r="U3655" s="4"/>
      <c r="V3655" s="4"/>
    </row>
    <row r="3656" spans="1:22" ht="14.5" customHeight="1" x14ac:dyDescent="0.2">
      <c r="A3656">
        <v>2021</v>
      </c>
      <c r="B3656" t="s">
        <v>172</v>
      </c>
      <c r="C3656" t="s">
        <v>908</v>
      </c>
      <c r="D3656" s="65">
        <v>1050</v>
      </c>
      <c r="E3656" s="33">
        <v>0.35</v>
      </c>
      <c r="G3656" t="s">
        <v>149</v>
      </c>
      <c r="H3656" t="s">
        <v>238</v>
      </c>
      <c r="I3656" t="s">
        <v>48</v>
      </c>
      <c r="J3656" t="s">
        <v>219</v>
      </c>
      <c r="K3656" s="17">
        <v>1</v>
      </c>
      <c r="L3656" s="28" t="s">
        <v>178</v>
      </c>
      <c r="N3656" s="21"/>
      <c r="O3656" s="2"/>
      <c r="P3656" s="2"/>
      <c r="Q3656" s="4"/>
      <c r="R3656" s="4"/>
      <c r="S3656" s="4"/>
      <c r="T3656" s="4"/>
      <c r="U3656" s="4"/>
      <c r="V3656" s="4"/>
    </row>
    <row r="3657" spans="1:22" ht="14.5" customHeight="1" x14ac:dyDescent="0.2">
      <c r="A3657">
        <v>2021</v>
      </c>
      <c r="B3657" t="s">
        <v>172</v>
      </c>
      <c r="C3657" t="s">
        <v>1976</v>
      </c>
      <c r="D3657" s="65">
        <v>750</v>
      </c>
      <c r="E3657" s="33"/>
      <c r="G3657" t="s">
        <v>144</v>
      </c>
      <c r="H3657" t="s">
        <v>187</v>
      </c>
      <c r="I3657" t="s">
        <v>46</v>
      </c>
      <c r="J3657" t="s">
        <v>219</v>
      </c>
      <c r="K3657" s="17">
        <v>1</v>
      </c>
      <c r="L3657" s="28" t="s">
        <v>178</v>
      </c>
      <c r="N3657" s="21"/>
      <c r="O3657" s="2"/>
      <c r="P3657" s="2"/>
      <c r="Q3657" s="4"/>
      <c r="R3657" s="4"/>
      <c r="S3657" s="4"/>
      <c r="T3657" s="4"/>
      <c r="U3657" s="4"/>
      <c r="V3657" s="4"/>
    </row>
    <row r="3658" spans="1:22" ht="14.5" customHeight="1" x14ac:dyDescent="0.2">
      <c r="A3658">
        <v>2021</v>
      </c>
      <c r="B3658" t="s">
        <v>258</v>
      </c>
      <c r="C3658" t="s">
        <v>246</v>
      </c>
      <c r="D3658" s="65">
        <v>590</v>
      </c>
      <c r="E3658" s="33"/>
      <c r="F3658" t="s">
        <v>1977</v>
      </c>
      <c r="G3658" t="s">
        <v>144</v>
      </c>
      <c r="H3658" t="s">
        <v>232</v>
      </c>
      <c r="I3658" t="s">
        <v>114</v>
      </c>
      <c r="J3658" t="s">
        <v>195</v>
      </c>
      <c r="K3658" s="17">
        <v>0</v>
      </c>
      <c r="L3658" s="28"/>
      <c r="N3658" s="21"/>
      <c r="O3658" s="2"/>
      <c r="P3658" s="2"/>
      <c r="Q3658" s="4"/>
      <c r="R3658" s="4"/>
      <c r="S3658" s="4"/>
      <c r="T3658" s="4"/>
      <c r="U3658" s="4"/>
      <c r="V3658" s="4"/>
    </row>
    <row r="3659" spans="1:22" ht="14.5" customHeight="1" x14ac:dyDescent="0.2">
      <c r="A3659">
        <v>2021</v>
      </c>
      <c r="B3659" t="s">
        <v>258</v>
      </c>
      <c r="C3659" t="s">
        <v>246</v>
      </c>
      <c r="D3659" s="65">
        <v>560</v>
      </c>
      <c r="E3659" s="33">
        <v>0.14000000000000001</v>
      </c>
      <c r="F3659" t="s">
        <v>1850</v>
      </c>
      <c r="G3659" t="s">
        <v>144</v>
      </c>
      <c r="I3659" t="s">
        <v>96</v>
      </c>
      <c r="J3659" t="s">
        <v>205</v>
      </c>
      <c r="K3659" s="17">
        <v>1</v>
      </c>
      <c r="L3659" s="28"/>
      <c r="N3659" s="21"/>
      <c r="O3659" s="2"/>
      <c r="P3659" s="2"/>
      <c r="Q3659" s="4"/>
      <c r="R3659" s="4"/>
      <c r="S3659" s="4"/>
      <c r="T3659" s="4"/>
      <c r="U3659" s="4"/>
      <c r="V3659" s="4"/>
    </row>
    <row r="3660" spans="1:22" ht="14.5" customHeight="1" x14ac:dyDescent="0.2">
      <c r="A3660">
        <v>2021</v>
      </c>
      <c r="B3660" t="s">
        <v>258</v>
      </c>
      <c r="C3660" t="s">
        <v>1046</v>
      </c>
      <c r="D3660" s="65">
        <v>420</v>
      </c>
      <c r="E3660" s="33"/>
      <c r="F3660" t="s">
        <v>1978</v>
      </c>
      <c r="G3660" t="s">
        <v>144</v>
      </c>
      <c r="I3660" t="s">
        <v>131</v>
      </c>
      <c r="J3660" t="s">
        <v>131</v>
      </c>
      <c r="K3660" s="17">
        <v>0</v>
      </c>
      <c r="L3660" s="28"/>
      <c r="N3660" s="21"/>
      <c r="O3660" s="2"/>
      <c r="P3660" s="2"/>
      <c r="Q3660" s="4"/>
      <c r="R3660" s="4"/>
      <c r="S3660" s="4"/>
      <c r="T3660" s="4"/>
      <c r="U3660" s="4"/>
      <c r="V3660" s="4"/>
    </row>
    <row r="3661" spans="1:22" ht="14.5" customHeight="1" x14ac:dyDescent="0.2">
      <c r="A3661">
        <v>2021</v>
      </c>
      <c r="B3661" t="s">
        <v>258</v>
      </c>
      <c r="C3661" t="s">
        <v>269</v>
      </c>
      <c r="D3661" s="65">
        <v>140</v>
      </c>
      <c r="E3661" s="33">
        <v>0.2</v>
      </c>
      <c r="F3661" t="s">
        <v>1979</v>
      </c>
      <c r="G3661" t="s">
        <v>148</v>
      </c>
      <c r="I3661" t="s">
        <v>105</v>
      </c>
      <c r="J3661" t="s">
        <v>214</v>
      </c>
      <c r="K3661" s="17">
        <v>1</v>
      </c>
      <c r="L3661" s="28"/>
      <c r="N3661" s="21"/>
      <c r="O3661" s="2"/>
      <c r="P3661" s="2"/>
      <c r="Q3661" s="4"/>
      <c r="R3661" s="4"/>
      <c r="S3661" s="4"/>
      <c r="T3661" s="4"/>
      <c r="U3661" s="4"/>
      <c r="V3661" s="4"/>
    </row>
    <row r="3662" spans="1:22" ht="14.5" customHeight="1" x14ac:dyDescent="0.2">
      <c r="A3662">
        <v>2021</v>
      </c>
      <c r="B3662" t="s">
        <v>258</v>
      </c>
      <c r="C3662" t="s">
        <v>1953</v>
      </c>
      <c r="D3662" s="65">
        <v>120</v>
      </c>
      <c r="E3662" s="33"/>
      <c r="F3662" t="s">
        <v>1980</v>
      </c>
      <c r="G3662" t="s">
        <v>147</v>
      </c>
      <c r="I3662" t="s">
        <v>20</v>
      </c>
      <c r="J3662" t="s">
        <v>195</v>
      </c>
      <c r="K3662" s="17">
        <v>0</v>
      </c>
      <c r="L3662" s="28"/>
      <c r="N3662" s="21"/>
      <c r="O3662" s="2"/>
      <c r="P3662" s="2"/>
      <c r="Q3662" s="4"/>
      <c r="R3662" s="4"/>
      <c r="S3662" s="4"/>
      <c r="T3662" s="4"/>
      <c r="U3662" s="4"/>
      <c r="V3662" s="4"/>
    </row>
    <row r="3663" spans="1:22" ht="14.5" customHeight="1" x14ac:dyDescent="0.2">
      <c r="A3663">
        <v>2021</v>
      </c>
      <c r="B3663" t="s">
        <v>258</v>
      </c>
      <c r="C3663" t="s">
        <v>1981</v>
      </c>
      <c r="D3663" s="65">
        <v>160</v>
      </c>
      <c r="E3663" s="33"/>
      <c r="F3663" t="s">
        <v>1982</v>
      </c>
      <c r="G3663" t="s">
        <v>143</v>
      </c>
      <c r="I3663" t="s">
        <v>131</v>
      </c>
      <c r="J3663" t="s">
        <v>131</v>
      </c>
      <c r="K3663" s="17">
        <v>0</v>
      </c>
      <c r="L3663" s="28"/>
      <c r="N3663" s="21"/>
      <c r="O3663" s="2"/>
      <c r="P3663" s="2"/>
      <c r="Q3663" s="4"/>
      <c r="R3663" s="4"/>
      <c r="S3663" s="4"/>
      <c r="T3663" s="4"/>
      <c r="U3663" s="4"/>
      <c r="V3663" s="4"/>
    </row>
    <row r="3664" spans="1:22" ht="14.5" customHeight="1" x14ac:dyDescent="0.2">
      <c r="A3664">
        <v>2021</v>
      </c>
      <c r="B3664" t="s">
        <v>179</v>
      </c>
      <c r="C3664" t="s">
        <v>1829</v>
      </c>
      <c r="D3664" s="65">
        <v>4380</v>
      </c>
      <c r="E3664" s="33">
        <v>1</v>
      </c>
      <c r="F3664" t="s">
        <v>1983</v>
      </c>
      <c r="G3664" t="s">
        <v>150</v>
      </c>
      <c r="H3664" t="s">
        <v>556</v>
      </c>
      <c r="I3664" t="s">
        <v>85</v>
      </c>
      <c r="J3664" t="s">
        <v>195</v>
      </c>
      <c r="K3664" s="17">
        <v>0</v>
      </c>
      <c r="L3664" s="28"/>
      <c r="N3664" s="21"/>
      <c r="O3664" s="2"/>
      <c r="P3664" s="2"/>
      <c r="Q3664" s="4"/>
      <c r="R3664" s="4"/>
      <c r="S3664" s="4"/>
      <c r="T3664" s="4"/>
      <c r="U3664" s="4"/>
      <c r="V3664" s="4"/>
    </row>
    <row r="3665" spans="1:22" ht="14.5" customHeight="1" x14ac:dyDescent="0.2">
      <c r="A3665">
        <v>2021</v>
      </c>
      <c r="B3665" t="s">
        <v>179</v>
      </c>
      <c r="C3665" t="s">
        <v>1602</v>
      </c>
      <c r="D3665" s="65">
        <v>200</v>
      </c>
      <c r="E3665" s="33">
        <v>0.75</v>
      </c>
      <c r="F3665" t="s">
        <v>1984</v>
      </c>
      <c r="G3665" t="s">
        <v>154</v>
      </c>
      <c r="H3665" t="s">
        <v>194</v>
      </c>
      <c r="I3665" t="s">
        <v>61</v>
      </c>
      <c r="J3665" t="s">
        <v>183</v>
      </c>
      <c r="K3665" s="17">
        <v>0</v>
      </c>
      <c r="L3665" s="28"/>
      <c r="N3665" s="21"/>
      <c r="O3665" s="2"/>
      <c r="P3665" s="2"/>
      <c r="Q3665" s="4"/>
      <c r="R3665" s="4"/>
      <c r="S3665" s="4"/>
      <c r="T3665" s="4"/>
      <c r="U3665" s="4"/>
      <c r="V3665" s="4"/>
    </row>
    <row r="3666" spans="1:22" ht="14.5" customHeight="1" x14ac:dyDescent="0.2">
      <c r="A3666">
        <v>2021</v>
      </c>
      <c r="B3666" t="s">
        <v>179</v>
      </c>
      <c r="C3666" t="s">
        <v>1602</v>
      </c>
      <c r="D3666" s="65">
        <v>260</v>
      </c>
      <c r="E3666" s="33"/>
      <c r="G3666" t="s">
        <v>150</v>
      </c>
      <c r="H3666" t="s">
        <v>556</v>
      </c>
      <c r="I3666" t="s">
        <v>77</v>
      </c>
      <c r="J3666" t="s">
        <v>177</v>
      </c>
      <c r="K3666" s="17">
        <v>0</v>
      </c>
      <c r="L3666" s="28" t="s">
        <v>178</v>
      </c>
      <c r="N3666" s="21"/>
      <c r="O3666" s="2"/>
      <c r="P3666" s="2"/>
      <c r="Q3666" s="4"/>
      <c r="R3666" s="4"/>
      <c r="S3666" s="4"/>
      <c r="T3666" s="4"/>
      <c r="U3666" s="4"/>
      <c r="V3666" s="4"/>
    </row>
    <row r="3667" spans="1:22" ht="14.5" customHeight="1" x14ac:dyDescent="0.2">
      <c r="A3667">
        <v>2021</v>
      </c>
      <c r="B3667" t="s">
        <v>179</v>
      </c>
      <c r="C3667" t="s">
        <v>454</v>
      </c>
      <c r="D3667" s="65">
        <v>650</v>
      </c>
      <c r="E3667" s="33">
        <v>0.04</v>
      </c>
      <c r="F3667" t="s">
        <v>1985</v>
      </c>
      <c r="G3667" t="s">
        <v>150</v>
      </c>
      <c r="H3667" t="s">
        <v>556</v>
      </c>
      <c r="I3667" t="s">
        <v>61</v>
      </c>
      <c r="J3667" t="s">
        <v>183</v>
      </c>
      <c r="K3667" s="17">
        <v>0</v>
      </c>
      <c r="L3667" s="28"/>
      <c r="N3667" s="21"/>
      <c r="O3667" s="2"/>
      <c r="P3667" s="2"/>
      <c r="Q3667" s="4"/>
      <c r="R3667" s="4"/>
      <c r="S3667" s="4"/>
      <c r="T3667" s="4"/>
      <c r="U3667" s="4"/>
      <c r="V3667" s="4"/>
    </row>
    <row r="3668" spans="1:22" ht="14.5" customHeight="1" x14ac:dyDescent="0.2">
      <c r="A3668">
        <v>2021</v>
      </c>
      <c r="B3668" t="s">
        <v>179</v>
      </c>
      <c r="C3668" t="s">
        <v>1307</v>
      </c>
      <c r="D3668" s="65">
        <v>140</v>
      </c>
      <c r="E3668" s="33"/>
      <c r="F3668" t="s">
        <v>1986</v>
      </c>
      <c r="G3668" t="s">
        <v>152</v>
      </c>
      <c r="I3668" t="s">
        <v>108</v>
      </c>
      <c r="J3668" t="s">
        <v>183</v>
      </c>
      <c r="K3668" s="17">
        <v>1</v>
      </c>
      <c r="L3668" s="28"/>
      <c r="N3668" s="21"/>
      <c r="O3668" s="2"/>
      <c r="P3668" s="2"/>
      <c r="Q3668" s="4"/>
      <c r="R3668" s="4"/>
      <c r="S3668" s="4"/>
      <c r="T3668" s="4"/>
      <c r="U3668" s="4"/>
      <c r="V3668" s="4"/>
    </row>
    <row r="3669" spans="1:22" ht="14.5" customHeight="1" x14ac:dyDescent="0.2">
      <c r="A3669">
        <v>2021</v>
      </c>
      <c r="B3669" t="s">
        <v>179</v>
      </c>
      <c r="C3669" t="s">
        <v>1672</v>
      </c>
      <c r="D3669" s="65">
        <v>140</v>
      </c>
      <c r="E3669" s="33">
        <v>1</v>
      </c>
      <c r="F3669" t="s">
        <v>1987</v>
      </c>
      <c r="G3669" t="s">
        <v>147</v>
      </c>
      <c r="I3669" t="s">
        <v>20</v>
      </c>
      <c r="J3669" t="s">
        <v>195</v>
      </c>
      <c r="K3669" s="17">
        <v>0</v>
      </c>
      <c r="L3669" s="28"/>
      <c r="N3669" s="21"/>
      <c r="O3669" s="2"/>
      <c r="P3669" s="2"/>
      <c r="Q3669" s="4"/>
      <c r="R3669" s="4"/>
      <c r="S3669" s="4"/>
      <c r="T3669" s="4"/>
      <c r="U3669" s="4"/>
      <c r="V3669" s="4"/>
    </row>
    <row r="3670" spans="1:22" ht="14.5" customHeight="1" x14ac:dyDescent="0.2">
      <c r="A3670">
        <v>2021</v>
      </c>
      <c r="B3670" t="s">
        <v>179</v>
      </c>
      <c r="C3670" t="s">
        <v>1687</v>
      </c>
      <c r="D3670" s="65">
        <v>300</v>
      </c>
      <c r="E3670" s="33"/>
      <c r="G3670" t="s">
        <v>150</v>
      </c>
      <c r="H3670" t="s">
        <v>226</v>
      </c>
      <c r="I3670" t="s">
        <v>72</v>
      </c>
      <c r="J3670" t="s">
        <v>183</v>
      </c>
      <c r="K3670" s="17">
        <v>1</v>
      </c>
      <c r="L3670" s="28"/>
      <c r="N3670" s="21"/>
      <c r="O3670" s="2"/>
      <c r="P3670" s="2"/>
      <c r="Q3670" s="4"/>
      <c r="R3670" s="4"/>
      <c r="S3670" s="4"/>
      <c r="T3670" s="4"/>
      <c r="U3670" s="4"/>
      <c r="V3670" s="4"/>
    </row>
    <row r="3671" spans="1:22" ht="14.5" customHeight="1" x14ac:dyDescent="0.2">
      <c r="A3671">
        <v>2021</v>
      </c>
      <c r="B3671" t="s">
        <v>179</v>
      </c>
      <c r="C3671" t="s">
        <v>1988</v>
      </c>
      <c r="D3671" s="65">
        <v>160</v>
      </c>
      <c r="E3671" s="33"/>
      <c r="F3671" t="s">
        <v>1989</v>
      </c>
      <c r="G3671" t="s">
        <v>150</v>
      </c>
      <c r="H3671" t="s">
        <v>556</v>
      </c>
      <c r="I3671" t="s">
        <v>20</v>
      </c>
      <c r="J3671" t="s">
        <v>195</v>
      </c>
      <c r="K3671" s="17">
        <v>0</v>
      </c>
      <c r="L3671" s="28"/>
      <c r="N3671" s="21"/>
      <c r="O3671" s="2"/>
      <c r="P3671" s="2"/>
      <c r="Q3671" s="4"/>
      <c r="R3671" s="4"/>
      <c r="S3671" s="4"/>
      <c r="T3671" s="4"/>
      <c r="U3671" s="4"/>
      <c r="V3671" s="4"/>
    </row>
    <row r="3672" spans="1:22" ht="14.5" customHeight="1" x14ac:dyDescent="0.2">
      <c r="A3672">
        <v>2021</v>
      </c>
      <c r="B3672" t="s">
        <v>179</v>
      </c>
      <c r="C3672" t="s">
        <v>1990</v>
      </c>
      <c r="D3672" s="65">
        <v>290</v>
      </c>
      <c r="E3672" s="33"/>
      <c r="G3672" t="s">
        <v>144</v>
      </c>
      <c r="H3672" t="s">
        <v>232</v>
      </c>
      <c r="I3672" t="s">
        <v>118</v>
      </c>
      <c r="J3672" t="s">
        <v>195</v>
      </c>
      <c r="K3672" s="17">
        <v>0</v>
      </c>
      <c r="L3672" s="28" t="s">
        <v>178</v>
      </c>
      <c r="N3672" s="21"/>
      <c r="O3672" s="2"/>
      <c r="P3672" s="2"/>
      <c r="Q3672" s="4"/>
      <c r="R3672" s="4"/>
      <c r="S3672" s="4"/>
      <c r="T3672" s="4"/>
      <c r="U3672" s="4"/>
      <c r="V3672" s="4"/>
    </row>
    <row r="3673" spans="1:22" ht="14.5" customHeight="1" x14ac:dyDescent="0.2">
      <c r="A3673">
        <v>2021</v>
      </c>
      <c r="B3673" t="s">
        <v>179</v>
      </c>
      <c r="C3673" t="s">
        <v>1905</v>
      </c>
      <c r="D3673" s="65">
        <v>300</v>
      </c>
      <c r="E3673" s="33"/>
      <c r="F3673" t="s">
        <v>1991</v>
      </c>
      <c r="G3673" t="s">
        <v>150</v>
      </c>
      <c r="H3673" t="s">
        <v>217</v>
      </c>
      <c r="I3673" t="s">
        <v>40</v>
      </c>
      <c r="J3673" t="s">
        <v>219</v>
      </c>
      <c r="K3673" s="17">
        <v>1</v>
      </c>
      <c r="L3673" s="28" t="s">
        <v>178</v>
      </c>
      <c r="N3673" s="21"/>
      <c r="O3673" s="2"/>
      <c r="P3673" s="2"/>
      <c r="Q3673" s="4"/>
      <c r="R3673" s="4"/>
      <c r="S3673" s="4"/>
      <c r="T3673" s="4"/>
      <c r="U3673" s="4"/>
      <c r="V3673" s="4"/>
    </row>
    <row r="3674" spans="1:22" ht="14.5" customHeight="1" x14ac:dyDescent="0.2">
      <c r="A3674">
        <v>2021</v>
      </c>
      <c r="B3674" t="s">
        <v>179</v>
      </c>
      <c r="C3674" t="s">
        <v>1992</v>
      </c>
      <c r="D3674" s="65">
        <v>200</v>
      </c>
      <c r="E3674" s="33">
        <v>0.1</v>
      </c>
      <c r="F3674" t="s">
        <v>1993</v>
      </c>
      <c r="G3674" t="s">
        <v>152</v>
      </c>
      <c r="I3674" t="s">
        <v>20</v>
      </c>
      <c r="J3674" t="s">
        <v>195</v>
      </c>
      <c r="K3674" s="17">
        <v>0</v>
      </c>
      <c r="L3674" s="28"/>
      <c r="N3674" s="21"/>
      <c r="O3674" s="2"/>
      <c r="P3674" s="2"/>
      <c r="Q3674" s="4"/>
      <c r="R3674" s="4"/>
      <c r="S3674" s="4"/>
      <c r="T3674" s="4"/>
      <c r="U3674" s="4"/>
      <c r="V3674" s="4"/>
    </row>
    <row r="3675" spans="1:22" ht="14.5" customHeight="1" x14ac:dyDescent="0.2">
      <c r="A3675">
        <v>2021</v>
      </c>
      <c r="B3675" t="s">
        <v>179</v>
      </c>
      <c r="C3675" t="s">
        <v>199</v>
      </c>
      <c r="D3675" s="65">
        <v>700</v>
      </c>
      <c r="E3675" s="33"/>
      <c r="G3675" t="s">
        <v>144</v>
      </c>
      <c r="H3675" t="s">
        <v>187</v>
      </c>
      <c r="I3675" t="s">
        <v>88</v>
      </c>
      <c r="J3675" t="s">
        <v>219</v>
      </c>
      <c r="K3675" s="17">
        <v>1</v>
      </c>
      <c r="L3675" s="28"/>
      <c r="N3675" s="21"/>
      <c r="O3675" s="2"/>
      <c r="P3675" s="2"/>
      <c r="Q3675" s="4"/>
      <c r="R3675" s="4"/>
      <c r="S3675" s="4"/>
      <c r="T3675" s="4"/>
      <c r="U3675" s="4"/>
      <c r="V3675" s="4"/>
    </row>
    <row r="3676" spans="1:22" ht="14.5" customHeight="1" x14ac:dyDescent="0.2">
      <c r="A3676">
        <v>2021</v>
      </c>
      <c r="B3676" t="s">
        <v>179</v>
      </c>
      <c r="C3676" t="s">
        <v>1994</v>
      </c>
      <c r="D3676" s="65">
        <v>230</v>
      </c>
      <c r="E3676" s="33">
        <v>1</v>
      </c>
      <c r="G3676" t="s">
        <v>148</v>
      </c>
      <c r="I3676" t="s">
        <v>34</v>
      </c>
      <c r="J3676" t="s">
        <v>219</v>
      </c>
      <c r="K3676" s="17">
        <v>1</v>
      </c>
      <c r="L3676" s="28"/>
      <c r="N3676" s="21"/>
      <c r="O3676" s="2"/>
      <c r="P3676" s="2"/>
      <c r="Q3676" s="4"/>
      <c r="R3676" s="4"/>
      <c r="S3676" s="4"/>
      <c r="T3676" s="4"/>
      <c r="U3676" s="4"/>
      <c r="V3676" s="4"/>
    </row>
    <row r="3677" spans="1:22" ht="14.5" customHeight="1" x14ac:dyDescent="0.2">
      <c r="A3677">
        <v>2021</v>
      </c>
      <c r="B3677" t="s">
        <v>184</v>
      </c>
      <c r="C3677" t="s">
        <v>449</v>
      </c>
      <c r="D3677" s="65">
        <v>800</v>
      </c>
      <c r="E3677" s="33"/>
      <c r="G3677" t="s">
        <v>154</v>
      </c>
      <c r="H3677" t="s">
        <v>194</v>
      </c>
      <c r="I3677" t="s">
        <v>27</v>
      </c>
      <c r="J3677" t="s">
        <v>205</v>
      </c>
      <c r="K3677" s="17">
        <v>1</v>
      </c>
      <c r="L3677" s="28" t="s">
        <v>178</v>
      </c>
      <c r="N3677" s="21"/>
      <c r="O3677" s="2"/>
      <c r="P3677" s="2"/>
      <c r="Q3677" s="4"/>
      <c r="R3677" s="4"/>
      <c r="S3677" s="4"/>
      <c r="T3677" s="4"/>
      <c r="U3677" s="4"/>
      <c r="V3677" s="4"/>
    </row>
    <row r="3678" spans="1:22" ht="14.5" customHeight="1" x14ac:dyDescent="0.2">
      <c r="A3678">
        <v>2021</v>
      </c>
      <c r="B3678" t="s">
        <v>184</v>
      </c>
      <c r="C3678" t="s">
        <v>1537</v>
      </c>
      <c r="D3678" s="65">
        <v>190</v>
      </c>
      <c r="E3678" s="33"/>
      <c r="F3678" t="s">
        <v>1538</v>
      </c>
      <c r="G3678" t="s">
        <v>154</v>
      </c>
      <c r="H3678" t="s">
        <v>250</v>
      </c>
      <c r="I3678" t="s">
        <v>42</v>
      </c>
      <c r="J3678" t="s">
        <v>195</v>
      </c>
      <c r="K3678" s="17">
        <v>0</v>
      </c>
      <c r="L3678" s="28"/>
      <c r="N3678" s="21"/>
      <c r="O3678" s="2"/>
      <c r="P3678" s="2"/>
      <c r="Q3678" s="4"/>
      <c r="R3678" s="4"/>
      <c r="S3678" s="4"/>
      <c r="T3678" s="4"/>
      <c r="U3678" s="4"/>
      <c r="V3678" s="4"/>
    </row>
    <row r="3679" spans="1:22" ht="14.5" customHeight="1" x14ac:dyDescent="0.2">
      <c r="A3679">
        <v>2021</v>
      </c>
      <c r="B3679" t="s">
        <v>184</v>
      </c>
      <c r="C3679" t="s">
        <v>559</v>
      </c>
      <c r="D3679" s="65">
        <v>410</v>
      </c>
      <c r="E3679" s="33"/>
      <c r="G3679" t="s">
        <v>149</v>
      </c>
      <c r="H3679" t="s">
        <v>236</v>
      </c>
      <c r="I3679" t="s">
        <v>106</v>
      </c>
      <c r="J3679" t="s">
        <v>195</v>
      </c>
      <c r="K3679" s="17">
        <v>1</v>
      </c>
      <c r="L3679" s="28"/>
      <c r="N3679" s="21"/>
      <c r="O3679" s="2"/>
      <c r="P3679" s="2"/>
      <c r="Q3679" s="4"/>
      <c r="R3679" s="4"/>
      <c r="S3679" s="4"/>
      <c r="T3679" s="4"/>
      <c r="U3679" s="4"/>
      <c r="V3679" s="4"/>
    </row>
    <row r="3680" spans="1:22" ht="14.5" customHeight="1" x14ac:dyDescent="0.2">
      <c r="A3680">
        <v>2021</v>
      </c>
      <c r="B3680" t="s">
        <v>184</v>
      </c>
      <c r="C3680" t="s">
        <v>822</v>
      </c>
      <c r="D3680" s="65">
        <v>350</v>
      </c>
      <c r="E3680" s="33">
        <v>0.11</v>
      </c>
      <c r="F3680" t="s">
        <v>1738</v>
      </c>
      <c r="G3680" t="s">
        <v>150</v>
      </c>
      <c r="H3680" t="s">
        <v>556</v>
      </c>
      <c r="I3680" t="s">
        <v>128</v>
      </c>
      <c r="J3680" t="s">
        <v>201</v>
      </c>
      <c r="K3680" s="17">
        <v>1</v>
      </c>
      <c r="L3680" s="28"/>
      <c r="N3680" s="21"/>
      <c r="O3680" s="2"/>
      <c r="P3680" s="2"/>
      <c r="Q3680" s="4"/>
      <c r="R3680" s="4"/>
      <c r="S3680" s="4"/>
      <c r="T3680" s="4"/>
      <c r="U3680" s="4"/>
      <c r="V3680" s="4"/>
    </row>
    <row r="3681" spans="1:22" ht="14.5" customHeight="1" x14ac:dyDescent="0.2">
      <c r="A3681">
        <v>2021</v>
      </c>
      <c r="B3681" t="s">
        <v>184</v>
      </c>
      <c r="C3681" s="52" t="s">
        <v>255</v>
      </c>
      <c r="D3681" s="65">
        <v>100</v>
      </c>
      <c r="E3681" s="33"/>
      <c r="G3681" t="s">
        <v>152</v>
      </c>
      <c r="H3681" t="s">
        <v>257</v>
      </c>
      <c r="I3681" t="s">
        <v>45</v>
      </c>
      <c r="J3681" t="s">
        <v>195</v>
      </c>
      <c r="K3681" s="17">
        <v>0</v>
      </c>
      <c r="L3681" s="28"/>
      <c r="N3681" s="21"/>
      <c r="O3681" s="2"/>
      <c r="P3681" s="2"/>
      <c r="Q3681" s="4"/>
      <c r="R3681" s="4"/>
      <c r="S3681" s="4"/>
      <c r="T3681" s="4"/>
      <c r="U3681" s="4"/>
      <c r="V3681" s="4"/>
    </row>
    <row r="3682" spans="1:22" ht="14.5" customHeight="1" x14ac:dyDescent="0.2">
      <c r="A3682">
        <v>2021</v>
      </c>
      <c r="B3682" t="s">
        <v>184</v>
      </c>
      <c r="C3682" t="s">
        <v>1995</v>
      </c>
      <c r="D3682" s="65">
        <v>1300</v>
      </c>
      <c r="E3682" s="33"/>
      <c r="F3682" t="s">
        <v>1996</v>
      </c>
      <c r="G3682" t="s">
        <v>148</v>
      </c>
      <c r="I3682" t="s">
        <v>53</v>
      </c>
      <c r="J3682" t="s">
        <v>183</v>
      </c>
      <c r="K3682" s="17">
        <v>1</v>
      </c>
      <c r="L3682" s="28"/>
      <c r="N3682" s="21"/>
      <c r="O3682" s="2"/>
      <c r="P3682" s="2"/>
      <c r="Q3682" s="4"/>
      <c r="R3682" s="4"/>
      <c r="S3682" s="4"/>
      <c r="T3682" s="4"/>
      <c r="U3682" s="4"/>
      <c r="V3682" s="4"/>
    </row>
    <row r="3683" spans="1:22" ht="14.5" customHeight="1" x14ac:dyDescent="0.2">
      <c r="A3683">
        <v>2021</v>
      </c>
      <c r="B3683" t="s">
        <v>184</v>
      </c>
      <c r="C3683" t="s">
        <v>1035</v>
      </c>
      <c r="D3683" s="65">
        <v>170</v>
      </c>
      <c r="E3683" s="33"/>
      <c r="G3683" t="s">
        <v>144</v>
      </c>
      <c r="H3683" t="s">
        <v>299</v>
      </c>
      <c r="I3683" t="s">
        <v>82</v>
      </c>
      <c r="J3683" t="s">
        <v>183</v>
      </c>
      <c r="K3683" s="17">
        <v>1</v>
      </c>
      <c r="L3683" s="28" t="s">
        <v>178</v>
      </c>
      <c r="N3683" s="21"/>
      <c r="O3683" s="2"/>
      <c r="P3683" s="2"/>
      <c r="Q3683" s="4"/>
      <c r="R3683" s="4"/>
      <c r="S3683" s="4"/>
      <c r="T3683" s="4"/>
      <c r="U3683" s="4"/>
      <c r="V3683" s="4"/>
    </row>
    <row r="3684" spans="1:22" ht="14.5" customHeight="1" x14ac:dyDescent="0.2">
      <c r="A3684">
        <v>2021</v>
      </c>
      <c r="B3684" t="s">
        <v>184</v>
      </c>
      <c r="C3684" t="s">
        <v>1462</v>
      </c>
      <c r="D3684" s="65">
        <v>200</v>
      </c>
      <c r="E3684" s="33"/>
      <c r="G3684" t="s">
        <v>149</v>
      </c>
      <c r="I3684" t="s">
        <v>53</v>
      </c>
      <c r="J3684" t="s">
        <v>183</v>
      </c>
      <c r="K3684" s="17">
        <v>1</v>
      </c>
      <c r="L3684" s="28"/>
      <c r="N3684" s="21"/>
      <c r="O3684" s="2"/>
      <c r="P3684" s="2"/>
      <c r="Q3684" s="4"/>
      <c r="R3684" s="4"/>
      <c r="S3684" s="4"/>
      <c r="T3684" s="4"/>
      <c r="U3684" s="4"/>
      <c r="V3684" s="4"/>
    </row>
    <row r="3685" spans="1:22" ht="14.5" customHeight="1" x14ac:dyDescent="0.2">
      <c r="A3685">
        <v>2021</v>
      </c>
      <c r="B3685" t="s">
        <v>225</v>
      </c>
      <c r="C3685" t="s">
        <v>822</v>
      </c>
      <c r="D3685" s="65">
        <v>210</v>
      </c>
      <c r="E3685" s="33">
        <v>0.03</v>
      </c>
      <c r="F3685" t="s">
        <v>1997</v>
      </c>
      <c r="G3685" t="s">
        <v>150</v>
      </c>
      <c r="H3685" t="s">
        <v>556</v>
      </c>
      <c r="I3685" t="s">
        <v>136</v>
      </c>
      <c r="J3685" t="s">
        <v>183</v>
      </c>
      <c r="K3685" s="17">
        <v>1</v>
      </c>
      <c r="L3685" s="28"/>
      <c r="N3685" s="21"/>
      <c r="O3685" s="2"/>
      <c r="P3685" s="2"/>
      <c r="Q3685" s="4"/>
      <c r="R3685" s="4"/>
      <c r="S3685" s="4"/>
      <c r="T3685" s="4"/>
      <c r="U3685" s="4"/>
      <c r="V3685" s="4"/>
    </row>
    <row r="3686" spans="1:22" ht="14.5" customHeight="1" x14ac:dyDescent="0.2">
      <c r="A3686">
        <v>2021</v>
      </c>
      <c r="B3686" t="s">
        <v>225</v>
      </c>
      <c r="C3686" t="s">
        <v>321</v>
      </c>
      <c r="D3686" s="65">
        <v>660</v>
      </c>
      <c r="E3686" s="33">
        <v>1</v>
      </c>
      <c r="F3686" t="s">
        <v>1998</v>
      </c>
      <c r="G3686" t="s">
        <v>147</v>
      </c>
      <c r="I3686" t="s">
        <v>41</v>
      </c>
      <c r="J3686" t="s">
        <v>195</v>
      </c>
      <c r="K3686" s="17">
        <v>0</v>
      </c>
      <c r="L3686" s="28"/>
      <c r="N3686" s="21"/>
      <c r="O3686" s="2"/>
      <c r="P3686" s="2"/>
      <c r="Q3686" s="4"/>
      <c r="R3686" s="4"/>
      <c r="S3686" s="4"/>
      <c r="T3686" s="4"/>
      <c r="U3686" s="4"/>
      <c r="V3686" s="4"/>
    </row>
    <row r="3687" spans="1:22" ht="14.5" customHeight="1" x14ac:dyDescent="0.2">
      <c r="A3687">
        <v>2021</v>
      </c>
      <c r="B3687" t="s">
        <v>225</v>
      </c>
      <c r="C3687" t="s">
        <v>479</v>
      </c>
      <c r="D3687" s="65">
        <v>300</v>
      </c>
      <c r="E3687" s="33"/>
      <c r="G3687" t="s">
        <v>147</v>
      </c>
      <c r="I3687" t="s">
        <v>27</v>
      </c>
      <c r="J3687" t="s">
        <v>205</v>
      </c>
      <c r="K3687" s="17">
        <v>1</v>
      </c>
      <c r="L3687" s="28" t="s">
        <v>178</v>
      </c>
      <c r="N3687" s="21"/>
      <c r="O3687" s="2"/>
      <c r="P3687" s="2"/>
      <c r="Q3687" s="4"/>
      <c r="R3687" s="4"/>
      <c r="S3687" s="4"/>
      <c r="T3687" s="4"/>
      <c r="U3687" s="4"/>
      <c r="V3687" s="4"/>
    </row>
    <row r="3688" spans="1:22" ht="14.5" customHeight="1" x14ac:dyDescent="0.2">
      <c r="A3688">
        <v>2021</v>
      </c>
      <c r="B3688" t="s">
        <v>225</v>
      </c>
      <c r="C3688" t="s">
        <v>1999</v>
      </c>
      <c r="D3688" s="65">
        <v>120</v>
      </c>
      <c r="E3688" s="33">
        <v>0.67</v>
      </c>
      <c r="G3688" t="s">
        <v>149</v>
      </c>
      <c r="I3688" t="s">
        <v>39</v>
      </c>
      <c r="J3688" t="s">
        <v>219</v>
      </c>
      <c r="K3688" s="17">
        <v>1</v>
      </c>
      <c r="L3688" s="28" t="s">
        <v>178</v>
      </c>
      <c r="N3688" s="21"/>
      <c r="O3688" s="2"/>
      <c r="P3688" s="2"/>
      <c r="Q3688" s="4"/>
      <c r="R3688" s="4"/>
      <c r="S3688" s="4"/>
      <c r="T3688" s="4"/>
      <c r="U3688" s="4"/>
      <c r="V3688" s="4"/>
    </row>
    <row r="3689" spans="1:22" ht="14.5" customHeight="1" x14ac:dyDescent="0.2">
      <c r="A3689">
        <v>2021</v>
      </c>
      <c r="B3689" t="s">
        <v>225</v>
      </c>
      <c r="C3689" t="s">
        <v>2000</v>
      </c>
      <c r="D3689" s="65">
        <v>210</v>
      </c>
      <c r="E3689" s="33">
        <v>0.7</v>
      </c>
      <c r="F3689" t="s">
        <v>2001</v>
      </c>
      <c r="G3689" t="s">
        <v>144</v>
      </c>
      <c r="H3689" t="s">
        <v>273</v>
      </c>
      <c r="I3689" t="s">
        <v>53</v>
      </c>
      <c r="J3689" t="s">
        <v>183</v>
      </c>
      <c r="K3689" s="17">
        <v>1</v>
      </c>
      <c r="L3689" s="28"/>
      <c r="N3689" s="21"/>
      <c r="O3689" s="2"/>
      <c r="P3689" s="2"/>
      <c r="Q3689" s="4"/>
      <c r="R3689" s="4"/>
      <c r="S3689" s="4"/>
      <c r="T3689" s="4"/>
      <c r="U3689" s="4"/>
      <c r="V3689" s="4"/>
    </row>
    <row r="3690" spans="1:22" ht="14.5" customHeight="1" x14ac:dyDescent="0.2">
      <c r="A3690">
        <v>2021</v>
      </c>
      <c r="B3690" t="s">
        <v>188</v>
      </c>
      <c r="C3690" t="s">
        <v>300</v>
      </c>
      <c r="D3690" s="65">
        <v>1220</v>
      </c>
      <c r="E3690" s="33"/>
      <c r="F3690" t="s">
        <v>2002</v>
      </c>
      <c r="G3690" t="s">
        <v>144</v>
      </c>
      <c r="H3690" t="s">
        <v>187</v>
      </c>
      <c r="I3690" t="s">
        <v>105</v>
      </c>
      <c r="J3690" t="s">
        <v>214</v>
      </c>
      <c r="K3690" s="17">
        <v>1</v>
      </c>
      <c r="L3690" s="28"/>
      <c r="N3690" s="21"/>
      <c r="O3690" s="2"/>
      <c r="P3690" s="2"/>
      <c r="Q3690" s="4"/>
      <c r="R3690" s="4"/>
      <c r="S3690" s="4"/>
      <c r="T3690" s="4"/>
      <c r="U3690" s="4"/>
      <c r="V3690" s="4"/>
    </row>
    <row r="3691" spans="1:22" ht="14.5" customHeight="1" x14ac:dyDescent="0.2">
      <c r="A3691">
        <v>2021</v>
      </c>
      <c r="B3691" t="s">
        <v>188</v>
      </c>
      <c r="C3691" t="s">
        <v>818</v>
      </c>
      <c r="D3691" s="65">
        <v>2940</v>
      </c>
      <c r="E3691" s="33"/>
      <c r="F3691" t="s">
        <v>830</v>
      </c>
      <c r="G3691" t="s">
        <v>144</v>
      </c>
      <c r="H3691" t="s">
        <v>187</v>
      </c>
      <c r="I3691" t="s">
        <v>19</v>
      </c>
      <c r="J3691" t="s">
        <v>205</v>
      </c>
      <c r="K3691" s="17">
        <v>0</v>
      </c>
      <c r="L3691" s="28" t="s">
        <v>178</v>
      </c>
      <c r="N3691" s="21"/>
      <c r="O3691" s="2"/>
      <c r="P3691" s="2"/>
      <c r="Q3691" s="4"/>
      <c r="R3691" s="4"/>
      <c r="S3691" s="4"/>
      <c r="T3691" s="4"/>
      <c r="U3691" s="4"/>
      <c r="V3691" s="4"/>
    </row>
    <row r="3692" spans="1:22" ht="14.5" customHeight="1" x14ac:dyDescent="0.2">
      <c r="A3692">
        <v>2021</v>
      </c>
      <c r="B3692" t="s">
        <v>188</v>
      </c>
      <c r="C3692" t="s">
        <v>1624</v>
      </c>
      <c r="D3692" s="65">
        <v>150</v>
      </c>
      <c r="E3692" s="33">
        <v>0.75</v>
      </c>
      <c r="F3692" t="s">
        <v>2003</v>
      </c>
      <c r="G3692" t="s">
        <v>151</v>
      </c>
      <c r="H3692" t="s">
        <v>279</v>
      </c>
      <c r="I3692" t="s">
        <v>138</v>
      </c>
      <c r="J3692" t="s">
        <v>219</v>
      </c>
      <c r="K3692" s="17">
        <v>1</v>
      </c>
      <c r="L3692" s="28"/>
      <c r="N3692" s="21"/>
      <c r="O3692" s="2"/>
      <c r="P3692" s="2"/>
      <c r="Q3692" s="4"/>
      <c r="R3692" s="4"/>
      <c r="S3692" s="4"/>
      <c r="T3692" s="4"/>
      <c r="U3692" s="4"/>
      <c r="V3692" s="4"/>
    </row>
    <row r="3693" spans="1:22" ht="14.5" customHeight="1" x14ac:dyDescent="0.2">
      <c r="A3693">
        <v>2021</v>
      </c>
      <c r="B3693" t="s">
        <v>188</v>
      </c>
      <c r="C3693" t="s">
        <v>559</v>
      </c>
      <c r="D3693" s="65">
        <v>700</v>
      </c>
      <c r="E3693" s="33"/>
      <c r="G3693" t="s">
        <v>149</v>
      </c>
      <c r="I3693" t="s">
        <v>112</v>
      </c>
      <c r="J3693" t="s">
        <v>219</v>
      </c>
      <c r="K3693" s="17">
        <v>1</v>
      </c>
      <c r="L3693" s="28" t="s">
        <v>178</v>
      </c>
      <c r="N3693" s="21"/>
      <c r="O3693" s="2"/>
      <c r="P3693" s="2"/>
      <c r="Q3693" s="4"/>
      <c r="R3693" s="4"/>
      <c r="S3693" s="4"/>
      <c r="T3693" s="4"/>
      <c r="U3693" s="4"/>
      <c r="V3693" s="4"/>
    </row>
    <row r="3694" spans="1:22" ht="14.5" customHeight="1" x14ac:dyDescent="0.2">
      <c r="A3694" s="17">
        <v>2021</v>
      </c>
      <c r="B3694" s="17" t="s">
        <v>188</v>
      </c>
      <c r="C3694" s="17" t="s">
        <v>1427</v>
      </c>
      <c r="D3694" s="66">
        <v>130</v>
      </c>
      <c r="E3694" s="37"/>
      <c r="F3694" s="17" t="s">
        <v>1399</v>
      </c>
      <c r="G3694" s="17" t="s">
        <v>142</v>
      </c>
      <c r="H3694" s="17"/>
      <c r="I3694" s="17" t="s">
        <v>109</v>
      </c>
      <c r="J3694" s="17" t="s">
        <v>195</v>
      </c>
      <c r="K3694" s="17">
        <v>1</v>
      </c>
      <c r="L3694" s="67"/>
      <c r="N3694" s="21"/>
      <c r="O3694" s="2"/>
      <c r="P3694" s="2"/>
      <c r="Q3694" s="4"/>
      <c r="R3694" s="4"/>
      <c r="S3694" s="4"/>
      <c r="T3694" s="4"/>
      <c r="U3694" s="4"/>
      <c r="V3694" s="4"/>
    </row>
    <row r="3695" spans="1:22" ht="14.5" customHeight="1" x14ac:dyDescent="0.2">
      <c r="A3695">
        <v>2021</v>
      </c>
      <c r="B3695" t="s">
        <v>188</v>
      </c>
      <c r="C3695" t="s">
        <v>1940</v>
      </c>
      <c r="D3695" s="65">
        <v>200</v>
      </c>
      <c r="E3695" s="33"/>
      <c r="G3695" t="s">
        <v>151</v>
      </c>
      <c r="H3695" t="s">
        <v>224</v>
      </c>
      <c r="I3695" t="s">
        <v>25</v>
      </c>
      <c r="J3695" t="s">
        <v>177</v>
      </c>
      <c r="K3695" s="17">
        <v>0</v>
      </c>
      <c r="L3695" s="28"/>
      <c r="N3695" s="21"/>
      <c r="O3695" s="2"/>
      <c r="P3695" s="2"/>
      <c r="Q3695" s="4"/>
      <c r="R3695" s="4"/>
      <c r="S3695" s="4"/>
      <c r="T3695" s="4"/>
      <c r="U3695" s="4"/>
      <c r="V3695" s="4"/>
    </row>
    <row r="3696" spans="1:22" ht="14.5" customHeight="1" x14ac:dyDescent="0.2">
      <c r="A3696">
        <v>2021</v>
      </c>
      <c r="B3696" t="s">
        <v>188</v>
      </c>
      <c r="C3696" t="s">
        <v>263</v>
      </c>
      <c r="D3696" s="65">
        <v>110</v>
      </c>
      <c r="E3696" s="33"/>
      <c r="F3696" t="s">
        <v>2004</v>
      </c>
      <c r="G3696" t="s">
        <v>154</v>
      </c>
      <c r="H3696" t="s">
        <v>194</v>
      </c>
      <c r="I3696" t="s">
        <v>118</v>
      </c>
      <c r="J3696" t="s">
        <v>195</v>
      </c>
      <c r="K3696" s="17">
        <v>0</v>
      </c>
      <c r="L3696" s="28"/>
      <c r="N3696" s="21"/>
      <c r="O3696" s="2"/>
      <c r="P3696" s="2"/>
      <c r="Q3696" s="4"/>
      <c r="R3696" s="4"/>
      <c r="S3696" s="4"/>
      <c r="T3696" s="4"/>
      <c r="U3696" s="4"/>
      <c r="V3696" s="4"/>
    </row>
    <row r="3697" spans="1:22" ht="14.5" customHeight="1" x14ac:dyDescent="0.2">
      <c r="A3697" s="17">
        <v>2021</v>
      </c>
      <c r="B3697" s="17" t="s">
        <v>188</v>
      </c>
      <c r="C3697" s="17" t="s">
        <v>714</v>
      </c>
      <c r="D3697" s="66">
        <v>220</v>
      </c>
      <c r="E3697" s="37"/>
      <c r="F3697" s="17"/>
      <c r="G3697" s="17" t="s">
        <v>154</v>
      </c>
      <c r="H3697" s="17" t="s">
        <v>194</v>
      </c>
      <c r="I3697" s="17" t="s">
        <v>23</v>
      </c>
      <c r="J3697" s="17" t="s">
        <v>183</v>
      </c>
      <c r="K3697" s="17">
        <v>1</v>
      </c>
      <c r="L3697" s="67" t="s">
        <v>178</v>
      </c>
      <c r="N3697" s="21"/>
      <c r="O3697" s="2"/>
      <c r="P3697" s="2"/>
      <c r="Q3697" s="4"/>
      <c r="R3697" s="4"/>
      <c r="S3697" s="4"/>
      <c r="T3697" s="4"/>
      <c r="U3697" s="4"/>
      <c r="V3697" s="4"/>
    </row>
    <row r="3698" spans="1:22" ht="14.5" customHeight="1" x14ac:dyDescent="0.2">
      <c r="A3698">
        <v>2021</v>
      </c>
      <c r="B3698" t="s">
        <v>191</v>
      </c>
      <c r="C3698" t="s">
        <v>307</v>
      </c>
      <c r="D3698" s="65">
        <v>520</v>
      </c>
      <c r="E3698" s="33">
        <v>0.66</v>
      </c>
      <c r="F3698" t="s">
        <v>2005</v>
      </c>
      <c r="G3698" t="s">
        <v>144</v>
      </c>
      <c r="I3698" t="s">
        <v>19</v>
      </c>
      <c r="J3698" t="s">
        <v>205</v>
      </c>
      <c r="K3698">
        <v>0</v>
      </c>
      <c r="L3698" s="28"/>
      <c r="N3698" s="21"/>
      <c r="O3698" s="2"/>
      <c r="P3698" s="2"/>
      <c r="Q3698" s="4"/>
      <c r="R3698" s="4"/>
      <c r="S3698" s="4"/>
      <c r="T3698" s="4"/>
      <c r="U3698" s="4"/>
      <c r="V3698" s="4"/>
    </row>
    <row r="3699" spans="1:22" ht="14.5" customHeight="1" x14ac:dyDescent="0.2">
      <c r="A3699">
        <v>2021</v>
      </c>
      <c r="B3699" t="s">
        <v>191</v>
      </c>
      <c r="C3699" t="s">
        <v>221</v>
      </c>
      <c r="D3699" s="65">
        <v>280</v>
      </c>
      <c r="E3699" s="33">
        <v>1</v>
      </c>
      <c r="F3699" t="s">
        <v>2006</v>
      </c>
      <c r="G3699" t="s">
        <v>152</v>
      </c>
      <c r="I3699" t="s">
        <v>131</v>
      </c>
      <c r="J3699" t="s">
        <v>131</v>
      </c>
      <c r="K3699" s="17">
        <v>0</v>
      </c>
      <c r="L3699" s="28"/>
      <c r="N3699" s="21"/>
      <c r="O3699" s="2"/>
      <c r="P3699" s="2"/>
      <c r="Q3699" s="4"/>
      <c r="R3699" s="4"/>
      <c r="S3699" s="4"/>
      <c r="T3699" s="4"/>
      <c r="U3699" s="4"/>
      <c r="V3699" s="4"/>
    </row>
    <row r="3700" spans="1:22" ht="14.5" customHeight="1" x14ac:dyDescent="0.2">
      <c r="A3700">
        <v>2021</v>
      </c>
      <c r="B3700" t="s">
        <v>191</v>
      </c>
      <c r="C3700" t="s">
        <v>2007</v>
      </c>
      <c r="D3700" s="65">
        <v>220</v>
      </c>
      <c r="E3700" s="33"/>
      <c r="G3700" t="s">
        <v>149</v>
      </c>
      <c r="H3700" t="s">
        <v>182</v>
      </c>
      <c r="I3700" t="s">
        <v>53</v>
      </c>
      <c r="J3700" t="s">
        <v>183</v>
      </c>
      <c r="K3700" s="17">
        <v>1</v>
      </c>
      <c r="L3700" s="28" t="s">
        <v>178</v>
      </c>
      <c r="N3700" s="21"/>
      <c r="O3700" s="2"/>
      <c r="P3700" s="2"/>
      <c r="Q3700" s="4"/>
      <c r="R3700" s="4"/>
      <c r="S3700" s="4"/>
      <c r="T3700" s="4"/>
      <c r="U3700" s="4"/>
      <c r="V3700" s="4"/>
    </row>
    <row r="3701" spans="1:22" ht="14.5" customHeight="1" x14ac:dyDescent="0.2">
      <c r="A3701">
        <v>2021</v>
      </c>
      <c r="B3701" t="s">
        <v>191</v>
      </c>
      <c r="C3701" t="s">
        <v>1318</v>
      </c>
      <c r="D3701" s="65">
        <v>100</v>
      </c>
      <c r="E3701" s="33"/>
      <c r="F3701" t="s">
        <v>2008</v>
      </c>
      <c r="G3701" t="s">
        <v>155</v>
      </c>
      <c r="I3701" t="s">
        <v>20</v>
      </c>
      <c r="J3701" t="s">
        <v>195</v>
      </c>
      <c r="K3701" s="17">
        <v>0</v>
      </c>
      <c r="L3701" s="28"/>
      <c r="N3701" s="21"/>
      <c r="O3701" s="2"/>
      <c r="P3701" s="2"/>
      <c r="Q3701" s="4"/>
      <c r="R3701" s="4"/>
      <c r="S3701" s="4"/>
      <c r="T3701" s="4"/>
      <c r="U3701" s="4"/>
      <c r="V3701" s="4"/>
    </row>
    <row r="3702" spans="1:22" ht="14.5" customHeight="1" x14ac:dyDescent="0.2">
      <c r="A3702">
        <v>2021</v>
      </c>
      <c r="B3702" t="s">
        <v>191</v>
      </c>
      <c r="C3702" t="s">
        <v>300</v>
      </c>
      <c r="D3702" s="65">
        <v>100</v>
      </c>
      <c r="E3702" s="33"/>
      <c r="F3702" t="s">
        <v>333</v>
      </c>
      <c r="G3702" t="s">
        <v>144</v>
      </c>
      <c r="H3702" t="s">
        <v>232</v>
      </c>
      <c r="I3702" t="s">
        <v>131</v>
      </c>
      <c r="J3702" t="s">
        <v>131</v>
      </c>
      <c r="K3702" s="17">
        <v>0</v>
      </c>
      <c r="L3702" s="28"/>
      <c r="N3702" s="21"/>
      <c r="O3702" s="2"/>
      <c r="P3702" s="2"/>
      <c r="Q3702" s="4"/>
      <c r="R3702" s="4"/>
      <c r="S3702" s="4"/>
      <c r="T3702" s="4"/>
      <c r="U3702" s="4"/>
      <c r="V3702" s="4"/>
    </row>
    <row r="3703" spans="1:22" ht="14.5" customHeight="1" x14ac:dyDescent="0.2">
      <c r="A3703">
        <v>2021</v>
      </c>
      <c r="B3703" t="s">
        <v>191</v>
      </c>
      <c r="C3703" t="s">
        <v>798</v>
      </c>
      <c r="D3703" s="65">
        <v>160</v>
      </c>
      <c r="E3703" s="33">
        <v>0.5</v>
      </c>
      <c r="G3703" t="s">
        <v>144</v>
      </c>
      <c r="H3703" t="s">
        <v>273</v>
      </c>
      <c r="I3703" t="s">
        <v>53</v>
      </c>
      <c r="J3703" t="s">
        <v>183</v>
      </c>
      <c r="K3703" s="17">
        <v>1</v>
      </c>
      <c r="L3703" s="28"/>
      <c r="N3703" s="21"/>
      <c r="O3703" s="2"/>
      <c r="P3703" s="2"/>
      <c r="Q3703" s="4"/>
      <c r="R3703" s="4"/>
      <c r="S3703" s="4"/>
      <c r="T3703" s="4"/>
      <c r="U3703" s="4"/>
      <c r="V3703" s="4"/>
    </row>
    <row r="3704" spans="1:22" ht="14.5" customHeight="1" x14ac:dyDescent="0.2">
      <c r="A3704">
        <v>2021</v>
      </c>
      <c r="B3704" t="s">
        <v>191</v>
      </c>
      <c r="C3704" t="s">
        <v>263</v>
      </c>
      <c r="D3704" s="65">
        <v>2000</v>
      </c>
      <c r="E3704" s="33"/>
      <c r="F3704" t="s">
        <v>2009</v>
      </c>
      <c r="G3704" t="s">
        <v>147</v>
      </c>
      <c r="I3704" t="s">
        <v>131</v>
      </c>
      <c r="J3704" t="s">
        <v>131</v>
      </c>
      <c r="K3704" s="17">
        <v>0</v>
      </c>
      <c r="L3704" s="28"/>
      <c r="N3704" s="21"/>
      <c r="O3704" s="2"/>
      <c r="P3704" s="2"/>
      <c r="Q3704" s="4"/>
      <c r="R3704" s="4"/>
      <c r="S3704" s="4"/>
      <c r="T3704" s="4"/>
      <c r="U3704" s="4"/>
      <c r="V3704" s="4"/>
    </row>
    <row r="3705" spans="1:22" ht="14.5" customHeight="1" x14ac:dyDescent="0.2">
      <c r="A3705">
        <v>2021</v>
      </c>
      <c r="B3705" t="s">
        <v>191</v>
      </c>
      <c r="C3705" t="s">
        <v>1769</v>
      </c>
      <c r="D3705" s="65">
        <v>190</v>
      </c>
      <c r="E3705" s="33"/>
      <c r="F3705" t="s">
        <v>2010</v>
      </c>
      <c r="G3705" t="s">
        <v>152</v>
      </c>
      <c r="I3705" t="s">
        <v>20</v>
      </c>
      <c r="J3705" t="s">
        <v>195</v>
      </c>
      <c r="K3705" s="17">
        <v>0</v>
      </c>
      <c r="L3705" s="28"/>
      <c r="N3705" s="21"/>
      <c r="O3705" s="2"/>
      <c r="P3705" s="2"/>
      <c r="Q3705" s="4"/>
      <c r="R3705" s="4"/>
      <c r="S3705" s="4"/>
      <c r="T3705" s="4"/>
      <c r="U3705" s="4"/>
      <c r="V3705" s="4"/>
    </row>
    <row r="3706" spans="1:22" ht="14.5" customHeight="1" x14ac:dyDescent="0.2">
      <c r="A3706">
        <v>2021</v>
      </c>
      <c r="B3706" t="s">
        <v>198</v>
      </c>
      <c r="C3706" t="s">
        <v>1448</v>
      </c>
      <c r="D3706" s="65">
        <v>210</v>
      </c>
      <c r="E3706" s="33">
        <v>0.5</v>
      </c>
      <c r="F3706" t="s">
        <v>2011</v>
      </c>
      <c r="G3706" t="s">
        <v>149</v>
      </c>
      <c r="I3706" t="s">
        <v>77</v>
      </c>
      <c r="J3706" t="s">
        <v>177</v>
      </c>
      <c r="K3706" s="17">
        <v>0</v>
      </c>
      <c r="L3706" s="28"/>
      <c r="N3706" s="21"/>
      <c r="O3706" s="2"/>
      <c r="P3706" s="2"/>
      <c r="Q3706" s="4"/>
      <c r="R3706" s="4"/>
      <c r="S3706" s="4"/>
      <c r="T3706" s="4"/>
      <c r="U3706" s="4"/>
      <c r="V3706" s="4"/>
    </row>
    <row r="3707" spans="1:22" ht="14.5" customHeight="1" x14ac:dyDescent="0.2">
      <c r="A3707">
        <v>2021</v>
      </c>
      <c r="B3707" t="s">
        <v>198</v>
      </c>
      <c r="C3707" t="s">
        <v>454</v>
      </c>
      <c r="D3707" s="65">
        <v>100</v>
      </c>
      <c r="E3707" s="33"/>
      <c r="F3707" t="s">
        <v>2012</v>
      </c>
      <c r="G3707" t="s">
        <v>146</v>
      </c>
      <c r="I3707" t="s">
        <v>8</v>
      </c>
      <c r="J3707" t="s">
        <v>205</v>
      </c>
      <c r="K3707" s="17">
        <v>1</v>
      </c>
      <c r="L3707" s="28"/>
      <c r="N3707" s="21"/>
      <c r="O3707" s="2"/>
      <c r="P3707" s="2"/>
      <c r="Q3707" s="4"/>
      <c r="R3707" s="4"/>
      <c r="S3707" s="4"/>
      <c r="T3707" s="4"/>
      <c r="U3707" s="4"/>
      <c r="V3707" s="4"/>
    </row>
    <row r="3708" spans="1:22" ht="14.5" customHeight="1" x14ac:dyDescent="0.2">
      <c r="A3708">
        <v>2021</v>
      </c>
      <c r="B3708" t="s">
        <v>198</v>
      </c>
      <c r="C3708" t="s">
        <v>246</v>
      </c>
      <c r="D3708" s="65">
        <v>160</v>
      </c>
      <c r="E3708" s="33"/>
      <c r="F3708" t="s">
        <v>2013</v>
      </c>
      <c r="G3708" t="s">
        <v>144</v>
      </c>
      <c r="H3708" t="s">
        <v>232</v>
      </c>
      <c r="I3708" t="s">
        <v>62</v>
      </c>
      <c r="J3708" t="s">
        <v>214</v>
      </c>
      <c r="K3708">
        <v>1</v>
      </c>
      <c r="L3708" s="28"/>
      <c r="N3708" s="21"/>
      <c r="O3708" s="2"/>
      <c r="P3708" s="2"/>
      <c r="Q3708" s="4"/>
      <c r="R3708" s="4"/>
      <c r="S3708" s="4"/>
      <c r="T3708" s="4"/>
      <c r="U3708" s="4"/>
      <c r="V3708" s="4"/>
    </row>
    <row r="3709" spans="1:22" ht="14.5" customHeight="1" x14ac:dyDescent="0.2">
      <c r="A3709">
        <v>2021</v>
      </c>
      <c r="B3709" t="s">
        <v>198</v>
      </c>
      <c r="C3709" t="s">
        <v>246</v>
      </c>
      <c r="D3709" s="65">
        <v>350</v>
      </c>
      <c r="E3709" s="33"/>
      <c r="F3709" t="s">
        <v>2013</v>
      </c>
      <c r="G3709" t="s">
        <v>144</v>
      </c>
      <c r="H3709" t="s">
        <v>232</v>
      </c>
      <c r="I3709" t="s">
        <v>38</v>
      </c>
      <c r="J3709" t="s">
        <v>214</v>
      </c>
      <c r="K3709">
        <v>1</v>
      </c>
      <c r="L3709" s="28"/>
      <c r="N3709" s="21"/>
      <c r="O3709" s="2"/>
      <c r="P3709" s="2"/>
      <c r="Q3709" s="4"/>
      <c r="R3709" s="4"/>
      <c r="S3709" s="4"/>
      <c r="T3709" s="4"/>
      <c r="U3709" s="4"/>
      <c r="V3709" s="4"/>
    </row>
    <row r="3710" spans="1:22" ht="14.5" customHeight="1" x14ac:dyDescent="0.2">
      <c r="A3710">
        <v>2021</v>
      </c>
      <c r="B3710" t="s">
        <v>198</v>
      </c>
      <c r="C3710" t="s">
        <v>410</v>
      </c>
      <c r="D3710" s="65">
        <v>170</v>
      </c>
      <c r="E3710" s="33"/>
      <c r="F3710" t="s">
        <v>1640</v>
      </c>
      <c r="G3710" t="s">
        <v>154</v>
      </c>
      <c r="H3710" t="s">
        <v>194</v>
      </c>
      <c r="I3710" t="s">
        <v>19</v>
      </c>
      <c r="J3710" t="s">
        <v>205</v>
      </c>
      <c r="K3710">
        <v>0</v>
      </c>
      <c r="L3710" s="28"/>
      <c r="N3710" s="21"/>
      <c r="O3710" s="2"/>
      <c r="P3710" s="2"/>
      <c r="Q3710" s="4"/>
      <c r="R3710" s="4"/>
      <c r="S3710" s="4"/>
      <c r="T3710" s="4"/>
      <c r="U3710" s="4"/>
      <c r="V3710" s="4"/>
    </row>
    <row r="3711" spans="1:22" ht="14.5" customHeight="1" x14ac:dyDescent="0.2">
      <c r="A3711">
        <v>2021</v>
      </c>
      <c r="B3711" t="s">
        <v>198</v>
      </c>
      <c r="C3711" t="s">
        <v>1287</v>
      </c>
      <c r="D3711" s="65">
        <v>460</v>
      </c>
      <c r="E3711" s="33"/>
      <c r="G3711" t="s">
        <v>154</v>
      </c>
      <c r="H3711" t="s">
        <v>194</v>
      </c>
      <c r="I3711" t="s">
        <v>61</v>
      </c>
      <c r="J3711" t="s">
        <v>183</v>
      </c>
      <c r="K3711">
        <v>0</v>
      </c>
      <c r="L3711" s="28" t="s">
        <v>178</v>
      </c>
      <c r="N3711" s="21"/>
      <c r="O3711" s="2"/>
      <c r="P3711" s="2"/>
      <c r="Q3711" s="4"/>
      <c r="R3711" s="4"/>
      <c r="S3711" s="4"/>
      <c r="T3711" s="4"/>
      <c r="U3711" s="4"/>
      <c r="V3711" s="4"/>
    </row>
    <row r="3712" spans="1:22" ht="14.5" customHeight="1" x14ac:dyDescent="0.2">
      <c r="A3712">
        <v>2021</v>
      </c>
      <c r="B3712" t="s">
        <v>198</v>
      </c>
      <c r="C3712" t="s">
        <v>943</v>
      </c>
      <c r="D3712" s="65">
        <v>440</v>
      </c>
      <c r="E3712" s="33">
        <v>0.49</v>
      </c>
      <c r="F3712" t="s">
        <v>2014</v>
      </c>
      <c r="G3712" t="s">
        <v>144</v>
      </c>
      <c r="I3712" t="s">
        <v>63</v>
      </c>
      <c r="J3712" t="s">
        <v>201</v>
      </c>
      <c r="K3712">
        <v>1</v>
      </c>
      <c r="L3712" s="28"/>
      <c r="N3712" s="21"/>
      <c r="O3712" s="2"/>
      <c r="P3712" s="2"/>
      <c r="Q3712" s="4"/>
      <c r="R3712" s="4"/>
      <c r="S3712" s="4"/>
      <c r="T3712" s="4"/>
      <c r="U3712" s="4"/>
      <c r="V3712" s="4"/>
    </row>
    <row r="3713" spans="1:22" ht="14.5" customHeight="1" x14ac:dyDescent="0.2">
      <c r="A3713">
        <v>2021</v>
      </c>
      <c r="B3713" t="s">
        <v>198</v>
      </c>
      <c r="C3713" t="s">
        <v>2015</v>
      </c>
      <c r="D3713" s="65">
        <v>4040</v>
      </c>
      <c r="E3713" s="33"/>
      <c r="G3713" t="s">
        <v>154</v>
      </c>
      <c r="H3713" t="s">
        <v>529</v>
      </c>
      <c r="I3713" t="s">
        <v>28</v>
      </c>
      <c r="J3713" t="s">
        <v>205</v>
      </c>
      <c r="K3713">
        <v>0</v>
      </c>
      <c r="L3713" s="28" t="s">
        <v>178</v>
      </c>
      <c r="N3713" s="21"/>
      <c r="O3713" s="2"/>
      <c r="P3713" s="2"/>
      <c r="Q3713" s="4"/>
      <c r="R3713" s="4"/>
      <c r="S3713" s="4"/>
      <c r="T3713" s="4"/>
      <c r="U3713" s="4"/>
      <c r="V3713" s="4"/>
    </row>
    <row r="3714" spans="1:22" ht="14.5" customHeight="1" x14ac:dyDescent="0.2">
      <c r="A3714">
        <v>2021</v>
      </c>
      <c r="B3714" t="s">
        <v>198</v>
      </c>
      <c r="C3714" t="s">
        <v>797</v>
      </c>
      <c r="D3714" s="65">
        <v>500</v>
      </c>
      <c r="E3714" s="33"/>
      <c r="F3714" t="s">
        <v>2016</v>
      </c>
      <c r="G3714" t="s">
        <v>149</v>
      </c>
      <c r="I3714" t="s">
        <v>34</v>
      </c>
      <c r="J3714" t="s">
        <v>219</v>
      </c>
      <c r="K3714" s="17">
        <v>1</v>
      </c>
      <c r="L3714" s="28"/>
      <c r="N3714" s="21"/>
      <c r="O3714" s="2"/>
      <c r="P3714" s="2"/>
      <c r="Q3714" s="4"/>
      <c r="R3714" s="4"/>
      <c r="S3714" s="4"/>
      <c r="T3714" s="4"/>
      <c r="U3714" s="4"/>
      <c r="V3714" s="4"/>
    </row>
    <row r="3715" spans="1:22" ht="14.5" customHeight="1" x14ac:dyDescent="0.2">
      <c r="A3715">
        <v>2021</v>
      </c>
      <c r="B3715" t="s">
        <v>198</v>
      </c>
      <c r="C3715" t="s">
        <v>2017</v>
      </c>
      <c r="D3715" s="65">
        <v>410</v>
      </c>
      <c r="E3715" s="33"/>
      <c r="G3715" t="s">
        <v>142</v>
      </c>
      <c r="I3715" t="s">
        <v>67</v>
      </c>
      <c r="J3715" t="s">
        <v>183</v>
      </c>
      <c r="K3715" s="17">
        <v>1</v>
      </c>
      <c r="L3715" s="28" t="s">
        <v>178</v>
      </c>
      <c r="N3715" s="21"/>
      <c r="O3715" s="2"/>
      <c r="P3715" s="2"/>
      <c r="Q3715" s="4"/>
      <c r="R3715" s="4"/>
      <c r="S3715" s="4"/>
      <c r="T3715" s="4"/>
      <c r="U3715" s="4"/>
      <c r="V3715" s="4"/>
    </row>
    <row r="3716" spans="1:22" ht="14.5" customHeight="1" x14ac:dyDescent="0.2">
      <c r="A3716">
        <v>2021</v>
      </c>
      <c r="B3716" t="s">
        <v>202</v>
      </c>
      <c r="C3716" t="s">
        <v>1772</v>
      </c>
      <c r="D3716" s="65">
        <v>240</v>
      </c>
      <c r="E3716" s="33">
        <v>0.24</v>
      </c>
      <c r="F3716" t="s">
        <v>2018</v>
      </c>
      <c r="G3716" t="s">
        <v>149</v>
      </c>
      <c r="I3716" t="s">
        <v>34</v>
      </c>
      <c r="J3716" t="s">
        <v>219</v>
      </c>
      <c r="K3716" s="17">
        <v>1</v>
      </c>
      <c r="L3716" s="28"/>
      <c r="N3716" s="21"/>
      <c r="O3716" s="2"/>
      <c r="P3716" s="2"/>
      <c r="Q3716" s="4"/>
      <c r="R3716" s="4"/>
      <c r="S3716" s="4"/>
      <c r="T3716" s="4"/>
      <c r="U3716" s="4"/>
      <c r="V3716" s="4"/>
    </row>
    <row r="3717" spans="1:22" ht="14.5" customHeight="1" x14ac:dyDescent="0.2">
      <c r="A3717">
        <v>2021</v>
      </c>
      <c r="B3717" t="s">
        <v>202</v>
      </c>
      <c r="C3717" t="s">
        <v>2019</v>
      </c>
      <c r="D3717" s="65">
        <v>1700</v>
      </c>
      <c r="E3717" s="33"/>
      <c r="G3717" t="s">
        <v>154</v>
      </c>
      <c r="H3717" t="s">
        <v>271</v>
      </c>
      <c r="I3717" t="s">
        <v>57</v>
      </c>
      <c r="J3717" t="s">
        <v>195</v>
      </c>
      <c r="K3717" s="17">
        <v>0</v>
      </c>
      <c r="L3717" s="28"/>
      <c r="N3717" s="21"/>
      <c r="O3717" s="2"/>
      <c r="P3717" s="2"/>
      <c r="Q3717" s="4"/>
      <c r="R3717" s="4"/>
      <c r="S3717" s="4"/>
      <c r="T3717" s="4"/>
      <c r="U3717" s="4"/>
      <c r="V3717" s="4"/>
    </row>
    <row r="3718" spans="1:22" ht="14.5" customHeight="1" x14ac:dyDescent="0.2">
      <c r="A3718">
        <v>2021</v>
      </c>
      <c r="B3718" t="s">
        <v>202</v>
      </c>
      <c r="C3718" t="s">
        <v>1029</v>
      </c>
      <c r="D3718" s="65">
        <v>500</v>
      </c>
      <c r="E3718" s="33"/>
      <c r="G3718" t="s">
        <v>144</v>
      </c>
      <c r="H3718" t="s">
        <v>232</v>
      </c>
      <c r="I3718" t="s">
        <v>136</v>
      </c>
      <c r="J3718" t="s">
        <v>183</v>
      </c>
      <c r="K3718">
        <v>1</v>
      </c>
      <c r="L3718" s="28" t="s">
        <v>178</v>
      </c>
      <c r="N3718" s="21"/>
      <c r="O3718" s="2"/>
      <c r="P3718" s="2"/>
      <c r="Q3718" s="4"/>
      <c r="R3718" s="4"/>
      <c r="S3718" s="4"/>
      <c r="T3718" s="4"/>
      <c r="U3718" s="4"/>
      <c r="V3718" s="4"/>
    </row>
    <row r="3719" spans="1:22" ht="14.5" customHeight="1" x14ac:dyDescent="0.2">
      <c r="A3719">
        <v>2021</v>
      </c>
      <c r="B3719" t="s">
        <v>202</v>
      </c>
      <c r="C3719" t="s">
        <v>822</v>
      </c>
      <c r="D3719" s="65">
        <v>200</v>
      </c>
      <c r="E3719" s="33"/>
      <c r="F3719" t="s">
        <v>2020</v>
      </c>
      <c r="G3719" t="s">
        <v>148</v>
      </c>
      <c r="I3719" t="s">
        <v>108</v>
      </c>
      <c r="J3719" t="s">
        <v>183</v>
      </c>
      <c r="K3719">
        <v>1</v>
      </c>
      <c r="L3719" s="28"/>
      <c r="N3719" s="21"/>
      <c r="O3719" s="2"/>
      <c r="P3719" s="2"/>
      <c r="Q3719" s="4"/>
      <c r="R3719" s="4"/>
      <c r="S3719" s="4"/>
      <c r="T3719" s="4"/>
      <c r="U3719" s="4"/>
      <c r="V3719" s="4"/>
    </row>
    <row r="3720" spans="1:22" ht="14.5" customHeight="1" x14ac:dyDescent="0.2">
      <c r="A3720">
        <v>2021</v>
      </c>
      <c r="B3720" t="s">
        <v>202</v>
      </c>
      <c r="C3720" t="s">
        <v>2021</v>
      </c>
      <c r="D3720" s="65">
        <v>140</v>
      </c>
      <c r="E3720" s="33"/>
      <c r="G3720" t="s">
        <v>149</v>
      </c>
      <c r="H3720" t="s">
        <v>238</v>
      </c>
      <c r="I3720" t="s">
        <v>53</v>
      </c>
      <c r="J3720" t="s">
        <v>183</v>
      </c>
      <c r="K3720">
        <v>1</v>
      </c>
      <c r="L3720" s="28" t="s">
        <v>178</v>
      </c>
      <c r="N3720" s="21"/>
      <c r="O3720" s="2"/>
      <c r="P3720" s="2"/>
      <c r="Q3720" s="4"/>
      <c r="R3720" s="4"/>
      <c r="S3720" s="4"/>
      <c r="T3720" s="4"/>
      <c r="U3720" s="4"/>
      <c r="V3720" s="4"/>
    </row>
    <row r="3721" spans="1:22" ht="14.5" customHeight="1" x14ac:dyDescent="0.2">
      <c r="A3721">
        <v>2021</v>
      </c>
      <c r="B3721" t="s">
        <v>202</v>
      </c>
      <c r="C3721" t="s">
        <v>2022</v>
      </c>
      <c r="D3721" s="65">
        <v>100</v>
      </c>
      <c r="E3721" s="33"/>
      <c r="F3721" t="s">
        <v>2023</v>
      </c>
      <c r="G3721" t="s">
        <v>147</v>
      </c>
      <c r="I3721" t="s">
        <v>25</v>
      </c>
      <c r="J3721" t="s">
        <v>177</v>
      </c>
      <c r="K3721">
        <v>0</v>
      </c>
      <c r="L3721" s="28"/>
      <c r="N3721" s="21"/>
      <c r="O3721" s="2"/>
      <c r="P3721" s="2"/>
      <c r="Q3721" s="4"/>
      <c r="R3721" s="4"/>
      <c r="S3721" s="4"/>
      <c r="T3721" s="4"/>
      <c r="U3721" s="4"/>
      <c r="V3721" s="4"/>
    </row>
    <row r="3722" spans="1:22" ht="14.5" customHeight="1" x14ac:dyDescent="0.2">
      <c r="A3722">
        <v>2021</v>
      </c>
      <c r="B3722" t="s">
        <v>202</v>
      </c>
      <c r="C3722" t="s">
        <v>2024</v>
      </c>
      <c r="D3722" s="65">
        <v>360</v>
      </c>
      <c r="E3722" s="33"/>
      <c r="G3722" t="s">
        <v>144</v>
      </c>
      <c r="H3722" t="s">
        <v>232</v>
      </c>
      <c r="I3722" t="s">
        <v>51</v>
      </c>
      <c r="J3722" t="s">
        <v>195</v>
      </c>
      <c r="K3722">
        <v>1</v>
      </c>
      <c r="L3722" s="28" t="s">
        <v>178</v>
      </c>
      <c r="N3722" s="21"/>
      <c r="O3722" s="2"/>
      <c r="P3722" s="2"/>
      <c r="Q3722" s="4"/>
      <c r="R3722" s="4"/>
      <c r="S3722" s="4"/>
      <c r="T3722" s="4"/>
      <c r="U3722" s="4"/>
      <c r="V3722" s="4"/>
    </row>
    <row r="3723" spans="1:22" ht="14.5" customHeight="1" x14ac:dyDescent="0.2">
      <c r="A3723">
        <v>2021</v>
      </c>
      <c r="B3723" t="s">
        <v>202</v>
      </c>
      <c r="C3723" t="s">
        <v>554</v>
      </c>
      <c r="D3723" s="65">
        <v>440</v>
      </c>
      <c r="E3723" s="33">
        <v>0.05</v>
      </c>
      <c r="F3723" t="s">
        <v>1587</v>
      </c>
      <c r="G3723" t="s">
        <v>146</v>
      </c>
      <c r="I3723" t="s">
        <v>15</v>
      </c>
      <c r="J3723" t="s">
        <v>195</v>
      </c>
      <c r="K3723">
        <v>0</v>
      </c>
      <c r="L3723" s="28"/>
      <c r="N3723" s="21"/>
      <c r="O3723" s="2"/>
      <c r="P3723" s="2"/>
      <c r="Q3723" s="4"/>
      <c r="R3723" s="4"/>
      <c r="S3723" s="4"/>
      <c r="T3723" s="4"/>
      <c r="U3723" s="4"/>
      <c r="V3723" s="4"/>
    </row>
    <row r="3724" spans="1:22" ht="14.5" customHeight="1" x14ac:dyDescent="0.2">
      <c r="A3724">
        <v>2021</v>
      </c>
      <c r="B3724" t="s">
        <v>202</v>
      </c>
      <c r="C3724" t="s">
        <v>1779</v>
      </c>
      <c r="D3724" s="65">
        <v>400</v>
      </c>
      <c r="E3724" s="33">
        <v>0.8</v>
      </c>
      <c r="F3724" t="s">
        <v>2025</v>
      </c>
      <c r="G3724" t="s">
        <v>145</v>
      </c>
      <c r="I3724" t="s">
        <v>41</v>
      </c>
      <c r="J3724" t="s">
        <v>195</v>
      </c>
      <c r="K3724">
        <v>0</v>
      </c>
      <c r="L3724" s="28"/>
      <c r="N3724" s="21"/>
      <c r="O3724" s="2"/>
      <c r="P3724" s="2"/>
      <c r="Q3724" s="4"/>
      <c r="R3724" s="4"/>
      <c r="S3724" s="4"/>
      <c r="T3724" s="4"/>
      <c r="U3724" s="4"/>
      <c r="V3724" s="4"/>
    </row>
    <row r="3725" spans="1:22" ht="14.5" customHeight="1" x14ac:dyDescent="0.2">
      <c r="A3725">
        <v>2021</v>
      </c>
      <c r="B3725" t="s">
        <v>207</v>
      </c>
      <c r="C3725" t="s">
        <v>2026</v>
      </c>
      <c r="D3725" s="65">
        <v>150</v>
      </c>
      <c r="E3725" s="33"/>
      <c r="F3725" t="s">
        <v>2027</v>
      </c>
      <c r="G3725" t="s">
        <v>144</v>
      </c>
      <c r="H3725" t="s">
        <v>232</v>
      </c>
      <c r="I3725" t="s">
        <v>17</v>
      </c>
      <c r="J3725" t="s">
        <v>195</v>
      </c>
      <c r="K3725">
        <v>1</v>
      </c>
      <c r="L3725" s="28" t="s">
        <v>178</v>
      </c>
      <c r="N3725" s="21"/>
      <c r="O3725" s="2"/>
      <c r="P3725" s="2"/>
      <c r="Q3725" s="4"/>
      <c r="R3725" s="4"/>
      <c r="S3725" s="4"/>
      <c r="T3725" s="4"/>
      <c r="U3725" s="4"/>
      <c r="V3725" s="4"/>
    </row>
    <row r="3726" spans="1:22" ht="14.5" customHeight="1" x14ac:dyDescent="0.2">
      <c r="A3726">
        <v>2021</v>
      </c>
      <c r="B3726" t="s">
        <v>207</v>
      </c>
      <c r="C3726" t="s">
        <v>559</v>
      </c>
      <c r="D3726" s="65">
        <v>770</v>
      </c>
      <c r="E3726" s="33">
        <v>1</v>
      </c>
      <c r="F3726" t="s">
        <v>2028</v>
      </c>
      <c r="G3726" t="s">
        <v>149</v>
      </c>
      <c r="I3726" t="s">
        <v>8</v>
      </c>
      <c r="J3726" t="s">
        <v>205</v>
      </c>
      <c r="K3726">
        <v>1</v>
      </c>
      <c r="L3726" s="28"/>
      <c r="N3726" s="21"/>
      <c r="O3726" s="2"/>
      <c r="P3726" s="2"/>
      <c r="Q3726" s="4"/>
      <c r="R3726" s="4"/>
      <c r="S3726" s="4"/>
      <c r="T3726" s="4"/>
      <c r="U3726" s="4"/>
      <c r="V3726" s="4"/>
    </row>
    <row r="3727" spans="1:22" ht="14.5" customHeight="1" x14ac:dyDescent="0.2">
      <c r="A3727">
        <v>2021</v>
      </c>
      <c r="B3727" t="s">
        <v>207</v>
      </c>
      <c r="C3727" t="s">
        <v>554</v>
      </c>
      <c r="D3727" s="65">
        <v>280</v>
      </c>
      <c r="E3727" s="33">
        <v>1</v>
      </c>
      <c r="F3727" t="s">
        <v>2029</v>
      </c>
      <c r="G3727" t="s">
        <v>146</v>
      </c>
      <c r="H3727" t="s">
        <v>275</v>
      </c>
      <c r="I3727" t="s">
        <v>45</v>
      </c>
      <c r="J3727" t="s">
        <v>195</v>
      </c>
      <c r="K3727">
        <v>0</v>
      </c>
      <c r="L3727" s="28"/>
      <c r="N3727" s="21"/>
      <c r="O3727" s="2"/>
      <c r="P3727" s="2"/>
      <c r="Q3727" s="4"/>
      <c r="R3727" s="4"/>
      <c r="S3727" s="4"/>
      <c r="T3727" s="4"/>
      <c r="U3727" s="4"/>
      <c r="V3727" s="4"/>
    </row>
    <row r="3728" spans="1:22" ht="14.5" customHeight="1" x14ac:dyDescent="0.2">
      <c r="A3728">
        <v>2021</v>
      </c>
      <c r="B3728" t="s">
        <v>207</v>
      </c>
      <c r="C3728" t="s">
        <v>557</v>
      </c>
      <c r="D3728" s="65">
        <v>340</v>
      </c>
      <c r="E3728" s="33"/>
      <c r="G3728" t="s">
        <v>150</v>
      </c>
      <c r="H3728" t="s">
        <v>217</v>
      </c>
      <c r="I3728" t="s">
        <v>38</v>
      </c>
      <c r="J3728" t="s">
        <v>214</v>
      </c>
      <c r="K3728">
        <v>1</v>
      </c>
      <c r="L3728" s="28" t="s">
        <v>178</v>
      </c>
      <c r="N3728" s="21"/>
      <c r="O3728" s="2"/>
      <c r="P3728" s="2"/>
      <c r="Q3728" s="4"/>
      <c r="R3728" s="4"/>
      <c r="S3728" s="4"/>
      <c r="T3728" s="4"/>
      <c r="U3728" s="4"/>
      <c r="V3728" s="4"/>
    </row>
    <row r="3729" spans="1:22" ht="14.5" customHeight="1" x14ac:dyDescent="0.2">
      <c r="A3729">
        <v>2021</v>
      </c>
      <c r="B3729" t="s">
        <v>207</v>
      </c>
      <c r="C3729" t="s">
        <v>269</v>
      </c>
      <c r="D3729" s="65">
        <v>110</v>
      </c>
      <c r="E3729" s="33">
        <v>0.16</v>
      </c>
      <c r="G3729" t="s">
        <v>154</v>
      </c>
      <c r="H3729" t="s">
        <v>271</v>
      </c>
      <c r="I3729" t="s">
        <v>47</v>
      </c>
      <c r="J3729" t="s">
        <v>195</v>
      </c>
      <c r="K3729">
        <v>1</v>
      </c>
      <c r="L3729" s="28"/>
      <c r="N3729" s="21"/>
      <c r="O3729" s="2"/>
      <c r="P3729" s="2"/>
      <c r="Q3729" s="4"/>
      <c r="R3729" s="4"/>
      <c r="S3729" s="4"/>
      <c r="T3729" s="4"/>
      <c r="U3729" s="4"/>
      <c r="V3729" s="4"/>
    </row>
    <row r="3730" spans="1:22" ht="14.5" customHeight="1" x14ac:dyDescent="0.2">
      <c r="A3730">
        <v>2021</v>
      </c>
      <c r="B3730" t="s">
        <v>207</v>
      </c>
      <c r="C3730" t="s">
        <v>454</v>
      </c>
      <c r="D3730" s="65">
        <v>260</v>
      </c>
      <c r="E3730" s="33">
        <v>7.0000000000000007E-2</v>
      </c>
      <c r="F3730" t="s">
        <v>2030</v>
      </c>
      <c r="G3730" t="s">
        <v>145</v>
      </c>
      <c r="I3730" t="s">
        <v>61</v>
      </c>
      <c r="J3730" t="s">
        <v>183</v>
      </c>
      <c r="K3730">
        <v>0</v>
      </c>
      <c r="L3730" s="28"/>
      <c r="N3730" s="21"/>
      <c r="O3730" s="2"/>
      <c r="P3730" s="2"/>
      <c r="Q3730" s="4"/>
      <c r="R3730" s="4"/>
      <c r="S3730" s="4"/>
      <c r="T3730" s="4"/>
      <c r="U3730" s="4"/>
      <c r="V3730" s="4"/>
    </row>
    <row r="3731" spans="1:22" ht="14.5" customHeight="1" x14ac:dyDescent="0.2">
      <c r="A3731">
        <v>2021</v>
      </c>
      <c r="B3731" t="s">
        <v>207</v>
      </c>
      <c r="C3731" t="s">
        <v>454</v>
      </c>
      <c r="D3731" s="65">
        <v>110</v>
      </c>
      <c r="E3731" s="33">
        <v>0.04</v>
      </c>
      <c r="F3731" t="s">
        <v>2031</v>
      </c>
      <c r="G3731" t="s">
        <v>150</v>
      </c>
      <c r="H3731" t="s">
        <v>556</v>
      </c>
      <c r="I3731" t="s">
        <v>45</v>
      </c>
      <c r="J3731" t="s">
        <v>195</v>
      </c>
      <c r="K3731">
        <v>0</v>
      </c>
      <c r="L3731" s="28"/>
      <c r="N3731" s="21"/>
      <c r="O3731" s="2"/>
      <c r="P3731" s="2"/>
      <c r="Q3731" s="4"/>
      <c r="R3731" s="4"/>
      <c r="S3731" s="4"/>
      <c r="T3731" s="4"/>
      <c r="U3731" s="4"/>
      <c r="V3731" s="4"/>
    </row>
    <row r="3732" spans="1:22" ht="14.5" customHeight="1" x14ac:dyDescent="0.2">
      <c r="A3732">
        <v>2021</v>
      </c>
      <c r="B3732" t="s">
        <v>207</v>
      </c>
      <c r="C3732" t="s">
        <v>798</v>
      </c>
      <c r="D3732" s="65">
        <v>380</v>
      </c>
      <c r="E3732" s="33">
        <v>0.5</v>
      </c>
      <c r="F3732" t="s">
        <v>1628</v>
      </c>
      <c r="G3732" t="s">
        <v>149</v>
      </c>
      <c r="I3732" t="s">
        <v>8</v>
      </c>
      <c r="J3732" t="s">
        <v>205</v>
      </c>
      <c r="K3732" s="17">
        <v>1</v>
      </c>
      <c r="L3732" s="28"/>
      <c r="N3732" s="21"/>
      <c r="O3732" s="2"/>
      <c r="P3732" s="2"/>
      <c r="Q3732" s="4"/>
      <c r="R3732" s="4"/>
      <c r="S3732" s="4"/>
      <c r="T3732" s="4"/>
      <c r="U3732" s="4"/>
      <c r="V3732" s="4"/>
    </row>
    <row r="3733" spans="1:22" ht="14.5" customHeight="1" x14ac:dyDescent="0.2">
      <c r="A3733">
        <v>2021</v>
      </c>
      <c r="B3733" t="s">
        <v>207</v>
      </c>
      <c r="C3733" t="s">
        <v>1961</v>
      </c>
      <c r="D3733" s="65">
        <v>610</v>
      </c>
      <c r="E3733" s="33">
        <v>1</v>
      </c>
      <c r="F3733" t="s">
        <v>2032</v>
      </c>
      <c r="G3733" t="s">
        <v>150</v>
      </c>
      <c r="H3733" t="s">
        <v>556</v>
      </c>
      <c r="I3733" t="s">
        <v>131</v>
      </c>
      <c r="J3733" t="s">
        <v>131</v>
      </c>
      <c r="K3733">
        <v>0</v>
      </c>
      <c r="L3733" s="28"/>
      <c r="N3733" s="21"/>
      <c r="O3733" s="2"/>
      <c r="P3733" s="2"/>
      <c r="Q3733" s="4"/>
      <c r="R3733" s="4"/>
      <c r="S3733" s="4"/>
      <c r="T3733" s="4"/>
      <c r="U3733" s="4"/>
      <c r="V3733" s="4"/>
    </row>
    <row r="3734" spans="1:22" ht="14.5" customHeight="1" x14ac:dyDescent="0.2">
      <c r="A3734">
        <v>2021</v>
      </c>
      <c r="B3734" t="s">
        <v>207</v>
      </c>
      <c r="C3734" t="s">
        <v>943</v>
      </c>
      <c r="D3734" s="65">
        <v>110</v>
      </c>
      <c r="E3734" s="33"/>
      <c r="G3734" t="s">
        <v>144</v>
      </c>
      <c r="H3734" t="s">
        <v>232</v>
      </c>
      <c r="I3734" t="s">
        <v>19</v>
      </c>
      <c r="J3734" t="s">
        <v>205</v>
      </c>
      <c r="K3734">
        <v>0</v>
      </c>
      <c r="L3734" s="28" t="s">
        <v>178</v>
      </c>
      <c r="N3734" s="21"/>
      <c r="O3734" s="2"/>
      <c r="P3734" s="2"/>
      <c r="Q3734" s="4"/>
      <c r="R3734" s="4"/>
      <c r="S3734" s="4"/>
      <c r="T3734" s="4"/>
      <c r="U3734" s="4"/>
      <c r="V3734" s="4"/>
    </row>
    <row r="3735" spans="1:22" ht="14.5" customHeight="1" x14ac:dyDescent="0.2">
      <c r="A3735">
        <v>2021</v>
      </c>
      <c r="B3735" t="s">
        <v>207</v>
      </c>
      <c r="C3735" t="s">
        <v>783</v>
      </c>
      <c r="D3735" s="65">
        <v>130</v>
      </c>
      <c r="E3735" s="33"/>
      <c r="F3735" t="s">
        <v>2033</v>
      </c>
      <c r="G3735" t="s">
        <v>147</v>
      </c>
      <c r="I3735" t="s">
        <v>45</v>
      </c>
      <c r="J3735" t="s">
        <v>195</v>
      </c>
      <c r="K3735">
        <v>0</v>
      </c>
      <c r="L3735" s="28"/>
      <c r="N3735" s="21"/>
      <c r="O3735" s="2"/>
      <c r="P3735" s="2"/>
      <c r="Q3735" s="4"/>
      <c r="R3735" s="4"/>
      <c r="S3735" s="4"/>
      <c r="T3735" s="4"/>
      <c r="U3735" s="4"/>
      <c r="V3735" s="4"/>
    </row>
    <row r="3736" spans="1:22" ht="14.5" customHeight="1" x14ac:dyDescent="0.2">
      <c r="A3736">
        <v>2021</v>
      </c>
      <c r="B3736" t="s">
        <v>207</v>
      </c>
      <c r="C3736" t="s">
        <v>2034</v>
      </c>
      <c r="D3736" s="65">
        <v>320</v>
      </c>
      <c r="E3736" s="33">
        <v>0.7</v>
      </c>
      <c r="G3736" t="s">
        <v>144</v>
      </c>
      <c r="H3736" t="s">
        <v>232</v>
      </c>
      <c r="I3736" t="s">
        <v>136</v>
      </c>
      <c r="J3736" t="s">
        <v>183</v>
      </c>
      <c r="K3736">
        <v>1</v>
      </c>
      <c r="L3736" s="28"/>
      <c r="N3736" s="21"/>
      <c r="O3736" s="2"/>
      <c r="P3736" s="2"/>
      <c r="Q3736" s="4"/>
      <c r="R3736" s="4"/>
      <c r="S3736" s="4"/>
      <c r="T3736" s="4"/>
      <c r="U3736" s="4"/>
      <c r="V3736" s="4"/>
    </row>
    <row r="3737" spans="1:22" ht="14.5" customHeight="1" x14ac:dyDescent="0.2">
      <c r="A3737">
        <v>2021</v>
      </c>
      <c r="B3737" t="s">
        <v>207</v>
      </c>
      <c r="C3737" t="s">
        <v>577</v>
      </c>
      <c r="D3737" s="65">
        <v>450</v>
      </c>
      <c r="E3737" s="33"/>
      <c r="G3737" t="s">
        <v>150</v>
      </c>
      <c r="H3737" t="s">
        <v>556</v>
      </c>
      <c r="I3737" t="s">
        <v>131</v>
      </c>
      <c r="J3737" t="s">
        <v>131</v>
      </c>
      <c r="K3737">
        <v>0</v>
      </c>
      <c r="L3737" s="28"/>
      <c r="N3737" s="21"/>
      <c r="O3737" s="2"/>
      <c r="P3737" s="2"/>
      <c r="Q3737" s="4"/>
      <c r="R3737" s="4"/>
      <c r="S3737" s="4"/>
      <c r="T3737" s="4"/>
      <c r="U3737" s="4"/>
      <c r="V3737" s="4"/>
    </row>
    <row r="3738" spans="1:22" ht="14.5" customHeight="1" x14ac:dyDescent="0.2">
      <c r="A3738">
        <v>2021</v>
      </c>
      <c r="B3738" t="s">
        <v>240</v>
      </c>
      <c r="C3738" t="s">
        <v>2035</v>
      </c>
      <c r="D3738" s="65">
        <v>200</v>
      </c>
      <c r="E3738" s="33"/>
      <c r="G3738" t="s">
        <v>147</v>
      </c>
      <c r="I3738" t="s">
        <v>131</v>
      </c>
      <c r="J3738" t="s">
        <v>131</v>
      </c>
      <c r="K3738">
        <v>0</v>
      </c>
      <c r="L3738" s="28" t="s">
        <v>178</v>
      </c>
      <c r="N3738" s="21"/>
      <c r="O3738" s="2"/>
      <c r="P3738" s="2"/>
      <c r="Q3738" s="4"/>
      <c r="R3738" s="4"/>
      <c r="S3738" s="4"/>
      <c r="T3738" s="4"/>
      <c r="U3738" s="4"/>
      <c r="V3738" s="4"/>
    </row>
    <row r="3739" spans="1:22" ht="14.5" customHeight="1" x14ac:dyDescent="0.2">
      <c r="A3739">
        <v>2021</v>
      </c>
      <c r="B3739" t="s">
        <v>240</v>
      </c>
      <c r="C3739" t="s">
        <v>246</v>
      </c>
      <c r="D3739" s="65">
        <v>350</v>
      </c>
      <c r="E3739" s="33"/>
      <c r="F3739" t="s">
        <v>737</v>
      </c>
      <c r="G3739" t="s">
        <v>144</v>
      </c>
      <c r="H3739" t="s">
        <v>232</v>
      </c>
      <c r="I3739" t="s">
        <v>114</v>
      </c>
      <c r="J3739" t="s">
        <v>195</v>
      </c>
      <c r="K3739">
        <v>0</v>
      </c>
      <c r="L3739" s="28"/>
      <c r="N3739" s="21"/>
      <c r="O3739" s="2"/>
      <c r="P3739" s="2"/>
      <c r="Q3739" s="4"/>
      <c r="R3739" s="4"/>
      <c r="S3739" s="4"/>
      <c r="T3739" s="4"/>
      <c r="U3739" s="4"/>
      <c r="V3739" s="4"/>
    </row>
    <row r="3740" spans="1:22" ht="15" customHeight="1" x14ac:dyDescent="0.2">
      <c r="A3740">
        <v>2021</v>
      </c>
      <c r="B3740" t="s">
        <v>240</v>
      </c>
      <c r="C3740" t="s">
        <v>1716</v>
      </c>
      <c r="D3740" s="65">
        <v>470</v>
      </c>
      <c r="E3740" s="33">
        <v>1</v>
      </c>
      <c r="F3740" t="s">
        <v>2036</v>
      </c>
      <c r="G3740" t="s">
        <v>149</v>
      </c>
      <c r="I3740" t="s">
        <v>46</v>
      </c>
      <c r="J3740" t="s">
        <v>219</v>
      </c>
      <c r="K3740">
        <v>1</v>
      </c>
      <c r="L3740" s="28"/>
      <c r="N3740" s="21"/>
      <c r="O3740" s="2"/>
      <c r="P3740" s="2"/>
      <c r="Q3740" s="4"/>
      <c r="R3740" s="4"/>
      <c r="S3740" s="4"/>
      <c r="T3740" s="4"/>
      <c r="U3740" s="4"/>
      <c r="V3740" s="4"/>
    </row>
    <row r="3741" spans="1:22" ht="14.5" customHeight="1" x14ac:dyDescent="0.2">
      <c r="A3741">
        <v>2021</v>
      </c>
      <c r="B3741" t="s">
        <v>240</v>
      </c>
      <c r="C3741" t="s">
        <v>479</v>
      </c>
      <c r="D3741" s="65">
        <v>280</v>
      </c>
      <c r="E3741" s="33">
        <v>0.3</v>
      </c>
      <c r="F3741" t="s">
        <v>2037</v>
      </c>
      <c r="G3741" t="s">
        <v>148</v>
      </c>
      <c r="I3741" t="s">
        <v>124</v>
      </c>
      <c r="J3741" t="s">
        <v>183</v>
      </c>
      <c r="K3741">
        <v>1</v>
      </c>
      <c r="L3741" s="28" t="s">
        <v>178</v>
      </c>
      <c r="N3741" s="21"/>
      <c r="O3741" s="2"/>
      <c r="P3741" s="2"/>
      <c r="Q3741" s="4"/>
      <c r="R3741" s="4"/>
      <c r="S3741" s="4"/>
      <c r="T3741" s="4"/>
      <c r="U3741" s="4"/>
      <c r="V3741" s="4"/>
    </row>
    <row r="3742" spans="1:22" ht="14.5" customHeight="1" x14ac:dyDescent="0.2">
      <c r="A3742">
        <v>2021</v>
      </c>
      <c r="B3742" t="s">
        <v>240</v>
      </c>
      <c r="C3742" t="s">
        <v>559</v>
      </c>
      <c r="D3742" s="65">
        <v>390</v>
      </c>
      <c r="E3742" s="33">
        <v>0.4</v>
      </c>
      <c r="F3742" t="s">
        <v>1812</v>
      </c>
      <c r="G3742" t="s">
        <v>149</v>
      </c>
      <c r="H3742" t="s">
        <v>236</v>
      </c>
      <c r="I3742" t="s">
        <v>34</v>
      </c>
      <c r="J3742" t="s">
        <v>219</v>
      </c>
      <c r="K3742" s="17">
        <v>1</v>
      </c>
      <c r="L3742" s="28"/>
      <c r="N3742" s="21"/>
      <c r="O3742" s="2"/>
      <c r="P3742" s="2"/>
      <c r="Q3742" s="4"/>
      <c r="R3742" s="4"/>
      <c r="S3742" s="4"/>
      <c r="T3742" s="4"/>
      <c r="U3742" s="4"/>
      <c r="V3742" s="4"/>
    </row>
    <row r="3743" spans="1:22" ht="14.5" customHeight="1" x14ac:dyDescent="0.2">
      <c r="A3743">
        <v>2021</v>
      </c>
      <c r="B3743" t="s">
        <v>240</v>
      </c>
      <c r="C3743" t="s">
        <v>2038</v>
      </c>
      <c r="D3743" s="65">
        <v>100</v>
      </c>
      <c r="E3743" s="33"/>
      <c r="F3743" t="s">
        <v>1553</v>
      </c>
      <c r="G3743" t="s">
        <v>150</v>
      </c>
      <c r="H3743" t="s">
        <v>556</v>
      </c>
      <c r="I3743" t="s">
        <v>53</v>
      </c>
      <c r="J3743" t="s">
        <v>183</v>
      </c>
      <c r="K3743">
        <v>1</v>
      </c>
      <c r="L3743" s="28"/>
      <c r="N3743" s="21"/>
      <c r="O3743" s="2"/>
      <c r="P3743" s="2"/>
      <c r="Q3743" s="4"/>
      <c r="R3743" s="4"/>
      <c r="S3743" s="4"/>
      <c r="T3743" s="4"/>
      <c r="U3743" s="4"/>
      <c r="V3743" s="4"/>
    </row>
    <row r="3744" spans="1:22" ht="14.5" customHeight="1" x14ac:dyDescent="0.2">
      <c r="A3744">
        <v>2021</v>
      </c>
      <c r="B3744" t="s">
        <v>240</v>
      </c>
      <c r="C3744" t="s">
        <v>1353</v>
      </c>
      <c r="D3744" s="65">
        <v>170</v>
      </c>
      <c r="E3744" s="33">
        <v>0.05</v>
      </c>
      <c r="F3744" t="s">
        <v>1112</v>
      </c>
      <c r="G3744" t="s">
        <v>152</v>
      </c>
      <c r="I3744" t="s">
        <v>45</v>
      </c>
      <c r="J3744" t="s">
        <v>195</v>
      </c>
      <c r="K3744">
        <v>0</v>
      </c>
      <c r="L3744" s="28"/>
      <c r="N3744" s="21"/>
      <c r="O3744" s="2"/>
      <c r="P3744" s="2"/>
      <c r="Q3744" s="4"/>
      <c r="R3744" s="4"/>
      <c r="S3744" s="4"/>
      <c r="T3744" s="4"/>
      <c r="U3744" s="4"/>
      <c r="V3744" s="4"/>
    </row>
    <row r="3745" spans="1:22" ht="14.5" customHeight="1" x14ac:dyDescent="0.2">
      <c r="A3745">
        <v>2021</v>
      </c>
      <c r="B3745" t="s">
        <v>240</v>
      </c>
      <c r="C3745" t="s">
        <v>221</v>
      </c>
      <c r="D3745" s="65">
        <v>140</v>
      </c>
      <c r="E3745" s="33">
        <v>1</v>
      </c>
      <c r="F3745" t="s">
        <v>2039</v>
      </c>
      <c r="G3745" t="s">
        <v>149</v>
      </c>
      <c r="H3745" t="s">
        <v>182</v>
      </c>
      <c r="I3745" t="s">
        <v>9</v>
      </c>
      <c r="J3745" t="s">
        <v>9</v>
      </c>
      <c r="K3745">
        <v>0</v>
      </c>
      <c r="L3745" s="28"/>
      <c r="N3745" s="21"/>
      <c r="O3745" s="2"/>
      <c r="P3745" s="2"/>
      <c r="Q3745" s="4"/>
      <c r="R3745" s="4"/>
      <c r="S3745" s="4"/>
      <c r="T3745" s="4"/>
      <c r="U3745" s="4"/>
      <c r="V3745" s="4"/>
    </row>
    <row r="3746" spans="1:22" ht="14.5" customHeight="1" x14ac:dyDescent="0.2">
      <c r="A3746">
        <v>2021</v>
      </c>
      <c r="B3746" t="s">
        <v>240</v>
      </c>
      <c r="C3746" t="s">
        <v>444</v>
      </c>
      <c r="D3746" s="65">
        <v>480</v>
      </c>
      <c r="E3746" s="33"/>
      <c r="G3746" t="s">
        <v>144</v>
      </c>
      <c r="H3746" t="s">
        <v>232</v>
      </c>
      <c r="I3746" t="s">
        <v>13</v>
      </c>
      <c r="J3746" t="s">
        <v>201</v>
      </c>
      <c r="K3746">
        <v>1</v>
      </c>
      <c r="L3746" s="28"/>
      <c r="N3746" s="21"/>
      <c r="O3746" s="2"/>
      <c r="P3746" s="2"/>
      <c r="Q3746" s="4"/>
      <c r="R3746" s="4"/>
      <c r="S3746" s="4"/>
      <c r="T3746" s="4"/>
      <c r="U3746" s="4"/>
      <c r="V3746" s="4"/>
    </row>
    <row r="3747" spans="1:22" ht="14.5" customHeight="1" x14ac:dyDescent="0.2">
      <c r="A3747">
        <v>2021</v>
      </c>
      <c r="B3747" t="s">
        <v>240</v>
      </c>
      <c r="C3747" t="s">
        <v>2040</v>
      </c>
      <c r="D3747" s="65">
        <v>120</v>
      </c>
      <c r="E3747" s="33"/>
      <c r="G3747" t="s">
        <v>154</v>
      </c>
      <c r="H3747" t="s">
        <v>194</v>
      </c>
      <c r="I3747" t="s">
        <v>51</v>
      </c>
      <c r="J3747" t="s">
        <v>195</v>
      </c>
      <c r="K3747">
        <v>1</v>
      </c>
      <c r="L3747" s="28" t="s">
        <v>178</v>
      </c>
      <c r="N3747" s="21"/>
      <c r="O3747" s="2"/>
      <c r="P3747" s="2"/>
      <c r="Q3747" s="4"/>
      <c r="R3747" s="4"/>
      <c r="S3747" s="4"/>
      <c r="T3747" s="4"/>
      <c r="U3747" s="4"/>
      <c r="V3747" s="4"/>
    </row>
    <row r="3748" spans="1:22" ht="14.5" customHeight="1" x14ac:dyDescent="0.2">
      <c r="A3748">
        <v>2021</v>
      </c>
      <c r="B3748" t="s">
        <v>240</v>
      </c>
      <c r="C3748" t="s">
        <v>668</v>
      </c>
      <c r="D3748" s="65">
        <v>1160</v>
      </c>
      <c r="E3748" s="33"/>
      <c r="G3748" t="s">
        <v>144</v>
      </c>
      <c r="H3748" t="s">
        <v>197</v>
      </c>
      <c r="I3748" t="s">
        <v>48</v>
      </c>
      <c r="J3748" t="s">
        <v>219</v>
      </c>
      <c r="K3748">
        <v>1</v>
      </c>
      <c r="L3748" s="28" t="s">
        <v>178</v>
      </c>
      <c r="N3748" s="21"/>
      <c r="O3748" s="2"/>
      <c r="P3748" s="2"/>
      <c r="Q3748" s="4"/>
      <c r="R3748" s="4"/>
      <c r="S3748" s="4"/>
      <c r="T3748" s="4"/>
      <c r="U3748" s="4"/>
      <c r="V3748" s="4"/>
    </row>
    <row r="3749" spans="1:22" ht="14.5" customHeight="1" x14ac:dyDescent="0.2">
      <c r="A3749">
        <v>2021</v>
      </c>
      <c r="B3749" t="s">
        <v>240</v>
      </c>
      <c r="C3749" t="s">
        <v>2041</v>
      </c>
      <c r="D3749" s="65">
        <v>440</v>
      </c>
      <c r="E3749" s="33">
        <v>1</v>
      </c>
      <c r="G3749" t="s">
        <v>149</v>
      </c>
      <c r="H3749" t="s">
        <v>182</v>
      </c>
      <c r="I3749" t="s">
        <v>53</v>
      </c>
      <c r="J3749" t="s">
        <v>183</v>
      </c>
      <c r="K3749">
        <v>1</v>
      </c>
      <c r="L3749" s="28" t="s">
        <v>178</v>
      </c>
      <c r="N3749" s="21"/>
      <c r="O3749" s="2"/>
      <c r="P3749" s="2"/>
      <c r="Q3749" s="4"/>
      <c r="R3749" s="4"/>
      <c r="S3749" s="4"/>
      <c r="T3749" s="4"/>
      <c r="U3749" s="4"/>
      <c r="V3749" s="4"/>
    </row>
    <row r="3750" spans="1:22" ht="14.5" customHeight="1" x14ac:dyDescent="0.2">
      <c r="A3750">
        <v>2021</v>
      </c>
      <c r="B3750" t="s">
        <v>212</v>
      </c>
      <c r="C3750" t="s">
        <v>454</v>
      </c>
      <c r="D3750" s="65">
        <v>100</v>
      </c>
      <c r="E3750" s="33"/>
      <c r="F3750" t="s">
        <v>2042</v>
      </c>
      <c r="G3750" t="s">
        <v>146</v>
      </c>
      <c r="H3750" t="s">
        <v>275</v>
      </c>
      <c r="I3750" t="s">
        <v>20</v>
      </c>
      <c r="J3750" t="s">
        <v>195</v>
      </c>
      <c r="K3750">
        <v>0</v>
      </c>
      <c r="L3750" s="28"/>
      <c r="N3750" s="21"/>
      <c r="O3750" s="2"/>
      <c r="P3750" s="2"/>
      <c r="Q3750" s="4"/>
      <c r="R3750" s="4"/>
      <c r="S3750" s="4"/>
      <c r="T3750" s="4"/>
      <c r="U3750" s="4"/>
      <c r="V3750" s="4"/>
    </row>
    <row r="3751" spans="1:22" ht="14.5" customHeight="1" x14ac:dyDescent="0.2">
      <c r="A3751">
        <v>2021</v>
      </c>
      <c r="B3751" t="s">
        <v>212</v>
      </c>
      <c r="C3751" t="s">
        <v>1011</v>
      </c>
      <c r="D3751" s="65">
        <v>420</v>
      </c>
      <c r="E3751" s="33">
        <v>1</v>
      </c>
      <c r="F3751" t="s">
        <v>2043</v>
      </c>
      <c r="G3751" t="s">
        <v>149</v>
      </c>
      <c r="I3751" t="s">
        <v>139</v>
      </c>
      <c r="J3751" t="s">
        <v>219</v>
      </c>
      <c r="K3751">
        <v>1</v>
      </c>
      <c r="L3751" s="28"/>
      <c r="N3751" s="21"/>
      <c r="O3751" s="2"/>
      <c r="P3751" s="2"/>
      <c r="Q3751" s="4"/>
      <c r="R3751" s="4"/>
      <c r="S3751" s="4"/>
      <c r="T3751" s="4"/>
      <c r="U3751" s="4"/>
      <c r="V3751" s="4"/>
    </row>
    <row r="3752" spans="1:22" ht="14.5" customHeight="1" x14ac:dyDescent="0.2">
      <c r="A3752">
        <v>2021</v>
      </c>
      <c r="B3752" t="s">
        <v>212</v>
      </c>
      <c r="C3752" t="s">
        <v>1746</v>
      </c>
      <c r="D3752" s="65">
        <v>300</v>
      </c>
      <c r="E3752" s="33">
        <v>1</v>
      </c>
      <c r="F3752" t="s">
        <v>2044</v>
      </c>
      <c r="G3752" t="s">
        <v>147</v>
      </c>
      <c r="I3752" t="s">
        <v>57</v>
      </c>
      <c r="J3752" t="s">
        <v>195</v>
      </c>
      <c r="K3752" s="17">
        <v>0</v>
      </c>
      <c r="L3752" s="28"/>
      <c r="N3752" s="21"/>
      <c r="O3752" s="2"/>
      <c r="P3752" s="2"/>
      <c r="Q3752" s="4"/>
      <c r="R3752" s="4"/>
      <c r="S3752" s="4"/>
      <c r="T3752" s="4"/>
      <c r="U3752" s="4"/>
      <c r="V3752" s="4"/>
    </row>
    <row r="3753" spans="1:22" ht="14.5" customHeight="1" x14ac:dyDescent="0.2">
      <c r="A3753">
        <v>2021</v>
      </c>
      <c r="B3753" t="s">
        <v>212</v>
      </c>
      <c r="C3753" t="s">
        <v>1843</v>
      </c>
      <c r="D3753" s="65">
        <v>250</v>
      </c>
      <c r="E3753" s="33">
        <v>0.7</v>
      </c>
      <c r="F3753" t="s">
        <v>2045</v>
      </c>
      <c r="G3753" t="s">
        <v>149</v>
      </c>
      <c r="I3753" t="s">
        <v>53</v>
      </c>
      <c r="J3753" t="s">
        <v>183</v>
      </c>
      <c r="K3753">
        <v>1</v>
      </c>
      <c r="L3753" s="28" t="s">
        <v>178</v>
      </c>
      <c r="N3753" s="21"/>
      <c r="O3753" s="2"/>
      <c r="P3753" s="2"/>
      <c r="Q3753" s="4"/>
      <c r="R3753" s="4"/>
      <c r="S3753" s="4"/>
      <c r="T3753" s="4"/>
      <c r="U3753" s="4"/>
      <c r="V3753" s="4"/>
    </row>
    <row r="3754" spans="1:22" ht="14.5" customHeight="1" x14ac:dyDescent="0.2">
      <c r="A3754">
        <v>2021</v>
      </c>
      <c r="B3754" t="s">
        <v>212</v>
      </c>
      <c r="C3754" t="s">
        <v>1772</v>
      </c>
      <c r="D3754" s="65">
        <v>1770</v>
      </c>
      <c r="E3754" s="33"/>
      <c r="G3754" t="s">
        <v>154</v>
      </c>
      <c r="H3754" t="s">
        <v>194</v>
      </c>
      <c r="I3754" t="s">
        <v>45</v>
      </c>
      <c r="J3754" t="s">
        <v>195</v>
      </c>
      <c r="K3754">
        <v>0</v>
      </c>
      <c r="L3754" s="28" t="s">
        <v>178</v>
      </c>
      <c r="N3754" s="21"/>
      <c r="O3754" s="2"/>
      <c r="P3754" s="2"/>
      <c r="Q3754" s="4"/>
      <c r="R3754" s="4"/>
      <c r="S3754" s="4"/>
      <c r="T3754" s="4"/>
      <c r="U3754" s="4"/>
      <c r="V3754" s="4"/>
    </row>
    <row r="3755" spans="1:22" ht="14.5" customHeight="1" x14ac:dyDescent="0.2">
      <c r="A3755">
        <v>2021</v>
      </c>
      <c r="B3755" t="s">
        <v>212</v>
      </c>
      <c r="C3755" t="s">
        <v>454</v>
      </c>
      <c r="D3755" s="65">
        <v>1150</v>
      </c>
      <c r="E3755" s="33">
        <v>0.91</v>
      </c>
      <c r="F3755" t="s">
        <v>2046</v>
      </c>
      <c r="G3755" t="s">
        <v>145</v>
      </c>
      <c r="I3755" t="s">
        <v>20</v>
      </c>
      <c r="J3755" t="s">
        <v>195</v>
      </c>
      <c r="K3755" s="17">
        <v>0</v>
      </c>
      <c r="L3755" s="28"/>
      <c r="N3755" s="21"/>
      <c r="O3755" s="2"/>
      <c r="P3755" s="2"/>
      <c r="Q3755" s="4"/>
      <c r="R3755" s="4"/>
      <c r="S3755" s="4"/>
      <c r="T3755" s="4"/>
      <c r="U3755" s="4"/>
      <c r="V3755" s="4"/>
    </row>
    <row r="3756" spans="1:22" ht="14.5" customHeight="1" x14ac:dyDescent="0.2">
      <c r="A3756">
        <v>2021</v>
      </c>
      <c r="B3756" t="s">
        <v>212</v>
      </c>
      <c r="C3756" t="s">
        <v>2047</v>
      </c>
      <c r="D3756" s="65">
        <v>540</v>
      </c>
      <c r="E3756" s="33">
        <v>1</v>
      </c>
      <c r="G3756" t="s">
        <v>152</v>
      </c>
      <c r="H3756" t="s">
        <v>257</v>
      </c>
      <c r="I3756" t="s">
        <v>56</v>
      </c>
      <c r="J3756" t="s">
        <v>195</v>
      </c>
      <c r="K3756" s="17">
        <v>0</v>
      </c>
      <c r="L3756" s="28" t="s">
        <v>178</v>
      </c>
      <c r="N3756" s="21"/>
      <c r="O3756" s="2"/>
      <c r="P3756" s="2"/>
      <c r="Q3756" s="4"/>
      <c r="R3756" s="4"/>
      <c r="S3756" s="4"/>
      <c r="T3756" s="4"/>
      <c r="U3756" s="4"/>
      <c r="V3756" s="4"/>
    </row>
    <row r="3757" spans="1:22" ht="14.5" customHeight="1" x14ac:dyDescent="0.2">
      <c r="A3757">
        <v>2021</v>
      </c>
      <c r="B3757" t="s">
        <v>212</v>
      </c>
      <c r="C3757" t="s">
        <v>1843</v>
      </c>
      <c r="D3757" s="65">
        <v>130</v>
      </c>
      <c r="E3757" s="33"/>
      <c r="G3757" t="s">
        <v>149</v>
      </c>
      <c r="I3757" t="s">
        <v>139</v>
      </c>
      <c r="J3757" t="s">
        <v>219</v>
      </c>
      <c r="K3757">
        <v>1</v>
      </c>
      <c r="L3757" s="28" t="s">
        <v>178</v>
      </c>
      <c r="N3757" s="21"/>
      <c r="O3757" s="2"/>
      <c r="P3757" s="2"/>
      <c r="Q3757" s="4"/>
      <c r="R3757" s="4"/>
      <c r="S3757" s="4"/>
      <c r="T3757" s="4"/>
      <c r="U3757" s="4"/>
      <c r="V3757" s="4"/>
    </row>
    <row r="3758" spans="1:22" ht="14.5" customHeight="1" x14ac:dyDescent="0.2">
      <c r="A3758">
        <v>2021</v>
      </c>
      <c r="B3758" t="s">
        <v>212</v>
      </c>
      <c r="C3758" t="s">
        <v>875</v>
      </c>
      <c r="D3758" s="65">
        <v>350</v>
      </c>
      <c r="E3758" s="33">
        <v>1</v>
      </c>
      <c r="G3758" t="s">
        <v>151</v>
      </c>
      <c r="H3758" t="s">
        <v>279</v>
      </c>
      <c r="I3758" t="s">
        <v>134</v>
      </c>
      <c r="J3758" t="s">
        <v>201</v>
      </c>
      <c r="K3758">
        <v>1</v>
      </c>
      <c r="L3758" s="28" t="s">
        <v>178</v>
      </c>
      <c r="N3758" s="21"/>
      <c r="O3758" s="2"/>
      <c r="P3758" s="2"/>
      <c r="Q3758" s="4"/>
      <c r="R3758" s="4"/>
      <c r="S3758" s="4"/>
      <c r="T3758" s="4"/>
      <c r="U3758" s="4"/>
      <c r="V3758" s="4"/>
    </row>
    <row r="3759" spans="1:22" ht="14.5" customHeight="1" x14ac:dyDescent="0.2">
      <c r="A3759">
        <v>2021</v>
      </c>
      <c r="B3759" t="s">
        <v>212</v>
      </c>
      <c r="C3759" t="s">
        <v>185</v>
      </c>
      <c r="D3759" s="65">
        <v>1940</v>
      </c>
      <c r="E3759" s="33">
        <v>0.05</v>
      </c>
      <c r="F3759" t="s">
        <v>830</v>
      </c>
      <c r="G3759" t="s">
        <v>144</v>
      </c>
      <c r="I3759" t="s">
        <v>19</v>
      </c>
      <c r="J3759" t="s">
        <v>205</v>
      </c>
      <c r="K3759">
        <v>0</v>
      </c>
      <c r="L3759" s="28"/>
      <c r="N3759" s="21"/>
      <c r="O3759" s="2"/>
      <c r="P3759" s="2"/>
      <c r="Q3759" s="4"/>
      <c r="R3759" s="4"/>
      <c r="S3759" s="4"/>
      <c r="T3759" s="4"/>
      <c r="U3759" s="4"/>
      <c r="V3759" s="4"/>
    </row>
    <row r="3760" spans="1:22" ht="14.5" customHeight="1" x14ac:dyDescent="0.2">
      <c r="A3760">
        <v>2021</v>
      </c>
      <c r="B3760" t="s">
        <v>212</v>
      </c>
      <c r="C3760" t="s">
        <v>739</v>
      </c>
      <c r="D3760" s="65">
        <v>260</v>
      </c>
      <c r="E3760" s="33"/>
      <c r="G3760" t="s">
        <v>151</v>
      </c>
      <c r="H3760" t="s">
        <v>279</v>
      </c>
      <c r="I3760" t="s">
        <v>134</v>
      </c>
      <c r="J3760" t="s">
        <v>201</v>
      </c>
      <c r="K3760">
        <v>1</v>
      </c>
      <c r="L3760" s="28" t="s">
        <v>178</v>
      </c>
      <c r="N3760" s="21"/>
      <c r="O3760" s="2"/>
      <c r="P3760" s="2"/>
      <c r="Q3760" s="4"/>
      <c r="R3760" s="4"/>
      <c r="S3760" s="4"/>
      <c r="T3760" s="4"/>
      <c r="U3760" s="4"/>
      <c r="V3760" s="4"/>
    </row>
    <row r="3761" spans="1:22" ht="14.5" customHeight="1" x14ac:dyDescent="0.2">
      <c r="A3761">
        <v>2021</v>
      </c>
      <c r="B3761" t="s">
        <v>212</v>
      </c>
      <c r="C3761" t="s">
        <v>203</v>
      </c>
      <c r="D3761" s="65">
        <v>200</v>
      </c>
      <c r="E3761" s="33"/>
      <c r="G3761" t="s">
        <v>144</v>
      </c>
      <c r="H3761" t="s">
        <v>187</v>
      </c>
      <c r="I3761" t="s">
        <v>37</v>
      </c>
      <c r="J3761" t="s">
        <v>205</v>
      </c>
      <c r="K3761">
        <v>1</v>
      </c>
      <c r="L3761" s="28"/>
      <c r="N3761" s="21"/>
      <c r="O3761" s="2"/>
      <c r="P3761" s="2"/>
      <c r="Q3761" s="4"/>
      <c r="R3761" s="4"/>
      <c r="S3761" s="4"/>
      <c r="T3761" s="4"/>
      <c r="U3761" s="4"/>
      <c r="V3761" s="4"/>
    </row>
    <row r="3762" spans="1:22" ht="14.5" customHeight="1" x14ac:dyDescent="0.2">
      <c r="A3762">
        <v>2021</v>
      </c>
      <c r="B3762" t="s">
        <v>212</v>
      </c>
      <c r="C3762" t="s">
        <v>577</v>
      </c>
      <c r="D3762" s="65">
        <v>180</v>
      </c>
      <c r="E3762" s="33"/>
      <c r="G3762" t="s">
        <v>150</v>
      </c>
      <c r="H3762" t="s">
        <v>556</v>
      </c>
      <c r="I3762" t="s">
        <v>131</v>
      </c>
      <c r="J3762" t="s">
        <v>131</v>
      </c>
      <c r="K3762">
        <v>0</v>
      </c>
      <c r="L3762" s="28"/>
      <c r="N3762" s="21"/>
      <c r="O3762" s="2"/>
      <c r="P3762" s="2"/>
      <c r="Q3762" s="4"/>
      <c r="R3762" s="4"/>
      <c r="S3762" s="4"/>
      <c r="T3762" s="4"/>
      <c r="U3762" s="4"/>
      <c r="V3762" s="4"/>
    </row>
    <row r="3763" spans="1:22" ht="14.5" customHeight="1" x14ac:dyDescent="0.2">
      <c r="A3763">
        <v>2021</v>
      </c>
      <c r="B3763" t="s">
        <v>212</v>
      </c>
      <c r="C3763" t="s">
        <v>2048</v>
      </c>
      <c r="D3763" s="65">
        <v>410</v>
      </c>
      <c r="E3763" s="33">
        <v>0.8</v>
      </c>
      <c r="F3763" t="s">
        <v>2049</v>
      </c>
      <c r="G3763" t="s">
        <v>152</v>
      </c>
      <c r="I3763" t="s">
        <v>20</v>
      </c>
      <c r="J3763" t="s">
        <v>195</v>
      </c>
      <c r="K3763">
        <v>0</v>
      </c>
      <c r="L3763" s="28"/>
      <c r="N3763" s="21"/>
      <c r="O3763" s="2"/>
      <c r="P3763" s="2"/>
      <c r="Q3763" s="4"/>
      <c r="R3763" s="4"/>
      <c r="S3763" s="4"/>
      <c r="T3763" s="4"/>
      <c r="U3763" s="4"/>
      <c r="V3763" s="4"/>
    </row>
    <row r="3764" spans="1:22" ht="14.5" customHeight="1" x14ac:dyDescent="0.2">
      <c r="A3764" s="54">
        <v>2021</v>
      </c>
      <c r="B3764" s="17" t="s">
        <v>172</v>
      </c>
      <c r="C3764" t="s">
        <v>479</v>
      </c>
      <c r="D3764" s="22">
        <v>140</v>
      </c>
      <c r="E3764" s="16"/>
      <c r="G3764" t="s">
        <v>154</v>
      </c>
      <c r="H3764" t="s">
        <v>529</v>
      </c>
      <c r="I3764" t="s">
        <v>108</v>
      </c>
      <c r="J3764" t="s">
        <v>183</v>
      </c>
      <c r="K3764">
        <v>1</v>
      </c>
      <c r="N3764" s="21"/>
      <c r="O3764" s="2"/>
      <c r="P3764" s="2"/>
      <c r="Q3764" s="4"/>
      <c r="R3764" s="4"/>
      <c r="S3764" s="4"/>
      <c r="T3764" s="4"/>
      <c r="U3764" s="4"/>
      <c r="V3764" s="4"/>
    </row>
    <row r="3765" spans="1:22" s="17" customFormat="1" ht="14.5" customHeight="1" x14ac:dyDescent="0.2">
      <c r="A3765" s="54">
        <v>2021</v>
      </c>
      <c r="B3765" s="17" t="s">
        <v>172</v>
      </c>
      <c r="C3765" t="s">
        <v>1035</v>
      </c>
      <c r="D3765" s="22">
        <v>140</v>
      </c>
      <c r="E3765" s="16"/>
      <c r="F3765" t="s">
        <v>3004</v>
      </c>
      <c r="G3765" t="s">
        <v>144</v>
      </c>
      <c r="H3765" t="s">
        <v>197</v>
      </c>
      <c r="I3765" t="s">
        <v>43</v>
      </c>
      <c r="J3765" t="s">
        <v>219</v>
      </c>
      <c r="K3765">
        <v>1</v>
      </c>
      <c r="N3765" s="21"/>
      <c r="O3765" s="2"/>
      <c r="P3765" s="2"/>
      <c r="Q3765" s="4"/>
      <c r="R3765" s="4"/>
      <c r="S3765" s="4"/>
      <c r="T3765" s="4"/>
      <c r="U3765" s="4"/>
      <c r="V3765" s="4"/>
    </row>
    <row r="3766" spans="1:22" ht="14.5" customHeight="1" x14ac:dyDescent="0.2">
      <c r="A3766" s="54">
        <v>2021</v>
      </c>
      <c r="B3766" s="17" t="s">
        <v>172</v>
      </c>
      <c r="C3766" t="s">
        <v>1035</v>
      </c>
      <c r="D3766" s="22">
        <v>300</v>
      </c>
      <c r="E3766" s="16"/>
      <c r="G3766" t="s">
        <v>151</v>
      </c>
      <c r="H3766" t="s">
        <v>279</v>
      </c>
      <c r="I3766" t="s">
        <v>48</v>
      </c>
      <c r="J3766" t="s">
        <v>219</v>
      </c>
      <c r="K3766">
        <v>1</v>
      </c>
      <c r="N3766" s="21"/>
      <c r="O3766" s="2"/>
      <c r="P3766" s="2"/>
      <c r="Q3766" s="4"/>
      <c r="R3766" s="4"/>
      <c r="S3766" s="4"/>
      <c r="T3766" s="4"/>
      <c r="U3766" s="4"/>
      <c r="V3766" s="4"/>
    </row>
    <row r="3767" spans="1:22" ht="14.5" customHeight="1" x14ac:dyDescent="0.2">
      <c r="A3767" s="73">
        <v>2021</v>
      </c>
      <c r="B3767" s="17" t="s">
        <v>172</v>
      </c>
      <c r="C3767" s="17" t="s">
        <v>745</v>
      </c>
      <c r="D3767" s="24">
        <v>450</v>
      </c>
      <c r="E3767" s="18"/>
      <c r="F3767" s="17"/>
      <c r="G3767" s="17" t="s">
        <v>143</v>
      </c>
      <c r="H3767" s="17"/>
      <c r="I3767" s="17" t="s">
        <v>101</v>
      </c>
      <c r="J3767" s="17" t="s">
        <v>201</v>
      </c>
      <c r="K3767" s="17">
        <v>1</v>
      </c>
      <c r="N3767" s="21"/>
      <c r="O3767" s="2"/>
      <c r="P3767" s="2"/>
      <c r="Q3767" s="4"/>
      <c r="R3767" s="4"/>
      <c r="S3767" s="4"/>
      <c r="T3767" s="4"/>
      <c r="U3767" s="4"/>
      <c r="V3767" s="4"/>
    </row>
    <row r="3768" spans="1:22" ht="14.5" customHeight="1" x14ac:dyDescent="0.2">
      <c r="A3768" s="54">
        <v>2021</v>
      </c>
      <c r="B3768" s="17" t="s">
        <v>172</v>
      </c>
      <c r="C3768" t="s">
        <v>875</v>
      </c>
      <c r="D3768" s="22">
        <v>430</v>
      </c>
      <c r="E3768" s="16"/>
      <c r="G3768" t="s">
        <v>144</v>
      </c>
      <c r="H3768" t="s">
        <v>232</v>
      </c>
      <c r="I3768" t="s">
        <v>136</v>
      </c>
      <c r="J3768" t="s">
        <v>183</v>
      </c>
      <c r="K3768">
        <v>1</v>
      </c>
      <c r="N3768" s="21"/>
      <c r="O3768" s="2"/>
      <c r="P3768" s="2"/>
      <c r="Q3768" s="4"/>
      <c r="R3768" s="4"/>
      <c r="S3768" s="4"/>
      <c r="T3768" s="4"/>
      <c r="U3768" s="4"/>
      <c r="V3768" s="4"/>
    </row>
    <row r="3769" spans="1:22" ht="14.5" customHeight="1" x14ac:dyDescent="0.2">
      <c r="A3769" s="54">
        <v>2021</v>
      </c>
      <c r="B3769" s="17" t="s">
        <v>172</v>
      </c>
      <c r="C3769" t="s">
        <v>397</v>
      </c>
      <c r="D3769" s="22">
        <v>150</v>
      </c>
      <c r="E3769" s="16"/>
      <c r="G3769" t="s">
        <v>151</v>
      </c>
      <c r="H3769" t="s">
        <v>279</v>
      </c>
      <c r="I3769" t="s">
        <v>105</v>
      </c>
      <c r="J3769" t="s">
        <v>214</v>
      </c>
      <c r="K3769">
        <v>1</v>
      </c>
      <c r="N3769" s="21"/>
      <c r="O3769" s="2"/>
      <c r="P3769" s="2"/>
      <c r="Q3769" s="4"/>
      <c r="R3769" s="4"/>
      <c r="S3769" s="4"/>
      <c r="T3769" s="4"/>
      <c r="U3769" s="4"/>
      <c r="V3769" s="4"/>
    </row>
    <row r="3770" spans="1:22" ht="14.25" customHeight="1" x14ac:dyDescent="0.2">
      <c r="A3770" s="54">
        <v>2021</v>
      </c>
      <c r="B3770" s="17" t="s">
        <v>172</v>
      </c>
      <c r="C3770" t="s">
        <v>444</v>
      </c>
      <c r="D3770" s="22">
        <v>890</v>
      </c>
      <c r="E3770" s="16"/>
      <c r="G3770" t="s">
        <v>144</v>
      </c>
      <c r="H3770" t="s">
        <v>232</v>
      </c>
      <c r="I3770" t="s">
        <v>130</v>
      </c>
      <c r="J3770" t="s">
        <v>214</v>
      </c>
      <c r="K3770">
        <v>1</v>
      </c>
      <c r="N3770" s="21"/>
      <c r="O3770" s="2"/>
      <c r="P3770" s="2"/>
      <c r="Q3770" s="4"/>
      <c r="R3770" s="4"/>
      <c r="S3770" s="4"/>
      <c r="T3770" s="4"/>
      <c r="U3770" s="4"/>
      <c r="V3770" s="4"/>
    </row>
    <row r="3771" spans="1:22" ht="14.25" customHeight="1" x14ac:dyDescent="0.2">
      <c r="A3771" s="54">
        <v>2021</v>
      </c>
      <c r="B3771" s="17" t="s">
        <v>258</v>
      </c>
      <c r="C3771" t="s">
        <v>449</v>
      </c>
      <c r="D3771" s="22">
        <v>1320</v>
      </c>
      <c r="E3771" s="16"/>
      <c r="G3771" t="s">
        <v>154</v>
      </c>
      <c r="H3771" t="s">
        <v>529</v>
      </c>
      <c r="I3771" t="s">
        <v>123</v>
      </c>
      <c r="J3771" t="s">
        <v>219</v>
      </c>
      <c r="K3771">
        <v>1</v>
      </c>
      <c r="N3771" s="21"/>
      <c r="O3771" s="2"/>
      <c r="P3771" s="2"/>
      <c r="Q3771" s="4"/>
      <c r="R3771" s="4"/>
      <c r="S3771" s="4"/>
      <c r="T3771" s="4"/>
      <c r="U3771" s="4"/>
      <c r="V3771" s="4"/>
    </row>
    <row r="3772" spans="1:22" ht="14.5" customHeight="1" x14ac:dyDescent="0.2">
      <c r="A3772" s="54">
        <v>2021</v>
      </c>
      <c r="B3772" s="17" t="s">
        <v>258</v>
      </c>
      <c r="C3772" t="s">
        <v>189</v>
      </c>
      <c r="D3772" s="22">
        <v>360</v>
      </c>
      <c r="E3772" s="16"/>
      <c r="G3772" t="s">
        <v>144</v>
      </c>
      <c r="H3772" t="s">
        <v>187</v>
      </c>
      <c r="I3772" t="s">
        <v>65</v>
      </c>
      <c r="J3772" t="s">
        <v>214</v>
      </c>
      <c r="K3772">
        <v>1</v>
      </c>
      <c r="N3772" s="21"/>
      <c r="O3772" s="2"/>
      <c r="P3772" s="2"/>
      <c r="Q3772" s="4"/>
      <c r="R3772" s="4"/>
      <c r="S3772" s="4"/>
      <c r="T3772" s="4"/>
      <c r="U3772" s="4"/>
      <c r="V3772" s="4"/>
    </row>
    <row r="3773" spans="1:22" ht="14.5" customHeight="1" x14ac:dyDescent="0.2">
      <c r="A3773" s="54">
        <v>2021</v>
      </c>
      <c r="B3773" s="17" t="s">
        <v>258</v>
      </c>
      <c r="C3773" t="s">
        <v>397</v>
      </c>
      <c r="D3773" s="22">
        <v>240</v>
      </c>
      <c r="E3773" s="16"/>
      <c r="G3773" t="s">
        <v>142</v>
      </c>
      <c r="I3773" t="s">
        <v>115</v>
      </c>
      <c r="J3773" t="s">
        <v>201</v>
      </c>
      <c r="K3773">
        <v>1</v>
      </c>
      <c r="N3773" s="21"/>
      <c r="O3773" s="2"/>
      <c r="P3773" s="2"/>
      <c r="Q3773" s="4"/>
      <c r="R3773" s="4"/>
      <c r="S3773" s="4"/>
      <c r="T3773" s="4"/>
      <c r="U3773" s="4"/>
      <c r="V3773" s="4"/>
    </row>
    <row r="3774" spans="1:22" ht="14.5" customHeight="1" x14ac:dyDescent="0.2">
      <c r="A3774" s="54">
        <v>2021</v>
      </c>
      <c r="B3774" s="17" t="s">
        <v>258</v>
      </c>
      <c r="C3774" t="s">
        <v>479</v>
      </c>
      <c r="D3774" s="22">
        <v>360</v>
      </c>
      <c r="E3774" s="16"/>
      <c r="G3774" t="s">
        <v>154</v>
      </c>
      <c r="H3774" t="s">
        <v>529</v>
      </c>
      <c r="I3774" t="s">
        <v>108</v>
      </c>
      <c r="J3774" t="s">
        <v>183</v>
      </c>
      <c r="K3774">
        <v>1</v>
      </c>
      <c r="N3774" s="21"/>
      <c r="O3774" s="2"/>
      <c r="P3774" s="2"/>
      <c r="Q3774" s="4"/>
      <c r="R3774" s="4"/>
      <c r="S3774" s="4"/>
      <c r="T3774" s="4"/>
      <c r="U3774" s="4"/>
      <c r="V3774" s="4"/>
    </row>
    <row r="3775" spans="1:22" ht="14.5" customHeight="1" x14ac:dyDescent="0.2">
      <c r="A3775" s="54">
        <v>2021</v>
      </c>
      <c r="B3775" s="17" t="s">
        <v>258</v>
      </c>
      <c r="C3775" t="s">
        <v>1356</v>
      </c>
      <c r="D3775" s="22">
        <v>100</v>
      </c>
      <c r="E3775" s="16"/>
      <c r="G3775" t="s">
        <v>146</v>
      </c>
      <c r="I3775" t="s">
        <v>40</v>
      </c>
      <c r="J3775" t="s">
        <v>219</v>
      </c>
      <c r="K3775">
        <v>1</v>
      </c>
      <c r="N3775" s="21"/>
      <c r="O3775" s="2"/>
      <c r="P3775" s="2"/>
      <c r="Q3775" s="4"/>
      <c r="R3775" s="4"/>
      <c r="S3775" s="4"/>
      <c r="T3775" s="4"/>
      <c r="U3775" s="4"/>
      <c r="V3775" s="4"/>
    </row>
    <row r="3776" spans="1:22" ht="14.5" customHeight="1" x14ac:dyDescent="0.2">
      <c r="A3776" s="54">
        <v>2021</v>
      </c>
      <c r="B3776" s="17" t="s">
        <v>179</v>
      </c>
      <c r="C3776" t="s">
        <v>2329</v>
      </c>
      <c r="D3776" s="22">
        <v>120</v>
      </c>
      <c r="E3776" s="16"/>
      <c r="F3776" t="s">
        <v>2002</v>
      </c>
      <c r="G3776" t="s">
        <v>144</v>
      </c>
      <c r="H3776" t="s">
        <v>187</v>
      </c>
      <c r="I3776" t="s">
        <v>105</v>
      </c>
      <c r="J3776" t="s">
        <v>214</v>
      </c>
      <c r="K3776">
        <v>1</v>
      </c>
      <c r="N3776" s="21"/>
      <c r="O3776" s="2"/>
      <c r="P3776" s="2"/>
      <c r="Q3776" s="4"/>
      <c r="R3776" s="4"/>
      <c r="S3776" s="4"/>
      <c r="T3776" s="4"/>
      <c r="U3776" s="4"/>
      <c r="V3776" s="4"/>
    </row>
    <row r="3777" spans="1:22" ht="14.5" customHeight="1" x14ac:dyDescent="0.2">
      <c r="A3777" s="54">
        <v>2021</v>
      </c>
      <c r="B3777" s="17" t="s">
        <v>179</v>
      </c>
      <c r="C3777" t="s">
        <v>397</v>
      </c>
      <c r="D3777" s="22">
        <v>130</v>
      </c>
      <c r="E3777" s="16"/>
      <c r="F3777" t="s">
        <v>2988</v>
      </c>
      <c r="G3777" t="s">
        <v>154</v>
      </c>
      <c r="H3777" t="s">
        <v>529</v>
      </c>
      <c r="I3777" t="s">
        <v>108</v>
      </c>
      <c r="J3777" t="s">
        <v>183</v>
      </c>
      <c r="K3777">
        <v>1</v>
      </c>
      <c r="N3777" s="21"/>
      <c r="O3777" s="2"/>
      <c r="P3777" s="2"/>
      <c r="Q3777" s="4"/>
      <c r="R3777" s="4"/>
      <c r="S3777" s="4"/>
      <c r="T3777" s="4"/>
      <c r="U3777" s="4"/>
      <c r="V3777" s="4"/>
    </row>
    <row r="3778" spans="1:22" ht="14.5" customHeight="1" x14ac:dyDescent="0.2">
      <c r="A3778" s="54">
        <v>2021</v>
      </c>
      <c r="B3778" s="17" t="s">
        <v>179</v>
      </c>
      <c r="C3778" t="s">
        <v>189</v>
      </c>
      <c r="D3778" s="22">
        <v>900</v>
      </c>
      <c r="E3778" s="16"/>
      <c r="G3778" t="s">
        <v>144</v>
      </c>
      <c r="H3778" t="s">
        <v>299</v>
      </c>
      <c r="I3778" t="s">
        <v>101</v>
      </c>
      <c r="J3778" t="s">
        <v>201</v>
      </c>
      <c r="K3778">
        <v>1</v>
      </c>
      <c r="N3778" s="21"/>
      <c r="O3778" s="2"/>
      <c r="P3778" s="2"/>
      <c r="Q3778" s="4"/>
      <c r="R3778" s="4"/>
      <c r="S3778" s="4"/>
      <c r="T3778" s="4"/>
      <c r="U3778" s="4"/>
      <c r="V3778" s="4"/>
    </row>
    <row r="3779" spans="1:22" ht="14.5" customHeight="1" x14ac:dyDescent="0.2">
      <c r="A3779" s="54">
        <v>2021</v>
      </c>
      <c r="B3779" s="17" t="s">
        <v>179</v>
      </c>
      <c r="C3779" t="s">
        <v>875</v>
      </c>
      <c r="D3779" s="22">
        <v>470</v>
      </c>
      <c r="E3779" s="16">
        <v>0.9</v>
      </c>
      <c r="F3779" t="s">
        <v>3005</v>
      </c>
      <c r="G3779" t="s">
        <v>144</v>
      </c>
      <c r="H3779" t="s">
        <v>197</v>
      </c>
      <c r="I3779" t="s">
        <v>93</v>
      </c>
      <c r="J3779" t="s">
        <v>201</v>
      </c>
      <c r="K3779">
        <v>1</v>
      </c>
      <c r="N3779" s="21"/>
      <c r="O3779" s="2"/>
      <c r="P3779" s="2"/>
      <c r="Q3779" s="4"/>
      <c r="R3779" s="4"/>
      <c r="S3779" s="4"/>
      <c r="T3779" s="4"/>
      <c r="U3779" s="4"/>
      <c r="V3779" s="4"/>
    </row>
    <row r="3780" spans="1:22" ht="14.5" customHeight="1" x14ac:dyDescent="0.2">
      <c r="A3780" s="54">
        <v>2021</v>
      </c>
      <c r="B3780" s="17" t="s">
        <v>184</v>
      </c>
      <c r="C3780" t="s">
        <v>479</v>
      </c>
      <c r="D3780" s="22">
        <v>170</v>
      </c>
      <c r="E3780" s="16"/>
      <c r="G3780" t="s">
        <v>154</v>
      </c>
      <c r="H3780" t="s">
        <v>194</v>
      </c>
      <c r="I3780" t="s">
        <v>64</v>
      </c>
      <c r="J3780" t="s">
        <v>219</v>
      </c>
      <c r="K3780">
        <v>1</v>
      </c>
      <c r="N3780" s="21"/>
      <c r="O3780" s="2"/>
      <c r="P3780" s="2"/>
      <c r="Q3780" s="4"/>
      <c r="R3780" s="4"/>
      <c r="S3780" s="4"/>
      <c r="T3780" s="4"/>
      <c r="U3780" s="4"/>
      <c r="V3780" s="4"/>
    </row>
    <row r="3781" spans="1:22" ht="14.5" customHeight="1" x14ac:dyDescent="0.2">
      <c r="A3781" s="54">
        <v>2021</v>
      </c>
      <c r="B3781" s="17" t="s">
        <v>184</v>
      </c>
      <c r="C3781" t="s">
        <v>185</v>
      </c>
      <c r="D3781" s="22">
        <v>100</v>
      </c>
      <c r="E3781" s="16"/>
      <c r="F3781" t="s">
        <v>2002</v>
      </c>
      <c r="G3781" t="s">
        <v>144</v>
      </c>
      <c r="I3781" t="s">
        <v>105</v>
      </c>
      <c r="J3781" t="s">
        <v>214</v>
      </c>
      <c r="K3781">
        <v>1</v>
      </c>
      <c r="N3781" s="21"/>
      <c r="O3781" s="2"/>
      <c r="P3781" s="2"/>
      <c r="Q3781" s="4"/>
      <c r="R3781" s="4"/>
      <c r="S3781" s="4"/>
      <c r="T3781" s="4"/>
      <c r="U3781" s="4"/>
      <c r="V3781" s="4"/>
    </row>
    <row r="3782" spans="1:22" ht="14.5" customHeight="1" x14ac:dyDescent="0.2">
      <c r="A3782" s="54">
        <v>2021</v>
      </c>
      <c r="B3782" s="17" t="s">
        <v>184</v>
      </c>
      <c r="C3782" t="s">
        <v>875</v>
      </c>
      <c r="D3782" s="22">
        <v>190</v>
      </c>
      <c r="E3782" s="16"/>
      <c r="G3782" t="s">
        <v>144</v>
      </c>
      <c r="H3782" t="s">
        <v>232</v>
      </c>
      <c r="I3782" t="s">
        <v>105</v>
      </c>
      <c r="J3782" t="s">
        <v>214</v>
      </c>
      <c r="K3782">
        <v>1</v>
      </c>
      <c r="N3782" s="21"/>
      <c r="O3782" s="2"/>
      <c r="P3782" s="2"/>
      <c r="Q3782" s="4"/>
      <c r="R3782" s="4"/>
      <c r="S3782" s="4"/>
      <c r="T3782" s="4"/>
      <c r="U3782" s="4"/>
      <c r="V3782" s="4"/>
    </row>
    <row r="3783" spans="1:22" ht="14.5" customHeight="1" x14ac:dyDescent="0.2">
      <c r="A3783" s="54">
        <v>2021</v>
      </c>
      <c r="B3783" s="17" t="s">
        <v>184</v>
      </c>
      <c r="C3783" t="s">
        <v>1035</v>
      </c>
      <c r="D3783" s="22">
        <v>120</v>
      </c>
      <c r="E3783" s="16"/>
      <c r="G3783" t="s">
        <v>154</v>
      </c>
      <c r="H3783" t="s">
        <v>194</v>
      </c>
      <c r="I3783" t="s">
        <v>106</v>
      </c>
      <c r="J3783" t="s">
        <v>195</v>
      </c>
      <c r="K3783">
        <v>1</v>
      </c>
      <c r="N3783" s="21"/>
      <c r="O3783" s="2"/>
      <c r="P3783" s="2"/>
      <c r="Q3783" s="4"/>
      <c r="R3783" s="4"/>
      <c r="S3783" s="4"/>
      <c r="T3783" s="4"/>
      <c r="U3783" s="4"/>
      <c r="V3783" s="4"/>
    </row>
    <row r="3784" spans="1:22" ht="14.5" customHeight="1" x14ac:dyDescent="0.2">
      <c r="A3784" s="54">
        <v>2021</v>
      </c>
      <c r="B3784" s="17" t="s">
        <v>184</v>
      </c>
      <c r="C3784" t="s">
        <v>397</v>
      </c>
      <c r="D3784" s="22">
        <v>380</v>
      </c>
      <c r="E3784" s="16"/>
      <c r="G3784" t="s">
        <v>154</v>
      </c>
      <c r="H3784" t="s">
        <v>529</v>
      </c>
      <c r="I3784" t="s">
        <v>124</v>
      </c>
      <c r="J3784" t="s">
        <v>183</v>
      </c>
      <c r="K3784">
        <v>1</v>
      </c>
      <c r="N3784" s="21"/>
      <c r="O3784" s="2"/>
      <c r="P3784" s="2"/>
      <c r="Q3784" s="4"/>
      <c r="R3784" s="4"/>
      <c r="S3784" s="4"/>
      <c r="T3784" s="4"/>
      <c r="U3784" s="4"/>
      <c r="V3784" s="4"/>
    </row>
    <row r="3785" spans="1:22" ht="14.5" customHeight="1" x14ac:dyDescent="0.2">
      <c r="A3785" s="54">
        <v>2021</v>
      </c>
      <c r="B3785" s="17" t="s">
        <v>184</v>
      </c>
      <c r="C3785" t="s">
        <v>479</v>
      </c>
      <c r="D3785" s="22">
        <v>300</v>
      </c>
      <c r="E3785" s="16"/>
      <c r="F3785" t="s">
        <v>3006</v>
      </c>
      <c r="G3785" t="s">
        <v>144</v>
      </c>
      <c r="H3785" t="s">
        <v>197</v>
      </c>
      <c r="I3785" t="s">
        <v>9</v>
      </c>
      <c r="J3785" t="s">
        <v>9</v>
      </c>
      <c r="K3785">
        <v>0</v>
      </c>
      <c r="N3785" s="21"/>
      <c r="O3785" s="2"/>
      <c r="P3785" s="2"/>
      <c r="Q3785" s="4"/>
      <c r="R3785" s="4"/>
      <c r="S3785" s="4"/>
      <c r="T3785" s="4"/>
      <c r="U3785" s="4"/>
      <c r="V3785" s="4"/>
    </row>
    <row r="3786" spans="1:22" ht="14.5" customHeight="1" x14ac:dyDescent="0.2">
      <c r="A3786" s="54">
        <v>2021</v>
      </c>
      <c r="B3786" s="17" t="s">
        <v>184</v>
      </c>
      <c r="C3786" t="s">
        <v>449</v>
      </c>
      <c r="D3786" s="22">
        <v>190</v>
      </c>
      <c r="E3786" s="16"/>
      <c r="G3786" t="s">
        <v>154</v>
      </c>
      <c r="H3786" t="s">
        <v>529</v>
      </c>
      <c r="I3786" t="s">
        <v>108</v>
      </c>
      <c r="J3786" t="s">
        <v>183</v>
      </c>
      <c r="K3786">
        <v>1</v>
      </c>
      <c r="N3786" s="21"/>
      <c r="O3786" s="2"/>
      <c r="P3786" s="2"/>
      <c r="Q3786" s="4"/>
      <c r="R3786" s="4"/>
      <c r="S3786" s="4"/>
      <c r="T3786" s="4"/>
      <c r="U3786" s="4"/>
      <c r="V3786" s="4"/>
    </row>
    <row r="3787" spans="1:22" ht="14.5" customHeight="1" x14ac:dyDescent="0.2">
      <c r="A3787" s="54">
        <v>2021</v>
      </c>
      <c r="B3787" s="17" t="s">
        <v>184</v>
      </c>
      <c r="C3787" t="s">
        <v>175</v>
      </c>
      <c r="D3787" s="22">
        <v>320</v>
      </c>
      <c r="E3787" s="16"/>
      <c r="G3787" t="s">
        <v>151</v>
      </c>
      <c r="H3787" t="s">
        <v>279</v>
      </c>
      <c r="I3787" t="s">
        <v>108</v>
      </c>
      <c r="J3787" t="s">
        <v>183</v>
      </c>
      <c r="K3787">
        <v>1</v>
      </c>
      <c r="N3787" s="21"/>
      <c r="O3787" s="2"/>
      <c r="P3787" s="2"/>
      <c r="Q3787" s="4"/>
      <c r="R3787" s="4"/>
      <c r="S3787" s="4"/>
      <c r="T3787" s="4"/>
      <c r="U3787" s="4"/>
      <c r="V3787" s="4"/>
    </row>
    <row r="3788" spans="1:22" ht="14.5" customHeight="1" x14ac:dyDescent="0.2">
      <c r="A3788" s="54">
        <v>2021</v>
      </c>
      <c r="B3788" s="17" t="s">
        <v>184</v>
      </c>
      <c r="C3788" t="s">
        <v>1035</v>
      </c>
      <c r="D3788" s="22">
        <v>210</v>
      </c>
      <c r="E3788" s="16"/>
      <c r="G3788" t="s">
        <v>144</v>
      </c>
      <c r="H3788" t="s">
        <v>232</v>
      </c>
      <c r="I3788" t="s">
        <v>8</v>
      </c>
      <c r="J3788" t="s">
        <v>205</v>
      </c>
      <c r="K3788">
        <v>1</v>
      </c>
      <c r="N3788" s="21"/>
      <c r="O3788" s="2"/>
      <c r="P3788" s="2"/>
      <c r="Q3788" s="4"/>
      <c r="R3788" s="4"/>
      <c r="S3788" s="4"/>
      <c r="T3788" s="4"/>
      <c r="U3788" s="4"/>
      <c r="V3788" s="4"/>
    </row>
    <row r="3789" spans="1:22" ht="14.5" customHeight="1" x14ac:dyDescent="0.2">
      <c r="A3789" s="54">
        <v>2021</v>
      </c>
      <c r="B3789" s="17" t="s">
        <v>184</v>
      </c>
      <c r="C3789" t="s">
        <v>397</v>
      </c>
      <c r="D3789" s="22">
        <v>140</v>
      </c>
      <c r="E3789" s="16"/>
      <c r="F3789" t="s">
        <v>3007</v>
      </c>
      <c r="G3789" t="s">
        <v>151</v>
      </c>
      <c r="H3789" t="s">
        <v>279</v>
      </c>
      <c r="I3789" t="s">
        <v>9</v>
      </c>
      <c r="J3789" t="s">
        <v>9</v>
      </c>
      <c r="K3789">
        <v>0</v>
      </c>
      <c r="N3789" s="21"/>
      <c r="O3789" s="2"/>
      <c r="P3789" s="2"/>
      <c r="Q3789" s="4"/>
      <c r="R3789" s="4"/>
      <c r="S3789" s="4"/>
      <c r="T3789" s="4"/>
      <c r="U3789" s="4"/>
      <c r="V3789" s="4"/>
    </row>
    <row r="3790" spans="1:22" ht="14.5" customHeight="1" x14ac:dyDescent="0.2">
      <c r="A3790" s="54">
        <v>2021</v>
      </c>
      <c r="B3790" s="17" t="s">
        <v>184</v>
      </c>
      <c r="C3790" t="s">
        <v>341</v>
      </c>
      <c r="D3790" s="22">
        <v>310</v>
      </c>
      <c r="E3790" s="16"/>
      <c r="G3790" t="s">
        <v>154</v>
      </c>
      <c r="H3790" t="s">
        <v>194</v>
      </c>
      <c r="I3790" t="s">
        <v>44</v>
      </c>
      <c r="J3790" t="s">
        <v>201</v>
      </c>
      <c r="K3790">
        <v>1</v>
      </c>
      <c r="N3790" s="21"/>
      <c r="O3790" s="2"/>
      <c r="P3790" s="2"/>
      <c r="Q3790" s="4"/>
      <c r="R3790" s="4"/>
      <c r="S3790" s="4"/>
      <c r="T3790" s="4"/>
      <c r="U3790" s="4"/>
      <c r="V3790" s="4"/>
    </row>
    <row r="3791" spans="1:22" ht="14.5" customHeight="1" x14ac:dyDescent="0.2">
      <c r="A3791" s="54">
        <v>2021</v>
      </c>
      <c r="B3791" s="17" t="s">
        <v>184</v>
      </c>
      <c r="C3791" t="s">
        <v>2157</v>
      </c>
      <c r="D3791" s="22">
        <v>110</v>
      </c>
      <c r="E3791" s="16"/>
      <c r="G3791" t="s">
        <v>154</v>
      </c>
      <c r="H3791" t="s">
        <v>194</v>
      </c>
      <c r="I3791" t="s">
        <v>122</v>
      </c>
      <c r="J3791" t="s">
        <v>201</v>
      </c>
      <c r="K3791">
        <v>1</v>
      </c>
      <c r="N3791" s="21"/>
      <c r="O3791" s="2"/>
      <c r="P3791" s="2"/>
      <c r="Q3791" s="4"/>
      <c r="R3791" s="4"/>
      <c r="S3791" s="4"/>
      <c r="T3791" s="4"/>
      <c r="U3791" s="4"/>
      <c r="V3791" s="4"/>
    </row>
    <row r="3792" spans="1:22" ht="14.5" customHeight="1" x14ac:dyDescent="0.2">
      <c r="A3792" s="54">
        <v>2021</v>
      </c>
      <c r="B3792" s="17" t="s">
        <v>225</v>
      </c>
      <c r="C3792" t="s">
        <v>449</v>
      </c>
      <c r="D3792" s="22">
        <v>160</v>
      </c>
      <c r="E3792" s="16"/>
      <c r="G3792" t="s">
        <v>150</v>
      </c>
      <c r="H3792" t="s">
        <v>217</v>
      </c>
      <c r="I3792" t="s">
        <v>40</v>
      </c>
      <c r="J3792" t="s">
        <v>219</v>
      </c>
      <c r="K3792">
        <v>1</v>
      </c>
      <c r="N3792" s="21"/>
      <c r="O3792" s="2"/>
      <c r="P3792" s="2"/>
      <c r="Q3792" s="4"/>
      <c r="R3792" s="4"/>
      <c r="S3792" s="4"/>
      <c r="T3792" s="4"/>
      <c r="U3792" s="4"/>
      <c r="V3792" s="4"/>
    </row>
    <row r="3793" spans="1:22" ht="14.5" customHeight="1" x14ac:dyDescent="0.2">
      <c r="A3793" s="54">
        <v>2021</v>
      </c>
      <c r="B3793" s="17" t="s">
        <v>225</v>
      </c>
      <c r="C3793" t="s">
        <v>1035</v>
      </c>
      <c r="D3793" s="22">
        <v>350</v>
      </c>
      <c r="E3793" s="16"/>
      <c r="G3793" t="s">
        <v>144</v>
      </c>
      <c r="H3793" t="s">
        <v>197</v>
      </c>
      <c r="I3793" t="s">
        <v>93</v>
      </c>
      <c r="J3793" t="s">
        <v>201</v>
      </c>
      <c r="K3793">
        <v>1</v>
      </c>
      <c r="N3793" s="21"/>
      <c r="O3793" s="2"/>
      <c r="P3793" s="2"/>
      <c r="Q3793" s="4"/>
      <c r="R3793" s="4"/>
      <c r="S3793" s="4"/>
      <c r="T3793" s="4"/>
      <c r="U3793" s="4"/>
      <c r="V3793" s="4"/>
    </row>
    <row r="3794" spans="1:22" ht="14.5" customHeight="1" x14ac:dyDescent="0.2">
      <c r="A3794" s="54">
        <v>2021</v>
      </c>
      <c r="B3794" s="17" t="s">
        <v>225</v>
      </c>
      <c r="C3794" t="s">
        <v>703</v>
      </c>
      <c r="D3794" s="22">
        <v>160</v>
      </c>
      <c r="E3794" s="16"/>
      <c r="G3794" t="s">
        <v>144</v>
      </c>
      <c r="H3794" t="s">
        <v>299</v>
      </c>
      <c r="I3794" t="s">
        <v>93</v>
      </c>
      <c r="J3794" t="s">
        <v>201</v>
      </c>
      <c r="K3794">
        <v>1</v>
      </c>
      <c r="N3794" s="21"/>
      <c r="O3794" s="2"/>
      <c r="P3794" s="2"/>
      <c r="Q3794" s="4"/>
      <c r="R3794" s="4"/>
      <c r="S3794" s="4"/>
      <c r="T3794" s="4"/>
      <c r="U3794" s="4"/>
      <c r="V3794" s="4"/>
    </row>
    <row r="3795" spans="1:22" ht="14.5" customHeight="1" x14ac:dyDescent="0.2">
      <c r="A3795" s="54">
        <v>2021</v>
      </c>
      <c r="B3795" s="17" t="s">
        <v>225</v>
      </c>
      <c r="C3795" t="s">
        <v>1289</v>
      </c>
      <c r="D3795" s="22">
        <v>140</v>
      </c>
      <c r="E3795" s="16"/>
      <c r="G3795" t="s">
        <v>151</v>
      </c>
      <c r="H3795" t="s">
        <v>279</v>
      </c>
      <c r="I3795" t="s">
        <v>108</v>
      </c>
      <c r="J3795" t="s">
        <v>183</v>
      </c>
      <c r="K3795">
        <v>1</v>
      </c>
      <c r="N3795" s="21"/>
      <c r="O3795" s="2"/>
      <c r="P3795" s="2"/>
      <c r="Q3795" s="4"/>
      <c r="R3795" s="4"/>
      <c r="S3795" s="4"/>
      <c r="T3795" s="4"/>
      <c r="U3795" s="4"/>
      <c r="V3795" s="4"/>
    </row>
    <row r="3796" spans="1:22" ht="14.5" customHeight="1" x14ac:dyDescent="0.2">
      <c r="A3796" s="54">
        <v>2021</v>
      </c>
      <c r="B3796" s="17" t="s">
        <v>225</v>
      </c>
      <c r="C3796" t="s">
        <v>479</v>
      </c>
      <c r="D3796" s="22">
        <v>170</v>
      </c>
      <c r="E3796" s="16"/>
      <c r="G3796" t="s">
        <v>145</v>
      </c>
      <c r="I3796" t="s">
        <v>9</v>
      </c>
      <c r="J3796" t="s">
        <v>9</v>
      </c>
      <c r="K3796">
        <v>0</v>
      </c>
      <c r="N3796" s="21"/>
      <c r="O3796" s="2"/>
      <c r="P3796" s="2"/>
      <c r="Q3796" s="4"/>
      <c r="R3796" s="4"/>
      <c r="S3796" s="4"/>
      <c r="T3796" s="4"/>
      <c r="U3796" s="4"/>
      <c r="V3796" s="4"/>
    </row>
    <row r="3797" spans="1:22" ht="14.5" customHeight="1" x14ac:dyDescent="0.2">
      <c r="A3797" s="54">
        <v>2021</v>
      </c>
      <c r="B3797" s="17" t="s">
        <v>225</v>
      </c>
      <c r="C3797" t="s">
        <v>444</v>
      </c>
      <c r="D3797" s="22">
        <v>180</v>
      </c>
      <c r="E3797" s="16"/>
      <c r="G3797" t="s">
        <v>144</v>
      </c>
      <c r="I3797" t="s">
        <v>3008</v>
      </c>
      <c r="J3797" t="s">
        <v>205</v>
      </c>
      <c r="K3797">
        <v>1</v>
      </c>
      <c r="N3797" s="21"/>
      <c r="O3797" s="2"/>
      <c r="P3797" s="2"/>
      <c r="Q3797" s="4"/>
      <c r="R3797" s="4"/>
      <c r="S3797" s="4"/>
      <c r="T3797" s="4"/>
      <c r="U3797" s="4"/>
      <c r="V3797" s="4"/>
    </row>
    <row r="3798" spans="1:22" ht="14.5" customHeight="1" x14ac:dyDescent="0.2">
      <c r="A3798" s="54">
        <v>2021</v>
      </c>
      <c r="B3798" s="17" t="s">
        <v>225</v>
      </c>
      <c r="C3798" t="s">
        <v>175</v>
      </c>
      <c r="D3798" s="22">
        <v>790</v>
      </c>
      <c r="E3798" s="16"/>
      <c r="G3798" t="s">
        <v>154</v>
      </c>
      <c r="H3798" t="s">
        <v>529</v>
      </c>
      <c r="I3798" t="s">
        <v>108</v>
      </c>
      <c r="J3798" t="s">
        <v>183</v>
      </c>
      <c r="K3798">
        <v>1</v>
      </c>
      <c r="N3798" s="21"/>
      <c r="O3798" s="2"/>
      <c r="P3798" s="2"/>
      <c r="Q3798" s="4"/>
      <c r="R3798" s="4"/>
      <c r="S3798" s="4"/>
      <c r="T3798" s="4"/>
      <c r="U3798" s="4"/>
      <c r="V3798" s="4"/>
    </row>
    <row r="3799" spans="1:22" ht="14.5" customHeight="1" x14ac:dyDescent="0.2">
      <c r="A3799" s="54">
        <v>2021</v>
      </c>
      <c r="B3799" s="17" t="s">
        <v>225</v>
      </c>
      <c r="C3799" t="s">
        <v>189</v>
      </c>
      <c r="D3799" s="22">
        <v>200</v>
      </c>
      <c r="E3799" s="16"/>
      <c r="F3799" t="s">
        <v>993</v>
      </c>
      <c r="G3799" t="s">
        <v>144</v>
      </c>
      <c r="I3799" t="s">
        <v>105</v>
      </c>
      <c r="J3799" t="s">
        <v>214</v>
      </c>
      <c r="K3799">
        <v>1</v>
      </c>
      <c r="N3799" s="21"/>
      <c r="O3799" s="2"/>
      <c r="P3799" s="2"/>
      <c r="Q3799" s="4"/>
      <c r="R3799" s="4"/>
      <c r="S3799" s="4"/>
      <c r="T3799" s="4"/>
      <c r="U3799" s="4"/>
      <c r="V3799" s="4"/>
    </row>
    <row r="3800" spans="1:22" ht="14.5" customHeight="1" x14ac:dyDescent="0.2">
      <c r="A3800" s="54">
        <v>2021</v>
      </c>
      <c r="B3800" s="17" t="s">
        <v>225</v>
      </c>
      <c r="C3800" t="s">
        <v>479</v>
      </c>
      <c r="D3800" s="22">
        <v>750</v>
      </c>
      <c r="E3800" s="16"/>
      <c r="G3800" t="s">
        <v>154</v>
      </c>
      <c r="H3800" t="s">
        <v>271</v>
      </c>
      <c r="I3800" t="s">
        <v>96</v>
      </c>
      <c r="J3800" t="s">
        <v>205</v>
      </c>
      <c r="K3800">
        <v>1</v>
      </c>
      <c r="N3800" s="21"/>
      <c r="O3800" s="2"/>
      <c r="P3800" s="2"/>
      <c r="Q3800" s="4"/>
      <c r="R3800" s="4"/>
      <c r="S3800" s="4"/>
      <c r="T3800" s="4"/>
      <c r="U3800" s="4"/>
      <c r="V3800" s="4"/>
    </row>
    <row r="3801" spans="1:22" ht="14.5" customHeight="1" x14ac:dyDescent="0.2">
      <c r="A3801" s="54">
        <v>2021</v>
      </c>
      <c r="B3801" s="17" t="s">
        <v>225</v>
      </c>
      <c r="C3801" t="s">
        <v>3009</v>
      </c>
      <c r="D3801" s="22">
        <v>420</v>
      </c>
      <c r="E3801" s="16"/>
      <c r="G3801" t="s">
        <v>154</v>
      </c>
      <c r="H3801" t="s">
        <v>194</v>
      </c>
      <c r="I3801" t="s">
        <v>84</v>
      </c>
      <c r="J3801" t="s">
        <v>201</v>
      </c>
      <c r="K3801">
        <v>1</v>
      </c>
      <c r="N3801" s="21"/>
      <c r="O3801" s="2"/>
      <c r="P3801" s="2"/>
      <c r="Q3801" s="4"/>
      <c r="R3801" s="4"/>
      <c r="S3801" s="4"/>
      <c r="T3801" s="4"/>
      <c r="U3801" s="4"/>
      <c r="V3801" s="4"/>
    </row>
    <row r="3802" spans="1:22" ht="14.5" customHeight="1" x14ac:dyDescent="0.2">
      <c r="A3802" s="54">
        <v>2021</v>
      </c>
      <c r="B3802" s="17" t="s">
        <v>225</v>
      </c>
      <c r="C3802" t="s">
        <v>199</v>
      </c>
      <c r="D3802" s="22">
        <v>130</v>
      </c>
      <c r="E3802" s="16"/>
      <c r="F3802" t="s">
        <v>3010</v>
      </c>
      <c r="G3802" t="s">
        <v>144</v>
      </c>
      <c r="H3802" t="s">
        <v>187</v>
      </c>
      <c r="I3802" t="s">
        <v>53</v>
      </c>
      <c r="J3802" t="s">
        <v>183</v>
      </c>
      <c r="K3802">
        <v>1</v>
      </c>
      <c r="N3802" s="21"/>
      <c r="O3802" s="2"/>
      <c r="P3802" s="2"/>
      <c r="Q3802" s="4"/>
      <c r="R3802" s="4"/>
      <c r="S3802" s="4"/>
      <c r="T3802" s="4"/>
      <c r="U3802" s="4"/>
      <c r="V3802" s="4"/>
    </row>
    <row r="3803" spans="1:22" ht="14.5" customHeight="1" x14ac:dyDescent="0.2">
      <c r="A3803" s="54">
        <v>2021</v>
      </c>
      <c r="B3803" s="17" t="s">
        <v>225</v>
      </c>
      <c r="C3803" t="s">
        <v>199</v>
      </c>
      <c r="D3803" s="22">
        <v>160</v>
      </c>
      <c r="E3803" s="16"/>
      <c r="F3803" t="s">
        <v>2689</v>
      </c>
      <c r="G3803" t="s">
        <v>144</v>
      </c>
      <c r="H3803" t="s">
        <v>187</v>
      </c>
      <c r="I3803" t="s">
        <v>130</v>
      </c>
      <c r="J3803" t="s">
        <v>214</v>
      </c>
      <c r="K3803">
        <v>1</v>
      </c>
      <c r="N3803" s="21"/>
      <c r="O3803" s="2"/>
      <c r="P3803" s="2"/>
      <c r="Q3803" s="4"/>
      <c r="R3803" s="4"/>
      <c r="S3803" s="4"/>
      <c r="T3803" s="4"/>
      <c r="U3803" s="4"/>
      <c r="V3803" s="4"/>
    </row>
    <row r="3804" spans="1:22" ht="14.5" customHeight="1" x14ac:dyDescent="0.2">
      <c r="A3804" s="54">
        <v>2021</v>
      </c>
      <c r="B3804" s="17" t="s">
        <v>225</v>
      </c>
      <c r="C3804" t="s">
        <v>199</v>
      </c>
      <c r="D3804" s="22">
        <v>300</v>
      </c>
      <c r="E3804" s="16">
        <v>0.4</v>
      </c>
      <c r="G3804" t="s">
        <v>144</v>
      </c>
      <c r="H3804" t="s">
        <v>187</v>
      </c>
      <c r="I3804" t="s">
        <v>130</v>
      </c>
      <c r="J3804" t="s">
        <v>214</v>
      </c>
      <c r="K3804">
        <v>1</v>
      </c>
      <c r="N3804" s="21"/>
      <c r="O3804" s="2"/>
      <c r="P3804" s="2"/>
      <c r="Q3804" s="4"/>
      <c r="R3804" s="4"/>
      <c r="S3804" s="4"/>
      <c r="T3804" s="4"/>
      <c r="U3804" s="4"/>
      <c r="V3804" s="4"/>
    </row>
    <row r="3805" spans="1:22" ht="14.5" customHeight="1" x14ac:dyDescent="0.2">
      <c r="A3805" s="54">
        <v>2021</v>
      </c>
      <c r="B3805" s="17" t="s">
        <v>188</v>
      </c>
      <c r="C3805" t="s">
        <v>449</v>
      </c>
      <c r="D3805" s="22">
        <v>110</v>
      </c>
      <c r="E3805" s="16"/>
      <c r="G3805" t="s">
        <v>148</v>
      </c>
      <c r="I3805" t="s">
        <v>40</v>
      </c>
      <c r="J3805" t="s">
        <v>219</v>
      </c>
      <c r="K3805">
        <v>1</v>
      </c>
      <c r="N3805" s="21"/>
      <c r="O3805" s="2"/>
      <c r="P3805" s="2"/>
      <c r="Q3805" s="4"/>
      <c r="R3805" s="4"/>
      <c r="S3805" s="4"/>
      <c r="T3805" s="4"/>
      <c r="U3805" s="4"/>
      <c r="V3805" s="4"/>
    </row>
    <row r="3806" spans="1:22" ht="14.5" customHeight="1" x14ac:dyDescent="0.2">
      <c r="A3806" s="54">
        <v>2021</v>
      </c>
      <c r="B3806" s="17" t="s">
        <v>188</v>
      </c>
      <c r="C3806" t="s">
        <v>397</v>
      </c>
      <c r="D3806" s="22">
        <v>1920</v>
      </c>
      <c r="E3806" s="16"/>
      <c r="G3806" t="s">
        <v>151</v>
      </c>
      <c r="H3806" t="s">
        <v>279</v>
      </c>
      <c r="I3806" t="s">
        <v>38</v>
      </c>
      <c r="J3806" t="s">
        <v>214</v>
      </c>
      <c r="K3806">
        <v>1</v>
      </c>
      <c r="N3806" s="21"/>
      <c r="O3806" s="2"/>
      <c r="P3806" s="2"/>
      <c r="Q3806" s="4"/>
      <c r="R3806" s="4"/>
      <c r="S3806" s="4"/>
      <c r="T3806" s="4"/>
      <c r="U3806" s="4"/>
      <c r="V3806" s="4"/>
    </row>
    <row r="3807" spans="1:22" ht="14.5" customHeight="1" x14ac:dyDescent="0.2">
      <c r="A3807" s="54">
        <v>2021</v>
      </c>
      <c r="B3807" s="17" t="s">
        <v>188</v>
      </c>
      <c r="C3807" t="s">
        <v>703</v>
      </c>
      <c r="D3807" s="22">
        <v>240</v>
      </c>
      <c r="E3807" s="16"/>
      <c r="G3807" t="s">
        <v>144</v>
      </c>
      <c r="H3807" t="s">
        <v>197</v>
      </c>
      <c r="I3807" t="s">
        <v>93</v>
      </c>
      <c r="J3807" t="s">
        <v>201</v>
      </c>
      <c r="K3807">
        <v>1</v>
      </c>
      <c r="N3807" s="21"/>
      <c r="O3807" s="2"/>
      <c r="P3807" s="2"/>
      <c r="Q3807" s="4"/>
      <c r="R3807" s="4"/>
      <c r="S3807" s="4"/>
      <c r="T3807" s="4"/>
      <c r="U3807" s="4"/>
      <c r="V3807" s="4"/>
    </row>
    <row r="3808" spans="1:22" ht="14.5" customHeight="1" x14ac:dyDescent="0.2">
      <c r="A3808" s="54">
        <v>2021</v>
      </c>
      <c r="B3808" s="17" t="s">
        <v>188</v>
      </c>
      <c r="C3808" t="s">
        <v>1035</v>
      </c>
      <c r="D3808" s="22">
        <v>260</v>
      </c>
      <c r="E3808" s="16"/>
      <c r="G3808" t="s">
        <v>149</v>
      </c>
      <c r="I3808" t="s">
        <v>50</v>
      </c>
      <c r="J3808" t="s">
        <v>205</v>
      </c>
      <c r="K3808">
        <v>1</v>
      </c>
      <c r="N3808" s="21"/>
      <c r="O3808" s="2"/>
      <c r="P3808" s="2"/>
      <c r="Q3808" s="4"/>
      <c r="R3808" s="4"/>
      <c r="S3808" s="4"/>
      <c r="T3808" s="4"/>
      <c r="U3808" s="4"/>
      <c r="V3808" s="4"/>
    </row>
    <row r="3809" spans="1:22" ht="14.5" customHeight="1" x14ac:dyDescent="0.2">
      <c r="A3809" s="54">
        <v>2021</v>
      </c>
      <c r="B3809" s="17" t="s">
        <v>188</v>
      </c>
      <c r="C3809" t="s">
        <v>557</v>
      </c>
      <c r="D3809" s="22">
        <v>440</v>
      </c>
      <c r="E3809" s="16"/>
      <c r="G3809" t="s">
        <v>151</v>
      </c>
      <c r="H3809" t="s">
        <v>279</v>
      </c>
      <c r="I3809" t="s">
        <v>38</v>
      </c>
      <c r="J3809" t="s">
        <v>214</v>
      </c>
      <c r="K3809">
        <v>1</v>
      </c>
      <c r="N3809" s="21"/>
      <c r="O3809" s="2"/>
      <c r="P3809" s="2"/>
      <c r="Q3809" s="4"/>
      <c r="R3809" s="4"/>
      <c r="S3809" s="4"/>
      <c r="T3809" s="4"/>
      <c r="U3809" s="4"/>
      <c r="V3809" s="4"/>
    </row>
    <row r="3810" spans="1:22" ht="14.5" customHeight="1" x14ac:dyDescent="0.2">
      <c r="A3810" s="54">
        <v>2021</v>
      </c>
      <c r="B3810" s="17" t="s">
        <v>188</v>
      </c>
      <c r="C3810" t="s">
        <v>3011</v>
      </c>
      <c r="D3810" s="22">
        <v>930</v>
      </c>
      <c r="E3810" s="16"/>
      <c r="G3810" t="s">
        <v>149</v>
      </c>
      <c r="H3810" t="s">
        <v>238</v>
      </c>
      <c r="I3810" t="s">
        <v>53</v>
      </c>
      <c r="J3810" t="s">
        <v>183</v>
      </c>
      <c r="K3810">
        <v>1</v>
      </c>
      <c r="L3810" s="41"/>
      <c r="N3810" s="21"/>
      <c r="O3810" s="2"/>
      <c r="P3810" s="2"/>
      <c r="Q3810" s="4"/>
      <c r="R3810" s="4"/>
      <c r="S3810" s="4"/>
      <c r="T3810" s="4"/>
      <c r="U3810" s="4"/>
      <c r="V3810" s="4"/>
    </row>
    <row r="3811" spans="1:22" ht="14.5" customHeight="1" x14ac:dyDescent="0.2">
      <c r="A3811" s="54">
        <v>2021</v>
      </c>
      <c r="B3811" s="17" t="s">
        <v>188</v>
      </c>
      <c r="C3811" t="s">
        <v>2680</v>
      </c>
      <c r="D3811" s="22">
        <v>140</v>
      </c>
      <c r="E3811" s="16"/>
      <c r="G3811" t="s">
        <v>155</v>
      </c>
      <c r="I3811" t="s">
        <v>93</v>
      </c>
      <c r="J3811" t="s">
        <v>201</v>
      </c>
      <c r="K3811">
        <v>1</v>
      </c>
      <c r="L3811" s="41"/>
      <c r="N3811" s="21"/>
      <c r="O3811" s="2"/>
      <c r="P3811" s="2"/>
      <c r="Q3811" s="4"/>
      <c r="R3811" s="4"/>
      <c r="S3811" s="4"/>
      <c r="T3811" s="4"/>
      <c r="U3811" s="4"/>
      <c r="V3811" s="4"/>
    </row>
    <row r="3812" spans="1:22" ht="14.5" customHeight="1" x14ac:dyDescent="0.2">
      <c r="A3812" s="54">
        <v>2021</v>
      </c>
      <c r="B3812" s="17" t="s">
        <v>188</v>
      </c>
      <c r="C3812" t="s">
        <v>1035</v>
      </c>
      <c r="D3812" s="22">
        <v>460</v>
      </c>
      <c r="E3812" s="16"/>
      <c r="F3812" t="s">
        <v>1247</v>
      </c>
      <c r="G3812" t="s">
        <v>144</v>
      </c>
      <c r="H3812" t="s">
        <v>232</v>
      </c>
      <c r="I3812" t="s">
        <v>112</v>
      </c>
      <c r="J3812" t="s">
        <v>219</v>
      </c>
      <c r="K3812">
        <v>1</v>
      </c>
      <c r="N3812" s="21"/>
      <c r="O3812" s="2"/>
      <c r="P3812" s="2"/>
      <c r="Q3812" s="4"/>
      <c r="R3812" s="4"/>
      <c r="S3812" s="4"/>
      <c r="T3812" s="4"/>
      <c r="U3812" s="4"/>
      <c r="V3812" s="4"/>
    </row>
    <row r="3813" spans="1:22" ht="14.5" customHeight="1" x14ac:dyDescent="0.2">
      <c r="A3813" s="54">
        <v>2021</v>
      </c>
      <c r="B3813" s="17" t="s">
        <v>188</v>
      </c>
      <c r="C3813" t="s">
        <v>479</v>
      </c>
      <c r="D3813" s="22">
        <v>180</v>
      </c>
      <c r="E3813" s="16"/>
      <c r="G3813" t="s">
        <v>154</v>
      </c>
      <c r="H3813" t="s">
        <v>529</v>
      </c>
      <c r="I3813" t="s">
        <v>108</v>
      </c>
      <c r="J3813" t="s">
        <v>183</v>
      </c>
      <c r="K3813">
        <v>1</v>
      </c>
      <c r="N3813" s="21"/>
      <c r="O3813" s="2"/>
      <c r="P3813" s="2"/>
      <c r="Q3813" s="4"/>
      <c r="R3813" s="4"/>
      <c r="S3813" s="4"/>
      <c r="T3813" s="4"/>
      <c r="U3813" s="4"/>
      <c r="V3813" s="4"/>
    </row>
    <row r="3814" spans="1:22" ht="14.5" customHeight="1" x14ac:dyDescent="0.2">
      <c r="A3814" s="54">
        <v>2021</v>
      </c>
      <c r="B3814" s="17" t="s">
        <v>188</v>
      </c>
      <c r="C3814" t="s">
        <v>3012</v>
      </c>
      <c r="D3814" s="22">
        <v>160</v>
      </c>
      <c r="E3814" s="16"/>
      <c r="G3814" t="s">
        <v>144</v>
      </c>
      <c r="H3814" t="s">
        <v>197</v>
      </c>
      <c r="I3814" t="s">
        <v>66</v>
      </c>
      <c r="J3814" t="s">
        <v>201</v>
      </c>
      <c r="K3814">
        <v>1</v>
      </c>
      <c r="N3814" s="21"/>
      <c r="O3814" s="2"/>
      <c r="P3814" s="2"/>
      <c r="Q3814" s="4"/>
      <c r="R3814" s="4"/>
      <c r="S3814" s="4"/>
      <c r="T3814" s="4"/>
      <c r="U3814" s="4"/>
      <c r="V3814" s="4"/>
    </row>
    <row r="3815" spans="1:22" ht="14.5" customHeight="1" x14ac:dyDescent="0.2">
      <c r="A3815" s="54">
        <v>2021</v>
      </c>
      <c r="B3815" t="s">
        <v>191</v>
      </c>
      <c r="C3815" t="s">
        <v>3013</v>
      </c>
      <c r="D3815" s="22">
        <v>120</v>
      </c>
      <c r="E3815" s="16"/>
      <c r="G3815" t="s">
        <v>149</v>
      </c>
      <c r="I3815" t="s">
        <v>63</v>
      </c>
      <c r="J3815" t="s">
        <v>201</v>
      </c>
      <c r="K3815">
        <v>1</v>
      </c>
      <c r="N3815" s="21"/>
      <c r="O3815" s="2"/>
      <c r="P3815" s="2"/>
      <c r="Q3815" s="4"/>
      <c r="R3815" s="4"/>
      <c r="S3815" s="4"/>
      <c r="T3815" s="4"/>
      <c r="U3815" s="4"/>
      <c r="V3815" s="4"/>
    </row>
    <row r="3816" spans="1:22" ht="14.5" customHeight="1" x14ac:dyDescent="0.2">
      <c r="A3816" s="54">
        <v>2021</v>
      </c>
      <c r="B3816" t="s">
        <v>191</v>
      </c>
      <c r="C3816" t="s">
        <v>875</v>
      </c>
      <c r="D3816" s="22">
        <v>240</v>
      </c>
      <c r="E3816" s="16"/>
      <c r="F3816" t="s">
        <v>3014</v>
      </c>
      <c r="G3816" t="s">
        <v>144</v>
      </c>
      <c r="H3816" t="s">
        <v>232</v>
      </c>
      <c r="I3816" t="s">
        <v>89</v>
      </c>
      <c r="J3816" t="s">
        <v>219</v>
      </c>
      <c r="K3816">
        <v>1</v>
      </c>
      <c r="N3816" s="21"/>
      <c r="O3816" s="2"/>
      <c r="P3816" s="2"/>
      <c r="Q3816" s="4"/>
      <c r="R3816" s="4"/>
      <c r="S3816" s="4"/>
      <c r="T3816" s="4"/>
      <c r="U3816" s="4"/>
      <c r="V3816" s="4"/>
    </row>
    <row r="3817" spans="1:22" ht="14.5" customHeight="1" x14ac:dyDescent="0.2">
      <c r="A3817" s="54">
        <v>2021</v>
      </c>
      <c r="B3817" t="s">
        <v>191</v>
      </c>
      <c r="C3817" t="s">
        <v>199</v>
      </c>
      <c r="D3817" s="22">
        <v>500</v>
      </c>
      <c r="E3817" s="16">
        <v>0.72</v>
      </c>
      <c r="F3817" t="s">
        <v>758</v>
      </c>
      <c r="G3817" t="s">
        <v>144</v>
      </c>
      <c r="H3817" t="s">
        <v>187</v>
      </c>
      <c r="I3817" t="s">
        <v>55</v>
      </c>
      <c r="J3817" t="s">
        <v>214</v>
      </c>
      <c r="K3817">
        <v>1</v>
      </c>
      <c r="N3817" s="21"/>
      <c r="O3817" s="2"/>
      <c r="P3817" s="2"/>
      <c r="Q3817" s="4"/>
      <c r="R3817" s="4"/>
      <c r="S3817" s="4"/>
      <c r="T3817" s="4"/>
      <c r="U3817" s="4"/>
      <c r="V3817" s="4"/>
    </row>
    <row r="3818" spans="1:22" ht="14.5" customHeight="1" x14ac:dyDescent="0.2">
      <c r="A3818" s="54">
        <v>2021</v>
      </c>
      <c r="B3818" t="s">
        <v>191</v>
      </c>
      <c r="C3818" t="s">
        <v>875</v>
      </c>
      <c r="D3818" s="22">
        <v>290</v>
      </c>
      <c r="E3818" s="16"/>
      <c r="G3818" t="s">
        <v>144</v>
      </c>
      <c r="H3818" t="s">
        <v>232</v>
      </c>
      <c r="I3818" t="s">
        <v>8</v>
      </c>
      <c r="J3818" t="s">
        <v>205</v>
      </c>
      <c r="K3818">
        <v>1</v>
      </c>
      <c r="N3818" s="21"/>
      <c r="O3818" s="2"/>
      <c r="P3818" s="2"/>
      <c r="Q3818" s="4"/>
      <c r="R3818" s="4"/>
      <c r="S3818" s="4"/>
      <c r="T3818" s="4"/>
      <c r="U3818" s="4"/>
      <c r="V3818" s="4"/>
    </row>
    <row r="3819" spans="1:22" ht="14.5" customHeight="1" x14ac:dyDescent="0.2">
      <c r="A3819" s="54">
        <v>2021</v>
      </c>
      <c r="B3819" t="s">
        <v>191</v>
      </c>
      <c r="C3819" t="s">
        <v>479</v>
      </c>
      <c r="D3819" s="22">
        <v>160</v>
      </c>
      <c r="E3819" s="16">
        <v>0.5</v>
      </c>
      <c r="F3819" t="s">
        <v>3015</v>
      </c>
      <c r="G3819" t="s">
        <v>155</v>
      </c>
      <c r="I3819" t="s">
        <v>108</v>
      </c>
      <c r="J3819" t="s">
        <v>183</v>
      </c>
      <c r="K3819">
        <v>1</v>
      </c>
      <c r="N3819" s="21"/>
      <c r="O3819" s="2"/>
      <c r="P3819" s="2"/>
      <c r="Q3819" s="4"/>
      <c r="R3819" s="4"/>
      <c r="S3819" s="4"/>
      <c r="T3819" s="4"/>
      <c r="U3819" s="4"/>
      <c r="V3819" s="4"/>
    </row>
    <row r="3820" spans="1:22" ht="14.5" customHeight="1" x14ac:dyDescent="0.2">
      <c r="A3820" s="54">
        <v>2021</v>
      </c>
      <c r="B3820" t="s">
        <v>191</v>
      </c>
      <c r="C3820" t="s">
        <v>1793</v>
      </c>
      <c r="D3820" s="22">
        <v>110</v>
      </c>
      <c r="E3820" s="16"/>
      <c r="G3820" t="s">
        <v>150</v>
      </c>
      <c r="H3820" t="s">
        <v>217</v>
      </c>
      <c r="I3820" t="s">
        <v>2462</v>
      </c>
      <c r="J3820" t="s">
        <v>219</v>
      </c>
      <c r="K3820">
        <v>1</v>
      </c>
      <c r="N3820" s="21"/>
      <c r="O3820" s="2"/>
      <c r="P3820" s="2"/>
      <c r="Q3820" s="4"/>
      <c r="R3820" s="4"/>
      <c r="S3820" s="4"/>
      <c r="T3820" s="4"/>
      <c r="U3820" s="4"/>
      <c r="V3820" s="4"/>
    </row>
    <row r="3821" spans="1:22" ht="14.5" customHeight="1" x14ac:dyDescent="0.2">
      <c r="A3821" s="54">
        <v>2021</v>
      </c>
      <c r="B3821" t="s">
        <v>191</v>
      </c>
      <c r="C3821" t="s">
        <v>208</v>
      </c>
      <c r="D3821" s="22">
        <v>1250</v>
      </c>
      <c r="E3821" s="16"/>
      <c r="F3821" t="s">
        <v>2702</v>
      </c>
      <c r="G3821" t="s">
        <v>149</v>
      </c>
      <c r="H3821" t="s">
        <v>182</v>
      </c>
      <c r="I3821" t="s">
        <v>128</v>
      </c>
      <c r="J3821" t="s">
        <v>201</v>
      </c>
      <c r="K3821">
        <v>1</v>
      </c>
      <c r="N3821" s="21"/>
      <c r="O3821" s="2"/>
      <c r="P3821" s="2"/>
      <c r="Q3821" s="4"/>
      <c r="R3821" s="4"/>
      <c r="S3821" s="4"/>
      <c r="T3821" s="4"/>
      <c r="U3821" s="4"/>
      <c r="V3821" s="4"/>
    </row>
    <row r="3822" spans="1:22" ht="14.5" customHeight="1" x14ac:dyDescent="0.2">
      <c r="A3822" s="54">
        <v>2021</v>
      </c>
      <c r="B3822" t="s">
        <v>191</v>
      </c>
      <c r="C3822" t="s">
        <v>341</v>
      </c>
      <c r="D3822" s="22">
        <v>210</v>
      </c>
      <c r="E3822" s="16"/>
      <c r="G3822" t="s">
        <v>151</v>
      </c>
      <c r="H3822" t="s">
        <v>279</v>
      </c>
      <c r="I3822" t="s">
        <v>65</v>
      </c>
      <c r="J3822" t="s">
        <v>214</v>
      </c>
      <c r="K3822">
        <v>1</v>
      </c>
      <c r="N3822" s="21"/>
      <c r="O3822" s="2"/>
      <c r="P3822" s="2"/>
      <c r="Q3822" s="4"/>
      <c r="R3822" s="4"/>
      <c r="S3822" s="4"/>
      <c r="T3822" s="4"/>
      <c r="U3822" s="4"/>
      <c r="V3822" s="4"/>
    </row>
    <row r="3823" spans="1:22" ht="14.5" customHeight="1" x14ac:dyDescent="0.2">
      <c r="A3823" s="54">
        <v>2021</v>
      </c>
      <c r="B3823" t="s">
        <v>191</v>
      </c>
      <c r="C3823" t="s">
        <v>1035</v>
      </c>
      <c r="D3823" s="22">
        <v>310</v>
      </c>
      <c r="E3823" s="16"/>
      <c r="G3823" t="s">
        <v>144</v>
      </c>
      <c r="H3823" t="s">
        <v>232</v>
      </c>
      <c r="I3823" t="s">
        <v>136</v>
      </c>
      <c r="J3823" t="s">
        <v>183</v>
      </c>
      <c r="K3823">
        <v>1</v>
      </c>
      <c r="N3823" s="21"/>
      <c r="O3823" s="2"/>
      <c r="P3823" s="2"/>
      <c r="Q3823" s="4"/>
      <c r="R3823" s="4"/>
      <c r="S3823" s="4"/>
      <c r="T3823" s="4"/>
      <c r="U3823" s="4"/>
      <c r="V3823" s="4"/>
    </row>
    <row r="3824" spans="1:22" ht="14.5" customHeight="1" x14ac:dyDescent="0.2">
      <c r="A3824" s="54">
        <v>2021</v>
      </c>
      <c r="B3824" t="s">
        <v>198</v>
      </c>
      <c r="C3824" t="s">
        <v>2680</v>
      </c>
      <c r="D3824" s="22">
        <v>230</v>
      </c>
      <c r="E3824" s="16"/>
      <c r="G3824" t="s">
        <v>147</v>
      </c>
      <c r="I3824" t="s">
        <v>46</v>
      </c>
      <c r="J3824" t="s">
        <v>219</v>
      </c>
      <c r="K3824">
        <v>1</v>
      </c>
      <c r="N3824" s="21"/>
      <c r="O3824" s="2"/>
      <c r="P3824" s="2"/>
      <c r="Q3824" s="4"/>
      <c r="R3824" s="4"/>
      <c r="S3824" s="4"/>
      <c r="T3824" s="4"/>
      <c r="U3824" s="4"/>
      <c r="V3824" s="4"/>
    </row>
    <row r="3825" spans="1:22" ht="14.5" customHeight="1" x14ac:dyDescent="0.2">
      <c r="A3825" s="54">
        <v>2021</v>
      </c>
      <c r="B3825" t="s">
        <v>198</v>
      </c>
      <c r="C3825" t="s">
        <v>875</v>
      </c>
      <c r="D3825" s="22">
        <v>130</v>
      </c>
      <c r="E3825" s="16"/>
      <c r="G3825" t="s">
        <v>154</v>
      </c>
      <c r="H3825" t="s">
        <v>271</v>
      </c>
      <c r="I3825" t="s">
        <v>34</v>
      </c>
      <c r="J3825" t="s">
        <v>219</v>
      </c>
      <c r="K3825">
        <v>1</v>
      </c>
      <c r="N3825" s="21"/>
      <c r="O3825" s="2"/>
      <c r="P3825" s="2"/>
      <c r="Q3825" s="4"/>
      <c r="R3825" s="4"/>
      <c r="S3825" s="4"/>
      <c r="T3825" s="4"/>
      <c r="U3825" s="4"/>
      <c r="V3825" s="4"/>
    </row>
    <row r="3826" spans="1:22" ht="14.5" customHeight="1" x14ac:dyDescent="0.2">
      <c r="A3826" s="54">
        <v>2021</v>
      </c>
      <c r="B3826" t="s">
        <v>198</v>
      </c>
      <c r="C3826" t="s">
        <v>1035</v>
      </c>
      <c r="D3826" s="22">
        <v>110</v>
      </c>
      <c r="E3826" s="16"/>
      <c r="F3826" t="s">
        <v>3016</v>
      </c>
      <c r="G3826" t="s">
        <v>144</v>
      </c>
      <c r="H3826" t="s">
        <v>232</v>
      </c>
      <c r="I3826" t="s">
        <v>19</v>
      </c>
      <c r="J3826" t="s">
        <v>205</v>
      </c>
      <c r="K3826">
        <v>0</v>
      </c>
      <c r="N3826" s="21"/>
      <c r="O3826" s="2"/>
      <c r="P3826" s="2"/>
      <c r="Q3826" s="4"/>
      <c r="R3826" s="4"/>
      <c r="S3826" s="4"/>
      <c r="T3826" s="4"/>
      <c r="U3826" s="4"/>
      <c r="V3826" s="4"/>
    </row>
    <row r="3827" spans="1:22" ht="14.5" customHeight="1" x14ac:dyDescent="0.2">
      <c r="A3827" s="54">
        <v>2021</v>
      </c>
      <c r="B3827" t="s">
        <v>198</v>
      </c>
      <c r="C3827" t="s">
        <v>199</v>
      </c>
      <c r="D3827" s="22">
        <v>7070</v>
      </c>
      <c r="E3827" s="16"/>
      <c r="G3827" t="s">
        <v>144</v>
      </c>
      <c r="H3827" t="s">
        <v>299</v>
      </c>
      <c r="I3827" t="s">
        <v>129</v>
      </c>
      <c r="J3827" t="s">
        <v>201</v>
      </c>
      <c r="K3827">
        <v>1</v>
      </c>
      <c r="N3827" s="21"/>
      <c r="O3827" s="2"/>
      <c r="P3827" s="2"/>
      <c r="Q3827" s="4"/>
      <c r="R3827" s="4"/>
      <c r="S3827" s="4"/>
      <c r="T3827" s="4"/>
      <c r="U3827" s="4"/>
      <c r="V3827" s="4"/>
    </row>
    <row r="3828" spans="1:22" ht="14.5" customHeight="1" x14ac:dyDescent="0.2">
      <c r="A3828" s="54">
        <v>2021</v>
      </c>
      <c r="B3828" t="s">
        <v>198</v>
      </c>
      <c r="C3828" t="s">
        <v>444</v>
      </c>
      <c r="D3828" s="22">
        <v>150</v>
      </c>
      <c r="E3828" s="16"/>
      <c r="G3828" t="s">
        <v>155</v>
      </c>
      <c r="I3828" t="s">
        <v>96</v>
      </c>
      <c r="J3828" t="s">
        <v>205</v>
      </c>
      <c r="K3828">
        <v>1</v>
      </c>
      <c r="N3828" s="21"/>
      <c r="O3828" s="2"/>
      <c r="P3828" s="2"/>
      <c r="Q3828" s="4"/>
      <c r="R3828" s="4"/>
      <c r="S3828" s="4"/>
      <c r="T3828" s="4"/>
      <c r="U3828" s="4"/>
      <c r="V3828" s="4"/>
    </row>
    <row r="3829" spans="1:22" ht="14.5" customHeight="1" x14ac:dyDescent="0.2">
      <c r="A3829" s="54">
        <v>2021</v>
      </c>
      <c r="B3829" t="s">
        <v>198</v>
      </c>
      <c r="C3829" t="s">
        <v>557</v>
      </c>
      <c r="D3829" s="22">
        <v>300</v>
      </c>
      <c r="E3829" s="16"/>
      <c r="G3829" t="s">
        <v>151</v>
      </c>
      <c r="H3829" t="s">
        <v>279</v>
      </c>
      <c r="I3829" t="s">
        <v>40</v>
      </c>
      <c r="J3829" t="s">
        <v>219</v>
      </c>
      <c r="K3829">
        <v>1</v>
      </c>
      <c r="N3829" s="21"/>
      <c r="O3829" s="2"/>
      <c r="P3829" s="2"/>
      <c r="Q3829" s="4"/>
      <c r="R3829" s="4"/>
      <c r="S3829" s="4"/>
      <c r="T3829" s="4"/>
      <c r="U3829" s="4"/>
      <c r="V3829" s="4"/>
    </row>
    <row r="3830" spans="1:22" ht="14.5" customHeight="1" x14ac:dyDescent="0.2">
      <c r="A3830" s="54">
        <v>2021</v>
      </c>
      <c r="B3830" t="s">
        <v>198</v>
      </c>
      <c r="C3830" t="s">
        <v>1035</v>
      </c>
      <c r="D3830" s="22">
        <v>100</v>
      </c>
      <c r="E3830" s="16"/>
      <c r="G3830" t="s">
        <v>154</v>
      </c>
      <c r="H3830" t="s">
        <v>194</v>
      </c>
      <c r="I3830" t="s">
        <v>46</v>
      </c>
      <c r="J3830" t="s">
        <v>219</v>
      </c>
      <c r="K3830">
        <v>1</v>
      </c>
      <c r="N3830" s="21"/>
      <c r="O3830" s="2"/>
      <c r="P3830" s="2"/>
      <c r="Q3830" s="4"/>
      <c r="R3830" s="4"/>
      <c r="S3830" s="4"/>
      <c r="T3830" s="4"/>
      <c r="U3830" s="4"/>
      <c r="V3830" s="4"/>
    </row>
    <row r="3831" spans="1:22" ht="14.5" customHeight="1" x14ac:dyDescent="0.2">
      <c r="A3831" s="54">
        <v>2021</v>
      </c>
      <c r="B3831" t="s">
        <v>198</v>
      </c>
      <c r="C3831" t="s">
        <v>444</v>
      </c>
      <c r="D3831" s="22">
        <v>170</v>
      </c>
      <c r="E3831" s="16"/>
      <c r="G3831" t="s">
        <v>144</v>
      </c>
      <c r="I3831" t="s">
        <v>23</v>
      </c>
      <c r="J3831" t="s">
        <v>183</v>
      </c>
      <c r="K3831">
        <v>1</v>
      </c>
      <c r="N3831" s="21"/>
      <c r="O3831" s="2"/>
      <c r="P3831" s="2"/>
      <c r="Q3831" s="4"/>
      <c r="R3831" s="4"/>
      <c r="S3831" s="4"/>
      <c r="T3831" s="4"/>
      <c r="U3831" s="4"/>
      <c r="V3831" s="4"/>
    </row>
    <row r="3832" spans="1:22" ht="14.5" customHeight="1" x14ac:dyDescent="0.2">
      <c r="A3832" s="54">
        <v>2021</v>
      </c>
      <c r="B3832" t="s">
        <v>198</v>
      </c>
      <c r="C3832" t="s">
        <v>397</v>
      </c>
      <c r="D3832" s="22">
        <v>110</v>
      </c>
      <c r="E3832" s="16"/>
      <c r="F3832" t="s">
        <v>3017</v>
      </c>
      <c r="G3832" t="s">
        <v>150</v>
      </c>
      <c r="H3832" t="s">
        <v>744</v>
      </c>
      <c r="I3832" t="s">
        <v>124</v>
      </c>
      <c r="J3832" t="s">
        <v>183</v>
      </c>
      <c r="K3832">
        <v>1</v>
      </c>
      <c r="N3832" s="21"/>
      <c r="O3832" s="2"/>
      <c r="P3832" s="2"/>
      <c r="Q3832" s="4"/>
      <c r="R3832" s="4"/>
      <c r="S3832" s="4"/>
      <c r="T3832" s="4"/>
      <c r="U3832" s="4"/>
      <c r="V3832" s="4"/>
    </row>
    <row r="3833" spans="1:22" ht="14.5" customHeight="1" x14ac:dyDescent="0.2">
      <c r="A3833" s="54">
        <v>2021</v>
      </c>
      <c r="B3833" t="s">
        <v>198</v>
      </c>
      <c r="C3833" t="s">
        <v>1035</v>
      </c>
      <c r="D3833" s="22">
        <v>530</v>
      </c>
      <c r="E3833" s="16"/>
      <c r="F3833" t="s">
        <v>3018</v>
      </c>
      <c r="G3833" t="s">
        <v>154</v>
      </c>
      <c r="H3833" t="s">
        <v>529</v>
      </c>
      <c r="I3833" t="s">
        <v>98</v>
      </c>
      <c r="J3833" t="s">
        <v>195</v>
      </c>
      <c r="K3833">
        <v>1</v>
      </c>
      <c r="N3833" s="21"/>
      <c r="O3833" s="2"/>
      <c r="P3833" s="2"/>
      <c r="Q3833" s="4"/>
      <c r="R3833" s="4"/>
      <c r="S3833" s="4"/>
      <c r="T3833" s="4"/>
      <c r="U3833" s="4"/>
      <c r="V3833" s="4"/>
    </row>
    <row r="3834" spans="1:22" ht="14.5" customHeight="1" x14ac:dyDescent="0.2">
      <c r="A3834" s="54">
        <v>2021</v>
      </c>
      <c r="B3834" t="s">
        <v>202</v>
      </c>
      <c r="C3834" t="s">
        <v>221</v>
      </c>
      <c r="D3834" s="22">
        <v>910</v>
      </c>
      <c r="E3834" s="16"/>
      <c r="G3834" t="s">
        <v>144</v>
      </c>
      <c r="H3834" t="s">
        <v>187</v>
      </c>
      <c r="I3834" t="s">
        <v>55</v>
      </c>
      <c r="J3834" t="s">
        <v>214</v>
      </c>
      <c r="K3834">
        <v>1</v>
      </c>
      <c r="N3834" s="21"/>
      <c r="O3834" s="2"/>
      <c r="P3834" s="2"/>
      <c r="Q3834" s="4"/>
      <c r="R3834" s="4"/>
      <c r="S3834" s="4"/>
      <c r="T3834" s="4"/>
      <c r="U3834" s="4"/>
      <c r="V3834" s="4"/>
    </row>
    <row r="3835" spans="1:22" ht="14.5" customHeight="1" x14ac:dyDescent="0.2">
      <c r="A3835" s="54">
        <v>2021</v>
      </c>
      <c r="B3835" t="s">
        <v>202</v>
      </c>
      <c r="C3835" t="s">
        <v>189</v>
      </c>
      <c r="D3835" s="22">
        <v>130</v>
      </c>
      <c r="E3835" s="16"/>
      <c r="G3835" t="s">
        <v>144</v>
      </c>
      <c r="H3835" t="s">
        <v>187</v>
      </c>
      <c r="I3835" t="s">
        <v>37</v>
      </c>
      <c r="J3835" t="s">
        <v>205</v>
      </c>
      <c r="K3835">
        <v>1</v>
      </c>
      <c r="N3835" s="21"/>
      <c r="O3835" s="2"/>
      <c r="P3835" s="2"/>
      <c r="Q3835" s="4"/>
      <c r="R3835" s="4"/>
      <c r="S3835" s="4"/>
      <c r="T3835" s="4"/>
      <c r="U3835" s="4"/>
      <c r="V3835" s="4"/>
    </row>
    <row r="3836" spans="1:22" ht="14.5" customHeight="1" x14ac:dyDescent="0.2">
      <c r="A3836" s="54">
        <v>2021</v>
      </c>
      <c r="B3836" t="s">
        <v>202</v>
      </c>
      <c r="C3836" t="s">
        <v>1035</v>
      </c>
      <c r="D3836" s="22">
        <v>220</v>
      </c>
      <c r="E3836" s="16"/>
      <c r="F3836" t="s">
        <v>3019</v>
      </c>
      <c r="G3836" t="s">
        <v>144</v>
      </c>
      <c r="H3836" t="s">
        <v>232</v>
      </c>
      <c r="I3836" t="s">
        <v>27</v>
      </c>
      <c r="J3836" t="s">
        <v>205</v>
      </c>
      <c r="K3836">
        <v>1</v>
      </c>
      <c r="N3836" s="21"/>
      <c r="O3836" s="2"/>
      <c r="P3836" s="2"/>
      <c r="Q3836" s="4"/>
      <c r="R3836" s="4"/>
      <c r="S3836" s="4"/>
      <c r="T3836" s="4"/>
      <c r="U3836" s="4"/>
      <c r="V3836" s="4"/>
    </row>
    <row r="3837" spans="1:22" ht="14.5" customHeight="1" x14ac:dyDescent="0.2">
      <c r="A3837" s="54">
        <v>2021</v>
      </c>
      <c r="B3837" t="s">
        <v>202</v>
      </c>
      <c r="C3837" t="s">
        <v>244</v>
      </c>
      <c r="D3837" s="22">
        <v>100</v>
      </c>
      <c r="E3837" s="16"/>
      <c r="F3837" t="s">
        <v>2760</v>
      </c>
      <c r="G3837" t="s">
        <v>149</v>
      </c>
      <c r="H3837" t="s">
        <v>182</v>
      </c>
      <c r="I3837" t="s">
        <v>63</v>
      </c>
      <c r="J3837" t="s">
        <v>201</v>
      </c>
      <c r="K3837">
        <v>1</v>
      </c>
      <c r="N3837" s="21"/>
      <c r="O3837" s="2"/>
      <c r="P3837" s="2"/>
      <c r="Q3837" s="4"/>
      <c r="R3837" s="4"/>
      <c r="S3837" s="4"/>
      <c r="T3837" s="4"/>
      <c r="U3837" s="4"/>
      <c r="V3837" s="4"/>
    </row>
    <row r="3838" spans="1:22" ht="14.5" customHeight="1" x14ac:dyDescent="0.2">
      <c r="A3838" s="54">
        <v>2021</v>
      </c>
      <c r="B3838" t="s">
        <v>202</v>
      </c>
      <c r="C3838" t="s">
        <v>3020</v>
      </c>
      <c r="D3838" s="22">
        <v>230</v>
      </c>
      <c r="E3838" s="16"/>
      <c r="G3838" t="s">
        <v>154</v>
      </c>
      <c r="H3838" t="s">
        <v>194</v>
      </c>
      <c r="I3838" t="s">
        <v>13</v>
      </c>
      <c r="J3838" t="s">
        <v>201</v>
      </c>
      <c r="K3838">
        <v>1</v>
      </c>
      <c r="N3838" s="21"/>
      <c r="O3838" s="2"/>
      <c r="P3838" s="2"/>
      <c r="Q3838" s="4"/>
      <c r="R3838" s="4"/>
      <c r="S3838" s="4"/>
      <c r="T3838" s="4"/>
      <c r="U3838" s="4"/>
      <c r="V3838" s="4"/>
    </row>
    <row r="3839" spans="1:22" ht="14.5" customHeight="1" x14ac:dyDescent="0.2">
      <c r="A3839" s="54">
        <v>2021</v>
      </c>
      <c r="B3839" t="s">
        <v>202</v>
      </c>
      <c r="C3839" t="s">
        <v>1035</v>
      </c>
      <c r="D3839" s="22">
        <v>110</v>
      </c>
      <c r="E3839" s="16"/>
      <c r="G3839" t="s">
        <v>144</v>
      </c>
      <c r="H3839" t="s">
        <v>232</v>
      </c>
      <c r="I3839" t="s">
        <v>53</v>
      </c>
      <c r="J3839" t="s">
        <v>183</v>
      </c>
      <c r="K3839">
        <v>1</v>
      </c>
      <c r="N3839" s="21"/>
      <c r="O3839" s="2"/>
      <c r="P3839" s="2"/>
      <c r="Q3839" s="4"/>
      <c r="R3839" s="4"/>
      <c r="S3839" s="4"/>
      <c r="T3839" s="4"/>
      <c r="U3839" s="4"/>
      <c r="V3839" s="4"/>
    </row>
    <row r="3840" spans="1:22" ht="14.5" customHeight="1" x14ac:dyDescent="0.2">
      <c r="A3840" s="54">
        <v>2021</v>
      </c>
      <c r="B3840" t="s">
        <v>202</v>
      </c>
      <c r="C3840" t="s">
        <v>3021</v>
      </c>
      <c r="D3840" s="22">
        <v>110</v>
      </c>
      <c r="E3840" s="16"/>
      <c r="G3840" t="s">
        <v>144</v>
      </c>
      <c r="H3840" t="s">
        <v>197</v>
      </c>
      <c r="I3840" t="s">
        <v>139</v>
      </c>
      <c r="J3840" t="s">
        <v>219</v>
      </c>
      <c r="K3840">
        <v>1</v>
      </c>
      <c r="N3840" s="21"/>
      <c r="O3840" s="2"/>
      <c r="P3840" s="2"/>
      <c r="Q3840" s="4"/>
      <c r="R3840" s="4"/>
      <c r="S3840" s="4"/>
      <c r="T3840" s="4"/>
      <c r="U3840" s="4"/>
      <c r="V3840" s="4"/>
    </row>
    <row r="3841" spans="1:22" ht="14.5" customHeight="1" x14ac:dyDescent="0.2">
      <c r="A3841" s="54">
        <v>2021</v>
      </c>
      <c r="B3841" t="s">
        <v>202</v>
      </c>
      <c r="C3841" t="s">
        <v>397</v>
      </c>
      <c r="D3841" s="22">
        <v>110</v>
      </c>
      <c r="E3841" s="16"/>
      <c r="G3841" t="s">
        <v>154</v>
      </c>
      <c r="H3841" t="s">
        <v>194</v>
      </c>
      <c r="I3841" t="s">
        <v>108</v>
      </c>
      <c r="J3841" t="s">
        <v>183</v>
      </c>
      <c r="K3841">
        <v>1</v>
      </c>
      <c r="N3841" s="21"/>
      <c r="O3841" s="2"/>
      <c r="P3841" s="2"/>
      <c r="Q3841" s="4"/>
      <c r="R3841" s="4"/>
      <c r="S3841" s="4"/>
      <c r="T3841" s="4"/>
      <c r="U3841" s="4"/>
      <c r="V3841" s="4"/>
    </row>
    <row r="3842" spans="1:22" ht="14.5" customHeight="1" x14ac:dyDescent="0.2">
      <c r="A3842" s="54">
        <v>2021</v>
      </c>
      <c r="B3842" t="s">
        <v>202</v>
      </c>
      <c r="C3842" t="s">
        <v>479</v>
      </c>
      <c r="D3842" s="22">
        <v>140</v>
      </c>
      <c r="E3842" s="16"/>
      <c r="G3842" t="s">
        <v>154</v>
      </c>
      <c r="H3842" t="s">
        <v>250</v>
      </c>
      <c r="I3842" t="s">
        <v>40</v>
      </c>
      <c r="J3842" t="s">
        <v>219</v>
      </c>
      <c r="K3842">
        <v>1</v>
      </c>
      <c r="L3842" s="17"/>
      <c r="N3842" s="21"/>
      <c r="O3842" s="2"/>
      <c r="P3842" s="2"/>
      <c r="Q3842" s="4"/>
      <c r="R3842" s="4"/>
      <c r="S3842" s="4"/>
      <c r="T3842" s="4"/>
      <c r="U3842" s="4"/>
      <c r="V3842" s="4"/>
    </row>
    <row r="3843" spans="1:22" ht="14.5" customHeight="1" x14ac:dyDescent="0.2">
      <c r="A3843" s="54">
        <v>2021</v>
      </c>
      <c r="B3843" t="s">
        <v>207</v>
      </c>
      <c r="C3843" t="s">
        <v>479</v>
      </c>
      <c r="D3843" s="22">
        <v>3810</v>
      </c>
      <c r="E3843" s="16"/>
      <c r="G3843" t="s">
        <v>155</v>
      </c>
      <c r="I3843" t="s">
        <v>106</v>
      </c>
      <c r="J3843" t="s">
        <v>195</v>
      </c>
      <c r="K3843">
        <v>1</v>
      </c>
      <c r="L3843" s="17"/>
      <c r="N3843" s="21"/>
      <c r="O3843" s="2"/>
      <c r="P3843" s="2"/>
      <c r="Q3843" s="4"/>
      <c r="R3843" s="4"/>
      <c r="S3843" s="4"/>
      <c r="T3843" s="4"/>
      <c r="U3843" s="4"/>
      <c r="V3843" s="4"/>
    </row>
    <row r="3844" spans="1:22" ht="14.5" customHeight="1" x14ac:dyDescent="0.2">
      <c r="A3844" s="54">
        <v>2021</v>
      </c>
      <c r="B3844" t="s">
        <v>207</v>
      </c>
      <c r="C3844" t="s">
        <v>2228</v>
      </c>
      <c r="D3844" s="22">
        <v>390</v>
      </c>
      <c r="E3844" s="16"/>
      <c r="G3844" t="s">
        <v>154</v>
      </c>
      <c r="H3844" t="s">
        <v>194</v>
      </c>
      <c r="I3844" t="s">
        <v>106</v>
      </c>
      <c r="J3844" t="s">
        <v>195</v>
      </c>
      <c r="K3844">
        <v>1</v>
      </c>
      <c r="L3844" s="17"/>
      <c r="N3844" s="21"/>
      <c r="O3844" s="2"/>
      <c r="P3844" s="2"/>
      <c r="Q3844" s="4"/>
      <c r="R3844" s="4"/>
      <c r="S3844" s="4"/>
      <c r="T3844" s="4"/>
      <c r="U3844" s="4"/>
      <c r="V3844" s="4"/>
    </row>
    <row r="3845" spans="1:22" ht="14.5" customHeight="1" x14ac:dyDescent="0.2">
      <c r="A3845" s="54">
        <v>2021</v>
      </c>
      <c r="B3845" t="s">
        <v>207</v>
      </c>
      <c r="C3845" t="s">
        <v>3022</v>
      </c>
      <c r="D3845" s="22">
        <v>180</v>
      </c>
      <c r="E3845" s="16"/>
      <c r="G3845" t="s">
        <v>154</v>
      </c>
      <c r="H3845" t="s">
        <v>250</v>
      </c>
      <c r="I3845" t="s">
        <v>13</v>
      </c>
      <c r="J3845" t="s">
        <v>201</v>
      </c>
      <c r="K3845">
        <v>1</v>
      </c>
      <c r="L3845" s="17"/>
      <c r="N3845" s="21"/>
      <c r="O3845" s="2"/>
      <c r="P3845" s="2"/>
      <c r="Q3845" s="4"/>
      <c r="R3845" s="4"/>
      <c r="S3845" s="4"/>
      <c r="T3845" s="4"/>
      <c r="U3845" s="4"/>
      <c r="V3845" s="4"/>
    </row>
    <row r="3846" spans="1:22" ht="14.5" customHeight="1" x14ac:dyDescent="0.2">
      <c r="A3846" s="54">
        <v>2021</v>
      </c>
      <c r="B3846" t="s">
        <v>207</v>
      </c>
      <c r="C3846" t="s">
        <v>875</v>
      </c>
      <c r="D3846" s="22">
        <v>120</v>
      </c>
      <c r="E3846" s="16"/>
      <c r="G3846" t="s">
        <v>144</v>
      </c>
      <c r="I3846" t="s">
        <v>105</v>
      </c>
      <c r="J3846" t="s">
        <v>214</v>
      </c>
      <c r="K3846">
        <v>1</v>
      </c>
      <c r="L3846" s="17"/>
      <c r="N3846" s="21"/>
      <c r="O3846" s="2"/>
      <c r="P3846" s="2"/>
      <c r="Q3846" s="4"/>
      <c r="R3846" s="4"/>
      <c r="S3846" s="4"/>
      <c r="T3846" s="4"/>
      <c r="U3846" s="4"/>
      <c r="V3846" s="4"/>
    </row>
    <row r="3847" spans="1:22" ht="14.5" customHeight="1" x14ac:dyDescent="0.2">
      <c r="A3847" s="54">
        <v>2021</v>
      </c>
      <c r="B3847" t="s">
        <v>207</v>
      </c>
      <c r="C3847" t="s">
        <v>1035</v>
      </c>
      <c r="D3847" s="22">
        <v>110</v>
      </c>
      <c r="E3847" s="16"/>
      <c r="G3847" t="s">
        <v>154</v>
      </c>
      <c r="H3847" t="s">
        <v>194</v>
      </c>
      <c r="I3847" t="s">
        <v>2557</v>
      </c>
      <c r="J3847" t="s">
        <v>219</v>
      </c>
      <c r="K3847">
        <v>1</v>
      </c>
      <c r="N3847" s="21"/>
      <c r="O3847" s="2"/>
      <c r="P3847" s="2"/>
      <c r="Q3847" s="4"/>
      <c r="R3847" s="4"/>
      <c r="S3847" s="4"/>
      <c r="T3847" s="4"/>
      <c r="U3847" s="4"/>
      <c r="V3847" s="4"/>
    </row>
    <row r="3848" spans="1:22" ht="14.5" customHeight="1" x14ac:dyDescent="0.2">
      <c r="A3848" s="54">
        <v>2021</v>
      </c>
      <c r="B3848" t="s">
        <v>207</v>
      </c>
      <c r="C3848" t="s">
        <v>1035</v>
      </c>
      <c r="D3848" s="22">
        <v>220</v>
      </c>
      <c r="E3848" s="16"/>
      <c r="G3848" t="s">
        <v>151</v>
      </c>
      <c r="H3848" t="s">
        <v>279</v>
      </c>
      <c r="I3848" t="s">
        <v>65</v>
      </c>
      <c r="J3848" t="s">
        <v>214</v>
      </c>
      <c r="K3848">
        <v>1</v>
      </c>
      <c r="N3848" s="21"/>
      <c r="O3848" s="2"/>
      <c r="P3848" s="2"/>
      <c r="Q3848" s="4"/>
      <c r="R3848" s="4"/>
      <c r="S3848" s="4"/>
      <c r="T3848" s="4"/>
      <c r="U3848" s="4"/>
      <c r="V3848" s="4"/>
    </row>
    <row r="3849" spans="1:22" ht="14.5" customHeight="1" x14ac:dyDescent="0.2">
      <c r="A3849" s="54">
        <v>2021</v>
      </c>
      <c r="B3849" t="s">
        <v>207</v>
      </c>
      <c r="C3849" t="s">
        <v>1035</v>
      </c>
      <c r="D3849" s="22">
        <v>300</v>
      </c>
      <c r="E3849" s="16"/>
      <c r="G3849" t="s">
        <v>144</v>
      </c>
      <c r="H3849" t="s">
        <v>232</v>
      </c>
      <c r="I3849" t="s">
        <v>17</v>
      </c>
      <c r="J3849" t="s">
        <v>195</v>
      </c>
      <c r="K3849">
        <v>1</v>
      </c>
      <c r="N3849" s="21"/>
      <c r="O3849" s="2"/>
      <c r="P3849" s="2"/>
      <c r="Q3849" s="4"/>
      <c r="R3849" s="4"/>
      <c r="S3849" s="4"/>
      <c r="T3849" s="4"/>
      <c r="U3849" s="4"/>
      <c r="V3849" s="4"/>
    </row>
    <row r="3850" spans="1:22" ht="14.5" customHeight="1" x14ac:dyDescent="0.2">
      <c r="A3850" s="54">
        <v>2021</v>
      </c>
      <c r="B3850" t="s">
        <v>207</v>
      </c>
      <c r="C3850" t="s">
        <v>557</v>
      </c>
      <c r="D3850" s="22">
        <v>120</v>
      </c>
      <c r="E3850" s="16"/>
      <c r="F3850" t="s">
        <v>3023</v>
      </c>
      <c r="G3850" t="s">
        <v>151</v>
      </c>
      <c r="H3850" t="s">
        <v>279</v>
      </c>
      <c r="I3850" t="s">
        <v>3024</v>
      </c>
      <c r="J3850" t="s">
        <v>177</v>
      </c>
      <c r="K3850">
        <v>1</v>
      </c>
      <c r="N3850" s="21"/>
      <c r="O3850" s="2"/>
      <c r="P3850" s="2"/>
      <c r="Q3850" s="4"/>
      <c r="R3850" s="4"/>
      <c r="S3850" s="4"/>
      <c r="T3850" s="4"/>
      <c r="U3850" s="4"/>
      <c r="V3850" s="4"/>
    </row>
    <row r="3851" spans="1:22" ht="14.5" customHeight="1" x14ac:dyDescent="0.2">
      <c r="A3851" s="54">
        <v>2021</v>
      </c>
      <c r="B3851" t="s">
        <v>240</v>
      </c>
      <c r="C3851" t="s">
        <v>1035</v>
      </c>
      <c r="D3851" s="22">
        <v>110</v>
      </c>
      <c r="E3851" s="16">
        <v>0.25</v>
      </c>
      <c r="G3851" t="s">
        <v>154</v>
      </c>
      <c r="H3851" t="s">
        <v>250</v>
      </c>
      <c r="I3851" t="s">
        <v>96</v>
      </c>
      <c r="J3851" t="s">
        <v>205</v>
      </c>
      <c r="K3851">
        <v>1</v>
      </c>
      <c r="N3851" s="21"/>
      <c r="O3851" s="2"/>
      <c r="P3851" s="2"/>
      <c r="Q3851" s="4"/>
      <c r="R3851" s="4"/>
      <c r="S3851" s="4"/>
      <c r="T3851" s="4"/>
      <c r="U3851" s="4"/>
      <c r="V3851" s="4"/>
    </row>
    <row r="3852" spans="1:22" ht="14.5" customHeight="1" x14ac:dyDescent="0.2">
      <c r="A3852" s="54">
        <v>2021</v>
      </c>
      <c r="B3852" t="s">
        <v>240</v>
      </c>
      <c r="C3852" t="s">
        <v>1035</v>
      </c>
      <c r="D3852" s="22">
        <v>200</v>
      </c>
      <c r="E3852" s="16"/>
      <c r="F3852" t="s">
        <v>2151</v>
      </c>
      <c r="G3852" t="s">
        <v>155</v>
      </c>
      <c r="I3852" t="s">
        <v>105</v>
      </c>
      <c r="J3852" t="s">
        <v>214</v>
      </c>
      <c r="K3852">
        <v>1</v>
      </c>
      <c r="N3852" s="21"/>
      <c r="O3852" s="2"/>
      <c r="P3852" s="2"/>
      <c r="Q3852" s="4"/>
      <c r="R3852" s="4"/>
      <c r="S3852" s="4"/>
      <c r="T3852" s="4"/>
      <c r="U3852" s="4"/>
      <c r="V3852" s="4"/>
    </row>
    <row r="3853" spans="1:22" ht="14.5" customHeight="1" x14ac:dyDescent="0.2">
      <c r="A3853" s="54">
        <v>2021</v>
      </c>
      <c r="B3853" t="s">
        <v>240</v>
      </c>
      <c r="C3853" t="s">
        <v>221</v>
      </c>
      <c r="D3853" s="22">
        <v>2850</v>
      </c>
      <c r="E3853" s="16"/>
      <c r="F3853" t="s">
        <v>3025</v>
      </c>
      <c r="G3853" t="s">
        <v>144</v>
      </c>
      <c r="H3853" t="s">
        <v>187</v>
      </c>
      <c r="I3853" t="s">
        <v>55</v>
      </c>
      <c r="J3853" t="s">
        <v>214</v>
      </c>
      <c r="K3853">
        <v>1</v>
      </c>
      <c r="N3853" s="21"/>
      <c r="O3853" s="2"/>
      <c r="P3853" s="2"/>
      <c r="Q3853" s="4"/>
      <c r="R3853" s="4"/>
      <c r="S3853" s="4"/>
      <c r="T3853" s="4"/>
      <c r="U3853" s="4"/>
      <c r="V3853" s="4"/>
    </row>
    <row r="3854" spans="1:22" ht="14.5" customHeight="1" x14ac:dyDescent="0.2">
      <c r="A3854" s="54">
        <v>2021</v>
      </c>
      <c r="B3854" t="s">
        <v>240</v>
      </c>
      <c r="C3854" t="s">
        <v>3026</v>
      </c>
      <c r="D3854" s="22">
        <v>420</v>
      </c>
      <c r="E3854" s="16"/>
      <c r="G3854" t="s">
        <v>144</v>
      </c>
      <c r="H3854" t="s">
        <v>187</v>
      </c>
      <c r="I3854" t="s">
        <v>65</v>
      </c>
      <c r="J3854" t="s">
        <v>214</v>
      </c>
      <c r="K3854">
        <v>1</v>
      </c>
      <c r="N3854" s="21"/>
      <c r="O3854" s="2"/>
      <c r="P3854" s="2"/>
      <c r="Q3854" s="4"/>
      <c r="R3854" s="4"/>
      <c r="S3854" s="4"/>
      <c r="T3854" s="4"/>
      <c r="U3854" s="4"/>
      <c r="V3854" s="4"/>
    </row>
    <row r="3855" spans="1:22" ht="14.5" customHeight="1" x14ac:dyDescent="0.2">
      <c r="A3855" s="54">
        <v>2021</v>
      </c>
      <c r="B3855" t="s">
        <v>240</v>
      </c>
      <c r="C3855" t="s">
        <v>449</v>
      </c>
      <c r="D3855" s="22">
        <v>100</v>
      </c>
      <c r="E3855" s="16">
        <v>0.5</v>
      </c>
      <c r="G3855" t="s">
        <v>154</v>
      </c>
      <c r="H3855" t="s">
        <v>194</v>
      </c>
      <c r="I3855" t="s">
        <v>124</v>
      </c>
      <c r="J3855" t="s">
        <v>183</v>
      </c>
      <c r="K3855">
        <v>1</v>
      </c>
      <c r="N3855" s="21"/>
      <c r="O3855" s="2"/>
      <c r="P3855" s="2"/>
      <c r="Q3855" s="4"/>
      <c r="R3855" s="4"/>
      <c r="S3855" s="4"/>
      <c r="T3855" s="4"/>
      <c r="U3855" s="4"/>
      <c r="V3855" s="4"/>
    </row>
    <row r="3856" spans="1:22" ht="14.5" customHeight="1" x14ac:dyDescent="0.2">
      <c r="A3856" s="54">
        <v>2021</v>
      </c>
      <c r="B3856" t="s">
        <v>240</v>
      </c>
      <c r="C3856" t="s">
        <v>189</v>
      </c>
      <c r="D3856" s="22">
        <v>360</v>
      </c>
      <c r="E3856" s="16"/>
      <c r="G3856" t="s">
        <v>144</v>
      </c>
      <c r="H3856" t="s">
        <v>187</v>
      </c>
      <c r="I3856" t="s">
        <v>77</v>
      </c>
      <c r="J3856" t="s">
        <v>177</v>
      </c>
      <c r="K3856">
        <v>0</v>
      </c>
      <c r="N3856" s="21"/>
      <c r="O3856" s="2"/>
      <c r="P3856" s="2"/>
      <c r="Q3856" s="4"/>
      <c r="R3856" s="4"/>
      <c r="S3856" s="4"/>
      <c r="T3856" s="4"/>
      <c r="U3856" s="4"/>
      <c r="V3856" s="4"/>
    </row>
    <row r="3857" spans="1:22" ht="14.5" customHeight="1" x14ac:dyDescent="0.2">
      <c r="A3857" s="54">
        <v>2021</v>
      </c>
      <c r="B3857" t="s">
        <v>240</v>
      </c>
      <c r="C3857" s="17" t="s">
        <v>3027</v>
      </c>
      <c r="D3857" s="22">
        <v>1090</v>
      </c>
      <c r="E3857" s="16"/>
      <c r="G3857" t="s">
        <v>154</v>
      </c>
      <c r="H3857" t="s">
        <v>529</v>
      </c>
      <c r="I3857" t="s">
        <v>106</v>
      </c>
      <c r="J3857" t="s">
        <v>195</v>
      </c>
      <c r="K3857">
        <v>1</v>
      </c>
      <c r="N3857" s="21"/>
      <c r="O3857" s="2"/>
      <c r="P3857" s="2"/>
      <c r="Q3857" s="4"/>
      <c r="R3857" s="4"/>
      <c r="S3857" s="4"/>
      <c r="T3857" s="4"/>
      <c r="U3857" s="4"/>
      <c r="V3857" s="4"/>
    </row>
    <row r="3858" spans="1:22" ht="14.5" customHeight="1" x14ac:dyDescent="0.2">
      <c r="A3858" s="73">
        <v>2021</v>
      </c>
      <c r="B3858" s="17" t="s">
        <v>240</v>
      </c>
      <c r="C3858" s="17" t="s">
        <v>1035</v>
      </c>
      <c r="D3858" s="24">
        <v>150</v>
      </c>
      <c r="E3858" s="18"/>
      <c r="F3858" s="17"/>
      <c r="G3858" s="17" t="s">
        <v>147</v>
      </c>
      <c r="H3858" s="17"/>
      <c r="I3858" s="17" t="s">
        <v>6</v>
      </c>
      <c r="J3858" s="17" t="s">
        <v>219</v>
      </c>
      <c r="K3858" s="17">
        <v>1</v>
      </c>
      <c r="N3858" s="21"/>
      <c r="O3858" s="2"/>
      <c r="P3858" s="2"/>
      <c r="Q3858" s="4"/>
      <c r="R3858" s="4"/>
      <c r="S3858" s="4"/>
      <c r="T3858" s="4"/>
      <c r="U3858" s="4"/>
      <c r="V3858" s="4"/>
    </row>
    <row r="3859" spans="1:22" ht="14.5" customHeight="1" x14ac:dyDescent="0.2">
      <c r="A3859" s="73">
        <v>2021</v>
      </c>
      <c r="B3859" s="17" t="s">
        <v>240</v>
      </c>
      <c r="C3859" t="s">
        <v>175</v>
      </c>
      <c r="D3859" s="24">
        <v>170</v>
      </c>
      <c r="E3859" s="18"/>
      <c r="F3859" s="17"/>
      <c r="G3859" s="17" t="s">
        <v>151</v>
      </c>
      <c r="H3859" s="17" t="s">
        <v>279</v>
      </c>
      <c r="I3859" s="17" t="s">
        <v>134</v>
      </c>
      <c r="J3859" s="17" t="s">
        <v>201</v>
      </c>
      <c r="K3859" s="17">
        <v>1</v>
      </c>
      <c r="N3859" s="21"/>
      <c r="O3859" s="2"/>
      <c r="P3859" s="2"/>
      <c r="Q3859" s="4"/>
      <c r="R3859" s="4"/>
      <c r="S3859" s="4"/>
      <c r="T3859" s="4"/>
      <c r="U3859" s="4"/>
      <c r="V3859" s="4"/>
    </row>
    <row r="3860" spans="1:22" ht="14.5" customHeight="1" x14ac:dyDescent="0.2">
      <c r="A3860" s="73">
        <v>2021</v>
      </c>
      <c r="B3860" s="17" t="s">
        <v>240</v>
      </c>
      <c r="C3860" s="17" t="s">
        <v>3028</v>
      </c>
      <c r="D3860" s="24">
        <v>340</v>
      </c>
      <c r="E3860" s="18"/>
      <c r="F3860" s="17"/>
      <c r="G3860" s="17" t="s">
        <v>144</v>
      </c>
      <c r="H3860" s="17" t="s">
        <v>273</v>
      </c>
      <c r="I3860" s="17" t="s">
        <v>78</v>
      </c>
      <c r="J3860" s="17" t="s">
        <v>183</v>
      </c>
      <c r="K3860" s="17">
        <v>1</v>
      </c>
      <c r="N3860" s="21"/>
      <c r="O3860" s="2"/>
      <c r="P3860" s="2"/>
      <c r="Q3860" s="4"/>
      <c r="R3860" s="4"/>
      <c r="S3860" s="4"/>
      <c r="T3860" s="4"/>
      <c r="U3860" s="4"/>
      <c r="V3860" s="4"/>
    </row>
    <row r="3861" spans="1:22" ht="14.5" customHeight="1" x14ac:dyDescent="0.2">
      <c r="A3861" s="73">
        <v>2021</v>
      </c>
      <c r="B3861" s="17" t="s">
        <v>240</v>
      </c>
      <c r="C3861" t="s">
        <v>397</v>
      </c>
      <c r="D3861" s="24">
        <v>540</v>
      </c>
      <c r="E3861" s="18"/>
      <c r="F3861" s="17"/>
      <c r="G3861" s="17" t="s">
        <v>151</v>
      </c>
      <c r="H3861" s="17" t="s">
        <v>279</v>
      </c>
      <c r="I3861" s="17" t="s">
        <v>108</v>
      </c>
      <c r="J3861" s="17" t="s">
        <v>183</v>
      </c>
      <c r="K3861" s="17">
        <v>1</v>
      </c>
      <c r="N3861" s="21"/>
      <c r="O3861" s="2"/>
      <c r="P3861" s="2"/>
      <c r="Q3861" s="4"/>
      <c r="R3861" s="4"/>
      <c r="S3861" s="4"/>
      <c r="T3861" s="4"/>
      <c r="U3861" s="4"/>
      <c r="V3861" s="4"/>
    </row>
    <row r="3862" spans="1:22" ht="14.5" customHeight="1" x14ac:dyDescent="0.2">
      <c r="A3862" s="73">
        <v>2021</v>
      </c>
      <c r="B3862" s="17" t="s">
        <v>240</v>
      </c>
      <c r="C3862" t="s">
        <v>3029</v>
      </c>
      <c r="D3862" s="24">
        <v>240</v>
      </c>
      <c r="E3862" s="18"/>
      <c r="F3862" s="17"/>
      <c r="G3862" s="17" t="s">
        <v>154</v>
      </c>
      <c r="H3862" s="17" t="s">
        <v>194</v>
      </c>
      <c r="I3862" s="17" t="s">
        <v>13</v>
      </c>
      <c r="J3862" s="17" t="s">
        <v>183</v>
      </c>
      <c r="K3862" s="17">
        <v>1</v>
      </c>
      <c r="N3862" s="21"/>
      <c r="O3862" s="2"/>
      <c r="P3862" s="2"/>
      <c r="Q3862" s="4"/>
      <c r="R3862" s="4"/>
      <c r="S3862" s="4"/>
      <c r="T3862" s="4"/>
      <c r="U3862" s="4"/>
      <c r="V3862" s="4"/>
    </row>
    <row r="3863" spans="1:22" ht="14.5" customHeight="1" x14ac:dyDescent="0.2">
      <c r="A3863" s="54">
        <v>2021</v>
      </c>
      <c r="B3863" t="s">
        <v>212</v>
      </c>
      <c r="C3863" t="s">
        <v>479</v>
      </c>
      <c r="D3863" s="22">
        <v>270</v>
      </c>
      <c r="E3863" s="16"/>
      <c r="G3863" t="s">
        <v>154</v>
      </c>
      <c r="H3863" t="s">
        <v>194</v>
      </c>
      <c r="I3863" t="s">
        <v>97</v>
      </c>
      <c r="J3863" t="s">
        <v>183</v>
      </c>
      <c r="K3863">
        <v>1</v>
      </c>
      <c r="N3863" s="21"/>
      <c r="O3863" s="2"/>
      <c r="P3863" s="2"/>
      <c r="Q3863" s="4"/>
      <c r="R3863" s="4"/>
      <c r="S3863" s="4"/>
      <c r="T3863" s="4"/>
      <c r="U3863" s="4"/>
      <c r="V3863" s="4"/>
    </row>
    <row r="3864" spans="1:22" ht="14.5" customHeight="1" x14ac:dyDescent="0.2">
      <c r="A3864" s="54">
        <v>2021</v>
      </c>
      <c r="B3864" t="s">
        <v>212</v>
      </c>
      <c r="C3864" t="s">
        <v>2434</v>
      </c>
      <c r="D3864" s="22">
        <v>400</v>
      </c>
      <c r="E3864" s="16">
        <v>0.7</v>
      </c>
      <c r="F3864" t="s">
        <v>3030</v>
      </c>
      <c r="G3864" t="s">
        <v>154</v>
      </c>
      <c r="H3864" t="s">
        <v>529</v>
      </c>
      <c r="I3864" t="s">
        <v>108</v>
      </c>
      <c r="J3864" t="s">
        <v>183</v>
      </c>
      <c r="K3864">
        <v>1</v>
      </c>
      <c r="N3864" s="21"/>
      <c r="O3864" s="2"/>
      <c r="P3864" s="2"/>
      <c r="Q3864" s="4"/>
      <c r="R3864" s="4"/>
      <c r="S3864" s="4"/>
      <c r="T3864" s="4"/>
      <c r="U3864" s="4"/>
      <c r="V3864" s="4"/>
    </row>
    <row r="3865" spans="1:22" ht="14.5" customHeight="1" x14ac:dyDescent="0.2">
      <c r="A3865" s="54">
        <v>2021</v>
      </c>
      <c r="B3865" t="s">
        <v>212</v>
      </c>
      <c r="C3865" t="s">
        <v>397</v>
      </c>
      <c r="D3865" s="22">
        <v>670</v>
      </c>
      <c r="E3865" s="16">
        <v>0.08</v>
      </c>
      <c r="G3865" t="s">
        <v>154</v>
      </c>
      <c r="H3865" t="s">
        <v>194</v>
      </c>
      <c r="I3865" t="s">
        <v>9</v>
      </c>
      <c r="J3865" t="s">
        <v>9</v>
      </c>
      <c r="K3865">
        <v>0</v>
      </c>
      <c r="N3865" s="21"/>
      <c r="O3865" s="2"/>
      <c r="P3865" s="2"/>
      <c r="Q3865" s="4"/>
      <c r="R3865" s="4"/>
      <c r="S3865" s="4"/>
      <c r="T3865" s="4"/>
      <c r="U3865" s="4"/>
      <c r="V3865" s="4"/>
    </row>
    <row r="3866" spans="1:22" ht="14.5" customHeight="1" x14ac:dyDescent="0.2">
      <c r="A3866" s="54">
        <v>2021</v>
      </c>
      <c r="B3866" t="s">
        <v>212</v>
      </c>
      <c r="C3866" t="s">
        <v>1035</v>
      </c>
      <c r="D3866" s="22">
        <v>150</v>
      </c>
      <c r="E3866" s="16"/>
      <c r="G3866" t="s">
        <v>144</v>
      </c>
      <c r="H3866" t="s">
        <v>299</v>
      </c>
      <c r="I3866" t="s">
        <v>105</v>
      </c>
      <c r="J3866" t="s">
        <v>214</v>
      </c>
      <c r="K3866">
        <v>1</v>
      </c>
      <c r="N3866" s="21"/>
      <c r="O3866" s="2"/>
      <c r="P3866" s="2"/>
      <c r="Q3866" s="4"/>
      <c r="R3866" s="4"/>
      <c r="S3866" s="4"/>
      <c r="T3866" s="4"/>
      <c r="U3866" s="4"/>
      <c r="V3866" s="4"/>
    </row>
    <row r="3867" spans="1:22" ht="14.5" customHeight="1" x14ac:dyDescent="0.2">
      <c r="A3867" s="54">
        <v>2021</v>
      </c>
      <c r="B3867" t="s">
        <v>212</v>
      </c>
      <c r="C3867" t="s">
        <v>1035</v>
      </c>
      <c r="D3867" s="22">
        <v>220</v>
      </c>
      <c r="E3867" s="16"/>
      <c r="G3867" t="s">
        <v>155</v>
      </c>
      <c r="I3867" t="s">
        <v>97</v>
      </c>
      <c r="J3867" t="s">
        <v>183</v>
      </c>
      <c r="K3867">
        <v>1</v>
      </c>
      <c r="N3867" s="21"/>
      <c r="O3867" s="2"/>
      <c r="P3867" s="2"/>
      <c r="Q3867" s="4"/>
      <c r="R3867" s="4"/>
      <c r="S3867" s="4"/>
      <c r="T3867" s="4"/>
      <c r="U3867" s="4"/>
      <c r="V3867" s="4"/>
    </row>
    <row r="3868" spans="1:22" ht="14.5" customHeight="1" x14ac:dyDescent="0.2">
      <c r="A3868" s="54">
        <v>2021</v>
      </c>
      <c r="B3868" t="s">
        <v>212</v>
      </c>
      <c r="C3868" t="s">
        <v>1035</v>
      </c>
      <c r="D3868" s="22">
        <v>160</v>
      </c>
      <c r="E3868" s="16"/>
      <c r="G3868" t="s">
        <v>154</v>
      </c>
      <c r="H3868" t="s">
        <v>250</v>
      </c>
      <c r="I3868" t="s">
        <v>6</v>
      </c>
      <c r="J3868" t="s">
        <v>219</v>
      </c>
      <c r="K3868">
        <v>1</v>
      </c>
      <c r="N3868" s="21"/>
      <c r="O3868" s="2"/>
      <c r="P3868" s="2"/>
      <c r="Q3868" s="4"/>
      <c r="R3868" s="4"/>
      <c r="S3868" s="4"/>
      <c r="T3868" s="4"/>
      <c r="U3868" s="4"/>
      <c r="V3868" s="4"/>
    </row>
    <row r="3869" spans="1:22" ht="14.5" customHeight="1" x14ac:dyDescent="0.2">
      <c r="A3869" s="54">
        <v>2021</v>
      </c>
      <c r="B3869" t="s">
        <v>212</v>
      </c>
      <c r="C3869" t="s">
        <v>2547</v>
      </c>
      <c r="D3869" s="22">
        <v>140</v>
      </c>
      <c r="E3869" s="16"/>
      <c r="G3869" t="s">
        <v>147</v>
      </c>
      <c r="I3869" t="s">
        <v>3031</v>
      </c>
      <c r="J3869" t="s">
        <v>219</v>
      </c>
      <c r="K3869">
        <v>0</v>
      </c>
      <c r="N3869" s="21"/>
      <c r="O3869" s="2"/>
      <c r="P3869" s="2"/>
      <c r="Q3869" s="4"/>
      <c r="R3869" s="4"/>
      <c r="S3869" s="4"/>
      <c r="T3869" s="4"/>
      <c r="U3869" s="4"/>
      <c r="V3869" s="4"/>
    </row>
    <row r="3870" spans="1:22" ht="14.5" customHeight="1" x14ac:dyDescent="0.2">
      <c r="A3870" s="54">
        <v>2021</v>
      </c>
      <c r="B3870" t="s">
        <v>212</v>
      </c>
      <c r="C3870" t="s">
        <v>745</v>
      </c>
      <c r="D3870" s="22">
        <v>1330</v>
      </c>
      <c r="E3870" s="16"/>
      <c r="F3870" t="s">
        <v>2993</v>
      </c>
      <c r="G3870" t="s">
        <v>143</v>
      </c>
      <c r="I3870" t="s">
        <v>101</v>
      </c>
      <c r="J3870" t="s">
        <v>201</v>
      </c>
      <c r="K3870">
        <v>1</v>
      </c>
      <c r="N3870" s="21"/>
      <c r="O3870" s="2"/>
      <c r="P3870" s="2"/>
      <c r="Q3870" s="4"/>
      <c r="R3870" s="4"/>
      <c r="S3870" s="4"/>
      <c r="T3870" s="4"/>
      <c r="U3870" s="4"/>
      <c r="V3870" s="4"/>
    </row>
    <row r="3871" spans="1:22" ht="14.5" customHeight="1" x14ac:dyDescent="0.2">
      <c r="A3871" s="54">
        <v>2021</v>
      </c>
      <c r="B3871" t="s">
        <v>212</v>
      </c>
      <c r="C3871" t="s">
        <v>421</v>
      </c>
      <c r="D3871" s="22">
        <v>120</v>
      </c>
      <c r="E3871" s="16"/>
      <c r="G3871" t="s">
        <v>144</v>
      </c>
      <c r="H3871" t="s">
        <v>197</v>
      </c>
      <c r="I3871" t="s">
        <v>17</v>
      </c>
      <c r="J3871" t="s">
        <v>195</v>
      </c>
      <c r="K3871">
        <v>1</v>
      </c>
      <c r="N3871" s="21"/>
      <c r="O3871" s="2"/>
      <c r="P3871" s="2"/>
      <c r="Q3871" s="4"/>
      <c r="R3871" s="4"/>
      <c r="S3871" s="4"/>
      <c r="T3871" s="4"/>
      <c r="U3871" s="4"/>
      <c r="V3871" s="4"/>
    </row>
    <row r="3872" spans="1:22" ht="14.5" customHeight="1" x14ac:dyDescent="0.2">
      <c r="A3872" s="54">
        <v>2021</v>
      </c>
      <c r="B3872" t="s">
        <v>212</v>
      </c>
      <c r="C3872" t="s">
        <v>745</v>
      </c>
      <c r="D3872" s="22">
        <v>460</v>
      </c>
      <c r="E3872" s="16"/>
      <c r="F3872" t="s">
        <v>3032</v>
      </c>
      <c r="G3872" t="s">
        <v>143</v>
      </c>
      <c r="I3872" t="s">
        <v>134</v>
      </c>
      <c r="J3872" t="s">
        <v>201</v>
      </c>
      <c r="K3872">
        <v>1</v>
      </c>
      <c r="N3872" s="21"/>
      <c r="O3872" s="2"/>
      <c r="P3872" s="2"/>
      <c r="Q3872" s="4"/>
      <c r="R3872" s="4"/>
      <c r="S3872" s="4"/>
      <c r="T3872" s="4"/>
      <c r="U3872" s="4"/>
      <c r="V3872" s="4"/>
    </row>
    <row r="3873" spans="1:22" ht="14.5" customHeight="1" x14ac:dyDescent="0.2">
      <c r="A3873" s="54">
        <v>2021</v>
      </c>
      <c r="B3873" t="s">
        <v>212</v>
      </c>
      <c r="C3873" t="s">
        <v>244</v>
      </c>
      <c r="D3873" s="22">
        <v>450</v>
      </c>
      <c r="E3873" s="16"/>
      <c r="F3873" t="s">
        <v>3033</v>
      </c>
      <c r="G3873" t="s">
        <v>149</v>
      </c>
      <c r="H3873" t="s">
        <v>236</v>
      </c>
      <c r="I3873" t="s">
        <v>53</v>
      </c>
      <c r="J3873" t="s">
        <v>183</v>
      </c>
      <c r="K3873">
        <v>1</v>
      </c>
      <c r="N3873" s="21"/>
      <c r="O3873" s="2"/>
      <c r="P3873" s="2"/>
      <c r="Q3873" s="4"/>
      <c r="R3873" s="4"/>
      <c r="S3873" s="4"/>
      <c r="T3873" s="4"/>
      <c r="U3873" s="4"/>
      <c r="V3873" s="4"/>
    </row>
    <row r="3874" spans="1:22" ht="14.5" customHeight="1" x14ac:dyDescent="0.2">
      <c r="A3874" s="54">
        <v>2021</v>
      </c>
      <c r="B3874" t="s">
        <v>212</v>
      </c>
      <c r="C3874" t="s">
        <v>479</v>
      </c>
      <c r="D3874" s="22">
        <v>280</v>
      </c>
      <c r="E3874" s="16"/>
      <c r="G3874" t="s">
        <v>154</v>
      </c>
      <c r="H3874" t="s">
        <v>194</v>
      </c>
      <c r="I3874" t="s">
        <v>60</v>
      </c>
      <c r="J3874" t="s">
        <v>177</v>
      </c>
      <c r="K3874">
        <v>1</v>
      </c>
      <c r="N3874" s="21"/>
      <c r="O3874" s="2"/>
      <c r="P3874" s="2"/>
      <c r="Q3874" s="4"/>
      <c r="R3874" s="4"/>
      <c r="S3874" s="4"/>
      <c r="T3874" s="4"/>
      <c r="U3874" s="4"/>
      <c r="V3874" s="4"/>
    </row>
    <row r="3875" spans="1:22" ht="14.5" customHeight="1" x14ac:dyDescent="0.2">
      <c r="A3875" s="54">
        <v>2021</v>
      </c>
      <c r="B3875" t="s">
        <v>212</v>
      </c>
      <c r="C3875" t="s">
        <v>479</v>
      </c>
      <c r="D3875" s="22">
        <v>430</v>
      </c>
      <c r="E3875" s="16"/>
      <c r="G3875" t="s">
        <v>154</v>
      </c>
      <c r="H3875" t="s">
        <v>529</v>
      </c>
      <c r="I3875" t="s">
        <v>9</v>
      </c>
      <c r="J3875" t="s">
        <v>9</v>
      </c>
      <c r="K3875">
        <v>0</v>
      </c>
      <c r="N3875" s="21"/>
      <c r="O3875" s="2"/>
      <c r="P3875" s="2"/>
      <c r="Q3875" s="4"/>
      <c r="R3875" s="4"/>
      <c r="S3875" s="4"/>
      <c r="T3875" s="4"/>
      <c r="U3875" s="4"/>
      <c r="V3875" s="4"/>
    </row>
    <row r="3876" spans="1:22" ht="14.5" customHeight="1" x14ac:dyDescent="0.2">
      <c r="A3876">
        <v>2022</v>
      </c>
      <c r="B3876" t="s">
        <v>172</v>
      </c>
      <c r="C3876" t="s">
        <v>479</v>
      </c>
      <c r="D3876" s="65">
        <v>240</v>
      </c>
      <c r="E3876" s="33">
        <v>0.63</v>
      </c>
      <c r="G3876" t="s">
        <v>154</v>
      </c>
      <c r="H3876" t="s">
        <v>194</v>
      </c>
      <c r="I3876" t="s">
        <v>13</v>
      </c>
      <c r="J3876" t="s">
        <v>201</v>
      </c>
      <c r="K3876">
        <v>1</v>
      </c>
      <c r="L3876" s="28" t="s">
        <v>178</v>
      </c>
      <c r="N3876" s="21"/>
      <c r="O3876" s="2"/>
      <c r="P3876" s="2"/>
      <c r="Q3876" s="4"/>
      <c r="R3876" s="4"/>
      <c r="S3876" s="4"/>
      <c r="T3876" s="4"/>
      <c r="U3876" s="4"/>
      <c r="V3876" s="4"/>
    </row>
    <row r="3877" spans="1:22" ht="14.5" customHeight="1" x14ac:dyDescent="0.2">
      <c r="A3877">
        <v>2022</v>
      </c>
      <c r="B3877" t="s">
        <v>172</v>
      </c>
      <c r="C3877" t="s">
        <v>1173</v>
      </c>
      <c r="D3877" s="65">
        <v>250</v>
      </c>
      <c r="E3877" s="33">
        <v>1</v>
      </c>
      <c r="F3877" t="s">
        <v>2050</v>
      </c>
      <c r="G3877" t="s">
        <v>151</v>
      </c>
      <c r="H3877" t="s">
        <v>224</v>
      </c>
      <c r="I3877" t="s">
        <v>131</v>
      </c>
      <c r="J3877" t="s">
        <v>131</v>
      </c>
      <c r="K3877">
        <v>0</v>
      </c>
      <c r="L3877" s="28"/>
      <c r="N3877" s="21"/>
      <c r="O3877" s="2"/>
      <c r="P3877" s="2"/>
      <c r="Q3877" s="4"/>
      <c r="R3877" s="4"/>
      <c r="S3877" s="4"/>
      <c r="T3877" s="4"/>
      <c r="U3877" s="4"/>
      <c r="V3877" s="4"/>
    </row>
    <row r="3878" spans="1:22" ht="14.5" customHeight="1" x14ac:dyDescent="0.2">
      <c r="A3878">
        <v>2022</v>
      </c>
      <c r="B3878" t="s">
        <v>172</v>
      </c>
      <c r="C3878" t="s">
        <v>2051</v>
      </c>
      <c r="D3878" s="65">
        <v>270</v>
      </c>
      <c r="E3878" s="33">
        <v>0.7</v>
      </c>
      <c r="F3878" t="s">
        <v>2052</v>
      </c>
      <c r="G3878" t="s">
        <v>149</v>
      </c>
      <c r="I3878" t="s">
        <v>53</v>
      </c>
      <c r="J3878" t="s">
        <v>183</v>
      </c>
      <c r="K3878">
        <v>1</v>
      </c>
      <c r="L3878" s="28" t="s">
        <v>178</v>
      </c>
      <c r="N3878" s="21"/>
      <c r="O3878" s="2"/>
      <c r="P3878" s="2"/>
      <c r="Q3878" s="4"/>
      <c r="R3878" s="4"/>
      <c r="S3878" s="4"/>
      <c r="T3878" s="4"/>
      <c r="U3878" s="4"/>
      <c r="V3878" s="4"/>
    </row>
    <row r="3879" spans="1:22" ht="14.5" customHeight="1" x14ac:dyDescent="0.2">
      <c r="A3879">
        <v>2022</v>
      </c>
      <c r="B3879" t="s">
        <v>172</v>
      </c>
      <c r="C3879" t="s">
        <v>1180</v>
      </c>
      <c r="D3879" s="65">
        <v>120</v>
      </c>
      <c r="E3879" s="33"/>
      <c r="G3879" t="s">
        <v>144</v>
      </c>
      <c r="H3879" t="s">
        <v>232</v>
      </c>
      <c r="I3879" t="s">
        <v>13</v>
      </c>
      <c r="J3879" t="s">
        <v>201</v>
      </c>
      <c r="K3879">
        <v>1</v>
      </c>
      <c r="L3879" s="28" t="s">
        <v>178</v>
      </c>
      <c r="N3879" s="21"/>
      <c r="O3879" s="2"/>
      <c r="P3879" s="2"/>
      <c r="Q3879" s="4"/>
      <c r="R3879" s="4"/>
      <c r="S3879" s="4"/>
      <c r="T3879" s="4"/>
      <c r="U3879" s="4"/>
      <c r="V3879" s="4"/>
    </row>
    <row r="3880" spans="1:22" ht="14.5" customHeight="1" x14ac:dyDescent="0.2">
      <c r="A3880">
        <v>2022</v>
      </c>
      <c r="B3880" t="s">
        <v>172</v>
      </c>
      <c r="C3880" t="s">
        <v>600</v>
      </c>
      <c r="D3880" s="65">
        <v>610</v>
      </c>
      <c r="E3880" s="33"/>
      <c r="G3880" t="s">
        <v>144</v>
      </c>
      <c r="H3880" t="s">
        <v>187</v>
      </c>
      <c r="I3880" t="s">
        <v>55</v>
      </c>
      <c r="J3880" t="s">
        <v>214</v>
      </c>
      <c r="K3880">
        <v>1</v>
      </c>
      <c r="L3880" s="28"/>
      <c r="N3880" s="21"/>
      <c r="O3880" s="2"/>
      <c r="P3880" s="2"/>
      <c r="Q3880" s="4"/>
      <c r="R3880" s="4"/>
      <c r="S3880" s="4"/>
      <c r="T3880" s="4"/>
      <c r="U3880" s="4"/>
      <c r="V3880" s="4"/>
    </row>
    <row r="3881" spans="1:22" ht="14.5" customHeight="1" x14ac:dyDescent="0.2">
      <c r="A3881">
        <v>2022</v>
      </c>
      <c r="B3881" t="s">
        <v>172</v>
      </c>
      <c r="C3881" t="s">
        <v>2053</v>
      </c>
      <c r="D3881" s="65">
        <v>210</v>
      </c>
      <c r="E3881" s="33">
        <v>0.69</v>
      </c>
      <c r="G3881" t="s">
        <v>149</v>
      </c>
      <c r="H3881" t="s">
        <v>182</v>
      </c>
      <c r="I3881" t="s">
        <v>72</v>
      </c>
      <c r="J3881" t="s">
        <v>183</v>
      </c>
      <c r="K3881">
        <v>1</v>
      </c>
      <c r="L3881" s="28" t="s">
        <v>178</v>
      </c>
      <c r="N3881" s="21"/>
      <c r="O3881" s="2"/>
      <c r="P3881" s="2"/>
      <c r="Q3881" s="4"/>
      <c r="R3881" s="4"/>
      <c r="S3881" s="4"/>
      <c r="T3881" s="4"/>
      <c r="U3881" s="4"/>
      <c r="V3881" s="4"/>
    </row>
    <row r="3882" spans="1:22" ht="14.5" customHeight="1" x14ac:dyDescent="0.2">
      <c r="A3882">
        <v>2022</v>
      </c>
      <c r="B3882" t="s">
        <v>172</v>
      </c>
      <c r="C3882" t="s">
        <v>1750</v>
      </c>
      <c r="D3882" s="65">
        <v>300</v>
      </c>
      <c r="E3882" s="33"/>
      <c r="G3882" t="s">
        <v>154</v>
      </c>
      <c r="H3882" t="s">
        <v>194</v>
      </c>
      <c r="I3882" t="s">
        <v>23</v>
      </c>
      <c r="J3882" t="s">
        <v>183</v>
      </c>
      <c r="K3882">
        <v>1</v>
      </c>
      <c r="L3882" s="28" t="s">
        <v>178</v>
      </c>
      <c r="N3882" s="21"/>
      <c r="O3882" s="2"/>
      <c r="P3882" s="2"/>
      <c r="Q3882" s="4"/>
      <c r="R3882" s="4"/>
      <c r="S3882" s="4"/>
      <c r="T3882" s="4"/>
      <c r="U3882" s="4"/>
      <c r="V3882" s="4"/>
    </row>
    <row r="3883" spans="1:22" ht="14.5" customHeight="1" x14ac:dyDescent="0.2">
      <c r="A3883">
        <v>2022</v>
      </c>
      <c r="B3883" t="s">
        <v>172</v>
      </c>
      <c r="C3883" t="s">
        <v>1607</v>
      </c>
      <c r="D3883" s="65">
        <v>100</v>
      </c>
      <c r="E3883" s="33"/>
      <c r="F3883" t="s">
        <v>2054</v>
      </c>
      <c r="G3883" t="s">
        <v>150</v>
      </c>
      <c r="H3883" t="s">
        <v>744</v>
      </c>
      <c r="I3883" t="s">
        <v>131</v>
      </c>
      <c r="J3883" t="s">
        <v>131</v>
      </c>
      <c r="K3883">
        <v>0</v>
      </c>
      <c r="L3883" s="28"/>
      <c r="N3883" s="21"/>
      <c r="O3883" s="2"/>
      <c r="P3883" s="2"/>
      <c r="Q3883" s="4"/>
      <c r="R3883" s="4"/>
      <c r="S3883" s="4"/>
      <c r="T3883" s="4"/>
      <c r="U3883" s="4"/>
      <c r="V3883" s="4"/>
    </row>
    <row r="3884" spans="1:22" ht="14.5" customHeight="1" x14ac:dyDescent="0.2">
      <c r="A3884">
        <v>2022</v>
      </c>
      <c r="B3884" t="s">
        <v>172</v>
      </c>
      <c r="C3884" t="s">
        <v>1353</v>
      </c>
      <c r="D3884" s="65">
        <v>140</v>
      </c>
      <c r="E3884" s="33"/>
      <c r="G3884" t="s">
        <v>150</v>
      </c>
      <c r="H3884" t="s">
        <v>556</v>
      </c>
      <c r="I3884" t="s">
        <v>124</v>
      </c>
      <c r="J3884" t="s">
        <v>183</v>
      </c>
      <c r="K3884">
        <v>1</v>
      </c>
      <c r="L3884" s="28" t="s">
        <v>178</v>
      </c>
      <c r="N3884" s="21"/>
      <c r="O3884" s="2"/>
      <c r="P3884" s="2"/>
      <c r="Q3884" s="4"/>
      <c r="R3884" s="4"/>
      <c r="S3884" s="4"/>
      <c r="T3884" s="4"/>
      <c r="U3884" s="4"/>
      <c r="V3884" s="4"/>
    </row>
    <row r="3885" spans="1:22" ht="14.5" customHeight="1" x14ac:dyDescent="0.2">
      <c r="A3885">
        <v>2022</v>
      </c>
      <c r="B3885" t="s">
        <v>258</v>
      </c>
      <c r="C3885" t="s">
        <v>221</v>
      </c>
      <c r="D3885" s="65">
        <v>200</v>
      </c>
      <c r="E3885" s="33"/>
      <c r="G3885" t="s">
        <v>154</v>
      </c>
      <c r="H3885" t="s">
        <v>194</v>
      </c>
      <c r="I3885" t="s">
        <v>80</v>
      </c>
      <c r="J3885" t="s">
        <v>214</v>
      </c>
      <c r="K3885">
        <v>1</v>
      </c>
      <c r="L3885" s="28" t="s">
        <v>178</v>
      </c>
      <c r="N3885" s="21"/>
      <c r="O3885" s="2"/>
      <c r="P3885" s="2"/>
      <c r="Q3885" s="4"/>
      <c r="R3885" s="4"/>
      <c r="S3885" s="4"/>
      <c r="T3885" s="4"/>
      <c r="U3885" s="4"/>
      <c r="V3885" s="4"/>
    </row>
    <row r="3886" spans="1:22" ht="14.5" customHeight="1" x14ac:dyDescent="0.2">
      <c r="A3886">
        <v>2022</v>
      </c>
      <c r="B3886" t="s">
        <v>258</v>
      </c>
      <c r="C3886" t="s">
        <v>244</v>
      </c>
      <c r="D3886" s="65">
        <v>180</v>
      </c>
      <c r="E3886" s="33">
        <v>0.74</v>
      </c>
      <c r="F3886" t="s">
        <v>2055</v>
      </c>
      <c r="G3886" t="s">
        <v>149</v>
      </c>
      <c r="I3886" t="s">
        <v>139</v>
      </c>
      <c r="J3886" t="s">
        <v>219</v>
      </c>
      <c r="K3886">
        <v>1</v>
      </c>
      <c r="L3886" s="28"/>
      <c r="N3886" s="21"/>
      <c r="O3886" s="2"/>
      <c r="P3886" s="2"/>
      <c r="Q3886" s="4"/>
      <c r="R3886" s="4"/>
      <c r="S3886" s="4"/>
      <c r="T3886" s="4"/>
      <c r="U3886" s="4"/>
      <c r="V3886" s="4"/>
    </row>
    <row r="3887" spans="1:22" ht="14.5" customHeight="1" x14ac:dyDescent="0.2">
      <c r="A3887">
        <v>2022</v>
      </c>
      <c r="B3887" t="s">
        <v>258</v>
      </c>
      <c r="C3887" t="s">
        <v>559</v>
      </c>
      <c r="D3887" s="65">
        <v>380</v>
      </c>
      <c r="E3887" s="33"/>
      <c r="G3887" t="s">
        <v>149</v>
      </c>
      <c r="I3887" t="s">
        <v>8</v>
      </c>
      <c r="J3887" t="s">
        <v>205</v>
      </c>
      <c r="K3887" s="17">
        <v>1</v>
      </c>
      <c r="L3887" s="28" t="s">
        <v>178</v>
      </c>
      <c r="N3887" s="21"/>
      <c r="O3887" s="2"/>
      <c r="P3887" s="2"/>
      <c r="Q3887" s="4"/>
      <c r="R3887" s="4"/>
      <c r="S3887" s="4"/>
      <c r="T3887" s="4"/>
      <c r="U3887" s="4"/>
      <c r="V3887" s="4"/>
    </row>
    <row r="3888" spans="1:22" ht="14.5" customHeight="1" x14ac:dyDescent="0.2">
      <c r="A3888">
        <v>2022</v>
      </c>
      <c r="B3888" t="s">
        <v>258</v>
      </c>
      <c r="C3888" t="s">
        <v>1685</v>
      </c>
      <c r="D3888" s="65">
        <v>590</v>
      </c>
      <c r="E3888" s="33">
        <v>0.35</v>
      </c>
      <c r="F3888" t="s">
        <v>2056</v>
      </c>
      <c r="G3888" t="s">
        <v>147</v>
      </c>
      <c r="I3888" t="s">
        <v>45</v>
      </c>
      <c r="J3888" t="s">
        <v>195</v>
      </c>
      <c r="K3888">
        <v>0</v>
      </c>
      <c r="L3888" s="28"/>
      <c r="N3888" s="21"/>
      <c r="O3888" s="2"/>
      <c r="P3888" s="2"/>
      <c r="Q3888" s="4"/>
      <c r="R3888" s="4"/>
      <c r="S3888" s="4"/>
      <c r="T3888" s="4"/>
      <c r="U3888" s="4"/>
      <c r="V3888" s="4"/>
    </row>
    <row r="3889" spans="1:22" ht="14.5" customHeight="1" x14ac:dyDescent="0.2">
      <c r="A3889">
        <v>2022</v>
      </c>
      <c r="B3889" t="s">
        <v>258</v>
      </c>
      <c r="C3889" t="s">
        <v>1029</v>
      </c>
      <c r="D3889" s="65">
        <v>210</v>
      </c>
      <c r="E3889" s="33"/>
      <c r="F3889" t="s">
        <v>2057</v>
      </c>
      <c r="G3889" t="s">
        <v>144</v>
      </c>
      <c r="H3889" t="s">
        <v>232</v>
      </c>
      <c r="I3889" t="s">
        <v>105</v>
      </c>
      <c r="J3889" t="s">
        <v>214</v>
      </c>
      <c r="K3889">
        <v>1</v>
      </c>
      <c r="L3889" s="28" t="s">
        <v>178</v>
      </c>
      <c r="N3889" s="21"/>
      <c r="O3889" s="2"/>
      <c r="P3889" s="2"/>
      <c r="Q3889" s="4"/>
      <c r="R3889" s="4"/>
      <c r="S3889" s="4"/>
      <c r="T3889" s="4"/>
      <c r="U3889" s="4"/>
      <c r="V3889" s="4"/>
    </row>
    <row r="3890" spans="1:22" ht="14.5" customHeight="1" x14ac:dyDescent="0.2">
      <c r="A3890">
        <v>2022</v>
      </c>
      <c r="B3890" t="s">
        <v>258</v>
      </c>
      <c r="C3890" t="s">
        <v>454</v>
      </c>
      <c r="D3890" s="65">
        <v>110</v>
      </c>
      <c r="E3890" s="33"/>
      <c r="F3890" t="s">
        <v>2058</v>
      </c>
      <c r="G3890" t="s">
        <v>146</v>
      </c>
      <c r="I3890" t="s">
        <v>131</v>
      </c>
      <c r="J3890" t="s">
        <v>131</v>
      </c>
      <c r="K3890">
        <v>0</v>
      </c>
      <c r="L3890" s="28"/>
      <c r="N3890" s="21"/>
      <c r="O3890" s="2"/>
      <c r="P3890" s="2"/>
      <c r="Q3890" s="4"/>
      <c r="R3890" s="4"/>
      <c r="S3890" s="4"/>
      <c r="T3890" s="4"/>
      <c r="U3890" s="4"/>
      <c r="V3890" s="4"/>
    </row>
    <row r="3891" spans="1:22" ht="14.5" customHeight="1" x14ac:dyDescent="0.2">
      <c r="A3891">
        <v>2022</v>
      </c>
      <c r="B3891" t="s">
        <v>258</v>
      </c>
      <c r="C3891" t="s">
        <v>2059</v>
      </c>
      <c r="D3891" s="65">
        <v>4650</v>
      </c>
      <c r="E3891" s="33"/>
      <c r="F3891" t="s">
        <v>2002</v>
      </c>
      <c r="G3891" t="s">
        <v>144</v>
      </c>
      <c r="H3891" t="s">
        <v>299</v>
      </c>
      <c r="I3891" t="s">
        <v>105</v>
      </c>
      <c r="J3891" t="s">
        <v>214</v>
      </c>
      <c r="K3891">
        <v>1</v>
      </c>
      <c r="L3891" s="28"/>
      <c r="N3891" s="21"/>
      <c r="O3891" s="2"/>
      <c r="P3891" s="2"/>
      <c r="Q3891" s="4"/>
      <c r="R3891" s="4"/>
      <c r="S3891" s="4"/>
      <c r="T3891" s="4"/>
      <c r="U3891" s="4"/>
      <c r="V3891" s="4"/>
    </row>
    <row r="3892" spans="1:22" ht="14.5" customHeight="1" x14ac:dyDescent="0.2">
      <c r="A3892">
        <v>2022</v>
      </c>
      <c r="B3892" t="s">
        <v>258</v>
      </c>
      <c r="C3892" t="s">
        <v>1180</v>
      </c>
      <c r="D3892" s="65">
        <v>400</v>
      </c>
      <c r="E3892" s="33">
        <v>0.25</v>
      </c>
      <c r="F3892" t="s">
        <v>1247</v>
      </c>
      <c r="G3892" t="s">
        <v>144</v>
      </c>
      <c r="H3892" t="s">
        <v>232</v>
      </c>
      <c r="I3892" t="s">
        <v>105</v>
      </c>
      <c r="J3892" t="s">
        <v>214</v>
      </c>
      <c r="K3892">
        <v>1</v>
      </c>
      <c r="L3892" s="28" t="s">
        <v>178</v>
      </c>
      <c r="N3892" s="21"/>
      <c r="O3892" s="2"/>
      <c r="P3892" s="2"/>
      <c r="Q3892" s="4"/>
      <c r="R3892" s="4"/>
      <c r="S3892" s="4"/>
      <c r="T3892" s="4"/>
      <c r="U3892" s="4"/>
      <c r="V3892" s="4"/>
    </row>
    <row r="3893" spans="1:22" ht="14.5" customHeight="1" x14ac:dyDescent="0.2">
      <c r="A3893">
        <v>2022</v>
      </c>
      <c r="B3893" t="s">
        <v>258</v>
      </c>
      <c r="C3893" t="s">
        <v>175</v>
      </c>
      <c r="D3893" s="65">
        <v>130</v>
      </c>
      <c r="E3893" s="33"/>
      <c r="G3893" t="s">
        <v>149</v>
      </c>
      <c r="I3893" t="s">
        <v>93</v>
      </c>
      <c r="J3893" t="s">
        <v>201</v>
      </c>
      <c r="K3893">
        <v>1</v>
      </c>
      <c r="L3893" s="28"/>
      <c r="N3893" s="21"/>
      <c r="O3893" s="2"/>
      <c r="P3893" s="2"/>
      <c r="Q3893" s="4"/>
      <c r="R3893" s="4"/>
      <c r="S3893" s="4"/>
      <c r="T3893" s="4"/>
      <c r="U3893" s="4"/>
      <c r="V3893" s="4"/>
    </row>
    <row r="3894" spans="1:22" ht="14.5" customHeight="1" x14ac:dyDescent="0.2">
      <c r="A3894">
        <v>2022</v>
      </c>
      <c r="B3894" t="s">
        <v>258</v>
      </c>
      <c r="C3894" t="s">
        <v>185</v>
      </c>
      <c r="D3894" s="65">
        <v>220</v>
      </c>
      <c r="E3894" s="33">
        <v>0.08</v>
      </c>
      <c r="F3894" t="s">
        <v>325</v>
      </c>
      <c r="G3894" t="s">
        <v>144</v>
      </c>
      <c r="H3894" t="s">
        <v>187</v>
      </c>
      <c r="I3894" t="s">
        <v>123</v>
      </c>
      <c r="J3894" t="s">
        <v>219</v>
      </c>
      <c r="K3894">
        <v>1</v>
      </c>
      <c r="L3894" s="28" t="s">
        <v>178</v>
      </c>
      <c r="N3894" s="21"/>
      <c r="O3894" s="2"/>
      <c r="P3894" s="2"/>
      <c r="Q3894" s="4"/>
      <c r="R3894" s="4"/>
      <c r="S3894" s="4"/>
      <c r="T3894" s="4"/>
      <c r="U3894" s="4"/>
      <c r="V3894" s="4"/>
    </row>
    <row r="3895" spans="1:22" ht="14.5" customHeight="1" x14ac:dyDescent="0.2">
      <c r="A3895">
        <v>2022</v>
      </c>
      <c r="B3895" t="s">
        <v>258</v>
      </c>
      <c r="C3895" t="s">
        <v>1061</v>
      </c>
      <c r="D3895" s="65">
        <v>270</v>
      </c>
      <c r="E3895" s="33"/>
      <c r="G3895" t="s">
        <v>150</v>
      </c>
      <c r="H3895" t="s">
        <v>556</v>
      </c>
      <c r="I3895" t="s">
        <v>136</v>
      </c>
      <c r="J3895" t="s">
        <v>183</v>
      </c>
      <c r="K3895">
        <v>1</v>
      </c>
      <c r="L3895" s="28" t="s">
        <v>178</v>
      </c>
      <c r="N3895" s="21"/>
      <c r="O3895" s="2"/>
      <c r="P3895" s="2"/>
      <c r="Q3895" s="4"/>
      <c r="R3895" s="4"/>
      <c r="S3895" s="4"/>
      <c r="T3895" s="4"/>
      <c r="U3895" s="4"/>
      <c r="V3895" s="4"/>
    </row>
    <row r="3896" spans="1:22" ht="14.5" customHeight="1" x14ac:dyDescent="0.2">
      <c r="A3896">
        <v>2022</v>
      </c>
      <c r="B3896" t="s">
        <v>179</v>
      </c>
      <c r="C3896" t="s">
        <v>1180</v>
      </c>
      <c r="D3896" s="65">
        <v>300</v>
      </c>
      <c r="E3896" s="33"/>
      <c r="G3896" t="s">
        <v>144</v>
      </c>
      <c r="H3896" t="s">
        <v>232</v>
      </c>
      <c r="I3896" t="s">
        <v>27</v>
      </c>
      <c r="J3896" t="s">
        <v>205</v>
      </c>
      <c r="K3896">
        <v>1</v>
      </c>
      <c r="L3896" s="28" t="s">
        <v>178</v>
      </c>
      <c r="N3896" s="21"/>
      <c r="O3896" s="2"/>
      <c r="P3896" s="2"/>
      <c r="Q3896" s="4"/>
      <c r="R3896" s="4"/>
      <c r="S3896" s="4"/>
      <c r="T3896" s="4"/>
      <c r="U3896" s="4"/>
      <c r="V3896" s="4"/>
    </row>
    <row r="3897" spans="1:22" ht="14.5" customHeight="1" x14ac:dyDescent="0.2">
      <c r="A3897">
        <v>2022</v>
      </c>
      <c r="B3897" t="s">
        <v>179</v>
      </c>
      <c r="C3897" t="s">
        <v>1180</v>
      </c>
      <c r="D3897" s="65">
        <v>180</v>
      </c>
      <c r="E3897" s="33">
        <v>0.4</v>
      </c>
      <c r="F3897" t="s">
        <v>1247</v>
      </c>
      <c r="G3897" t="s">
        <v>144</v>
      </c>
      <c r="H3897" t="s">
        <v>232</v>
      </c>
      <c r="I3897" t="s">
        <v>105</v>
      </c>
      <c r="J3897" t="s">
        <v>214</v>
      </c>
      <c r="K3897">
        <v>1</v>
      </c>
      <c r="L3897" s="28" t="s">
        <v>178</v>
      </c>
      <c r="N3897" s="21"/>
      <c r="O3897" s="2"/>
      <c r="P3897" s="2"/>
      <c r="Q3897" s="4"/>
      <c r="R3897" s="4"/>
      <c r="S3897" s="4"/>
      <c r="T3897" s="4"/>
      <c r="U3897" s="4"/>
      <c r="V3897" s="4"/>
    </row>
    <row r="3898" spans="1:22" ht="14.5" customHeight="1" x14ac:dyDescent="0.2">
      <c r="A3898">
        <v>2022</v>
      </c>
      <c r="B3898" t="s">
        <v>179</v>
      </c>
      <c r="C3898" t="s">
        <v>2060</v>
      </c>
      <c r="D3898" s="65">
        <v>470</v>
      </c>
      <c r="E3898" s="33"/>
      <c r="F3898" t="s">
        <v>1637</v>
      </c>
      <c r="G3898" t="s">
        <v>150</v>
      </c>
      <c r="H3898" t="s">
        <v>292</v>
      </c>
      <c r="I3898" t="s">
        <v>42</v>
      </c>
      <c r="J3898" t="s">
        <v>195</v>
      </c>
      <c r="K3898">
        <v>0</v>
      </c>
      <c r="L3898" s="28"/>
      <c r="N3898" s="21"/>
      <c r="O3898" s="2"/>
      <c r="P3898" s="2"/>
      <c r="Q3898" s="4"/>
      <c r="R3898" s="4"/>
      <c r="S3898" s="4"/>
      <c r="T3898" s="4"/>
      <c r="U3898" s="4"/>
      <c r="V3898" s="4"/>
    </row>
    <row r="3899" spans="1:22" ht="14.5" customHeight="1" x14ac:dyDescent="0.2">
      <c r="A3899">
        <v>2022</v>
      </c>
      <c r="B3899" t="s">
        <v>179</v>
      </c>
      <c r="C3899" t="s">
        <v>175</v>
      </c>
      <c r="D3899" s="65">
        <v>550</v>
      </c>
      <c r="E3899" s="33"/>
      <c r="G3899" t="s">
        <v>149</v>
      </c>
      <c r="I3899" t="s">
        <v>34</v>
      </c>
      <c r="J3899" t="s">
        <v>219</v>
      </c>
      <c r="K3899" s="17">
        <v>1</v>
      </c>
      <c r="L3899" s="28"/>
      <c r="N3899" s="21"/>
      <c r="O3899" s="2"/>
      <c r="P3899" s="2"/>
      <c r="Q3899" s="4"/>
      <c r="R3899" s="4"/>
      <c r="S3899" s="4"/>
      <c r="T3899" s="4"/>
      <c r="U3899" s="4"/>
      <c r="V3899" s="4"/>
    </row>
    <row r="3900" spans="1:22" ht="14.5" customHeight="1" x14ac:dyDescent="0.2">
      <c r="A3900">
        <v>2022</v>
      </c>
      <c r="B3900" t="s">
        <v>179</v>
      </c>
      <c r="C3900" t="s">
        <v>2061</v>
      </c>
      <c r="D3900" s="65">
        <v>230</v>
      </c>
      <c r="E3900" s="33">
        <v>0.65</v>
      </c>
      <c r="F3900" t="s">
        <v>2062</v>
      </c>
      <c r="G3900" t="s">
        <v>149</v>
      </c>
      <c r="I3900" t="s">
        <v>53</v>
      </c>
      <c r="J3900" t="s">
        <v>183</v>
      </c>
      <c r="K3900">
        <v>1</v>
      </c>
      <c r="L3900" s="28" t="s">
        <v>178</v>
      </c>
      <c r="N3900" s="21"/>
      <c r="O3900" s="2"/>
      <c r="P3900" s="2"/>
      <c r="Q3900" s="4"/>
      <c r="R3900" s="4"/>
      <c r="S3900" s="4"/>
      <c r="T3900" s="4"/>
      <c r="U3900" s="4"/>
      <c r="V3900" s="4"/>
    </row>
    <row r="3901" spans="1:22" ht="14.5" customHeight="1" x14ac:dyDescent="0.2">
      <c r="A3901">
        <v>2022</v>
      </c>
      <c r="B3901" t="s">
        <v>179</v>
      </c>
      <c r="C3901" t="s">
        <v>1655</v>
      </c>
      <c r="D3901" s="65">
        <v>330</v>
      </c>
      <c r="E3901" s="33"/>
      <c r="G3901" t="s">
        <v>154</v>
      </c>
      <c r="H3901" t="s">
        <v>250</v>
      </c>
      <c r="I3901" t="s">
        <v>23</v>
      </c>
      <c r="J3901" t="s">
        <v>183</v>
      </c>
      <c r="K3901" s="17">
        <v>1</v>
      </c>
      <c r="L3901" s="28"/>
      <c r="N3901" s="21"/>
      <c r="O3901" s="2"/>
      <c r="P3901" s="2"/>
      <c r="Q3901" s="4"/>
      <c r="R3901" s="4"/>
      <c r="S3901" s="4"/>
      <c r="T3901" s="4"/>
      <c r="U3901" s="4"/>
      <c r="V3901" s="4"/>
    </row>
    <row r="3902" spans="1:22" ht="14.5" customHeight="1" x14ac:dyDescent="0.2">
      <c r="A3902">
        <v>2022</v>
      </c>
      <c r="B3902" t="s">
        <v>179</v>
      </c>
      <c r="C3902" t="s">
        <v>2063</v>
      </c>
      <c r="D3902" s="65">
        <v>270</v>
      </c>
      <c r="E3902" s="33"/>
      <c r="G3902" t="s">
        <v>150</v>
      </c>
      <c r="H3902" t="s">
        <v>217</v>
      </c>
      <c r="I3902" t="s">
        <v>77</v>
      </c>
      <c r="J3902" t="s">
        <v>177</v>
      </c>
      <c r="K3902" s="17">
        <v>0</v>
      </c>
      <c r="L3902" s="28" t="s">
        <v>178</v>
      </c>
      <c r="N3902" s="21"/>
      <c r="O3902" s="2"/>
      <c r="P3902" s="2"/>
      <c r="Q3902" s="4"/>
      <c r="R3902" s="4"/>
      <c r="S3902" s="4"/>
      <c r="T3902" s="4"/>
      <c r="U3902" s="4"/>
      <c r="V3902" s="4"/>
    </row>
    <row r="3903" spans="1:22" s="17" customFormat="1" ht="14.5" customHeight="1" x14ac:dyDescent="0.2">
      <c r="A3903">
        <v>2022</v>
      </c>
      <c r="B3903" t="s">
        <v>179</v>
      </c>
      <c r="C3903" t="s">
        <v>1180</v>
      </c>
      <c r="D3903" s="65">
        <v>220</v>
      </c>
      <c r="E3903" s="33"/>
      <c r="G3903" t="s">
        <v>144</v>
      </c>
      <c r="H3903" t="s">
        <v>197</v>
      </c>
      <c r="I3903" t="s">
        <v>19</v>
      </c>
      <c r="J3903" t="s">
        <v>205</v>
      </c>
      <c r="K3903" s="17">
        <v>0</v>
      </c>
      <c r="L3903" s="28"/>
      <c r="N3903" s="21"/>
      <c r="O3903" s="2"/>
      <c r="P3903" s="2"/>
      <c r="Q3903" s="4"/>
      <c r="R3903" s="4"/>
      <c r="S3903" s="4"/>
      <c r="T3903" s="4"/>
      <c r="U3903" s="4"/>
      <c r="V3903" s="4"/>
    </row>
    <row r="3904" spans="1:22" ht="14.5" customHeight="1" x14ac:dyDescent="0.2">
      <c r="A3904">
        <v>2022</v>
      </c>
      <c r="B3904" t="s">
        <v>184</v>
      </c>
      <c r="C3904" t="s">
        <v>1465</v>
      </c>
      <c r="D3904" s="65">
        <v>110</v>
      </c>
      <c r="E3904" s="33"/>
      <c r="G3904" t="s">
        <v>151</v>
      </c>
      <c r="H3904" t="s">
        <v>224</v>
      </c>
      <c r="I3904" t="s">
        <v>20</v>
      </c>
      <c r="J3904" t="s">
        <v>195</v>
      </c>
      <c r="K3904">
        <v>0</v>
      </c>
      <c r="L3904" s="28"/>
      <c r="N3904" s="21"/>
      <c r="O3904" s="2"/>
      <c r="P3904" s="2"/>
      <c r="Q3904" s="4"/>
      <c r="R3904" s="4"/>
      <c r="S3904" s="4"/>
      <c r="T3904" s="4"/>
      <c r="U3904" s="4"/>
      <c r="V3904" s="4"/>
    </row>
    <row r="3905" spans="1:22" ht="14.5" customHeight="1" x14ac:dyDescent="0.2">
      <c r="A3905">
        <v>2022</v>
      </c>
      <c r="B3905" t="s">
        <v>184</v>
      </c>
      <c r="C3905" t="s">
        <v>474</v>
      </c>
      <c r="D3905" s="65">
        <v>100</v>
      </c>
      <c r="E3905" s="33">
        <v>0.5</v>
      </c>
      <c r="G3905" t="s">
        <v>144</v>
      </c>
      <c r="H3905" t="s">
        <v>232</v>
      </c>
      <c r="I3905" t="s">
        <v>118</v>
      </c>
      <c r="J3905" t="s">
        <v>195</v>
      </c>
      <c r="K3905">
        <v>0</v>
      </c>
      <c r="L3905" s="28"/>
      <c r="N3905" s="21"/>
      <c r="O3905" s="2"/>
      <c r="P3905" s="2"/>
      <c r="Q3905" s="4"/>
      <c r="R3905" s="4"/>
      <c r="S3905" s="4"/>
      <c r="T3905" s="4"/>
      <c r="U3905" s="4"/>
      <c r="V3905" s="4"/>
    </row>
    <row r="3906" spans="1:22" ht="14.5" customHeight="1" x14ac:dyDescent="0.2">
      <c r="A3906">
        <v>2022</v>
      </c>
      <c r="B3906" t="s">
        <v>184</v>
      </c>
      <c r="C3906" t="s">
        <v>1900</v>
      </c>
      <c r="D3906" s="65">
        <v>140</v>
      </c>
      <c r="E3906" s="33"/>
      <c r="G3906" t="s">
        <v>150</v>
      </c>
      <c r="H3906" t="s">
        <v>556</v>
      </c>
      <c r="I3906" t="s">
        <v>77</v>
      </c>
      <c r="J3906" t="s">
        <v>177</v>
      </c>
      <c r="K3906">
        <v>0</v>
      </c>
      <c r="L3906" s="28"/>
      <c r="N3906" s="21"/>
      <c r="O3906" s="2"/>
      <c r="P3906" s="2"/>
      <c r="Q3906" s="4"/>
      <c r="R3906" s="4"/>
      <c r="S3906" s="4"/>
      <c r="T3906" s="4"/>
      <c r="U3906" s="4"/>
      <c r="V3906" s="4"/>
    </row>
    <row r="3907" spans="1:22" ht="14.5" customHeight="1" x14ac:dyDescent="0.2">
      <c r="A3907">
        <v>2022</v>
      </c>
      <c r="B3907" t="s">
        <v>184</v>
      </c>
      <c r="C3907" t="s">
        <v>185</v>
      </c>
      <c r="D3907" s="65">
        <v>2430</v>
      </c>
      <c r="E3907" s="33">
        <v>0.25</v>
      </c>
      <c r="G3907" t="s">
        <v>144</v>
      </c>
      <c r="H3907" t="s">
        <v>187</v>
      </c>
      <c r="I3907" t="s">
        <v>50</v>
      </c>
      <c r="J3907" t="s">
        <v>205</v>
      </c>
      <c r="K3907">
        <v>1</v>
      </c>
      <c r="L3907" s="28" t="s">
        <v>178</v>
      </c>
      <c r="N3907" s="21"/>
      <c r="O3907" s="2"/>
      <c r="P3907" s="2"/>
      <c r="Q3907" s="4"/>
      <c r="R3907" s="4"/>
      <c r="S3907" s="4"/>
      <c r="T3907" s="4"/>
      <c r="U3907" s="4"/>
      <c r="V3907" s="4"/>
    </row>
    <row r="3908" spans="1:22" ht="14.5" customHeight="1" x14ac:dyDescent="0.2">
      <c r="A3908">
        <v>2022</v>
      </c>
      <c r="B3908" t="s">
        <v>184</v>
      </c>
      <c r="C3908" t="s">
        <v>908</v>
      </c>
      <c r="D3908" s="65">
        <v>160</v>
      </c>
      <c r="E3908" s="33">
        <v>0.22</v>
      </c>
      <c r="G3908" t="s">
        <v>149</v>
      </c>
      <c r="H3908" t="s">
        <v>182</v>
      </c>
      <c r="I3908" t="s">
        <v>48</v>
      </c>
      <c r="J3908" t="s">
        <v>219</v>
      </c>
      <c r="K3908">
        <v>1</v>
      </c>
      <c r="L3908" s="28" t="s">
        <v>178</v>
      </c>
      <c r="N3908" s="21"/>
      <c r="O3908" s="2"/>
      <c r="P3908" s="2"/>
      <c r="Q3908" s="4"/>
      <c r="R3908" s="4"/>
      <c r="S3908" s="4"/>
      <c r="T3908" s="4"/>
      <c r="U3908" s="4"/>
      <c r="V3908" s="4"/>
    </row>
    <row r="3909" spans="1:22" ht="14.5" customHeight="1" x14ac:dyDescent="0.2">
      <c r="A3909">
        <v>2022</v>
      </c>
      <c r="B3909" t="s">
        <v>184</v>
      </c>
      <c r="C3909" t="s">
        <v>2064</v>
      </c>
      <c r="D3909" s="65">
        <v>540</v>
      </c>
      <c r="E3909" s="33"/>
      <c r="F3909" t="s">
        <v>2065</v>
      </c>
      <c r="G3909" t="s">
        <v>147</v>
      </c>
      <c r="I3909" t="s">
        <v>45</v>
      </c>
      <c r="J3909" t="s">
        <v>195</v>
      </c>
      <c r="K3909">
        <v>0</v>
      </c>
      <c r="L3909" s="28"/>
      <c r="N3909" s="21"/>
      <c r="O3909" s="2"/>
      <c r="P3909" s="2"/>
      <c r="Q3909" s="4"/>
      <c r="R3909" s="4"/>
      <c r="S3909" s="4"/>
      <c r="T3909" s="4"/>
      <c r="U3909" s="4"/>
      <c r="V3909" s="4"/>
    </row>
    <row r="3910" spans="1:22" ht="14.5" customHeight="1" x14ac:dyDescent="0.2">
      <c r="A3910">
        <v>2022</v>
      </c>
      <c r="B3910" t="s">
        <v>184</v>
      </c>
      <c r="C3910" t="s">
        <v>600</v>
      </c>
      <c r="D3910" s="65">
        <v>420</v>
      </c>
      <c r="E3910" s="33"/>
      <c r="G3910" t="s">
        <v>144</v>
      </c>
      <c r="H3910" t="s">
        <v>299</v>
      </c>
      <c r="I3910" t="s">
        <v>55</v>
      </c>
      <c r="J3910" t="s">
        <v>214</v>
      </c>
      <c r="K3910">
        <v>1</v>
      </c>
      <c r="L3910" s="28" t="s">
        <v>178</v>
      </c>
      <c r="N3910" s="21"/>
      <c r="O3910" s="2"/>
      <c r="P3910" s="2"/>
      <c r="Q3910" s="4"/>
      <c r="R3910" s="4"/>
      <c r="S3910" s="4"/>
      <c r="T3910" s="4"/>
      <c r="U3910" s="4"/>
      <c r="V3910" s="4"/>
    </row>
    <row r="3911" spans="1:22" ht="14.5" customHeight="1" x14ac:dyDescent="0.2">
      <c r="A3911">
        <v>2022</v>
      </c>
      <c r="B3911" t="s">
        <v>184</v>
      </c>
      <c r="C3911" t="s">
        <v>189</v>
      </c>
      <c r="D3911" s="65">
        <v>120</v>
      </c>
      <c r="E3911" s="33">
        <v>0.23</v>
      </c>
      <c r="F3911" t="s">
        <v>2066</v>
      </c>
      <c r="G3911" t="s">
        <v>144</v>
      </c>
      <c r="H3911" t="s">
        <v>299</v>
      </c>
      <c r="I3911" t="s">
        <v>63</v>
      </c>
      <c r="J3911" t="s">
        <v>201</v>
      </c>
      <c r="K3911">
        <v>1</v>
      </c>
      <c r="L3911" s="28" t="s">
        <v>178</v>
      </c>
      <c r="N3911" s="21"/>
      <c r="O3911" s="2"/>
      <c r="P3911" s="2"/>
      <c r="Q3911" s="4"/>
      <c r="R3911" s="4"/>
      <c r="S3911" s="4"/>
      <c r="T3911" s="4"/>
      <c r="U3911" s="4"/>
      <c r="V3911" s="4"/>
    </row>
    <row r="3912" spans="1:22" ht="14.5" customHeight="1" x14ac:dyDescent="0.2">
      <c r="A3912">
        <v>2022</v>
      </c>
      <c r="B3912" t="s">
        <v>225</v>
      </c>
      <c r="C3912" t="s">
        <v>1940</v>
      </c>
      <c r="D3912" s="65">
        <v>320</v>
      </c>
      <c r="E3912" s="33"/>
      <c r="G3912" t="s">
        <v>151</v>
      </c>
      <c r="H3912" t="s">
        <v>224</v>
      </c>
      <c r="I3912" t="s">
        <v>25</v>
      </c>
      <c r="J3912" t="s">
        <v>177</v>
      </c>
      <c r="K3912">
        <v>0</v>
      </c>
      <c r="L3912" s="28"/>
      <c r="N3912" s="21"/>
      <c r="O3912" s="2"/>
      <c r="P3912" s="2"/>
      <c r="Q3912" s="4"/>
      <c r="R3912" s="4"/>
      <c r="S3912" s="4"/>
      <c r="T3912" s="4"/>
      <c r="U3912" s="4"/>
      <c r="V3912" s="4"/>
    </row>
    <row r="3913" spans="1:22" ht="14.5" customHeight="1" x14ac:dyDescent="0.2">
      <c r="A3913">
        <v>2022</v>
      </c>
      <c r="B3913" t="s">
        <v>225</v>
      </c>
      <c r="C3913" t="s">
        <v>2067</v>
      </c>
      <c r="D3913" s="65">
        <v>290</v>
      </c>
      <c r="E3913" s="33">
        <v>0.7</v>
      </c>
      <c r="F3913" t="s">
        <v>2068</v>
      </c>
      <c r="G3913" t="s">
        <v>149</v>
      </c>
      <c r="H3913" t="s">
        <v>182</v>
      </c>
      <c r="I3913" t="s">
        <v>53</v>
      </c>
      <c r="J3913" t="s">
        <v>183</v>
      </c>
      <c r="K3913">
        <v>1</v>
      </c>
      <c r="L3913" s="28" t="s">
        <v>178</v>
      </c>
      <c r="N3913" s="21"/>
      <c r="O3913" s="2"/>
      <c r="P3913" s="2"/>
      <c r="Q3913" s="4"/>
      <c r="R3913" s="4"/>
      <c r="S3913" s="4"/>
      <c r="T3913" s="4"/>
      <c r="U3913" s="4"/>
      <c r="V3913" s="4"/>
    </row>
    <row r="3914" spans="1:22" ht="14.5" customHeight="1" x14ac:dyDescent="0.2">
      <c r="A3914">
        <v>2022</v>
      </c>
      <c r="B3914" t="s">
        <v>225</v>
      </c>
      <c r="C3914" t="s">
        <v>438</v>
      </c>
      <c r="D3914" s="65">
        <v>200</v>
      </c>
      <c r="E3914" s="33">
        <v>0.34</v>
      </c>
      <c r="F3914" t="s">
        <v>2069</v>
      </c>
      <c r="G3914" t="s">
        <v>154</v>
      </c>
      <c r="H3914" t="s">
        <v>194</v>
      </c>
      <c r="I3914" t="s">
        <v>113</v>
      </c>
      <c r="J3914" t="s">
        <v>183</v>
      </c>
      <c r="K3914">
        <v>0</v>
      </c>
      <c r="L3914" s="28"/>
      <c r="N3914" s="21"/>
      <c r="O3914" s="2"/>
      <c r="P3914" s="2"/>
      <c r="Q3914" s="4"/>
      <c r="R3914" s="4"/>
      <c r="S3914" s="4"/>
      <c r="T3914" s="4"/>
      <c r="U3914" s="4"/>
      <c r="V3914" s="4"/>
    </row>
    <row r="3915" spans="1:22" ht="14.5" customHeight="1" x14ac:dyDescent="0.2">
      <c r="A3915">
        <v>2022</v>
      </c>
      <c r="B3915" t="s">
        <v>225</v>
      </c>
      <c r="C3915" t="s">
        <v>208</v>
      </c>
      <c r="D3915" s="65">
        <v>680</v>
      </c>
      <c r="E3915" s="33"/>
      <c r="G3915" t="s">
        <v>149</v>
      </c>
      <c r="H3915" t="s">
        <v>182</v>
      </c>
      <c r="I3915" t="s">
        <v>24</v>
      </c>
      <c r="J3915" t="s">
        <v>219</v>
      </c>
      <c r="K3915">
        <v>1</v>
      </c>
      <c r="L3915" s="28" t="s">
        <v>178</v>
      </c>
      <c r="N3915" s="21"/>
      <c r="O3915" s="2"/>
      <c r="P3915" s="2"/>
      <c r="Q3915" s="4"/>
      <c r="R3915" s="4"/>
      <c r="S3915" s="4"/>
      <c r="T3915" s="4"/>
      <c r="U3915" s="4"/>
      <c r="V3915" s="4"/>
    </row>
    <row r="3916" spans="1:22" ht="14.5" customHeight="1" x14ac:dyDescent="0.2">
      <c r="A3916">
        <v>2022</v>
      </c>
      <c r="B3916" t="s">
        <v>225</v>
      </c>
      <c r="C3916" t="s">
        <v>189</v>
      </c>
      <c r="D3916" s="65">
        <v>430</v>
      </c>
      <c r="E3916" s="33">
        <v>0.7</v>
      </c>
      <c r="F3916" t="s">
        <v>2070</v>
      </c>
      <c r="G3916" t="s">
        <v>144</v>
      </c>
      <c r="H3916" t="s">
        <v>187</v>
      </c>
      <c r="I3916" t="s">
        <v>5</v>
      </c>
      <c r="J3916" t="s">
        <v>214</v>
      </c>
      <c r="K3916">
        <v>1</v>
      </c>
      <c r="L3916" s="28"/>
      <c r="N3916" s="21"/>
      <c r="O3916" s="2"/>
      <c r="P3916" s="2"/>
      <c r="Q3916" s="4"/>
      <c r="R3916" s="4"/>
      <c r="S3916" s="4"/>
      <c r="T3916" s="4"/>
      <c r="U3916" s="4"/>
      <c r="V3916" s="4"/>
    </row>
    <row r="3917" spans="1:22" ht="14.5" customHeight="1" x14ac:dyDescent="0.2">
      <c r="A3917">
        <v>2022</v>
      </c>
      <c r="B3917" t="s">
        <v>225</v>
      </c>
      <c r="C3917" t="s">
        <v>1011</v>
      </c>
      <c r="D3917" s="65">
        <v>300</v>
      </c>
      <c r="E3917" s="33"/>
      <c r="G3917" t="s">
        <v>149</v>
      </c>
      <c r="I3917" t="s">
        <v>139</v>
      </c>
      <c r="J3917" t="s">
        <v>219</v>
      </c>
      <c r="K3917">
        <v>1</v>
      </c>
      <c r="L3917" s="28"/>
      <c r="N3917" s="21"/>
      <c r="O3917" s="2"/>
      <c r="P3917" s="2"/>
      <c r="Q3917" s="4"/>
      <c r="R3917" s="4"/>
      <c r="S3917" s="4"/>
      <c r="T3917" s="4"/>
      <c r="U3917" s="4"/>
      <c r="V3917" s="4"/>
    </row>
    <row r="3918" spans="1:22" ht="14.5" customHeight="1" x14ac:dyDescent="0.2">
      <c r="A3918">
        <v>2022</v>
      </c>
      <c r="B3918" t="s">
        <v>225</v>
      </c>
      <c r="C3918" t="s">
        <v>2071</v>
      </c>
      <c r="D3918" s="65">
        <v>420</v>
      </c>
      <c r="E3918" s="33"/>
      <c r="G3918" t="s">
        <v>152</v>
      </c>
      <c r="H3918" t="s">
        <v>257</v>
      </c>
      <c r="I3918" t="s">
        <v>41</v>
      </c>
      <c r="J3918" t="s">
        <v>195</v>
      </c>
      <c r="K3918">
        <v>0</v>
      </c>
      <c r="L3918" s="28" t="s">
        <v>178</v>
      </c>
      <c r="N3918" s="21"/>
      <c r="O3918" s="2"/>
      <c r="P3918" s="2"/>
      <c r="Q3918" s="4"/>
      <c r="R3918" s="4"/>
      <c r="S3918" s="4"/>
      <c r="T3918" s="4"/>
      <c r="U3918" s="4"/>
      <c r="V3918" s="4"/>
    </row>
    <row r="3919" spans="1:22" ht="14.5" customHeight="1" x14ac:dyDescent="0.2">
      <c r="A3919">
        <v>2022</v>
      </c>
      <c r="B3919" t="s">
        <v>225</v>
      </c>
      <c r="C3919" t="s">
        <v>2072</v>
      </c>
      <c r="D3919" s="65">
        <v>100</v>
      </c>
      <c r="E3919" s="33"/>
      <c r="G3919" t="s">
        <v>147</v>
      </c>
      <c r="I3919" t="s">
        <v>27</v>
      </c>
      <c r="J3919" t="s">
        <v>205</v>
      </c>
      <c r="K3919">
        <v>1</v>
      </c>
      <c r="L3919" s="28" t="s">
        <v>178</v>
      </c>
      <c r="N3919" s="21"/>
      <c r="O3919" s="2"/>
      <c r="P3919" s="2"/>
      <c r="Q3919" s="4"/>
      <c r="R3919" s="4"/>
      <c r="S3919" s="4"/>
      <c r="T3919" s="4"/>
      <c r="U3919" s="4"/>
      <c r="V3919" s="4"/>
    </row>
    <row r="3920" spans="1:22" ht="14.5" customHeight="1" x14ac:dyDescent="0.2">
      <c r="A3920">
        <v>2022</v>
      </c>
      <c r="B3920" t="s">
        <v>225</v>
      </c>
      <c r="C3920" t="s">
        <v>2067</v>
      </c>
      <c r="D3920" s="65">
        <v>140</v>
      </c>
      <c r="E3920" s="33">
        <v>0.6</v>
      </c>
      <c r="F3920" t="s">
        <v>2073</v>
      </c>
      <c r="G3920" t="s">
        <v>144</v>
      </c>
      <c r="H3920" t="s">
        <v>232</v>
      </c>
      <c r="I3920" t="s">
        <v>41</v>
      </c>
      <c r="J3920" t="s">
        <v>195</v>
      </c>
      <c r="K3920">
        <v>0</v>
      </c>
      <c r="L3920" s="28" t="s">
        <v>178</v>
      </c>
      <c r="N3920" s="26"/>
      <c r="Q3920" s="4"/>
      <c r="R3920" s="4"/>
      <c r="S3920" s="4"/>
      <c r="T3920" s="4"/>
      <c r="U3920" s="4"/>
      <c r="V3920" s="4"/>
    </row>
    <row r="3921" spans="1:22" ht="14.5" customHeight="1" x14ac:dyDescent="0.2">
      <c r="A3921">
        <v>2022</v>
      </c>
      <c r="B3921" t="s">
        <v>225</v>
      </c>
      <c r="C3921" t="s">
        <v>822</v>
      </c>
      <c r="D3921" s="65">
        <v>110</v>
      </c>
      <c r="E3921" s="33">
        <v>0.45</v>
      </c>
      <c r="F3921" t="s">
        <v>2074</v>
      </c>
      <c r="G3921" t="s">
        <v>152</v>
      </c>
      <c r="I3921" t="s">
        <v>105</v>
      </c>
      <c r="J3921" t="s">
        <v>214</v>
      </c>
      <c r="K3921">
        <v>1</v>
      </c>
      <c r="L3921" s="28"/>
      <c r="N3921" s="26"/>
      <c r="Q3921" s="4"/>
      <c r="R3921" s="4"/>
      <c r="S3921" s="4"/>
      <c r="T3921" s="4"/>
      <c r="U3921" s="4"/>
      <c r="V3921" s="4"/>
    </row>
    <row r="3922" spans="1:22" ht="14.5" customHeight="1" x14ac:dyDescent="0.2">
      <c r="A3922">
        <v>2022</v>
      </c>
      <c r="B3922" t="s">
        <v>225</v>
      </c>
      <c r="C3922" t="s">
        <v>822</v>
      </c>
      <c r="D3922" s="65">
        <v>380</v>
      </c>
      <c r="E3922" s="33"/>
      <c r="F3922" t="s">
        <v>1243</v>
      </c>
      <c r="G3922" t="s">
        <v>150</v>
      </c>
      <c r="H3922" t="s">
        <v>556</v>
      </c>
      <c r="I3922" t="s">
        <v>108</v>
      </c>
      <c r="J3922" t="s">
        <v>183</v>
      </c>
      <c r="K3922">
        <v>1</v>
      </c>
      <c r="L3922" s="28"/>
      <c r="N3922" s="26"/>
      <c r="Q3922" s="4"/>
      <c r="R3922" s="4"/>
      <c r="S3922" s="4"/>
      <c r="T3922" s="4"/>
      <c r="U3922" s="4"/>
      <c r="V3922" s="4"/>
    </row>
    <row r="3923" spans="1:22" ht="14.25" customHeight="1" x14ac:dyDescent="0.2">
      <c r="A3923">
        <v>2022</v>
      </c>
      <c r="B3923" t="s">
        <v>188</v>
      </c>
      <c r="C3923" t="s">
        <v>454</v>
      </c>
      <c r="D3923" s="65">
        <v>260</v>
      </c>
      <c r="E3923" s="33">
        <v>0.01</v>
      </c>
      <c r="F3923" t="s">
        <v>2075</v>
      </c>
      <c r="G3923" t="s">
        <v>150</v>
      </c>
      <c r="H3923" t="s">
        <v>556</v>
      </c>
      <c r="I3923" t="s">
        <v>52</v>
      </c>
      <c r="J3923" t="s">
        <v>201</v>
      </c>
      <c r="K3923">
        <v>0</v>
      </c>
      <c r="L3923" s="28"/>
      <c r="N3923" s="26"/>
      <c r="Q3923" s="4"/>
      <c r="R3923" s="4"/>
      <c r="S3923" s="4"/>
      <c r="T3923" s="4"/>
      <c r="U3923" s="4"/>
      <c r="V3923" s="4"/>
    </row>
    <row r="3924" spans="1:22" ht="14.5" customHeight="1" x14ac:dyDescent="0.2">
      <c r="A3924">
        <v>2022</v>
      </c>
      <c r="B3924" t="s">
        <v>188</v>
      </c>
      <c r="C3924" t="s">
        <v>246</v>
      </c>
      <c r="D3924" s="65">
        <v>220</v>
      </c>
      <c r="E3924" s="33"/>
      <c r="F3924" t="s">
        <v>2076</v>
      </c>
      <c r="G3924" t="s">
        <v>144</v>
      </c>
      <c r="H3924" t="s">
        <v>232</v>
      </c>
      <c r="I3924" t="s">
        <v>114</v>
      </c>
      <c r="J3924" t="s">
        <v>195</v>
      </c>
      <c r="K3924">
        <v>0</v>
      </c>
      <c r="L3924" s="28"/>
      <c r="N3924" s="26"/>
      <c r="Q3924" s="4"/>
      <c r="R3924" s="4"/>
      <c r="S3924" s="4"/>
      <c r="T3924" s="4"/>
      <c r="U3924" s="4"/>
      <c r="V3924" s="4"/>
    </row>
    <row r="3925" spans="1:22" ht="14.5" customHeight="1" x14ac:dyDescent="0.2">
      <c r="A3925">
        <v>2022</v>
      </c>
      <c r="B3925" t="s">
        <v>188</v>
      </c>
      <c r="C3925" t="s">
        <v>1234</v>
      </c>
      <c r="D3925" s="65">
        <v>170</v>
      </c>
      <c r="E3925" s="33"/>
      <c r="G3925" t="s">
        <v>144</v>
      </c>
      <c r="H3925" t="s">
        <v>232</v>
      </c>
      <c r="I3925" t="s">
        <v>13</v>
      </c>
      <c r="J3925" t="s">
        <v>201</v>
      </c>
      <c r="K3925">
        <v>1</v>
      </c>
      <c r="L3925" s="28" t="s">
        <v>178</v>
      </c>
      <c r="N3925" s="26"/>
      <c r="Q3925" s="4"/>
      <c r="R3925" s="4"/>
      <c r="S3925" s="4"/>
      <c r="T3925" s="4"/>
      <c r="U3925" s="4"/>
      <c r="V3925" s="4"/>
    </row>
    <row r="3926" spans="1:22" ht="14.5" customHeight="1" x14ac:dyDescent="0.2">
      <c r="A3926">
        <v>2022</v>
      </c>
      <c r="B3926" t="s">
        <v>188</v>
      </c>
      <c r="C3926" s="17" t="s">
        <v>1664</v>
      </c>
      <c r="D3926" s="65">
        <v>480</v>
      </c>
      <c r="E3926" s="33"/>
      <c r="G3926" t="s">
        <v>149</v>
      </c>
      <c r="I3926" t="s">
        <v>122</v>
      </c>
      <c r="J3926" t="s">
        <v>201</v>
      </c>
      <c r="K3926">
        <v>1</v>
      </c>
      <c r="L3926" s="28"/>
      <c r="N3926" s="26"/>
      <c r="Q3926" s="4"/>
      <c r="R3926" s="4"/>
      <c r="S3926" s="4"/>
      <c r="T3926" s="4"/>
      <c r="U3926" s="4"/>
      <c r="V3926" s="4"/>
    </row>
    <row r="3927" spans="1:22" ht="14.5" customHeight="1" x14ac:dyDescent="0.2">
      <c r="A3927">
        <v>2022</v>
      </c>
      <c r="B3927" t="s">
        <v>188</v>
      </c>
      <c r="C3927" t="s">
        <v>446</v>
      </c>
      <c r="D3927" s="65">
        <v>160</v>
      </c>
      <c r="E3927" s="33"/>
      <c r="G3927" t="s">
        <v>149</v>
      </c>
      <c r="H3927" t="s">
        <v>182</v>
      </c>
      <c r="I3927" t="s">
        <v>19</v>
      </c>
      <c r="J3927" t="s">
        <v>205</v>
      </c>
      <c r="K3927">
        <v>0</v>
      </c>
      <c r="L3927" s="28" t="s">
        <v>178</v>
      </c>
      <c r="N3927" s="26"/>
      <c r="Q3927" s="4"/>
      <c r="R3927" s="4"/>
      <c r="S3927" s="4"/>
      <c r="T3927" s="4"/>
      <c r="U3927" s="4"/>
      <c r="V3927" s="4"/>
    </row>
    <row r="3928" spans="1:22" ht="14.5" customHeight="1" x14ac:dyDescent="0.2">
      <c r="A3928">
        <v>2022</v>
      </c>
      <c r="B3928" t="s">
        <v>188</v>
      </c>
      <c r="C3928" t="s">
        <v>1180</v>
      </c>
      <c r="D3928" s="65">
        <v>290</v>
      </c>
      <c r="E3928" s="33">
        <v>0.7</v>
      </c>
      <c r="F3928" t="s">
        <v>2077</v>
      </c>
      <c r="G3928" t="s">
        <v>144</v>
      </c>
      <c r="H3928" t="s">
        <v>232</v>
      </c>
      <c r="I3928" t="s">
        <v>19</v>
      </c>
      <c r="J3928" t="s">
        <v>205</v>
      </c>
      <c r="K3928">
        <v>0</v>
      </c>
      <c r="L3928" s="28"/>
      <c r="N3928" s="26"/>
      <c r="Q3928" s="4"/>
      <c r="R3928" s="4"/>
      <c r="S3928" s="4"/>
      <c r="T3928" s="4"/>
      <c r="U3928" s="4"/>
      <c r="V3928" s="4"/>
    </row>
    <row r="3929" spans="1:22" ht="14.5" customHeight="1" x14ac:dyDescent="0.2">
      <c r="A3929">
        <v>2022</v>
      </c>
      <c r="B3929" t="s">
        <v>188</v>
      </c>
      <c r="C3929" t="s">
        <v>2078</v>
      </c>
      <c r="D3929" s="65">
        <v>1180</v>
      </c>
      <c r="E3929" s="33"/>
      <c r="G3929" t="s">
        <v>149</v>
      </c>
      <c r="H3929" t="s">
        <v>182</v>
      </c>
      <c r="I3929" t="s">
        <v>20</v>
      </c>
      <c r="J3929" t="s">
        <v>195</v>
      </c>
      <c r="K3929">
        <v>0</v>
      </c>
      <c r="L3929" s="28"/>
      <c r="N3929" s="26"/>
      <c r="Q3929" s="4"/>
      <c r="R3929" s="4"/>
      <c r="S3929" s="4"/>
      <c r="T3929" s="4"/>
      <c r="U3929" s="4"/>
      <c r="V3929" s="4"/>
    </row>
    <row r="3930" spans="1:22" ht="14.5" customHeight="1" x14ac:dyDescent="0.2">
      <c r="A3930">
        <v>2022</v>
      </c>
      <c r="B3930" t="s">
        <v>191</v>
      </c>
      <c r="C3930" t="s">
        <v>696</v>
      </c>
      <c r="D3930" s="65">
        <v>290</v>
      </c>
      <c r="E3930" s="33">
        <v>0.06</v>
      </c>
      <c r="F3930" t="s">
        <v>560</v>
      </c>
      <c r="G3930" t="s">
        <v>144</v>
      </c>
      <c r="H3930" t="s">
        <v>273</v>
      </c>
      <c r="I3930" t="s">
        <v>9</v>
      </c>
      <c r="J3930" t="s">
        <v>9</v>
      </c>
      <c r="K3930">
        <v>0</v>
      </c>
      <c r="L3930" s="28"/>
      <c r="N3930" s="26"/>
      <c r="Q3930" s="4"/>
      <c r="R3930" s="4"/>
      <c r="S3930" s="4"/>
      <c r="T3930" s="4"/>
      <c r="U3930" s="4"/>
      <c r="V3930" s="4"/>
    </row>
    <row r="3931" spans="1:22" ht="14.5" customHeight="1" x14ac:dyDescent="0.2">
      <c r="A3931">
        <v>2022</v>
      </c>
      <c r="B3931" t="s">
        <v>191</v>
      </c>
      <c r="C3931" t="s">
        <v>300</v>
      </c>
      <c r="D3931" s="65">
        <v>2950</v>
      </c>
      <c r="E3931" s="33"/>
      <c r="F3931" t="s">
        <v>2079</v>
      </c>
      <c r="G3931" t="s">
        <v>146</v>
      </c>
      <c r="I3931" t="s">
        <v>53</v>
      </c>
      <c r="J3931" t="s">
        <v>183</v>
      </c>
      <c r="K3931">
        <v>1</v>
      </c>
      <c r="L3931" s="28"/>
      <c r="N3931" s="26"/>
      <c r="Q3931" s="4"/>
      <c r="R3931" s="4"/>
      <c r="S3931" s="4"/>
      <c r="T3931" s="4"/>
      <c r="U3931" s="4"/>
      <c r="V3931" s="4"/>
    </row>
    <row r="3932" spans="1:22" ht="14.5" customHeight="1" x14ac:dyDescent="0.2">
      <c r="A3932">
        <v>2022</v>
      </c>
      <c r="B3932" t="s">
        <v>191</v>
      </c>
      <c r="C3932" t="s">
        <v>1448</v>
      </c>
      <c r="D3932" s="65">
        <v>960</v>
      </c>
      <c r="E3932" s="33">
        <v>1</v>
      </c>
      <c r="F3932" t="s">
        <v>2080</v>
      </c>
      <c r="G3932" t="s">
        <v>149</v>
      </c>
      <c r="I3932" t="s">
        <v>8</v>
      </c>
      <c r="J3932" t="s">
        <v>205</v>
      </c>
      <c r="K3932">
        <v>1</v>
      </c>
      <c r="L3932" s="28"/>
      <c r="N3932" s="26"/>
      <c r="Q3932" s="4"/>
      <c r="R3932" s="4"/>
      <c r="S3932" s="4"/>
      <c r="T3932" s="4"/>
      <c r="U3932" s="4"/>
      <c r="V3932" s="4"/>
    </row>
    <row r="3933" spans="1:22" ht="14.5" customHeight="1" x14ac:dyDescent="0.2">
      <c r="A3933">
        <v>2022</v>
      </c>
      <c r="B3933" t="s">
        <v>191</v>
      </c>
      <c r="C3933" t="s">
        <v>397</v>
      </c>
      <c r="D3933" s="65">
        <v>310</v>
      </c>
      <c r="E3933" s="33">
        <v>0.2</v>
      </c>
      <c r="F3933" t="s">
        <v>2081</v>
      </c>
      <c r="G3933" t="s">
        <v>151</v>
      </c>
      <c r="H3933" t="s">
        <v>224</v>
      </c>
      <c r="I3933" t="s">
        <v>108</v>
      </c>
      <c r="J3933" t="s">
        <v>183</v>
      </c>
      <c r="K3933">
        <v>1</v>
      </c>
      <c r="L3933" s="28" t="s">
        <v>178</v>
      </c>
      <c r="N3933" s="26"/>
      <c r="Q3933" s="4"/>
      <c r="R3933" s="4"/>
      <c r="S3933" s="4"/>
      <c r="T3933" s="4"/>
      <c r="U3933" s="4"/>
      <c r="V3933" s="4"/>
    </row>
    <row r="3934" spans="1:22" ht="14.5" customHeight="1" x14ac:dyDescent="0.2">
      <c r="A3934">
        <v>2022</v>
      </c>
      <c r="B3934" t="s">
        <v>191</v>
      </c>
      <c r="C3934" t="s">
        <v>760</v>
      </c>
      <c r="D3934" s="65">
        <v>720</v>
      </c>
      <c r="E3934" s="33"/>
      <c r="G3934" t="s">
        <v>151</v>
      </c>
      <c r="H3934" t="s">
        <v>224</v>
      </c>
      <c r="I3934" t="s">
        <v>108</v>
      </c>
      <c r="J3934" t="s">
        <v>183</v>
      </c>
      <c r="K3934">
        <v>1</v>
      </c>
      <c r="L3934" s="28"/>
      <c r="N3934" s="26"/>
      <c r="Q3934" s="4"/>
      <c r="R3934" s="4"/>
      <c r="S3934" s="4"/>
      <c r="T3934" s="4"/>
      <c r="U3934" s="4"/>
      <c r="V3934" s="4"/>
    </row>
    <row r="3935" spans="1:22" ht="14.5" customHeight="1" x14ac:dyDescent="0.2">
      <c r="A3935">
        <v>2022</v>
      </c>
      <c r="B3935" t="s">
        <v>191</v>
      </c>
      <c r="C3935" t="s">
        <v>438</v>
      </c>
      <c r="D3935" s="65">
        <v>140</v>
      </c>
      <c r="E3935" s="33"/>
      <c r="G3935" t="s">
        <v>150</v>
      </c>
      <c r="H3935" t="s">
        <v>217</v>
      </c>
      <c r="I3935" t="s">
        <v>77</v>
      </c>
      <c r="J3935" t="s">
        <v>177</v>
      </c>
      <c r="K3935">
        <v>0</v>
      </c>
      <c r="L3935" s="28"/>
      <c r="N3935" s="26"/>
      <c r="Q3935" s="4"/>
      <c r="R3935" s="4"/>
      <c r="S3935" s="4"/>
      <c r="T3935" s="4"/>
      <c r="U3935" s="4"/>
      <c r="V3935" s="4"/>
    </row>
    <row r="3936" spans="1:22" ht="14.5" customHeight="1" x14ac:dyDescent="0.2">
      <c r="A3936">
        <v>2022</v>
      </c>
      <c r="B3936" t="s">
        <v>191</v>
      </c>
      <c r="C3936" t="s">
        <v>2082</v>
      </c>
      <c r="D3936" s="65">
        <v>180</v>
      </c>
      <c r="E3936" s="33">
        <v>0.8</v>
      </c>
      <c r="F3936" t="s">
        <v>2083</v>
      </c>
      <c r="G3936" t="s">
        <v>147</v>
      </c>
      <c r="I3936" t="s">
        <v>131</v>
      </c>
      <c r="J3936" t="s">
        <v>131</v>
      </c>
      <c r="K3936">
        <v>0</v>
      </c>
      <c r="L3936" s="28"/>
      <c r="N3936" s="26"/>
      <c r="Q3936" s="4"/>
      <c r="R3936" s="4"/>
      <c r="S3936" s="4"/>
      <c r="T3936" s="4"/>
      <c r="U3936" s="4"/>
      <c r="V3936" s="4"/>
    </row>
    <row r="3937" spans="1:22" ht="14.5" customHeight="1" x14ac:dyDescent="0.2">
      <c r="A3937">
        <v>2022</v>
      </c>
      <c r="B3937" t="s">
        <v>191</v>
      </c>
      <c r="C3937" t="s">
        <v>822</v>
      </c>
      <c r="D3937" s="65">
        <v>100</v>
      </c>
      <c r="E3937" s="33"/>
      <c r="F3937" s="40" t="s">
        <v>2084</v>
      </c>
      <c r="G3937" t="s">
        <v>146</v>
      </c>
      <c r="I3937" t="s">
        <v>72</v>
      </c>
      <c r="J3937" t="s">
        <v>183</v>
      </c>
      <c r="K3937">
        <v>1</v>
      </c>
      <c r="L3937" s="28"/>
      <c r="N3937" s="26"/>
      <c r="Q3937" s="4"/>
      <c r="R3937" s="4"/>
      <c r="S3937" s="4"/>
      <c r="T3937" s="4"/>
      <c r="U3937" s="4"/>
      <c r="V3937" s="4"/>
    </row>
    <row r="3938" spans="1:22" ht="14.5" customHeight="1" x14ac:dyDescent="0.2">
      <c r="A3938">
        <v>2022</v>
      </c>
      <c r="B3938" t="s">
        <v>191</v>
      </c>
      <c r="C3938" t="s">
        <v>822</v>
      </c>
      <c r="D3938" s="65">
        <v>100</v>
      </c>
      <c r="E3938" s="33">
        <v>0.06</v>
      </c>
      <c r="F3938" t="s">
        <v>2085</v>
      </c>
      <c r="G3938" t="s">
        <v>152</v>
      </c>
      <c r="H3938" t="s">
        <v>257</v>
      </c>
      <c r="I3938" t="s">
        <v>53</v>
      </c>
      <c r="J3938" t="s">
        <v>183</v>
      </c>
      <c r="K3938">
        <v>1</v>
      </c>
      <c r="L3938" s="28"/>
      <c r="N3938" s="26"/>
      <c r="Q3938" s="4"/>
      <c r="R3938" s="4"/>
      <c r="S3938" s="4"/>
      <c r="T3938" s="4"/>
      <c r="U3938" s="4"/>
      <c r="V3938" s="4"/>
    </row>
    <row r="3939" spans="1:22" ht="14.5" customHeight="1" x14ac:dyDescent="0.2">
      <c r="A3939">
        <v>2022</v>
      </c>
      <c r="B3939" t="s">
        <v>191</v>
      </c>
      <c r="C3939" t="s">
        <v>444</v>
      </c>
      <c r="D3939" s="65">
        <v>390</v>
      </c>
      <c r="E3939" s="33"/>
      <c r="G3939" t="s">
        <v>144</v>
      </c>
      <c r="H3939" t="s">
        <v>197</v>
      </c>
      <c r="I3939" t="s">
        <v>23</v>
      </c>
      <c r="J3939" t="s">
        <v>183</v>
      </c>
      <c r="K3939">
        <v>1</v>
      </c>
      <c r="L3939" s="28" t="s">
        <v>178</v>
      </c>
      <c r="N3939" s="26"/>
      <c r="Q3939" s="4"/>
      <c r="R3939" s="4"/>
      <c r="S3939" s="4"/>
      <c r="T3939" s="4"/>
      <c r="U3939" s="4"/>
      <c r="V3939" s="4"/>
    </row>
    <row r="3940" spans="1:22" ht="14.5" customHeight="1" x14ac:dyDescent="0.2">
      <c r="A3940">
        <v>2022</v>
      </c>
      <c r="B3940" t="s">
        <v>198</v>
      </c>
      <c r="C3940" t="s">
        <v>822</v>
      </c>
      <c r="D3940" s="65">
        <v>610</v>
      </c>
      <c r="E3940" s="33"/>
      <c r="F3940" t="s">
        <v>1243</v>
      </c>
      <c r="G3940" t="s">
        <v>150</v>
      </c>
      <c r="H3940" t="s">
        <v>556</v>
      </c>
      <c r="I3940" t="s">
        <v>108</v>
      </c>
      <c r="J3940" t="s">
        <v>183</v>
      </c>
      <c r="K3940">
        <v>1</v>
      </c>
      <c r="L3940" s="28"/>
      <c r="N3940" s="26"/>
      <c r="Q3940" s="4"/>
      <c r="R3940" s="4"/>
      <c r="S3940" s="4"/>
      <c r="T3940" s="4"/>
      <c r="U3940" s="4"/>
      <c r="V3940" s="4"/>
    </row>
    <row r="3941" spans="1:22" ht="14.5" customHeight="1" x14ac:dyDescent="0.2">
      <c r="A3941">
        <v>2022</v>
      </c>
      <c r="B3941" t="s">
        <v>198</v>
      </c>
      <c r="C3941" t="s">
        <v>822</v>
      </c>
      <c r="D3941" s="65">
        <v>300</v>
      </c>
      <c r="E3941" s="33"/>
      <c r="F3941" t="s">
        <v>2086</v>
      </c>
      <c r="G3941" t="s">
        <v>150</v>
      </c>
      <c r="H3941" t="s">
        <v>556</v>
      </c>
      <c r="I3941" t="s">
        <v>53</v>
      </c>
      <c r="J3941" t="s">
        <v>183</v>
      </c>
      <c r="K3941">
        <v>1</v>
      </c>
      <c r="L3941" s="28"/>
      <c r="N3941" s="26"/>
      <c r="Q3941" s="4"/>
      <c r="R3941" s="4"/>
      <c r="S3941" s="4"/>
      <c r="T3941" s="4"/>
      <c r="U3941" s="4"/>
      <c r="V3941" s="4"/>
    </row>
    <row r="3942" spans="1:22" ht="14.5" customHeight="1" x14ac:dyDescent="0.2">
      <c r="A3942">
        <v>2022</v>
      </c>
      <c r="B3942" t="s">
        <v>198</v>
      </c>
      <c r="C3942" t="s">
        <v>454</v>
      </c>
      <c r="D3942" s="65">
        <v>140</v>
      </c>
      <c r="E3942" s="33">
        <v>0.16</v>
      </c>
      <c r="F3942" t="s">
        <v>2030</v>
      </c>
      <c r="G3942" t="s">
        <v>145</v>
      </c>
      <c r="I3942" t="s">
        <v>61</v>
      </c>
      <c r="J3942" t="s">
        <v>183</v>
      </c>
      <c r="K3942">
        <v>0</v>
      </c>
      <c r="L3942" s="28"/>
      <c r="N3942" s="26"/>
      <c r="Q3942" s="4"/>
      <c r="R3942" s="4"/>
      <c r="S3942" s="4"/>
      <c r="T3942" s="4"/>
      <c r="U3942" s="4"/>
      <c r="V3942" s="4"/>
    </row>
    <row r="3943" spans="1:22" ht="14.5" customHeight="1" x14ac:dyDescent="0.2">
      <c r="A3943">
        <v>2022</v>
      </c>
      <c r="B3943" t="s">
        <v>198</v>
      </c>
      <c r="C3943" t="s">
        <v>410</v>
      </c>
      <c r="D3943" s="65">
        <v>120</v>
      </c>
      <c r="E3943" s="33"/>
      <c r="G3943" t="s">
        <v>154</v>
      </c>
      <c r="H3943" t="s">
        <v>194</v>
      </c>
      <c r="I3943" t="s">
        <v>124</v>
      </c>
      <c r="J3943" t="s">
        <v>183</v>
      </c>
      <c r="K3943">
        <v>1</v>
      </c>
      <c r="L3943" s="28"/>
      <c r="N3943" s="26"/>
      <c r="Q3943" s="4"/>
      <c r="R3943" s="4"/>
      <c r="S3943" s="4"/>
      <c r="T3943" s="4"/>
      <c r="U3943" s="4"/>
      <c r="V3943" s="4"/>
    </row>
    <row r="3944" spans="1:22" ht="14.5" customHeight="1" x14ac:dyDescent="0.2">
      <c r="A3944">
        <v>2022</v>
      </c>
      <c r="B3944" t="s">
        <v>198</v>
      </c>
      <c r="C3944" t="s">
        <v>269</v>
      </c>
      <c r="D3944" s="65">
        <v>140</v>
      </c>
      <c r="E3944" s="33"/>
      <c r="G3944" t="s">
        <v>148</v>
      </c>
      <c r="I3944" t="s">
        <v>130</v>
      </c>
      <c r="J3944" t="s">
        <v>214</v>
      </c>
      <c r="K3944">
        <v>1</v>
      </c>
      <c r="L3944" s="28"/>
      <c r="N3944" s="26"/>
      <c r="Q3944" s="4"/>
      <c r="R3944" s="4"/>
      <c r="S3944" s="4"/>
      <c r="T3944" s="4"/>
      <c r="U3944" s="4"/>
      <c r="V3944" s="4"/>
    </row>
    <row r="3945" spans="1:22" ht="14.5" customHeight="1" x14ac:dyDescent="0.2">
      <c r="A3945">
        <v>2022</v>
      </c>
      <c r="B3945" t="s">
        <v>198</v>
      </c>
      <c r="C3945" t="s">
        <v>1710</v>
      </c>
      <c r="D3945" s="65">
        <v>110</v>
      </c>
      <c r="E3945" s="33">
        <v>1</v>
      </c>
      <c r="F3945" t="s">
        <v>2087</v>
      </c>
      <c r="G3945" t="s">
        <v>145</v>
      </c>
      <c r="I3945" t="s">
        <v>42</v>
      </c>
      <c r="J3945" t="s">
        <v>195</v>
      </c>
      <c r="K3945">
        <v>0</v>
      </c>
      <c r="L3945" s="28"/>
      <c r="N3945" s="26"/>
      <c r="Q3945" s="4"/>
      <c r="R3945" s="4"/>
      <c r="S3945" s="4"/>
      <c r="T3945" s="4"/>
      <c r="U3945" s="4"/>
      <c r="V3945" s="4"/>
    </row>
    <row r="3946" spans="1:22" ht="14.5" customHeight="1" x14ac:dyDescent="0.2">
      <c r="A3946">
        <v>2022</v>
      </c>
      <c r="B3946" t="s">
        <v>202</v>
      </c>
      <c r="C3946" t="s">
        <v>405</v>
      </c>
      <c r="D3946" s="65">
        <v>970</v>
      </c>
      <c r="E3946" s="33">
        <v>0.46</v>
      </c>
      <c r="F3946" t="s">
        <v>315</v>
      </c>
      <c r="G3946" t="s">
        <v>149</v>
      </c>
      <c r="H3946" t="s">
        <v>182</v>
      </c>
      <c r="I3946" t="s">
        <v>9</v>
      </c>
      <c r="J3946" t="s">
        <v>9</v>
      </c>
      <c r="K3946">
        <v>0</v>
      </c>
      <c r="L3946" s="28" t="s">
        <v>178</v>
      </c>
      <c r="N3946" s="26"/>
      <c r="Q3946" s="4"/>
      <c r="R3946" s="4"/>
      <c r="S3946" s="4"/>
      <c r="T3946" s="4"/>
      <c r="U3946" s="4"/>
      <c r="V3946" s="4"/>
    </row>
    <row r="3947" spans="1:22" ht="14.5" customHeight="1" x14ac:dyDescent="0.2">
      <c r="A3947">
        <v>2022</v>
      </c>
      <c r="B3947" t="s">
        <v>202</v>
      </c>
      <c r="C3947" t="s">
        <v>454</v>
      </c>
      <c r="D3947" s="65">
        <v>300</v>
      </c>
      <c r="E3947" s="33">
        <v>0.06</v>
      </c>
      <c r="F3947" t="s">
        <v>2088</v>
      </c>
      <c r="G3947" t="s">
        <v>145</v>
      </c>
      <c r="I3947" t="s">
        <v>42</v>
      </c>
      <c r="J3947" t="s">
        <v>195</v>
      </c>
      <c r="K3947">
        <v>0</v>
      </c>
      <c r="L3947" s="28"/>
      <c r="N3947" s="26"/>
      <c r="Q3947" s="4"/>
      <c r="R3947" s="4"/>
      <c r="S3947" s="4"/>
      <c r="T3947" s="4"/>
      <c r="U3947" s="4"/>
      <c r="V3947" s="4"/>
    </row>
    <row r="3948" spans="1:22" ht="14.5" customHeight="1" x14ac:dyDescent="0.2">
      <c r="A3948">
        <v>2022</v>
      </c>
      <c r="B3948" t="s">
        <v>202</v>
      </c>
      <c r="C3948" t="s">
        <v>300</v>
      </c>
      <c r="D3948" s="65">
        <v>130</v>
      </c>
      <c r="E3948" s="33">
        <v>0.49</v>
      </c>
      <c r="F3948" t="s">
        <v>1247</v>
      </c>
      <c r="G3948" t="s">
        <v>144</v>
      </c>
      <c r="H3948" t="s">
        <v>299</v>
      </c>
      <c r="I3948" t="s">
        <v>134</v>
      </c>
      <c r="J3948" t="s">
        <v>201</v>
      </c>
      <c r="K3948">
        <v>1</v>
      </c>
      <c r="L3948" s="28"/>
      <c r="N3948" s="26"/>
      <c r="Q3948" s="4"/>
      <c r="R3948" s="4"/>
      <c r="S3948" s="4"/>
      <c r="T3948" s="4"/>
      <c r="U3948" s="4"/>
      <c r="V3948" s="4"/>
    </row>
    <row r="3949" spans="1:22" ht="14.5" customHeight="1" x14ac:dyDescent="0.2">
      <c r="A3949">
        <v>2022</v>
      </c>
      <c r="B3949" t="s">
        <v>202</v>
      </c>
      <c r="C3949" t="s">
        <v>449</v>
      </c>
      <c r="D3949" s="65">
        <v>570</v>
      </c>
      <c r="E3949" s="33"/>
      <c r="G3949" t="s">
        <v>147</v>
      </c>
      <c r="I3949" t="s">
        <v>27</v>
      </c>
      <c r="J3949" t="s">
        <v>205</v>
      </c>
      <c r="K3949">
        <v>1</v>
      </c>
      <c r="L3949" s="28" t="s">
        <v>178</v>
      </c>
      <c r="N3949" s="26"/>
      <c r="Q3949" s="4"/>
      <c r="R3949" s="4"/>
      <c r="S3949" s="4"/>
      <c r="T3949" s="4"/>
      <c r="U3949" s="4"/>
      <c r="V3949" s="4"/>
    </row>
    <row r="3950" spans="1:22" ht="14.5" customHeight="1" x14ac:dyDescent="0.2">
      <c r="A3950">
        <v>2022</v>
      </c>
      <c r="B3950" t="s">
        <v>202</v>
      </c>
      <c r="C3950" t="s">
        <v>2089</v>
      </c>
      <c r="D3950" s="65">
        <v>100</v>
      </c>
      <c r="E3950" s="33"/>
      <c r="G3950" t="s">
        <v>144</v>
      </c>
      <c r="H3950" t="s">
        <v>232</v>
      </c>
      <c r="I3950" t="s">
        <v>77</v>
      </c>
      <c r="J3950" t="s">
        <v>177</v>
      </c>
      <c r="K3950">
        <v>0</v>
      </c>
      <c r="L3950" s="28" t="s">
        <v>178</v>
      </c>
      <c r="N3950" s="26"/>
      <c r="Q3950" s="4"/>
      <c r="R3950" s="4"/>
      <c r="S3950" s="4"/>
      <c r="T3950" s="4"/>
      <c r="U3950" s="4"/>
      <c r="V3950" s="4"/>
    </row>
    <row r="3951" spans="1:22" ht="14.5" customHeight="1" x14ac:dyDescent="0.2">
      <c r="A3951">
        <v>2022</v>
      </c>
      <c r="B3951" t="s">
        <v>202</v>
      </c>
      <c r="C3951" t="s">
        <v>1990</v>
      </c>
      <c r="D3951" s="65">
        <v>110</v>
      </c>
      <c r="E3951" s="33"/>
      <c r="G3951" t="s">
        <v>144</v>
      </c>
      <c r="H3951" t="s">
        <v>232</v>
      </c>
      <c r="I3951" t="s">
        <v>118</v>
      </c>
      <c r="J3951" t="s">
        <v>195</v>
      </c>
      <c r="K3951">
        <v>0</v>
      </c>
      <c r="L3951" s="28"/>
      <c r="N3951" s="26"/>
      <c r="Q3951" s="4"/>
      <c r="R3951" s="4"/>
      <c r="S3951" s="4"/>
      <c r="T3951" s="4"/>
      <c r="U3951" s="4"/>
      <c r="V3951" s="4"/>
    </row>
    <row r="3952" spans="1:22" ht="14.5" customHeight="1" x14ac:dyDescent="0.2">
      <c r="A3952">
        <v>2022</v>
      </c>
      <c r="B3952" t="s">
        <v>202</v>
      </c>
      <c r="C3952" t="s">
        <v>2090</v>
      </c>
      <c r="D3952" s="65">
        <v>230</v>
      </c>
      <c r="E3952" s="33"/>
      <c r="F3952" t="s">
        <v>2091</v>
      </c>
      <c r="G3952" t="s">
        <v>151</v>
      </c>
      <c r="H3952" t="s">
        <v>224</v>
      </c>
      <c r="I3952" t="s">
        <v>108</v>
      </c>
      <c r="J3952" t="s">
        <v>183</v>
      </c>
      <c r="K3952">
        <v>1</v>
      </c>
      <c r="L3952" s="28" t="s">
        <v>178</v>
      </c>
      <c r="N3952" s="26"/>
      <c r="Q3952" s="4"/>
      <c r="R3952" s="4"/>
      <c r="S3952" s="4"/>
      <c r="T3952" s="4"/>
      <c r="U3952" s="4"/>
      <c r="V3952" s="4"/>
    </row>
    <row r="3953" spans="1:22" ht="14.5" customHeight="1" x14ac:dyDescent="0.2">
      <c r="A3953">
        <v>2022</v>
      </c>
      <c r="B3953" t="s">
        <v>207</v>
      </c>
      <c r="C3953" t="s">
        <v>2092</v>
      </c>
      <c r="D3953" s="65">
        <v>170</v>
      </c>
      <c r="E3953" s="33">
        <v>0.5</v>
      </c>
      <c r="F3953" t="s">
        <v>2093</v>
      </c>
      <c r="G3953" t="s">
        <v>142</v>
      </c>
      <c r="I3953" t="s">
        <v>39</v>
      </c>
      <c r="J3953" t="s">
        <v>219</v>
      </c>
      <c r="K3953">
        <v>1</v>
      </c>
      <c r="L3953" s="28"/>
      <c r="N3953" s="26"/>
      <c r="Q3953" s="4"/>
      <c r="R3953" s="4"/>
      <c r="S3953" s="4"/>
      <c r="T3953" s="4"/>
      <c r="U3953" s="4"/>
      <c r="V3953" s="4"/>
    </row>
    <row r="3954" spans="1:22" ht="14.5" customHeight="1" x14ac:dyDescent="0.2">
      <c r="A3954">
        <v>2022</v>
      </c>
      <c r="B3954" t="s">
        <v>207</v>
      </c>
      <c r="C3954" t="s">
        <v>559</v>
      </c>
      <c r="D3954" s="65">
        <v>360</v>
      </c>
      <c r="E3954" s="33">
        <v>0.95</v>
      </c>
      <c r="F3954" t="s">
        <v>2094</v>
      </c>
      <c r="G3954" t="s">
        <v>149</v>
      </c>
      <c r="I3954" t="s">
        <v>117</v>
      </c>
      <c r="J3954" t="s">
        <v>205</v>
      </c>
      <c r="K3954">
        <v>1</v>
      </c>
      <c r="L3954" s="28"/>
      <c r="N3954" s="26"/>
      <c r="Q3954" s="4"/>
      <c r="R3954" s="4"/>
      <c r="S3954" s="4"/>
      <c r="T3954" s="4"/>
      <c r="U3954" s="4"/>
      <c r="V3954" s="4"/>
    </row>
    <row r="3955" spans="1:22" ht="14.5" customHeight="1" x14ac:dyDescent="0.2">
      <c r="A3955">
        <v>2022</v>
      </c>
      <c r="B3955" t="s">
        <v>207</v>
      </c>
      <c r="C3955" t="s">
        <v>530</v>
      </c>
      <c r="D3955" s="65">
        <v>150</v>
      </c>
      <c r="E3955" s="33"/>
      <c r="G3955" t="s">
        <v>152</v>
      </c>
      <c r="H3955" t="s">
        <v>257</v>
      </c>
      <c r="I3955" t="s">
        <v>56</v>
      </c>
      <c r="J3955" t="s">
        <v>195</v>
      </c>
      <c r="K3955">
        <v>0</v>
      </c>
      <c r="L3955" s="28" t="s">
        <v>178</v>
      </c>
      <c r="N3955" s="26"/>
      <c r="Q3955" s="4"/>
      <c r="R3955" s="4"/>
      <c r="S3955" s="4"/>
      <c r="T3955" s="4"/>
      <c r="U3955" s="4"/>
      <c r="V3955" s="4"/>
    </row>
    <row r="3956" spans="1:22" ht="14.5" customHeight="1" x14ac:dyDescent="0.2">
      <c r="A3956">
        <v>2022</v>
      </c>
      <c r="B3956" t="s">
        <v>207</v>
      </c>
      <c r="C3956" t="s">
        <v>798</v>
      </c>
      <c r="D3956" s="65">
        <v>750</v>
      </c>
      <c r="E3956" s="33"/>
      <c r="G3956" t="s">
        <v>149</v>
      </c>
      <c r="H3956" t="s">
        <v>182</v>
      </c>
      <c r="I3956" t="s">
        <v>139</v>
      </c>
      <c r="J3956" t="s">
        <v>219</v>
      </c>
      <c r="K3956">
        <v>1</v>
      </c>
      <c r="L3956" s="28" t="s">
        <v>178</v>
      </c>
      <c r="N3956" s="26"/>
      <c r="Q3956" s="4"/>
      <c r="R3956" s="4"/>
      <c r="S3956" s="4"/>
      <c r="T3956" s="4"/>
      <c r="U3956" s="4"/>
      <c r="V3956" s="4"/>
    </row>
    <row r="3957" spans="1:22" ht="14.5" customHeight="1" x14ac:dyDescent="0.2">
      <c r="A3957">
        <v>2022</v>
      </c>
      <c r="B3957" t="s">
        <v>207</v>
      </c>
      <c r="C3957" t="s">
        <v>244</v>
      </c>
      <c r="D3957" s="65">
        <v>200</v>
      </c>
      <c r="G3957" t="s">
        <v>149</v>
      </c>
      <c r="I3957" t="s">
        <v>139</v>
      </c>
      <c r="J3957" t="s">
        <v>219</v>
      </c>
      <c r="K3957">
        <v>1</v>
      </c>
      <c r="N3957" s="26"/>
      <c r="Q3957" s="4"/>
      <c r="R3957" s="4"/>
      <c r="S3957" s="4"/>
      <c r="T3957" s="4"/>
      <c r="U3957" s="4"/>
      <c r="V3957" s="4"/>
    </row>
    <row r="3958" spans="1:22" ht="14.5" customHeight="1" x14ac:dyDescent="0.2">
      <c r="A3958">
        <v>2022</v>
      </c>
      <c r="B3958" t="s">
        <v>207</v>
      </c>
      <c r="C3958" t="s">
        <v>1061</v>
      </c>
      <c r="D3958" s="65">
        <v>490</v>
      </c>
      <c r="E3958" s="33"/>
      <c r="F3958" t="s">
        <v>2095</v>
      </c>
      <c r="G3958" t="s">
        <v>154</v>
      </c>
      <c r="H3958" t="s">
        <v>194</v>
      </c>
      <c r="I3958" t="s">
        <v>124</v>
      </c>
      <c r="J3958" t="s">
        <v>183</v>
      </c>
      <c r="K3958">
        <v>1</v>
      </c>
      <c r="L3958" s="28" t="s">
        <v>178</v>
      </c>
      <c r="N3958" s="26"/>
      <c r="Q3958" s="4"/>
      <c r="R3958" s="4"/>
      <c r="S3958" s="4"/>
      <c r="T3958" s="4"/>
      <c r="U3958" s="4"/>
      <c r="V3958" s="4"/>
    </row>
    <row r="3959" spans="1:22" ht="14.5" customHeight="1" x14ac:dyDescent="0.2">
      <c r="A3959">
        <v>2022</v>
      </c>
      <c r="B3959" t="s">
        <v>240</v>
      </c>
      <c r="C3959" t="s">
        <v>2096</v>
      </c>
      <c r="D3959" s="65">
        <v>140</v>
      </c>
      <c r="E3959" s="33">
        <v>0.51</v>
      </c>
      <c r="F3959" t="s">
        <v>2097</v>
      </c>
      <c r="G3959" t="s">
        <v>154</v>
      </c>
      <c r="H3959" t="s">
        <v>194</v>
      </c>
      <c r="I3959" t="s">
        <v>136</v>
      </c>
      <c r="J3959" t="s">
        <v>183</v>
      </c>
      <c r="K3959">
        <v>1</v>
      </c>
      <c r="L3959" s="28" t="s">
        <v>178</v>
      </c>
      <c r="N3959" s="26"/>
      <c r="Q3959" s="4"/>
      <c r="R3959" s="4"/>
      <c r="S3959" s="4"/>
      <c r="T3959" s="4"/>
      <c r="U3959" s="4"/>
      <c r="V3959" s="4"/>
    </row>
    <row r="3960" spans="1:22" ht="14.5" customHeight="1" x14ac:dyDescent="0.2">
      <c r="A3960">
        <v>2022</v>
      </c>
      <c r="B3960" t="s">
        <v>240</v>
      </c>
      <c r="C3960" t="s">
        <v>554</v>
      </c>
      <c r="D3960" s="65">
        <v>230</v>
      </c>
      <c r="E3960" s="33">
        <v>1</v>
      </c>
      <c r="F3960" t="s">
        <v>2098</v>
      </c>
      <c r="G3960" t="s">
        <v>147</v>
      </c>
      <c r="I3960" t="s">
        <v>42</v>
      </c>
      <c r="J3960" t="s">
        <v>195</v>
      </c>
      <c r="K3960">
        <v>0</v>
      </c>
      <c r="L3960" s="28"/>
      <c r="N3960" s="26"/>
      <c r="Q3960" s="4"/>
      <c r="R3960" s="4"/>
      <c r="S3960" s="4"/>
      <c r="T3960" s="4"/>
      <c r="U3960" s="4"/>
      <c r="V3960" s="4"/>
    </row>
    <row r="3961" spans="1:22" ht="14.5" customHeight="1" x14ac:dyDescent="0.2">
      <c r="A3961">
        <v>2022</v>
      </c>
      <c r="B3961" t="s">
        <v>240</v>
      </c>
      <c r="C3961" t="s">
        <v>2099</v>
      </c>
      <c r="D3961" s="65">
        <v>140</v>
      </c>
      <c r="E3961" s="33">
        <v>0.7</v>
      </c>
      <c r="G3961" t="s">
        <v>149</v>
      </c>
      <c r="I3961" t="s">
        <v>83</v>
      </c>
      <c r="J3961" t="s">
        <v>219</v>
      </c>
      <c r="K3961">
        <v>1</v>
      </c>
      <c r="L3961" s="28"/>
      <c r="N3961" s="26"/>
      <c r="Q3961" s="4"/>
      <c r="R3961" s="4"/>
      <c r="S3961" s="4"/>
      <c r="T3961" s="4"/>
      <c r="U3961" s="4"/>
      <c r="V3961" s="4"/>
    </row>
    <row r="3962" spans="1:22" ht="14.5" customHeight="1" x14ac:dyDescent="0.2">
      <c r="A3962">
        <v>2022</v>
      </c>
      <c r="B3962" t="s">
        <v>240</v>
      </c>
      <c r="C3962" t="s">
        <v>185</v>
      </c>
      <c r="D3962" s="65">
        <v>1900</v>
      </c>
      <c r="E3962" s="33">
        <v>0.05</v>
      </c>
      <c r="F3962" t="s">
        <v>2100</v>
      </c>
      <c r="G3962" t="s">
        <v>144</v>
      </c>
      <c r="I3962" t="s">
        <v>19</v>
      </c>
      <c r="J3962" t="s">
        <v>205</v>
      </c>
      <c r="K3962">
        <v>0</v>
      </c>
      <c r="L3962" s="28"/>
      <c r="N3962" s="26"/>
      <c r="Q3962" s="4"/>
      <c r="R3962" s="4"/>
      <c r="S3962" s="4"/>
      <c r="T3962" s="4"/>
      <c r="U3962" s="4"/>
      <c r="V3962" s="4"/>
    </row>
    <row r="3963" spans="1:22" ht="14.5" customHeight="1" x14ac:dyDescent="0.2">
      <c r="A3963">
        <v>2022</v>
      </c>
      <c r="B3963" t="s">
        <v>240</v>
      </c>
      <c r="C3963" t="s">
        <v>2101</v>
      </c>
      <c r="D3963" s="65">
        <v>120</v>
      </c>
      <c r="E3963" s="33">
        <v>0.51</v>
      </c>
      <c r="F3963" t="s">
        <v>2102</v>
      </c>
      <c r="G3963" t="s">
        <v>150</v>
      </c>
      <c r="H3963" t="s">
        <v>292</v>
      </c>
      <c r="I3963" t="s">
        <v>20</v>
      </c>
      <c r="J3963" t="s">
        <v>195</v>
      </c>
      <c r="K3963">
        <v>0</v>
      </c>
      <c r="L3963" s="28"/>
      <c r="N3963" s="26"/>
      <c r="Q3963" s="4"/>
      <c r="R3963" s="4"/>
      <c r="S3963" s="4"/>
      <c r="T3963" s="4"/>
      <c r="U3963" s="4"/>
      <c r="V3963" s="4"/>
    </row>
    <row r="3964" spans="1:22" ht="14.5" customHeight="1" x14ac:dyDescent="0.2">
      <c r="A3964">
        <v>2022</v>
      </c>
      <c r="B3964" t="s">
        <v>240</v>
      </c>
      <c r="C3964" t="s">
        <v>1287</v>
      </c>
      <c r="D3964" s="65">
        <v>890</v>
      </c>
      <c r="E3964" s="33"/>
      <c r="G3964" t="s">
        <v>154</v>
      </c>
      <c r="H3964" t="s">
        <v>194</v>
      </c>
      <c r="I3964" t="s">
        <v>42</v>
      </c>
      <c r="J3964" t="s">
        <v>195</v>
      </c>
      <c r="K3964">
        <v>0</v>
      </c>
      <c r="L3964" s="28" t="s">
        <v>178</v>
      </c>
      <c r="N3964" s="26"/>
      <c r="Q3964" s="4"/>
      <c r="R3964" s="4"/>
      <c r="S3964" s="4"/>
      <c r="T3964" s="4"/>
      <c r="U3964" s="4"/>
      <c r="V3964" s="4"/>
    </row>
    <row r="3965" spans="1:22" ht="14.5" customHeight="1" x14ac:dyDescent="0.2">
      <c r="A3965">
        <v>2022</v>
      </c>
      <c r="B3965" t="s">
        <v>212</v>
      </c>
      <c r="C3965" t="s">
        <v>822</v>
      </c>
      <c r="D3965" s="65">
        <v>340</v>
      </c>
      <c r="E3965" s="33"/>
      <c r="F3965" t="s">
        <v>1243</v>
      </c>
      <c r="G3965" t="s">
        <v>150</v>
      </c>
      <c r="H3965" t="s">
        <v>556</v>
      </c>
      <c r="I3965" t="s">
        <v>108</v>
      </c>
      <c r="J3965" t="s">
        <v>183</v>
      </c>
      <c r="K3965">
        <v>1</v>
      </c>
      <c r="L3965" s="28"/>
      <c r="N3965" s="26"/>
      <c r="Q3965" s="4"/>
      <c r="R3965" s="4"/>
      <c r="S3965" s="4"/>
      <c r="T3965" s="4"/>
      <c r="U3965" s="4"/>
      <c r="V3965" s="4"/>
    </row>
    <row r="3966" spans="1:22" ht="14.5" customHeight="1" x14ac:dyDescent="0.2">
      <c r="A3966">
        <v>2022</v>
      </c>
      <c r="B3966" t="s">
        <v>212</v>
      </c>
      <c r="C3966" t="s">
        <v>2103</v>
      </c>
      <c r="D3966" s="65">
        <v>100</v>
      </c>
      <c r="E3966" s="33">
        <v>0.5</v>
      </c>
      <c r="F3966" t="s">
        <v>1812</v>
      </c>
      <c r="G3966" t="s">
        <v>149</v>
      </c>
      <c r="I3966" t="s">
        <v>28</v>
      </c>
      <c r="J3966" t="s">
        <v>205</v>
      </c>
      <c r="K3966">
        <v>0</v>
      </c>
      <c r="L3966" s="28"/>
      <c r="N3966" s="26"/>
      <c r="Q3966" s="4"/>
      <c r="R3966" s="4"/>
      <c r="S3966" s="4"/>
      <c r="T3966" s="4"/>
      <c r="U3966" s="4"/>
      <c r="V3966" s="4"/>
    </row>
    <row r="3967" spans="1:22" ht="14.5" customHeight="1" x14ac:dyDescent="0.2">
      <c r="A3967">
        <v>2022</v>
      </c>
      <c r="B3967" t="s">
        <v>212</v>
      </c>
      <c r="C3967" t="s">
        <v>1180</v>
      </c>
      <c r="D3967" s="65">
        <v>240</v>
      </c>
      <c r="E3967" s="33"/>
      <c r="G3967" t="s">
        <v>144</v>
      </c>
      <c r="H3967" t="s">
        <v>232</v>
      </c>
      <c r="I3967" t="s">
        <v>77</v>
      </c>
      <c r="J3967" t="s">
        <v>177</v>
      </c>
      <c r="K3967">
        <v>0</v>
      </c>
      <c r="L3967" s="28"/>
      <c r="N3967" s="26"/>
      <c r="Q3967" s="4"/>
      <c r="R3967" s="4"/>
      <c r="S3967" s="4"/>
      <c r="T3967" s="4"/>
      <c r="U3967" s="4"/>
      <c r="V3967" s="4"/>
    </row>
    <row r="3968" spans="1:22" ht="14.5" customHeight="1" x14ac:dyDescent="0.2">
      <c r="A3968">
        <v>2022</v>
      </c>
      <c r="B3968" t="s">
        <v>212</v>
      </c>
      <c r="C3968" t="s">
        <v>1687</v>
      </c>
      <c r="D3968" s="65">
        <v>940</v>
      </c>
      <c r="E3968" s="33"/>
      <c r="G3968" t="s">
        <v>150</v>
      </c>
      <c r="H3968" t="s">
        <v>226</v>
      </c>
      <c r="I3968" t="s">
        <v>72</v>
      </c>
      <c r="J3968" t="s">
        <v>183</v>
      </c>
      <c r="K3968">
        <v>1</v>
      </c>
      <c r="L3968" s="28" t="s">
        <v>178</v>
      </c>
      <c r="N3968" s="26"/>
      <c r="Q3968" s="4"/>
      <c r="R3968" s="4"/>
      <c r="S3968" s="4"/>
      <c r="T3968" s="4"/>
      <c r="U3968" s="4"/>
      <c r="V3968" s="4"/>
    </row>
    <row r="3969" spans="1:22" ht="14.5" customHeight="1" x14ac:dyDescent="0.2">
      <c r="A3969">
        <v>2022</v>
      </c>
      <c r="B3969" t="s">
        <v>212</v>
      </c>
      <c r="C3969" t="s">
        <v>2104</v>
      </c>
      <c r="D3969" s="65">
        <v>150</v>
      </c>
      <c r="E3969" s="33"/>
      <c r="G3969" t="s">
        <v>150</v>
      </c>
      <c r="H3969" t="s">
        <v>292</v>
      </c>
      <c r="I3969" t="s">
        <v>136</v>
      </c>
      <c r="J3969" t="s">
        <v>183</v>
      </c>
      <c r="K3969">
        <v>1</v>
      </c>
      <c r="L3969" s="28" t="s">
        <v>178</v>
      </c>
      <c r="N3969" s="26"/>
      <c r="Q3969" s="4"/>
      <c r="R3969" s="4"/>
      <c r="S3969" s="4"/>
      <c r="T3969" s="4"/>
      <c r="U3969" s="4"/>
      <c r="V3969" s="4"/>
    </row>
    <row r="3970" spans="1:22" ht="14.5" customHeight="1" x14ac:dyDescent="0.2">
      <c r="A3970">
        <v>2022</v>
      </c>
      <c r="B3970" t="s">
        <v>212</v>
      </c>
      <c r="C3970" t="s">
        <v>1035</v>
      </c>
      <c r="D3970" s="65">
        <v>750</v>
      </c>
      <c r="E3970" s="33">
        <v>0.5</v>
      </c>
      <c r="F3970" t="s">
        <v>2105</v>
      </c>
      <c r="G3970" t="s">
        <v>144</v>
      </c>
      <c r="H3970" t="s">
        <v>232</v>
      </c>
      <c r="I3970" t="s">
        <v>67</v>
      </c>
      <c r="J3970" t="s">
        <v>183</v>
      </c>
      <c r="K3970">
        <v>1</v>
      </c>
      <c r="L3970" s="28" t="s">
        <v>178</v>
      </c>
      <c r="N3970" s="26"/>
      <c r="Q3970" s="4"/>
      <c r="R3970" s="4"/>
      <c r="S3970" s="4"/>
      <c r="T3970" s="4"/>
      <c r="U3970" s="4"/>
      <c r="V3970" s="4"/>
    </row>
    <row r="3971" spans="1:22" ht="14.5" customHeight="1" x14ac:dyDescent="0.2">
      <c r="A3971">
        <v>2022</v>
      </c>
      <c r="B3971" t="s">
        <v>212</v>
      </c>
      <c r="C3971" t="s">
        <v>300</v>
      </c>
      <c r="D3971" s="65">
        <v>590</v>
      </c>
      <c r="E3971" s="33">
        <v>0.05</v>
      </c>
      <c r="F3971" t="s">
        <v>709</v>
      </c>
      <c r="G3971" t="s">
        <v>144</v>
      </c>
      <c r="H3971" t="s">
        <v>187</v>
      </c>
      <c r="I3971" t="s">
        <v>119</v>
      </c>
      <c r="J3971" t="s">
        <v>195</v>
      </c>
      <c r="K3971">
        <v>0</v>
      </c>
      <c r="L3971" s="28"/>
      <c r="N3971" s="26"/>
      <c r="Q3971" s="4"/>
      <c r="R3971" s="4"/>
      <c r="S3971" s="4"/>
      <c r="T3971" s="4"/>
      <c r="U3971" s="4"/>
      <c r="V3971" s="4"/>
    </row>
    <row r="3972" spans="1:22" ht="14.5" customHeight="1" x14ac:dyDescent="0.2">
      <c r="A3972">
        <v>2022</v>
      </c>
      <c r="B3972" t="s">
        <v>212</v>
      </c>
      <c r="C3972" s="17" t="s">
        <v>2106</v>
      </c>
      <c r="D3972" s="66">
        <v>230</v>
      </c>
      <c r="E3972" s="37">
        <v>0.8</v>
      </c>
      <c r="F3972" s="17"/>
      <c r="G3972" s="17" t="s">
        <v>144</v>
      </c>
      <c r="H3972" s="17" t="s">
        <v>197</v>
      </c>
      <c r="I3972" s="17" t="s">
        <v>84</v>
      </c>
      <c r="J3972" s="17" t="s">
        <v>201</v>
      </c>
      <c r="K3972" s="17">
        <v>1</v>
      </c>
      <c r="L3972" s="67" t="s">
        <v>178</v>
      </c>
      <c r="N3972" s="26"/>
      <c r="Q3972" s="4"/>
      <c r="R3972" s="4"/>
      <c r="S3972" s="4"/>
      <c r="T3972" s="4"/>
      <c r="U3972" s="4"/>
      <c r="V3972" s="4"/>
    </row>
    <row r="3973" spans="1:22" ht="15" customHeight="1" x14ac:dyDescent="0.2">
      <c r="A3973">
        <v>2022</v>
      </c>
      <c r="B3973" t="s">
        <v>212</v>
      </c>
      <c r="C3973" s="17" t="s">
        <v>2099</v>
      </c>
      <c r="D3973" s="66">
        <v>240</v>
      </c>
      <c r="E3973" s="37"/>
      <c r="F3973" s="17"/>
      <c r="G3973" s="17" t="s">
        <v>149</v>
      </c>
      <c r="H3973" s="17"/>
      <c r="I3973" s="17" t="s">
        <v>139</v>
      </c>
      <c r="J3973" s="17" t="s">
        <v>219</v>
      </c>
      <c r="K3973" s="17">
        <v>1</v>
      </c>
      <c r="L3973" s="67" t="s">
        <v>178</v>
      </c>
      <c r="N3973" s="26"/>
      <c r="Q3973" s="4"/>
      <c r="R3973" s="4"/>
      <c r="S3973" s="4"/>
      <c r="T3973" s="4"/>
      <c r="U3973" s="4"/>
      <c r="V3973" s="4"/>
    </row>
    <row r="3974" spans="1:22" ht="15" customHeight="1" x14ac:dyDescent="0.2">
      <c r="A3974">
        <v>2022</v>
      </c>
      <c r="B3974" t="s">
        <v>212</v>
      </c>
      <c r="C3974" s="17" t="s">
        <v>1287</v>
      </c>
      <c r="D3974" s="66">
        <v>1950</v>
      </c>
      <c r="E3974" s="37"/>
      <c r="F3974" s="17"/>
      <c r="G3974" s="17" t="s">
        <v>154</v>
      </c>
      <c r="H3974" s="17" t="s">
        <v>194</v>
      </c>
      <c r="I3974" s="17" t="s">
        <v>131</v>
      </c>
      <c r="J3974" s="17" t="s">
        <v>131</v>
      </c>
      <c r="K3974" s="17">
        <v>0</v>
      </c>
      <c r="L3974" s="67" t="s">
        <v>178</v>
      </c>
      <c r="N3974" s="26"/>
      <c r="Q3974" s="4"/>
      <c r="R3974" s="4"/>
      <c r="S3974" s="4"/>
      <c r="T3974" s="4"/>
      <c r="U3974" s="4"/>
      <c r="V3974" s="4"/>
    </row>
    <row r="3975" spans="1:22" s="17" customFormat="1" ht="14.5" customHeight="1" x14ac:dyDescent="0.2">
      <c r="A3975">
        <v>2022</v>
      </c>
      <c r="B3975" t="s">
        <v>212</v>
      </c>
      <c r="C3975" s="17" t="s">
        <v>255</v>
      </c>
      <c r="D3975" s="66">
        <v>1000</v>
      </c>
      <c r="E3975" s="37"/>
      <c r="G3975" s="17" t="s">
        <v>152</v>
      </c>
      <c r="H3975" s="17" t="s">
        <v>257</v>
      </c>
      <c r="I3975" s="17" t="s">
        <v>93</v>
      </c>
      <c r="J3975" s="17" t="s">
        <v>201</v>
      </c>
      <c r="K3975" s="17">
        <v>1</v>
      </c>
      <c r="L3975" s="67"/>
      <c r="N3975" s="26"/>
      <c r="Q3975" s="4"/>
      <c r="R3975" s="4"/>
      <c r="S3975" s="4"/>
      <c r="T3975" s="4"/>
      <c r="U3975" s="4"/>
      <c r="V3975" s="4"/>
    </row>
    <row r="3976" spans="1:22" ht="14.5" customHeight="1" x14ac:dyDescent="0.2">
      <c r="A3976" s="54">
        <v>2022</v>
      </c>
      <c r="B3976" t="s">
        <v>172</v>
      </c>
      <c r="C3976" t="s">
        <v>479</v>
      </c>
      <c r="D3976" s="22">
        <v>150</v>
      </c>
      <c r="E3976" s="16"/>
      <c r="G3976" t="s">
        <v>154</v>
      </c>
      <c r="H3976" t="s">
        <v>194</v>
      </c>
      <c r="I3976" t="s">
        <v>13</v>
      </c>
      <c r="J3976" t="s">
        <v>201</v>
      </c>
      <c r="K3976">
        <v>1</v>
      </c>
      <c r="N3976" s="26"/>
      <c r="Q3976" s="4"/>
      <c r="R3976" s="4"/>
      <c r="S3976" s="4"/>
      <c r="T3976" s="4"/>
      <c r="U3976" s="4"/>
      <c r="V3976" s="4"/>
    </row>
    <row r="3977" spans="1:22" ht="14.5" customHeight="1" x14ac:dyDescent="0.2">
      <c r="A3977" s="54">
        <v>2022</v>
      </c>
      <c r="B3977" t="s">
        <v>172</v>
      </c>
      <c r="C3977" t="s">
        <v>479</v>
      </c>
      <c r="D3977" s="22">
        <v>150</v>
      </c>
      <c r="E3977" s="16"/>
      <c r="G3977" t="s">
        <v>154</v>
      </c>
      <c r="H3977" t="s">
        <v>529</v>
      </c>
      <c r="I3977" t="s">
        <v>9</v>
      </c>
      <c r="J3977" t="s">
        <v>9</v>
      </c>
      <c r="K3977">
        <v>0</v>
      </c>
      <c r="N3977" s="26"/>
      <c r="Q3977" s="4"/>
      <c r="R3977" s="4"/>
      <c r="S3977" s="4"/>
      <c r="T3977" s="4"/>
      <c r="U3977" s="4"/>
      <c r="V3977" s="4"/>
    </row>
    <row r="3978" spans="1:22" ht="14.5" customHeight="1" x14ac:dyDescent="0.2">
      <c r="A3978" s="54">
        <v>2022</v>
      </c>
      <c r="B3978" t="s">
        <v>172</v>
      </c>
      <c r="C3978" t="s">
        <v>479</v>
      </c>
      <c r="D3978" s="22">
        <v>270</v>
      </c>
      <c r="E3978" s="16">
        <v>0.52</v>
      </c>
      <c r="F3978" t="s">
        <v>2750</v>
      </c>
      <c r="G3978" t="s">
        <v>154</v>
      </c>
      <c r="H3978" t="s">
        <v>194</v>
      </c>
      <c r="I3978" t="s">
        <v>9</v>
      </c>
      <c r="J3978" t="s">
        <v>9</v>
      </c>
      <c r="K3978">
        <v>0</v>
      </c>
      <c r="N3978" s="26"/>
      <c r="Q3978" s="4"/>
      <c r="R3978" s="4"/>
      <c r="S3978" s="4"/>
      <c r="T3978" s="4"/>
      <c r="U3978" s="4"/>
      <c r="V3978" s="4"/>
    </row>
    <row r="3979" spans="1:22" ht="14.5" customHeight="1" x14ac:dyDescent="0.2">
      <c r="A3979" s="54">
        <v>2022</v>
      </c>
      <c r="B3979" t="s">
        <v>172</v>
      </c>
      <c r="C3979" t="s">
        <v>397</v>
      </c>
      <c r="D3979" s="22">
        <v>170</v>
      </c>
      <c r="E3979" s="16"/>
      <c r="F3979" t="s">
        <v>3034</v>
      </c>
      <c r="G3979" t="s">
        <v>151</v>
      </c>
      <c r="H3979" t="s">
        <v>279</v>
      </c>
      <c r="I3979" t="s">
        <v>130</v>
      </c>
      <c r="J3979" t="s">
        <v>214</v>
      </c>
      <c r="K3979">
        <v>1</v>
      </c>
      <c r="N3979" s="26"/>
      <c r="Q3979" s="4"/>
      <c r="R3979" s="4"/>
      <c r="S3979" s="4"/>
      <c r="T3979" s="4"/>
      <c r="U3979" s="4"/>
      <c r="V3979" s="4"/>
    </row>
    <row r="3980" spans="1:22" ht="14.5" customHeight="1" x14ac:dyDescent="0.2">
      <c r="A3980" s="54">
        <v>2022</v>
      </c>
      <c r="B3980" t="s">
        <v>172</v>
      </c>
      <c r="C3980" t="s">
        <v>1356</v>
      </c>
      <c r="D3980" s="22">
        <v>170</v>
      </c>
      <c r="E3980" s="16"/>
      <c r="G3980" t="s">
        <v>147</v>
      </c>
      <c r="I3980" t="s">
        <v>64</v>
      </c>
      <c r="J3980" t="s">
        <v>219</v>
      </c>
      <c r="K3980">
        <v>1</v>
      </c>
      <c r="N3980" s="26"/>
      <c r="Q3980" s="4"/>
      <c r="R3980" s="4"/>
      <c r="S3980" s="4"/>
      <c r="T3980" s="4"/>
      <c r="U3980" s="4"/>
      <c r="V3980" s="4"/>
    </row>
    <row r="3981" spans="1:22" ht="14.5" customHeight="1" x14ac:dyDescent="0.2">
      <c r="A3981" s="54">
        <v>2022</v>
      </c>
      <c r="B3981" t="s">
        <v>172</v>
      </c>
      <c r="C3981" t="s">
        <v>875</v>
      </c>
      <c r="D3981" s="22">
        <v>880</v>
      </c>
      <c r="E3981" s="16"/>
      <c r="G3981" t="s">
        <v>144</v>
      </c>
      <c r="H3981" t="s">
        <v>299</v>
      </c>
      <c r="I3981" t="s">
        <v>55</v>
      </c>
      <c r="J3981" t="s">
        <v>214</v>
      </c>
      <c r="K3981">
        <v>1</v>
      </c>
      <c r="N3981" s="26"/>
      <c r="Q3981" s="4"/>
      <c r="R3981" s="4"/>
      <c r="S3981" s="4"/>
      <c r="T3981" s="4"/>
      <c r="U3981" s="4"/>
      <c r="V3981" s="4"/>
    </row>
    <row r="3982" spans="1:22" ht="14.5" customHeight="1" x14ac:dyDescent="0.2">
      <c r="A3982" s="54">
        <v>2022</v>
      </c>
      <c r="B3982" t="s">
        <v>172</v>
      </c>
      <c r="C3982" t="s">
        <v>2667</v>
      </c>
      <c r="D3982" s="22">
        <v>140</v>
      </c>
      <c r="E3982" s="16"/>
      <c r="G3982" t="s">
        <v>144</v>
      </c>
      <c r="H3982" t="s">
        <v>232</v>
      </c>
      <c r="I3982" t="s">
        <v>97</v>
      </c>
      <c r="J3982" t="s">
        <v>183</v>
      </c>
      <c r="K3982">
        <v>1</v>
      </c>
      <c r="N3982" s="26"/>
      <c r="Q3982" s="4"/>
      <c r="R3982" s="4"/>
      <c r="S3982" s="4"/>
      <c r="T3982" s="4"/>
      <c r="U3982" s="4"/>
      <c r="V3982" s="4"/>
    </row>
    <row r="3983" spans="1:22" ht="14.5" customHeight="1" x14ac:dyDescent="0.2">
      <c r="A3983" s="54">
        <v>2022</v>
      </c>
      <c r="B3983" t="s">
        <v>172</v>
      </c>
      <c r="C3983" t="s">
        <v>185</v>
      </c>
      <c r="D3983" s="22">
        <v>120</v>
      </c>
      <c r="E3983" s="16"/>
      <c r="F3983" t="s">
        <v>993</v>
      </c>
      <c r="G3983" t="s">
        <v>144</v>
      </c>
      <c r="H3983" t="s">
        <v>187</v>
      </c>
      <c r="I3983" t="s">
        <v>19</v>
      </c>
      <c r="J3983" t="s">
        <v>205</v>
      </c>
      <c r="K3983">
        <v>0</v>
      </c>
      <c r="N3983" s="26"/>
      <c r="Q3983" s="4"/>
      <c r="R3983" s="4"/>
      <c r="S3983" s="4"/>
      <c r="T3983" s="4"/>
      <c r="U3983" s="4"/>
      <c r="V3983" s="4"/>
    </row>
    <row r="3984" spans="1:22" ht="14.5" customHeight="1" x14ac:dyDescent="0.2">
      <c r="A3984" s="54">
        <v>2022</v>
      </c>
      <c r="B3984" t="s">
        <v>172</v>
      </c>
      <c r="C3984" t="s">
        <v>479</v>
      </c>
      <c r="D3984" s="22">
        <v>360</v>
      </c>
      <c r="E3984" s="16">
        <v>0.5</v>
      </c>
      <c r="F3984" t="s">
        <v>3035</v>
      </c>
      <c r="G3984" t="s">
        <v>151</v>
      </c>
      <c r="H3984" t="s">
        <v>279</v>
      </c>
      <c r="I3984" t="s">
        <v>97</v>
      </c>
      <c r="J3984" t="s">
        <v>183</v>
      </c>
      <c r="K3984">
        <v>1</v>
      </c>
      <c r="N3984" s="26"/>
      <c r="Q3984" s="4"/>
      <c r="R3984" s="4"/>
      <c r="S3984" s="4"/>
      <c r="T3984" s="4"/>
      <c r="U3984" s="4"/>
      <c r="V3984" s="4"/>
    </row>
    <row r="3985" spans="1:22" ht="14.5" customHeight="1" x14ac:dyDescent="0.2">
      <c r="A3985" s="54">
        <v>2022</v>
      </c>
      <c r="B3985" t="s">
        <v>172</v>
      </c>
      <c r="C3985" t="s">
        <v>557</v>
      </c>
      <c r="D3985" s="22">
        <v>1050</v>
      </c>
      <c r="E3985" s="16"/>
      <c r="F3985" t="s">
        <v>2917</v>
      </c>
      <c r="G3985" t="s">
        <v>151</v>
      </c>
      <c r="H3985" t="s">
        <v>279</v>
      </c>
      <c r="I3985" t="s">
        <v>89</v>
      </c>
      <c r="J3985" t="s">
        <v>219</v>
      </c>
      <c r="K3985">
        <v>1</v>
      </c>
      <c r="N3985" s="26"/>
      <c r="Q3985" s="4"/>
      <c r="R3985" s="4"/>
      <c r="S3985" s="4"/>
      <c r="T3985" s="4"/>
      <c r="U3985" s="4"/>
      <c r="V3985" s="4"/>
    </row>
    <row r="3986" spans="1:22" ht="14.5" customHeight="1" x14ac:dyDescent="0.2">
      <c r="A3986" s="54">
        <v>2022</v>
      </c>
      <c r="B3986" t="s">
        <v>258</v>
      </c>
      <c r="C3986" t="s">
        <v>189</v>
      </c>
      <c r="D3986" s="22">
        <v>610</v>
      </c>
      <c r="E3986" s="16"/>
      <c r="G3986" t="s">
        <v>144</v>
      </c>
      <c r="H3986" t="s">
        <v>187</v>
      </c>
      <c r="I3986" t="s">
        <v>132</v>
      </c>
      <c r="J3986" t="s">
        <v>219</v>
      </c>
      <c r="K3986">
        <v>1</v>
      </c>
      <c r="N3986" s="26"/>
      <c r="Q3986" s="4"/>
      <c r="R3986" s="4"/>
      <c r="S3986" s="4"/>
      <c r="T3986" s="4"/>
      <c r="U3986" s="4"/>
      <c r="V3986" s="4"/>
    </row>
    <row r="3987" spans="1:22" ht="14.5" customHeight="1" x14ac:dyDescent="0.2">
      <c r="A3987" s="54">
        <v>2022</v>
      </c>
      <c r="B3987" t="s">
        <v>258</v>
      </c>
      <c r="C3987" t="s">
        <v>189</v>
      </c>
      <c r="D3987" s="22">
        <v>180</v>
      </c>
      <c r="E3987" s="16"/>
      <c r="F3987" t="s">
        <v>3036</v>
      </c>
      <c r="G3987" t="s">
        <v>144</v>
      </c>
      <c r="H3987" t="s">
        <v>299</v>
      </c>
      <c r="I3987" t="s">
        <v>5</v>
      </c>
      <c r="J3987" t="s">
        <v>214</v>
      </c>
      <c r="K3987">
        <v>1</v>
      </c>
      <c r="N3987" s="26"/>
      <c r="Q3987" s="4"/>
      <c r="R3987" s="4"/>
      <c r="S3987" s="4"/>
      <c r="T3987" s="4"/>
      <c r="U3987" s="4"/>
      <c r="V3987" s="4"/>
    </row>
    <row r="3988" spans="1:22" ht="14.5" customHeight="1" x14ac:dyDescent="0.2">
      <c r="A3988" s="54">
        <v>2022</v>
      </c>
      <c r="B3988" t="s">
        <v>258</v>
      </c>
      <c r="C3988" t="s">
        <v>199</v>
      </c>
      <c r="D3988" s="22">
        <v>320</v>
      </c>
      <c r="E3988" s="16"/>
      <c r="F3988" t="s">
        <v>537</v>
      </c>
      <c r="G3988" t="s">
        <v>144</v>
      </c>
      <c r="H3988" t="s">
        <v>187</v>
      </c>
      <c r="I3988" t="s">
        <v>55</v>
      </c>
      <c r="J3988" t="s">
        <v>214</v>
      </c>
      <c r="K3988">
        <v>1</v>
      </c>
      <c r="N3988" s="26"/>
      <c r="Q3988" s="4"/>
      <c r="R3988" s="4"/>
      <c r="S3988" s="4"/>
      <c r="T3988" s="4"/>
      <c r="U3988" s="4"/>
      <c r="V3988" s="4"/>
    </row>
    <row r="3989" spans="1:22" ht="14.5" customHeight="1" x14ac:dyDescent="0.2">
      <c r="A3989" s="54">
        <v>2022</v>
      </c>
      <c r="B3989" t="s">
        <v>258</v>
      </c>
      <c r="C3989" t="s">
        <v>479</v>
      </c>
      <c r="D3989" s="22">
        <v>290</v>
      </c>
      <c r="E3989" s="16"/>
      <c r="G3989" t="s">
        <v>154</v>
      </c>
      <c r="H3989" t="s">
        <v>529</v>
      </c>
      <c r="I3989" t="s">
        <v>108</v>
      </c>
      <c r="J3989" t="s">
        <v>183</v>
      </c>
      <c r="K3989">
        <v>1</v>
      </c>
      <c r="N3989" s="26"/>
      <c r="Q3989" s="4"/>
      <c r="R3989" s="4"/>
      <c r="S3989" s="4"/>
      <c r="T3989" s="4"/>
      <c r="U3989" s="4"/>
      <c r="V3989" s="4"/>
    </row>
    <row r="3990" spans="1:22" ht="14.5" customHeight="1" x14ac:dyDescent="0.2">
      <c r="A3990" s="54">
        <v>2022</v>
      </c>
      <c r="B3990" t="s">
        <v>258</v>
      </c>
      <c r="C3990" t="s">
        <v>1035</v>
      </c>
      <c r="D3990" s="22">
        <v>130</v>
      </c>
      <c r="E3990" s="16"/>
      <c r="F3990" t="s">
        <v>3037</v>
      </c>
      <c r="G3990" t="s">
        <v>154</v>
      </c>
      <c r="H3990" t="s">
        <v>529</v>
      </c>
      <c r="I3990" t="s">
        <v>108</v>
      </c>
      <c r="J3990" t="s">
        <v>183</v>
      </c>
      <c r="K3990">
        <v>1</v>
      </c>
      <c r="N3990" s="26"/>
      <c r="Q3990" s="4"/>
      <c r="R3990" s="4"/>
      <c r="S3990" s="4"/>
      <c r="T3990" s="4"/>
      <c r="U3990" s="4"/>
      <c r="V3990" s="4"/>
    </row>
    <row r="3991" spans="1:22" ht="14.5" customHeight="1" x14ac:dyDescent="0.2">
      <c r="A3991" s="54">
        <v>2022</v>
      </c>
      <c r="B3991" t="s">
        <v>258</v>
      </c>
      <c r="C3991" t="s">
        <v>1035</v>
      </c>
      <c r="D3991" s="22">
        <v>110</v>
      </c>
      <c r="E3991" s="16"/>
      <c r="G3991" t="s">
        <v>144</v>
      </c>
      <c r="I3991" t="s">
        <v>2557</v>
      </c>
      <c r="J3991" t="s">
        <v>219</v>
      </c>
      <c r="K3991">
        <v>1</v>
      </c>
      <c r="N3991" s="26"/>
      <c r="Q3991" s="4"/>
      <c r="R3991" s="4"/>
      <c r="S3991" s="4"/>
      <c r="T3991" s="4"/>
      <c r="U3991" s="4"/>
      <c r="V3991" s="4"/>
    </row>
    <row r="3992" spans="1:22" ht="14.5" customHeight="1" x14ac:dyDescent="0.2">
      <c r="A3992" s="54">
        <v>2022</v>
      </c>
      <c r="B3992" t="s">
        <v>258</v>
      </c>
      <c r="C3992" t="s">
        <v>1035</v>
      </c>
      <c r="D3992" s="22">
        <v>110</v>
      </c>
      <c r="E3992" s="16"/>
      <c r="G3992" t="s">
        <v>144</v>
      </c>
      <c r="I3992" t="s">
        <v>3031</v>
      </c>
      <c r="J3992" t="s">
        <v>219</v>
      </c>
      <c r="K3992">
        <v>1</v>
      </c>
      <c r="N3992" s="26"/>
      <c r="Q3992" s="4"/>
      <c r="R3992" s="4"/>
      <c r="S3992" s="4"/>
      <c r="T3992" s="4"/>
      <c r="U3992" s="4"/>
      <c r="V3992" s="4"/>
    </row>
    <row r="3993" spans="1:22" ht="14.5" customHeight="1" x14ac:dyDescent="0.2">
      <c r="A3993" s="54">
        <v>2022</v>
      </c>
      <c r="B3993" t="s">
        <v>258</v>
      </c>
      <c r="C3993" t="s">
        <v>1035</v>
      </c>
      <c r="D3993" s="22">
        <v>110</v>
      </c>
      <c r="E3993" s="16"/>
      <c r="G3993" t="s">
        <v>144</v>
      </c>
      <c r="I3993" t="s">
        <v>88</v>
      </c>
      <c r="J3993" t="s">
        <v>219</v>
      </c>
      <c r="K3993">
        <v>1</v>
      </c>
      <c r="N3993" s="26"/>
      <c r="Q3993" s="4"/>
      <c r="R3993" s="4"/>
      <c r="S3993" s="4"/>
      <c r="T3993" s="4"/>
      <c r="U3993" s="4"/>
      <c r="V3993" s="4"/>
    </row>
    <row r="3994" spans="1:22" ht="14.5" customHeight="1" x14ac:dyDescent="0.2">
      <c r="A3994" s="54">
        <v>2022</v>
      </c>
      <c r="B3994" t="s">
        <v>258</v>
      </c>
      <c r="C3994" t="s">
        <v>449</v>
      </c>
      <c r="D3994" s="22">
        <v>960</v>
      </c>
      <c r="E3994" s="16"/>
      <c r="G3994" t="s">
        <v>154</v>
      </c>
      <c r="H3994" t="s">
        <v>529</v>
      </c>
      <c r="I3994" t="s">
        <v>27</v>
      </c>
      <c r="J3994" t="s">
        <v>205</v>
      </c>
      <c r="K3994">
        <v>1</v>
      </c>
      <c r="N3994" s="26"/>
      <c r="Q3994" s="4"/>
      <c r="R3994" s="4"/>
      <c r="S3994" s="4"/>
      <c r="T3994" s="4"/>
      <c r="U3994" s="4"/>
      <c r="V3994" s="4"/>
    </row>
    <row r="3995" spans="1:22" ht="14.5" customHeight="1" x14ac:dyDescent="0.2">
      <c r="A3995" s="54">
        <v>2022</v>
      </c>
      <c r="B3995" t="s">
        <v>258</v>
      </c>
      <c r="C3995" t="s">
        <v>745</v>
      </c>
      <c r="D3995" s="22">
        <v>270</v>
      </c>
      <c r="E3995" s="16"/>
      <c r="G3995" t="s">
        <v>144</v>
      </c>
      <c r="H3995" t="s">
        <v>299</v>
      </c>
      <c r="I3995" t="s">
        <v>63</v>
      </c>
      <c r="J3995" t="s">
        <v>201</v>
      </c>
      <c r="K3995">
        <v>1</v>
      </c>
      <c r="N3995" s="26"/>
      <c r="Q3995" s="4"/>
      <c r="R3995" s="4"/>
      <c r="S3995" s="4"/>
      <c r="T3995" s="4"/>
      <c r="U3995" s="4"/>
      <c r="V3995" s="4"/>
    </row>
    <row r="3996" spans="1:22" ht="14.5" customHeight="1" x14ac:dyDescent="0.2">
      <c r="A3996" s="54">
        <v>2022</v>
      </c>
      <c r="B3996" t="s">
        <v>258</v>
      </c>
      <c r="C3996" t="s">
        <v>557</v>
      </c>
      <c r="D3996" s="22">
        <v>270</v>
      </c>
      <c r="E3996" s="16"/>
      <c r="G3996" t="s">
        <v>151</v>
      </c>
      <c r="H3996" t="s">
        <v>279</v>
      </c>
      <c r="I3996" t="s">
        <v>134</v>
      </c>
      <c r="J3996" t="s">
        <v>201</v>
      </c>
      <c r="K3996">
        <v>1</v>
      </c>
      <c r="N3996" s="26"/>
      <c r="Q3996" s="4"/>
      <c r="R3996" s="4"/>
      <c r="S3996" s="4"/>
      <c r="T3996" s="4"/>
      <c r="U3996" s="4"/>
      <c r="V3996" s="4"/>
    </row>
    <row r="3997" spans="1:22" ht="14.5" customHeight="1" x14ac:dyDescent="0.2">
      <c r="A3997" s="54">
        <v>2022</v>
      </c>
      <c r="B3997" t="s">
        <v>258</v>
      </c>
      <c r="C3997" t="s">
        <v>444</v>
      </c>
      <c r="D3997" s="22">
        <v>190</v>
      </c>
      <c r="E3997" s="16"/>
      <c r="G3997" t="s">
        <v>144</v>
      </c>
      <c r="H3997" t="s">
        <v>197</v>
      </c>
      <c r="I3997" t="s">
        <v>136</v>
      </c>
      <c r="J3997" t="s">
        <v>183</v>
      </c>
      <c r="K3997">
        <v>1</v>
      </c>
      <c r="N3997" s="26"/>
      <c r="Q3997" s="4"/>
      <c r="R3997" s="4"/>
      <c r="S3997" s="4"/>
      <c r="T3997" s="4"/>
      <c r="U3997" s="4"/>
      <c r="V3997" s="4"/>
    </row>
    <row r="3998" spans="1:22" ht="14.5" customHeight="1" x14ac:dyDescent="0.2">
      <c r="A3998" s="54">
        <v>2022</v>
      </c>
      <c r="B3998" t="s">
        <v>258</v>
      </c>
      <c r="C3998" t="s">
        <v>449</v>
      </c>
      <c r="D3998" s="22">
        <v>340</v>
      </c>
      <c r="E3998" s="16"/>
      <c r="G3998" t="s">
        <v>154</v>
      </c>
      <c r="H3998" t="s">
        <v>194</v>
      </c>
      <c r="I3998" t="s">
        <v>3008</v>
      </c>
      <c r="J3998" t="s">
        <v>205</v>
      </c>
      <c r="K3998">
        <v>1</v>
      </c>
      <c r="N3998" s="26"/>
      <c r="Q3998" s="4"/>
      <c r="R3998" s="4"/>
      <c r="S3998" s="4"/>
      <c r="T3998" s="4"/>
      <c r="U3998" s="4"/>
      <c r="V3998" s="4"/>
    </row>
    <row r="3999" spans="1:22" ht="14.5" customHeight="1" x14ac:dyDescent="0.2">
      <c r="A3999" s="54">
        <v>2022</v>
      </c>
      <c r="B3999" t="s">
        <v>179</v>
      </c>
      <c r="C3999" t="s">
        <v>199</v>
      </c>
      <c r="D3999" s="22">
        <v>230</v>
      </c>
      <c r="E3999" s="16"/>
      <c r="F3999" t="s">
        <v>3038</v>
      </c>
      <c r="G3999" t="s">
        <v>144</v>
      </c>
      <c r="H3999" t="s">
        <v>187</v>
      </c>
      <c r="I3999" t="s">
        <v>37</v>
      </c>
      <c r="J3999" t="s">
        <v>205</v>
      </c>
      <c r="K3999">
        <v>1</v>
      </c>
      <c r="N3999" s="26"/>
      <c r="Q3999" s="4"/>
      <c r="R3999" s="4"/>
      <c r="S3999" s="4"/>
      <c r="T3999" s="4"/>
      <c r="U3999" s="4"/>
      <c r="V3999" s="4"/>
    </row>
    <row r="4000" spans="1:22" ht="14.5" customHeight="1" x14ac:dyDescent="0.2">
      <c r="A4000" s="54">
        <v>2022</v>
      </c>
      <c r="B4000" t="s">
        <v>179</v>
      </c>
      <c r="C4000" t="s">
        <v>875</v>
      </c>
      <c r="D4000" s="22">
        <v>210</v>
      </c>
      <c r="E4000" s="16"/>
      <c r="G4000" t="s">
        <v>142</v>
      </c>
      <c r="I4000" t="s">
        <v>124</v>
      </c>
      <c r="J4000" t="s">
        <v>183</v>
      </c>
      <c r="K4000">
        <v>1</v>
      </c>
      <c r="N4000" s="26"/>
      <c r="Q4000" s="4"/>
      <c r="R4000" s="4"/>
      <c r="S4000" s="4"/>
      <c r="T4000" s="4"/>
      <c r="U4000" s="4"/>
      <c r="V4000" s="4"/>
    </row>
    <row r="4001" spans="1:22" ht="14.5" customHeight="1" x14ac:dyDescent="0.2">
      <c r="A4001" s="54">
        <v>2022</v>
      </c>
      <c r="B4001" t="s">
        <v>179</v>
      </c>
      <c r="C4001" t="s">
        <v>2228</v>
      </c>
      <c r="D4001" s="22">
        <v>140</v>
      </c>
      <c r="E4001" s="16"/>
      <c r="G4001" t="s">
        <v>154</v>
      </c>
      <c r="H4001" t="s">
        <v>194</v>
      </c>
      <c r="I4001" t="s">
        <v>13</v>
      </c>
      <c r="J4001" t="s">
        <v>201</v>
      </c>
      <c r="K4001">
        <v>1</v>
      </c>
      <c r="N4001" s="26"/>
      <c r="Q4001" s="4"/>
      <c r="R4001" s="4"/>
      <c r="S4001" s="4"/>
      <c r="T4001" s="4"/>
      <c r="U4001" s="4"/>
      <c r="V4001" s="4"/>
    </row>
    <row r="4002" spans="1:22" ht="14.5" customHeight="1" x14ac:dyDescent="0.2">
      <c r="A4002" s="54">
        <v>2022</v>
      </c>
      <c r="B4002" t="s">
        <v>179</v>
      </c>
      <c r="C4002" t="s">
        <v>479</v>
      </c>
      <c r="D4002" s="22">
        <v>150</v>
      </c>
      <c r="E4002" s="16"/>
      <c r="G4002" t="s">
        <v>154</v>
      </c>
      <c r="H4002" t="s">
        <v>194</v>
      </c>
      <c r="I4002" t="s">
        <v>106</v>
      </c>
      <c r="J4002" t="s">
        <v>195</v>
      </c>
      <c r="K4002">
        <v>1</v>
      </c>
      <c r="N4002" s="26"/>
      <c r="Q4002" s="4"/>
      <c r="R4002" s="4"/>
      <c r="S4002" s="4"/>
      <c r="T4002" s="4"/>
      <c r="U4002" s="4"/>
      <c r="V4002" s="4"/>
    </row>
    <row r="4003" spans="1:22" ht="14.5" customHeight="1" x14ac:dyDescent="0.2">
      <c r="A4003" s="54">
        <v>2022</v>
      </c>
      <c r="B4003" t="s">
        <v>179</v>
      </c>
      <c r="C4003" t="s">
        <v>479</v>
      </c>
      <c r="D4003" s="22">
        <v>1760</v>
      </c>
      <c r="E4003" s="16"/>
      <c r="G4003" t="s">
        <v>154</v>
      </c>
      <c r="H4003" t="s">
        <v>194</v>
      </c>
      <c r="I4003" t="s">
        <v>106</v>
      </c>
      <c r="J4003" t="s">
        <v>195</v>
      </c>
      <c r="K4003">
        <v>1</v>
      </c>
      <c r="N4003" s="26"/>
      <c r="Q4003" s="4"/>
      <c r="R4003" s="4"/>
      <c r="S4003" s="4"/>
      <c r="T4003" s="4"/>
      <c r="U4003" s="4"/>
      <c r="V4003" s="4"/>
    </row>
    <row r="4004" spans="1:22" ht="14.5" customHeight="1" x14ac:dyDescent="0.2">
      <c r="A4004" s="54">
        <v>2022</v>
      </c>
      <c r="B4004" t="s">
        <v>179</v>
      </c>
      <c r="C4004" t="s">
        <v>175</v>
      </c>
      <c r="D4004" s="22">
        <v>190</v>
      </c>
      <c r="E4004" s="16"/>
      <c r="G4004" t="s">
        <v>149</v>
      </c>
      <c r="H4004" t="s">
        <v>182</v>
      </c>
      <c r="I4004" t="s">
        <v>136</v>
      </c>
      <c r="J4004" t="s">
        <v>183</v>
      </c>
      <c r="K4004">
        <v>1</v>
      </c>
      <c r="N4004" s="26"/>
      <c r="Q4004" s="4"/>
      <c r="R4004" s="4"/>
      <c r="S4004" s="4"/>
      <c r="T4004" s="4"/>
      <c r="U4004" s="4"/>
      <c r="V4004" s="4"/>
    </row>
    <row r="4005" spans="1:22" ht="14.5" customHeight="1" x14ac:dyDescent="0.2">
      <c r="A4005" s="54">
        <v>2022</v>
      </c>
      <c r="B4005" t="s">
        <v>179</v>
      </c>
      <c r="C4005" t="s">
        <v>2389</v>
      </c>
      <c r="D4005" s="22">
        <v>190</v>
      </c>
      <c r="E4005" s="16"/>
      <c r="G4005" t="s">
        <v>155</v>
      </c>
      <c r="I4005" t="s">
        <v>34</v>
      </c>
      <c r="J4005" t="s">
        <v>219</v>
      </c>
      <c r="K4005">
        <v>1</v>
      </c>
      <c r="N4005" s="26"/>
      <c r="Q4005" s="4"/>
      <c r="R4005" s="4"/>
      <c r="S4005" s="4"/>
      <c r="T4005" s="4"/>
      <c r="U4005" s="4"/>
      <c r="V4005" s="4"/>
    </row>
    <row r="4006" spans="1:22" ht="14.5" customHeight="1" x14ac:dyDescent="0.2">
      <c r="A4006" s="54">
        <v>2022</v>
      </c>
      <c r="B4006" t="s">
        <v>179</v>
      </c>
      <c r="C4006" t="s">
        <v>175</v>
      </c>
      <c r="D4006" s="22">
        <v>230</v>
      </c>
      <c r="E4006" s="16"/>
      <c r="F4006" t="s">
        <v>3039</v>
      </c>
      <c r="G4006" t="s">
        <v>149</v>
      </c>
      <c r="H4006" t="s">
        <v>182</v>
      </c>
      <c r="I4006" t="s">
        <v>53</v>
      </c>
      <c r="J4006" t="s">
        <v>183</v>
      </c>
      <c r="K4006">
        <v>1</v>
      </c>
      <c r="N4006" s="26"/>
      <c r="Q4006" s="4"/>
      <c r="R4006" s="4"/>
      <c r="S4006" s="4"/>
      <c r="T4006" s="4"/>
      <c r="U4006" s="4"/>
      <c r="V4006" s="4"/>
    </row>
    <row r="4007" spans="1:22" ht="14.5" customHeight="1" x14ac:dyDescent="0.2">
      <c r="A4007" s="54">
        <v>2022</v>
      </c>
      <c r="B4007" t="s">
        <v>179</v>
      </c>
      <c r="C4007" t="s">
        <v>875</v>
      </c>
      <c r="D4007" s="22">
        <v>110</v>
      </c>
      <c r="E4007" s="16"/>
      <c r="G4007" t="s">
        <v>144</v>
      </c>
      <c r="H4007" t="s">
        <v>273</v>
      </c>
      <c r="I4007" t="s">
        <v>53</v>
      </c>
      <c r="J4007" t="s">
        <v>183</v>
      </c>
      <c r="K4007">
        <v>1</v>
      </c>
      <c r="N4007" s="26"/>
      <c r="Q4007" s="4"/>
      <c r="R4007" s="4"/>
      <c r="S4007" s="4"/>
      <c r="T4007" s="4"/>
      <c r="U4007" s="4"/>
      <c r="V4007" s="4"/>
    </row>
    <row r="4008" spans="1:22" ht="14.5" customHeight="1" x14ac:dyDescent="0.2">
      <c r="A4008" s="54">
        <v>2022</v>
      </c>
      <c r="B4008" t="s">
        <v>179</v>
      </c>
      <c r="C4008" t="s">
        <v>745</v>
      </c>
      <c r="D4008" s="22">
        <v>160</v>
      </c>
      <c r="E4008" s="16"/>
      <c r="G4008" t="s">
        <v>143</v>
      </c>
      <c r="I4008" t="s">
        <v>128</v>
      </c>
      <c r="J4008" t="s">
        <v>201</v>
      </c>
      <c r="K4008">
        <v>1</v>
      </c>
      <c r="N4008" s="26"/>
      <c r="Q4008" s="4"/>
      <c r="R4008" s="4"/>
      <c r="S4008" s="4"/>
      <c r="T4008" s="4"/>
      <c r="U4008" s="4"/>
      <c r="V4008" s="4"/>
    </row>
    <row r="4009" spans="1:22" ht="14.5" customHeight="1" x14ac:dyDescent="0.2">
      <c r="A4009" s="54">
        <v>2022</v>
      </c>
      <c r="B4009" t="s">
        <v>179</v>
      </c>
      <c r="C4009" t="s">
        <v>397</v>
      </c>
      <c r="D4009" s="22">
        <v>120</v>
      </c>
      <c r="E4009" s="16"/>
      <c r="G4009" t="s">
        <v>151</v>
      </c>
      <c r="H4009" t="s">
        <v>279</v>
      </c>
      <c r="I4009" t="s">
        <v>108</v>
      </c>
      <c r="J4009" t="s">
        <v>183</v>
      </c>
      <c r="K4009">
        <v>1</v>
      </c>
      <c r="N4009" s="26"/>
      <c r="Q4009" s="4"/>
      <c r="R4009" s="4"/>
      <c r="S4009" s="4"/>
      <c r="T4009" s="4"/>
      <c r="U4009" s="4"/>
      <c r="V4009" s="4"/>
    </row>
    <row r="4010" spans="1:22" ht="14.5" customHeight="1" x14ac:dyDescent="0.2">
      <c r="A4010" s="54">
        <v>2022</v>
      </c>
      <c r="B4010" t="s">
        <v>179</v>
      </c>
      <c r="C4010" t="s">
        <v>2389</v>
      </c>
      <c r="D4010" s="22">
        <v>170</v>
      </c>
      <c r="E4010" s="16"/>
      <c r="G4010" t="s">
        <v>151</v>
      </c>
      <c r="H4010" t="s">
        <v>279</v>
      </c>
      <c r="I4010" t="s">
        <v>2462</v>
      </c>
      <c r="J4010" t="s">
        <v>219</v>
      </c>
      <c r="K4010">
        <v>1</v>
      </c>
      <c r="N4010" s="26"/>
      <c r="Q4010" s="4"/>
      <c r="R4010" s="4"/>
      <c r="S4010" s="4"/>
      <c r="T4010" s="4"/>
      <c r="U4010" s="4"/>
      <c r="V4010" s="4"/>
    </row>
    <row r="4011" spans="1:22" ht="14.5" customHeight="1" x14ac:dyDescent="0.2">
      <c r="A4011" s="54">
        <v>2022</v>
      </c>
      <c r="B4011" t="s">
        <v>184</v>
      </c>
      <c r="C4011" t="s">
        <v>397</v>
      </c>
      <c r="D4011" s="22">
        <v>110</v>
      </c>
      <c r="E4011" s="16"/>
      <c r="G4011" t="s">
        <v>146</v>
      </c>
      <c r="I4011" t="s">
        <v>23</v>
      </c>
      <c r="J4011" t="s">
        <v>183</v>
      </c>
      <c r="K4011">
        <v>1</v>
      </c>
      <c r="N4011" s="26"/>
      <c r="Q4011" s="4"/>
      <c r="R4011" s="4"/>
      <c r="S4011" s="4"/>
      <c r="T4011" s="4"/>
      <c r="U4011" s="4"/>
      <c r="V4011" s="4"/>
    </row>
    <row r="4012" spans="1:22" ht="14.5" customHeight="1" x14ac:dyDescent="0.2">
      <c r="A4012" s="54">
        <v>2022</v>
      </c>
      <c r="B4012" t="s">
        <v>184</v>
      </c>
      <c r="C4012" t="s">
        <v>479</v>
      </c>
      <c r="D4012" s="22">
        <v>780</v>
      </c>
      <c r="E4012" s="16"/>
      <c r="G4012" t="s">
        <v>154</v>
      </c>
      <c r="H4012" t="s">
        <v>529</v>
      </c>
      <c r="I4012" t="s">
        <v>9</v>
      </c>
      <c r="J4012" t="s">
        <v>9</v>
      </c>
      <c r="K4012">
        <v>0</v>
      </c>
      <c r="N4012" s="26"/>
      <c r="Q4012" s="4"/>
      <c r="R4012" s="4"/>
      <c r="S4012" s="4"/>
      <c r="T4012" s="4"/>
      <c r="U4012" s="4"/>
      <c r="V4012" s="4"/>
    </row>
    <row r="4013" spans="1:22" ht="14.5" customHeight="1" x14ac:dyDescent="0.2">
      <c r="A4013" s="54">
        <v>2022</v>
      </c>
      <c r="B4013" t="s">
        <v>184</v>
      </c>
      <c r="C4013" t="s">
        <v>745</v>
      </c>
      <c r="D4013" s="22">
        <v>310</v>
      </c>
      <c r="E4013" s="16"/>
      <c r="F4013" t="s">
        <v>3040</v>
      </c>
      <c r="G4013" t="s">
        <v>144</v>
      </c>
      <c r="H4013" t="s">
        <v>299</v>
      </c>
      <c r="I4013" t="s">
        <v>93</v>
      </c>
      <c r="J4013" t="s">
        <v>201</v>
      </c>
      <c r="K4013">
        <v>1</v>
      </c>
      <c r="N4013" s="26"/>
      <c r="Q4013" s="4"/>
      <c r="R4013" s="4"/>
      <c r="S4013" s="4"/>
      <c r="T4013" s="4"/>
      <c r="U4013" s="4"/>
      <c r="V4013" s="4"/>
    </row>
    <row r="4014" spans="1:22" ht="14.5" customHeight="1" x14ac:dyDescent="0.2">
      <c r="A4014" s="54">
        <v>2022</v>
      </c>
      <c r="B4014" t="s">
        <v>184</v>
      </c>
      <c r="C4014" t="s">
        <v>2574</v>
      </c>
      <c r="D4014" s="22">
        <v>190</v>
      </c>
      <c r="E4014" s="16">
        <v>0.3</v>
      </c>
      <c r="F4014" t="s">
        <v>3041</v>
      </c>
      <c r="G4014" t="s">
        <v>143</v>
      </c>
      <c r="I4014" t="s">
        <v>100</v>
      </c>
      <c r="J4014" t="s">
        <v>214</v>
      </c>
      <c r="K4014">
        <v>1</v>
      </c>
      <c r="N4014" s="26"/>
      <c r="Q4014" s="4"/>
      <c r="R4014" s="4"/>
      <c r="S4014" s="4"/>
      <c r="T4014" s="4"/>
      <c r="U4014" s="4"/>
      <c r="V4014" s="4"/>
    </row>
    <row r="4015" spans="1:22" ht="14.5" customHeight="1" x14ac:dyDescent="0.2">
      <c r="A4015" s="54">
        <v>2022</v>
      </c>
      <c r="B4015" t="s">
        <v>184</v>
      </c>
      <c r="C4015" s="17" t="s">
        <v>3042</v>
      </c>
      <c r="D4015" s="22">
        <v>270</v>
      </c>
      <c r="E4015" s="16"/>
      <c r="G4015" t="s">
        <v>154</v>
      </c>
      <c r="H4015" t="s">
        <v>250</v>
      </c>
      <c r="I4015" t="s">
        <v>123</v>
      </c>
      <c r="J4015" t="s">
        <v>219</v>
      </c>
      <c r="K4015">
        <v>1</v>
      </c>
      <c r="N4015" s="26"/>
      <c r="Q4015" s="4"/>
      <c r="R4015" s="4"/>
      <c r="S4015" s="4"/>
      <c r="T4015" s="4"/>
      <c r="U4015" s="4"/>
      <c r="V4015" s="4"/>
    </row>
    <row r="4016" spans="1:22" ht="14.5" customHeight="1" x14ac:dyDescent="0.2">
      <c r="A4016" s="54">
        <v>2022</v>
      </c>
      <c r="B4016" t="s">
        <v>184</v>
      </c>
      <c r="C4016" t="s">
        <v>341</v>
      </c>
      <c r="D4016" s="22">
        <v>450</v>
      </c>
      <c r="E4016" s="16"/>
      <c r="G4016" t="s">
        <v>152</v>
      </c>
      <c r="H4016" t="s">
        <v>257</v>
      </c>
      <c r="I4016" t="s">
        <v>13</v>
      </c>
      <c r="J4016" t="s">
        <v>201</v>
      </c>
      <c r="K4016">
        <v>1</v>
      </c>
      <c r="N4016" s="26"/>
      <c r="Q4016" s="4"/>
      <c r="R4016" s="4"/>
      <c r="S4016" s="4"/>
      <c r="T4016" s="4"/>
      <c r="U4016" s="4"/>
      <c r="V4016" s="4"/>
    </row>
    <row r="4017" spans="1:22" ht="14.5" customHeight="1" x14ac:dyDescent="0.2">
      <c r="A4017" s="54">
        <v>2022</v>
      </c>
      <c r="B4017" t="s">
        <v>184</v>
      </c>
      <c r="C4017" t="s">
        <v>1035</v>
      </c>
      <c r="D4017" s="22">
        <v>180</v>
      </c>
      <c r="E4017" s="16"/>
      <c r="F4017" t="s">
        <v>3043</v>
      </c>
      <c r="G4017" t="s">
        <v>155</v>
      </c>
      <c r="I4017" t="s">
        <v>93</v>
      </c>
      <c r="J4017" t="s">
        <v>201</v>
      </c>
      <c r="K4017">
        <v>1</v>
      </c>
      <c r="N4017" s="26"/>
      <c r="Q4017" s="4"/>
      <c r="R4017" s="4"/>
      <c r="S4017" s="4"/>
      <c r="T4017" s="4"/>
      <c r="U4017" s="4"/>
      <c r="V4017" s="4"/>
    </row>
    <row r="4018" spans="1:22" ht="14.5" customHeight="1" x14ac:dyDescent="0.2">
      <c r="A4018" s="54">
        <v>2022</v>
      </c>
      <c r="B4018" t="s">
        <v>184</v>
      </c>
      <c r="C4018" t="s">
        <v>745</v>
      </c>
      <c r="D4018" s="22">
        <v>520</v>
      </c>
      <c r="E4018" s="16"/>
      <c r="F4018" t="s">
        <v>904</v>
      </c>
      <c r="G4018" t="s">
        <v>144</v>
      </c>
      <c r="I4018" t="s">
        <v>55</v>
      </c>
      <c r="J4018" t="s">
        <v>214</v>
      </c>
      <c r="K4018">
        <v>1</v>
      </c>
      <c r="N4018" s="26"/>
      <c r="Q4018" s="4"/>
      <c r="R4018" s="4"/>
      <c r="S4018" s="4"/>
      <c r="T4018" s="4"/>
      <c r="U4018" s="4"/>
      <c r="V4018" s="4"/>
    </row>
    <row r="4019" spans="1:22" ht="14.5" customHeight="1" x14ac:dyDescent="0.2">
      <c r="A4019" s="54">
        <v>2022</v>
      </c>
      <c r="B4019" t="s">
        <v>184</v>
      </c>
      <c r="C4019" t="s">
        <v>479</v>
      </c>
      <c r="D4019" s="22">
        <v>370</v>
      </c>
      <c r="E4019" s="16"/>
      <c r="F4019" t="s">
        <v>1273</v>
      </c>
      <c r="G4019" t="s">
        <v>148</v>
      </c>
      <c r="I4019" t="s">
        <v>38</v>
      </c>
      <c r="J4019" t="s">
        <v>214</v>
      </c>
      <c r="K4019">
        <v>1</v>
      </c>
      <c r="N4019" s="26"/>
      <c r="Q4019" s="4"/>
      <c r="R4019" s="4"/>
      <c r="S4019" s="4"/>
      <c r="T4019" s="4"/>
      <c r="U4019" s="4"/>
      <c r="V4019" s="4"/>
    </row>
    <row r="4020" spans="1:22" ht="14.5" customHeight="1" x14ac:dyDescent="0.2">
      <c r="A4020" s="54">
        <v>2022</v>
      </c>
      <c r="B4020" t="s">
        <v>184</v>
      </c>
      <c r="C4020" t="s">
        <v>1035</v>
      </c>
      <c r="D4020" s="22">
        <v>560</v>
      </c>
      <c r="E4020" s="16"/>
      <c r="G4020" t="s">
        <v>150</v>
      </c>
      <c r="H4020" t="s">
        <v>744</v>
      </c>
      <c r="I4020" t="s">
        <v>55</v>
      </c>
      <c r="J4020" t="s">
        <v>214</v>
      </c>
      <c r="K4020">
        <v>1</v>
      </c>
      <c r="N4020" s="26"/>
      <c r="Q4020" s="4"/>
      <c r="R4020" s="4"/>
      <c r="S4020" s="4"/>
      <c r="T4020" s="4"/>
      <c r="U4020" s="4"/>
      <c r="V4020" s="4"/>
    </row>
    <row r="4021" spans="1:22" ht="14.5" customHeight="1" x14ac:dyDescent="0.2">
      <c r="A4021" s="54">
        <v>2022</v>
      </c>
      <c r="B4021" t="s">
        <v>225</v>
      </c>
      <c r="C4021" t="s">
        <v>449</v>
      </c>
      <c r="D4021" s="22">
        <v>260</v>
      </c>
      <c r="E4021" s="16"/>
      <c r="G4021" t="s">
        <v>154</v>
      </c>
      <c r="H4021" t="s">
        <v>194</v>
      </c>
      <c r="I4021" t="s">
        <v>50</v>
      </c>
      <c r="J4021" t="s">
        <v>205</v>
      </c>
      <c r="K4021">
        <v>1</v>
      </c>
      <c r="N4021" s="26"/>
      <c r="Q4021" s="4"/>
      <c r="R4021" s="4"/>
      <c r="S4021" s="4"/>
      <c r="T4021" s="4"/>
      <c r="U4021" s="4"/>
      <c r="V4021" s="4"/>
    </row>
    <row r="4022" spans="1:22" ht="14.5" customHeight="1" x14ac:dyDescent="0.2">
      <c r="A4022" s="54">
        <v>2022</v>
      </c>
      <c r="B4022" t="s">
        <v>225</v>
      </c>
      <c r="C4022" t="s">
        <v>2704</v>
      </c>
      <c r="D4022" s="22">
        <v>410</v>
      </c>
      <c r="E4022" s="16"/>
      <c r="F4022" t="s">
        <v>3044</v>
      </c>
      <c r="G4022" t="s">
        <v>144</v>
      </c>
      <c r="H4022" t="s">
        <v>232</v>
      </c>
      <c r="I4022" t="s">
        <v>67</v>
      </c>
      <c r="J4022" t="s">
        <v>183</v>
      </c>
      <c r="K4022">
        <v>1</v>
      </c>
      <c r="N4022" s="26"/>
      <c r="Q4022" s="4"/>
      <c r="R4022" s="4"/>
      <c r="S4022" s="4"/>
      <c r="T4022" s="4"/>
      <c r="U4022" s="4"/>
      <c r="V4022" s="4"/>
    </row>
    <row r="4023" spans="1:22" ht="14.5" customHeight="1" x14ac:dyDescent="0.2">
      <c r="A4023" s="54">
        <v>2022</v>
      </c>
      <c r="B4023" t="s">
        <v>225</v>
      </c>
      <c r="C4023" t="s">
        <v>3045</v>
      </c>
      <c r="D4023" s="22">
        <v>520</v>
      </c>
      <c r="E4023" s="16"/>
      <c r="F4023" t="s">
        <v>2300</v>
      </c>
      <c r="G4023" t="s">
        <v>143</v>
      </c>
      <c r="I4023" t="s">
        <v>5</v>
      </c>
      <c r="J4023" t="s">
        <v>214</v>
      </c>
      <c r="K4023">
        <v>1</v>
      </c>
      <c r="N4023" s="26"/>
      <c r="Q4023" s="4"/>
      <c r="R4023" s="4"/>
      <c r="S4023" s="4"/>
      <c r="T4023" s="4"/>
      <c r="U4023" s="4"/>
      <c r="V4023" s="4"/>
    </row>
    <row r="4024" spans="1:22" ht="14.5" customHeight="1" x14ac:dyDescent="0.2">
      <c r="A4024" s="54">
        <v>2022</v>
      </c>
      <c r="B4024" t="s">
        <v>225</v>
      </c>
      <c r="C4024" t="s">
        <v>875</v>
      </c>
      <c r="D4024" s="22">
        <v>150</v>
      </c>
      <c r="E4024" s="16"/>
      <c r="G4024" t="s">
        <v>154</v>
      </c>
      <c r="H4024" t="s">
        <v>194</v>
      </c>
      <c r="I4024" t="s">
        <v>93</v>
      </c>
      <c r="J4024" t="s">
        <v>201</v>
      </c>
      <c r="K4024">
        <v>1</v>
      </c>
      <c r="N4024" s="26"/>
      <c r="Q4024" s="4"/>
      <c r="R4024" s="4"/>
      <c r="S4024" s="4"/>
      <c r="T4024" s="4"/>
      <c r="U4024" s="4"/>
      <c r="V4024" s="4"/>
    </row>
    <row r="4025" spans="1:22" ht="14.5" customHeight="1" x14ac:dyDescent="0.2">
      <c r="A4025" s="54">
        <v>2022</v>
      </c>
      <c r="B4025" t="s">
        <v>225</v>
      </c>
      <c r="C4025" t="s">
        <v>444</v>
      </c>
      <c r="D4025" s="22">
        <v>190</v>
      </c>
      <c r="E4025" s="16"/>
      <c r="G4025" t="s">
        <v>145</v>
      </c>
      <c r="I4025" t="s">
        <v>48</v>
      </c>
      <c r="J4025" t="s">
        <v>219</v>
      </c>
      <c r="K4025">
        <v>1</v>
      </c>
      <c r="N4025" s="26"/>
      <c r="Q4025" s="4"/>
      <c r="R4025" s="4"/>
      <c r="S4025" s="4"/>
      <c r="T4025" s="4"/>
      <c r="U4025" s="4"/>
      <c r="V4025" s="4"/>
    </row>
    <row r="4026" spans="1:22" s="41" customFormat="1" ht="14.5" customHeight="1" x14ac:dyDescent="0.2">
      <c r="A4026" s="54">
        <v>2022</v>
      </c>
      <c r="B4026" t="s">
        <v>225</v>
      </c>
      <c r="C4026" t="s">
        <v>1035</v>
      </c>
      <c r="D4026" s="22">
        <v>210</v>
      </c>
      <c r="E4026" s="16"/>
      <c r="G4026" t="s">
        <v>144</v>
      </c>
      <c r="H4026" t="s">
        <v>197</v>
      </c>
      <c r="I4026" t="s">
        <v>102</v>
      </c>
      <c r="J4026" t="s">
        <v>219</v>
      </c>
      <c r="K4026">
        <v>1</v>
      </c>
      <c r="N4026" s="43"/>
      <c r="Q4026" s="77"/>
      <c r="R4026" s="77"/>
      <c r="S4026" s="77"/>
      <c r="T4026" s="77"/>
      <c r="U4026" s="77"/>
      <c r="V4026" s="77"/>
    </row>
    <row r="4027" spans="1:22" ht="14.5" customHeight="1" x14ac:dyDescent="0.2">
      <c r="A4027" s="54">
        <v>2022</v>
      </c>
      <c r="B4027" t="s">
        <v>225</v>
      </c>
      <c r="C4027" t="s">
        <v>479</v>
      </c>
      <c r="D4027" s="22">
        <v>130</v>
      </c>
      <c r="E4027" s="16"/>
      <c r="F4027" t="s">
        <v>3046</v>
      </c>
      <c r="G4027" t="s">
        <v>155</v>
      </c>
      <c r="I4027" t="s">
        <v>93</v>
      </c>
      <c r="J4027" t="s">
        <v>201</v>
      </c>
      <c r="K4027">
        <v>1</v>
      </c>
      <c r="N4027" s="26"/>
      <c r="Q4027" s="4"/>
      <c r="R4027" s="4"/>
      <c r="S4027" s="4"/>
      <c r="T4027" s="4"/>
      <c r="U4027" s="4"/>
      <c r="V4027" s="4"/>
    </row>
    <row r="4028" spans="1:22" ht="14.5" customHeight="1" x14ac:dyDescent="0.2">
      <c r="A4028" s="54">
        <v>2022</v>
      </c>
      <c r="B4028" t="s">
        <v>225</v>
      </c>
      <c r="C4028" t="s">
        <v>199</v>
      </c>
      <c r="D4028" s="22">
        <v>430</v>
      </c>
      <c r="E4028" s="16"/>
      <c r="F4028" t="s">
        <v>3047</v>
      </c>
      <c r="G4028" t="s">
        <v>144</v>
      </c>
      <c r="H4028" t="s">
        <v>299</v>
      </c>
      <c r="I4028" t="s">
        <v>124</v>
      </c>
      <c r="J4028" t="s">
        <v>183</v>
      </c>
      <c r="K4028">
        <v>1</v>
      </c>
      <c r="N4028" s="26"/>
      <c r="Q4028" s="4"/>
      <c r="R4028" s="4"/>
      <c r="S4028" s="4"/>
      <c r="T4028" s="4"/>
      <c r="U4028" s="4"/>
      <c r="V4028" s="4"/>
    </row>
    <row r="4029" spans="1:22" ht="14.5" customHeight="1" x14ac:dyDescent="0.2">
      <c r="A4029" s="54">
        <v>2022</v>
      </c>
      <c r="B4029" t="s">
        <v>225</v>
      </c>
      <c r="C4029" t="s">
        <v>1035</v>
      </c>
      <c r="D4029" s="22">
        <v>150</v>
      </c>
      <c r="E4029" s="16"/>
      <c r="G4029" t="s">
        <v>144</v>
      </c>
      <c r="H4029" t="s">
        <v>232</v>
      </c>
      <c r="I4029" t="s">
        <v>82</v>
      </c>
      <c r="J4029" t="s">
        <v>183</v>
      </c>
      <c r="K4029">
        <v>1</v>
      </c>
      <c r="N4029" s="26"/>
      <c r="Q4029" s="4"/>
      <c r="R4029" s="4"/>
      <c r="S4029" s="4"/>
      <c r="T4029" s="4"/>
      <c r="U4029" s="4"/>
      <c r="V4029" s="4"/>
    </row>
    <row r="4030" spans="1:22" ht="14.5" customHeight="1" x14ac:dyDescent="0.2">
      <c r="A4030" s="54">
        <v>2022</v>
      </c>
      <c r="B4030" t="s">
        <v>188</v>
      </c>
      <c r="C4030" t="s">
        <v>2538</v>
      </c>
      <c r="D4030" s="22">
        <v>190</v>
      </c>
      <c r="E4030" s="16"/>
      <c r="G4030" t="s">
        <v>144</v>
      </c>
      <c r="H4030" t="s">
        <v>197</v>
      </c>
      <c r="I4030" t="s">
        <v>64</v>
      </c>
      <c r="J4030" t="s">
        <v>219</v>
      </c>
      <c r="K4030">
        <v>1</v>
      </c>
      <c r="N4030" s="26"/>
      <c r="Q4030" s="4"/>
      <c r="R4030" s="4"/>
      <c r="S4030" s="4"/>
      <c r="T4030" s="4"/>
      <c r="U4030" s="4"/>
      <c r="V4030" s="4"/>
    </row>
    <row r="4031" spans="1:22" ht="14.5" customHeight="1" x14ac:dyDescent="0.2">
      <c r="A4031" s="54">
        <v>2022</v>
      </c>
      <c r="B4031" t="s">
        <v>188</v>
      </c>
      <c r="C4031" t="s">
        <v>307</v>
      </c>
      <c r="D4031" s="22">
        <v>110</v>
      </c>
      <c r="E4031" s="16"/>
      <c r="F4031" t="s">
        <v>3048</v>
      </c>
      <c r="G4031" t="s">
        <v>144</v>
      </c>
      <c r="H4031" t="s">
        <v>232</v>
      </c>
      <c r="I4031" t="s">
        <v>112</v>
      </c>
      <c r="J4031" t="s">
        <v>219</v>
      </c>
      <c r="K4031">
        <v>1</v>
      </c>
      <c r="N4031" s="26"/>
    </row>
    <row r="4032" spans="1:22" ht="14.5" customHeight="1" x14ac:dyDescent="0.2">
      <c r="A4032" s="54">
        <v>2022</v>
      </c>
      <c r="B4032" t="s">
        <v>188</v>
      </c>
      <c r="C4032" t="s">
        <v>397</v>
      </c>
      <c r="D4032" s="22">
        <v>140</v>
      </c>
      <c r="E4032" s="16"/>
      <c r="G4032" t="s">
        <v>147</v>
      </c>
      <c r="I4032" t="s">
        <v>95</v>
      </c>
      <c r="J4032" t="s">
        <v>183</v>
      </c>
      <c r="K4032">
        <v>1</v>
      </c>
      <c r="N4032" s="26"/>
    </row>
    <row r="4033" spans="1:14" ht="14.5" customHeight="1" x14ac:dyDescent="0.2">
      <c r="A4033" s="54">
        <v>2022</v>
      </c>
      <c r="B4033" t="s">
        <v>188</v>
      </c>
      <c r="C4033" t="s">
        <v>479</v>
      </c>
      <c r="D4033" s="22">
        <v>410</v>
      </c>
      <c r="E4033" s="16"/>
      <c r="G4033" t="s">
        <v>154</v>
      </c>
      <c r="H4033" t="s">
        <v>194</v>
      </c>
      <c r="I4033" t="s">
        <v>97</v>
      </c>
      <c r="J4033" t="s">
        <v>183</v>
      </c>
      <c r="K4033">
        <v>1</v>
      </c>
      <c r="N4033" s="26"/>
    </row>
    <row r="4034" spans="1:14" ht="14.5" customHeight="1" x14ac:dyDescent="0.2">
      <c r="A4034" s="54">
        <v>2022</v>
      </c>
      <c r="B4034" t="s">
        <v>188</v>
      </c>
      <c r="C4034" t="s">
        <v>479</v>
      </c>
      <c r="D4034" s="22">
        <v>130</v>
      </c>
      <c r="E4034" s="16"/>
      <c r="G4034" t="s">
        <v>154</v>
      </c>
      <c r="H4034" t="s">
        <v>194</v>
      </c>
      <c r="I4034" t="s">
        <v>60</v>
      </c>
      <c r="J4034" t="s">
        <v>177</v>
      </c>
      <c r="K4034">
        <v>1</v>
      </c>
      <c r="N4034" s="26"/>
    </row>
    <row r="4035" spans="1:14" ht="14.5" customHeight="1" x14ac:dyDescent="0.2">
      <c r="A4035" s="54">
        <v>2022</v>
      </c>
      <c r="B4035" t="s">
        <v>188</v>
      </c>
      <c r="C4035" t="s">
        <v>449</v>
      </c>
      <c r="D4035" s="22">
        <v>100</v>
      </c>
      <c r="E4035" s="16"/>
      <c r="G4035" t="s">
        <v>154</v>
      </c>
      <c r="H4035" t="s">
        <v>194</v>
      </c>
      <c r="I4035" t="s">
        <v>46</v>
      </c>
      <c r="J4035" t="s">
        <v>219</v>
      </c>
      <c r="K4035">
        <v>1</v>
      </c>
      <c r="N4035" s="26"/>
    </row>
    <row r="4036" spans="1:14" ht="14.5" customHeight="1" x14ac:dyDescent="0.2">
      <c r="A4036" s="54">
        <v>2022</v>
      </c>
      <c r="B4036" t="s">
        <v>188</v>
      </c>
      <c r="C4036" t="s">
        <v>479</v>
      </c>
      <c r="D4036" s="22">
        <v>450</v>
      </c>
      <c r="E4036" s="16"/>
      <c r="G4036" t="s">
        <v>147</v>
      </c>
      <c r="I4036" t="s">
        <v>9</v>
      </c>
      <c r="J4036" t="s">
        <v>9</v>
      </c>
      <c r="K4036">
        <v>0</v>
      </c>
      <c r="N4036" s="26"/>
    </row>
    <row r="4037" spans="1:14" ht="14.5" customHeight="1" x14ac:dyDescent="0.2">
      <c r="A4037" s="54">
        <v>2022</v>
      </c>
      <c r="B4037" t="s">
        <v>188</v>
      </c>
      <c r="C4037" t="s">
        <v>449</v>
      </c>
      <c r="D4037" s="22">
        <v>960</v>
      </c>
      <c r="E4037" s="16"/>
      <c r="G4037" t="s">
        <v>154</v>
      </c>
      <c r="H4037" t="s">
        <v>194</v>
      </c>
      <c r="I4037" t="s">
        <v>105</v>
      </c>
      <c r="J4037" t="s">
        <v>214</v>
      </c>
      <c r="K4037">
        <v>1</v>
      </c>
      <c r="N4037" s="26"/>
    </row>
    <row r="4038" spans="1:14" ht="14.5" customHeight="1" x14ac:dyDescent="0.2">
      <c r="A4038" s="54">
        <v>2022</v>
      </c>
      <c r="B4038" t="s">
        <v>188</v>
      </c>
      <c r="C4038" t="s">
        <v>444</v>
      </c>
      <c r="D4038" s="22">
        <v>820</v>
      </c>
      <c r="E4038" s="16"/>
      <c r="G4038" t="s">
        <v>154</v>
      </c>
      <c r="H4038" t="s">
        <v>529</v>
      </c>
      <c r="I4038" t="s">
        <v>8</v>
      </c>
      <c r="J4038" t="s">
        <v>205</v>
      </c>
      <c r="K4038">
        <v>1</v>
      </c>
      <c r="N4038" s="26"/>
    </row>
    <row r="4039" spans="1:14" s="41" customFormat="1" ht="14.5" customHeight="1" x14ac:dyDescent="0.2">
      <c r="A4039" s="54">
        <v>2022</v>
      </c>
      <c r="B4039" t="s">
        <v>188</v>
      </c>
      <c r="C4039" t="s">
        <v>3049</v>
      </c>
      <c r="D4039" s="22">
        <v>130</v>
      </c>
      <c r="E4039" s="16"/>
      <c r="G4039" t="s">
        <v>154</v>
      </c>
      <c r="H4039" t="s">
        <v>194</v>
      </c>
      <c r="I4039" t="s">
        <v>71</v>
      </c>
      <c r="J4039" t="s">
        <v>219</v>
      </c>
      <c r="K4039">
        <v>1</v>
      </c>
      <c r="N4039" s="43"/>
    </row>
    <row r="4040" spans="1:14" ht="14.5" customHeight="1" x14ac:dyDescent="0.2">
      <c r="A4040" s="54">
        <v>2022</v>
      </c>
      <c r="B4040" t="s">
        <v>188</v>
      </c>
      <c r="C4040" t="s">
        <v>745</v>
      </c>
      <c r="D4040" s="22">
        <v>230</v>
      </c>
      <c r="E4040" s="16"/>
      <c r="F4040" t="s">
        <v>3050</v>
      </c>
      <c r="G4040" t="s">
        <v>143</v>
      </c>
      <c r="I4040" t="s">
        <v>100</v>
      </c>
      <c r="J4040" t="s">
        <v>214</v>
      </c>
      <c r="K4040">
        <v>1</v>
      </c>
      <c r="N4040" s="26"/>
    </row>
    <row r="4041" spans="1:14" ht="14.5" customHeight="1" x14ac:dyDescent="0.2">
      <c r="A4041" s="54">
        <v>2022</v>
      </c>
      <c r="B4041" t="s">
        <v>188</v>
      </c>
      <c r="C4041" t="s">
        <v>449</v>
      </c>
      <c r="D4041" s="22">
        <v>210</v>
      </c>
      <c r="E4041" s="16"/>
      <c r="G4041" t="s">
        <v>154</v>
      </c>
      <c r="H4041" t="s">
        <v>250</v>
      </c>
      <c r="I4041" t="s">
        <v>89</v>
      </c>
      <c r="J4041" t="s">
        <v>219</v>
      </c>
      <c r="K4041">
        <v>1</v>
      </c>
      <c r="N4041" s="26"/>
    </row>
    <row r="4042" spans="1:14" ht="14.5" customHeight="1" x14ac:dyDescent="0.2">
      <c r="A4042" s="54">
        <v>2022</v>
      </c>
      <c r="B4042" t="s">
        <v>188</v>
      </c>
      <c r="C4042" t="s">
        <v>479</v>
      </c>
      <c r="D4042" s="22">
        <v>200</v>
      </c>
      <c r="E4042" s="16"/>
      <c r="F4042" t="s">
        <v>3051</v>
      </c>
      <c r="G4042" t="s">
        <v>155</v>
      </c>
      <c r="I4042" t="s">
        <v>93</v>
      </c>
      <c r="J4042" t="s">
        <v>201</v>
      </c>
      <c r="K4042">
        <v>1</v>
      </c>
      <c r="N4042" s="26"/>
    </row>
    <row r="4043" spans="1:14" ht="14.5" customHeight="1" x14ac:dyDescent="0.2">
      <c r="A4043" s="54">
        <v>2022</v>
      </c>
      <c r="B4043" t="s">
        <v>188</v>
      </c>
      <c r="C4043" t="s">
        <v>397</v>
      </c>
      <c r="D4043" s="22">
        <v>370</v>
      </c>
      <c r="E4043" s="16"/>
      <c r="G4043" t="s">
        <v>154</v>
      </c>
      <c r="H4043" t="s">
        <v>250</v>
      </c>
      <c r="I4043" t="s">
        <v>55</v>
      </c>
      <c r="J4043" t="s">
        <v>214</v>
      </c>
      <c r="K4043">
        <v>1</v>
      </c>
      <c r="N4043" s="26"/>
    </row>
    <row r="4044" spans="1:14" ht="14.5" customHeight="1" x14ac:dyDescent="0.2">
      <c r="A4044" s="54">
        <v>2022</v>
      </c>
      <c r="B4044" t="s">
        <v>191</v>
      </c>
      <c r="C4044" t="s">
        <v>1289</v>
      </c>
      <c r="D4044" s="22">
        <v>330</v>
      </c>
      <c r="E4044" s="16"/>
      <c r="G4044" t="s">
        <v>151</v>
      </c>
      <c r="H4044" t="s">
        <v>279</v>
      </c>
      <c r="I4044" t="s">
        <v>108</v>
      </c>
      <c r="J4044" t="s">
        <v>183</v>
      </c>
      <c r="K4044">
        <v>1</v>
      </c>
      <c r="N4044" s="26"/>
    </row>
    <row r="4045" spans="1:14" ht="14.5" customHeight="1" x14ac:dyDescent="0.2">
      <c r="A4045" s="54">
        <v>2022</v>
      </c>
      <c r="B4045" t="s">
        <v>191</v>
      </c>
      <c r="C4045" t="s">
        <v>3052</v>
      </c>
      <c r="D4045" s="22">
        <v>180</v>
      </c>
      <c r="E4045" s="16"/>
      <c r="G4045" t="s">
        <v>147</v>
      </c>
      <c r="I4045" t="s">
        <v>50</v>
      </c>
      <c r="J4045" t="s">
        <v>205</v>
      </c>
      <c r="K4045">
        <v>1</v>
      </c>
      <c r="N4045" s="26"/>
    </row>
    <row r="4046" spans="1:14" ht="14.5" customHeight="1" x14ac:dyDescent="0.2">
      <c r="A4046" s="54">
        <v>2022</v>
      </c>
      <c r="B4046" t="s">
        <v>191</v>
      </c>
      <c r="C4046" t="s">
        <v>479</v>
      </c>
      <c r="D4046" s="22">
        <v>550</v>
      </c>
      <c r="E4046" s="16"/>
      <c r="G4046" t="s">
        <v>151</v>
      </c>
      <c r="H4046" t="s">
        <v>279</v>
      </c>
      <c r="I4046" t="s">
        <v>9</v>
      </c>
      <c r="J4046" t="s">
        <v>9</v>
      </c>
      <c r="K4046">
        <v>0</v>
      </c>
      <c r="N4046" s="26"/>
    </row>
    <row r="4047" spans="1:14" ht="14.5" customHeight="1" x14ac:dyDescent="0.2">
      <c r="A4047" s="54">
        <v>2022</v>
      </c>
      <c r="B4047" t="s">
        <v>191</v>
      </c>
      <c r="C4047" t="s">
        <v>479</v>
      </c>
      <c r="D4047" s="22">
        <v>1260</v>
      </c>
      <c r="E4047" s="16"/>
      <c r="G4047" t="s">
        <v>154</v>
      </c>
      <c r="H4047" t="s">
        <v>529</v>
      </c>
      <c r="I4047" t="s">
        <v>72</v>
      </c>
      <c r="J4047" t="s">
        <v>183</v>
      </c>
      <c r="K4047">
        <v>1</v>
      </c>
      <c r="N4047" s="26"/>
    </row>
    <row r="4048" spans="1:14" ht="14.5" customHeight="1" x14ac:dyDescent="0.2">
      <c r="A4048" s="54">
        <v>2022</v>
      </c>
      <c r="B4048" t="s">
        <v>191</v>
      </c>
      <c r="C4048" t="s">
        <v>175</v>
      </c>
      <c r="D4048" s="22">
        <v>260</v>
      </c>
      <c r="E4048" s="16"/>
      <c r="F4048" t="s">
        <v>3053</v>
      </c>
      <c r="G4048" t="s">
        <v>149</v>
      </c>
      <c r="I4048" t="s">
        <v>53</v>
      </c>
      <c r="J4048" t="s">
        <v>183</v>
      </c>
      <c r="K4048">
        <v>1</v>
      </c>
      <c r="N4048" s="26"/>
    </row>
    <row r="4049" spans="1:14" ht="14.5" customHeight="1" x14ac:dyDescent="0.2">
      <c r="A4049" s="54">
        <v>2022</v>
      </c>
      <c r="B4049" t="s">
        <v>191</v>
      </c>
      <c r="C4049" t="s">
        <v>189</v>
      </c>
      <c r="D4049" s="22">
        <v>160</v>
      </c>
      <c r="E4049" s="16"/>
      <c r="F4049" t="s">
        <v>1703</v>
      </c>
      <c r="G4049" t="s">
        <v>143</v>
      </c>
      <c r="I4049" t="s">
        <v>108</v>
      </c>
      <c r="J4049" t="s">
        <v>183</v>
      </c>
      <c r="K4049">
        <v>1</v>
      </c>
      <c r="N4049" s="26"/>
    </row>
    <row r="4050" spans="1:14" ht="14.5" customHeight="1" x14ac:dyDescent="0.2">
      <c r="A4050" s="54">
        <v>2022</v>
      </c>
      <c r="B4050" t="s">
        <v>191</v>
      </c>
      <c r="C4050" t="s">
        <v>2309</v>
      </c>
      <c r="D4050" s="22">
        <v>160</v>
      </c>
      <c r="E4050" s="16"/>
      <c r="G4050" t="s">
        <v>154</v>
      </c>
      <c r="H4050" t="s">
        <v>529</v>
      </c>
      <c r="I4050" t="s">
        <v>77</v>
      </c>
      <c r="J4050" t="s">
        <v>177</v>
      </c>
      <c r="K4050">
        <v>0</v>
      </c>
      <c r="N4050" s="26"/>
    </row>
    <row r="4051" spans="1:14" ht="14.5" customHeight="1" x14ac:dyDescent="0.2">
      <c r="A4051" s="54">
        <v>2022</v>
      </c>
      <c r="B4051" t="s">
        <v>191</v>
      </c>
      <c r="C4051" t="s">
        <v>875</v>
      </c>
      <c r="D4051" s="22">
        <v>290</v>
      </c>
      <c r="E4051" s="16"/>
      <c r="G4051" t="s">
        <v>144</v>
      </c>
      <c r="H4051" t="s">
        <v>232</v>
      </c>
      <c r="I4051" t="s">
        <v>38</v>
      </c>
      <c r="J4051" t="s">
        <v>214</v>
      </c>
      <c r="K4051">
        <v>1</v>
      </c>
      <c r="N4051" s="26"/>
    </row>
    <row r="4052" spans="1:14" ht="14.5" customHeight="1" x14ac:dyDescent="0.2">
      <c r="A4052" s="54">
        <v>2022</v>
      </c>
      <c r="B4052" t="s">
        <v>191</v>
      </c>
      <c r="C4052" t="s">
        <v>3028</v>
      </c>
      <c r="D4052" s="22">
        <v>290</v>
      </c>
      <c r="E4052" s="16"/>
      <c r="G4052" t="s">
        <v>153</v>
      </c>
      <c r="I4052" t="s">
        <v>13</v>
      </c>
      <c r="J4052" t="s">
        <v>201</v>
      </c>
      <c r="K4052">
        <v>1</v>
      </c>
      <c r="N4052" s="26"/>
    </row>
    <row r="4053" spans="1:14" ht="14.5" customHeight="1" x14ac:dyDescent="0.2">
      <c r="A4053" s="54">
        <v>2022</v>
      </c>
      <c r="B4053" t="s">
        <v>191</v>
      </c>
      <c r="C4053" t="s">
        <v>474</v>
      </c>
      <c r="D4053" s="22">
        <v>120</v>
      </c>
      <c r="E4053" s="16"/>
      <c r="G4053" t="s">
        <v>154</v>
      </c>
      <c r="H4053" t="s">
        <v>194</v>
      </c>
      <c r="I4053" t="s">
        <v>2755</v>
      </c>
      <c r="J4053" t="s">
        <v>177</v>
      </c>
      <c r="K4053">
        <v>1</v>
      </c>
      <c r="N4053" s="26"/>
    </row>
    <row r="4054" spans="1:14" ht="14.5" customHeight="1" x14ac:dyDescent="0.2">
      <c r="A4054" s="54">
        <v>2022</v>
      </c>
      <c r="B4054" t="s">
        <v>191</v>
      </c>
      <c r="C4054" t="s">
        <v>449</v>
      </c>
      <c r="D4054" s="22">
        <v>760</v>
      </c>
      <c r="E4054" s="16"/>
      <c r="G4054" t="s">
        <v>154</v>
      </c>
      <c r="H4054" t="s">
        <v>529</v>
      </c>
      <c r="I4054" t="s">
        <v>89</v>
      </c>
      <c r="J4054" t="s">
        <v>219</v>
      </c>
      <c r="K4054">
        <v>1</v>
      </c>
      <c r="N4054" s="26"/>
    </row>
    <row r="4055" spans="1:14" ht="14.5" customHeight="1" x14ac:dyDescent="0.2">
      <c r="A4055">
        <v>2022</v>
      </c>
      <c r="B4055" t="s">
        <v>198</v>
      </c>
      <c r="C4055" t="s">
        <v>1035</v>
      </c>
      <c r="D4055" s="22">
        <v>1360</v>
      </c>
      <c r="E4055" s="16"/>
      <c r="G4055" t="s">
        <v>144</v>
      </c>
      <c r="H4055" t="s">
        <v>197</v>
      </c>
      <c r="I4055" t="s">
        <v>53</v>
      </c>
      <c r="J4055" t="s">
        <v>183</v>
      </c>
      <c r="K4055">
        <v>1</v>
      </c>
      <c r="N4055" s="26"/>
    </row>
    <row r="4056" spans="1:14" ht="14.5" customHeight="1" x14ac:dyDescent="0.2">
      <c r="A4056">
        <v>2022</v>
      </c>
      <c r="B4056" t="s">
        <v>198</v>
      </c>
      <c r="C4056" t="s">
        <v>397</v>
      </c>
      <c r="D4056" s="22">
        <v>290</v>
      </c>
      <c r="E4056" s="16"/>
      <c r="G4056" t="s">
        <v>154</v>
      </c>
      <c r="H4056" t="s">
        <v>194</v>
      </c>
      <c r="I4056" t="s">
        <v>17</v>
      </c>
      <c r="J4056" t="s">
        <v>195</v>
      </c>
      <c r="K4056">
        <v>1</v>
      </c>
      <c r="N4056" s="26"/>
    </row>
    <row r="4057" spans="1:14" ht="14.5" customHeight="1" x14ac:dyDescent="0.2">
      <c r="A4057">
        <v>2022</v>
      </c>
      <c r="B4057" t="s">
        <v>198</v>
      </c>
      <c r="C4057" t="s">
        <v>397</v>
      </c>
      <c r="D4057" s="22">
        <v>400</v>
      </c>
      <c r="E4057" s="16"/>
      <c r="F4057" t="s">
        <v>3054</v>
      </c>
      <c r="G4057" t="s">
        <v>146</v>
      </c>
      <c r="I4057" t="s">
        <v>40</v>
      </c>
      <c r="J4057" t="s">
        <v>219</v>
      </c>
      <c r="K4057">
        <v>1</v>
      </c>
      <c r="N4057" s="26"/>
    </row>
    <row r="4058" spans="1:14" ht="14.5" customHeight="1" x14ac:dyDescent="0.2">
      <c r="A4058">
        <v>2022</v>
      </c>
      <c r="B4058" t="s">
        <v>198</v>
      </c>
      <c r="C4058" t="s">
        <v>307</v>
      </c>
      <c r="D4058" s="22">
        <v>160</v>
      </c>
      <c r="E4058" s="16"/>
      <c r="F4058" t="s">
        <v>3055</v>
      </c>
      <c r="G4058" t="s">
        <v>144</v>
      </c>
      <c r="H4058" t="s">
        <v>232</v>
      </c>
      <c r="I4058" t="s">
        <v>19</v>
      </c>
      <c r="J4058" t="s">
        <v>205</v>
      </c>
      <c r="K4058">
        <v>0</v>
      </c>
      <c r="N4058" s="26"/>
    </row>
    <row r="4059" spans="1:14" s="17" customFormat="1" ht="14.5" customHeight="1" x14ac:dyDescent="0.2">
      <c r="A4059">
        <v>2022</v>
      </c>
      <c r="B4059" t="s">
        <v>198</v>
      </c>
      <c r="C4059" t="s">
        <v>189</v>
      </c>
      <c r="D4059" s="22">
        <v>130</v>
      </c>
      <c r="E4059" s="16"/>
      <c r="G4059" t="s">
        <v>144</v>
      </c>
      <c r="H4059" t="s">
        <v>299</v>
      </c>
      <c r="I4059" t="s">
        <v>124</v>
      </c>
      <c r="J4059" t="s">
        <v>183</v>
      </c>
      <c r="K4059">
        <v>1</v>
      </c>
      <c r="N4059" s="39"/>
    </row>
    <row r="4060" spans="1:14" ht="14.5" customHeight="1" x14ac:dyDescent="0.2">
      <c r="A4060">
        <v>2022</v>
      </c>
      <c r="B4060" t="s">
        <v>198</v>
      </c>
      <c r="C4060" t="s">
        <v>199</v>
      </c>
      <c r="D4060" s="22">
        <v>180</v>
      </c>
      <c r="E4060" s="16"/>
      <c r="G4060" t="s">
        <v>144</v>
      </c>
      <c r="H4060" t="s">
        <v>187</v>
      </c>
      <c r="I4060" t="s">
        <v>77</v>
      </c>
      <c r="J4060" t="s">
        <v>177</v>
      </c>
      <c r="K4060">
        <v>0</v>
      </c>
      <c r="N4060" s="26"/>
    </row>
    <row r="4061" spans="1:14" ht="14.5" customHeight="1" x14ac:dyDescent="0.2">
      <c r="A4061">
        <v>2022</v>
      </c>
      <c r="B4061" t="s">
        <v>198</v>
      </c>
      <c r="C4061" t="s">
        <v>397</v>
      </c>
      <c r="D4061" s="22">
        <v>390</v>
      </c>
      <c r="E4061" s="16"/>
      <c r="F4061" t="s">
        <v>2988</v>
      </c>
      <c r="G4061" t="s">
        <v>154</v>
      </c>
      <c r="H4061" t="s">
        <v>529</v>
      </c>
      <c r="I4061" t="s">
        <v>108</v>
      </c>
      <c r="J4061" t="s">
        <v>183</v>
      </c>
      <c r="K4061">
        <v>1</v>
      </c>
      <c r="N4061" s="26"/>
    </row>
    <row r="4062" spans="1:14" ht="14.5" customHeight="1" x14ac:dyDescent="0.2">
      <c r="A4062">
        <v>2022</v>
      </c>
      <c r="B4062" t="s">
        <v>202</v>
      </c>
      <c r="C4062" t="s">
        <v>285</v>
      </c>
      <c r="D4062" s="22">
        <v>660</v>
      </c>
      <c r="E4062" s="16">
        <v>0.49</v>
      </c>
      <c r="F4062" t="s">
        <v>3056</v>
      </c>
      <c r="G4062" t="s">
        <v>144</v>
      </c>
      <c r="I4062" t="s">
        <v>27</v>
      </c>
      <c r="J4062" t="s">
        <v>205</v>
      </c>
      <c r="K4062">
        <v>1</v>
      </c>
      <c r="N4062" s="26"/>
    </row>
    <row r="4063" spans="1:14" ht="14.5" customHeight="1" x14ac:dyDescent="0.2">
      <c r="A4063">
        <v>2022</v>
      </c>
      <c r="B4063" t="s">
        <v>202</v>
      </c>
      <c r="C4063" t="s">
        <v>189</v>
      </c>
      <c r="D4063" s="22">
        <v>160</v>
      </c>
      <c r="E4063" s="16"/>
      <c r="F4063" t="s">
        <v>993</v>
      </c>
      <c r="G4063" t="s">
        <v>144</v>
      </c>
      <c r="I4063" t="s">
        <v>105</v>
      </c>
      <c r="J4063" t="s">
        <v>214</v>
      </c>
      <c r="K4063">
        <v>1</v>
      </c>
      <c r="N4063" s="26"/>
    </row>
    <row r="4064" spans="1:14" ht="14.5" customHeight="1" x14ac:dyDescent="0.2">
      <c r="A4064">
        <v>2022</v>
      </c>
      <c r="B4064" t="s">
        <v>202</v>
      </c>
      <c r="C4064" t="s">
        <v>397</v>
      </c>
      <c r="D4064" s="22">
        <v>140</v>
      </c>
      <c r="E4064" s="16"/>
      <c r="G4064" t="s">
        <v>151</v>
      </c>
      <c r="H4064" t="s">
        <v>279</v>
      </c>
      <c r="I4064" t="s">
        <v>113</v>
      </c>
      <c r="J4064" t="s">
        <v>183</v>
      </c>
      <c r="K4064">
        <v>1</v>
      </c>
      <c r="N4064" s="26"/>
    </row>
    <row r="4065" spans="1:14" ht="14.5" customHeight="1" x14ac:dyDescent="0.2">
      <c r="A4065">
        <v>2022</v>
      </c>
      <c r="B4065" t="s">
        <v>202</v>
      </c>
      <c r="C4065" t="s">
        <v>557</v>
      </c>
      <c r="D4065" s="22">
        <v>100</v>
      </c>
      <c r="E4065" s="16"/>
      <c r="G4065" t="s">
        <v>144</v>
      </c>
      <c r="H4065" t="s">
        <v>232</v>
      </c>
      <c r="I4065" t="s">
        <v>98</v>
      </c>
      <c r="J4065" t="s">
        <v>195</v>
      </c>
      <c r="K4065">
        <v>1</v>
      </c>
      <c r="N4065" s="26"/>
    </row>
    <row r="4066" spans="1:14" ht="14.5" customHeight="1" x14ac:dyDescent="0.2">
      <c r="A4066">
        <v>2022</v>
      </c>
      <c r="B4066" t="s">
        <v>202</v>
      </c>
      <c r="C4066" t="s">
        <v>341</v>
      </c>
      <c r="D4066" s="22">
        <v>370</v>
      </c>
      <c r="E4066" s="16"/>
      <c r="G4066" t="s">
        <v>154</v>
      </c>
      <c r="H4066" t="s">
        <v>250</v>
      </c>
      <c r="I4066" t="s">
        <v>3057</v>
      </c>
      <c r="J4066" t="s">
        <v>177</v>
      </c>
      <c r="K4066">
        <v>1</v>
      </c>
      <c r="N4066" s="26"/>
    </row>
    <row r="4067" spans="1:14" ht="14.5" customHeight="1" x14ac:dyDescent="0.2">
      <c r="A4067">
        <v>2022</v>
      </c>
      <c r="B4067" t="s">
        <v>202</v>
      </c>
      <c r="C4067" t="s">
        <v>1035</v>
      </c>
      <c r="D4067" s="22">
        <v>120</v>
      </c>
      <c r="E4067" s="16"/>
      <c r="G4067" t="s">
        <v>154</v>
      </c>
      <c r="H4067" t="s">
        <v>194</v>
      </c>
      <c r="I4067" t="s">
        <v>98</v>
      </c>
      <c r="J4067" t="s">
        <v>195</v>
      </c>
      <c r="K4067">
        <v>1</v>
      </c>
      <c r="N4067" s="26"/>
    </row>
    <row r="4068" spans="1:14" ht="14.5" customHeight="1" x14ac:dyDescent="0.2">
      <c r="A4068">
        <v>2022</v>
      </c>
      <c r="B4068" t="s">
        <v>207</v>
      </c>
      <c r="C4068" t="s">
        <v>199</v>
      </c>
      <c r="D4068" s="22">
        <v>190</v>
      </c>
      <c r="E4068" s="16"/>
      <c r="G4068" t="s">
        <v>144</v>
      </c>
      <c r="H4068" t="s">
        <v>187</v>
      </c>
      <c r="I4068" t="s">
        <v>55</v>
      </c>
      <c r="J4068" t="s">
        <v>214</v>
      </c>
      <c r="K4068">
        <v>1</v>
      </c>
      <c r="N4068" s="26"/>
    </row>
    <row r="4069" spans="1:14" ht="14.5" customHeight="1" x14ac:dyDescent="0.2">
      <c r="A4069">
        <v>2022</v>
      </c>
      <c r="B4069" t="s">
        <v>207</v>
      </c>
      <c r="C4069" t="s">
        <v>449</v>
      </c>
      <c r="D4069" s="22">
        <v>250</v>
      </c>
      <c r="E4069" s="16"/>
      <c r="G4069" t="s">
        <v>155</v>
      </c>
      <c r="I4069" t="s">
        <v>100</v>
      </c>
      <c r="J4069" t="s">
        <v>214</v>
      </c>
      <c r="K4069">
        <v>1</v>
      </c>
      <c r="N4069" s="26"/>
    </row>
    <row r="4070" spans="1:14" ht="14.5" customHeight="1" x14ac:dyDescent="0.2">
      <c r="A4070">
        <v>2022</v>
      </c>
      <c r="B4070" t="s">
        <v>207</v>
      </c>
      <c r="C4070" t="s">
        <v>479</v>
      </c>
      <c r="D4070" s="22">
        <v>310</v>
      </c>
      <c r="E4070" s="16"/>
      <c r="F4070" t="s">
        <v>3058</v>
      </c>
      <c r="G4070" t="s">
        <v>151</v>
      </c>
      <c r="H4070" t="s">
        <v>279</v>
      </c>
      <c r="I4070" t="s">
        <v>9</v>
      </c>
      <c r="J4070" t="s">
        <v>9</v>
      </c>
      <c r="K4070">
        <v>0</v>
      </c>
      <c r="N4070" s="26"/>
    </row>
    <row r="4071" spans="1:14" ht="14.5" customHeight="1" x14ac:dyDescent="0.2">
      <c r="A4071">
        <v>2022</v>
      </c>
      <c r="B4071" t="s">
        <v>207</v>
      </c>
      <c r="C4071" t="s">
        <v>2982</v>
      </c>
      <c r="D4071" s="22">
        <v>380</v>
      </c>
      <c r="E4071" s="16"/>
      <c r="F4071" t="s">
        <v>1960</v>
      </c>
      <c r="G4071" t="s">
        <v>154</v>
      </c>
      <c r="H4071" t="s">
        <v>529</v>
      </c>
      <c r="I4071" t="s">
        <v>28</v>
      </c>
      <c r="J4071" t="s">
        <v>205</v>
      </c>
      <c r="K4071">
        <v>0</v>
      </c>
      <c r="N4071" s="26"/>
    </row>
    <row r="4072" spans="1:14" ht="14.5" customHeight="1" x14ac:dyDescent="0.2">
      <c r="A4072">
        <v>2022</v>
      </c>
      <c r="B4072" t="s">
        <v>207</v>
      </c>
      <c r="C4072" t="s">
        <v>479</v>
      </c>
      <c r="D4072" s="22">
        <v>270</v>
      </c>
      <c r="E4072" s="16"/>
      <c r="F4072" t="s">
        <v>3059</v>
      </c>
      <c r="G4072" t="s">
        <v>154</v>
      </c>
      <c r="H4072" t="s">
        <v>271</v>
      </c>
      <c r="I4072" t="s">
        <v>24</v>
      </c>
      <c r="J4072" t="s">
        <v>219</v>
      </c>
      <c r="K4072">
        <v>1</v>
      </c>
      <c r="N4072" s="26"/>
    </row>
    <row r="4073" spans="1:14" ht="14.5" customHeight="1" x14ac:dyDescent="0.2">
      <c r="A4073">
        <v>2022</v>
      </c>
      <c r="B4073" t="s">
        <v>207</v>
      </c>
      <c r="C4073" t="s">
        <v>199</v>
      </c>
      <c r="D4073" s="22">
        <v>360</v>
      </c>
      <c r="E4073" s="16"/>
      <c r="G4073" t="s">
        <v>144</v>
      </c>
      <c r="H4073" t="s">
        <v>187</v>
      </c>
      <c r="I4073" t="s">
        <v>65</v>
      </c>
      <c r="J4073" t="s">
        <v>214</v>
      </c>
      <c r="K4073">
        <v>1</v>
      </c>
      <c r="N4073" s="26"/>
    </row>
    <row r="4074" spans="1:14" ht="14.5" customHeight="1" x14ac:dyDescent="0.2">
      <c r="A4074">
        <v>2022</v>
      </c>
      <c r="B4074" t="s">
        <v>207</v>
      </c>
      <c r="C4074" t="s">
        <v>397</v>
      </c>
      <c r="D4074" s="22">
        <v>380</v>
      </c>
      <c r="E4074" s="16"/>
      <c r="F4074" t="s">
        <v>3060</v>
      </c>
      <c r="G4074" t="s">
        <v>154</v>
      </c>
      <c r="H4074" t="s">
        <v>529</v>
      </c>
      <c r="I4074" t="s">
        <v>105</v>
      </c>
      <c r="J4074" t="s">
        <v>214</v>
      </c>
      <c r="K4074">
        <v>1</v>
      </c>
      <c r="N4074" s="26"/>
    </row>
    <row r="4075" spans="1:14" ht="14.5" customHeight="1" x14ac:dyDescent="0.2">
      <c r="A4075">
        <v>2022</v>
      </c>
      <c r="B4075" t="s">
        <v>207</v>
      </c>
      <c r="C4075" t="s">
        <v>208</v>
      </c>
      <c r="D4075" s="22">
        <v>1100</v>
      </c>
      <c r="E4075" s="16"/>
      <c r="F4075" t="s">
        <v>2702</v>
      </c>
      <c r="G4075" t="s">
        <v>149</v>
      </c>
      <c r="H4075" t="s">
        <v>182</v>
      </c>
      <c r="I4075" t="s">
        <v>5</v>
      </c>
      <c r="J4075" t="s">
        <v>214</v>
      </c>
      <c r="K4075">
        <v>1</v>
      </c>
      <c r="N4075" s="26"/>
    </row>
    <row r="4076" spans="1:14" ht="14.5" customHeight="1" x14ac:dyDescent="0.2">
      <c r="A4076">
        <v>2022</v>
      </c>
      <c r="B4076" t="s">
        <v>207</v>
      </c>
      <c r="C4076" t="s">
        <v>341</v>
      </c>
      <c r="D4076" s="22">
        <v>190</v>
      </c>
      <c r="E4076" s="16"/>
      <c r="G4076" t="s">
        <v>154</v>
      </c>
      <c r="H4076" t="s">
        <v>194</v>
      </c>
      <c r="I4076" t="s">
        <v>72</v>
      </c>
      <c r="J4076" t="s">
        <v>183</v>
      </c>
      <c r="K4076">
        <v>1</v>
      </c>
      <c r="N4076" s="26"/>
    </row>
    <row r="4077" spans="1:14" ht="14.5" customHeight="1" x14ac:dyDescent="0.2">
      <c r="A4077">
        <v>2022</v>
      </c>
      <c r="B4077" t="s">
        <v>240</v>
      </c>
      <c r="C4077" t="s">
        <v>1035</v>
      </c>
      <c r="D4077" s="22">
        <v>140</v>
      </c>
      <c r="E4077" s="16"/>
      <c r="G4077" t="s">
        <v>144</v>
      </c>
      <c r="H4077" t="s">
        <v>197</v>
      </c>
      <c r="I4077" t="s">
        <v>123</v>
      </c>
      <c r="J4077" t="s">
        <v>219</v>
      </c>
      <c r="K4077">
        <v>1</v>
      </c>
      <c r="N4077" s="26"/>
    </row>
    <row r="4078" spans="1:14" ht="14.5" customHeight="1" x14ac:dyDescent="0.2">
      <c r="A4078">
        <v>2022</v>
      </c>
      <c r="B4078" t="s">
        <v>240</v>
      </c>
      <c r="C4078" t="s">
        <v>557</v>
      </c>
      <c r="D4078" s="22">
        <v>300</v>
      </c>
      <c r="E4078" s="16"/>
      <c r="F4078" t="s">
        <v>3061</v>
      </c>
      <c r="G4078" t="s">
        <v>151</v>
      </c>
      <c r="H4078" t="s">
        <v>279</v>
      </c>
      <c r="I4078" t="s">
        <v>64</v>
      </c>
      <c r="J4078" t="s">
        <v>219</v>
      </c>
      <c r="K4078">
        <v>1</v>
      </c>
      <c r="L4078" s="17"/>
      <c r="N4078" s="26"/>
    </row>
    <row r="4079" spans="1:14" ht="14.5" customHeight="1" x14ac:dyDescent="0.2">
      <c r="A4079">
        <v>2022</v>
      </c>
      <c r="B4079" t="s">
        <v>240</v>
      </c>
      <c r="C4079" t="s">
        <v>557</v>
      </c>
      <c r="D4079" s="22">
        <v>220</v>
      </c>
      <c r="E4079" s="16"/>
      <c r="F4079" t="s">
        <v>3062</v>
      </c>
      <c r="G4079" t="s">
        <v>151</v>
      </c>
      <c r="H4079" t="s">
        <v>279</v>
      </c>
      <c r="I4079" t="s">
        <v>105</v>
      </c>
      <c r="J4079" t="s">
        <v>214</v>
      </c>
      <c r="K4079">
        <v>1</v>
      </c>
      <c r="L4079" s="17"/>
      <c r="N4079" s="26"/>
    </row>
    <row r="4080" spans="1:14" ht="14.5" customHeight="1" x14ac:dyDescent="0.2">
      <c r="A4080">
        <v>2022</v>
      </c>
      <c r="B4080" t="s">
        <v>240</v>
      </c>
      <c r="C4080" t="s">
        <v>189</v>
      </c>
      <c r="D4080" s="22">
        <v>860</v>
      </c>
      <c r="E4080" s="16"/>
      <c r="G4080" t="s">
        <v>144</v>
      </c>
      <c r="H4080" t="s">
        <v>187</v>
      </c>
      <c r="I4080" t="s">
        <v>65</v>
      </c>
      <c r="J4080" t="s">
        <v>214</v>
      </c>
      <c r="K4080">
        <v>1</v>
      </c>
      <c r="L4080" s="17"/>
      <c r="N4080" s="26"/>
    </row>
    <row r="4081" spans="1:14" ht="14.5" customHeight="1" x14ac:dyDescent="0.2">
      <c r="A4081">
        <v>2022</v>
      </c>
      <c r="B4081" t="s">
        <v>240</v>
      </c>
      <c r="C4081" t="s">
        <v>341</v>
      </c>
      <c r="D4081" s="22">
        <v>100</v>
      </c>
      <c r="E4081" s="16"/>
      <c r="F4081" t="s">
        <v>3063</v>
      </c>
      <c r="G4081" t="s">
        <v>146</v>
      </c>
      <c r="I4081" t="s">
        <v>102</v>
      </c>
      <c r="J4081" t="s">
        <v>219</v>
      </c>
      <c r="K4081">
        <v>1</v>
      </c>
      <c r="N4081" s="26"/>
    </row>
    <row r="4082" spans="1:14" ht="14.5" customHeight="1" x14ac:dyDescent="0.2">
      <c r="A4082">
        <v>2022</v>
      </c>
      <c r="B4082" t="s">
        <v>240</v>
      </c>
      <c r="C4082" t="s">
        <v>745</v>
      </c>
      <c r="D4082" s="22">
        <v>130</v>
      </c>
      <c r="E4082" s="16"/>
      <c r="F4082" t="s">
        <v>3064</v>
      </c>
      <c r="G4082" t="s">
        <v>144</v>
      </c>
      <c r="H4082" t="s">
        <v>299</v>
      </c>
      <c r="I4082" t="s">
        <v>100</v>
      </c>
      <c r="J4082" t="s">
        <v>214</v>
      </c>
      <c r="K4082">
        <v>1</v>
      </c>
      <c r="N4082" s="26"/>
    </row>
    <row r="4083" spans="1:14" ht="14.5" customHeight="1" x14ac:dyDescent="0.2">
      <c r="A4083">
        <v>2022</v>
      </c>
      <c r="B4083" t="s">
        <v>240</v>
      </c>
      <c r="C4083" t="s">
        <v>479</v>
      </c>
      <c r="D4083" s="22">
        <v>490</v>
      </c>
      <c r="E4083" s="16"/>
      <c r="F4083" t="s">
        <v>3065</v>
      </c>
      <c r="G4083" t="s">
        <v>154</v>
      </c>
      <c r="H4083" t="s">
        <v>529</v>
      </c>
      <c r="I4083" t="s">
        <v>9</v>
      </c>
      <c r="J4083" t="s">
        <v>9</v>
      </c>
      <c r="K4083">
        <v>0</v>
      </c>
      <c r="N4083" s="26"/>
    </row>
    <row r="4084" spans="1:14" ht="14.5" customHeight="1" x14ac:dyDescent="0.2">
      <c r="A4084">
        <v>2022</v>
      </c>
      <c r="B4084" t="s">
        <v>240</v>
      </c>
      <c r="C4084" t="s">
        <v>397</v>
      </c>
      <c r="D4084" s="22">
        <v>610</v>
      </c>
      <c r="E4084" s="16"/>
      <c r="F4084" t="s">
        <v>3066</v>
      </c>
      <c r="G4084" t="s">
        <v>151</v>
      </c>
      <c r="H4084" t="s">
        <v>279</v>
      </c>
      <c r="I4084" t="s">
        <v>130</v>
      </c>
      <c r="J4084" t="s">
        <v>214</v>
      </c>
      <c r="K4084">
        <v>1</v>
      </c>
      <c r="N4084" s="26"/>
    </row>
    <row r="4085" spans="1:14" ht="14.5" customHeight="1" x14ac:dyDescent="0.2">
      <c r="A4085" s="17">
        <v>2022</v>
      </c>
      <c r="B4085" s="17" t="s">
        <v>240</v>
      </c>
      <c r="C4085" s="17" t="s">
        <v>313</v>
      </c>
      <c r="D4085" s="24">
        <v>130</v>
      </c>
      <c r="E4085" s="18"/>
      <c r="F4085" s="17" t="s">
        <v>3067</v>
      </c>
      <c r="G4085" s="17" t="s">
        <v>149</v>
      </c>
      <c r="H4085" s="17"/>
      <c r="I4085" s="17" t="s">
        <v>53</v>
      </c>
      <c r="J4085" s="17" t="s">
        <v>183</v>
      </c>
      <c r="K4085" s="17">
        <v>1</v>
      </c>
      <c r="N4085" s="26"/>
    </row>
    <row r="4086" spans="1:14" ht="14.5" customHeight="1" x14ac:dyDescent="0.2">
      <c r="A4086" s="17">
        <v>2022</v>
      </c>
      <c r="B4086" s="17" t="s">
        <v>240</v>
      </c>
      <c r="C4086" s="17" t="s">
        <v>875</v>
      </c>
      <c r="D4086" s="24">
        <v>880</v>
      </c>
      <c r="E4086" s="18"/>
      <c r="F4086" s="17" t="s">
        <v>1247</v>
      </c>
      <c r="G4086" s="17" t="s">
        <v>144</v>
      </c>
      <c r="H4086" s="17" t="s">
        <v>232</v>
      </c>
      <c r="I4086" s="17" t="s">
        <v>105</v>
      </c>
      <c r="J4086" s="17" t="s">
        <v>214</v>
      </c>
      <c r="K4086" s="17">
        <v>1</v>
      </c>
      <c r="N4086" s="26"/>
    </row>
    <row r="4087" spans="1:14" ht="14.5" customHeight="1" x14ac:dyDescent="0.2">
      <c r="A4087" s="17">
        <v>2022</v>
      </c>
      <c r="B4087" s="17" t="s">
        <v>240</v>
      </c>
      <c r="C4087" s="17" t="s">
        <v>199</v>
      </c>
      <c r="D4087" s="24">
        <v>670</v>
      </c>
      <c r="E4087" s="18"/>
      <c r="F4087" s="17"/>
      <c r="G4087" s="17" t="s">
        <v>144</v>
      </c>
      <c r="H4087" s="17" t="s">
        <v>187</v>
      </c>
      <c r="I4087" s="17" t="s">
        <v>55</v>
      </c>
      <c r="J4087" s="17" t="s">
        <v>214</v>
      </c>
      <c r="K4087" s="17">
        <v>1</v>
      </c>
      <c r="N4087" s="26"/>
    </row>
    <row r="4088" spans="1:14" ht="14.5" customHeight="1" x14ac:dyDescent="0.2">
      <c r="A4088">
        <v>2022</v>
      </c>
      <c r="B4088" t="s">
        <v>212</v>
      </c>
      <c r="C4088" t="s">
        <v>3068</v>
      </c>
      <c r="D4088" s="22">
        <v>140</v>
      </c>
      <c r="E4088" s="16"/>
      <c r="G4088" t="s">
        <v>143</v>
      </c>
      <c r="I4088" t="s">
        <v>63</v>
      </c>
      <c r="J4088" t="s">
        <v>201</v>
      </c>
      <c r="K4088">
        <v>1</v>
      </c>
      <c r="N4088" s="26"/>
    </row>
    <row r="4089" spans="1:14" ht="14.5" customHeight="1" x14ac:dyDescent="0.2">
      <c r="A4089">
        <v>2022</v>
      </c>
      <c r="B4089" t="s">
        <v>212</v>
      </c>
      <c r="C4089" t="s">
        <v>479</v>
      </c>
      <c r="D4089" s="22">
        <v>360</v>
      </c>
      <c r="E4089" s="16"/>
      <c r="G4089" t="s">
        <v>147</v>
      </c>
      <c r="I4089" t="s">
        <v>9</v>
      </c>
      <c r="J4089" t="s">
        <v>9</v>
      </c>
      <c r="K4089">
        <v>0</v>
      </c>
      <c r="N4089" s="26"/>
    </row>
    <row r="4090" spans="1:14" ht="14.5" customHeight="1" x14ac:dyDescent="0.2">
      <c r="A4090">
        <v>2022</v>
      </c>
      <c r="B4090" t="s">
        <v>212</v>
      </c>
      <c r="C4090" t="s">
        <v>1035</v>
      </c>
      <c r="D4090" s="22">
        <v>1910</v>
      </c>
      <c r="E4090" s="16"/>
      <c r="G4090" t="s">
        <v>144</v>
      </c>
      <c r="H4090" t="s">
        <v>299</v>
      </c>
      <c r="I4090" t="s">
        <v>8</v>
      </c>
      <c r="J4090" t="s">
        <v>205</v>
      </c>
      <c r="K4090">
        <v>1</v>
      </c>
      <c r="N4090" s="26"/>
    </row>
    <row r="4091" spans="1:14" ht="14.5" customHeight="1" x14ac:dyDescent="0.2">
      <c r="A4091">
        <v>2022</v>
      </c>
      <c r="B4091" t="s">
        <v>212</v>
      </c>
      <c r="C4091" t="s">
        <v>397</v>
      </c>
      <c r="D4091" s="22">
        <v>120</v>
      </c>
      <c r="E4091" s="16"/>
      <c r="G4091" t="s">
        <v>154</v>
      </c>
      <c r="H4091" t="s">
        <v>194</v>
      </c>
      <c r="I4091" t="s">
        <v>17</v>
      </c>
      <c r="J4091" t="s">
        <v>195</v>
      </c>
      <c r="K4091">
        <v>1</v>
      </c>
      <c r="N4091" s="26"/>
    </row>
    <row r="4092" spans="1:14" ht="14.5" customHeight="1" x14ac:dyDescent="0.2">
      <c r="A4092">
        <v>2022</v>
      </c>
      <c r="B4092" t="s">
        <v>212</v>
      </c>
      <c r="C4092" t="s">
        <v>2434</v>
      </c>
      <c r="D4092" s="22">
        <v>280</v>
      </c>
      <c r="E4092" s="16"/>
      <c r="F4092" t="s">
        <v>3069</v>
      </c>
      <c r="G4092" t="s">
        <v>154</v>
      </c>
      <c r="H4092" t="s">
        <v>529</v>
      </c>
      <c r="I4092" t="s">
        <v>108</v>
      </c>
      <c r="J4092" t="s">
        <v>183</v>
      </c>
      <c r="K4092">
        <v>1</v>
      </c>
      <c r="N4092" s="26"/>
    </row>
    <row r="4093" spans="1:14" ht="14.5" customHeight="1" x14ac:dyDescent="0.2">
      <c r="A4093">
        <v>2022</v>
      </c>
      <c r="B4093" t="s">
        <v>212</v>
      </c>
      <c r="C4093" t="s">
        <v>479</v>
      </c>
      <c r="D4093" s="22">
        <v>430</v>
      </c>
      <c r="E4093" s="16"/>
      <c r="G4093" t="s">
        <v>155</v>
      </c>
      <c r="I4093" t="s">
        <v>105</v>
      </c>
      <c r="J4093" t="s">
        <v>214</v>
      </c>
      <c r="K4093">
        <v>1</v>
      </c>
      <c r="N4093" s="26"/>
    </row>
    <row r="4094" spans="1:14" ht="14.5" customHeight="1" x14ac:dyDescent="0.2">
      <c r="A4094">
        <v>2022</v>
      </c>
      <c r="B4094" t="s">
        <v>212</v>
      </c>
      <c r="C4094" t="s">
        <v>479</v>
      </c>
      <c r="D4094" s="22">
        <v>140</v>
      </c>
      <c r="E4094" s="16"/>
      <c r="G4094" t="s">
        <v>154</v>
      </c>
      <c r="H4094" t="s">
        <v>271</v>
      </c>
      <c r="I4094" t="s">
        <v>46</v>
      </c>
      <c r="J4094" t="s">
        <v>219</v>
      </c>
      <c r="K4094">
        <v>1</v>
      </c>
      <c r="N4094" s="26"/>
    </row>
    <row r="4095" spans="1:14" ht="14.5" customHeight="1" x14ac:dyDescent="0.2">
      <c r="A4095">
        <v>2022</v>
      </c>
      <c r="B4095" t="s">
        <v>212</v>
      </c>
      <c r="C4095" t="s">
        <v>479</v>
      </c>
      <c r="D4095" s="22">
        <v>100</v>
      </c>
      <c r="E4095" s="16"/>
      <c r="G4095" t="s">
        <v>144</v>
      </c>
      <c r="I4095" t="s">
        <v>46</v>
      </c>
      <c r="J4095" t="s">
        <v>219</v>
      </c>
      <c r="K4095">
        <v>1</v>
      </c>
      <c r="N4095" s="26"/>
    </row>
    <row r="4096" spans="1:14" ht="14.5" customHeight="1" x14ac:dyDescent="0.2">
      <c r="A4096">
        <v>2022</v>
      </c>
      <c r="B4096" t="s">
        <v>212</v>
      </c>
      <c r="C4096" t="s">
        <v>479</v>
      </c>
      <c r="D4096" s="22">
        <v>110</v>
      </c>
      <c r="E4096" s="16"/>
      <c r="G4096" t="s">
        <v>151</v>
      </c>
      <c r="H4096" t="s">
        <v>279</v>
      </c>
      <c r="I4096" t="s">
        <v>108</v>
      </c>
      <c r="J4096" t="s">
        <v>183</v>
      </c>
      <c r="K4096">
        <v>1</v>
      </c>
      <c r="N4096" s="26"/>
    </row>
    <row r="4097" spans="1:14" ht="14.5" customHeight="1" x14ac:dyDescent="0.2">
      <c r="A4097">
        <v>2022</v>
      </c>
      <c r="B4097" t="s">
        <v>212</v>
      </c>
      <c r="C4097" t="s">
        <v>745</v>
      </c>
      <c r="D4097" s="22">
        <v>460</v>
      </c>
      <c r="E4097" s="16"/>
      <c r="F4097" t="s">
        <v>3070</v>
      </c>
      <c r="G4097" t="s">
        <v>142</v>
      </c>
      <c r="I4097" t="s">
        <v>138</v>
      </c>
      <c r="J4097" t="s">
        <v>219</v>
      </c>
      <c r="K4097">
        <v>1</v>
      </c>
      <c r="N4097" s="26"/>
    </row>
    <row r="4098" spans="1:14" ht="14.5" customHeight="1" x14ac:dyDescent="0.2">
      <c r="A4098">
        <v>2022</v>
      </c>
      <c r="B4098" t="s">
        <v>212</v>
      </c>
      <c r="C4098" t="s">
        <v>1234</v>
      </c>
      <c r="D4098" s="22">
        <v>130</v>
      </c>
      <c r="E4098" s="16"/>
      <c r="G4098" t="s">
        <v>155</v>
      </c>
      <c r="I4098" t="s">
        <v>13</v>
      </c>
      <c r="J4098" t="s">
        <v>201</v>
      </c>
      <c r="K4098">
        <v>1</v>
      </c>
      <c r="N4098" s="26"/>
    </row>
    <row r="4099" spans="1:14" ht="14.5" customHeight="1" x14ac:dyDescent="0.2">
      <c r="A4099">
        <v>2022</v>
      </c>
      <c r="B4099" t="s">
        <v>212</v>
      </c>
      <c r="C4099" t="s">
        <v>1035</v>
      </c>
      <c r="D4099" s="22">
        <v>110</v>
      </c>
      <c r="E4099" s="16"/>
      <c r="G4099" t="s">
        <v>142</v>
      </c>
      <c r="I4099" t="s">
        <v>96</v>
      </c>
      <c r="J4099" t="s">
        <v>205</v>
      </c>
      <c r="K4099">
        <v>1</v>
      </c>
      <c r="N4099" s="26"/>
    </row>
    <row r="4100" spans="1:14" ht="14.5" customHeight="1" x14ac:dyDescent="0.2">
      <c r="A4100">
        <v>2022</v>
      </c>
      <c r="B4100" t="s">
        <v>212</v>
      </c>
      <c r="C4100" t="s">
        <v>175</v>
      </c>
      <c r="D4100" s="22">
        <v>310</v>
      </c>
      <c r="E4100" s="16"/>
      <c r="G4100" t="s">
        <v>149</v>
      </c>
      <c r="H4100" t="s">
        <v>182</v>
      </c>
      <c r="I4100" t="s">
        <v>72</v>
      </c>
      <c r="J4100" t="s">
        <v>183</v>
      </c>
      <c r="K4100">
        <v>1</v>
      </c>
      <c r="N4100" s="26"/>
    </row>
    <row r="4101" spans="1:14" ht="14.5" customHeight="1" x14ac:dyDescent="0.2">
      <c r="A4101">
        <v>2023</v>
      </c>
      <c r="B4101" t="s">
        <v>172</v>
      </c>
      <c r="C4101" t="s">
        <v>554</v>
      </c>
      <c r="D4101" s="66">
        <v>120</v>
      </c>
      <c r="E4101" s="33">
        <v>0.15</v>
      </c>
      <c r="F4101" t="s">
        <v>2107</v>
      </c>
      <c r="G4101" t="s">
        <v>149</v>
      </c>
      <c r="I4101" t="s">
        <v>74</v>
      </c>
      <c r="J4101" t="s">
        <v>219</v>
      </c>
      <c r="K4101">
        <v>1</v>
      </c>
      <c r="L4101" s="28"/>
      <c r="N4101" s="26"/>
    </row>
    <row r="4102" spans="1:14" ht="15.75" customHeight="1" x14ac:dyDescent="0.2">
      <c r="A4102">
        <v>2023</v>
      </c>
      <c r="B4102" t="s">
        <v>172</v>
      </c>
      <c r="C4102" t="s">
        <v>2108</v>
      </c>
      <c r="D4102" s="66">
        <v>150</v>
      </c>
      <c r="E4102" s="33">
        <v>1</v>
      </c>
      <c r="G4102" t="s">
        <v>144</v>
      </c>
      <c r="H4102" t="s">
        <v>232</v>
      </c>
      <c r="I4102" t="s">
        <v>72</v>
      </c>
      <c r="J4102" t="s">
        <v>183</v>
      </c>
      <c r="K4102">
        <v>1</v>
      </c>
      <c r="L4102" s="28" t="s">
        <v>178</v>
      </c>
      <c r="N4102" s="26"/>
    </row>
    <row r="4103" spans="1:14" ht="14.5" customHeight="1" x14ac:dyDescent="0.2">
      <c r="A4103">
        <v>2023</v>
      </c>
      <c r="B4103" t="s">
        <v>172</v>
      </c>
      <c r="C4103" t="s">
        <v>2092</v>
      </c>
      <c r="D4103" s="66">
        <v>780</v>
      </c>
      <c r="E4103" s="33">
        <v>0.5</v>
      </c>
      <c r="G4103" t="s">
        <v>142</v>
      </c>
      <c r="I4103" t="s">
        <v>39</v>
      </c>
      <c r="J4103" t="s">
        <v>219</v>
      </c>
      <c r="K4103">
        <v>1</v>
      </c>
      <c r="L4103" s="28"/>
      <c r="N4103" s="26"/>
    </row>
    <row r="4104" spans="1:14" ht="14.5" customHeight="1" x14ac:dyDescent="0.2">
      <c r="A4104">
        <v>2023</v>
      </c>
      <c r="B4104" t="s">
        <v>172</v>
      </c>
      <c r="C4104" t="s">
        <v>449</v>
      </c>
      <c r="D4104" s="66">
        <v>750</v>
      </c>
      <c r="E4104" s="33">
        <v>0.8</v>
      </c>
      <c r="G4104" t="s">
        <v>154</v>
      </c>
      <c r="H4104" t="s">
        <v>529</v>
      </c>
      <c r="I4104" t="s">
        <v>28</v>
      </c>
      <c r="J4104" t="s">
        <v>205</v>
      </c>
      <c r="K4104" s="70">
        <v>0</v>
      </c>
      <c r="L4104" t="s">
        <v>178</v>
      </c>
      <c r="N4104" s="26"/>
    </row>
    <row r="4105" spans="1:14" ht="14.5" customHeight="1" x14ac:dyDescent="0.2">
      <c r="A4105">
        <v>2023</v>
      </c>
      <c r="B4105" t="s">
        <v>172</v>
      </c>
      <c r="C4105" t="s">
        <v>1480</v>
      </c>
      <c r="D4105" s="66">
        <v>110</v>
      </c>
      <c r="E4105" s="33">
        <v>0.7</v>
      </c>
      <c r="G4105" t="s">
        <v>144</v>
      </c>
      <c r="I4105" t="s">
        <v>67</v>
      </c>
      <c r="J4105" t="s">
        <v>183</v>
      </c>
      <c r="K4105">
        <v>1</v>
      </c>
      <c r="L4105" s="28" t="s">
        <v>178</v>
      </c>
      <c r="N4105" s="26"/>
    </row>
    <row r="4106" spans="1:14" ht="14.5" customHeight="1" x14ac:dyDescent="0.2">
      <c r="A4106">
        <v>2023</v>
      </c>
      <c r="B4106" t="s">
        <v>172</v>
      </c>
      <c r="C4106" t="s">
        <v>2109</v>
      </c>
      <c r="D4106" s="66">
        <v>130</v>
      </c>
      <c r="E4106" s="33">
        <v>0.5</v>
      </c>
      <c r="F4106" t="s">
        <v>2110</v>
      </c>
      <c r="G4106" t="s">
        <v>144</v>
      </c>
      <c r="H4106" t="s">
        <v>232</v>
      </c>
      <c r="I4106" t="s">
        <v>9</v>
      </c>
      <c r="J4106" t="s">
        <v>9</v>
      </c>
      <c r="K4106">
        <v>0</v>
      </c>
      <c r="L4106" s="28"/>
      <c r="N4106" s="26"/>
    </row>
    <row r="4107" spans="1:14" ht="14.5" customHeight="1" x14ac:dyDescent="0.2">
      <c r="A4107">
        <v>2023</v>
      </c>
      <c r="B4107" t="s">
        <v>172</v>
      </c>
      <c r="C4107" t="s">
        <v>2111</v>
      </c>
      <c r="D4107" s="66">
        <v>1860</v>
      </c>
      <c r="E4107" s="33"/>
      <c r="G4107" t="s">
        <v>149</v>
      </c>
      <c r="H4107" t="s">
        <v>182</v>
      </c>
      <c r="I4107" t="s">
        <v>96</v>
      </c>
      <c r="J4107" t="s">
        <v>205</v>
      </c>
      <c r="K4107">
        <v>1</v>
      </c>
      <c r="L4107" s="28" t="s">
        <v>178</v>
      </c>
      <c r="N4107" s="26"/>
    </row>
    <row r="4108" spans="1:14" ht="14.5" customHeight="1" x14ac:dyDescent="0.2">
      <c r="A4108">
        <v>2023</v>
      </c>
      <c r="B4108" t="s">
        <v>258</v>
      </c>
      <c r="C4108" t="s">
        <v>449</v>
      </c>
      <c r="D4108" s="66">
        <v>600</v>
      </c>
      <c r="E4108" s="33"/>
      <c r="G4108" t="s">
        <v>154</v>
      </c>
      <c r="H4108" t="s">
        <v>194</v>
      </c>
      <c r="I4108" t="s">
        <v>27</v>
      </c>
      <c r="J4108" t="s">
        <v>205</v>
      </c>
      <c r="K4108">
        <v>1</v>
      </c>
      <c r="L4108" s="28"/>
      <c r="N4108" s="26"/>
    </row>
    <row r="4109" spans="1:14" ht="14.5" customHeight="1" x14ac:dyDescent="0.2">
      <c r="A4109">
        <v>2023</v>
      </c>
      <c r="B4109" t="s">
        <v>258</v>
      </c>
      <c r="C4109" t="s">
        <v>438</v>
      </c>
      <c r="D4109" s="66">
        <v>100</v>
      </c>
      <c r="E4109" s="33"/>
      <c r="F4109" t="s">
        <v>2112</v>
      </c>
      <c r="G4109" t="s">
        <v>154</v>
      </c>
      <c r="H4109" t="s">
        <v>194</v>
      </c>
      <c r="I4109" t="s">
        <v>72</v>
      </c>
      <c r="J4109" t="s">
        <v>183</v>
      </c>
      <c r="K4109">
        <v>1</v>
      </c>
      <c r="L4109" s="28"/>
      <c r="N4109" s="26"/>
    </row>
    <row r="4110" spans="1:14" ht="14.5" customHeight="1" x14ac:dyDescent="0.2">
      <c r="A4110">
        <v>2023</v>
      </c>
      <c r="B4110" t="s">
        <v>258</v>
      </c>
      <c r="C4110" t="s">
        <v>2113</v>
      </c>
      <c r="D4110" s="66">
        <v>1260</v>
      </c>
      <c r="E4110" s="33">
        <v>0.51</v>
      </c>
      <c r="F4110" t="s">
        <v>2114</v>
      </c>
      <c r="G4110" t="s">
        <v>149</v>
      </c>
      <c r="H4110" t="s">
        <v>182</v>
      </c>
      <c r="I4110" t="s">
        <v>53</v>
      </c>
      <c r="J4110" t="s">
        <v>183</v>
      </c>
      <c r="K4110">
        <v>1</v>
      </c>
      <c r="L4110" s="28" t="s">
        <v>178</v>
      </c>
      <c r="N4110" s="26"/>
    </row>
    <row r="4111" spans="1:14" ht="14.5" customHeight="1" x14ac:dyDescent="0.2">
      <c r="A4111">
        <v>2023</v>
      </c>
      <c r="B4111" t="s">
        <v>258</v>
      </c>
      <c r="C4111" t="s">
        <v>554</v>
      </c>
      <c r="D4111" s="66">
        <v>120</v>
      </c>
      <c r="E4111" s="33"/>
      <c r="F4111" t="s">
        <v>2115</v>
      </c>
      <c r="G4111" t="s">
        <v>153</v>
      </c>
      <c r="I4111" t="s">
        <v>61</v>
      </c>
      <c r="J4111" t="s">
        <v>183</v>
      </c>
      <c r="K4111">
        <v>0</v>
      </c>
      <c r="L4111" s="28"/>
      <c r="N4111" s="26"/>
    </row>
    <row r="4112" spans="1:14" ht="14.5" customHeight="1" x14ac:dyDescent="0.2">
      <c r="A4112">
        <v>2023</v>
      </c>
      <c r="B4112" t="s">
        <v>258</v>
      </c>
      <c r="C4112" t="s">
        <v>1652</v>
      </c>
      <c r="D4112" s="66">
        <v>170</v>
      </c>
      <c r="E4112" s="33">
        <v>0.8</v>
      </c>
      <c r="F4112" t="s">
        <v>2116</v>
      </c>
      <c r="G4112" t="s">
        <v>154</v>
      </c>
      <c r="H4112" t="s">
        <v>194</v>
      </c>
      <c r="I4112" t="s">
        <v>23</v>
      </c>
      <c r="J4112" t="s">
        <v>183</v>
      </c>
      <c r="K4112">
        <v>1</v>
      </c>
      <c r="L4112" s="28" t="s">
        <v>178</v>
      </c>
      <c r="N4112" s="26"/>
    </row>
    <row r="4113" spans="1:14" ht="14.5" customHeight="1" x14ac:dyDescent="0.2">
      <c r="A4113">
        <v>2023</v>
      </c>
      <c r="B4113" t="s">
        <v>258</v>
      </c>
      <c r="C4113" t="s">
        <v>244</v>
      </c>
      <c r="D4113" s="66">
        <v>130</v>
      </c>
      <c r="E4113" s="33"/>
      <c r="G4113" t="s">
        <v>149</v>
      </c>
      <c r="I4113" t="s">
        <v>25</v>
      </c>
      <c r="J4113" t="s">
        <v>177</v>
      </c>
      <c r="K4113">
        <v>0</v>
      </c>
      <c r="L4113" s="28"/>
      <c r="N4113" s="26"/>
    </row>
    <row r="4114" spans="1:14" ht="14.5" customHeight="1" x14ac:dyDescent="0.2">
      <c r="A4114">
        <v>2023</v>
      </c>
      <c r="B4114" t="s">
        <v>258</v>
      </c>
      <c r="C4114" t="s">
        <v>2117</v>
      </c>
      <c r="D4114" s="66">
        <v>180</v>
      </c>
      <c r="E4114" s="33"/>
      <c r="G4114" t="s">
        <v>149</v>
      </c>
      <c r="I4114" t="s">
        <v>139</v>
      </c>
      <c r="J4114" t="s">
        <v>219</v>
      </c>
      <c r="K4114">
        <v>1</v>
      </c>
      <c r="L4114" s="28"/>
      <c r="N4114" s="26"/>
    </row>
    <row r="4115" spans="1:14" ht="14.5" customHeight="1" x14ac:dyDescent="0.2">
      <c r="A4115" s="17">
        <v>2023</v>
      </c>
      <c r="B4115" s="17" t="s">
        <v>258</v>
      </c>
      <c r="C4115" s="17" t="s">
        <v>2047</v>
      </c>
      <c r="D4115" s="66">
        <v>810</v>
      </c>
      <c r="E4115" s="37"/>
      <c r="F4115" s="17"/>
      <c r="G4115" s="17" t="s">
        <v>152</v>
      </c>
      <c r="H4115" s="17" t="s">
        <v>257</v>
      </c>
      <c r="I4115" s="17" t="s">
        <v>91</v>
      </c>
      <c r="J4115" s="17" t="s">
        <v>195</v>
      </c>
      <c r="K4115" s="17">
        <v>0</v>
      </c>
      <c r="L4115" s="67" t="s">
        <v>178</v>
      </c>
      <c r="N4115" s="26"/>
    </row>
    <row r="4116" spans="1:14" ht="14.5" customHeight="1" x14ac:dyDescent="0.2">
      <c r="A4116" s="17">
        <v>2023</v>
      </c>
      <c r="B4116" s="17" t="s">
        <v>258</v>
      </c>
      <c r="C4116" s="17" t="s">
        <v>2118</v>
      </c>
      <c r="D4116" s="66">
        <v>200</v>
      </c>
      <c r="E4116" s="37">
        <v>1</v>
      </c>
      <c r="F4116" s="17" t="s">
        <v>2119</v>
      </c>
      <c r="G4116" s="17" t="s">
        <v>150</v>
      </c>
      <c r="H4116" s="17" t="s">
        <v>556</v>
      </c>
      <c r="I4116" s="17" t="s">
        <v>20</v>
      </c>
      <c r="J4116" s="17" t="s">
        <v>195</v>
      </c>
      <c r="K4116" s="17">
        <v>0</v>
      </c>
      <c r="L4116" s="67"/>
      <c r="N4116" s="26"/>
    </row>
    <row r="4117" spans="1:14" ht="14.5" customHeight="1" x14ac:dyDescent="0.2">
      <c r="A4117" s="17">
        <v>2023</v>
      </c>
      <c r="B4117" s="17" t="s">
        <v>258</v>
      </c>
      <c r="C4117" s="17" t="s">
        <v>2120</v>
      </c>
      <c r="D4117" s="66">
        <v>180</v>
      </c>
      <c r="E4117" s="37"/>
      <c r="F4117" s="17"/>
      <c r="G4117" s="17" t="s">
        <v>150</v>
      </c>
      <c r="H4117" s="17" t="s">
        <v>556</v>
      </c>
      <c r="I4117" s="17" t="s">
        <v>77</v>
      </c>
      <c r="J4117" s="17" t="s">
        <v>177</v>
      </c>
      <c r="K4117" s="17">
        <v>0</v>
      </c>
      <c r="L4117" s="67" t="s">
        <v>178</v>
      </c>
      <c r="N4117" s="26"/>
    </row>
    <row r="4118" spans="1:14" ht="14.5" customHeight="1" x14ac:dyDescent="0.2">
      <c r="A4118">
        <v>2023</v>
      </c>
      <c r="B4118" t="s">
        <v>179</v>
      </c>
      <c r="C4118" t="s">
        <v>577</v>
      </c>
      <c r="D4118" s="66">
        <v>160</v>
      </c>
      <c r="E4118" s="33"/>
      <c r="G4118" t="s">
        <v>150</v>
      </c>
      <c r="H4118" t="s">
        <v>217</v>
      </c>
      <c r="I4118" t="s">
        <v>38</v>
      </c>
      <c r="J4118" t="s">
        <v>214</v>
      </c>
      <c r="K4118">
        <v>1</v>
      </c>
      <c r="L4118" s="28" t="s">
        <v>178</v>
      </c>
      <c r="N4118" s="26"/>
    </row>
    <row r="4119" spans="1:14" ht="14.5" customHeight="1" x14ac:dyDescent="0.2">
      <c r="A4119">
        <v>2023</v>
      </c>
      <c r="B4119" t="s">
        <v>179</v>
      </c>
      <c r="C4119" t="s">
        <v>1624</v>
      </c>
      <c r="D4119" s="66">
        <v>190</v>
      </c>
      <c r="E4119" s="33">
        <v>0.6</v>
      </c>
      <c r="F4119" t="s">
        <v>2121</v>
      </c>
      <c r="G4119" t="s">
        <v>151</v>
      </c>
      <c r="H4119" t="s">
        <v>279</v>
      </c>
      <c r="I4119" t="s">
        <v>92</v>
      </c>
      <c r="J4119" t="s">
        <v>214</v>
      </c>
      <c r="K4119">
        <v>1</v>
      </c>
      <c r="L4119" s="28"/>
      <c r="N4119" s="26"/>
    </row>
    <row r="4120" spans="1:14" ht="14.5" customHeight="1" x14ac:dyDescent="0.2">
      <c r="A4120">
        <v>2023</v>
      </c>
      <c r="B4120" t="s">
        <v>179</v>
      </c>
      <c r="C4120" t="s">
        <v>2122</v>
      </c>
      <c r="D4120" s="66">
        <v>100</v>
      </c>
      <c r="E4120" s="33"/>
      <c r="G4120" t="s">
        <v>148</v>
      </c>
      <c r="I4120" t="s">
        <v>131</v>
      </c>
      <c r="J4120" t="s">
        <v>131</v>
      </c>
      <c r="K4120">
        <v>0</v>
      </c>
      <c r="L4120" s="28"/>
      <c r="N4120" s="26"/>
    </row>
    <row r="4121" spans="1:14" ht="14.5" customHeight="1" x14ac:dyDescent="0.2">
      <c r="A4121">
        <v>2023</v>
      </c>
      <c r="B4121" t="s">
        <v>179</v>
      </c>
      <c r="C4121" t="s">
        <v>2123</v>
      </c>
      <c r="D4121" s="66">
        <v>160</v>
      </c>
      <c r="E4121" s="33">
        <v>1</v>
      </c>
      <c r="F4121" t="s">
        <v>2124</v>
      </c>
      <c r="G4121" t="s">
        <v>147</v>
      </c>
      <c r="I4121" t="s">
        <v>131</v>
      </c>
      <c r="J4121" t="s">
        <v>131</v>
      </c>
      <c r="K4121">
        <v>0</v>
      </c>
      <c r="L4121" s="28"/>
      <c r="N4121" s="26"/>
    </row>
    <row r="4122" spans="1:14" s="17" customFormat="1" ht="14.5" customHeight="1" x14ac:dyDescent="0.2">
      <c r="A4122">
        <v>2023</v>
      </c>
      <c r="B4122" t="s">
        <v>179</v>
      </c>
      <c r="C4122" t="s">
        <v>2125</v>
      </c>
      <c r="D4122" s="66">
        <v>130</v>
      </c>
      <c r="E4122" s="33"/>
      <c r="G4122" t="s">
        <v>148</v>
      </c>
      <c r="I4122" t="s">
        <v>34</v>
      </c>
      <c r="J4122" t="s">
        <v>219</v>
      </c>
      <c r="K4122">
        <v>1</v>
      </c>
      <c r="L4122" s="28"/>
      <c r="N4122" s="39"/>
    </row>
    <row r="4123" spans="1:14" s="17" customFormat="1" ht="14.5" customHeight="1" x14ac:dyDescent="0.2">
      <c r="A4123">
        <v>2023</v>
      </c>
      <c r="B4123" t="s">
        <v>179</v>
      </c>
      <c r="C4123" t="s">
        <v>1722</v>
      </c>
      <c r="D4123" s="66">
        <v>650</v>
      </c>
      <c r="E4123" s="33"/>
      <c r="G4123" t="s">
        <v>154</v>
      </c>
      <c r="H4123" t="s">
        <v>194</v>
      </c>
      <c r="I4123" t="s">
        <v>138</v>
      </c>
      <c r="J4123" t="s">
        <v>219</v>
      </c>
      <c r="K4123">
        <v>1</v>
      </c>
      <c r="L4123" s="28"/>
      <c r="N4123" s="39"/>
    </row>
    <row r="4124" spans="1:14" ht="14.5" customHeight="1" x14ac:dyDescent="0.2">
      <c r="A4124">
        <v>2023</v>
      </c>
      <c r="B4124" t="s">
        <v>179</v>
      </c>
      <c r="C4124" t="s">
        <v>2126</v>
      </c>
      <c r="D4124" s="66">
        <v>460</v>
      </c>
      <c r="E4124" s="33">
        <v>0.49</v>
      </c>
      <c r="F4124" t="s">
        <v>2127</v>
      </c>
      <c r="G4124" t="s">
        <v>154</v>
      </c>
      <c r="H4124" t="s">
        <v>194</v>
      </c>
      <c r="I4124" t="s">
        <v>113</v>
      </c>
      <c r="J4124" t="s">
        <v>183</v>
      </c>
      <c r="K4124">
        <v>0</v>
      </c>
      <c r="L4124" s="28" t="s">
        <v>178</v>
      </c>
      <c r="N4124" s="26"/>
    </row>
    <row r="4125" spans="1:14" ht="14.5" customHeight="1" x14ac:dyDescent="0.2">
      <c r="A4125">
        <v>2023</v>
      </c>
      <c r="B4125" t="s">
        <v>179</v>
      </c>
      <c r="C4125" t="s">
        <v>336</v>
      </c>
      <c r="D4125" s="66">
        <v>780</v>
      </c>
      <c r="E4125" s="33"/>
      <c r="G4125" t="s">
        <v>149</v>
      </c>
      <c r="I4125" t="s">
        <v>83</v>
      </c>
      <c r="J4125" t="s">
        <v>219</v>
      </c>
      <c r="K4125">
        <v>1</v>
      </c>
      <c r="L4125" s="28"/>
      <c r="N4125" s="26"/>
    </row>
    <row r="4126" spans="1:14" ht="14.5" customHeight="1" x14ac:dyDescent="0.2">
      <c r="A4126">
        <v>2023</v>
      </c>
      <c r="B4126" t="s">
        <v>179</v>
      </c>
      <c r="C4126" t="s">
        <v>438</v>
      </c>
      <c r="D4126" s="66">
        <v>230</v>
      </c>
      <c r="E4126" s="33"/>
      <c r="F4126" t="s">
        <v>1522</v>
      </c>
      <c r="G4126" t="s">
        <v>154</v>
      </c>
      <c r="H4126" t="s">
        <v>194</v>
      </c>
      <c r="I4126" t="s">
        <v>72</v>
      </c>
      <c r="J4126" t="s">
        <v>183</v>
      </c>
      <c r="K4126">
        <v>1</v>
      </c>
      <c r="L4126" s="28" t="s">
        <v>178</v>
      </c>
      <c r="N4126" s="26"/>
    </row>
    <row r="4127" spans="1:14" ht="14.5" customHeight="1" x14ac:dyDescent="0.2">
      <c r="A4127">
        <v>2023</v>
      </c>
      <c r="B4127" t="s">
        <v>179</v>
      </c>
      <c r="C4127" t="s">
        <v>1129</v>
      </c>
      <c r="D4127" s="66">
        <v>110</v>
      </c>
      <c r="E4127" s="33"/>
      <c r="F4127" t="s">
        <v>2128</v>
      </c>
      <c r="G4127" t="s">
        <v>144</v>
      </c>
      <c r="H4127" t="s">
        <v>232</v>
      </c>
      <c r="I4127" t="s">
        <v>131</v>
      </c>
      <c r="J4127" t="s">
        <v>131</v>
      </c>
      <c r="K4127">
        <v>0</v>
      </c>
      <c r="L4127" s="28" t="s">
        <v>178</v>
      </c>
      <c r="N4127" s="26"/>
    </row>
    <row r="4128" spans="1:14" ht="14.5" customHeight="1" x14ac:dyDescent="0.2">
      <c r="A4128">
        <v>2023</v>
      </c>
      <c r="B4128" t="s">
        <v>179</v>
      </c>
      <c r="C4128" t="s">
        <v>1968</v>
      </c>
      <c r="D4128" s="66">
        <v>1730</v>
      </c>
      <c r="E4128" s="33"/>
      <c r="G4128" t="s">
        <v>149</v>
      </c>
      <c r="I4128" t="s">
        <v>34</v>
      </c>
      <c r="J4128" t="s">
        <v>219</v>
      </c>
      <c r="K4128">
        <v>1</v>
      </c>
      <c r="L4128" s="28"/>
      <c r="N4128" s="26"/>
    </row>
    <row r="4129" spans="1:14" ht="14.5" customHeight="1" x14ac:dyDescent="0.2">
      <c r="A4129">
        <v>2023</v>
      </c>
      <c r="B4129" t="s">
        <v>179</v>
      </c>
      <c r="C4129" t="s">
        <v>269</v>
      </c>
      <c r="D4129" s="66">
        <v>100</v>
      </c>
      <c r="E4129" s="33">
        <v>0.25</v>
      </c>
      <c r="G4129" t="s">
        <v>148</v>
      </c>
      <c r="I4129" t="s">
        <v>38</v>
      </c>
      <c r="J4129" t="s">
        <v>214</v>
      </c>
      <c r="K4129">
        <v>1</v>
      </c>
      <c r="L4129" s="28" t="s">
        <v>178</v>
      </c>
      <c r="N4129" s="26"/>
    </row>
    <row r="4130" spans="1:14" ht="14.5" customHeight="1" x14ac:dyDescent="0.2">
      <c r="A4130">
        <v>2023</v>
      </c>
      <c r="B4130" t="s">
        <v>179</v>
      </c>
      <c r="C4130" t="s">
        <v>559</v>
      </c>
      <c r="D4130" s="66">
        <v>120</v>
      </c>
      <c r="E4130" s="33">
        <v>1</v>
      </c>
      <c r="G4130" t="s">
        <v>142</v>
      </c>
      <c r="I4130" t="s">
        <v>67</v>
      </c>
      <c r="J4130" t="s">
        <v>183</v>
      </c>
      <c r="K4130">
        <v>1</v>
      </c>
      <c r="L4130" s="28" t="s">
        <v>178</v>
      </c>
      <c r="N4130" s="26"/>
    </row>
    <row r="4131" spans="1:14" ht="14.5" customHeight="1" x14ac:dyDescent="0.2">
      <c r="A4131">
        <v>2023</v>
      </c>
      <c r="B4131" t="s">
        <v>184</v>
      </c>
      <c r="C4131" t="s">
        <v>2129</v>
      </c>
      <c r="D4131" s="66">
        <v>300</v>
      </c>
      <c r="E4131" s="33"/>
      <c r="G4131" t="s">
        <v>151</v>
      </c>
      <c r="H4131" t="s">
        <v>224</v>
      </c>
      <c r="I4131" t="s">
        <v>108</v>
      </c>
      <c r="J4131" t="s">
        <v>183</v>
      </c>
      <c r="K4131">
        <v>1</v>
      </c>
      <c r="L4131" s="28"/>
      <c r="N4131" s="26"/>
    </row>
    <row r="4132" spans="1:14" s="17" customFormat="1" ht="14.5" customHeight="1" x14ac:dyDescent="0.2">
      <c r="A4132">
        <v>2023</v>
      </c>
      <c r="B4132" t="s">
        <v>184</v>
      </c>
      <c r="C4132" t="s">
        <v>2130</v>
      </c>
      <c r="D4132" s="66">
        <v>100</v>
      </c>
      <c r="E4132" s="33"/>
      <c r="F4132" t="s">
        <v>2131</v>
      </c>
      <c r="G4132" t="s">
        <v>150</v>
      </c>
      <c r="H4132" t="s">
        <v>292</v>
      </c>
      <c r="I4132" t="s">
        <v>20</v>
      </c>
      <c r="J4132" t="s">
        <v>195</v>
      </c>
      <c r="K4132">
        <v>0</v>
      </c>
      <c r="L4132" s="28"/>
      <c r="N4132" s="39"/>
    </row>
    <row r="4133" spans="1:14" ht="14.5" customHeight="1" x14ac:dyDescent="0.2">
      <c r="A4133">
        <v>2023</v>
      </c>
      <c r="B4133" t="s">
        <v>184</v>
      </c>
      <c r="C4133" t="s">
        <v>189</v>
      </c>
      <c r="D4133" s="66">
        <v>380</v>
      </c>
      <c r="E4133" s="33">
        <v>0.01</v>
      </c>
      <c r="G4133" t="s">
        <v>144</v>
      </c>
      <c r="H4133" t="s">
        <v>299</v>
      </c>
      <c r="I4133" t="s">
        <v>100</v>
      </c>
      <c r="J4133" t="s">
        <v>214</v>
      </c>
      <c r="K4133">
        <v>1</v>
      </c>
      <c r="L4133" s="28"/>
      <c r="N4133" s="26"/>
    </row>
    <row r="4134" spans="1:14" ht="14.5" customHeight="1" x14ac:dyDescent="0.2">
      <c r="A4134">
        <v>2023</v>
      </c>
      <c r="B4134" t="s">
        <v>184</v>
      </c>
      <c r="C4134" t="s">
        <v>1353</v>
      </c>
      <c r="D4134" s="66">
        <v>110</v>
      </c>
      <c r="E4134" s="33">
        <v>1</v>
      </c>
      <c r="G4134" t="s">
        <v>150</v>
      </c>
      <c r="H4134" t="s">
        <v>556</v>
      </c>
      <c r="I4134" t="s">
        <v>19</v>
      </c>
      <c r="J4134" t="s">
        <v>205</v>
      </c>
      <c r="K4134">
        <v>0</v>
      </c>
      <c r="L4134" s="28" t="s">
        <v>178</v>
      </c>
      <c r="N4134" s="26"/>
    </row>
    <row r="4135" spans="1:14" ht="14.5" customHeight="1" x14ac:dyDescent="0.2">
      <c r="A4135">
        <v>2023</v>
      </c>
      <c r="B4135" t="s">
        <v>184</v>
      </c>
      <c r="C4135" t="s">
        <v>1905</v>
      </c>
      <c r="D4135" s="66">
        <v>370</v>
      </c>
      <c r="E4135" s="33">
        <v>0.62</v>
      </c>
      <c r="G4135" t="s">
        <v>151</v>
      </c>
      <c r="H4135" t="s">
        <v>279</v>
      </c>
      <c r="I4135" t="s">
        <v>40</v>
      </c>
      <c r="J4135" t="s">
        <v>219</v>
      </c>
      <c r="K4135">
        <v>1</v>
      </c>
      <c r="L4135" s="28" t="s">
        <v>178</v>
      </c>
    </row>
    <row r="4136" spans="1:14" ht="14.5" customHeight="1" x14ac:dyDescent="0.2">
      <c r="A4136">
        <v>2023</v>
      </c>
      <c r="B4136" t="s">
        <v>184</v>
      </c>
      <c r="C4136" t="s">
        <v>1011</v>
      </c>
      <c r="D4136" s="66">
        <v>450</v>
      </c>
      <c r="E4136" s="33">
        <v>0.49</v>
      </c>
      <c r="F4136" t="s">
        <v>1929</v>
      </c>
      <c r="G4136" t="s">
        <v>154</v>
      </c>
      <c r="H4136" t="s">
        <v>194</v>
      </c>
      <c r="I4136" t="s">
        <v>113</v>
      </c>
      <c r="J4136" t="s">
        <v>183</v>
      </c>
      <c r="K4136">
        <v>0</v>
      </c>
      <c r="L4136" s="28" t="s">
        <v>178</v>
      </c>
    </row>
    <row r="4137" spans="1:14" ht="14.5" customHeight="1" x14ac:dyDescent="0.2">
      <c r="A4137">
        <v>2023</v>
      </c>
      <c r="B4137" t="s">
        <v>184</v>
      </c>
      <c r="C4137" t="s">
        <v>1035</v>
      </c>
      <c r="D4137" s="66">
        <v>210</v>
      </c>
      <c r="E4137" s="33">
        <v>0.51</v>
      </c>
      <c r="F4137" t="s">
        <v>2132</v>
      </c>
      <c r="G4137" t="s">
        <v>144</v>
      </c>
      <c r="H4137" t="s">
        <v>232</v>
      </c>
      <c r="I4137" t="s">
        <v>106</v>
      </c>
      <c r="J4137" t="s">
        <v>195</v>
      </c>
      <c r="K4137">
        <v>1</v>
      </c>
      <c r="L4137" s="28"/>
    </row>
    <row r="4138" spans="1:14" ht="14.5" customHeight="1" x14ac:dyDescent="0.2">
      <c r="A4138">
        <v>2023</v>
      </c>
      <c r="B4138" t="s">
        <v>184</v>
      </c>
      <c r="C4138" t="s">
        <v>2133</v>
      </c>
      <c r="D4138" s="66">
        <v>610</v>
      </c>
      <c r="E4138" s="33" t="s">
        <v>2134</v>
      </c>
      <c r="G4138" t="s">
        <v>148</v>
      </c>
      <c r="I4138" t="s">
        <v>72</v>
      </c>
      <c r="J4138" t="s">
        <v>183</v>
      </c>
      <c r="K4138">
        <v>1</v>
      </c>
      <c r="L4138" s="28" t="s">
        <v>178</v>
      </c>
    </row>
    <row r="4139" spans="1:14" ht="14.5" customHeight="1" x14ac:dyDescent="0.2">
      <c r="A4139">
        <v>2023</v>
      </c>
      <c r="B4139" t="s">
        <v>184</v>
      </c>
      <c r="C4139" t="s">
        <v>2135</v>
      </c>
      <c r="D4139" s="66">
        <v>190</v>
      </c>
      <c r="E4139" s="33"/>
      <c r="G4139" t="s">
        <v>154</v>
      </c>
      <c r="H4139" t="s">
        <v>194</v>
      </c>
      <c r="I4139" t="s">
        <v>77</v>
      </c>
      <c r="J4139" t="s">
        <v>177</v>
      </c>
      <c r="K4139">
        <v>0</v>
      </c>
      <c r="L4139" s="28" t="s">
        <v>178</v>
      </c>
    </row>
    <row r="4140" spans="1:14" ht="14.5" customHeight="1" x14ac:dyDescent="0.2">
      <c r="A4140">
        <v>2023</v>
      </c>
      <c r="B4140" t="s">
        <v>184</v>
      </c>
      <c r="C4140" t="s">
        <v>285</v>
      </c>
      <c r="D4140" s="66">
        <v>510</v>
      </c>
      <c r="E4140" s="33">
        <v>0.33</v>
      </c>
      <c r="F4140" t="s">
        <v>2136</v>
      </c>
      <c r="G4140" t="s">
        <v>144</v>
      </c>
      <c r="I4140" t="s">
        <v>27</v>
      </c>
      <c r="J4140" t="s">
        <v>205</v>
      </c>
      <c r="K4140">
        <v>1</v>
      </c>
      <c r="L4140" s="28" t="s">
        <v>178</v>
      </c>
    </row>
    <row r="4141" spans="1:14" ht="14.5" customHeight="1" x14ac:dyDescent="0.2">
      <c r="A4141">
        <v>2023</v>
      </c>
      <c r="B4141" t="s">
        <v>184</v>
      </c>
      <c r="C4141" t="s">
        <v>2137</v>
      </c>
      <c r="D4141" s="66">
        <v>100</v>
      </c>
      <c r="E4141" s="33"/>
      <c r="G4141" t="s">
        <v>142</v>
      </c>
      <c r="I4141" t="s">
        <v>67</v>
      </c>
      <c r="J4141" t="s">
        <v>183</v>
      </c>
      <c r="K4141">
        <v>1</v>
      </c>
      <c r="L4141" s="28" t="s">
        <v>178</v>
      </c>
    </row>
    <row r="4142" spans="1:14" ht="14.5" customHeight="1" x14ac:dyDescent="0.2">
      <c r="A4142">
        <v>2023</v>
      </c>
      <c r="B4142" t="s">
        <v>184</v>
      </c>
      <c r="C4142" t="s">
        <v>2138</v>
      </c>
      <c r="D4142" s="66">
        <v>320</v>
      </c>
      <c r="E4142" s="33"/>
      <c r="G4142" t="s">
        <v>152</v>
      </c>
      <c r="H4142" t="s">
        <v>257</v>
      </c>
      <c r="I4142" t="s">
        <v>72</v>
      </c>
      <c r="J4142" t="s">
        <v>183</v>
      </c>
      <c r="K4142">
        <v>1</v>
      </c>
      <c r="L4142" s="28" t="s">
        <v>178</v>
      </c>
    </row>
    <row r="4143" spans="1:14" ht="14.5" customHeight="1" x14ac:dyDescent="0.2">
      <c r="A4143">
        <v>2023</v>
      </c>
      <c r="B4143" t="s">
        <v>184</v>
      </c>
      <c r="C4143" t="s">
        <v>1180</v>
      </c>
      <c r="D4143" s="66">
        <v>120</v>
      </c>
      <c r="E4143" s="33"/>
      <c r="G4143" t="s">
        <v>144</v>
      </c>
      <c r="H4143" t="s">
        <v>232</v>
      </c>
      <c r="I4143" t="s">
        <v>63</v>
      </c>
      <c r="J4143" t="s">
        <v>201</v>
      </c>
      <c r="K4143">
        <v>1</v>
      </c>
      <c r="L4143" s="28" t="s">
        <v>178</v>
      </c>
    </row>
    <row r="4144" spans="1:14" ht="14.5" customHeight="1" x14ac:dyDescent="0.2">
      <c r="A4144">
        <v>2023</v>
      </c>
      <c r="B4144" t="s">
        <v>184</v>
      </c>
      <c r="C4144" t="s">
        <v>2139</v>
      </c>
      <c r="D4144" s="66">
        <v>130</v>
      </c>
      <c r="E4144" s="33"/>
      <c r="G4144" t="s">
        <v>150</v>
      </c>
      <c r="H4144" t="s">
        <v>217</v>
      </c>
      <c r="I4144" t="s">
        <v>106</v>
      </c>
      <c r="J4144" t="s">
        <v>195</v>
      </c>
      <c r="K4144">
        <v>1</v>
      </c>
      <c r="L4144" s="28" t="s">
        <v>178</v>
      </c>
    </row>
    <row r="4145" spans="1:12" ht="14.5" customHeight="1" x14ac:dyDescent="0.2">
      <c r="A4145">
        <v>2023</v>
      </c>
      <c r="B4145" t="s">
        <v>225</v>
      </c>
      <c r="C4145" t="s">
        <v>1948</v>
      </c>
      <c r="D4145" s="66">
        <v>130</v>
      </c>
      <c r="E4145" s="33">
        <v>1</v>
      </c>
      <c r="G4145" t="s">
        <v>149</v>
      </c>
      <c r="H4145" t="s">
        <v>182</v>
      </c>
      <c r="I4145" t="s">
        <v>136</v>
      </c>
      <c r="J4145" t="s">
        <v>183</v>
      </c>
      <c r="K4145">
        <v>1</v>
      </c>
      <c r="L4145" s="28" t="s">
        <v>178</v>
      </c>
    </row>
    <row r="4146" spans="1:12" ht="14.5" customHeight="1" x14ac:dyDescent="0.2">
      <c r="A4146">
        <v>2023</v>
      </c>
      <c r="B4146" t="s">
        <v>225</v>
      </c>
      <c r="C4146" t="s">
        <v>438</v>
      </c>
      <c r="D4146" s="66">
        <v>290</v>
      </c>
      <c r="E4146" s="33">
        <v>0.09</v>
      </c>
      <c r="F4146" t="s">
        <v>2140</v>
      </c>
      <c r="G4146" t="s">
        <v>154</v>
      </c>
      <c r="H4146" t="s">
        <v>194</v>
      </c>
      <c r="I4146" t="s">
        <v>20</v>
      </c>
      <c r="J4146" t="s">
        <v>195</v>
      </c>
      <c r="K4146">
        <v>0</v>
      </c>
      <c r="L4146" s="28"/>
    </row>
    <row r="4147" spans="1:12" ht="14.5" customHeight="1" x14ac:dyDescent="0.2">
      <c r="A4147">
        <v>2023</v>
      </c>
      <c r="B4147" t="s">
        <v>225</v>
      </c>
      <c r="C4147" t="s">
        <v>1035</v>
      </c>
      <c r="D4147" s="66">
        <v>340</v>
      </c>
      <c r="E4147" s="33">
        <v>1</v>
      </c>
      <c r="G4147" t="s">
        <v>144</v>
      </c>
      <c r="H4147" t="s">
        <v>232</v>
      </c>
      <c r="I4147" t="s">
        <v>19</v>
      </c>
      <c r="J4147" t="s">
        <v>205</v>
      </c>
      <c r="K4147">
        <v>0</v>
      </c>
      <c r="L4147" s="28" t="s">
        <v>178</v>
      </c>
    </row>
    <row r="4148" spans="1:12" ht="14.5" customHeight="1" x14ac:dyDescent="0.2">
      <c r="A4148">
        <v>2023</v>
      </c>
      <c r="B4148" t="s">
        <v>225</v>
      </c>
      <c r="C4148" t="s">
        <v>2141</v>
      </c>
      <c r="D4148" s="66">
        <v>350</v>
      </c>
      <c r="E4148" s="33">
        <v>0.7</v>
      </c>
      <c r="F4148" t="s">
        <v>2142</v>
      </c>
      <c r="G4148" t="s">
        <v>149</v>
      </c>
      <c r="I4148" t="s">
        <v>53</v>
      </c>
      <c r="J4148" t="s">
        <v>183</v>
      </c>
      <c r="K4148">
        <v>1</v>
      </c>
      <c r="L4148" s="28" t="s">
        <v>178</v>
      </c>
    </row>
    <row r="4149" spans="1:12" ht="14.5" customHeight="1" x14ac:dyDescent="0.2">
      <c r="A4149">
        <v>2023</v>
      </c>
      <c r="B4149" t="s">
        <v>225</v>
      </c>
      <c r="C4149" t="s">
        <v>2143</v>
      </c>
      <c r="D4149" s="66">
        <v>280</v>
      </c>
      <c r="E4149" s="33"/>
      <c r="G4149" t="s">
        <v>154</v>
      </c>
      <c r="H4149" t="s">
        <v>194</v>
      </c>
      <c r="I4149" t="s">
        <v>77</v>
      </c>
      <c r="J4149" t="s">
        <v>177</v>
      </c>
      <c r="K4149">
        <v>0</v>
      </c>
      <c r="L4149" s="28" t="s">
        <v>178</v>
      </c>
    </row>
    <row r="4150" spans="1:12" ht="14.5" customHeight="1" x14ac:dyDescent="0.2">
      <c r="A4150">
        <v>2023</v>
      </c>
      <c r="B4150" t="s">
        <v>225</v>
      </c>
      <c r="C4150" t="s">
        <v>477</v>
      </c>
      <c r="D4150" s="66">
        <v>270</v>
      </c>
      <c r="E4150" s="33">
        <v>0.7</v>
      </c>
      <c r="G4150" t="s">
        <v>148</v>
      </c>
      <c r="I4150" t="s">
        <v>115</v>
      </c>
      <c r="J4150" t="s">
        <v>201</v>
      </c>
      <c r="K4150">
        <v>1</v>
      </c>
      <c r="L4150" s="28" t="s">
        <v>178</v>
      </c>
    </row>
    <row r="4151" spans="1:12" ht="14.5" customHeight="1" x14ac:dyDescent="0.2">
      <c r="A4151">
        <v>2023</v>
      </c>
      <c r="B4151" t="s">
        <v>225</v>
      </c>
      <c r="C4151" t="s">
        <v>1842</v>
      </c>
      <c r="D4151" s="66">
        <v>520</v>
      </c>
      <c r="E4151" s="33"/>
      <c r="G4151" t="s">
        <v>149</v>
      </c>
      <c r="H4151" t="s">
        <v>182</v>
      </c>
      <c r="I4151" t="s">
        <v>107</v>
      </c>
      <c r="J4151" t="s">
        <v>219</v>
      </c>
      <c r="K4151">
        <v>1</v>
      </c>
      <c r="L4151" s="28"/>
    </row>
    <row r="4152" spans="1:12" ht="14.5" customHeight="1" x14ac:dyDescent="0.2">
      <c r="A4152">
        <v>2023</v>
      </c>
      <c r="B4152" t="s">
        <v>225</v>
      </c>
      <c r="C4152" t="s">
        <v>2144</v>
      </c>
      <c r="D4152" s="66">
        <v>290</v>
      </c>
      <c r="E4152" s="33">
        <v>1</v>
      </c>
      <c r="G4152" t="s">
        <v>143</v>
      </c>
      <c r="I4152" t="s">
        <v>53</v>
      </c>
      <c r="J4152" t="s">
        <v>183</v>
      </c>
      <c r="K4152">
        <v>1</v>
      </c>
      <c r="L4152" s="28" t="s">
        <v>178</v>
      </c>
    </row>
    <row r="4153" spans="1:12" ht="14.5" customHeight="1" x14ac:dyDescent="0.2">
      <c r="A4153">
        <v>2023</v>
      </c>
      <c r="B4153" t="s">
        <v>225</v>
      </c>
      <c r="C4153" t="s">
        <v>2145</v>
      </c>
      <c r="D4153" s="66">
        <v>290</v>
      </c>
      <c r="E4153" s="33">
        <v>0.6</v>
      </c>
      <c r="F4153" t="s">
        <v>2062</v>
      </c>
      <c r="G4153" t="s">
        <v>143</v>
      </c>
      <c r="I4153" t="s">
        <v>53</v>
      </c>
      <c r="J4153" t="s">
        <v>183</v>
      </c>
      <c r="K4153">
        <v>1</v>
      </c>
      <c r="L4153" s="28" t="s">
        <v>178</v>
      </c>
    </row>
    <row r="4154" spans="1:12" ht="14.5" customHeight="1" x14ac:dyDescent="0.2">
      <c r="A4154">
        <v>2023</v>
      </c>
      <c r="B4154" t="s">
        <v>225</v>
      </c>
      <c r="C4154" t="s">
        <v>1129</v>
      </c>
      <c r="D4154" s="66">
        <v>110</v>
      </c>
      <c r="E4154" s="33"/>
      <c r="G4154" t="s">
        <v>144</v>
      </c>
      <c r="H4154" t="s">
        <v>232</v>
      </c>
      <c r="I4154" t="s">
        <v>136</v>
      </c>
      <c r="J4154" t="s">
        <v>183</v>
      </c>
      <c r="K4154">
        <v>1</v>
      </c>
      <c r="L4154" s="28" t="s">
        <v>178</v>
      </c>
    </row>
    <row r="4155" spans="1:12" ht="14.5" customHeight="1" x14ac:dyDescent="0.2">
      <c r="A4155">
        <v>2023</v>
      </c>
      <c r="B4155" t="s">
        <v>225</v>
      </c>
      <c r="C4155" t="s">
        <v>2146</v>
      </c>
      <c r="D4155" s="66">
        <v>120</v>
      </c>
      <c r="E4155" s="33"/>
      <c r="G4155" t="s">
        <v>149</v>
      </c>
      <c r="H4155" t="s">
        <v>236</v>
      </c>
      <c r="I4155" t="s">
        <v>6</v>
      </c>
      <c r="J4155" t="s">
        <v>219</v>
      </c>
      <c r="K4155">
        <v>1</v>
      </c>
      <c r="L4155" s="28" t="s">
        <v>178</v>
      </c>
    </row>
    <row r="4156" spans="1:12" ht="14.5" customHeight="1" x14ac:dyDescent="0.2">
      <c r="A4156">
        <v>2023</v>
      </c>
      <c r="B4156" t="s">
        <v>188</v>
      </c>
      <c r="C4156" t="s">
        <v>479</v>
      </c>
      <c r="D4156" s="66">
        <v>1310</v>
      </c>
      <c r="E4156" s="33"/>
      <c r="G4156" t="s">
        <v>154</v>
      </c>
      <c r="H4156" t="s">
        <v>194</v>
      </c>
      <c r="I4156" t="s">
        <v>23</v>
      </c>
      <c r="J4156" t="s">
        <v>183</v>
      </c>
      <c r="K4156">
        <v>1</v>
      </c>
      <c r="L4156" s="28" t="s">
        <v>178</v>
      </c>
    </row>
    <row r="4157" spans="1:12" ht="14.5" customHeight="1" x14ac:dyDescent="0.2">
      <c r="A4157">
        <v>2023</v>
      </c>
      <c r="B4157" t="s">
        <v>188</v>
      </c>
      <c r="C4157" t="s">
        <v>199</v>
      </c>
      <c r="D4157" s="66">
        <v>380</v>
      </c>
      <c r="E4157" s="33">
        <v>0.01</v>
      </c>
      <c r="G4157" t="s">
        <v>144</v>
      </c>
      <c r="H4157" t="s">
        <v>299</v>
      </c>
      <c r="I4157" t="s">
        <v>100</v>
      </c>
      <c r="J4157" t="s">
        <v>214</v>
      </c>
      <c r="K4157">
        <v>1</v>
      </c>
      <c r="L4157" s="28"/>
    </row>
    <row r="4158" spans="1:12" ht="14.5" customHeight="1" x14ac:dyDescent="0.2">
      <c r="A4158">
        <v>2023</v>
      </c>
      <c r="B4158" t="s">
        <v>188</v>
      </c>
      <c r="C4158" t="s">
        <v>554</v>
      </c>
      <c r="D4158" s="66">
        <v>110</v>
      </c>
      <c r="E4158" s="33"/>
      <c r="G4158" t="s">
        <v>147</v>
      </c>
      <c r="I4158" t="s">
        <v>59</v>
      </c>
      <c r="J4158" t="s">
        <v>219</v>
      </c>
      <c r="K4158">
        <v>1</v>
      </c>
      <c r="L4158" s="28" t="s">
        <v>178</v>
      </c>
    </row>
    <row r="4159" spans="1:12" ht="14.5" customHeight="1" x14ac:dyDescent="0.2">
      <c r="A4159">
        <v>2023</v>
      </c>
      <c r="B4159" t="s">
        <v>188</v>
      </c>
      <c r="C4159" t="s">
        <v>307</v>
      </c>
      <c r="D4159" s="66">
        <v>330</v>
      </c>
      <c r="E4159" s="33"/>
      <c r="G4159" t="s">
        <v>155</v>
      </c>
      <c r="I4159" t="s">
        <v>8</v>
      </c>
      <c r="J4159" t="s">
        <v>205</v>
      </c>
      <c r="K4159">
        <v>1</v>
      </c>
      <c r="L4159" s="28"/>
    </row>
    <row r="4160" spans="1:12" ht="14.5" customHeight="1" x14ac:dyDescent="0.2">
      <c r="A4160">
        <v>2023</v>
      </c>
      <c r="B4160" t="s">
        <v>188</v>
      </c>
      <c r="C4160" t="s">
        <v>1011</v>
      </c>
      <c r="D4160" s="66">
        <v>270</v>
      </c>
      <c r="E4160" s="33">
        <v>1</v>
      </c>
      <c r="G4160" t="s">
        <v>144</v>
      </c>
      <c r="H4160" t="s">
        <v>232</v>
      </c>
      <c r="I4160" t="s">
        <v>51</v>
      </c>
      <c r="J4160" t="s">
        <v>195</v>
      </c>
      <c r="K4160">
        <v>1</v>
      </c>
      <c r="L4160" s="28" t="s">
        <v>178</v>
      </c>
    </row>
    <row r="4161" spans="1:12" ht="14.5" customHeight="1" x14ac:dyDescent="0.2">
      <c r="A4161">
        <v>2023</v>
      </c>
      <c r="B4161" t="s">
        <v>188</v>
      </c>
      <c r="C4161" t="s">
        <v>1329</v>
      </c>
      <c r="D4161" s="66">
        <v>860</v>
      </c>
      <c r="E4161" s="33"/>
      <c r="G4161" t="s">
        <v>149</v>
      </c>
      <c r="H4161" t="s">
        <v>236</v>
      </c>
      <c r="I4161" t="s">
        <v>53</v>
      </c>
      <c r="J4161" t="s">
        <v>183</v>
      </c>
      <c r="K4161">
        <v>1</v>
      </c>
      <c r="L4161" s="28" t="s">
        <v>178</v>
      </c>
    </row>
    <row r="4162" spans="1:12" ht="14.5" customHeight="1" x14ac:dyDescent="0.2">
      <c r="A4162">
        <v>2023</v>
      </c>
      <c r="B4162" t="s">
        <v>188</v>
      </c>
      <c r="C4162" t="s">
        <v>2147</v>
      </c>
      <c r="D4162" s="66">
        <v>580</v>
      </c>
      <c r="E4162" s="33"/>
      <c r="F4162" t="s">
        <v>2148</v>
      </c>
      <c r="G4162" t="s">
        <v>144</v>
      </c>
      <c r="H4162" t="s">
        <v>232</v>
      </c>
      <c r="I4162" t="s">
        <v>113</v>
      </c>
      <c r="J4162" t="s">
        <v>183</v>
      </c>
      <c r="K4162">
        <v>0</v>
      </c>
      <c r="L4162" s="28" t="s">
        <v>178</v>
      </c>
    </row>
    <row r="4163" spans="1:12" ht="14.5" customHeight="1" x14ac:dyDescent="0.2">
      <c r="A4163">
        <v>2023</v>
      </c>
      <c r="B4163" t="s">
        <v>188</v>
      </c>
      <c r="C4163" t="s">
        <v>2149</v>
      </c>
      <c r="D4163" s="65">
        <v>100</v>
      </c>
      <c r="E4163" s="33"/>
      <c r="G4163" t="s">
        <v>152</v>
      </c>
      <c r="I4163" t="s">
        <v>124</v>
      </c>
      <c r="J4163" t="s">
        <v>183</v>
      </c>
      <c r="K4163">
        <v>1</v>
      </c>
      <c r="L4163" s="28" t="s">
        <v>178</v>
      </c>
    </row>
    <row r="4164" spans="1:12" ht="14.5" customHeight="1" x14ac:dyDescent="0.2">
      <c r="A4164">
        <v>2023</v>
      </c>
      <c r="B4164" t="s">
        <v>188</v>
      </c>
      <c r="C4164" t="s">
        <v>1829</v>
      </c>
      <c r="D4164" s="65">
        <v>340</v>
      </c>
      <c r="E4164" s="33">
        <v>1</v>
      </c>
      <c r="F4164" t="s">
        <v>2150</v>
      </c>
      <c r="G4164" t="s">
        <v>147</v>
      </c>
      <c r="I4164" t="s">
        <v>9</v>
      </c>
      <c r="J4164" t="s">
        <v>9</v>
      </c>
      <c r="K4164">
        <v>0</v>
      </c>
      <c r="L4164" s="28"/>
    </row>
    <row r="4165" spans="1:12" ht="14.5" customHeight="1" x14ac:dyDescent="0.2">
      <c r="A4165">
        <v>2023</v>
      </c>
      <c r="B4165" t="s">
        <v>188</v>
      </c>
      <c r="C4165" t="s">
        <v>1287</v>
      </c>
      <c r="D4165" s="65">
        <v>290</v>
      </c>
      <c r="E4165" s="33"/>
      <c r="F4165" t="s">
        <v>2151</v>
      </c>
      <c r="G4165" t="s">
        <v>154</v>
      </c>
      <c r="H4165" t="s">
        <v>194</v>
      </c>
      <c r="I4165" t="s">
        <v>114</v>
      </c>
      <c r="J4165" t="s">
        <v>195</v>
      </c>
      <c r="K4165">
        <v>0</v>
      </c>
      <c r="L4165" s="28" t="s">
        <v>178</v>
      </c>
    </row>
    <row r="4166" spans="1:12" ht="14.5" customHeight="1" x14ac:dyDescent="0.2">
      <c r="A4166">
        <v>2023</v>
      </c>
      <c r="B4166" t="s">
        <v>188</v>
      </c>
      <c r="C4166" t="s">
        <v>2152</v>
      </c>
      <c r="D4166" s="65">
        <v>170</v>
      </c>
      <c r="E4166" s="33">
        <v>0.81</v>
      </c>
      <c r="F4166" t="s">
        <v>2153</v>
      </c>
      <c r="G4166" t="s">
        <v>152</v>
      </c>
      <c r="I4166" t="s">
        <v>19</v>
      </c>
      <c r="J4166" t="s">
        <v>205</v>
      </c>
      <c r="K4166">
        <v>0</v>
      </c>
      <c r="L4166" s="28"/>
    </row>
    <row r="4167" spans="1:12" ht="14.5" customHeight="1" x14ac:dyDescent="0.2">
      <c r="A4167">
        <v>2023</v>
      </c>
      <c r="B4167" t="s">
        <v>191</v>
      </c>
      <c r="C4167" t="s">
        <v>2154</v>
      </c>
      <c r="D4167" s="65">
        <v>270</v>
      </c>
      <c r="E4167" s="33">
        <v>1</v>
      </c>
      <c r="F4167" t="s">
        <v>1647</v>
      </c>
      <c r="G4167" t="s">
        <v>152</v>
      </c>
      <c r="I4167" t="s">
        <v>108</v>
      </c>
      <c r="J4167" t="s">
        <v>183</v>
      </c>
      <c r="K4167">
        <v>1</v>
      </c>
      <c r="L4167" s="28"/>
    </row>
    <row r="4168" spans="1:12" ht="14.5" customHeight="1" x14ac:dyDescent="0.2">
      <c r="A4168">
        <v>2023</v>
      </c>
      <c r="B4168" t="s">
        <v>191</v>
      </c>
      <c r="C4168" s="17" t="s">
        <v>797</v>
      </c>
      <c r="D4168" s="65">
        <v>2000</v>
      </c>
      <c r="E4168" s="33"/>
      <c r="G4168" t="s">
        <v>149</v>
      </c>
      <c r="H4168" t="s">
        <v>236</v>
      </c>
      <c r="I4168" t="s">
        <v>34</v>
      </c>
      <c r="J4168" t="s">
        <v>219</v>
      </c>
      <c r="K4168">
        <v>1</v>
      </c>
      <c r="L4168" s="28"/>
    </row>
    <row r="4169" spans="1:12" ht="14.5" customHeight="1" x14ac:dyDescent="0.2">
      <c r="A4169">
        <v>2023</v>
      </c>
      <c r="B4169" t="s">
        <v>191</v>
      </c>
      <c r="C4169" t="s">
        <v>822</v>
      </c>
      <c r="D4169" s="65">
        <v>850</v>
      </c>
      <c r="E4169" s="33"/>
      <c r="F4169" t="s">
        <v>1243</v>
      </c>
      <c r="G4169" t="s">
        <v>150</v>
      </c>
      <c r="H4169" t="s">
        <v>556</v>
      </c>
      <c r="I4169" t="s">
        <v>108</v>
      </c>
      <c r="J4169" t="s">
        <v>183</v>
      </c>
      <c r="K4169">
        <v>1</v>
      </c>
      <c r="L4169" s="28"/>
    </row>
    <row r="4170" spans="1:12" ht="14.5" customHeight="1" x14ac:dyDescent="0.2">
      <c r="A4170">
        <v>2023</v>
      </c>
      <c r="B4170" t="s">
        <v>191</v>
      </c>
      <c r="C4170" t="s">
        <v>221</v>
      </c>
      <c r="D4170" s="65">
        <v>400</v>
      </c>
      <c r="E4170" s="33"/>
      <c r="F4170" t="s">
        <v>2155</v>
      </c>
      <c r="G4170" t="s">
        <v>149</v>
      </c>
      <c r="I4170" t="s">
        <v>16</v>
      </c>
      <c r="J4170" t="s">
        <v>205</v>
      </c>
      <c r="K4170">
        <v>1</v>
      </c>
      <c r="L4170" s="28" t="s">
        <v>178</v>
      </c>
    </row>
    <row r="4171" spans="1:12" ht="14.5" customHeight="1" x14ac:dyDescent="0.2">
      <c r="A4171">
        <v>2023</v>
      </c>
      <c r="B4171" t="s">
        <v>191</v>
      </c>
      <c r="C4171" t="s">
        <v>530</v>
      </c>
      <c r="D4171" s="65">
        <v>400</v>
      </c>
      <c r="E4171" s="33"/>
      <c r="G4171" t="s">
        <v>152</v>
      </c>
      <c r="H4171" t="s">
        <v>257</v>
      </c>
      <c r="I4171" t="s">
        <v>105</v>
      </c>
      <c r="J4171" t="s">
        <v>214</v>
      </c>
      <c r="K4171">
        <v>1</v>
      </c>
      <c r="L4171" s="28"/>
    </row>
    <row r="4172" spans="1:12" ht="14.5" customHeight="1" x14ac:dyDescent="0.2">
      <c r="A4172">
        <v>2023</v>
      </c>
      <c r="B4172" t="s">
        <v>191</v>
      </c>
      <c r="C4172" t="s">
        <v>189</v>
      </c>
      <c r="D4172" s="65">
        <v>100</v>
      </c>
      <c r="E4172" s="33"/>
      <c r="G4172" t="s">
        <v>144</v>
      </c>
      <c r="H4172" t="s">
        <v>187</v>
      </c>
      <c r="I4172" t="s">
        <v>115</v>
      </c>
      <c r="J4172" t="s">
        <v>201</v>
      </c>
      <c r="K4172">
        <v>1</v>
      </c>
      <c r="L4172" s="28" t="s">
        <v>178</v>
      </c>
    </row>
    <row r="4173" spans="1:12" ht="14.5" customHeight="1" x14ac:dyDescent="0.2">
      <c r="A4173">
        <v>2023</v>
      </c>
      <c r="B4173" t="s">
        <v>191</v>
      </c>
      <c r="C4173" t="s">
        <v>1011</v>
      </c>
      <c r="D4173" s="65">
        <v>200</v>
      </c>
      <c r="E4173" s="33">
        <v>0.51</v>
      </c>
      <c r="F4173" t="s">
        <v>2156</v>
      </c>
      <c r="G4173" t="s">
        <v>149</v>
      </c>
      <c r="I4173" t="s">
        <v>53</v>
      </c>
      <c r="J4173" t="s">
        <v>183</v>
      </c>
      <c r="K4173">
        <v>1</v>
      </c>
      <c r="L4173" s="28"/>
    </row>
    <row r="4174" spans="1:12" ht="14.5" customHeight="1" x14ac:dyDescent="0.2">
      <c r="A4174">
        <v>2023</v>
      </c>
      <c r="B4174" t="s">
        <v>191</v>
      </c>
      <c r="C4174" t="s">
        <v>2157</v>
      </c>
      <c r="D4174" s="65">
        <v>200</v>
      </c>
      <c r="E4174" s="33">
        <v>1</v>
      </c>
      <c r="G4174" t="s">
        <v>142</v>
      </c>
      <c r="I4174" t="s">
        <v>59</v>
      </c>
      <c r="J4174" t="s">
        <v>219</v>
      </c>
      <c r="K4174">
        <v>1</v>
      </c>
      <c r="L4174" s="28" t="s">
        <v>178</v>
      </c>
    </row>
    <row r="4175" spans="1:12" ht="14.5" customHeight="1" x14ac:dyDescent="0.2">
      <c r="A4175">
        <v>2023</v>
      </c>
      <c r="B4175" t="s">
        <v>191</v>
      </c>
      <c r="C4175" t="s">
        <v>307</v>
      </c>
      <c r="D4175" s="65">
        <v>130</v>
      </c>
      <c r="E4175" s="33"/>
      <c r="G4175" t="s">
        <v>152</v>
      </c>
      <c r="H4175" t="s">
        <v>257</v>
      </c>
      <c r="I4175" t="s">
        <v>53</v>
      </c>
      <c r="J4175" t="s">
        <v>183</v>
      </c>
      <c r="K4175">
        <v>1</v>
      </c>
      <c r="L4175" s="28"/>
    </row>
    <row r="4176" spans="1:12" ht="14.5" customHeight="1" x14ac:dyDescent="0.2">
      <c r="A4176">
        <v>2023</v>
      </c>
      <c r="B4176" t="s">
        <v>191</v>
      </c>
      <c r="C4176" t="s">
        <v>438</v>
      </c>
      <c r="D4176" s="65">
        <v>910</v>
      </c>
      <c r="E4176" s="33">
        <v>0.45</v>
      </c>
      <c r="F4176" t="s">
        <v>2158</v>
      </c>
      <c r="G4176" t="s">
        <v>154</v>
      </c>
      <c r="H4176" t="s">
        <v>194</v>
      </c>
      <c r="I4176" t="s">
        <v>114</v>
      </c>
      <c r="J4176" t="s">
        <v>195</v>
      </c>
      <c r="K4176">
        <v>0</v>
      </c>
      <c r="L4176" s="28"/>
    </row>
    <row r="4177" spans="1:12" ht="14.5" customHeight="1" x14ac:dyDescent="0.2">
      <c r="A4177">
        <v>2023</v>
      </c>
      <c r="B4177" t="s">
        <v>191</v>
      </c>
      <c r="C4177" t="s">
        <v>2159</v>
      </c>
      <c r="D4177" s="65">
        <v>590</v>
      </c>
      <c r="E4177" s="33">
        <v>0.7</v>
      </c>
      <c r="F4177" t="s">
        <v>2073</v>
      </c>
      <c r="G4177" t="s">
        <v>143</v>
      </c>
      <c r="I4177" t="s">
        <v>41</v>
      </c>
      <c r="J4177" t="s">
        <v>195</v>
      </c>
      <c r="K4177">
        <v>0</v>
      </c>
      <c r="L4177" s="28" t="s">
        <v>178</v>
      </c>
    </row>
    <row r="4178" spans="1:12" ht="14.5" customHeight="1" x14ac:dyDescent="0.2">
      <c r="A4178">
        <v>2023</v>
      </c>
      <c r="B4178" t="s">
        <v>191</v>
      </c>
      <c r="C4178" t="s">
        <v>454</v>
      </c>
      <c r="D4178" s="65">
        <v>1520</v>
      </c>
      <c r="E4178" s="33">
        <v>0.67</v>
      </c>
      <c r="F4178" t="s">
        <v>2160</v>
      </c>
      <c r="G4178" t="s">
        <v>145</v>
      </c>
      <c r="I4178" t="s">
        <v>98</v>
      </c>
      <c r="J4178" t="s">
        <v>195</v>
      </c>
      <c r="K4178">
        <v>1</v>
      </c>
      <c r="L4178" s="28"/>
    </row>
    <row r="4179" spans="1:12" ht="14.5" customHeight="1" x14ac:dyDescent="0.2">
      <c r="A4179">
        <v>2023</v>
      </c>
      <c r="B4179" t="s">
        <v>191</v>
      </c>
      <c r="C4179" t="s">
        <v>1035</v>
      </c>
      <c r="D4179" s="65">
        <v>130</v>
      </c>
      <c r="E4179" s="33"/>
      <c r="G4179" t="s">
        <v>144</v>
      </c>
      <c r="H4179" t="s">
        <v>197</v>
      </c>
      <c r="I4179" t="s">
        <v>67</v>
      </c>
      <c r="J4179" t="s">
        <v>183</v>
      </c>
      <c r="K4179">
        <v>1</v>
      </c>
      <c r="L4179" s="28" t="s">
        <v>178</v>
      </c>
    </row>
    <row r="4180" spans="1:12" ht="14.5" customHeight="1" x14ac:dyDescent="0.2">
      <c r="A4180">
        <v>2023</v>
      </c>
      <c r="B4180" t="s">
        <v>191</v>
      </c>
      <c r="C4180" t="s">
        <v>798</v>
      </c>
      <c r="D4180" s="65">
        <v>120</v>
      </c>
      <c r="E4180" s="33"/>
      <c r="G4180" t="s">
        <v>143</v>
      </c>
      <c r="I4180" t="s">
        <v>8</v>
      </c>
      <c r="J4180" t="s">
        <v>205</v>
      </c>
      <c r="K4180">
        <v>1</v>
      </c>
      <c r="L4180" s="28" t="s">
        <v>178</v>
      </c>
    </row>
    <row r="4181" spans="1:12" ht="14.5" customHeight="1" x14ac:dyDescent="0.2">
      <c r="A4181">
        <v>2023</v>
      </c>
      <c r="B4181" t="s">
        <v>198</v>
      </c>
      <c r="C4181" t="s">
        <v>2161</v>
      </c>
      <c r="D4181" s="65">
        <v>270</v>
      </c>
      <c r="E4181" s="33">
        <v>1</v>
      </c>
      <c r="G4181" t="s">
        <v>154</v>
      </c>
      <c r="H4181" t="s">
        <v>194</v>
      </c>
      <c r="I4181" t="s">
        <v>51</v>
      </c>
      <c r="J4181" t="s">
        <v>195</v>
      </c>
      <c r="K4181">
        <v>1</v>
      </c>
      <c r="L4181" s="28" t="s">
        <v>178</v>
      </c>
    </row>
    <row r="4182" spans="1:12" ht="14.5" customHeight="1" x14ac:dyDescent="0.2">
      <c r="A4182">
        <v>2023</v>
      </c>
      <c r="B4182" t="s">
        <v>198</v>
      </c>
      <c r="C4182" t="s">
        <v>321</v>
      </c>
      <c r="D4182" s="65">
        <v>150</v>
      </c>
      <c r="E4182" s="33">
        <v>0.75</v>
      </c>
      <c r="F4182" t="s">
        <v>2162</v>
      </c>
      <c r="G4182" t="s">
        <v>147</v>
      </c>
      <c r="I4182" t="s">
        <v>45</v>
      </c>
      <c r="J4182" t="s">
        <v>195</v>
      </c>
      <c r="K4182">
        <v>0</v>
      </c>
      <c r="L4182" s="28"/>
    </row>
    <row r="4183" spans="1:12" ht="14.5" customHeight="1" x14ac:dyDescent="0.2">
      <c r="A4183">
        <v>2023</v>
      </c>
      <c r="B4183" t="s">
        <v>198</v>
      </c>
      <c r="C4183" t="s">
        <v>1023</v>
      </c>
      <c r="D4183" s="65">
        <v>300</v>
      </c>
      <c r="E4183" s="33"/>
      <c r="G4183" t="s">
        <v>154</v>
      </c>
      <c r="H4183" t="s">
        <v>194</v>
      </c>
      <c r="I4183" t="s">
        <v>80</v>
      </c>
      <c r="J4183" t="s">
        <v>214</v>
      </c>
      <c r="K4183">
        <v>1</v>
      </c>
      <c r="L4183" s="28" t="s">
        <v>178</v>
      </c>
    </row>
    <row r="4184" spans="1:12" ht="14.5" customHeight="1" x14ac:dyDescent="0.2">
      <c r="A4184">
        <v>2023</v>
      </c>
      <c r="B4184" t="s">
        <v>198</v>
      </c>
      <c r="C4184" t="s">
        <v>2163</v>
      </c>
      <c r="D4184" s="65">
        <v>320</v>
      </c>
      <c r="E4184" s="33">
        <v>0.8</v>
      </c>
      <c r="F4184" t="s">
        <v>2164</v>
      </c>
      <c r="G4184" t="s">
        <v>152</v>
      </c>
      <c r="I4184" t="s">
        <v>15</v>
      </c>
      <c r="J4184" t="s">
        <v>195</v>
      </c>
      <c r="K4184">
        <v>0</v>
      </c>
      <c r="L4184" s="28"/>
    </row>
    <row r="4185" spans="1:12" ht="14.5" customHeight="1" x14ac:dyDescent="0.2">
      <c r="A4185">
        <v>2023</v>
      </c>
      <c r="B4185" t="s">
        <v>198</v>
      </c>
      <c r="C4185" t="s">
        <v>2165</v>
      </c>
      <c r="D4185" s="65">
        <v>210</v>
      </c>
      <c r="E4185" s="33"/>
      <c r="G4185" t="s">
        <v>154</v>
      </c>
      <c r="H4185" t="s">
        <v>194</v>
      </c>
      <c r="I4185" t="s">
        <v>124</v>
      </c>
      <c r="J4185" t="s">
        <v>183</v>
      </c>
      <c r="K4185">
        <v>1</v>
      </c>
      <c r="L4185" s="28" t="s">
        <v>178</v>
      </c>
    </row>
    <row r="4186" spans="1:12" ht="14.5" customHeight="1" x14ac:dyDescent="0.2">
      <c r="A4186">
        <v>2023</v>
      </c>
      <c r="B4186" t="s">
        <v>198</v>
      </c>
      <c r="C4186" t="s">
        <v>2166</v>
      </c>
      <c r="D4186" s="65">
        <v>290</v>
      </c>
      <c r="E4186" s="33"/>
      <c r="G4186" t="s">
        <v>150</v>
      </c>
      <c r="H4186" t="s">
        <v>556</v>
      </c>
      <c r="I4186" t="s">
        <v>136</v>
      </c>
      <c r="J4186" t="s">
        <v>183</v>
      </c>
      <c r="K4186">
        <v>1</v>
      </c>
      <c r="L4186" s="28"/>
    </row>
    <row r="4187" spans="1:12" ht="14.5" customHeight="1" x14ac:dyDescent="0.2">
      <c r="A4187">
        <v>2023</v>
      </c>
      <c r="B4187" t="s">
        <v>198</v>
      </c>
      <c r="C4187" t="s">
        <v>875</v>
      </c>
      <c r="D4187" s="65">
        <v>120</v>
      </c>
      <c r="E4187" s="33"/>
      <c r="G4187" t="s">
        <v>151</v>
      </c>
      <c r="H4187" t="s">
        <v>279</v>
      </c>
      <c r="I4187" t="s">
        <v>134</v>
      </c>
      <c r="J4187" t="s">
        <v>201</v>
      </c>
      <c r="K4187">
        <v>1</v>
      </c>
      <c r="L4187" s="28"/>
    </row>
    <row r="4188" spans="1:12" ht="14.5" customHeight="1" x14ac:dyDescent="0.2">
      <c r="A4188">
        <v>2023</v>
      </c>
      <c r="B4188" t="s">
        <v>198</v>
      </c>
      <c r="C4188" t="s">
        <v>1905</v>
      </c>
      <c r="D4188" s="65">
        <v>100</v>
      </c>
      <c r="E4188" s="33"/>
      <c r="F4188" t="s">
        <v>2167</v>
      </c>
      <c r="G4188" t="s">
        <v>151</v>
      </c>
      <c r="H4188" t="s">
        <v>279</v>
      </c>
      <c r="I4188" t="s">
        <v>81</v>
      </c>
      <c r="J4188" t="s">
        <v>219</v>
      </c>
      <c r="K4188">
        <v>1</v>
      </c>
      <c r="L4188" s="28" t="s">
        <v>178</v>
      </c>
    </row>
    <row r="4189" spans="1:12" ht="14.5" customHeight="1" x14ac:dyDescent="0.2">
      <c r="A4189">
        <v>2023</v>
      </c>
      <c r="B4189" t="s">
        <v>198</v>
      </c>
      <c r="C4189" t="s">
        <v>2168</v>
      </c>
      <c r="D4189" s="65">
        <v>100</v>
      </c>
      <c r="E4189" s="33"/>
      <c r="G4189" t="s">
        <v>151</v>
      </c>
      <c r="H4189" t="s">
        <v>279</v>
      </c>
      <c r="I4189" t="s">
        <v>29</v>
      </c>
      <c r="J4189" t="s">
        <v>219</v>
      </c>
      <c r="K4189">
        <v>1</v>
      </c>
      <c r="L4189" s="28" t="s">
        <v>178</v>
      </c>
    </row>
    <row r="4190" spans="1:12" ht="14.5" customHeight="1" x14ac:dyDescent="0.2">
      <c r="A4190">
        <v>2023</v>
      </c>
      <c r="B4190" t="s">
        <v>198</v>
      </c>
      <c r="C4190" t="s">
        <v>2169</v>
      </c>
      <c r="D4190" s="65">
        <v>310</v>
      </c>
      <c r="E4190" s="33">
        <v>0.33</v>
      </c>
      <c r="F4190" t="s">
        <v>2170</v>
      </c>
      <c r="G4190" t="s">
        <v>150</v>
      </c>
      <c r="H4190" t="s">
        <v>292</v>
      </c>
      <c r="I4190" t="s">
        <v>131</v>
      </c>
      <c r="J4190" t="s">
        <v>131</v>
      </c>
      <c r="K4190">
        <v>0</v>
      </c>
      <c r="L4190" s="28"/>
    </row>
    <row r="4191" spans="1:12" ht="14.5" customHeight="1" x14ac:dyDescent="0.2">
      <c r="A4191">
        <v>2023</v>
      </c>
      <c r="B4191" t="s">
        <v>198</v>
      </c>
      <c r="C4191" t="s">
        <v>2096</v>
      </c>
      <c r="D4191" s="66">
        <v>150</v>
      </c>
      <c r="E4191" s="33"/>
      <c r="F4191" t="s">
        <v>2171</v>
      </c>
      <c r="G4191" t="s">
        <v>154</v>
      </c>
      <c r="H4191" t="s">
        <v>194</v>
      </c>
      <c r="I4191" t="s">
        <v>136</v>
      </c>
      <c r="J4191" t="s">
        <v>183</v>
      </c>
      <c r="K4191">
        <v>1</v>
      </c>
      <c r="L4191" s="28"/>
    </row>
    <row r="4192" spans="1:12" ht="14.5" customHeight="1" x14ac:dyDescent="0.2">
      <c r="A4192">
        <v>2023</v>
      </c>
      <c r="B4192" t="s">
        <v>198</v>
      </c>
      <c r="C4192" t="s">
        <v>334</v>
      </c>
      <c r="D4192" s="66">
        <v>160</v>
      </c>
      <c r="E4192" s="33"/>
      <c r="G4192" t="s">
        <v>154</v>
      </c>
      <c r="H4192" t="s">
        <v>271</v>
      </c>
      <c r="I4192" t="s">
        <v>19</v>
      </c>
      <c r="J4192" t="s">
        <v>205</v>
      </c>
      <c r="K4192">
        <v>0</v>
      </c>
      <c r="L4192" s="28" t="s">
        <v>178</v>
      </c>
    </row>
    <row r="4193" spans="1:12" ht="14.5" customHeight="1" x14ac:dyDescent="0.2">
      <c r="A4193">
        <v>2023</v>
      </c>
      <c r="B4193" t="s">
        <v>202</v>
      </c>
      <c r="C4193" t="s">
        <v>1448</v>
      </c>
      <c r="D4193" s="65">
        <v>140</v>
      </c>
      <c r="E4193" s="33">
        <v>0.35</v>
      </c>
      <c r="F4193" t="s">
        <v>2172</v>
      </c>
      <c r="G4193" t="s">
        <v>149</v>
      </c>
      <c r="I4193" t="s">
        <v>74</v>
      </c>
      <c r="J4193" t="s">
        <v>219</v>
      </c>
      <c r="K4193">
        <v>1</v>
      </c>
      <c r="L4193" s="28" t="s">
        <v>178</v>
      </c>
    </row>
    <row r="4194" spans="1:12" ht="14.5" customHeight="1" x14ac:dyDescent="0.2">
      <c r="A4194">
        <v>2023</v>
      </c>
      <c r="B4194" t="s">
        <v>202</v>
      </c>
      <c r="C4194" t="s">
        <v>1807</v>
      </c>
      <c r="D4194" s="65">
        <v>140</v>
      </c>
      <c r="E4194" s="33"/>
      <c r="F4194" t="s">
        <v>2173</v>
      </c>
      <c r="G4194" t="s">
        <v>150</v>
      </c>
      <c r="H4194" t="s">
        <v>292</v>
      </c>
      <c r="I4194" t="s">
        <v>58</v>
      </c>
      <c r="J4194" t="s">
        <v>195</v>
      </c>
      <c r="K4194">
        <v>0</v>
      </c>
      <c r="L4194" s="28"/>
    </row>
    <row r="4195" spans="1:12" ht="14.5" customHeight="1" x14ac:dyDescent="0.2">
      <c r="A4195">
        <v>2023</v>
      </c>
      <c r="B4195" t="s">
        <v>202</v>
      </c>
      <c r="C4195" t="s">
        <v>2174</v>
      </c>
      <c r="D4195" s="65">
        <v>180</v>
      </c>
      <c r="E4195" s="33"/>
      <c r="F4195" t="s">
        <v>2175</v>
      </c>
      <c r="G4195" t="s">
        <v>148</v>
      </c>
      <c r="I4195" t="s">
        <v>72</v>
      </c>
      <c r="J4195" t="s">
        <v>183</v>
      </c>
      <c r="K4195">
        <v>1</v>
      </c>
      <c r="L4195" s="28" t="s">
        <v>178</v>
      </c>
    </row>
    <row r="4196" spans="1:12" ht="14.5" customHeight="1" x14ac:dyDescent="0.2">
      <c r="A4196">
        <v>2023</v>
      </c>
      <c r="B4196" t="s">
        <v>202</v>
      </c>
      <c r="C4196" t="s">
        <v>2176</v>
      </c>
      <c r="D4196" s="65">
        <v>130</v>
      </c>
      <c r="E4196" s="33"/>
      <c r="G4196" t="s">
        <v>152</v>
      </c>
      <c r="I4196" t="s">
        <v>124</v>
      </c>
      <c r="J4196" t="s">
        <v>183</v>
      </c>
      <c r="K4196">
        <v>1</v>
      </c>
      <c r="L4196" s="28" t="s">
        <v>178</v>
      </c>
    </row>
    <row r="4197" spans="1:12" ht="14.5" customHeight="1" x14ac:dyDescent="0.2">
      <c r="A4197">
        <v>2023</v>
      </c>
      <c r="B4197" t="s">
        <v>202</v>
      </c>
      <c r="C4197" t="s">
        <v>2177</v>
      </c>
      <c r="D4197" s="65">
        <v>100</v>
      </c>
      <c r="E4197" s="33"/>
      <c r="G4197" t="s">
        <v>152</v>
      </c>
      <c r="I4197" t="s">
        <v>124</v>
      </c>
      <c r="J4197" t="s">
        <v>183</v>
      </c>
      <c r="K4197">
        <v>1</v>
      </c>
      <c r="L4197" s="28" t="s">
        <v>178</v>
      </c>
    </row>
    <row r="4198" spans="1:12" ht="14.5" customHeight="1" x14ac:dyDescent="0.2">
      <c r="A4198">
        <v>2023</v>
      </c>
      <c r="B4198" t="s">
        <v>202</v>
      </c>
      <c r="C4198" t="s">
        <v>278</v>
      </c>
      <c r="D4198" s="65">
        <v>150</v>
      </c>
      <c r="E4198" s="33"/>
      <c r="G4198" t="s">
        <v>150</v>
      </c>
      <c r="H4198" t="s">
        <v>217</v>
      </c>
      <c r="I4198" t="s">
        <v>53</v>
      </c>
      <c r="J4198" t="s">
        <v>183</v>
      </c>
      <c r="K4198">
        <v>1</v>
      </c>
      <c r="L4198" s="28"/>
    </row>
    <row r="4199" spans="1:12" ht="14.5" customHeight="1" x14ac:dyDescent="0.2">
      <c r="A4199">
        <v>2023</v>
      </c>
      <c r="B4199" t="s">
        <v>202</v>
      </c>
      <c r="C4199" t="s">
        <v>2178</v>
      </c>
      <c r="D4199" s="65">
        <v>620</v>
      </c>
      <c r="E4199" s="33"/>
      <c r="F4199" t="s">
        <v>1929</v>
      </c>
      <c r="G4199" t="s">
        <v>152</v>
      </c>
      <c r="I4199" t="s">
        <v>113</v>
      </c>
      <c r="J4199" t="s">
        <v>183</v>
      </c>
      <c r="K4199">
        <v>0</v>
      </c>
      <c r="L4199" s="28"/>
    </row>
    <row r="4200" spans="1:12" ht="14.5" customHeight="1" x14ac:dyDescent="0.2">
      <c r="A4200">
        <v>2023</v>
      </c>
      <c r="B4200" t="s">
        <v>202</v>
      </c>
      <c r="C4200" t="s">
        <v>1928</v>
      </c>
      <c r="D4200" s="65">
        <v>170</v>
      </c>
      <c r="E4200" s="33">
        <v>0.3</v>
      </c>
      <c r="F4200" t="s">
        <v>1929</v>
      </c>
      <c r="G4200" t="s">
        <v>152</v>
      </c>
      <c r="I4200" t="s">
        <v>113</v>
      </c>
      <c r="J4200" t="s">
        <v>183</v>
      </c>
      <c r="K4200">
        <v>0</v>
      </c>
      <c r="L4200" s="28"/>
    </row>
    <row r="4201" spans="1:12" ht="14.5" customHeight="1" x14ac:dyDescent="0.2">
      <c r="A4201">
        <v>2023</v>
      </c>
      <c r="B4201" t="s">
        <v>202</v>
      </c>
      <c r="C4201" t="s">
        <v>1905</v>
      </c>
      <c r="D4201" s="65">
        <v>300</v>
      </c>
      <c r="E4201" s="33"/>
      <c r="F4201" t="s">
        <v>2179</v>
      </c>
      <c r="G4201" t="s">
        <v>151</v>
      </c>
      <c r="H4201" t="s">
        <v>279</v>
      </c>
      <c r="I4201" t="s">
        <v>132</v>
      </c>
      <c r="J4201" t="s">
        <v>219</v>
      </c>
      <c r="K4201">
        <v>1</v>
      </c>
      <c r="L4201" s="28" t="s">
        <v>178</v>
      </c>
    </row>
    <row r="4202" spans="1:12" ht="14.5" customHeight="1" x14ac:dyDescent="0.2">
      <c r="A4202">
        <v>2023</v>
      </c>
      <c r="B4202" t="s">
        <v>202</v>
      </c>
      <c r="C4202" t="s">
        <v>1057</v>
      </c>
      <c r="D4202" s="65">
        <v>230</v>
      </c>
      <c r="E4202" s="33">
        <v>1</v>
      </c>
      <c r="G4202" t="s">
        <v>144</v>
      </c>
      <c r="H4202" t="s">
        <v>232</v>
      </c>
      <c r="I4202" t="s">
        <v>131</v>
      </c>
      <c r="J4202" t="s">
        <v>131</v>
      </c>
      <c r="K4202">
        <v>0</v>
      </c>
      <c r="L4202" s="28" t="s">
        <v>178</v>
      </c>
    </row>
    <row r="4203" spans="1:12" ht="14.5" customHeight="1" x14ac:dyDescent="0.2">
      <c r="A4203">
        <v>2023</v>
      </c>
      <c r="B4203" t="s">
        <v>202</v>
      </c>
      <c r="C4203" t="s">
        <v>2180</v>
      </c>
      <c r="D4203" s="65">
        <v>150</v>
      </c>
      <c r="E4203" s="33">
        <v>1</v>
      </c>
      <c r="G4203" t="s">
        <v>152</v>
      </c>
      <c r="I4203" t="s">
        <v>136</v>
      </c>
      <c r="J4203" t="s">
        <v>183</v>
      </c>
      <c r="K4203">
        <v>1</v>
      </c>
      <c r="L4203" s="28" t="s">
        <v>178</v>
      </c>
    </row>
    <row r="4204" spans="1:12" ht="14.5" customHeight="1" x14ac:dyDescent="0.2">
      <c r="A4204">
        <v>2023</v>
      </c>
      <c r="B4204" t="s">
        <v>207</v>
      </c>
      <c r="C4204" t="s">
        <v>307</v>
      </c>
      <c r="D4204" s="65">
        <v>950</v>
      </c>
      <c r="E4204" s="33"/>
      <c r="G4204" t="s">
        <v>144</v>
      </c>
      <c r="I4204" t="s">
        <v>19</v>
      </c>
      <c r="J4204" t="s">
        <v>205</v>
      </c>
      <c r="K4204">
        <v>0</v>
      </c>
      <c r="L4204" s="28"/>
    </row>
    <row r="4205" spans="1:12" ht="14.5" customHeight="1" x14ac:dyDescent="0.2">
      <c r="A4205">
        <v>2023</v>
      </c>
      <c r="B4205" t="s">
        <v>207</v>
      </c>
      <c r="C4205" t="s">
        <v>1520</v>
      </c>
      <c r="D4205" s="65">
        <v>130</v>
      </c>
      <c r="E4205" s="33">
        <v>0.5</v>
      </c>
      <c r="F4205" t="s">
        <v>2181</v>
      </c>
      <c r="G4205" t="s">
        <v>148</v>
      </c>
      <c r="I4205" t="s">
        <v>108</v>
      </c>
      <c r="J4205" t="s">
        <v>183</v>
      </c>
      <c r="K4205">
        <v>1</v>
      </c>
      <c r="L4205" s="28"/>
    </row>
    <row r="4206" spans="1:12" ht="14.5" customHeight="1" x14ac:dyDescent="0.2">
      <c r="A4206">
        <v>2023</v>
      </c>
      <c r="B4206" t="s">
        <v>207</v>
      </c>
      <c r="C4206" t="s">
        <v>2182</v>
      </c>
      <c r="D4206" s="65">
        <v>600</v>
      </c>
      <c r="E4206" s="33"/>
      <c r="F4206" t="s">
        <v>1328</v>
      </c>
      <c r="G4206" t="s">
        <v>152</v>
      </c>
      <c r="I4206" t="s">
        <v>10</v>
      </c>
      <c r="J4206" t="s">
        <v>195</v>
      </c>
      <c r="K4206">
        <v>1</v>
      </c>
      <c r="L4206" s="28"/>
    </row>
    <row r="4207" spans="1:12" ht="14.5" customHeight="1" x14ac:dyDescent="0.2">
      <c r="A4207">
        <v>2023</v>
      </c>
      <c r="B4207" t="s">
        <v>207</v>
      </c>
      <c r="C4207" t="s">
        <v>1750</v>
      </c>
      <c r="D4207" s="65">
        <v>260</v>
      </c>
      <c r="E4207" s="33"/>
      <c r="G4207" t="s">
        <v>154</v>
      </c>
      <c r="H4207" t="s">
        <v>194</v>
      </c>
      <c r="I4207" t="s">
        <v>124</v>
      </c>
      <c r="J4207" t="s">
        <v>183</v>
      </c>
      <c r="K4207">
        <v>1</v>
      </c>
      <c r="L4207" s="28"/>
    </row>
    <row r="4208" spans="1:12" ht="14.5" customHeight="1" x14ac:dyDescent="0.2">
      <c r="A4208">
        <v>2023</v>
      </c>
      <c r="B4208" t="s">
        <v>207</v>
      </c>
      <c r="C4208" t="s">
        <v>2183</v>
      </c>
      <c r="D4208" s="65">
        <v>280</v>
      </c>
      <c r="E4208" s="33"/>
      <c r="G4208" t="s">
        <v>144</v>
      </c>
      <c r="H4208" t="s">
        <v>232</v>
      </c>
      <c r="I4208" t="s">
        <v>72</v>
      </c>
      <c r="J4208" t="s">
        <v>183</v>
      </c>
      <c r="K4208">
        <v>1</v>
      </c>
      <c r="L4208" s="28" t="s">
        <v>178</v>
      </c>
    </row>
    <row r="4209" spans="1:12" ht="14.5" customHeight="1" x14ac:dyDescent="0.2">
      <c r="A4209">
        <v>2023</v>
      </c>
      <c r="B4209" t="s">
        <v>207</v>
      </c>
      <c r="C4209" t="s">
        <v>2184</v>
      </c>
      <c r="D4209" s="65">
        <v>110</v>
      </c>
      <c r="E4209" s="33"/>
      <c r="G4209" t="s">
        <v>148</v>
      </c>
      <c r="I4209" t="s">
        <v>123</v>
      </c>
      <c r="J4209" t="s">
        <v>219</v>
      </c>
      <c r="K4209">
        <v>1</v>
      </c>
      <c r="L4209" s="28" t="s">
        <v>178</v>
      </c>
    </row>
    <row r="4210" spans="1:12" ht="15.75" customHeight="1" x14ac:dyDescent="0.2">
      <c r="A4210">
        <v>2023</v>
      </c>
      <c r="B4210" t="s">
        <v>207</v>
      </c>
      <c r="C4210" t="s">
        <v>474</v>
      </c>
      <c r="D4210" s="65">
        <v>280</v>
      </c>
      <c r="E4210" s="33"/>
      <c r="G4210" t="s">
        <v>144</v>
      </c>
      <c r="H4210" t="s">
        <v>232</v>
      </c>
      <c r="I4210" t="s">
        <v>124</v>
      </c>
      <c r="J4210" t="s">
        <v>183</v>
      </c>
      <c r="K4210">
        <v>1</v>
      </c>
      <c r="L4210" s="28" t="s">
        <v>178</v>
      </c>
    </row>
    <row r="4211" spans="1:12" ht="14.5" customHeight="1" x14ac:dyDescent="0.2">
      <c r="A4211">
        <v>2023</v>
      </c>
      <c r="B4211" t="s">
        <v>207</v>
      </c>
      <c r="C4211" t="s">
        <v>337</v>
      </c>
      <c r="D4211" s="65">
        <v>100</v>
      </c>
      <c r="E4211" s="33"/>
      <c r="G4211" t="s">
        <v>144</v>
      </c>
      <c r="H4211" t="s">
        <v>232</v>
      </c>
      <c r="I4211" t="s">
        <v>13</v>
      </c>
      <c r="J4211" t="s">
        <v>201</v>
      </c>
      <c r="K4211">
        <v>1</v>
      </c>
      <c r="L4211" s="28" t="s">
        <v>178</v>
      </c>
    </row>
    <row r="4212" spans="1:12" ht="14.5" customHeight="1" x14ac:dyDescent="0.2">
      <c r="A4212">
        <v>2023</v>
      </c>
      <c r="B4212" t="s">
        <v>207</v>
      </c>
      <c r="C4212" t="s">
        <v>244</v>
      </c>
      <c r="D4212" s="65">
        <v>100</v>
      </c>
      <c r="E4212" s="33"/>
      <c r="G4212" t="s">
        <v>149</v>
      </c>
      <c r="I4212" t="s">
        <v>138</v>
      </c>
      <c r="J4212" t="s">
        <v>219</v>
      </c>
      <c r="K4212">
        <v>1</v>
      </c>
      <c r="L4212" s="28"/>
    </row>
    <row r="4213" spans="1:12" ht="14.5" customHeight="1" x14ac:dyDescent="0.2">
      <c r="A4213">
        <v>2023</v>
      </c>
      <c r="B4213" t="s">
        <v>207</v>
      </c>
      <c r="C4213" t="s">
        <v>285</v>
      </c>
      <c r="D4213" s="65">
        <v>2920</v>
      </c>
      <c r="E4213" s="33"/>
      <c r="G4213" t="s">
        <v>144</v>
      </c>
      <c r="I4213" t="s">
        <v>96</v>
      </c>
      <c r="J4213" t="s">
        <v>205</v>
      </c>
      <c r="K4213">
        <v>1</v>
      </c>
      <c r="L4213" s="28"/>
    </row>
    <row r="4214" spans="1:12" ht="14.5" customHeight="1" x14ac:dyDescent="0.2">
      <c r="A4214">
        <v>2023</v>
      </c>
      <c r="B4214" t="s">
        <v>207</v>
      </c>
      <c r="C4214" t="s">
        <v>1955</v>
      </c>
      <c r="D4214" s="65">
        <v>470</v>
      </c>
      <c r="E4214" s="33"/>
      <c r="G4214" t="s">
        <v>154</v>
      </c>
      <c r="H4214" t="s">
        <v>194</v>
      </c>
      <c r="I4214" t="s">
        <v>136</v>
      </c>
      <c r="J4214" t="s">
        <v>183</v>
      </c>
      <c r="K4214">
        <v>1</v>
      </c>
      <c r="L4214" s="28" t="s">
        <v>178</v>
      </c>
    </row>
    <row r="4215" spans="1:12" ht="14.5" customHeight="1" x14ac:dyDescent="0.2">
      <c r="A4215">
        <v>2023</v>
      </c>
      <c r="B4215" t="s">
        <v>207</v>
      </c>
      <c r="C4215" t="s">
        <v>1287</v>
      </c>
      <c r="D4215" s="65">
        <v>560</v>
      </c>
      <c r="E4215" s="33"/>
      <c r="G4215" t="s">
        <v>154</v>
      </c>
      <c r="H4215" t="s">
        <v>194</v>
      </c>
      <c r="I4215" t="s">
        <v>20</v>
      </c>
      <c r="J4215" t="s">
        <v>195</v>
      </c>
      <c r="K4215">
        <v>0</v>
      </c>
      <c r="L4215" s="28" t="s">
        <v>178</v>
      </c>
    </row>
    <row r="4216" spans="1:12" ht="14.5" customHeight="1" x14ac:dyDescent="0.2">
      <c r="A4216">
        <v>2023</v>
      </c>
      <c r="B4216" t="s">
        <v>207</v>
      </c>
      <c r="C4216" t="s">
        <v>1772</v>
      </c>
      <c r="D4216" s="65">
        <v>3780</v>
      </c>
      <c r="E4216" s="33"/>
      <c r="G4216" t="s">
        <v>154</v>
      </c>
      <c r="H4216" t="s">
        <v>194</v>
      </c>
      <c r="I4216" t="s">
        <v>51</v>
      </c>
      <c r="J4216" t="s">
        <v>195</v>
      </c>
      <c r="K4216">
        <v>1</v>
      </c>
      <c r="L4216" s="28" t="s">
        <v>178</v>
      </c>
    </row>
    <row r="4217" spans="1:12" ht="14.5" customHeight="1" x14ac:dyDescent="0.2">
      <c r="A4217">
        <v>2023</v>
      </c>
      <c r="B4217" t="s">
        <v>240</v>
      </c>
      <c r="C4217" t="s">
        <v>1029</v>
      </c>
      <c r="D4217" s="65">
        <v>310</v>
      </c>
      <c r="E4217" s="33">
        <v>1</v>
      </c>
      <c r="G4217" t="s">
        <v>144</v>
      </c>
      <c r="H4217" t="s">
        <v>232</v>
      </c>
      <c r="I4217" t="s">
        <v>105</v>
      </c>
      <c r="J4217" t="s">
        <v>214</v>
      </c>
      <c r="K4217">
        <v>1</v>
      </c>
      <c r="L4217" s="28" t="s">
        <v>178</v>
      </c>
    </row>
    <row r="4218" spans="1:12" ht="14.5" customHeight="1" x14ac:dyDescent="0.2">
      <c r="A4218">
        <v>2023</v>
      </c>
      <c r="B4218" t="s">
        <v>240</v>
      </c>
      <c r="C4218" t="s">
        <v>2126</v>
      </c>
      <c r="D4218" s="65">
        <v>270</v>
      </c>
      <c r="E4218" s="33">
        <v>0.45</v>
      </c>
      <c r="F4218" t="s">
        <v>2185</v>
      </c>
      <c r="G4218" t="s">
        <v>149</v>
      </c>
      <c r="I4218" t="s">
        <v>53</v>
      </c>
      <c r="J4218" t="s">
        <v>183</v>
      </c>
      <c r="K4218">
        <v>1</v>
      </c>
      <c r="L4218" s="28" t="s">
        <v>178</v>
      </c>
    </row>
    <row r="4219" spans="1:12" ht="14.5" customHeight="1" x14ac:dyDescent="0.2">
      <c r="A4219">
        <v>2023</v>
      </c>
      <c r="B4219" t="s">
        <v>240</v>
      </c>
      <c r="C4219" t="s">
        <v>2186</v>
      </c>
      <c r="D4219" s="65">
        <v>2040</v>
      </c>
      <c r="E4219" s="33">
        <v>1</v>
      </c>
      <c r="F4219" t="s">
        <v>2187</v>
      </c>
      <c r="G4219" t="s">
        <v>149</v>
      </c>
      <c r="H4219" t="s">
        <v>236</v>
      </c>
      <c r="I4219" t="s">
        <v>18</v>
      </c>
      <c r="J4219" t="s">
        <v>219</v>
      </c>
      <c r="K4219">
        <v>1</v>
      </c>
      <c r="L4219" s="28"/>
    </row>
    <row r="4220" spans="1:12" ht="14.5" customHeight="1" x14ac:dyDescent="0.2">
      <c r="A4220">
        <v>2023</v>
      </c>
      <c r="B4220" t="s">
        <v>240</v>
      </c>
      <c r="C4220" t="s">
        <v>2188</v>
      </c>
      <c r="D4220" s="65">
        <v>120</v>
      </c>
      <c r="E4220" s="33"/>
      <c r="G4220" t="s">
        <v>144</v>
      </c>
      <c r="H4220" t="s">
        <v>232</v>
      </c>
      <c r="I4220" t="s">
        <v>136</v>
      </c>
      <c r="J4220" t="s">
        <v>183</v>
      </c>
      <c r="K4220">
        <v>1</v>
      </c>
      <c r="L4220" s="28" t="s">
        <v>178</v>
      </c>
    </row>
    <row r="4221" spans="1:12" ht="14.5" customHeight="1" x14ac:dyDescent="0.2">
      <c r="A4221">
        <v>2023</v>
      </c>
      <c r="B4221" t="s">
        <v>240</v>
      </c>
      <c r="C4221" t="s">
        <v>2189</v>
      </c>
      <c r="D4221" s="65">
        <v>110</v>
      </c>
      <c r="E4221" s="33">
        <v>1</v>
      </c>
      <c r="G4221" t="s">
        <v>154</v>
      </c>
      <c r="H4221" t="s">
        <v>194</v>
      </c>
      <c r="I4221" t="s">
        <v>51</v>
      </c>
      <c r="J4221" t="s">
        <v>195</v>
      </c>
      <c r="K4221">
        <v>1</v>
      </c>
      <c r="L4221" s="28" t="s">
        <v>178</v>
      </c>
    </row>
    <row r="4222" spans="1:12" ht="14.5" customHeight="1" x14ac:dyDescent="0.2">
      <c r="A4222">
        <v>2023</v>
      </c>
      <c r="B4222" t="s">
        <v>240</v>
      </c>
      <c r="C4222" t="s">
        <v>847</v>
      </c>
      <c r="D4222" s="65">
        <v>240</v>
      </c>
      <c r="E4222" s="33">
        <v>1</v>
      </c>
      <c r="G4222" t="s">
        <v>154</v>
      </c>
      <c r="H4222" t="s">
        <v>194</v>
      </c>
      <c r="I4222" t="s">
        <v>124</v>
      </c>
      <c r="J4222" t="s">
        <v>183</v>
      </c>
      <c r="K4222">
        <v>1</v>
      </c>
      <c r="L4222" s="28" t="s">
        <v>178</v>
      </c>
    </row>
    <row r="4223" spans="1:12" ht="14.5" customHeight="1" x14ac:dyDescent="0.2">
      <c r="A4223">
        <v>2023</v>
      </c>
      <c r="B4223" t="s">
        <v>240</v>
      </c>
      <c r="C4223" t="s">
        <v>397</v>
      </c>
      <c r="D4223" s="65">
        <v>230</v>
      </c>
      <c r="E4223" s="33">
        <v>0.49</v>
      </c>
      <c r="F4223" t="s">
        <v>2190</v>
      </c>
      <c r="G4223" t="s">
        <v>151</v>
      </c>
      <c r="H4223" t="s">
        <v>224</v>
      </c>
      <c r="I4223" t="s">
        <v>108</v>
      </c>
      <c r="J4223" t="s">
        <v>183</v>
      </c>
      <c r="K4223">
        <v>1</v>
      </c>
      <c r="L4223" s="28" t="s">
        <v>178</v>
      </c>
    </row>
    <row r="4224" spans="1:12" ht="14.5" customHeight="1" x14ac:dyDescent="0.2">
      <c r="A4224">
        <v>2023</v>
      </c>
      <c r="B4224" t="s">
        <v>240</v>
      </c>
      <c r="C4224" t="s">
        <v>1990</v>
      </c>
      <c r="D4224" s="65">
        <v>690</v>
      </c>
      <c r="E4224" s="33">
        <v>1</v>
      </c>
      <c r="G4224" t="s">
        <v>144</v>
      </c>
      <c r="H4224" t="s">
        <v>232</v>
      </c>
      <c r="I4224" t="s">
        <v>72</v>
      </c>
      <c r="J4224" t="s">
        <v>183</v>
      </c>
      <c r="K4224">
        <v>1</v>
      </c>
      <c r="L4224" s="28" t="s">
        <v>178</v>
      </c>
    </row>
    <row r="4225" spans="1:12" ht="14.5" customHeight="1" x14ac:dyDescent="0.2">
      <c r="A4225">
        <v>2023</v>
      </c>
      <c r="B4225" t="s">
        <v>240</v>
      </c>
      <c r="C4225" t="s">
        <v>189</v>
      </c>
      <c r="D4225" s="65">
        <v>190</v>
      </c>
      <c r="E4225" s="33">
        <v>0.02</v>
      </c>
      <c r="G4225" t="s">
        <v>144</v>
      </c>
      <c r="H4225" t="s">
        <v>299</v>
      </c>
      <c r="I4225" t="s">
        <v>100</v>
      </c>
      <c r="J4225" t="s">
        <v>214</v>
      </c>
      <c r="K4225">
        <v>1</v>
      </c>
      <c r="L4225" s="28" t="s">
        <v>178</v>
      </c>
    </row>
    <row r="4226" spans="1:12" ht="14.5" customHeight="1" x14ac:dyDescent="0.2">
      <c r="A4226">
        <v>2023</v>
      </c>
      <c r="B4226" t="s">
        <v>240</v>
      </c>
      <c r="C4226" t="s">
        <v>454</v>
      </c>
      <c r="D4226" s="65">
        <v>100</v>
      </c>
      <c r="E4226" s="33">
        <v>0.08</v>
      </c>
      <c r="F4226" t="s">
        <v>1904</v>
      </c>
      <c r="G4226" t="s">
        <v>146</v>
      </c>
      <c r="I4226" t="s">
        <v>119</v>
      </c>
      <c r="J4226" t="s">
        <v>195</v>
      </c>
      <c r="K4226">
        <v>0</v>
      </c>
      <c r="L4226" s="28"/>
    </row>
    <row r="4227" spans="1:12" ht="14.5" customHeight="1" x14ac:dyDescent="0.2">
      <c r="A4227">
        <v>2023</v>
      </c>
      <c r="B4227" t="s">
        <v>240</v>
      </c>
      <c r="C4227" t="s">
        <v>1431</v>
      </c>
      <c r="D4227" s="65">
        <v>330</v>
      </c>
      <c r="E4227" s="33"/>
      <c r="G4227" t="s">
        <v>150</v>
      </c>
      <c r="H4227" t="s">
        <v>556</v>
      </c>
      <c r="I4227" t="s">
        <v>136</v>
      </c>
      <c r="J4227" t="s">
        <v>183</v>
      </c>
      <c r="K4227">
        <v>1</v>
      </c>
      <c r="L4227" s="28"/>
    </row>
    <row r="4228" spans="1:12" ht="14.5" customHeight="1" x14ac:dyDescent="0.2">
      <c r="A4228">
        <v>2023</v>
      </c>
      <c r="B4228" t="s">
        <v>240</v>
      </c>
      <c r="C4228" t="s">
        <v>1964</v>
      </c>
      <c r="D4228" s="65">
        <v>270</v>
      </c>
      <c r="E4228" s="33"/>
      <c r="G4228" t="s">
        <v>143</v>
      </c>
      <c r="I4228" t="s">
        <v>113</v>
      </c>
      <c r="J4228" t="s">
        <v>183</v>
      </c>
      <c r="K4228">
        <v>0</v>
      </c>
      <c r="L4228" s="28"/>
    </row>
    <row r="4229" spans="1:12" ht="14.5" customHeight="1" x14ac:dyDescent="0.2">
      <c r="A4229">
        <v>2023</v>
      </c>
      <c r="B4229" t="s">
        <v>240</v>
      </c>
      <c r="C4229" t="s">
        <v>2191</v>
      </c>
      <c r="D4229" s="65">
        <v>160</v>
      </c>
      <c r="E4229" s="33">
        <v>1</v>
      </c>
      <c r="F4229" t="s">
        <v>2192</v>
      </c>
      <c r="G4229" t="s">
        <v>147</v>
      </c>
      <c r="I4229" t="s">
        <v>114</v>
      </c>
      <c r="J4229" t="s">
        <v>195</v>
      </c>
      <c r="K4229">
        <v>0</v>
      </c>
      <c r="L4229" s="28"/>
    </row>
    <row r="4230" spans="1:12" ht="14.5" customHeight="1" x14ac:dyDescent="0.2">
      <c r="A4230">
        <v>2023</v>
      </c>
      <c r="B4230" t="s">
        <v>240</v>
      </c>
      <c r="C4230" t="s">
        <v>1287</v>
      </c>
      <c r="D4230" s="65">
        <v>810</v>
      </c>
      <c r="E4230" s="33"/>
      <c r="G4230" t="s">
        <v>154</v>
      </c>
      <c r="H4230" t="s">
        <v>194</v>
      </c>
      <c r="I4230" t="s">
        <v>131</v>
      </c>
      <c r="J4230" t="s">
        <v>131</v>
      </c>
      <c r="K4230">
        <v>0</v>
      </c>
      <c r="L4230" s="28" t="s">
        <v>178</v>
      </c>
    </row>
    <row r="4231" spans="1:12" ht="14.5" customHeight="1" x14ac:dyDescent="0.2">
      <c r="A4231">
        <v>2023</v>
      </c>
      <c r="B4231" t="s">
        <v>240</v>
      </c>
      <c r="C4231" t="s">
        <v>277</v>
      </c>
      <c r="D4231" s="65">
        <v>150</v>
      </c>
      <c r="E4231" s="33"/>
      <c r="G4231" t="s">
        <v>144</v>
      </c>
      <c r="H4231" t="s">
        <v>232</v>
      </c>
      <c r="I4231" t="s">
        <v>134</v>
      </c>
      <c r="J4231" t="s">
        <v>201</v>
      </c>
      <c r="K4231">
        <v>1</v>
      </c>
      <c r="L4231" s="28" t="s">
        <v>178</v>
      </c>
    </row>
    <row r="4232" spans="1:12" ht="14.5" customHeight="1" x14ac:dyDescent="0.2">
      <c r="A4232">
        <v>2023</v>
      </c>
      <c r="B4232" t="s">
        <v>240</v>
      </c>
      <c r="C4232" t="s">
        <v>1783</v>
      </c>
      <c r="D4232" s="65">
        <v>180</v>
      </c>
      <c r="E4232" s="33"/>
      <c r="G4232" t="s">
        <v>154</v>
      </c>
      <c r="H4232" t="s">
        <v>194</v>
      </c>
      <c r="I4232" t="s">
        <v>136</v>
      </c>
      <c r="J4232" t="s">
        <v>183</v>
      </c>
      <c r="K4232">
        <v>1</v>
      </c>
      <c r="L4232" s="28"/>
    </row>
    <row r="4233" spans="1:12" ht="14.5" customHeight="1" x14ac:dyDescent="0.2">
      <c r="A4233">
        <v>2023</v>
      </c>
      <c r="B4233" t="s">
        <v>240</v>
      </c>
      <c r="C4233" t="s">
        <v>847</v>
      </c>
      <c r="D4233" s="65">
        <v>280</v>
      </c>
      <c r="E4233" s="33"/>
      <c r="F4233" t="s">
        <v>2193</v>
      </c>
      <c r="G4233" t="s">
        <v>154</v>
      </c>
      <c r="H4233" t="s">
        <v>194</v>
      </c>
      <c r="I4233" t="s">
        <v>19</v>
      </c>
      <c r="J4233" t="s">
        <v>205</v>
      </c>
      <c r="K4233">
        <v>0</v>
      </c>
      <c r="L4233" s="28" t="s">
        <v>178</v>
      </c>
    </row>
    <row r="4234" spans="1:12" ht="14.5" customHeight="1" x14ac:dyDescent="0.2">
      <c r="A4234">
        <v>2023</v>
      </c>
      <c r="B4234" t="s">
        <v>212</v>
      </c>
      <c r="C4234" t="s">
        <v>199</v>
      </c>
      <c r="D4234" s="65">
        <v>150</v>
      </c>
      <c r="E4234" s="33"/>
      <c r="G4234" t="s">
        <v>144</v>
      </c>
      <c r="H4234" t="s">
        <v>187</v>
      </c>
      <c r="I4234" t="s">
        <v>4</v>
      </c>
      <c r="J4234" t="s">
        <v>201</v>
      </c>
      <c r="K4234">
        <v>1</v>
      </c>
      <c r="L4234" s="28" t="s">
        <v>178</v>
      </c>
    </row>
    <row r="4235" spans="1:12" ht="14.5" customHeight="1" x14ac:dyDescent="0.2">
      <c r="A4235">
        <v>2023</v>
      </c>
      <c r="B4235" t="s">
        <v>212</v>
      </c>
      <c r="C4235" t="s">
        <v>1180</v>
      </c>
      <c r="D4235" s="65">
        <v>170</v>
      </c>
      <c r="E4235" s="33">
        <v>0.51</v>
      </c>
      <c r="G4235" t="s">
        <v>144</v>
      </c>
      <c r="H4235" t="s">
        <v>232</v>
      </c>
      <c r="I4235" t="s">
        <v>106</v>
      </c>
      <c r="J4235" t="s">
        <v>195</v>
      </c>
      <c r="K4235">
        <v>1</v>
      </c>
      <c r="L4235" s="28"/>
    </row>
    <row r="4236" spans="1:12" ht="14.5" customHeight="1" x14ac:dyDescent="0.2">
      <c r="A4236">
        <v>2023</v>
      </c>
      <c r="B4236" t="s">
        <v>212</v>
      </c>
      <c r="C4236" t="s">
        <v>2096</v>
      </c>
      <c r="D4236" s="65">
        <v>180</v>
      </c>
      <c r="E4236" s="33"/>
      <c r="G4236" t="s">
        <v>154</v>
      </c>
      <c r="H4236" t="s">
        <v>194</v>
      </c>
      <c r="I4236" t="s">
        <v>131</v>
      </c>
      <c r="J4236" t="s">
        <v>131</v>
      </c>
      <c r="K4236">
        <v>0</v>
      </c>
      <c r="L4236" s="28" t="s">
        <v>178</v>
      </c>
    </row>
    <row r="4237" spans="1:12" ht="14.5" customHeight="1" x14ac:dyDescent="0.2">
      <c r="A4237">
        <v>2023</v>
      </c>
      <c r="B4237" t="s">
        <v>212</v>
      </c>
      <c r="C4237" t="s">
        <v>577</v>
      </c>
      <c r="D4237" s="65">
        <v>780</v>
      </c>
      <c r="E4237" s="33"/>
      <c r="F4237" t="s">
        <v>582</v>
      </c>
      <c r="G4237" t="s">
        <v>150</v>
      </c>
      <c r="H4237" t="s">
        <v>217</v>
      </c>
      <c r="I4237" t="s">
        <v>131</v>
      </c>
      <c r="J4237" t="s">
        <v>131</v>
      </c>
      <c r="K4237">
        <v>0</v>
      </c>
      <c r="L4237" s="28"/>
    </row>
    <row r="4238" spans="1:12" ht="14.5" customHeight="1" x14ac:dyDescent="0.2">
      <c r="A4238">
        <v>2023</v>
      </c>
      <c r="B4238" t="s">
        <v>212</v>
      </c>
      <c r="C4238" t="s">
        <v>822</v>
      </c>
      <c r="D4238" s="65">
        <v>630</v>
      </c>
      <c r="E4238" s="33"/>
      <c r="F4238" t="s">
        <v>1243</v>
      </c>
      <c r="G4238" t="s">
        <v>150</v>
      </c>
      <c r="H4238" t="s">
        <v>556</v>
      </c>
      <c r="I4238" t="s">
        <v>108</v>
      </c>
      <c r="J4238" t="s">
        <v>183</v>
      </c>
      <c r="K4238">
        <v>1</v>
      </c>
      <c r="L4238" s="28"/>
    </row>
    <row r="4239" spans="1:12" s="17" customFormat="1" ht="14.5" customHeight="1" x14ac:dyDescent="0.2">
      <c r="A4239">
        <v>2023</v>
      </c>
      <c r="B4239" t="s">
        <v>212</v>
      </c>
      <c r="C4239" t="s">
        <v>2047</v>
      </c>
      <c r="D4239" s="65">
        <v>840</v>
      </c>
      <c r="E4239" s="33">
        <v>0.75</v>
      </c>
      <c r="F4239" t="s">
        <v>1553</v>
      </c>
      <c r="G4239" t="s">
        <v>150</v>
      </c>
      <c r="H4239" t="s">
        <v>556</v>
      </c>
      <c r="I4239" t="s">
        <v>53</v>
      </c>
      <c r="J4239" t="s">
        <v>183</v>
      </c>
      <c r="K4239">
        <v>1</v>
      </c>
      <c r="L4239" s="28"/>
    </row>
    <row r="4240" spans="1:12" ht="14.5" customHeight="1" x14ac:dyDescent="0.2">
      <c r="A4240">
        <v>2023</v>
      </c>
      <c r="B4240" t="s">
        <v>212</v>
      </c>
      <c r="C4240" t="s">
        <v>1057</v>
      </c>
      <c r="D4240" s="65">
        <v>420</v>
      </c>
      <c r="E4240" s="33"/>
      <c r="G4240" t="s">
        <v>144</v>
      </c>
      <c r="H4240" t="s">
        <v>232</v>
      </c>
      <c r="I4240" t="s">
        <v>136</v>
      </c>
      <c r="J4240" t="s">
        <v>183</v>
      </c>
      <c r="K4240">
        <v>1</v>
      </c>
      <c r="L4240" s="28"/>
    </row>
    <row r="4241" spans="1:12" ht="14.5" customHeight="1" x14ac:dyDescent="0.2">
      <c r="A4241">
        <v>2023</v>
      </c>
      <c r="B4241" t="s">
        <v>212</v>
      </c>
      <c r="C4241" t="s">
        <v>943</v>
      </c>
      <c r="D4241" s="65">
        <v>130</v>
      </c>
      <c r="E4241" s="33"/>
      <c r="G4241" t="s">
        <v>144</v>
      </c>
      <c r="H4241" t="s">
        <v>232</v>
      </c>
      <c r="I4241" t="s">
        <v>19</v>
      </c>
      <c r="J4241" t="s">
        <v>205</v>
      </c>
      <c r="K4241">
        <v>0</v>
      </c>
      <c r="L4241" s="28" t="s">
        <v>178</v>
      </c>
    </row>
    <row r="4242" spans="1:12" ht="14.5" customHeight="1" x14ac:dyDescent="0.2">
      <c r="A4242">
        <v>2023</v>
      </c>
      <c r="B4242" t="s">
        <v>212</v>
      </c>
      <c r="C4242" t="s">
        <v>1772</v>
      </c>
      <c r="D4242" s="65">
        <v>470</v>
      </c>
      <c r="E4242" s="33"/>
      <c r="F4242" t="s">
        <v>2194</v>
      </c>
      <c r="G4242" t="s">
        <v>149</v>
      </c>
      <c r="I4242" t="s">
        <v>53</v>
      </c>
      <c r="J4242" t="s">
        <v>183</v>
      </c>
      <c r="K4242">
        <v>1</v>
      </c>
      <c r="L4242" s="28"/>
    </row>
    <row r="4243" spans="1:12" ht="14.5" customHeight="1" x14ac:dyDescent="0.2">
      <c r="A4243">
        <v>2023</v>
      </c>
      <c r="B4243" t="s">
        <v>212</v>
      </c>
      <c r="C4243" t="s">
        <v>559</v>
      </c>
      <c r="D4243" s="65">
        <v>200</v>
      </c>
      <c r="E4243" s="33"/>
      <c r="G4243" t="s">
        <v>144</v>
      </c>
      <c r="H4243" t="s">
        <v>232</v>
      </c>
      <c r="I4243" t="s">
        <v>106</v>
      </c>
      <c r="J4243" t="s">
        <v>195</v>
      </c>
      <c r="K4243">
        <v>1</v>
      </c>
      <c r="L4243" s="28" t="s">
        <v>178</v>
      </c>
    </row>
    <row r="4244" spans="1:12" ht="14.5" customHeight="1" x14ac:dyDescent="0.2">
      <c r="A4244">
        <v>2023</v>
      </c>
      <c r="B4244" t="s">
        <v>212</v>
      </c>
      <c r="C4244" t="s">
        <v>875</v>
      </c>
      <c r="D4244" s="65">
        <v>400</v>
      </c>
      <c r="E4244" s="33"/>
      <c r="G4244" t="s">
        <v>144</v>
      </c>
      <c r="H4244" t="s">
        <v>232</v>
      </c>
      <c r="I4244" t="s">
        <v>134</v>
      </c>
      <c r="J4244" t="s">
        <v>201</v>
      </c>
      <c r="K4244">
        <v>1</v>
      </c>
      <c r="L4244" s="28" t="s">
        <v>178</v>
      </c>
    </row>
    <row r="4245" spans="1:12" ht="14.5" customHeight="1" x14ac:dyDescent="0.2">
      <c r="A4245">
        <v>2023</v>
      </c>
      <c r="B4245" t="s">
        <v>212</v>
      </c>
      <c r="C4245" t="s">
        <v>1672</v>
      </c>
      <c r="D4245" s="65">
        <v>140</v>
      </c>
      <c r="E4245" s="33"/>
      <c r="G4245" t="s">
        <v>147</v>
      </c>
      <c r="I4245" t="s">
        <v>108</v>
      </c>
      <c r="J4245" t="s">
        <v>183</v>
      </c>
      <c r="K4245">
        <v>1</v>
      </c>
      <c r="L4245" s="28" t="s">
        <v>178</v>
      </c>
    </row>
    <row r="4246" spans="1:12" ht="14.5" customHeight="1" x14ac:dyDescent="0.2">
      <c r="A4246">
        <v>2023</v>
      </c>
      <c r="B4246" t="s">
        <v>212</v>
      </c>
      <c r="C4246" t="s">
        <v>559</v>
      </c>
      <c r="D4246" s="65">
        <v>390</v>
      </c>
      <c r="E4246" s="33"/>
      <c r="G4246" t="s">
        <v>149</v>
      </c>
      <c r="I4246" t="s">
        <v>106</v>
      </c>
      <c r="J4246" t="s">
        <v>195</v>
      </c>
      <c r="K4246">
        <v>1</v>
      </c>
      <c r="L4246" s="28"/>
    </row>
    <row r="4247" spans="1:12" ht="14.5" customHeight="1" x14ac:dyDescent="0.2">
      <c r="A4247">
        <v>2023</v>
      </c>
      <c r="B4247" t="s">
        <v>212</v>
      </c>
      <c r="C4247" t="s">
        <v>405</v>
      </c>
      <c r="D4247" s="65">
        <v>440</v>
      </c>
      <c r="E4247" s="33">
        <v>0.5</v>
      </c>
      <c r="F4247" t="s">
        <v>2195</v>
      </c>
      <c r="G4247" t="s">
        <v>149</v>
      </c>
      <c r="H4247" t="s">
        <v>182</v>
      </c>
      <c r="I4247" t="s">
        <v>105</v>
      </c>
      <c r="J4247" t="s">
        <v>214</v>
      </c>
      <c r="K4247">
        <v>1</v>
      </c>
      <c r="L4247" s="28" t="s">
        <v>178</v>
      </c>
    </row>
    <row r="4248" spans="1:12" ht="14.5" customHeight="1" x14ac:dyDescent="0.2">
      <c r="A4248">
        <v>2023</v>
      </c>
      <c r="B4248" t="s">
        <v>212</v>
      </c>
      <c r="C4248" t="s">
        <v>1061</v>
      </c>
      <c r="D4248" s="65">
        <v>620</v>
      </c>
      <c r="E4248" s="33">
        <v>1</v>
      </c>
      <c r="G4248" t="s">
        <v>154</v>
      </c>
      <c r="H4248" t="s">
        <v>194</v>
      </c>
      <c r="I4248" t="s">
        <v>19</v>
      </c>
      <c r="J4248" t="s">
        <v>205</v>
      </c>
      <c r="K4248">
        <v>0</v>
      </c>
      <c r="L4248" s="28" t="s">
        <v>178</v>
      </c>
    </row>
    <row r="4249" spans="1:12" ht="14.5" customHeight="1" x14ac:dyDescent="0.2">
      <c r="A4249">
        <v>2023</v>
      </c>
      <c r="B4249" t="s">
        <v>212</v>
      </c>
      <c r="C4249" t="s">
        <v>1789</v>
      </c>
      <c r="D4249" s="65">
        <v>280</v>
      </c>
      <c r="E4249" s="33"/>
      <c r="G4249" t="s">
        <v>150</v>
      </c>
      <c r="H4249" t="s">
        <v>556</v>
      </c>
      <c r="I4249" t="s">
        <v>136</v>
      </c>
      <c r="J4249" t="s">
        <v>183</v>
      </c>
      <c r="K4249">
        <v>1</v>
      </c>
      <c r="L4249" s="28"/>
    </row>
    <row r="4250" spans="1:12" ht="14.5" customHeight="1" x14ac:dyDescent="0.2">
      <c r="A4250">
        <v>2023</v>
      </c>
      <c r="B4250" t="s">
        <v>212</v>
      </c>
      <c r="C4250" t="s">
        <v>2196</v>
      </c>
      <c r="D4250" s="65">
        <v>420</v>
      </c>
      <c r="E4250" s="33">
        <v>1</v>
      </c>
      <c r="G4250" t="s">
        <v>144</v>
      </c>
      <c r="H4250" t="s">
        <v>232</v>
      </c>
      <c r="I4250" t="s">
        <v>72</v>
      </c>
      <c r="J4250" t="s">
        <v>183</v>
      </c>
      <c r="K4250">
        <v>1</v>
      </c>
      <c r="L4250" s="28" t="s">
        <v>178</v>
      </c>
    </row>
    <row r="4251" spans="1:12" ht="14.5" customHeight="1" x14ac:dyDescent="0.2">
      <c r="A4251">
        <v>2023</v>
      </c>
      <c r="B4251" t="s">
        <v>212</v>
      </c>
      <c r="C4251" t="s">
        <v>1517</v>
      </c>
      <c r="D4251" s="65">
        <v>170</v>
      </c>
      <c r="E4251" s="33">
        <v>0.25</v>
      </c>
      <c r="F4251" t="s">
        <v>1518</v>
      </c>
      <c r="G4251" t="s">
        <v>146</v>
      </c>
      <c r="I4251" t="s">
        <v>72</v>
      </c>
      <c r="J4251" t="s">
        <v>183</v>
      </c>
      <c r="K4251">
        <v>1</v>
      </c>
      <c r="L4251" s="28"/>
    </row>
    <row r="4252" spans="1:12" ht="14.5" customHeight="1" x14ac:dyDescent="0.2">
      <c r="A4252">
        <v>2023</v>
      </c>
      <c r="B4252" t="s">
        <v>212</v>
      </c>
      <c r="C4252" t="s">
        <v>538</v>
      </c>
      <c r="D4252" s="65">
        <v>840</v>
      </c>
      <c r="E4252" s="33">
        <v>1</v>
      </c>
      <c r="G4252" t="s">
        <v>149</v>
      </c>
      <c r="H4252" t="s">
        <v>238</v>
      </c>
      <c r="I4252" t="s">
        <v>53</v>
      </c>
      <c r="J4252" t="s">
        <v>183</v>
      </c>
      <c r="K4252">
        <v>1</v>
      </c>
      <c r="L4252" s="28"/>
    </row>
    <row r="4253" spans="1:12" ht="14.5" customHeight="1" x14ac:dyDescent="0.2">
      <c r="A4253">
        <v>2023</v>
      </c>
      <c r="B4253" t="s">
        <v>212</v>
      </c>
      <c r="C4253" t="s">
        <v>1061</v>
      </c>
      <c r="D4253" s="65">
        <v>140</v>
      </c>
      <c r="E4253" s="33"/>
      <c r="G4253" t="s">
        <v>150</v>
      </c>
      <c r="H4253" t="s">
        <v>556</v>
      </c>
      <c r="I4253" t="s">
        <v>136</v>
      </c>
      <c r="J4253" t="s">
        <v>183</v>
      </c>
      <c r="K4253">
        <v>1</v>
      </c>
      <c r="L4253" s="28"/>
    </row>
    <row r="4254" spans="1:12" ht="14.5" customHeight="1" x14ac:dyDescent="0.2">
      <c r="A4254">
        <v>2023</v>
      </c>
      <c r="B4254" t="s">
        <v>212</v>
      </c>
      <c r="C4254" t="s">
        <v>199</v>
      </c>
      <c r="D4254" s="65">
        <v>100</v>
      </c>
      <c r="E4254" s="33"/>
      <c r="G4254" t="s">
        <v>144</v>
      </c>
      <c r="H4254" t="s">
        <v>187</v>
      </c>
      <c r="I4254" t="s">
        <v>55</v>
      </c>
      <c r="J4254" t="s">
        <v>214</v>
      </c>
      <c r="K4254">
        <v>1</v>
      </c>
      <c r="L4254" s="28"/>
    </row>
    <row r="4255" spans="1:12" ht="14.5" customHeight="1" x14ac:dyDescent="0.2">
      <c r="A4255">
        <v>2023</v>
      </c>
      <c r="B4255" t="s">
        <v>212</v>
      </c>
      <c r="C4255" t="s">
        <v>2197</v>
      </c>
      <c r="D4255" s="65">
        <v>960</v>
      </c>
      <c r="E4255" s="33">
        <v>0.51</v>
      </c>
      <c r="F4255" t="s">
        <v>2037</v>
      </c>
      <c r="G4255" t="s">
        <v>144</v>
      </c>
      <c r="H4255" t="s">
        <v>197</v>
      </c>
      <c r="I4255" t="s">
        <v>67</v>
      </c>
      <c r="J4255" t="s">
        <v>183</v>
      </c>
      <c r="K4255">
        <v>1</v>
      </c>
      <c r="L4255" s="28" t="s">
        <v>178</v>
      </c>
    </row>
    <row r="4256" spans="1:12" ht="14.5" customHeight="1" x14ac:dyDescent="0.2">
      <c r="A4256">
        <v>2023</v>
      </c>
      <c r="B4256" t="s">
        <v>212</v>
      </c>
      <c r="C4256" t="s">
        <v>263</v>
      </c>
      <c r="D4256" s="65">
        <v>270</v>
      </c>
      <c r="E4256" s="33">
        <v>0.05</v>
      </c>
      <c r="F4256" t="s">
        <v>2198</v>
      </c>
      <c r="G4256" t="s">
        <v>146</v>
      </c>
      <c r="I4256" t="s">
        <v>113</v>
      </c>
      <c r="J4256" t="s">
        <v>183</v>
      </c>
      <c r="K4256">
        <v>0</v>
      </c>
      <c r="L4256" s="28"/>
    </row>
    <row r="4257" spans="1:12" ht="14.5" customHeight="1" x14ac:dyDescent="0.2">
      <c r="A4257">
        <v>2023</v>
      </c>
      <c r="B4257" t="s">
        <v>212</v>
      </c>
      <c r="C4257" t="s">
        <v>1829</v>
      </c>
      <c r="D4257" s="65">
        <v>310</v>
      </c>
      <c r="E4257" s="33"/>
      <c r="F4257" t="s">
        <v>2199</v>
      </c>
      <c r="G4257" t="s">
        <v>144</v>
      </c>
      <c r="H4257" t="s">
        <v>232</v>
      </c>
      <c r="I4257" t="s">
        <v>113</v>
      </c>
      <c r="J4257" t="s">
        <v>183</v>
      </c>
      <c r="K4257">
        <v>0</v>
      </c>
      <c r="L4257" s="28"/>
    </row>
    <row r="4258" spans="1:12" ht="14.5" customHeight="1" x14ac:dyDescent="0.2">
      <c r="A4258">
        <v>2023</v>
      </c>
      <c r="B4258" t="s">
        <v>212</v>
      </c>
      <c r="C4258" t="s">
        <v>1505</v>
      </c>
      <c r="D4258" s="65">
        <v>280</v>
      </c>
      <c r="E4258" s="33"/>
      <c r="G4258" t="s">
        <v>154</v>
      </c>
      <c r="H4258" t="s">
        <v>194</v>
      </c>
      <c r="I4258" t="s">
        <v>53</v>
      </c>
      <c r="J4258" t="s">
        <v>183</v>
      </c>
      <c r="K4258">
        <v>1</v>
      </c>
      <c r="L4258" s="28" t="s">
        <v>178</v>
      </c>
    </row>
    <row r="4259" spans="1:12" ht="14.5" customHeight="1" x14ac:dyDescent="0.2">
      <c r="A4259">
        <v>2023</v>
      </c>
      <c r="B4259" t="s">
        <v>172</v>
      </c>
      <c r="C4259" t="s">
        <v>1093</v>
      </c>
      <c r="D4259" s="22">
        <v>110</v>
      </c>
      <c r="G4259" t="s">
        <v>154</v>
      </c>
      <c r="H4259" t="s">
        <v>194</v>
      </c>
      <c r="I4259" t="s">
        <v>23</v>
      </c>
      <c r="J4259" t="s">
        <v>183</v>
      </c>
      <c r="K4259">
        <v>1</v>
      </c>
    </row>
    <row r="4260" spans="1:12" ht="14.5" customHeight="1" x14ac:dyDescent="0.2">
      <c r="A4260">
        <v>2023</v>
      </c>
      <c r="B4260" t="s">
        <v>172</v>
      </c>
      <c r="C4260" t="s">
        <v>3071</v>
      </c>
      <c r="D4260" s="22">
        <v>500</v>
      </c>
      <c r="F4260" t="s">
        <v>3072</v>
      </c>
      <c r="G4260" t="s">
        <v>144</v>
      </c>
      <c r="H4260" t="s">
        <v>299</v>
      </c>
      <c r="I4260" t="s">
        <v>28</v>
      </c>
      <c r="J4260" t="s">
        <v>205</v>
      </c>
      <c r="K4260">
        <v>0</v>
      </c>
    </row>
    <row r="4261" spans="1:12" ht="14.5" customHeight="1" x14ac:dyDescent="0.2">
      <c r="A4261">
        <v>2023</v>
      </c>
      <c r="B4261" t="s">
        <v>172</v>
      </c>
      <c r="C4261" t="s">
        <v>189</v>
      </c>
      <c r="D4261" s="22">
        <v>1000</v>
      </c>
      <c r="F4261" t="s">
        <v>3073</v>
      </c>
      <c r="G4261" t="s">
        <v>144</v>
      </c>
      <c r="H4261" t="s">
        <v>187</v>
      </c>
      <c r="I4261" t="s">
        <v>62</v>
      </c>
      <c r="J4261" t="s">
        <v>214</v>
      </c>
      <c r="K4261">
        <v>1</v>
      </c>
    </row>
    <row r="4262" spans="1:12" ht="14.5" customHeight="1" x14ac:dyDescent="0.2">
      <c r="A4262">
        <v>2023</v>
      </c>
      <c r="B4262" t="s">
        <v>172</v>
      </c>
      <c r="C4262" t="s">
        <v>479</v>
      </c>
      <c r="D4262" s="22">
        <v>140</v>
      </c>
      <c r="G4262" t="s">
        <v>154</v>
      </c>
      <c r="H4262" t="s">
        <v>194</v>
      </c>
      <c r="I4262" t="s">
        <v>84</v>
      </c>
      <c r="J4262" t="s">
        <v>201</v>
      </c>
      <c r="K4262">
        <v>1</v>
      </c>
    </row>
    <row r="4263" spans="1:12" ht="14.5" customHeight="1" x14ac:dyDescent="0.2">
      <c r="A4263">
        <v>2023</v>
      </c>
      <c r="B4263" t="s">
        <v>172</v>
      </c>
      <c r="C4263" t="s">
        <v>397</v>
      </c>
      <c r="D4263" s="22">
        <v>360</v>
      </c>
      <c r="G4263" t="s">
        <v>151</v>
      </c>
      <c r="H4263" t="s">
        <v>279</v>
      </c>
      <c r="I4263" t="s">
        <v>108</v>
      </c>
      <c r="J4263" t="s">
        <v>183</v>
      </c>
      <c r="K4263">
        <v>1</v>
      </c>
    </row>
    <row r="4264" spans="1:12" ht="14.5" customHeight="1" x14ac:dyDescent="0.2">
      <c r="A4264">
        <v>2023</v>
      </c>
      <c r="B4264" t="s">
        <v>172</v>
      </c>
      <c r="C4264" t="s">
        <v>449</v>
      </c>
      <c r="D4264" s="22">
        <v>2210</v>
      </c>
      <c r="G4264" t="s">
        <v>154</v>
      </c>
      <c r="H4264" t="s">
        <v>529</v>
      </c>
      <c r="I4264" t="s">
        <v>123</v>
      </c>
      <c r="J4264" t="s">
        <v>219</v>
      </c>
      <c r="K4264">
        <v>1</v>
      </c>
    </row>
    <row r="4265" spans="1:12" ht="14.5" customHeight="1" x14ac:dyDescent="0.2">
      <c r="A4265">
        <v>2023</v>
      </c>
      <c r="B4265" t="s">
        <v>172</v>
      </c>
      <c r="C4265" t="s">
        <v>449</v>
      </c>
      <c r="D4265" s="22">
        <v>1590</v>
      </c>
      <c r="G4265" t="s">
        <v>154</v>
      </c>
      <c r="H4265" t="s">
        <v>529</v>
      </c>
      <c r="I4265" t="s">
        <v>28</v>
      </c>
      <c r="J4265" t="s">
        <v>205</v>
      </c>
      <c r="K4265">
        <v>0</v>
      </c>
    </row>
    <row r="4266" spans="1:12" ht="14.5" customHeight="1" x14ac:dyDescent="0.2">
      <c r="A4266">
        <v>2023</v>
      </c>
      <c r="B4266" t="s">
        <v>172</v>
      </c>
      <c r="C4266" t="s">
        <v>1035</v>
      </c>
      <c r="D4266" s="22">
        <v>350</v>
      </c>
      <c r="G4266" t="s">
        <v>155</v>
      </c>
      <c r="I4266" t="s">
        <v>105</v>
      </c>
      <c r="J4266" t="s">
        <v>214</v>
      </c>
      <c r="K4266">
        <v>1</v>
      </c>
    </row>
    <row r="4267" spans="1:12" ht="14.5" customHeight="1" x14ac:dyDescent="0.2">
      <c r="A4267">
        <v>2023</v>
      </c>
      <c r="B4267" t="s">
        <v>172</v>
      </c>
      <c r="C4267" t="s">
        <v>307</v>
      </c>
      <c r="D4267" s="22">
        <v>400</v>
      </c>
      <c r="G4267" t="s">
        <v>144</v>
      </c>
      <c r="I4267" t="s">
        <v>105</v>
      </c>
      <c r="J4267" t="s">
        <v>214</v>
      </c>
      <c r="K4267">
        <v>1</v>
      </c>
    </row>
    <row r="4268" spans="1:12" ht="14.5" customHeight="1" x14ac:dyDescent="0.2">
      <c r="A4268">
        <v>2023</v>
      </c>
      <c r="B4268" t="s">
        <v>172</v>
      </c>
      <c r="C4268" t="s">
        <v>479</v>
      </c>
      <c r="D4268" s="22">
        <v>190</v>
      </c>
      <c r="E4268" s="16"/>
      <c r="G4268" t="s">
        <v>154</v>
      </c>
      <c r="H4268" t="s">
        <v>194</v>
      </c>
      <c r="I4268" t="s">
        <v>23</v>
      </c>
      <c r="J4268" t="s">
        <v>183</v>
      </c>
      <c r="K4268">
        <v>1</v>
      </c>
    </row>
    <row r="4269" spans="1:12" ht="14.5" customHeight="1" x14ac:dyDescent="0.2">
      <c r="A4269">
        <v>2023</v>
      </c>
      <c r="B4269" t="s">
        <v>172</v>
      </c>
      <c r="C4269" t="s">
        <v>341</v>
      </c>
      <c r="D4269" s="22">
        <v>180</v>
      </c>
      <c r="E4269" s="16"/>
      <c r="G4269" t="s">
        <v>154</v>
      </c>
      <c r="H4269" t="s">
        <v>194</v>
      </c>
      <c r="I4269" t="s">
        <v>50</v>
      </c>
      <c r="J4269" t="s">
        <v>205</v>
      </c>
      <c r="K4269">
        <v>1</v>
      </c>
    </row>
    <row r="4270" spans="1:12" ht="14.5" customHeight="1" x14ac:dyDescent="0.2">
      <c r="A4270">
        <v>2023</v>
      </c>
      <c r="B4270" t="s">
        <v>172</v>
      </c>
      <c r="C4270" t="s">
        <v>449</v>
      </c>
      <c r="D4270" s="22">
        <v>440</v>
      </c>
      <c r="E4270" s="16"/>
      <c r="F4270" t="s">
        <v>3074</v>
      </c>
      <c r="G4270" t="s">
        <v>154</v>
      </c>
      <c r="H4270" t="s">
        <v>529</v>
      </c>
      <c r="I4270" t="s">
        <v>48</v>
      </c>
      <c r="J4270" t="s">
        <v>219</v>
      </c>
      <c r="K4270">
        <v>1</v>
      </c>
    </row>
    <row r="4271" spans="1:12" ht="14.5" customHeight="1" x14ac:dyDescent="0.2">
      <c r="A4271">
        <v>2023</v>
      </c>
      <c r="B4271" t="s">
        <v>258</v>
      </c>
      <c r="C4271" t="s">
        <v>2982</v>
      </c>
      <c r="D4271" s="22">
        <v>680</v>
      </c>
      <c r="E4271" s="16"/>
      <c r="F4271" t="s">
        <v>1960</v>
      </c>
      <c r="G4271" t="s">
        <v>154</v>
      </c>
      <c r="H4271" t="s">
        <v>529</v>
      </c>
      <c r="I4271" t="s">
        <v>77</v>
      </c>
      <c r="J4271" t="s">
        <v>177</v>
      </c>
      <c r="K4271">
        <v>0</v>
      </c>
    </row>
    <row r="4272" spans="1:12" ht="14.5" customHeight="1" x14ac:dyDescent="0.2">
      <c r="A4272">
        <v>2023</v>
      </c>
      <c r="B4272" t="s">
        <v>258</v>
      </c>
      <c r="C4272" t="s">
        <v>397</v>
      </c>
      <c r="D4272" s="22">
        <v>240</v>
      </c>
      <c r="E4272" s="16"/>
      <c r="F4272" t="s">
        <v>2776</v>
      </c>
      <c r="G4272" t="s">
        <v>151</v>
      </c>
      <c r="H4272" t="s">
        <v>279</v>
      </c>
      <c r="I4272" t="s">
        <v>130</v>
      </c>
      <c r="J4272" t="s">
        <v>214</v>
      </c>
      <c r="K4272">
        <v>1</v>
      </c>
    </row>
    <row r="4273" spans="1:11" ht="14.5" customHeight="1" x14ac:dyDescent="0.2">
      <c r="A4273">
        <v>2023</v>
      </c>
      <c r="B4273" t="s">
        <v>258</v>
      </c>
      <c r="C4273" t="s">
        <v>1035</v>
      </c>
      <c r="D4273" s="22">
        <v>250</v>
      </c>
      <c r="E4273" s="16"/>
      <c r="G4273" t="s">
        <v>152</v>
      </c>
      <c r="H4273" t="s">
        <v>257</v>
      </c>
      <c r="I4273" t="s">
        <v>6</v>
      </c>
      <c r="J4273" t="s">
        <v>219</v>
      </c>
      <c r="K4273">
        <v>1</v>
      </c>
    </row>
    <row r="4274" spans="1:11" ht="14.5" customHeight="1" x14ac:dyDescent="0.2">
      <c r="A4274">
        <v>2023</v>
      </c>
      <c r="B4274" t="s">
        <v>258</v>
      </c>
      <c r="C4274" t="s">
        <v>449</v>
      </c>
      <c r="D4274" s="22">
        <v>170</v>
      </c>
      <c r="E4274" s="16"/>
      <c r="G4274" t="s">
        <v>152</v>
      </c>
      <c r="H4274" t="s">
        <v>257</v>
      </c>
      <c r="I4274" t="s">
        <v>23</v>
      </c>
      <c r="J4274" t="s">
        <v>183</v>
      </c>
      <c r="K4274">
        <v>1</v>
      </c>
    </row>
    <row r="4275" spans="1:11" ht="14.5" customHeight="1" x14ac:dyDescent="0.2">
      <c r="A4275">
        <v>2023</v>
      </c>
      <c r="B4275" t="s">
        <v>258</v>
      </c>
      <c r="C4275" t="s">
        <v>175</v>
      </c>
      <c r="D4275" s="22">
        <v>170</v>
      </c>
      <c r="E4275" s="16"/>
      <c r="G4275" t="s">
        <v>153</v>
      </c>
      <c r="I4275" t="s">
        <v>23</v>
      </c>
      <c r="J4275" t="s">
        <v>183</v>
      </c>
      <c r="K4275">
        <v>1</v>
      </c>
    </row>
    <row r="4276" spans="1:11" ht="14.5" customHeight="1" x14ac:dyDescent="0.2">
      <c r="A4276">
        <v>2023</v>
      </c>
      <c r="B4276" t="s">
        <v>258</v>
      </c>
      <c r="C4276" t="s">
        <v>221</v>
      </c>
      <c r="D4276" s="22">
        <v>160</v>
      </c>
      <c r="E4276" s="16"/>
      <c r="G4276" t="s">
        <v>150</v>
      </c>
      <c r="H4276" t="s">
        <v>226</v>
      </c>
      <c r="I4276" t="s">
        <v>14</v>
      </c>
      <c r="J4276" t="s">
        <v>195</v>
      </c>
      <c r="K4276">
        <v>1</v>
      </c>
    </row>
    <row r="4277" spans="1:11" ht="14.5" customHeight="1" x14ac:dyDescent="0.2">
      <c r="A4277">
        <v>2023</v>
      </c>
      <c r="B4277" t="s">
        <v>179</v>
      </c>
      <c r="C4277" t="s">
        <v>1035</v>
      </c>
      <c r="D4277" s="22">
        <v>160</v>
      </c>
      <c r="E4277" s="16"/>
      <c r="F4277" t="s">
        <v>3075</v>
      </c>
      <c r="G4277" t="s">
        <v>144</v>
      </c>
      <c r="H4277" t="s">
        <v>197</v>
      </c>
      <c r="I4277" t="s">
        <v>23</v>
      </c>
      <c r="J4277" t="s">
        <v>183</v>
      </c>
      <c r="K4277">
        <v>1</v>
      </c>
    </row>
    <row r="4278" spans="1:11" ht="14.5" customHeight="1" x14ac:dyDescent="0.2">
      <c r="A4278">
        <v>2023</v>
      </c>
      <c r="B4278" t="s">
        <v>179</v>
      </c>
      <c r="C4278" t="s">
        <v>449</v>
      </c>
      <c r="D4278" s="22">
        <v>170</v>
      </c>
      <c r="E4278" s="16"/>
      <c r="G4278" t="s">
        <v>154</v>
      </c>
      <c r="I4278" t="s">
        <v>111</v>
      </c>
      <c r="J4278" t="s">
        <v>183</v>
      </c>
      <c r="K4278">
        <v>1</v>
      </c>
    </row>
    <row r="4279" spans="1:11" ht="14.5" customHeight="1" x14ac:dyDescent="0.2">
      <c r="A4279">
        <v>2023</v>
      </c>
      <c r="B4279" t="s">
        <v>179</v>
      </c>
      <c r="C4279" t="s">
        <v>444</v>
      </c>
      <c r="D4279" s="22">
        <v>140</v>
      </c>
      <c r="E4279" s="16"/>
      <c r="G4279" t="s">
        <v>153</v>
      </c>
      <c r="I4279" t="s">
        <v>73</v>
      </c>
      <c r="J4279" t="s">
        <v>201</v>
      </c>
      <c r="K4279">
        <v>1</v>
      </c>
    </row>
    <row r="4280" spans="1:11" ht="14.5" customHeight="1" x14ac:dyDescent="0.2">
      <c r="A4280">
        <v>2023</v>
      </c>
      <c r="B4280" t="s">
        <v>179</v>
      </c>
      <c r="C4280" t="s">
        <v>479</v>
      </c>
      <c r="D4280" s="22">
        <v>300</v>
      </c>
      <c r="E4280" s="16"/>
      <c r="G4280" t="s">
        <v>147</v>
      </c>
      <c r="I4280" t="s">
        <v>9</v>
      </c>
      <c r="J4280" t="s">
        <v>9</v>
      </c>
      <c r="K4280">
        <v>0</v>
      </c>
    </row>
    <row r="4281" spans="1:11" ht="14.5" customHeight="1" x14ac:dyDescent="0.2">
      <c r="A4281">
        <v>2023</v>
      </c>
      <c r="B4281" t="s">
        <v>179</v>
      </c>
      <c r="C4281" t="s">
        <v>2103</v>
      </c>
      <c r="D4281" s="22">
        <v>170</v>
      </c>
      <c r="E4281" s="16"/>
      <c r="F4281" t="s">
        <v>2387</v>
      </c>
      <c r="G4281" t="s">
        <v>149</v>
      </c>
      <c r="H4281" t="s">
        <v>236</v>
      </c>
      <c r="I4281" t="s">
        <v>138</v>
      </c>
      <c r="J4281" t="s">
        <v>219</v>
      </c>
      <c r="K4281">
        <v>1</v>
      </c>
    </row>
    <row r="4282" spans="1:11" ht="14.5" customHeight="1" x14ac:dyDescent="0.2">
      <c r="A4282">
        <v>2023</v>
      </c>
      <c r="B4282" t="s">
        <v>179</v>
      </c>
      <c r="C4282" t="s">
        <v>1289</v>
      </c>
      <c r="D4282" s="22">
        <v>200</v>
      </c>
      <c r="E4282" s="16"/>
      <c r="G4282" t="s">
        <v>151</v>
      </c>
      <c r="H4282" t="s">
        <v>279</v>
      </c>
      <c r="I4282" t="s">
        <v>108</v>
      </c>
      <c r="J4282" t="s">
        <v>183</v>
      </c>
      <c r="K4282">
        <v>1</v>
      </c>
    </row>
    <row r="4283" spans="1:11" ht="14.5" customHeight="1" x14ac:dyDescent="0.2">
      <c r="A4283">
        <v>2023</v>
      </c>
      <c r="B4283" t="s">
        <v>179</v>
      </c>
      <c r="C4283" s="17" t="s">
        <v>875</v>
      </c>
      <c r="D4283" s="22">
        <v>380</v>
      </c>
      <c r="E4283" s="16"/>
      <c r="G4283" t="s">
        <v>144</v>
      </c>
      <c r="H4283" t="s">
        <v>197</v>
      </c>
      <c r="I4283" t="s">
        <v>53</v>
      </c>
      <c r="J4283" t="s">
        <v>183</v>
      </c>
      <c r="K4283">
        <v>1</v>
      </c>
    </row>
    <row r="4284" spans="1:11" ht="14.5" customHeight="1" x14ac:dyDescent="0.2">
      <c r="A4284">
        <v>2023</v>
      </c>
      <c r="B4284" t="s">
        <v>179</v>
      </c>
      <c r="C4284" t="s">
        <v>175</v>
      </c>
      <c r="D4284" s="22">
        <v>260</v>
      </c>
      <c r="E4284" s="16"/>
      <c r="G4284" t="s">
        <v>149</v>
      </c>
      <c r="H4284" t="s">
        <v>182</v>
      </c>
      <c r="I4284" t="s">
        <v>136</v>
      </c>
      <c r="J4284" t="s">
        <v>183</v>
      </c>
      <c r="K4284">
        <v>1</v>
      </c>
    </row>
    <row r="4285" spans="1:11" ht="14.5" customHeight="1" x14ac:dyDescent="0.2">
      <c r="A4285">
        <v>2023</v>
      </c>
      <c r="B4285" t="s">
        <v>179</v>
      </c>
      <c r="C4285" t="s">
        <v>1035</v>
      </c>
      <c r="D4285" s="22">
        <v>520</v>
      </c>
      <c r="E4285" s="16"/>
      <c r="F4285" t="s">
        <v>3076</v>
      </c>
      <c r="G4285" t="s">
        <v>144</v>
      </c>
      <c r="H4285" t="s">
        <v>232</v>
      </c>
      <c r="I4285" t="s">
        <v>38</v>
      </c>
      <c r="J4285" t="s">
        <v>214</v>
      </c>
      <c r="K4285">
        <v>1</v>
      </c>
    </row>
    <row r="4286" spans="1:11" ht="14.5" customHeight="1" x14ac:dyDescent="0.2">
      <c r="A4286">
        <v>2023</v>
      </c>
      <c r="B4286" t="s">
        <v>179</v>
      </c>
      <c r="C4286" t="s">
        <v>2392</v>
      </c>
      <c r="D4286" s="22">
        <v>210</v>
      </c>
      <c r="E4286" s="16"/>
      <c r="G4286" t="s">
        <v>144</v>
      </c>
      <c r="H4286" t="s">
        <v>232</v>
      </c>
      <c r="I4286" t="s">
        <v>134</v>
      </c>
      <c r="J4286" t="s">
        <v>201</v>
      </c>
      <c r="K4286">
        <v>1</v>
      </c>
    </row>
    <row r="4287" spans="1:11" ht="14.5" customHeight="1" x14ac:dyDescent="0.2">
      <c r="A4287">
        <v>2023</v>
      </c>
      <c r="B4287" t="s">
        <v>179</v>
      </c>
      <c r="C4287" t="s">
        <v>703</v>
      </c>
      <c r="D4287" s="22">
        <v>290</v>
      </c>
      <c r="E4287" s="16"/>
      <c r="G4287" t="s">
        <v>144</v>
      </c>
      <c r="H4287" t="s">
        <v>299</v>
      </c>
      <c r="I4287" t="s">
        <v>77</v>
      </c>
      <c r="J4287" t="s">
        <v>177</v>
      </c>
      <c r="K4287">
        <v>0</v>
      </c>
    </row>
    <row r="4288" spans="1:11" ht="14.5" customHeight="1" x14ac:dyDescent="0.2">
      <c r="A4288">
        <v>2023</v>
      </c>
      <c r="B4288" t="s">
        <v>184</v>
      </c>
      <c r="C4288" t="s">
        <v>557</v>
      </c>
      <c r="D4288" s="22">
        <v>230</v>
      </c>
      <c r="E4288" s="16"/>
      <c r="G4288" t="s">
        <v>151</v>
      </c>
      <c r="H4288" t="s">
        <v>279</v>
      </c>
      <c r="I4288" t="s">
        <v>40</v>
      </c>
      <c r="J4288" t="s">
        <v>219</v>
      </c>
      <c r="K4288">
        <v>1</v>
      </c>
    </row>
    <row r="4289" spans="1:12" ht="14.5" customHeight="1" x14ac:dyDescent="0.2">
      <c r="A4289">
        <v>2023</v>
      </c>
      <c r="B4289" t="s">
        <v>184</v>
      </c>
      <c r="C4289" t="s">
        <v>341</v>
      </c>
      <c r="D4289" s="22">
        <v>110</v>
      </c>
      <c r="E4289" s="16"/>
      <c r="F4289" t="s">
        <v>3077</v>
      </c>
      <c r="G4289" t="s">
        <v>154</v>
      </c>
      <c r="H4289" t="s">
        <v>529</v>
      </c>
      <c r="I4289" t="s">
        <v>19</v>
      </c>
      <c r="J4289" t="s">
        <v>205</v>
      </c>
      <c r="K4289">
        <v>0</v>
      </c>
    </row>
    <row r="4290" spans="1:12" ht="14.5" customHeight="1" x14ac:dyDescent="0.2">
      <c r="A4290">
        <v>2023</v>
      </c>
      <c r="B4290" t="s">
        <v>184</v>
      </c>
      <c r="C4290" t="s">
        <v>2894</v>
      </c>
      <c r="D4290" s="22">
        <v>200</v>
      </c>
      <c r="E4290" s="16"/>
      <c r="G4290" t="s">
        <v>144</v>
      </c>
      <c r="H4290" t="s">
        <v>187</v>
      </c>
      <c r="I4290" t="s">
        <v>55</v>
      </c>
      <c r="J4290" t="s">
        <v>214</v>
      </c>
      <c r="K4290">
        <v>1</v>
      </c>
    </row>
    <row r="4291" spans="1:12" ht="14.5" customHeight="1" x14ac:dyDescent="0.2">
      <c r="A4291">
        <v>2023</v>
      </c>
      <c r="B4291" t="s">
        <v>184</v>
      </c>
      <c r="C4291" t="s">
        <v>479</v>
      </c>
      <c r="D4291" s="22">
        <v>170</v>
      </c>
      <c r="E4291" s="16"/>
      <c r="G4291" t="s">
        <v>154</v>
      </c>
      <c r="H4291" t="s">
        <v>194</v>
      </c>
      <c r="I4291" t="s">
        <v>134</v>
      </c>
      <c r="J4291" t="s">
        <v>201</v>
      </c>
      <c r="K4291">
        <v>1</v>
      </c>
    </row>
    <row r="4292" spans="1:12" ht="14.5" customHeight="1" x14ac:dyDescent="0.2">
      <c r="A4292">
        <v>2023</v>
      </c>
      <c r="B4292" t="s">
        <v>184</v>
      </c>
      <c r="C4292" t="s">
        <v>875</v>
      </c>
      <c r="D4292" s="22">
        <v>100</v>
      </c>
      <c r="E4292" s="16"/>
      <c r="F4292" t="s">
        <v>1247</v>
      </c>
      <c r="G4292" t="s">
        <v>144</v>
      </c>
      <c r="H4292" t="s">
        <v>232</v>
      </c>
      <c r="I4292" t="s">
        <v>38</v>
      </c>
      <c r="J4292" t="s">
        <v>214</v>
      </c>
      <c r="K4292">
        <v>1</v>
      </c>
    </row>
    <row r="4293" spans="1:12" ht="14.5" customHeight="1" x14ac:dyDescent="0.2">
      <c r="A4293">
        <v>2023</v>
      </c>
      <c r="B4293" t="s">
        <v>184</v>
      </c>
      <c r="C4293" t="s">
        <v>313</v>
      </c>
      <c r="D4293" s="22">
        <v>140</v>
      </c>
      <c r="E4293" s="16"/>
      <c r="G4293" t="s">
        <v>144</v>
      </c>
      <c r="H4293" t="s">
        <v>299</v>
      </c>
      <c r="I4293" t="s">
        <v>105</v>
      </c>
      <c r="J4293" t="s">
        <v>214</v>
      </c>
      <c r="K4293">
        <v>1</v>
      </c>
    </row>
    <row r="4294" spans="1:12" ht="14.5" customHeight="1" x14ac:dyDescent="0.2">
      <c r="A4294">
        <v>2023</v>
      </c>
      <c r="B4294" t="s">
        <v>184</v>
      </c>
      <c r="C4294" t="s">
        <v>3078</v>
      </c>
      <c r="D4294" s="22">
        <v>570</v>
      </c>
      <c r="E4294" s="16"/>
      <c r="G4294" t="s">
        <v>144</v>
      </c>
      <c r="H4294" t="s">
        <v>197</v>
      </c>
      <c r="I4294" t="s">
        <v>2901</v>
      </c>
      <c r="J4294" t="s">
        <v>219</v>
      </c>
      <c r="K4294">
        <v>1</v>
      </c>
    </row>
    <row r="4295" spans="1:12" ht="14.5" customHeight="1" x14ac:dyDescent="0.2">
      <c r="A4295">
        <v>2023</v>
      </c>
      <c r="B4295" t="s">
        <v>184</v>
      </c>
      <c r="C4295" t="s">
        <v>1035</v>
      </c>
      <c r="D4295" s="22">
        <v>360</v>
      </c>
      <c r="E4295" s="16"/>
      <c r="G4295" t="s">
        <v>144</v>
      </c>
      <c r="H4295" t="s">
        <v>232</v>
      </c>
      <c r="I4295" t="s">
        <v>67</v>
      </c>
      <c r="J4295" t="s">
        <v>183</v>
      </c>
      <c r="K4295">
        <v>1</v>
      </c>
    </row>
    <row r="4296" spans="1:12" ht="14.5" customHeight="1" x14ac:dyDescent="0.2">
      <c r="A4296">
        <v>2023</v>
      </c>
      <c r="B4296" t="s">
        <v>184</v>
      </c>
      <c r="C4296" t="s">
        <v>397</v>
      </c>
      <c r="D4296" s="22">
        <v>100</v>
      </c>
      <c r="E4296" s="16"/>
      <c r="F4296" t="s">
        <v>3079</v>
      </c>
      <c r="G4296" t="s">
        <v>152</v>
      </c>
      <c r="I4296" t="s">
        <v>72</v>
      </c>
      <c r="J4296" t="s">
        <v>183</v>
      </c>
      <c r="K4296">
        <v>1</v>
      </c>
    </row>
    <row r="4297" spans="1:12" ht="14.5" customHeight="1" x14ac:dyDescent="0.2">
      <c r="A4297">
        <v>2023</v>
      </c>
      <c r="B4297" t="s">
        <v>184</v>
      </c>
      <c r="C4297" t="s">
        <v>444</v>
      </c>
      <c r="D4297" s="22">
        <v>310</v>
      </c>
      <c r="E4297" s="16"/>
      <c r="G4297" t="s">
        <v>145</v>
      </c>
      <c r="I4297" t="s">
        <v>134</v>
      </c>
      <c r="J4297" t="s">
        <v>201</v>
      </c>
      <c r="K4297">
        <v>1</v>
      </c>
    </row>
    <row r="4298" spans="1:12" ht="14.5" customHeight="1" x14ac:dyDescent="0.2">
      <c r="A4298">
        <v>2023</v>
      </c>
      <c r="B4298" t="s">
        <v>184</v>
      </c>
      <c r="C4298" t="s">
        <v>189</v>
      </c>
      <c r="D4298" s="22">
        <v>400</v>
      </c>
      <c r="E4298" s="16"/>
      <c r="G4298" t="s">
        <v>144</v>
      </c>
      <c r="I4298" t="s">
        <v>65</v>
      </c>
      <c r="J4298" t="s">
        <v>214</v>
      </c>
      <c r="K4298">
        <v>1</v>
      </c>
    </row>
    <row r="4299" spans="1:12" ht="14.5" customHeight="1" x14ac:dyDescent="0.2">
      <c r="A4299">
        <v>2023</v>
      </c>
      <c r="B4299" t="s">
        <v>184</v>
      </c>
      <c r="C4299" t="s">
        <v>703</v>
      </c>
      <c r="D4299" s="22">
        <v>360</v>
      </c>
      <c r="E4299" s="16"/>
      <c r="F4299" t="s">
        <v>3080</v>
      </c>
      <c r="G4299" t="s">
        <v>150</v>
      </c>
      <c r="H4299" t="s">
        <v>226</v>
      </c>
      <c r="I4299" t="s">
        <v>128</v>
      </c>
      <c r="J4299" t="s">
        <v>201</v>
      </c>
      <c r="K4299">
        <v>1</v>
      </c>
    </row>
    <row r="4300" spans="1:12" ht="14.5" customHeight="1" x14ac:dyDescent="0.2">
      <c r="A4300">
        <v>2023</v>
      </c>
      <c r="B4300" t="s">
        <v>184</v>
      </c>
      <c r="C4300" t="s">
        <v>244</v>
      </c>
      <c r="D4300" s="22">
        <v>460</v>
      </c>
      <c r="E4300" s="16"/>
      <c r="F4300" t="s">
        <v>3081</v>
      </c>
      <c r="G4300" t="s">
        <v>149</v>
      </c>
      <c r="H4300" t="s">
        <v>236</v>
      </c>
      <c r="I4300" t="s">
        <v>101</v>
      </c>
      <c r="J4300" t="s">
        <v>201</v>
      </c>
      <c r="K4300">
        <v>1</v>
      </c>
    </row>
    <row r="4301" spans="1:12" ht="14.5" customHeight="1" x14ac:dyDescent="0.2">
      <c r="A4301">
        <v>2023</v>
      </c>
      <c r="B4301" t="s">
        <v>225</v>
      </c>
      <c r="C4301" t="s">
        <v>557</v>
      </c>
      <c r="D4301" s="22">
        <v>330</v>
      </c>
      <c r="E4301" s="16"/>
      <c r="F4301" t="s">
        <v>2584</v>
      </c>
      <c r="G4301" t="s">
        <v>151</v>
      </c>
      <c r="H4301" t="s">
        <v>279</v>
      </c>
      <c r="I4301" t="s">
        <v>105</v>
      </c>
      <c r="J4301" t="s">
        <v>214</v>
      </c>
      <c r="K4301">
        <v>1</v>
      </c>
    </row>
    <row r="4302" spans="1:12" ht="14.5" customHeight="1" x14ac:dyDescent="0.2">
      <c r="A4302">
        <v>2023</v>
      </c>
      <c r="B4302" t="s">
        <v>225</v>
      </c>
      <c r="C4302" t="s">
        <v>479</v>
      </c>
      <c r="D4302" s="22">
        <v>200</v>
      </c>
      <c r="E4302" s="16"/>
      <c r="G4302" t="s">
        <v>154</v>
      </c>
      <c r="H4302" t="s">
        <v>271</v>
      </c>
      <c r="I4302" t="s">
        <v>23</v>
      </c>
      <c r="J4302" t="s">
        <v>183</v>
      </c>
      <c r="K4302">
        <v>1</v>
      </c>
      <c r="L4302" s="41"/>
    </row>
    <row r="4303" spans="1:12" ht="14.5" customHeight="1" x14ac:dyDescent="0.2">
      <c r="A4303">
        <v>2023</v>
      </c>
      <c r="B4303" t="s">
        <v>225</v>
      </c>
      <c r="C4303" t="s">
        <v>2907</v>
      </c>
      <c r="D4303" s="22">
        <v>130</v>
      </c>
      <c r="E4303" s="16"/>
      <c r="G4303" t="s">
        <v>144</v>
      </c>
      <c r="H4303" t="s">
        <v>197</v>
      </c>
      <c r="I4303" t="s">
        <v>3082</v>
      </c>
      <c r="J4303" t="s">
        <v>201</v>
      </c>
      <c r="K4303">
        <v>1</v>
      </c>
    </row>
    <row r="4304" spans="1:12" ht="14.5" customHeight="1" x14ac:dyDescent="0.2">
      <c r="A4304">
        <v>2023</v>
      </c>
      <c r="B4304" t="s">
        <v>225</v>
      </c>
      <c r="C4304" t="s">
        <v>449</v>
      </c>
      <c r="D4304" s="22">
        <v>990</v>
      </c>
      <c r="E4304" s="16"/>
      <c r="G4304" t="s">
        <v>151</v>
      </c>
      <c r="H4304" t="s">
        <v>279</v>
      </c>
      <c r="I4304" t="s">
        <v>130</v>
      </c>
      <c r="J4304" t="s">
        <v>214</v>
      </c>
      <c r="K4304">
        <v>1</v>
      </c>
    </row>
    <row r="4305" spans="1:11" ht="14.5" customHeight="1" x14ac:dyDescent="0.2">
      <c r="A4305">
        <v>2023</v>
      </c>
      <c r="B4305" t="s">
        <v>225</v>
      </c>
      <c r="C4305" t="s">
        <v>397</v>
      </c>
      <c r="D4305" s="22">
        <v>220</v>
      </c>
      <c r="E4305" s="16"/>
      <c r="F4305" t="s">
        <v>3083</v>
      </c>
      <c r="G4305" t="s">
        <v>154</v>
      </c>
      <c r="H4305" t="s">
        <v>194</v>
      </c>
      <c r="I4305" t="s">
        <v>112</v>
      </c>
      <c r="J4305" t="s">
        <v>219</v>
      </c>
      <c r="K4305">
        <v>1</v>
      </c>
    </row>
    <row r="4306" spans="1:11" ht="14.5" customHeight="1" x14ac:dyDescent="0.2">
      <c r="A4306">
        <v>2023</v>
      </c>
      <c r="B4306" t="s">
        <v>225</v>
      </c>
      <c r="C4306" t="s">
        <v>185</v>
      </c>
      <c r="D4306" s="22">
        <v>260</v>
      </c>
      <c r="E4306" s="16"/>
      <c r="F4306" t="s">
        <v>2002</v>
      </c>
      <c r="G4306" t="s">
        <v>144</v>
      </c>
      <c r="H4306" t="s">
        <v>187</v>
      </c>
      <c r="I4306" t="s">
        <v>105</v>
      </c>
      <c r="J4306" t="s">
        <v>214</v>
      </c>
      <c r="K4306">
        <v>1</v>
      </c>
    </row>
    <row r="4307" spans="1:11" ht="14.5" customHeight="1" x14ac:dyDescent="0.2">
      <c r="A4307">
        <v>2023</v>
      </c>
      <c r="B4307" t="s">
        <v>225</v>
      </c>
      <c r="C4307" t="s">
        <v>479</v>
      </c>
      <c r="D4307" s="22">
        <v>160</v>
      </c>
      <c r="E4307" s="16"/>
      <c r="G4307" t="s">
        <v>154</v>
      </c>
      <c r="H4307" t="s">
        <v>271</v>
      </c>
      <c r="I4307" t="s">
        <v>5</v>
      </c>
      <c r="J4307" t="s">
        <v>214</v>
      </c>
      <c r="K4307">
        <v>1</v>
      </c>
    </row>
    <row r="4308" spans="1:11" ht="14.5" customHeight="1" x14ac:dyDescent="0.2">
      <c r="A4308">
        <v>2023</v>
      </c>
      <c r="B4308" t="s">
        <v>225</v>
      </c>
      <c r="C4308" t="s">
        <v>199</v>
      </c>
      <c r="D4308" s="22">
        <v>1510</v>
      </c>
      <c r="E4308" s="16"/>
      <c r="F4308" t="s">
        <v>2002</v>
      </c>
      <c r="G4308" t="s">
        <v>144</v>
      </c>
      <c r="I4308" t="s">
        <v>105</v>
      </c>
      <c r="J4308" t="s">
        <v>214</v>
      </c>
      <c r="K4308">
        <v>1</v>
      </c>
    </row>
    <row r="4309" spans="1:11" ht="14.5" customHeight="1" x14ac:dyDescent="0.2">
      <c r="A4309">
        <v>2023</v>
      </c>
      <c r="B4309" t="s">
        <v>225</v>
      </c>
      <c r="C4309" t="s">
        <v>479</v>
      </c>
      <c r="D4309" s="22">
        <v>940</v>
      </c>
      <c r="E4309" s="16"/>
      <c r="G4309" t="s">
        <v>148</v>
      </c>
      <c r="I4309" t="s">
        <v>105</v>
      </c>
      <c r="J4309" t="s">
        <v>214</v>
      </c>
      <c r="K4309">
        <v>1</v>
      </c>
    </row>
    <row r="4310" spans="1:11" ht="14.5" customHeight="1" x14ac:dyDescent="0.2">
      <c r="A4310">
        <v>2023</v>
      </c>
      <c r="B4310" t="s">
        <v>225</v>
      </c>
      <c r="C4310" t="s">
        <v>449</v>
      </c>
      <c r="D4310" s="22">
        <v>140</v>
      </c>
      <c r="E4310" s="16"/>
      <c r="G4310" t="s">
        <v>154</v>
      </c>
      <c r="H4310" t="s">
        <v>194</v>
      </c>
      <c r="I4310" t="s">
        <v>108</v>
      </c>
      <c r="J4310" t="s">
        <v>183</v>
      </c>
      <c r="K4310">
        <v>1</v>
      </c>
    </row>
    <row r="4311" spans="1:11" ht="14.5" customHeight="1" x14ac:dyDescent="0.2">
      <c r="A4311">
        <v>2023</v>
      </c>
      <c r="B4311" t="s">
        <v>188</v>
      </c>
      <c r="C4311" t="s">
        <v>479</v>
      </c>
      <c r="D4311" s="22">
        <v>230</v>
      </c>
      <c r="E4311" s="16"/>
      <c r="G4311" t="s">
        <v>154</v>
      </c>
      <c r="H4311" t="s">
        <v>194</v>
      </c>
      <c r="I4311" t="s">
        <v>23</v>
      </c>
      <c r="J4311" t="s">
        <v>183</v>
      </c>
      <c r="K4311">
        <v>1</v>
      </c>
    </row>
    <row r="4312" spans="1:11" ht="14.5" customHeight="1" x14ac:dyDescent="0.2">
      <c r="A4312">
        <v>2023</v>
      </c>
      <c r="B4312" t="s">
        <v>188</v>
      </c>
      <c r="C4312" t="s">
        <v>189</v>
      </c>
      <c r="D4312" s="22">
        <v>720</v>
      </c>
      <c r="E4312" s="16"/>
      <c r="F4312" t="s">
        <v>3084</v>
      </c>
      <c r="G4312" t="s">
        <v>144</v>
      </c>
      <c r="H4312" t="s">
        <v>187</v>
      </c>
      <c r="I4312" t="s">
        <v>105</v>
      </c>
      <c r="J4312" t="s">
        <v>214</v>
      </c>
      <c r="K4312">
        <v>1</v>
      </c>
    </row>
    <row r="4313" spans="1:11" ht="14.5" customHeight="1" x14ac:dyDescent="0.2">
      <c r="A4313">
        <v>2023</v>
      </c>
      <c r="B4313" t="s">
        <v>188</v>
      </c>
      <c r="C4313" t="s">
        <v>875</v>
      </c>
      <c r="D4313" s="22">
        <v>270</v>
      </c>
      <c r="E4313" s="16"/>
      <c r="G4313" t="s">
        <v>144</v>
      </c>
      <c r="H4313" t="s">
        <v>197</v>
      </c>
      <c r="I4313" t="s">
        <v>17</v>
      </c>
      <c r="J4313" t="s">
        <v>195</v>
      </c>
      <c r="K4313">
        <v>1</v>
      </c>
    </row>
    <row r="4314" spans="1:11" ht="14.5" customHeight="1" x14ac:dyDescent="0.2">
      <c r="A4314">
        <v>2023</v>
      </c>
      <c r="B4314" t="s">
        <v>188</v>
      </c>
      <c r="C4314" t="s">
        <v>557</v>
      </c>
      <c r="D4314" s="22">
        <v>280</v>
      </c>
      <c r="E4314" s="16"/>
      <c r="F4314" t="s">
        <v>2914</v>
      </c>
      <c r="G4314" t="s">
        <v>151</v>
      </c>
      <c r="H4314" t="s">
        <v>279</v>
      </c>
      <c r="I4314" t="s">
        <v>52</v>
      </c>
      <c r="J4314" t="s">
        <v>201</v>
      </c>
      <c r="K4314">
        <v>0</v>
      </c>
    </row>
    <row r="4315" spans="1:11" ht="14.5" customHeight="1" x14ac:dyDescent="0.2">
      <c r="A4315">
        <v>2023</v>
      </c>
      <c r="B4315" t="s">
        <v>188</v>
      </c>
      <c r="C4315" t="s">
        <v>1035</v>
      </c>
      <c r="D4315" s="22">
        <v>400</v>
      </c>
      <c r="E4315" s="16"/>
      <c r="F4315" t="s">
        <v>2002</v>
      </c>
      <c r="G4315" t="s">
        <v>154</v>
      </c>
      <c r="H4315" t="s">
        <v>271</v>
      </c>
      <c r="I4315" t="s">
        <v>105</v>
      </c>
      <c r="J4315" t="s">
        <v>214</v>
      </c>
      <c r="K4315">
        <v>1</v>
      </c>
    </row>
    <row r="4316" spans="1:11" ht="14.5" customHeight="1" x14ac:dyDescent="0.2">
      <c r="A4316">
        <v>2023</v>
      </c>
      <c r="B4316" t="s">
        <v>188</v>
      </c>
      <c r="C4316" t="s">
        <v>1035</v>
      </c>
      <c r="D4316" s="22">
        <v>160</v>
      </c>
      <c r="E4316" s="16"/>
      <c r="G4316" t="s">
        <v>154</v>
      </c>
      <c r="H4316" t="s">
        <v>194</v>
      </c>
      <c r="I4316" t="s">
        <v>98</v>
      </c>
      <c r="J4316" t="s">
        <v>195</v>
      </c>
      <c r="K4316">
        <v>1</v>
      </c>
    </row>
    <row r="4317" spans="1:11" ht="14.5" customHeight="1" x14ac:dyDescent="0.2">
      <c r="A4317">
        <v>2023</v>
      </c>
      <c r="B4317" t="s">
        <v>188</v>
      </c>
      <c r="C4317" t="s">
        <v>479</v>
      </c>
      <c r="D4317" s="22">
        <v>270</v>
      </c>
      <c r="E4317" s="16"/>
      <c r="G4317" t="s">
        <v>154</v>
      </c>
      <c r="H4317" t="s">
        <v>194</v>
      </c>
      <c r="I4317" t="s">
        <v>89</v>
      </c>
      <c r="J4317" t="s">
        <v>219</v>
      </c>
      <c r="K4317">
        <v>1</v>
      </c>
    </row>
    <row r="4318" spans="1:11" ht="14.5" customHeight="1" x14ac:dyDescent="0.2">
      <c r="A4318">
        <v>2023</v>
      </c>
      <c r="B4318" t="s">
        <v>188</v>
      </c>
      <c r="C4318" t="s">
        <v>745</v>
      </c>
      <c r="D4318" s="22">
        <v>610</v>
      </c>
      <c r="E4318" s="16"/>
      <c r="F4318" t="s">
        <v>3085</v>
      </c>
      <c r="G4318" t="s">
        <v>143</v>
      </c>
      <c r="I4318" t="s">
        <v>101</v>
      </c>
      <c r="J4318" t="s">
        <v>201</v>
      </c>
      <c r="K4318">
        <v>1</v>
      </c>
    </row>
    <row r="4319" spans="1:11" ht="14.5" customHeight="1" x14ac:dyDescent="0.2">
      <c r="A4319">
        <v>2023</v>
      </c>
      <c r="B4319" t="s">
        <v>188</v>
      </c>
      <c r="C4319" t="s">
        <v>199</v>
      </c>
      <c r="D4319" s="22">
        <v>150</v>
      </c>
      <c r="E4319" s="16"/>
      <c r="G4319" t="s">
        <v>144</v>
      </c>
      <c r="H4319" t="s">
        <v>187</v>
      </c>
      <c r="I4319" t="s">
        <v>132</v>
      </c>
      <c r="J4319" t="s">
        <v>219</v>
      </c>
      <c r="K4319">
        <v>1</v>
      </c>
    </row>
    <row r="4320" spans="1:11" ht="14.5" customHeight="1" x14ac:dyDescent="0.2">
      <c r="A4320">
        <v>2023</v>
      </c>
      <c r="B4320" t="s">
        <v>188</v>
      </c>
      <c r="C4320" t="s">
        <v>199</v>
      </c>
      <c r="D4320" s="22">
        <v>610</v>
      </c>
      <c r="E4320" s="16"/>
      <c r="G4320" t="s">
        <v>144</v>
      </c>
      <c r="H4320" t="s">
        <v>187</v>
      </c>
      <c r="I4320" t="s">
        <v>123</v>
      </c>
      <c r="J4320" t="s">
        <v>219</v>
      </c>
      <c r="K4320">
        <v>1</v>
      </c>
    </row>
    <row r="4321" spans="1:11" ht="14.5" customHeight="1" x14ac:dyDescent="0.2">
      <c r="A4321">
        <v>2023</v>
      </c>
      <c r="B4321" t="s">
        <v>188</v>
      </c>
      <c r="C4321" t="s">
        <v>444</v>
      </c>
      <c r="D4321" s="22">
        <v>180</v>
      </c>
      <c r="E4321" s="16">
        <v>0.6</v>
      </c>
      <c r="G4321" t="s">
        <v>144</v>
      </c>
      <c r="H4321" t="s">
        <v>197</v>
      </c>
      <c r="I4321" t="s">
        <v>53</v>
      </c>
      <c r="J4321" t="s">
        <v>183</v>
      </c>
      <c r="K4321">
        <v>1</v>
      </c>
    </row>
    <row r="4322" spans="1:11" ht="14.5" customHeight="1" x14ac:dyDescent="0.2">
      <c r="A4322">
        <v>2023</v>
      </c>
      <c r="B4322" t="s">
        <v>188</v>
      </c>
      <c r="C4322" t="s">
        <v>875</v>
      </c>
      <c r="D4322" s="22">
        <v>330</v>
      </c>
      <c r="E4322" s="16"/>
      <c r="F4322" t="s">
        <v>2659</v>
      </c>
      <c r="G4322" t="s">
        <v>144</v>
      </c>
      <c r="H4322" t="s">
        <v>232</v>
      </c>
      <c r="I4322" t="s">
        <v>92</v>
      </c>
      <c r="J4322" t="s">
        <v>214</v>
      </c>
      <c r="K4322">
        <v>1</v>
      </c>
    </row>
    <row r="4323" spans="1:11" ht="14.5" customHeight="1" x14ac:dyDescent="0.2">
      <c r="A4323">
        <v>2023</v>
      </c>
      <c r="B4323" t="s">
        <v>188</v>
      </c>
      <c r="C4323" t="s">
        <v>336</v>
      </c>
      <c r="D4323" s="22">
        <v>170</v>
      </c>
      <c r="E4323" s="16"/>
      <c r="F4323" t="s">
        <v>2776</v>
      </c>
      <c r="G4323" t="s">
        <v>151</v>
      </c>
      <c r="H4323" t="s">
        <v>279</v>
      </c>
      <c r="I4323" t="s">
        <v>130</v>
      </c>
      <c r="J4323" t="s">
        <v>214</v>
      </c>
      <c r="K4323">
        <v>1</v>
      </c>
    </row>
    <row r="4324" spans="1:11" ht="14.5" customHeight="1" x14ac:dyDescent="0.2">
      <c r="A4324">
        <v>2023</v>
      </c>
      <c r="B4324" t="s">
        <v>188</v>
      </c>
      <c r="C4324" t="s">
        <v>444</v>
      </c>
      <c r="D4324" s="22">
        <v>260</v>
      </c>
      <c r="E4324" s="16"/>
      <c r="F4324" t="s">
        <v>3086</v>
      </c>
      <c r="G4324" t="s">
        <v>144</v>
      </c>
      <c r="H4324" t="s">
        <v>232</v>
      </c>
      <c r="I4324" t="s">
        <v>134</v>
      </c>
      <c r="J4324" t="s">
        <v>201</v>
      </c>
      <c r="K4324">
        <v>1</v>
      </c>
    </row>
    <row r="4325" spans="1:11" ht="14.5" customHeight="1" x14ac:dyDescent="0.2">
      <c r="A4325">
        <v>2023</v>
      </c>
      <c r="B4325" t="s">
        <v>191</v>
      </c>
      <c r="C4325" t="s">
        <v>557</v>
      </c>
      <c r="D4325" s="22">
        <v>290</v>
      </c>
      <c r="E4325" s="16"/>
      <c r="F4325" t="s">
        <v>3087</v>
      </c>
      <c r="G4325" t="s">
        <v>151</v>
      </c>
      <c r="H4325" t="s">
        <v>279</v>
      </c>
      <c r="I4325" t="s">
        <v>40</v>
      </c>
      <c r="J4325" t="s">
        <v>219</v>
      </c>
      <c r="K4325">
        <v>1</v>
      </c>
    </row>
    <row r="4326" spans="1:11" ht="14.5" customHeight="1" x14ac:dyDescent="0.2">
      <c r="A4326">
        <v>2023</v>
      </c>
      <c r="B4326" t="s">
        <v>191</v>
      </c>
      <c r="C4326" t="s">
        <v>2103</v>
      </c>
      <c r="D4326" s="22">
        <v>120</v>
      </c>
      <c r="E4326" s="16"/>
      <c r="F4326" t="s">
        <v>3088</v>
      </c>
      <c r="G4326" t="s">
        <v>149</v>
      </c>
      <c r="H4326" t="s">
        <v>236</v>
      </c>
      <c r="I4326" t="s">
        <v>138</v>
      </c>
      <c r="J4326" t="s">
        <v>219</v>
      </c>
      <c r="K4326">
        <v>1</v>
      </c>
    </row>
    <row r="4327" spans="1:11" ht="14.5" customHeight="1" x14ac:dyDescent="0.2">
      <c r="A4327">
        <v>2023</v>
      </c>
      <c r="B4327" t="s">
        <v>191</v>
      </c>
      <c r="C4327" t="s">
        <v>2329</v>
      </c>
      <c r="D4327" s="22">
        <v>190</v>
      </c>
      <c r="E4327" s="16"/>
      <c r="F4327" t="s">
        <v>326</v>
      </c>
      <c r="G4327" t="s">
        <v>144</v>
      </c>
      <c r="H4327" t="s">
        <v>187</v>
      </c>
      <c r="I4327" t="s">
        <v>55</v>
      </c>
      <c r="J4327" t="s">
        <v>214</v>
      </c>
      <c r="K4327">
        <v>1</v>
      </c>
    </row>
    <row r="4328" spans="1:11" ht="14.5" customHeight="1" x14ac:dyDescent="0.2">
      <c r="A4328">
        <v>2023</v>
      </c>
      <c r="B4328" t="s">
        <v>191</v>
      </c>
      <c r="C4328" t="s">
        <v>444</v>
      </c>
      <c r="D4328" s="22">
        <v>600</v>
      </c>
      <c r="E4328" s="16"/>
      <c r="F4328" t="s">
        <v>3089</v>
      </c>
      <c r="G4328" t="s">
        <v>144</v>
      </c>
      <c r="H4328" t="s">
        <v>299</v>
      </c>
      <c r="I4328" t="s">
        <v>63</v>
      </c>
      <c r="J4328" t="s">
        <v>201</v>
      </c>
      <c r="K4328">
        <v>1</v>
      </c>
    </row>
    <row r="4329" spans="1:11" ht="14.5" customHeight="1" x14ac:dyDescent="0.2">
      <c r="A4329">
        <v>2023</v>
      </c>
      <c r="B4329" t="s">
        <v>191</v>
      </c>
      <c r="C4329" t="s">
        <v>3090</v>
      </c>
      <c r="D4329" s="22">
        <v>160</v>
      </c>
      <c r="E4329" s="16"/>
      <c r="F4329" t="s">
        <v>3091</v>
      </c>
      <c r="G4329" t="s">
        <v>151</v>
      </c>
      <c r="H4329" t="s">
        <v>279</v>
      </c>
      <c r="I4329" t="s">
        <v>40</v>
      </c>
      <c r="J4329" t="s">
        <v>219</v>
      </c>
      <c r="K4329">
        <v>1</v>
      </c>
    </row>
    <row r="4330" spans="1:11" ht="14.5" customHeight="1" x14ac:dyDescent="0.2">
      <c r="A4330">
        <v>2023</v>
      </c>
      <c r="B4330" t="s">
        <v>191</v>
      </c>
      <c r="C4330" t="s">
        <v>479</v>
      </c>
      <c r="D4330" s="22">
        <v>160</v>
      </c>
      <c r="E4330" s="16"/>
      <c r="G4330" t="s">
        <v>154</v>
      </c>
      <c r="H4330" t="s">
        <v>529</v>
      </c>
      <c r="I4330" t="s">
        <v>9</v>
      </c>
      <c r="J4330" t="s">
        <v>9</v>
      </c>
      <c r="K4330">
        <v>0</v>
      </c>
    </row>
    <row r="4331" spans="1:11" ht="14.5" customHeight="1" x14ac:dyDescent="0.2">
      <c r="A4331">
        <v>2023</v>
      </c>
      <c r="B4331" t="s">
        <v>191</v>
      </c>
      <c r="C4331" t="s">
        <v>875</v>
      </c>
      <c r="D4331" s="22">
        <v>230</v>
      </c>
      <c r="E4331" s="16"/>
      <c r="G4331" t="s">
        <v>144</v>
      </c>
      <c r="H4331" t="s">
        <v>232</v>
      </c>
      <c r="I4331" t="s">
        <v>59</v>
      </c>
      <c r="J4331" t="s">
        <v>219</v>
      </c>
      <c r="K4331">
        <v>1</v>
      </c>
    </row>
    <row r="4332" spans="1:11" ht="14.5" customHeight="1" x14ac:dyDescent="0.2">
      <c r="A4332">
        <v>2023</v>
      </c>
      <c r="B4332" t="s">
        <v>191</v>
      </c>
      <c r="C4332" t="s">
        <v>341</v>
      </c>
      <c r="D4332" s="22">
        <v>210</v>
      </c>
      <c r="E4332" s="16"/>
      <c r="G4332" t="s">
        <v>154</v>
      </c>
      <c r="H4332" t="s">
        <v>194</v>
      </c>
      <c r="I4332" t="s">
        <v>123</v>
      </c>
      <c r="J4332" t="s">
        <v>219</v>
      </c>
      <c r="K4332">
        <v>1</v>
      </c>
    </row>
    <row r="4333" spans="1:11" ht="14.5" customHeight="1" x14ac:dyDescent="0.2">
      <c r="A4333">
        <v>2023</v>
      </c>
      <c r="B4333" t="s">
        <v>191</v>
      </c>
      <c r="C4333" t="s">
        <v>875</v>
      </c>
      <c r="D4333" s="22">
        <v>230</v>
      </c>
      <c r="E4333" s="16"/>
      <c r="F4333" t="s">
        <v>1247</v>
      </c>
      <c r="G4333" t="s">
        <v>144</v>
      </c>
      <c r="H4333" t="s">
        <v>232</v>
      </c>
      <c r="I4333" t="s">
        <v>134</v>
      </c>
      <c r="J4333" t="s">
        <v>201</v>
      </c>
      <c r="K4333">
        <v>1</v>
      </c>
    </row>
    <row r="4334" spans="1:11" ht="14.5" customHeight="1" x14ac:dyDescent="0.2">
      <c r="A4334">
        <v>2023</v>
      </c>
      <c r="B4334" t="s">
        <v>191</v>
      </c>
      <c r="C4334" t="s">
        <v>557</v>
      </c>
      <c r="D4334" s="22">
        <v>280</v>
      </c>
      <c r="E4334" s="16"/>
      <c r="F4334" t="s">
        <v>3092</v>
      </c>
      <c r="G4334" t="s">
        <v>151</v>
      </c>
      <c r="H4334" t="s">
        <v>279</v>
      </c>
      <c r="I4334" t="s">
        <v>40</v>
      </c>
      <c r="J4334" t="s">
        <v>219</v>
      </c>
      <c r="K4334">
        <v>1</v>
      </c>
    </row>
    <row r="4335" spans="1:11" ht="14.5" customHeight="1" x14ac:dyDescent="0.2">
      <c r="A4335">
        <v>2023</v>
      </c>
      <c r="B4335" t="s">
        <v>191</v>
      </c>
      <c r="C4335" t="s">
        <v>1035</v>
      </c>
      <c r="D4335" s="22">
        <v>1080</v>
      </c>
      <c r="E4335" s="16"/>
      <c r="F4335" t="s">
        <v>2037</v>
      </c>
      <c r="G4335" t="s">
        <v>144</v>
      </c>
      <c r="H4335" t="s">
        <v>197</v>
      </c>
      <c r="I4335" t="s">
        <v>67</v>
      </c>
      <c r="J4335" t="s">
        <v>183</v>
      </c>
      <c r="K4335">
        <v>1</v>
      </c>
    </row>
    <row r="4336" spans="1:11" ht="14.5" customHeight="1" x14ac:dyDescent="0.2">
      <c r="A4336">
        <v>2023</v>
      </c>
      <c r="B4336" t="s">
        <v>191</v>
      </c>
      <c r="C4336" t="s">
        <v>3093</v>
      </c>
      <c r="D4336" s="22">
        <v>160</v>
      </c>
      <c r="E4336" s="16"/>
      <c r="G4336" t="s">
        <v>154</v>
      </c>
      <c r="H4336" t="s">
        <v>194</v>
      </c>
      <c r="I4336" t="s">
        <v>95</v>
      </c>
      <c r="J4336" t="s">
        <v>183</v>
      </c>
      <c r="K4336">
        <v>1</v>
      </c>
    </row>
    <row r="4337" spans="1:11" ht="14.5" customHeight="1" x14ac:dyDescent="0.2">
      <c r="A4337">
        <v>2023</v>
      </c>
      <c r="B4337" t="s">
        <v>198</v>
      </c>
      <c r="C4337" t="s">
        <v>199</v>
      </c>
      <c r="D4337" s="22">
        <v>100</v>
      </c>
      <c r="E4337" s="16"/>
      <c r="G4337" t="s">
        <v>144</v>
      </c>
      <c r="H4337" t="s">
        <v>187</v>
      </c>
      <c r="I4337" t="s">
        <v>55</v>
      </c>
      <c r="J4337" t="s">
        <v>214</v>
      </c>
      <c r="K4337">
        <v>1</v>
      </c>
    </row>
    <row r="4338" spans="1:11" ht="14.5" customHeight="1" x14ac:dyDescent="0.2">
      <c r="A4338">
        <v>2023</v>
      </c>
      <c r="B4338" t="s">
        <v>198</v>
      </c>
      <c r="C4338" t="s">
        <v>557</v>
      </c>
      <c r="D4338" s="22">
        <v>220</v>
      </c>
      <c r="E4338" s="16"/>
      <c r="F4338" t="s">
        <v>3094</v>
      </c>
      <c r="G4338" t="s">
        <v>151</v>
      </c>
      <c r="H4338" t="s">
        <v>279</v>
      </c>
      <c r="I4338" t="s">
        <v>55</v>
      </c>
      <c r="J4338" t="s">
        <v>214</v>
      </c>
      <c r="K4338">
        <v>1</v>
      </c>
    </row>
    <row r="4339" spans="1:11" ht="14.5" customHeight="1" x14ac:dyDescent="0.2">
      <c r="A4339">
        <v>2023</v>
      </c>
      <c r="B4339" t="s">
        <v>198</v>
      </c>
      <c r="C4339" t="s">
        <v>479</v>
      </c>
      <c r="D4339" s="22">
        <v>110</v>
      </c>
      <c r="E4339" s="16"/>
      <c r="F4339" t="s">
        <v>3095</v>
      </c>
      <c r="G4339" t="s">
        <v>154</v>
      </c>
      <c r="H4339" t="s">
        <v>194</v>
      </c>
      <c r="I4339" t="s">
        <v>112</v>
      </c>
      <c r="J4339" t="s">
        <v>219</v>
      </c>
      <c r="K4339">
        <v>1</v>
      </c>
    </row>
    <row r="4340" spans="1:11" ht="14.5" customHeight="1" x14ac:dyDescent="0.2">
      <c r="A4340">
        <v>2023</v>
      </c>
      <c r="B4340" t="s">
        <v>198</v>
      </c>
      <c r="C4340" t="s">
        <v>444</v>
      </c>
      <c r="D4340" s="22">
        <v>440</v>
      </c>
      <c r="E4340" s="16"/>
      <c r="G4340" t="s">
        <v>144</v>
      </c>
      <c r="H4340" t="s">
        <v>299</v>
      </c>
      <c r="I4340" t="s">
        <v>89</v>
      </c>
      <c r="J4340" t="s">
        <v>219</v>
      </c>
      <c r="K4340">
        <v>1</v>
      </c>
    </row>
    <row r="4341" spans="1:11" ht="14.5" customHeight="1" x14ac:dyDescent="0.2">
      <c r="A4341">
        <v>2023</v>
      </c>
      <c r="B4341" t="s">
        <v>198</v>
      </c>
      <c r="C4341" t="s">
        <v>175</v>
      </c>
      <c r="D4341" s="22">
        <v>110</v>
      </c>
      <c r="E4341" s="16"/>
      <c r="F4341" t="s">
        <v>3096</v>
      </c>
      <c r="G4341" t="s">
        <v>149</v>
      </c>
      <c r="H4341" t="s">
        <v>182</v>
      </c>
      <c r="I4341" t="s">
        <v>53</v>
      </c>
      <c r="J4341" t="s">
        <v>183</v>
      </c>
      <c r="K4341">
        <v>1</v>
      </c>
    </row>
    <row r="4342" spans="1:11" ht="14.5" customHeight="1" x14ac:dyDescent="0.2">
      <c r="A4342">
        <v>2023</v>
      </c>
      <c r="B4342" t="s">
        <v>198</v>
      </c>
      <c r="C4342" t="s">
        <v>875</v>
      </c>
      <c r="D4342" s="22">
        <v>220</v>
      </c>
      <c r="E4342" s="16"/>
      <c r="G4342" t="s">
        <v>144</v>
      </c>
      <c r="H4342" t="s">
        <v>232</v>
      </c>
      <c r="I4342" t="s">
        <v>134</v>
      </c>
      <c r="J4342" t="s">
        <v>201</v>
      </c>
      <c r="K4342">
        <v>1</v>
      </c>
    </row>
    <row r="4343" spans="1:11" ht="14.5" customHeight="1" x14ac:dyDescent="0.2">
      <c r="A4343">
        <v>2023</v>
      </c>
      <c r="B4343" t="s">
        <v>198</v>
      </c>
      <c r="C4343" t="s">
        <v>3097</v>
      </c>
      <c r="D4343" s="22">
        <v>370</v>
      </c>
      <c r="E4343" s="16"/>
      <c r="F4343" t="s">
        <v>3098</v>
      </c>
      <c r="G4343" t="s">
        <v>144</v>
      </c>
      <c r="H4343" t="s">
        <v>273</v>
      </c>
      <c r="I4343" t="s">
        <v>78</v>
      </c>
      <c r="J4343" t="s">
        <v>183</v>
      </c>
      <c r="K4343">
        <v>1</v>
      </c>
    </row>
    <row r="4344" spans="1:11" ht="14.5" customHeight="1" x14ac:dyDescent="0.2">
      <c r="A4344">
        <v>2023</v>
      </c>
      <c r="B4344" t="s">
        <v>198</v>
      </c>
      <c r="C4344" t="s">
        <v>449</v>
      </c>
      <c r="D4344" s="22">
        <v>910</v>
      </c>
      <c r="E4344" s="16"/>
      <c r="G4344" t="s">
        <v>154</v>
      </c>
      <c r="H4344" t="s">
        <v>529</v>
      </c>
      <c r="I4344" t="s">
        <v>89</v>
      </c>
      <c r="J4344" t="s">
        <v>219</v>
      </c>
      <c r="K4344">
        <v>1</v>
      </c>
    </row>
    <row r="4345" spans="1:11" ht="14.5" customHeight="1" x14ac:dyDescent="0.2">
      <c r="A4345">
        <v>2023</v>
      </c>
      <c r="B4345" t="s">
        <v>202</v>
      </c>
      <c r="C4345" t="s">
        <v>2940</v>
      </c>
      <c r="D4345" s="22">
        <v>220</v>
      </c>
      <c r="E4345" s="16"/>
      <c r="F4345" t="s">
        <v>993</v>
      </c>
      <c r="G4345" t="s">
        <v>144</v>
      </c>
      <c r="I4345" t="s">
        <v>100</v>
      </c>
      <c r="J4345" t="s">
        <v>214</v>
      </c>
      <c r="K4345">
        <v>1</v>
      </c>
    </row>
    <row r="4346" spans="1:11" ht="14.5" customHeight="1" x14ac:dyDescent="0.2">
      <c r="A4346">
        <v>2023</v>
      </c>
      <c r="B4346" t="s">
        <v>202</v>
      </c>
      <c r="C4346" t="s">
        <v>185</v>
      </c>
      <c r="D4346" s="22">
        <v>640</v>
      </c>
      <c r="E4346" s="16"/>
      <c r="G4346" t="s">
        <v>144</v>
      </c>
      <c r="H4346" t="s">
        <v>187</v>
      </c>
      <c r="I4346" t="s">
        <v>91</v>
      </c>
      <c r="J4346" t="s">
        <v>195</v>
      </c>
      <c r="K4346">
        <v>0</v>
      </c>
    </row>
    <row r="4347" spans="1:11" ht="14.5" customHeight="1" x14ac:dyDescent="0.2">
      <c r="A4347">
        <v>2023</v>
      </c>
      <c r="B4347" t="s">
        <v>202</v>
      </c>
      <c r="C4347" t="s">
        <v>1035</v>
      </c>
      <c r="D4347" s="22">
        <v>230</v>
      </c>
      <c r="E4347" s="16"/>
      <c r="G4347" t="s">
        <v>154</v>
      </c>
      <c r="H4347" t="s">
        <v>194</v>
      </c>
      <c r="I4347" t="s">
        <v>98</v>
      </c>
      <c r="J4347" t="s">
        <v>195</v>
      </c>
      <c r="K4347">
        <v>1</v>
      </c>
    </row>
    <row r="4348" spans="1:11" ht="14.5" customHeight="1" x14ac:dyDescent="0.2">
      <c r="A4348">
        <v>2023</v>
      </c>
      <c r="B4348" t="s">
        <v>202</v>
      </c>
      <c r="C4348" t="s">
        <v>1035</v>
      </c>
      <c r="D4348" s="22">
        <v>220</v>
      </c>
      <c r="E4348" s="16"/>
      <c r="G4348" t="s">
        <v>154</v>
      </c>
      <c r="H4348" t="s">
        <v>529</v>
      </c>
      <c r="I4348" t="s">
        <v>106</v>
      </c>
      <c r="J4348" t="s">
        <v>195</v>
      </c>
      <c r="K4348">
        <v>1</v>
      </c>
    </row>
    <row r="4349" spans="1:11" ht="14.5" customHeight="1" x14ac:dyDescent="0.2">
      <c r="A4349">
        <v>2023</v>
      </c>
      <c r="B4349" t="s">
        <v>202</v>
      </c>
      <c r="C4349" t="s">
        <v>479</v>
      </c>
      <c r="D4349" s="22">
        <v>110</v>
      </c>
      <c r="E4349" s="16"/>
      <c r="G4349" t="s">
        <v>142</v>
      </c>
      <c r="I4349" t="s">
        <v>123</v>
      </c>
      <c r="J4349" t="s">
        <v>219</v>
      </c>
      <c r="K4349">
        <v>1</v>
      </c>
    </row>
    <row r="4350" spans="1:11" ht="14.5" customHeight="1" x14ac:dyDescent="0.2">
      <c r="A4350">
        <v>2023</v>
      </c>
      <c r="B4350" t="s">
        <v>202</v>
      </c>
      <c r="C4350" t="s">
        <v>479</v>
      </c>
      <c r="D4350" s="22">
        <v>840</v>
      </c>
      <c r="E4350" s="16"/>
      <c r="G4350" t="s">
        <v>154</v>
      </c>
      <c r="H4350" t="s">
        <v>194</v>
      </c>
      <c r="I4350" t="s">
        <v>9</v>
      </c>
      <c r="J4350" t="s">
        <v>9</v>
      </c>
      <c r="K4350">
        <v>0</v>
      </c>
    </row>
    <row r="4351" spans="1:11" ht="14.5" customHeight="1" x14ac:dyDescent="0.2">
      <c r="A4351">
        <v>2023</v>
      </c>
      <c r="B4351" t="s">
        <v>202</v>
      </c>
      <c r="C4351" t="s">
        <v>449</v>
      </c>
      <c r="D4351" s="22">
        <v>150</v>
      </c>
      <c r="E4351" s="16"/>
      <c r="G4351" t="s">
        <v>151</v>
      </c>
      <c r="H4351" t="s">
        <v>279</v>
      </c>
      <c r="I4351" t="s">
        <v>132</v>
      </c>
      <c r="J4351" t="s">
        <v>219</v>
      </c>
      <c r="K4351">
        <v>1</v>
      </c>
    </row>
    <row r="4352" spans="1:11" ht="14.5" customHeight="1" x14ac:dyDescent="0.2">
      <c r="A4352">
        <v>2023</v>
      </c>
      <c r="B4352" t="s">
        <v>202</v>
      </c>
      <c r="C4352" t="s">
        <v>175</v>
      </c>
      <c r="D4352" s="22">
        <v>100</v>
      </c>
      <c r="E4352" s="16"/>
      <c r="F4352" t="s">
        <v>3099</v>
      </c>
      <c r="G4352" t="s">
        <v>149</v>
      </c>
      <c r="H4352" t="s">
        <v>182</v>
      </c>
      <c r="I4352" t="s">
        <v>13</v>
      </c>
      <c r="J4352" t="s">
        <v>201</v>
      </c>
      <c r="K4352">
        <v>1</v>
      </c>
    </row>
    <row r="4353" spans="1:11" ht="14.5" customHeight="1" x14ac:dyDescent="0.2">
      <c r="A4353">
        <v>2023</v>
      </c>
      <c r="B4353" t="s">
        <v>202</v>
      </c>
      <c r="C4353" t="s">
        <v>479</v>
      </c>
      <c r="D4353" s="22">
        <v>540</v>
      </c>
      <c r="E4353" s="16"/>
      <c r="G4353" t="s">
        <v>147</v>
      </c>
      <c r="I4353" t="s">
        <v>9</v>
      </c>
      <c r="J4353" t="s">
        <v>9</v>
      </c>
      <c r="K4353">
        <v>0</v>
      </c>
    </row>
    <row r="4354" spans="1:11" ht="14.5" customHeight="1" x14ac:dyDescent="0.2">
      <c r="A4354">
        <v>2023</v>
      </c>
      <c r="B4354" t="s">
        <v>202</v>
      </c>
      <c r="C4354" t="s">
        <v>199</v>
      </c>
      <c r="D4354" s="22">
        <v>330</v>
      </c>
      <c r="E4354" s="16"/>
      <c r="G4354" t="s">
        <v>144</v>
      </c>
      <c r="H4354" t="s">
        <v>187</v>
      </c>
      <c r="I4354" t="s">
        <v>130</v>
      </c>
      <c r="J4354" t="s">
        <v>214</v>
      </c>
      <c r="K4354">
        <v>1</v>
      </c>
    </row>
    <row r="4355" spans="1:11" ht="14.5" customHeight="1" x14ac:dyDescent="0.2">
      <c r="A4355">
        <v>2023</v>
      </c>
      <c r="B4355" t="s">
        <v>202</v>
      </c>
      <c r="C4355" t="s">
        <v>479</v>
      </c>
      <c r="D4355" s="22">
        <v>660</v>
      </c>
      <c r="E4355" s="16"/>
      <c r="G4355" t="s">
        <v>154</v>
      </c>
      <c r="H4355" t="s">
        <v>194</v>
      </c>
      <c r="I4355" t="s">
        <v>2554</v>
      </c>
      <c r="J4355" t="s">
        <v>219</v>
      </c>
      <c r="K4355">
        <v>1</v>
      </c>
    </row>
    <row r="4356" spans="1:11" ht="14.5" customHeight="1" x14ac:dyDescent="0.2">
      <c r="A4356">
        <v>2023</v>
      </c>
      <c r="B4356" t="s">
        <v>202</v>
      </c>
      <c r="C4356" t="s">
        <v>479</v>
      </c>
      <c r="D4356" s="22">
        <v>470</v>
      </c>
      <c r="E4356" s="16"/>
      <c r="G4356" t="s">
        <v>154</v>
      </c>
      <c r="H4356" t="s">
        <v>194</v>
      </c>
      <c r="I4356" t="s">
        <v>2445</v>
      </c>
      <c r="J4356" t="s">
        <v>177</v>
      </c>
      <c r="K4356">
        <v>1</v>
      </c>
    </row>
    <row r="4357" spans="1:11" ht="14.5" customHeight="1" x14ac:dyDescent="0.2">
      <c r="A4357">
        <v>2023</v>
      </c>
      <c r="B4357" t="s">
        <v>207</v>
      </c>
      <c r="C4357" t="s">
        <v>449</v>
      </c>
      <c r="D4357" s="22">
        <v>170</v>
      </c>
      <c r="E4357" s="16"/>
      <c r="G4357" t="s">
        <v>150</v>
      </c>
      <c r="H4357" t="s">
        <v>744</v>
      </c>
      <c r="I4357" t="s">
        <v>40</v>
      </c>
      <c r="J4357" t="s">
        <v>219</v>
      </c>
      <c r="K4357">
        <v>1</v>
      </c>
    </row>
    <row r="4358" spans="1:11" ht="14.5" customHeight="1" x14ac:dyDescent="0.2">
      <c r="A4358">
        <v>2023</v>
      </c>
      <c r="B4358" t="s">
        <v>207</v>
      </c>
      <c r="C4358" t="s">
        <v>185</v>
      </c>
      <c r="D4358" s="22">
        <v>120</v>
      </c>
      <c r="E4358" s="16"/>
      <c r="G4358" t="s">
        <v>144</v>
      </c>
      <c r="H4358" t="s">
        <v>187</v>
      </c>
      <c r="I4358" t="s">
        <v>77</v>
      </c>
      <c r="J4358" t="s">
        <v>177</v>
      </c>
      <c r="K4358">
        <v>0</v>
      </c>
    </row>
    <row r="4359" spans="1:11" ht="14.5" customHeight="1" x14ac:dyDescent="0.2">
      <c r="A4359">
        <v>2023</v>
      </c>
      <c r="B4359" t="s">
        <v>207</v>
      </c>
      <c r="C4359" t="s">
        <v>189</v>
      </c>
      <c r="D4359" s="22">
        <v>160</v>
      </c>
      <c r="E4359" s="16"/>
      <c r="F4359" t="s">
        <v>3100</v>
      </c>
      <c r="G4359" t="s">
        <v>144</v>
      </c>
      <c r="H4359" t="s">
        <v>187</v>
      </c>
      <c r="I4359" t="s">
        <v>77</v>
      </c>
      <c r="J4359" t="s">
        <v>177</v>
      </c>
      <c r="K4359">
        <v>0</v>
      </c>
    </row>
    <row r="4360" spans="1:11" ht="14.5" customHeight="1" x14ac:dyDescent="0.2">
      <c r="A4360">
        <v>2023</v>
      </c>
      <c r="B4360" t="s">
        <v>207</v>
      </c>
      <c r="C4360" t="s">
        <v>479</v>
      </c>
      <c r="D4360" s="22">
        <v>700</v>
      </c>
      <c r="E4360" s="16"/>
      <c r="G4360" t="s">
        <v>154</v>
      </c>
      <c r="H4360" t="s">
        <v>529</v>
      </c>
      <c r="I4360" t="s">
        <v>108</v>
      </c>
      <c r="J4360" t="s">
        <v>183</v>
      </c>
      <c r="K4360">
        <v>1</v>
      </c>
    </row>
    <row r="4361" spans="1:11" ht="14.5" customHeight="1" x14ac:dyDescent="0.2">
      <c r="A4361">
        <v>2023</v>
      </c>
      <c r="B4361" t="s">
        <v>207</v>
      </c>
      <c r="C4361" t="s">
        <v>2434</v>
      </c>
      <c r="D4361" s="22">
        <v>460</v>
      </c>
      <c r="E4361" s="16"/>
      <c r="G4361" t="s">
        <v>154</v>
      </c>
      <c r="H4361" t="s">
        <v>250</v>
      </c>
      <c r="I4361" t="s">
        <v>108</v>
      </c>
      <c r="J4361" t="s">
        <v>183</v>
      </c>
      <c r="K4361">
        <v>1</v>
      </c>
    </row>
    <row r="4362" spans="1:11" ht="14.5" customHeight="1" x14ac:dyDescent="0.2">
      <c r="A4362">
        <v>2023</v>
      </c>
      <c r="B4362" t="s">
        <v>207</v>
      </c>
      <c r="C4362" t="s">
        <v>3101</v>
      </c>
      <c r="D4362" s="22">
        <v>380</v>
      </c>
      <c r="E4362" s="16"/>
      <c r="G4362" t="s">
        <v>144</v>
      </c>
      <c r="H4362" t="s">
        <v>299</v>
      </c>
      <c r="I4362" t="s">
        <v>63</v>
      </c>
      <c r="J4362" t="s">
        <v>201</v>
      </c>
      <c r="K4362">
        <v>1</v>
      </c>
    </row>
    <row r="4363" spans="1:11" ht="14.5" customHeight="1" x14ac:dyDescent="0.2">
      <c r="A4363">
        <v>2023</v>
      </c>
      <c r="B4363" t="s">
        <v>207</v>
      </c>
      <c r="C4363" t="s">
        <v>1035</v>
      </c>
      <c r="D4363" s="22">
        <v>150</v>
      </c>
      <c r="E4363" s="16"/>
      <c r="F4363" t="s">
        <v>2387</v>
      </c>
      <c r="G4363" t="s">
        <v>149</v>
      </c>
      <c r="H4363" t="s">
        <v>182</v>
      </c>
      <c r="I4363" t="s">
        <v>68</v>
      </c>
      <c r="J4363" t="s">
        <v>219</v>
      </c>
      <c r="K4363">
        <v>1</v>
      </c>
    </row>
    <row r="4364" spans="1:11" ht="14.5" customHeight="1" x14ac:dyDescent="0.2">
      <c r="A4364">
        <v>2023</v>
      </c>
      <c r="B4364" t="s">
        <v>207</v>
      </c>
      <c r="C4364" t="s">
        <v>1035</v>
      </c>
      <c r="D4364" s="22">
        <v>410</v>
      </c>
      <c r="E4364" s="16"/>
      <c r="F4364" t="s">
        <v>1247</v>
      </c>
      <c r="G4364" t="s">
        <v>155</v>
      </c>
      <c r="I4364" t="s">
        <v>130</v>
      </c>
      <c r="J4364" t="s">
        <v>214</v>
      </c>
      <c r="K4364">
        <v>1</v>
      </c>
    </row>
    <row r="4365" spans="1:11" ht="14.5" customHeight="1" x14ac:dyDescent="0.2">
      <c r="A4365">
        <v>2023</v>
      </c>
      <c r="B4365" t="s">
        <v>207</v>
      </c>
      <c r="C4365" t="s">
        <v>1035</v>
      </c>
      <c r="D4365" s="22">
        <v>560</v>
      </c>
      <c r="E4365" s="16"/>
      <c r="F4365" t="s">
        <v>3086</v>
      </c>
      <c r="G4365" t="s">
        <v>144</v>
      </c>
      <c r="H4365" t="s">
        <v>232</v>
      </c>
      <c r="I4365" t="s">
        <v>134</v>
      </c>
      <c r="J4365" t="s">
        <v>201</v>
      </c>
      <c r="K4365">
        <v>1</v>
      </c>
    </row>
    <row r="4366" spans="1:11" ht="14.5" customHeight="1" x14ac:dyDescent="0.2">
      <c r="A4366">
        <v>2023</v>
      </c>
      <c r="B4366" t="s">
        <v>207</v>
      </c>
      <c r="C4366" t="s">
        <v>199</v>
      </c>
      <c r="D4366" s="22">
        <v>300</v>
      </c>
      <c r="E4366" s="16"/>
      <c r="G4366" t="s">
        <v>144</v>
      </c>
      <c r="H4366" t="s">
        <v>187</v>
      </c>
      <c r="I4366" t="s">
        <v>130</v>
      </c>
      <c r="J4366" t="s">
        <v>214</v>
      </c>
      <c r="K4366">
        <v>1</v>
      </c>
    </row>
    <row r="4367" spans="1:11" ht="14.5" customHeight="1" x14ac:dyDescent="0.2">
      <c r="A4367">
        <v>2023</v>
      </c>
      <c r="B4367" t="s">
        <v>207</v>
      </c>
      <c r="C4367" t="s">
        <v>1035</v>
      </c>
      <c r="D4367" s="22">
        <v>230</v>
      </c>
      <c r="E4367" s="16"/>
      <c r="F4367" t="s">
        <v>3102</v>
      </c>
      <c r="G4367" t="s">
        <v>144</v>
      </c>
      <c r="H4367" t="s">
        <v>197</v>
      </c>
      <c r="I4367" t="s">
        <v>28</v>
      </c>
      <c r="J4367" t="s">
        <v>205</v>
      </c>
      <c r="K4367">
        <v>0</v>
      </c>
    </row>
    <row r="4368" spans="1:11" ht="14.5" customHeight="1" x14ac:dyDescent="0.2">
      <c r="A4368">
        <v>2023</v>
      </c>
      <c r="B4368" t="s">
        <v>207</v>
      </c>
      <c r="C4368" t="s">
        <v>341</v>
      </c>
      <c r="D4368" s="22">
        <v>270</v>
      </c>
      <c r="E4368" s="16"/>
      <c r="G4368" t="s">
        <v>154</v>
      </c>
      <c r="H4368" t="s">
        <v>529</v>
      </c>
      <c r="I4368" t="s">
        <v>124</v>
      </c>
      <c r="J4368" t="s">
        <v>183</v>
      </c>
      <c r="K4368">
        <v>1</v>
      </c>
    </row>
    <row r="4369" spans="1:11" ht="14.5" customHeight="1" x14ac:dyDescent="0.2">
      <c r="A4369">
        <v>2023</v>
      </c>
      <c r="B4369" t="s">
        <v>207</v>
      </c>
      <c r="C4369" t="s">
        <v>397</v>
      </c>
      <c r="D4369" s="22">
        <v>140</v>
      </c>
      <c r="E4369" s="16"/>
      <c r="G4369" t="s">
        <v>154</v>
      </c>
      <c r="H4369" t="s">
        <v>194</v>
      </c>
      <c r="I4369" t="s">
        <v>13</v>
      </c>
      <c r="J4369" t="s">
        <v>201</v>
      </c>
      <c r="K4369">
        <v>1</v>
      </c>
    </row>
    <row r="4370" spans="1:11" ht="14.5" customHeight="1" x14ac:dyDescent="0.2">
      <c r="A4370">
        <v>2023</v>
      </c>
      <c r="B4370" t="s">
        <v>207</v>
      </c>
      <c r="C4370" t="s">
        <v>444</v>
      </c>
      <c r="D4370" s="22">
        <v>130</v>
      </c>
      <c r="E4370" s="16"/>
      <c r="G4370" t="s">
        <v>154</v>
      </c>
      <c r="H4370" t="s">
        <v>194</v>
      </c>
      <c r="I4370" t="s">
        <v>76</v>
      </c>
      <c r="J4370" t="s">
        <v>219</v>
      </c>
      <c r="K4370">
        <v>0</v>
      </c>
    </row>
    <row r="4371" spans="1:11" ht="14.5" customHeight="1" x14ac:dyDescent="0.2">
      <c r="A4371">
        <v>2023</v>
      </c>
      <c r="B4371" t="s">
        <v>240</v>
      </c>
      <c r="C4371" t="s">
        <v>875</v>
      </c>
      <c r="D4371" s="22">
        <v>1120</v>
      </c>
      <c r="E4371" s="16"/>
      <c r="G4371" t="s">
        <v>151</v>
      </c>
      <c r="H4371" t="s">
        <v>279</v>
      </c>
      <c r="I4371" t="s">
        <v>65</v>
      </c>
      <c r="J4371" t="s">
        <v>214</v>
      </c>
      <c r="K4371">
        <v>1</v>
      </c>
    </row>
    <row r="4372" spans="1:11" ht="14.5" customHeight="1" x14ac:dyDescent="0.2">
      <c r="A4372">
        <v>2023</v>
      </c>
      <c r="B4372" t="s">
        <v>240</v>
      </c>
      <c r="C4372" t="s">
        <v>2103</v>
      </c>
      <c r="D4372" s="22">
        <v>100</v>
      </c>
      <c r="E4372" s="16"/>
      <c r="F4372" t="s">
        <v>1812</v>
      </c>
      <c r="G4372" t="s">
        <v>149</v>
      </c>
      <c r="I4372" t="s">
        <v>34</v>
      </c>
      <c r="J4372" t="s">
        <v>219</v>
      </c>
      <c r="K4372">
        <v>1</v>
      </c>
    </row>
    <row r="4373" spans="1:11" ht="14.5" customHeight="1" x14ac:dyDescent="0.2">
      <c r="A4373">
        <v>2023</v>
      </c>
      <c r="B4373" t="s">
        <v>240</v>
      </c>
      <c r="C4373" t="s">
        <v>557</v>
      </c>
      <c r="D4373" s="22">
        <v>600</v>
      </c>
      <c r="E4373" s="16"/>
      <c r="F4373" t="s">
        <v>3103</v>
      </c>
      <c r="G4373" t="s">
        <v>151</v>
      </c>
      <c r="H4373" t="s">
        <v>279</v>
      </c>
      <c r="I4373" t="s">
        <v>89</v>
      </c>
      <c r="J4373" t="s">
        <v>219</v>
      </c>
      <c r="K4373">
        <v>1</v>
      </c>
    </row>
    <row r="4374" spans="1:11" ht="14.5" customHeight="1" x14ac:dyDescent="0.2">
      <c r="A4374">
        <v>2023</v>
      </c>
      <c r="B4374" t="s">
        <v>240</v>
      </c>
      <c r="C4374" t="s">
        <v>479</v>
      </c>
      <c r="D4374" s="22">
        <v>760</v>
      </c>
      <c r="E4374" s="16"/>
      <c r="G4374" t="s">
        <v>154</v>
      </c>
      <c r="H4374" t="s">
        <v>529</v>
      </c>
      <c r="I4374" t="s">
        <v>72</v>
      </c>
      <c r="J4374" t="s">
        <v>183</v>
      </c>
      <c r="K4374">
        <v>1</v>
      </c>
    </row>
    <row r="4375" spans="1:11" ht="14.5" customHeight="1" x14ac:dyDescent="0.2">
      <c r="A4375">
        <v>2023</v>
      </c>
      <c r="B4375" t="s">
        <v>240</v>
      </c>
      <c r="C4375" t="s">
        <v>2228</v>
      </c>
      <c r="D4375" s="22">
        <v>560</v>
      </c>
      <c r="E4375" s="16"/>
      <c r="G4375" t="s">
        <v>154</v>
      </c>
      <c r="H4375" t="s">
        <v>194</v>
      </c>
      <c r="I4375" t="s">
        <v>106</v>
      </c>
      <c r="J4375" t="s">
        <v>195</v>
      </c>
      <c r="K4375">
        <v>1</v>
      </c>
    </row>
    <row r="4376" spans="1:11" ht="14.5" customHeight="1" x14ac:dyDescent="0.2">
      <c r="A4376">
        <v>2023</v>
      </c>
      <c r="B4376" t="s">
        <v>240</v>
      </c>
      <c r="C4376" t="s">
        <v>1035</v>
      </c>
      <c r="D4376" s="22">
        <v>280</v>
      </c>
      <c r="E4376" s="16"/>
      <c r="G4376" t="s">
        <v>144</v>
      </c>
      <c r="H4376" t="s">
        <v>197</v>
      </c>
      <c r="I4376" t="s">
        <v>93</v>
      </c>
      <c r="J4376" t="s">
        <v>201</v>
      </c>
      <c r="K4376">
        <v>1</v>
      </c>
    </row>
    <row r="4377" spans="1:11" ht="14.5" customHeight="1" x14ac:dyDescent="0.2">
      <c r="A4377">
        <v>2023</v>
      </c>
      <c r="B4377" t="s">
        <v>240</v>
      </c>
      <c r="C4377" t="s">
        <v>875</v>
      </c>
      <c r="D4377" s="22">
        <v>380</v>
      </c>
      <c r="E4377" s="16"/>
      <c r="G4377" t="s">
        <v>144</v>
      </c>
      <c r="H4377" t="s">
        <v>232</v>
      </c>
      <c r="I4377" t="s">
        <v>77</v>
      </c>
      <c r="J4377" t="s">
        <v>177</v>
      </c>
      <c r="K4377">
        <v>0</v>
      </c>
    </row>
    <row r="4378" spans="1:11" ht="14.5" customHeight="1" x14ac:dyDescent="0.2">
      <c r="A4378">
        <v>2023</v>
      </c>
      <c r="B4378" t="s">
        <v>212</v>
      </c>
      <c r="C4378" t="s">
        <v>557</v>
      </c>
      <c r="D4378" s="22">
        <v>230</v>
      </c>
      <c r="E4378" s="16"/>
      <c r="F4378" t="s">
        <v>2270</v>
      </c>
      <c r="G4378" t="s">
        <v>151</v>
      </c>
      <c r="H4378" t="s">
        <v>279</v>
      </c>
      <c r="I4378" t="s">
        <v>15</v>
      </c>
      <c r="J4378" t="s">
        <v>195</v>
      </c>
      <c r="K4378">
        <v>0</v>
      </c>
    </row>
    <row r="4379" spans="1:11" ht="14.5" customHeight="1" x14ac:dyDescent="0.2">
      <c r="A4379">
        <v>2023</v>
      </c>
      <c r="B4379" t="s">
        <v>212</v>
      </c>
      <c r="C4379" t="s">
        <v>2667</v>
      </c>
      <c r="D4379" s="22">
        <v>270</v>
      </c>
      <c r="E4379" s="16"/>
      <c r="F4379" t="s">
        <v>3104</v>
      </c>
      <c r="G4379" t="s">
        <v>144</v>
      </c>
      <c r="H4379" t="s">
        <v>299</v>
      </c>
      <c r="I4379" t="s">
        <v>89</v>
      </c>
      <c r="J4379" t="s">
        <v>219</v>
      </c>
      <c r="K4379">
        <v>1</v>
      </c>
    </row>
    <row r="4380" spans="1:11" ht="14.5" customHeight="1" x14ac:dyDescent="0.2">
      <c r="A4380">
        <v>2023</v>
      </c>
      <c r="B4380" t="s">
        <v>212</v>
      </c>
      <c r="C4380" t="s">
        <v>1035</v>
      </c>
      <c r="D4380" s="22">
        <v>830</v>
      </c>
      <c r="E4380" s="16"/>
      <c r="G4380" t="s">
        <v>154</v>
      </c>
      <c r="H4380" t="s">
        <v>529</v>
      </c>
      <c r="I4380" t="s">
        <v>34</v>
      </c>
      <c r="J4380" t="s">
        <v>219</v>
      </c>
      <c r="K4380">
        <v>1</v>
      </c>
    </row>
    <row r="4381" spans="1:11" ht="14.5" customHeight="1" x14ac:dyDescent="0.2">
      <c r="A4381">
        <v>2023</v>
      </c>
      <c r="B4381" t="s">
        <v>212</v>
      </c>
      <c r="C4381" t="s">
        <v>397</v>
      </c>
      <c r="D4381" s="22">
        <v>330</v>
      </c>
      <c r="E4381" s="16"/>
      <c r="G4381" t="s">
        <v>144</v>
      </c>
      <c r="H4381" t="s">
        <v>232</v>
      </c>
      <c r="I4381" t="s">
        <v>5</v>
      </c>
      <c r="J4381" t="s">
        <v>214</v>
      </c>
      <c r="K4381">
        <v>1</v>
      </c>
    </row>
    <row r="4382" spans="1:11" ht="14.5" customHeight="1" x14ac:dyDescent="0.2">
      <c r="A4382">
        <v>2023</v>
      </c>
      <c r="B4382" t="s">
        <v>212</v>
      </c>
      <c r="C4382" t="s">
        <v>1035</v>
      </c>
      <c r="D4382" s="22">
        <v>240</v>
      </c>
      <c r="E4382" s="16"/>
      <c r="G4382" t="s">
        <v>144</v>
      </c>
      <c r="H4382" t="s">
        <v>197</v>
      </c>
      <c r="I4382" t="s">
        <v>53</v>
      </c>
      <c r="J4382" t="s">
        <v>183</v>
      </c>
      <c r="K4382">
        <v>1</v>
      </c>
    </row>
    <row r="4383" spans="1:11" ht="14.5" customHeight="1" x14ac:dyDescent="0.2">
      <c r="A4383">
        <v>2023</v>
      </c>
      <c r="B4383" t="s">
        <v>212</v>
      </c>
      <c r="C4383" t="s">
        <v>397</v>
      </c>
      <c r="D4383" s="22">
        <v>840</v>
      </c>
      <c r="E4383" s="16"/>
      <c r="G4383" t="s">
        <v>154</v>
      </c>
      <c r="H4383" t="s">
        <v>194</v>
      </c>
      <c r="I4383" t="s">
        <v>106</v>
      </c>
      <c r="J4383" t="s">
        <v>195</v>
      </c>
      <c r="K4383">
        <v>1</v>
      </c>
    </row>
    <row r="4384" spans="1:11" ht="14.5" customHeight="1" x14ac:dyDescent="0.2">
      <c r="A4384">
        <v>2023</v>
      </c>
      <c r="B4384" t="s">
        <v>212</v>
      </c>
      <c r="C4384" t="s">
        <v>479</v>
      </c>
      <c r="D4384" s="22">
        <v>120</v>
      </c>
      <c r="E4384" s="16"/>
      <c r="G4384" t="s">
        <v>154</v>
      </c>
      <c r="H4384" t="s">
        <v>194</v>
      </c>
      <c r="I4384" t="s">
        <v>50</v>
      </c>
      <c r="J4384" t="s">
        <v>205</v>
      </c>
      <c r="K4384">
        <v>1</v>
      </c>
    </row>
    <row r="4385" spans="1:12" ht="14.5" customHeight="1" x14ac:dyDescent="0.2">
      <c r="A4385">
        <v>2023</v>
      </c>
      <c r="B4385" t="s">
        <v>212</v>
      </c>
      <c r="C4385" t="s">
        <v>479</v>
      </c>
      <c r="D4385" s="22">
        <v>120</v>
      </c>
      <c r="E4385" s="16"/>
      <c r="G4385" t="s">
        <v>144</v>
      </c>
      <c r="H4385" t="s">
        <v>299</v>
      </c>
      <c r="I4385" t="s">
        <v>72</v>
      </c>
      <c r="J4385" t="s">
        <v>183</v>
      </c>
      <c r="K4385">
        <v>1</v>
      </c>
    </row>
    <row r="4386" spans="1:12" ht="14.5" customHeight="1" x14ac:dyDescent="0.2">
      <c r="A4386">
        <v>2023</v>
      </c>
      <c r="B4386" t="s">
        <v>212</v>
      </c>
      <c r="C4386" t="s">
        <v>1035</v>
      </c>
      <c r="D4386" s="22">
        <v>110</v>
      </c>
      <c r="E4386" s="16"/>
      <c r="G4386" t="s">
        <v>149</v>
      </c>
      <c r="H4386" t="s">
        <v>238</v>
      </c>
      <c r="I4386" t="s">
        <v>48</v>
      </c>
      <c r="J4386" t="s">
        <v>219</v>
      </c>
      <c r="K4386">
        <v>1</v>
      </c>
    </row>
    <row r="4387" spans="1:12" ht="14.5" customHeight="1" x14ac:dyDescent="0.2">
      <c r="A4387">
        <v>2023</v>
      </c>
      <c r="B4387" t="s">
        <v>212</v>
      </c>
      <c r="C4387" t="s">
        <v>1035</v>
      </c>
      <c r="D4387" s="22">
        <v>410</v>
      </c>
      <c r="E4387" s="16"/>
      <c r="F4387" t="s">
        <v>1247</v>
      </c>
      <c r="G4387" t="s">
        <v>144</v>
      </c>
      <c r="H4387" t="s">
        <v>232</v>
      </c>
      <c r="I4387" t="s">
        <v>105</v>
      </c>
      <c r="J4387" t="s">
        <v>214</v>
      </c>
      <c r="K4387">
        <v>1</v>
      </c>
    </row>
    <row r="4388" spans="1:12" ht="14.5" customHeight="1" x14ac:dyDescent="0.2">
      <c r="A4388">
        <v>2023</v>
      </c>
      <c r="B4388" t="s">
        <v>212</v>
      </c>
      <c r="C4388" t="s">
        <v>745</v>
      </c>
      <c r="D4388" s="22">
        <v>200</v>
      </c>
      <c r="E4388" s="16"/>
      <c r="F4388" t="s">
        <v>625</v>
      </c>
      <c r="G4388" t="s">
        <v>143</v>
      </c>
      <c r="I4388" t="s">
        <v>105</v>
      </c>
      <c r="J4388" t="s">
        <v>214</v>
      </c>
      <c r="K4388">
        <v>1</v>
      </c>
    </row>
    <row r="4389" spans="1:12" ht="14.5" customHeight="1" x14ac:dyDescent="0.2">
      <c r="A4389">
        <v>2023</v>
      </c>
      <c r="B4389" t="s">
        <v>212</v>
      </c>
      <c r="C4389" t="s">
        <v>557</v>
      </c>
      <c r="D4389" s="22">
        <v>590</v>
      </c>
      <c r="E4389" s="16"/>
      <c r="F4389" t="s">
        <v>2405</v>
      </c>
      <c r="G4389" t="s">
        <v>151</v>
      </c>
      <c r="H4389" t="s">
        <v>279</v>
      </c>
      <c r="I4389" t="s">
        <v>89</v>
      </c>
      <c r="J4389" t="s">
        <v>219</v>
      </c>
      <c r="K4389">
        <v>1</v>
      </c>
    </row>
    <row r="4390" spans="1:12" ht="14.5" customHeight="1" x14ac:dyDescent="0.2">
      <c r="A4390">
        <v>2023</v>
      </c>
      <c r="B4390" t="s">
        <v>212</v>
      </c>
      <c r="C4390" t="s">
        <v>199</v>
      </c>
      <c r="D4390" s="22">
        <v>460</v>
      </c>
      <c r="E4390" s="16">
        <v>0.3</v>
      </c>
      <c r="F4390" t="s">
        <v>2300</v>
      </c>
      <c r="G4390" t="s">
        <v>143</v>
      </c>
      <c r="I4390" t="s">
        <v>5</v>
      </c>
      <c r="J4390" t="s">
        <v>214</v>
      </c>
      <c r="K4390">
        <v>1</v>
      </c>
    </row>
    <row r="4391" spans="1:12" ht="14.5" customHeight="1" x14ac:dyDescent="0.2">
      <c r="A4391">
        <v>2023</v>
      </c>
      <c r="B4391" t="s">
        <v>212</v>
      </c>
      <c r="C4391" t="s">
        <v>745</v>
      </c>
      <c r="D4391" s="22">
        <v>620</v>
      </c>
      <c r="E4391" s="16"/>
      <c r="F4391" t="s">
        <v>3105</v>
      </c>
      <c r="G4391" t="s">
        <v>142</v>
      </c>
      <c r="I4391" t="s">
        <v>53</v>
      </c>
      <c r="J4391" t="s">
        <v>183</v>
      </c>
      <c r="K4391">
        <v>1</v>
      </c>
    </row>
    <row r="4392" spans="1:12" ht="14.5" customHeight="1" x14ac:dyDescent="0.2">
      <c r="A4392">
        <v>2023</v>
      </c>
      <c r="B4392" t="s">
        <v>212</v>
      </c>
      <c r="C4392" t="s">
        <v>175</v>
      </c>
      <c r="D4392" s="22">
        <v>190</v>
      </c>
      <c r="E4392" s="16"/>
      <c r="G4392" t="s">
        <v>151</v>
      </c>
      <c r="I4392" t="s">
        <v>23</v>
      </c>
      <c r="J4392" t="s">
        <v>183</v>
      </c>
      <c r="K4392">
        <v>1</v>
      </c>
    </row>
    <row r="4393" spans="1:12" ht="14.5" customHeight="1" x14ac:dyDescent="0.2">
      <c r="A4393">
        <v>2023</v>
      </c>
      <c r="B4393" t="s">
        <v>212</v>
      </c>
      <c r="C4393" t="s">
        <v>397</v>
      </c>
      <c r="D4393" s="22">
        <v>120</v>
      </c>
      <c r="E4393" s="16"/>
      <c r="G4393" t="s">
        <v>144</v>
      </c>
      <c r="H4393" t="s">
        <v>299</v>
      </c>
      <c r="I4393" t="s">
        <v>95</v>
      </c>
      <c r="J4393" t="s">
        <v>183</v>
      </c>
      <c r="K4393">
        <v>1</v>
      </c>
    </row>
    <row r="4394" spans="1:12" ht="14.5" customHeight="1" x14ac:dyDescent="0.2">
      <c r="A4394">
        <v>2023</v>
      </c>
      <c r="B4394" t="s">
        <v>212</v>
      </c>
      <c r="C4394" t="s">
        <v>2625</v>
      </c>
      <c r="D4394" s="22">
        <v>950</v>
      </c>
      <c r="E4394" s="16"/>
      <c r="G4394" t="s">
        <v>144</v>
      </c>
      <c r="H4394" t="s">
        <v>299</v>
      </c>
      <c r="I4394" t="s">
        <v>134</v>
      </c>
      <c r="J4394" t="s">
        <v>201</v>
      </c>
      <c r="K4394">
        <v>1</v>
      </c>
    </row>
    <row r="4395" spans="1:12" ht="14.5" customHeight="1" x14ac:dyDescent="0.2">
      <c r="A4395">
        <v>2023</v>
      </c>
      <c r="B4395" t="s">
        <v>212</v>
      </c>
      <c r="C4395" t="s">
        <v>745</v>
      </c>
      <c r="D4395" s="22">
        <v>370</v>
      </c>
      <c r="E4395" s="16"/>
      <c r="F4395" t="s">
        <v>3106</v>
      </c>
      <c r="G4395" t="s">
        <v>142</v>
      </c>
      <c r="I4395" t="s">
        <v>101</v>
      </c>
      <c r="J4395" t="s">
        <v>201</v>
      </c>
      <c r="K4395">
        <v>1</v>
      </c>
    </row>
    <row r="4396" spans="1:12" ht="14.5" customHeight="1" x14ac:dyDescent="0.2">
      <c r="A4396">
        <v>2024</v>
      </c>
      <c r="B4396" t="s">
        <v>172</v>
      </c>
      <c r="C4396" t="s">
        <v>2200</v>
      </c>
      <c r="D4396" s="65">
        <v>100</v>
      </c>
      <c r="E4396" s="33">
        <v>1</v>
      </c>
      <c r="G4396" t="s">
        <v>154</v>
      </c>
      <c r="H4396" t="s">
        <v>194</v>
      </c>
      <c r="I4396" t="s">
        <v>136</v>
      </c>
      <c r="J4396" t="s">
        <v>183</v>
      </c>
      <c r="K4396">
        <v>1</v>
      </c>
      <c r="L4396" s="28" t="s">
        <v>178</v>
      </c>
    </row>
    <row r="4397" spans="1:12" ht="14.5" customHeight="1" x14ac:dyDescent="0.2">
      <c r="A4397">
        <v>2024</v>
      </c>
      <c r="B4397" t="s">
        <v>172</v>
      </c>
      <c r="C4397" t="s">
        <v>2201</v>
      </c>
      <c r="D4397" s="65">
        <v>100</v>
      </c>
      <c r="E4397" s="33">
        <v>1</v>
      </c>
      <c r="G4397" t="s">
        <v>150</v>
      </c>
      <c r="H4397" t="s">
        <v>556</v>
      </c>
      <c r="I4397" t="s">
        <v>124</v>
      </c>
      <c r="J4397" t="s">
        <v>183</v>
      </c>
      <c r="K4397">
        <v>1</v>
      </c>
      <c r="L4397" s="28" t="s">
        <v>178</v>
      </c>
    </row>
    <row r="4398" spans="1:12" ht="14.5" customHeight="1" x14ac:dyDescent="0.2">
      <c r="A4398">
        <v>2024</v>
      </c>
      <c r="B4398" t="s">
        <v>172</v>
      </c>
      <c r="C4398" t="s">
        <v>2202</v>
      </c>
      <c r="D4398" s="65">
        <v>220</v>
      </c>
      <c r="E4398" s="33"/>
      <c r="G4398" t="s">
        <v>145</v>
      </c>
      <c r="I4398" t="s">
        <v>41</v>
      </c>
      <c r="J4398" t="s">
        <v>195</v>
      </c>
      <c r="K4398">
        <v>0</v>
      </c>
      <c r="L4398" s="28"/>
    </row>
    <row r="4399" spans="1:12" ht="14.5" customHeight="1" x14ac:dyDescent="0.2">
      <c r="A4399">
        <v>2024</v>
      </c>
      <c r="B4399" t="s">
        <v>172</v>
      </c>
      <c r="C4399" t="s">
        <v>714</v>
      </c>
      <c r="D4399" s="65">
        <v>120</v>
      </c>
      <c r="E4399" s="33">
        <v>0.51</v>
      </c>
      <c r="G4399" t="s">
        <v>154</v>
      </c>
      <c r="H4399" t="s">
        <v>194</v>
      </c>
      <c r="I4399" t="s">
        <v>77</v>
      </c>
      <c r="J4399" t="s">
        <v>177</v>
      </c>
      <c r="K4399">
        <v>0</v>
      </c>
      <c r="L4399" s="28" t="s">
        <v>178</v>
      </c>
    </row>
    <row r="4400" spans="1:12" ht="14.5" customHeight="1" x14ac:dyDescent="0.2">
      <c r="A4400">
        <v>2024</v>
      </c>
      <c r="B4400" t="s">
        <v>172</v>
      </c>
      <c r="C4400" t="s">
        <v>2203</v>
      </c>
      <c r="D4400" s="65">
        <v>1910</v>
      </c>
      <c r="E4400" s="33"/>
      <c r="G4400" t="s">
        <v>149</v>
      </c>
      <c r="H4400" t="s">
        <v>182</v>
      </c>
      <c r="I4400" t="s">
        <v>72</v>
      </c>
      <c r="J4400" t="s">
        <v>183</v>
      </c>
      <c r="K4400">
        <v>1</v>
      </c>
      <c r="L4400" s="28" t="s">
        <v>178</v>
      </c>
    </row>
    <row r="4401" spans="1:12" ht="14.5" customHeight="1" x14ac:dyDescent="0.2">
      <c r="A4401">
        <v>2024</v>
      </c>
      <c r="B4401" t="s">
        <v>172</v>
      </c>
      <c r="C4401" t="s">
        <v>714</v>
      </c>
      <c r="D4401" s="65">
        <v>100</v>
      </c>
      <c r="E4401" s="33"/>
      <c r="G4401" t="s">
        <v>154</v>
      </c>
      <c r="H4401" t="s">
        <v>194</v>
      </c>
      <c r="I4401" t="s">
        <v>23</v>
      </c>
      <c r="J4401" t="s">
        <v>183</v>
      </c>
      <c r="K4401">
        <v>1</v>
      </c>
      <c r="L4401" s="28"/>
    </row>
    <row r="4402" spans="1:12" ht="14.5" customHeight="1" x14ac:dyDescent="0.2">
      <c r="A4402">
        <v>2024</v>
      </c>
      <c r="B4402" t="s">
        <v>172</v>
      </c>
      <c r="C4402" t="s">
        <v>2204</v>
      </c>
      <c r="D4402" s="65">
        <v>300</v>
      </c>
      <c r="E4402" s="33"/>
      <c r="G4402" t="s">
        <v>144</v>
      </c>
      <c r="H4402" t="s">
        <v>232</v>
      </c>
      <c r="I4402" t="s">
        <v>66</v>
      </c>
      <c r="J4402" t="s">
        <v>201</v>
      </c>
      <c r="K4402">
        <v>1</v>
      </c>
      <c r="L4402" s="28" t="s">
        <v>178</v>
      </c>
    </row>
    <row r="4403" spans="1:12" ht="14.5" customHeight="1" x14ac:dyDescent="0.2">
      <c r="A4403">
        <v>2024</v>
      </c>
      <c r="B4403" t="s">
        <v>172</v>
      </c>
      <c r="C4403" t="s">
        <v>1431</v>
      </c>
      <c r="D4403" s="65">
        <v>140</v>
      </c>
      <c r="E4403" s="33"/>
      <c r="G4403" t="s">
        <v>150</v>
      </c>
      <c r="H4403" t="s">
        <v>556</v>
      </c>
      <c r="I4403" t="s">
        <v>136</v>
      </c>
      <c r="J4403" t="s">
        <v>183</v>
      </c>
      <c r="K4403">
        <v>1</v>
      </c>
      <c r="L4403" s="28"/>
    </row>
    <row r="4404" spans="1:12" s="41" customFormat="1" ht="14.5" customHeight="1" x14ac:dyDescent="0.2">
      <c r="A4404">
        <v>2024</v>
      </c>
      <c r="B4404" t="s">
        <v>172</v>
      </c>
      <c r="C4404" t="s">
        <v>2205</v>
      </c>
      <c r="D4404" s="65">
        <v>240</v>
      </c>
      <c r="E4404" s="33"/>
      <c r="G4404" t="s">
        <v>144</v>
      </c>
      <c r="H4404" t="s">
        <v>232</v>
      </c>
      <c r="I4404" t="s">
        <v>80</v>
      </c>
      <c r="J4404" t="s">
        <v>214</v>
      </c>
      <c r="K4404">
        <v>1</v>
      </c>
      <c r="L4404" s="28" t="s">
        <v>178</v>
      </c>
    </row>
    <row r="4405" spans="1:12" s="41" customFormat="1" ht="14.5" customHeight="1" x14ac:dyDescent="0.2">
      <c r="A4405">
        <v>2024</v>
      </c>
      <c r="B4405" t="s">
        <v>172</v>
      </c>
      <c r="C4405" t="s">
        <v>2067</v>
      </c>
      <c r="D4405" s="65">
        <v>1020</v>
      </c>
      <c r="E4405" s="33"/>
      <c r="F4405" t="s">
        <v>2206</v>
      </c>
      <c r="G4405" t="s">
        <v>154</v>
      </c>
      <c r="H4405" t="s">
        <v>194</v>
      </c>
      <c r="I4405" t="s">
        <v>80</v>
      </c>
      <c r="J4405" t="s">
        <v>214</v>
      </c>
      <c r="K4405">
        <v>1</v>
      </c>
      <c r="L4405" s="28" t="s">
        <v>178</v>
      </c>
    </row>
    <row r="4406" spans="1:12" ht="14.5" customHeight="1" x14ac:dyDescent="0.2">
      <c r="A4406">
        <v>2024</v>
      </c>
      <c r="B4406" t="s">
        <v>172</v>
      </c>
      <c r="C4406" t="s">
        <v>2207</v>
      </c>
      <c r="D4406" s="65">
        <v>290</v>
      </c>
      <c r="E4406" s="33"/>
      <c r="G4406" t="s">
        <v>151</v>
      </c>
      <c r="H4406" t="s">
        <v>279</v>
      </c>
      <c r="I4406" t="s">
        <v>108</v>
      </c>
      <c r="J4406" t="s">
        <v>183</v>
      </c>
      <c r="K4406">
        <v>1</v>
      </c>
      <c r="L4406" s="28" t="s">
        <v>178</v>
      </c>
    </row>
    <row r="4407" spans="1:12" ht="14.5" customHeight="1" x14ac:dyDescent="0.2">
      <c r="A4407">
        <v>2024</v>
      </c>
      <c r="B4407" t="s">
        <v>172</v>
      </c>
      <c r="C4407" t="s">
        <v>559</v>
      </c>
      <c r="D4407" s="65">
        <v>310</v>
      </c>
      <c r="E4407" s="33"/>
      <c r="G4407" t="s">
        <v>149</v>
      </c>
      <c r="H4407" t="s">
        <v>236</v>
      </c>
      <c r="I4407" t="s">
        <v>106</v>
      </c>
      <c r="J4407" t="s">
        <v>195</v>
      </c>
      <c r="K4407">
        <v>1</v>
      </c>
      <c r="L4407" s="28"/>
    </row>
    <row r="4408" spans="1:12" ht="14.5" customHeight="1" x14ac:dyDescent="0.2">
      <c r="A4408">
        <v>2024</v>
      </c>
      <c r="B4408" t="s">
        <v>172</v>
      </c>
      <c r="C4408" t="s">
        <v>559</v>
      </c>
      <c r="D4408" s="65">
        <v>100</v>
      </c>
      <c r="E4408" s="33"/>
      <c r="F4408" t="s">
        <v>2208</v>
      </c>
      <c r="G4408" t="s">
        <v>149</v>
      </c>
      <c r="I4408" t="s">
        <v>28</v>
      </c>
      <c r="J4408" t="s">
        <v>205</v>
      </c>
      <c r="K4408">
        <v>1</v>
      </c>
      <c r="L4408" s="28"/>
    </row>
    <row r="4409" spans="1:12" ht="14.5" customHeight="1" x14ac:dyDescent="0.2">
      <c r="A4409">
        <v>2024</v>
      </c>
      <c r="B4409" t="s">
        <v>258</v>
      </c>
      <c r="C4409" t="s">
        <v>1465</v>
      </c>
      <c r="D4409" s="65">
        <v>800</v>
      </c>
      <c r="E4409" s="33"/>
      <c r="G4409" t="s">
        <v>151</v>
      </c>
      <c r="H4409" t="s">
        <v>224</v>
      </c>
      <c r="I4409" t="s">
        <v>20</v>
      </c>
      <c r="J4409" t="s">
        <v>195</v>
      </c>
      <c r="K4409">
        <v>0</v>
      </c>
      <c r="L4409" s="28"/>
    </row>
    <row r="4410" spans="1:12" ht="14.5" customHeight="1" x14ac:dyDescent="0.2">
      <c r="A4410">
        <v>2024</v>
      </c>
      <c r="B4410" t="s">
        <v>258</v>
      </c>
      <c r="C4410" t="s">
        <v>1173</v>
      </c>
      <c r="D4410" s="65">
        <v>230</v>
      </c>
      <c r="E4410" s="33">
        <v>1</v>
      </c>
      <c r="F4410" t="s">
        <v>2209</v>
      </c>
      <c r="G4410" t="s">
        <v>151</v>
      </c>
      <c r="H4410" t="s">
        <v>224</v>
      </c>
      <c r="I4410" t="s">
        <v>131</v>
      </c>
      <c r="J4410" t="s">
        <v>131</v>
      </c>
      <c r="K4410">
        <v>0</v>
      </c>
      <c r="L4410" s="28"/>
    </row>
    <row r="4411" spans="1:12" ht="14.5" customHeight="1" x14ac:dyDescent="0.2">
      <c r="A4411">
        <v>2024</v>
      </c>
      <c r="B4411" t="s">
        <v>258</v>
      </c>
      <c r="C4411" t="s">
        <v>234</v>
      </c>
      <c r="D4411" s="65">
        <v>210</v>
      </c>
      <c r="E4411" s="33"/>
      <c r="G4411" t="s">
        <v>149</v>
      </c>
      <c r="H4411" t="s">
        <v>236</v>
      </c>
      <c r="I4411" t="s">
        <v>25</v>
      </c>
      <c r="J4411" t="s">
        <v>177</v>
      </c>
      <c r="K4411">
        <v>0</v>
      </c>
      <c r="L4411" s="28"/>
    </row>
    <row r="4412" spans="1:12" ht="14.5" customHeight="1" x14ac:dyDescent="0.2">
      <c r="A4412">
        <v>2024</v>
      </c>
      <c r="B4412" t="s">
        <v>258</v>
      </c>
      <c r="C4412" t="s">
        <v>694</v>
      </c>
      <c r="D4412" s="65">
        <v>280</v>
      </c>
      <c r="E4412" s="33">
        <v>1</v>
      </c>
      <c r="F4412" t="s">
        <v>2210</v>
      </c>
      <c r="G4412" t="s">
        <v>149</v>
      </c>
      <c r="I4412" t="s">
        <v>83</v>
      </c>
      <c r="J4412" t="s">
        <v>219</v>
      </c>
      <c r="K4412">
        <v>1</v>
      </c>
      <c r="L4412" s="28"/>
    </row>
    <row r="4413" spans="1:12" ht="14.5" customHeight="1" x14ac:dyDescent="0.2">
      <c r="A4413">
        <v>2024</v>
      </c>
      <c r="B4413" t="s">
        <v>258</v>
      </c>
      <c r="C4413" t="s">
        <v>2024</v>
      </c>
      <c r="D4413" s="65">
        <v>100</v>
      </c>
      <c r="E4413" s="33"/>
      <c r="G4413" t="s">
        <v>154</v>
      </c>
      <c r="H4413" t="s">
        <v>194</v>
      </c>
      <c r="I4413" t="s">
        <v>131</v>
      </c>
      <c r="J4413" t="s">
        <v>131</v>
      </c>
      <c r="K4413">
        <v>0</v>
      </c>
      <c r="L4413" s="28" t="s">
        <v>178</v>
      </c>
    </row>
    <row r="4414" spans="1:12" ht="14.5" customHeight="1" x14ac:dyDescent="0.2">
      <c r="A4414">
        <v>2024</v>
      </c>
      <c r="B4414" t="s">
        <v>258</v>
      </c>
      <c r="C4414" t="s">
        <v>405</v>
      </c>
      <c r="D4414" s="65">
        <v>1240</v>
      </c>
      <c r="E4414" s="33"/>
      <c r="G4414" t="s">
        <v>149</v>
      </c>
      <c r="H4414" t="s">
        <v>182</v>
      </c>
      <c r="I4414" t="s">
        <v>48</v>
      </c>
      <c r="J4414" t="s">
        <v>219</v>
      </c>
      <c r="K4414">
        <v>1</v>
      </c>
      <c r="L4414" s="28" t="s">
        <v>178</v>
      </c>
    </row>
    <row r="4415" spans="1:12" ht="14.5" customHeight="1" x14ac:dyDescent="0.2">
      <c r="A4415">
        <v>2024</v>
      </c>
      <c r="B4415" t="s">
        <v>258</v>
      </c>
      <c r="C4415" t="s">
        <v>1750</v>
      </c>
      <c r="D4415" s="65">
        <v>200</v>
      </c>
      <c r="E4415" s="33"/>
      <c r="G4415" t="s">
        <v>154</v>
      </c>
      <c r="H4415" t="s">
        <v>194</v>
      </c>
      <c r="I4415" t="s">
        <v>23</v>
      </c>
      <c r="J4415" t="s">
        <v>183</v>
      </c>
      <c r="K4415">
        <v>1</v>
      </c>
      <c r="L4415" s="28"/>
    </row>
    <row r="4416" spans="1:12" ht="14.5" customHeight="1" x14ac:dyDescent="0.2">
      <c r="A4416">
        <v>2024</v>
      </c>
      <c r="B4416" t="s">
        <v>258</v>
      </c>
      <c r="C4416" t="s">
        <v>1287</v>
      </c>
      <c r="D4416" s="65">
        <v>210</v>
      </c>
      <c r="E4416" s="33"/>
      <c r="G4416" t="s">
        <v>154</v>
      </c>
      <c r="H4416" t="s">
        <v>194</v>
      </c>
      <c r="I4416" t="s">
        <v>131</v>
      </c>
      <c r="J4416" t="s">
        <v>131</v>
      </c>
      <c r="K4416">
        <v>0</v>
      </c>
      <c r="L4416" s="28"/>
    </row>
    <row r="4417" spans="1:12" ht="14.5" customHeight="1" x14ac:dyDescent="0.2">
      <c r="A4417">
        <v>2024</v>
      </c>
      <c r="B4417" t="s">
        <v>179</v>
      </c>
      <c r="C4417" t="s">
        <v>875</v>
      </c>
      <c r="D4417" s="65">
        <v>320</v>
      </c>
      <c r="E4417" s="33">
        <v>1</v>
      </c>
      <c r="G4417" t="s">
        <v>144</v>
      </c>
      <c r="H4417" t="s">
        <v>232</v>
      </c>
      <c r="I4417" t="s">
        <v>134</v>
      </c>
      <c r="J4417" t="s">
        <v>201</v>
      </c>
      <c r="K4417">
        <v>1</v>
      </c>
      <c r="L4417" s="28" t="s">
        <v>178</v>
      </c>
    </row>
    <row r="4418" spans="1:12" ht="14.5" customHeight="1" x14ac:dyDescent="0.2">
      <c r="A4418">
        <v>2024</v>
      </c>
      <c r="B4418" t="s">
        <v>179</v>
      </c>
      <c r="C4418" t="s">
        <v>2211</v>
      </c>
      <c r="D4418" s="65">
        <v>100</v>
      </c>
      <c r="E4418" s="33">
        <v>0.3</v>
      </c>
      <c r="F4418" t="s">
        <v>2138</v>
      </c>
      <c r="G4418" t="s">
        <v>152</v>
      </c>
      <c r="I4418" t="s">
        <v>72</v>
      </c>
      <c r="J4418" t="s">
        <v>183</v>
      </c>
      <c r="K4418">
        <v>1</v>
      </c>
      <c r="L4418" s="28"/>
    </row>
    <row r="4419" spans="1:12" ht="14.5" customHeight="1" x14ac:dyDescent="0.2">
      <c r="A4419">
        <v>2024</v>
      </c>
      <c r="B4419" t="s">
        <v>179</v>
      </c>
      <c r="C4419" t="s">
        <v>2212</v>
      </c>
      <c r="D4419" s="65">
        <v>150</v>
      </c>
      <c r="E4419" s="33"/>
      <c r="G4419" t="s">
        <v>149</v>
      </c>
      <c r="H4419" t="s">
        <v>182</v>
      </c>
      <c r="I4419" t="s">
        <v>38</v>
      </c>
      <c r="J4419" t="s">
        <v>214</v>
      </c>
      <c r="K4419">
        <v>1</v>
      </c>
      <c r="L4419" s="28" t="s">
        <v>178</v>
      </c>
    </row>
    <row r="4420" spans="1:12" ht="14.5" customHeight="1" x14ac:dyDescent="0.2">
      <c r="A4420">
        <v>2024</v>
      </c>
      <c r="B4420" t="s">
        <v>179</v>
      </c>
      <c r="C4420" t="s">
        <v>307</v>
      </c>
      <c r="D4420" s="65">
        <v>220</v>
      </c>
      <c r="E4420" s="33"/>
      <c r="G4420" t="s">
        <v>144</v>
      </c>
      <c r="I4420" t="s">
        <v>19</v>
      </c>
      <c r="J4420" t="s">
        <v>205</v>
      </c>
      <c r="K4420">
        <v>0</v>
      </c>
      <c r="L4420" s="28"/>
    </row>
    <row r="4421" spans="1:12" ht="14.5" customHeight="1" x14ac:dyDescent="0.2">
      <c r="A4421">
        <v>2024</v>
      </c>
      <c r="B4421" t="s">
        <v>179</v>
      </c>
      <c r="C4421" t="s">
        <v>2213</v>
      </c>
      <c r="D4421" s="65">
        <v>100</v>
      </c>
      <c r="E4421" s="33"/>
      <c r="G4421" t="s">
        <v>144</v>
      </c>
      <c r="H4421" t="s">
        <v>232</v>
      </c>
      <c r="I4421" t="s">
        <v>66</v>
      </c>
      <c r="J4421" t="s">
        <v>201</v>
      </c>
      <c r="K4421">
        <v>1</v>
      </c>
      <c r="L4421" s="28" t="s">
        <v>178</v>
      </c>
    </row>
    <row r="4422" spans="1:12" ht="14.5" customHeight="1" x14ac:dyDescent="0.2">
      <c r="A4422">
        <v>2024</v>
      </c>
      <c r="B4422" t="s">
        <v>179</v>
      </c>
      <c r="C4422" t="s">
        <v>269</v>
      </c>
      <c r="D4422" s="65">
        <v>280</v>
      </c>
      <c r="E4422" s="33"/>
      <c r="G4422" t="s">
        <v>154</v>
      </c>
      <c r="H4422" t="s">
        <v>271</v>
      </c>
      <c r="I4422" t="s">
        <v>38</v>
      </c>
      <c r="J4422" t="s">
        <v>214</v>
      </c>
      <c r="K4422">
        <v>1</v>
      </c>
      <c r="L4422" s="28"/>
    </row>
    <row r="4423" spans="1:12" ht="14.5" customHeight="1" x14ac:dyDescent="0.2">
      <c r="A4423">
        <v>2024</v>
      </c>
      <c r="B4423" t="s">
        <v>179</v>
      </c>
      <c r="C4423" t="s">
        <v>2214</v>
      </c>
      <c r="D4423" s="65">
        <v>190</v>
      </c>
      <c r="E4423" s="33">
        <v>1</v>
      </c>
      <c r="G4423" t="s">
        <v>154</v>
      </c>
      <c r="H4423" t="s">
        <v>194</v>
      </c>
      <c r="I4423" t="s">
        <v>23</v>
      </c>
      <c r="J4423" t="s">
        <v>183</v>
      </c>
      <c r="K4423">
        <v>1</v>
      </c>
      <c r="L4423" s="28" t="s">
        <v>178</v>
      </c>
    </row>
    <row r="4424" spans="1:12" ht="14.5" customHeight="1" x14ac:dyDescent="0.2">
      <c r="A4424">
        <v>2024</v>
      </c>
      <c r="B4424" t="s">
        <v>179</v>
      </c>
      <c r="C4424" t="s">
        <v>175</v>
      </c>
      <c r="D4424" s="65">
        <v>100</v>
      </c>
      <c r="E4424" s="33"/>
      <c r="G4424" t="s">
        <v>149</v>
      </c>
      <c r="H4424" t="s">
        <v>236</v>
      </c>
      <c r="I4424" t="s">
        <v>96</v>
      </c>
      <c r="J4424" t="s">
        <v>205</v>
      </c>
      <c r="K4424">
        <v>1</v>
      </c>
      <c r="L4424" s="28"/>
    </row>
    <row r="4425" spans="1:12" ht="14.5" customHeight="1" x14ac:dyDescent="0.2">
      <c r="A4425">
        <v>2024</v>
      </c>
      <c r="B4425" t="s">
        <v>179</v>
      </c>
      <c r="C4425" t="s">
        <v>244</v>
      </c>
      <c r="D4425" s="65">
        <v>110</v>
      </c>
      <c r="E4425" s="33"/>
      <c r="G4425" t="s">
        <v>149</v>
      </c>
      <c r="H4425" t="s">
        <v>236</v>
      </c>
      <c r="I4425" t="s">
        <v>138</v>
      </c>
      <c r="J4425" t="s">
        <v>219</v>
      </c>
      <c r="K4425">
        <v>1</v>
      </c>
      <c r="L4425" s="28"/>
    </row>
    <row r="4426" spans="1:12" ht="14.5" customHeight="1" x14ac:dyDescent="0.2">
      <c r="A4426">
        <v>2024</v>
      </c>
      <c r="B4426" t="s">
        <v>179</v>
      </c>
      <c r="C4426" t="s">
        <v>246</v>
      </c>
      <c r="D4426" s="65">
        <v>160</v>
      </c>
      <c r="E4426" s="33">
        <v>1</v>
      </c>
      <c r="G4426" t="s">
        <v>144</v>
      </c>
      <c r="H4426" t="s">
        <v>232</v>
      </c>
      <c r="I4426" t="s">
        <v>96</v>
      </c>
      <c r="J4426" t="s">
        <v>205</v>
      </c>
      <c r="K4426">
        <v>1</v>
      </c>
      <c r="L4426" s="28" t="s">
        <v>178</v>
      </c>
    </row>
    <row r="4427" spans="1:12" ht="14.5" customHeight="1" x14ac:dyDescent="0.2">
      <c r="A4427">
        <v>2024</v>
      </c>
      <c r="B4427" t="s">
        <v>184</v>
      </c>
      <c r="C4427" t="s">
        <v>2109</v>
      </c>
      <c r="D4427" s="65">
        <v>110</v>
      </c>
      <c r="E4427" s="33">
        <v>1</v>
      </c>
      <c r="F4427" t="s">
        <v>2215</v>
      </c>
      <c r="G4427" t="s">
        <v>144</v>
      </c>
      <c r="I4427" t="s">
        <v>9</v>
      </c>
      <c r="J4427" t="s">
        <v>9</v>
      </c>
      <c r="K4427">
        <v>0</v>
      </c>
      <c r="L4427" s="28"/>
    </row>
    <row r="4428" spans="1:12" ht="14.5" customHeight="1" x14ac:dyDescent="0.2">
      <c r="A4428">
        <v>2024</v>
      </c>
      <c r="B4428" t="s">
        <v>184</v>
      </c>
      <c r="C4428" t="s">
        <v>2216</v>
      </c>
      <c r="D4428" s="65">
        <v>180</v>
      </c>
      <c r="E4428" s="33">
        <v>1</v>
      </c>
      <c r="G4428" t="s">
        <v>152</v>
      </c>
      <c r="I4428" t="s">
        <v>124</v>
      </c>
      <c r="J4428" t="s">
        <v>183</v>
      </c>
      <c r="K4428">
        <v>1</v>
      </c>
      <c r="L4428" s="28"/>
    </row>
    <row r="4429" spans="1:12" ht="14.5" customHeight="1" x14ac:dyDescent="0.2">
      <c r="A4429">
        <v>2024</v>
      </c>
      <c r="B4429" t="s">
        <v>184</v>
      </c>
      <c r="C4429" t="s">
        <v>2196</v>
      </c>
      <c r="D4429" s="65">
        <v>210</v>
      </c>
      <c r="E4429" s="33">
        <v>0.1</v>
      </c>
      <c r="G4429" t="s">
        <v>154</v>
      </c>
      <c r="H4429" t="s">
        <v>194</v>
      </c>
      <c r="I4429" t="s">
        <v>131</v>
      </c>
      <c r="J4429" t="s">
        <v>131</v>
      </c>
      <c r="K4429">
        <v>0</v>
      </c>
      <c r="L4429" s="28" t="s">
        <v>178</v>
      </c>
    </row>
    <row r="4430" spans="1:12" ht="14.5" customHeight="1" x14ac:dyDescent="0.2">
      <c r="A4430">
        <v>2024</v>
      </c>
      <c r="B4430" t="s">
        <v>184</v>
      </c>
      <c r="C4430" t="s">
        <v>2217</v>
      </c>
      <c r="D4430" s="65">
        <v>280</v>
      </c>
      <c r="E4430" s="33">
        <v>1</v>
      </c>
      <c r="G4430" t="s">
        <v>144</v>
      </c>
      <c r="H4430" t="s">
        <v>232</v>
      </c>
      <c r="I4430" t="s">
        <v>53</v>
      </c>
      <c r="J4430" t="s">
        <v>183</v>
      </c>
      <c r="K4430">
        <v>1</v>
      </c>
      <c r="L4430" s="28" t="s">
        <v>178</v>
      </c>
    </row>
    <row r="4431" spans="1:12" ht="14.5" customHeight="1" x14ac:dyDescent="0.2">
      <c r="A4431">
        <v>2024</v>
      </c>
      <c r="B4431" t="s">
        <v>184</v>
      </c>
      <c r="C4431" t="s">
        <v>551</v>
      </c>
      <c r="D4431" s="65">
        <v>220</v>
      </c>
      <c r="E4431" s="33">
        <v>0.5</v>
      </c>
      <c r="G4431" t="s">
        <v>154</v>
      </c>
      <c r="H4431" t="s">
        <v>194</v>
      </c>
      <c r="I4431" t="s">
        <v>114</v>
      </c>
      <c r="J4431" t="s">
        <v>195</v>
      </c>
      <c r="K4431">
        <v>0</v>
      </c>
      <c r="L4431" s="28" t="s">
        <v>178</v>
      </c>
    </row>
    <row r="4432" spans="1:12" ht="14.5" customHeight="1" x14ac:dyDescent="0.2">
      <c r="A4432">
        <v>2024</v>
      </c>
      <c r="B4432" t="s">
        <v>184</v>
      </c>
      <c r="C4432" t="s">
        <v>2218</v>
      </c>
      <c r="D4432" s="65">
        <v>480</v>
      </c>
      <c r="E4432" s="33">
        <v>1</v>
      </c>
      <c r="G4432" t="s">
        <v>149</v>
      </c>
      <c r="I4432" t="s">
        <v>59</v>
      </c>
      <c r="J4432" t="s">
        <v>219</v>
      </c>
      <c r="K4432">
        <v>1</v>
      </c>
      <c r="L4432" s="28"/>
    </row>
    <row r="4433" spans="1:14" ht="14.5" customHeight="1" x14ac:dyDescent="0.2">
      <c r="A4433">
        <v>2024</v>
      </c>
      <c r="B4433" t="s">
        <v>184</v>
      </c>
      <c r="C4433" t="s">
        <v>822</v>
      </c>
      <c r="D4433" s="65">
        <v>200</v>
      </c>
      <c r="E4433" s="33">
        <v>1</v>
      </c>
      <c r="G4433" t="s">
        <v>148</v>
      </c>
      <c r="I4433" t="s">
        <v>113</v>
      </c>
      <c r="J4433" t="s">
        <v>183</v>
      </c>
      <c r="K4433">
        <v>0</v>
      </c>
      <c r="L4433" s="28" t="s">
        <v>178</v>
      </c>
    </row>
    <row r="4434" spans="1:14" ht="14.5" customHeight="1" x14ac:dyDescent="0.2">
      <c r="A4434">
        <v>2024</v>
      </c>
      <c r="B4434" t="s">
        <v>184</v>
      </c>
      <c r="C4434" t="s">
        <v>1023</v>
      </c>
      <c r="D4434" s="65">
        <v>190</v>
      </c>
      <c r="E4434" s="33"/>
      <c r="G4434" t="s">
        <v>154</v>
      </c>
      <c r="H4434" t="s">
        <v>194</v>
      </c>
      <c r="I4434" t="s">
        <v>80</v>
      </c>
      <c r="J4434" t="s">
        <v>214</v>
      </c>
      <c r="K4434">
        <v>1</v>
      </c>
      <c r="L4434" s="28" t="s">
        <v>178</v>
      </c>
    </row>
    <row r="4435" spans="1:14" ht="14.5" customHeight="1" x14ac:dyDescent="0.2">
      <c r="A4435">
        <v>2024</v>
      </c>
      <c r="B4435" t="s">
        <v>184</v>
      </c>
      <c r="C4435" t="s">
        <v>908</v>
      </c>
      <c r="D4435" s="65">
        <v>910</v>
      </c>
      <c r="E4435" s="33">
        <v>0.22</v>
      </c>
      <c r="G4435" t="s">
        <v>149</v>
      </c>
      <c r="H4435" t="s">
        <v>182</v>
      </c>
      <c r="I4435" t="s">
        <v>48</v>
      </c>
      <c r="J4435" t="s">
        <v>219</v>
      </c>
      <c r="K4435">
        <v>1</v>
      </c>
      <c r="L4435" s="28"/>
      <c r="N4435" s="26"/>
    </row>
    <row r="4436" spans="1:14" s="17" customFormat="1" ht="14.5" customHeight="1" x14ac:dyDescent="0.2">
      <c r="A4436">
        <v>2024</v>
      </c>
      <c r="B4436" t="s">
        <v>184</v>
      </c>
      <c r="C4436" t="s">
        <v>2145</v>
      </c>
      <c r="D4436" s="65">
        <v>300</v>
      </c>
      <c r="E4436" s="33">
        <v>1</v>
      </c>
      <c r="G4436" t="s">
        <v>143</v>
      </c>
      <c r="I4436" t="s">
        <v>80</v>
      </c>
      <c r="J4436" t="s">
        <v>214</v>
      </c>
      <c r="K4436">
        <v>1</v>
      </c>
      <c r="L4436" s="28" t="s">
        <v>178</v>
      </c>
      <c r="N4436" s="39"/>
    </row>
    <row r="4437" spans="1:14" s="17" customFormat="1" ht="14.5" customHeight="1" x14ac:dyDescent="0.2">
      <c r="A4437">
        <v>2024</v>
      </c>
      <c r="B4437" t="s">
        <v>184</v>
      </c>
      <c r="C4437" t="s">
        <v>438</v>
      </c>
      <c r="D4437" s="65">
        <v>1030</v>
      </c>
      <c r="E4437" s="33"/>
      <c r="G4437" t="s">
        <v>154</v>
      </c>
      <c r="H4437" t="s">
        <v>194</v>
      </c>
      <c r="I4437" t="s">
        <v>109</v>
      </c>
      <c r="J4437" t="s">
        <v>195</v>
      </c>
      <c r="K4437">
        <v>1</v>
      </c>
      <c r="L4437" s="28" t="s">
        <v>178</v>
      </c>
      <c r="N4437" s="39"/>
    </row>
    <row r="4438" spans="1:14" s="17" customFormat="1" ht="14.5" customHeight="1" x14ac:dyDescent="0.2">
      <c r="A4438">
        <v>2024</v>
      </c>
      <c r="B4438" t="s">
        <v>184</v>
      </c>
      <c r="C4438" t="s">
        <v>2196</v>
      </c>
      <c r="D4438" s="65">
        <v>810</v>
      </c>
      <c r="E4438" s="33">
        <v>1</v>
      </c>
      <c r="G4438" t="s">
        <v>154</v>
      </c>
      <c r="H4438" t="s">
        <v>194</v>
      </c>
      <c r="I4438" t="s">
        <v>51</v>
      </c>
      <c r="J4438" t="s">
        <v>195</v>
      </c>
      <c r="K4438">
        <v>1</v>
      </c>
      <c r="L4438" s="28" t="s">
        <v>178</v>
      </c>
      <c r="N4438" s="39"/>
    </row>
    <row r="4439" spans="1:14" s="17" customFormat="1" ht="14.5" customHeight="1" x14ac:dyDescent="0.2">
      <c r="A4439">
        <v>2024</v>
      </c>
      <c r="B4439" t="s">
        <v>184</v>
      </c>
      <c r="C4439" t="s">
        <v>600</v>
      </c>
      <c r="D4439" s="65">
        <v>320</v>
      </c>
      <c r="E4439" s="33">
        <v>1</v>
      </c>
      <c r="G4439" t="s">
        <v>144</v>
      </c>
      <c r="H4439" t="s">
        <v>232</v>
      </c>
      <c r="I4439" t="s">
        <v>22</v>
      </c>
      <c r="J4439" t="s">
        <v>195</v>
      </c>
      <c r="K4439">
        <v>1</v>
      </c>
      <c r="L4439" s="28" t="s">
        <v>178</v>
      </c>
      <c r="N4439" s="39"/>
    </row>
    <row r="4440" spans="1:14" s="17" customFormat="1" ht="14.5" customHeight="1" x14ac:dyDescent="0.2">
      <c r="A4440">
        <v>2024</v>
      </c>
      <c r="B4440" t="s">
        <v>184</v>
      </c>
      <c r="C4440" t="s">
        <v>185</v>
      </c>
      <c r="D4440" s="65">
        <v>3180</v>
      </c>
      <c r="E4440" s="33">
        <v>0.25</v>
      </c>
      <c r="F4440" t="s">
        <v>2219</v>
      </c>
      <c r="G4440" t="s">
        <v>144</v>
      </c>
      <c r="H4440" t="s">
        <v>187</v>
      </c>
      <c r="I4440" t="s">
        <v>50</v>
      </c>
      <c r="J4440" t="s">
        <v>205</v>
      </c>
      <c r="K4440">
        <v>1</v>
      </c>
      <c r="L4440" s="28" t="s">
        <v>178</v>
      </c>
      <c r="N4440" s="39"/>
    </row>
    <row r="4441" spans="1:14" ht="14.5" customHeight="1" x14ac:dyDescent="0.2">
      <c r="A4441">
        <v>2024</v>
      </c>
      <c r="B4441" t="s">
        <v>184</v>
      </c>
      <c r="C4441" t="s">
        <v>1011</v>
      </c>
      <c r="D4441" s="65">
        <v>2040</v>
      </c>
      <c r="E4441" s="33">
        <v>0.53</v>
      </c>
      <c r="G4441" t="s">
        <v>154</v>
      </c>
      <c r="H4441" t="s">
        <v>194</v>
      </c>
      <c r="I4441" t="s">
        <v>53</v>
      </c>
      <c r="J4441" t="s">
        <v>183</v>
      </c>
      <c r="K4441">
        <v>1</v>
      </c>
      <c r="L4441" s="28" t="s">
        <v>178</v>
      </c>
      <c r="N4441" s="26"/>
    </row>
    <row r="4442" spans="1:14" ht="14.5" customHeight="1" x14ac:dyDescent="0.2">
      <c r="A4442">
        <v>2024</v>
      </c>
      <c r="B4442" t="s">
        <v>184</v>
      </c>
      <c r="C4442" t="s">
        <v>1353</v>
      </c>
      <c r="D4442" s="65">
        <v>810</v>
      </c>
      <c r="E4442" s="33"/>
      <c r="G4442" t="s">
        <v>151</v>
      </c>
      <c r="H4442" t="s">
        <v>279</v>
      </c>
      <c r="I4442" t="s">
        <v>119</v>
      </c>
      <c r="J4442" t="s">
        <v>195</v>
      </c>
      <c r="K4442">
        <v>0</v>
      </c>
      <c r="L4442" s="28" t="s">
        <v>178</v>
      </c>
      <c r="N4442" s="26"/>
    </row>
    <row r="4443" spans="1:14" ht="14.5" customHeight="1" x14ac:dyDescent="0.2">
      <c r="A4443">
        <v>2024</v>
      </c>
      <c r="B4443" t="s">
        <v>184</v>
      </c>
      <c r="C4443" t="s">
        <v>2188</v>
      </c>
      <c r="D4443" s="65">
        <v>150</v>
      </c>
      <c r="E4443" s="33"/>
      <c r="G4443" t="s">
        <v>144</v>
      </c>
      <c r="H4443" t="s">
        <v>232</v>
      </c>
      <c r="I4443" t="s">
        <v>136</v>
      </c>
      <c r="J4443" t="s">
        <v>183</v>
      </c>
      <c r="K4443">
        <v>1</v>
      </c>
      <c r="L4443" s="28"/>
      <c r="N4443" s="26"/>
    </row>
    <row r="4444" spans="1:14" ht="14.5" customHeight="1" x14ac:dyDescent="0.2">
      <c r="A4444">
        <v>2024</v>
      </c>
      <c r="B4444" t="s">
        <v>225</v>
      </c>
      <c r="C4444" t="s">
        <v>1783</v>
      </c>
      <c r="D4444" s="65">
        <v>230</v>
      </c>
      <c r="E4444" s="33"/>
      <c r="G4444" t="s">
        <v>154</v>
      </c>
      <c r="H4444" t="s">
        <v>194</v>
      </c>
      <c r="I4444" t="s">
        <v>136</v>
      </c>
      <c r="J4444" t="s">
        <v>183</v>
      </c>
      <c r="K4444">
        <v>1</v>
      </c>
      <c r="L4444" s="28"/>
      <c r="N4444" s="26"/>
    </row>
    <row r="4445" spans="1:14" ht="14.5" customHeight="1" x14ac:dyDescent="0.2">
      <c r="A4445">
        <v>2024</v>
      </c>
      <c r="B4445" t="s">
        <v>225</v>
      </c>
      <c r="C4445" t="s">
        <v>943</v>
      </c>
      <c r="D4445" s="65">
        <v>620</v>
      </c>
      <c r="E4445" s="33"/>
      <c r="G4445" t="s">
        <v>144</v>
      </c>
      <c r="H4445" t="s">
        <v>232</v>
      </c>
      <c r="I4445" t="s">
        <v>67</v>
      </c>
      <c r="J4445" t="s">
        <v>183</v>
      </c>
      <c r="K4445">
        <v>1</v>
      </c>
      <c r="L4445" s="28" t="s">
        <v>178</v>
      </c>
      <c r="N4445" s="26"/>
    </row>
    <row r="4446" spans="1:14" ht="14.5" customHeight="1" x14ac:dyDescent="0.2">
      <c r="A4446">
        <v>2024</v>
      </c>
      <c r="B4446" t="s">
        <v>225</v>
      </c>
      <c r="C4446" t="s">
        <v>438</v>
      </c>
      <c r="D4446" s="65">
        <v>2230</v>
      </c>
      <c r="E4446" s="33">
        <v>0.45</v>
      </c>
      <c r="F4446" t="s">
        <v>2158</v>
      </c>
      <c r="G4446" t="s">
        <v>154</v>
      </c>
      <c r="H4446" t="s">
        <v>194</v>
      </c>
      <c r="I4446" t="s">
        <v>20</v>
      </c>
      <c r="J4446" t="s">
        <v>195</v>
      </c>
      <c r="K4446">
        <v>0</v>
      </c>
      <c r="L4446" s="28"/>
      <c r="N4446" s="26"/>
    </row>
    <row r="4447" spans="1:14" ht="14.5" customHeight="1" x14ac:dyDescent="0.2">
      <c r="A4447">
        <v>2024</v>
      </c>
      <c r="B4447" t="s">
        <v>225</v>
      </c>
      <c r="C4447" t="s">
        <v>2220</v>
      </c>
      <c r="D4447" s="65">
        <v>260</v>
      </c>
      <c r="E4447" s="33"/>
      <c r="G4447" t="s">
        <v>142</v>
      </c>
      <c r="I4447" t="s">
        <v>66</v>
      </c>
      <c r="J4447" t="s">
        <v>201</v>
      </c>
      <c r="K4447">
        <v>1</v>
      </c>
      <c r="L4447" s="28" t="s">
        <v>178</v>
      </c>
      <c r="N4447" s="26"/>
    </row>
    <row r="4448" spans="1:14" ht="14.5" customHeight="1" x14ac:dyDescent="0.2">
      <c r="A4448">
        <v>2024</v>
      </c>
      <c r="B4448" t="s">
        <v>225</v>
      </c>
      <c r="C4448" t="s">
        <v>2188</v>
      </c>
      <c r="D4448" s="65">
        <v>290</v>
      </c>
      <c r="E4448" s="33"/>
      <c r="G4448" t="s">
        <v>144</v>
      </c>
      <c r="H4448" t="s">
        <v>232</v>
      </c>
      <c r="I4448" t="s">
        <v>131</v>
      </c>
      <c r="J4448" t="s">
        <v>131</v>
      </c>
      <c r="K4448">
        <v>0</v>
      </c>
      <c r="L4448" s="28" t="s">
        <v>178</v>
      </c>
      <c r="N4448" s="26"/>
    </row>
    <row r="4449" spans="1:14" ht="14.5" customHeight="1" x14ac:dyDescent="0.2">
      <c r="A4449">
        <v>2024</v>
      </c>
      <c r="B4449" t="s">
        <v>225</v>
      </c>
      <c r="C4449" t="s">
        <v>1884</v>
      </c>
      <c r="D4449" s="65">
        <v>250</v>
      </c>
      <c r="E4449" s="33"/>
      <c r="G4449" t="s">
        <v>150</v>
      </c>
      <c r="H4449" t="s">
        <v>226</v>
      </c>
      <c r="I4449" t="s">
        <v>72</v>
      </c>
      <c r="J4449" t="s">
        <v>183</v>
      </c>
      <c r="K4449">
        <v>1</v>
      </c>
      <c r="L4449" s="28"/>
      <c r="N4449" s="26"/>
    </row>
    <row r="4450" spans="1:14" ht="14.5" customHeight="1" x14ac:dyDescent="0.2">
      <c r="A4450">
        <v>2024</v>
      </c>
      <c r="B4450" t="s">
        <v>225</v>
      </c>
      <c r="C4450" t="s">
        <v>1848</v>
      </c>
      <c r="D4450" s="65">
        <v>480</v>
      </c>
      <c r="E4450" s="33"/>
      <c r="G4450" t="s">
        <v>144</v>
      </c>
      <c r="H4450" t="s">
        <v>232</v>
      </c>
      <c r="I4450" t="s">
        <v>134</v>
      </c>
      <c r="J4450" t="s">
        <v>201</v>
      </c>
      <c r="K4450">
        <v>1</v>
      </c>
      <c r="L4450" s="28" t="s">
        <v>178</v>
      </c>
      <c r="N4450" s="26"/>
    </row>
    <row r="4451" spans="1:14" ht="14.5" customHeight="1" x14ac:dyDescent="0.2">
      <c r="A4451">
        <v>2024</v>
      </c>
      <c r="B4451" t="s">
        <v>188</v>
      </c>
      <c r="C4451" t="s">
        <v>1180</v>
      </c>
      <c r="D4451" s="65">
        <v>150</v>
      </c>
      <c r="E4451" s="33"/>
      <c r="G4451" t="s">
        <v>144</v>
      </c>
      <c r="H4451" t="s">
        <v>232</v>
      </c>
      <c r="I4451" t="s">
        <v>19</v>
      </c>
      <c r="J4451" t="s">
        <v>205</v>
      </c>
      <c r="K4451">
        <v>0</v>
      </c>
      <c r="L4451" s="28" t="s">
        <v>178</v>
      </c>
      <c r="N4451" s="26"/>
    </row>
    <row r="4452" spans="1:14" ht="14.5" customHeight="1" x14ac:dyDescent="0.2">
      <c r="A4452">
        <v>2024</v>
      </c>
      <c r="B4452" t="s">
        <v>188</v>
      </c>
      <c r="C4452" t="s">
        <v>1852</v>
      </c>
      <c r="D4452" s="65">
        <v>200</v>
      </c>
      <c r="E4452" s="33">
        <v>0.28000000000000003</v>
      </c>
      <c r="F4452" t="s">
        <v>1881</v>
      </c>
      <c r="G4452" t="s">
        <v>144</v>
      </c>
      <c r="H4452" t="s">
        <v>232</v>
      </c>
      <c r="I4452" t="s">
        <v>108</v>
      </c>
      <c r="J4452" t="s">
        <v>183</v>
      </c>
      <c r="K4452">
        <v>1</v>
      </c>
      <c r="L4452" s="28"/>
      <c r="N4452" s="26"/>
    </row>
    <row r="4453" spans="1:14" ht="14.5" customHeight="1" x14ac:dyDescent="0.2">
      <c r="A4453">
        <v>2024</v>
      </c>
      <c r="B4453" t="s">
        <v>188</v>
      </c>
      <c r="C4453" t="s">
        <v>2103</v>
      </c>
      <c r="D4453" s="65">
        <v>750</v>
      </c>
      <c r="E4453" s="33">
        <v>0.7</v>
      </c>
      <c r="F4453" t="s">
        <v>2221</v>
      </c>
      <c r="G4453" t="s">
        <v>149</v>
      </c>
      <c r="H4453" t="s">
        <v>236</v>
      </c>
      <c r="I4453" t="s">
        <v>138</v>
      </c>
      <c r="J4453" t="s">
        <v>219</v>
      </c>
      <c r="K4453">
        <v>1</v>
      </c>
      <c r="L4453" s="28"/>
      <c r="N4453" s="26"/>
    </row>
    <row r="4454" spans="1:14" ht="14.5" customHeight="1" x14ac:dyDescent="0.2">
      <c r="A4454">
        <v>2024</v>
      </c>
      <c r="B4454" t="s">
        <v>188</v>
      </c>
      <c r="C4454" t="s">
        <v>2222</v>
      </c>
      <c r="D4454" s="65">
        <v>250</v>
      </c>
      <c r="E4454" s="33"/>
      <c r="G4454" t="s">
        <v>149</v>
      </c>
      <c r="H4454" t="s">
        <v>238</v>
      </c>
      <c r="I4454" t="s">
        <v>6</v>
      </c>
      <c r="J4454" t="s">
        <v>219</v>
      </c>
      <c r="K4454">
        <v>1</v>
      </c>
      <c r="L4454" s="28" t="s">
        <v>178</v>
      </c>
      <c r="N4454" s="26"/>
    </row>
    <row r="4455" spans="1:14" ht="14.5" customHeight="1" x14ac:dyDescent="0.2">
      <c r="A4455">
        <v>2024</v>
      </c>
      <c r="B4455" t="s">
        <v>188</v>
      </c>
      <c r="C4455" t="s">
        <v>1769</v>
      </c>
      <c r="D4455" s="65">
        <v>200</v>
      </c>
      <c r="E4455" s="33"/>
      <c r="G4455" t="s">
        <v>152</v>
      </c>
      <c r="I4455" t="s">
        <v>45</v>
      </c>
      <c r="J4455" t="s">
        <v>195</v>
      </c>
      <c r="K4455">
        <v>0</v>
      </c>
      <c r="L4455" s="28"/>
      <c r="N4455" s="26"/>
    </row>
    <row r="4456" spans="1:14" ht="14.5" customHeight="1" x14ac:dyDescent="0.2">
      <c r="A4456">
        <v>2024</v>
      </c>
      <c r="B4456" t="s">
        <v>188</v>
      </c>
      <c r="C4456" t="s">
        <v>822</v>
      </c>
      <c r="D4456" s="65">
        <v>200</v>
      </c>
      <c r="E4456" s="33">
        <v>1</v>
      </c>
      <c r="F4456" t="s">
        <v>2223</v>
      </c>
      <c r="G4456" t="s">
        <v>146</v>
      </c>
      <c r="I4456" t="s">
        <v>85</v>
      </c>
      <c r="J4456" t="s">
        <v>195</v>
      </c>
      <c r="K4456">
        <v>0</v>
      </c>
      <c r="L4456" s="28"/>
      <c r="N4456" s="26"/>
    </row>
    <row r="4457" spans="1:14" ht="14.5" customHeight="1" x14ac:dyDescent="0.2">
      <c r="A4457">
        <v>2024</v>
      </c>
      <c r="B4457" t="s">
        <v>188</v>
      </c>
      <c r="C4457" t="s">
        <v>2096</v>
      </c>
      <c r="D4457" s="65">
        <v>700</v>
      </c>
      <c r="E4457" s="33">
        <v>0.5</v>
      </c>
      <c r="F4457" t="s">
        <v>2224</v>
      </c>
      <c r="G4457" t="s">
        <v>154</v>
      </c>
      <c r="H4457" t="s">
        <v>194</v>
      </c>
      <c r="I4457" t="s">
        <v>109</v>
      </c>
      <c r="J4457" t="s">
        <v>195</v>
      </c>
      <c r="K4457">
        <v>1</v>
      </c>
      <c r="L4457" s="28" t="s">
        <v>178</v>
      </c>
      <c r="N4457" s="26"/>
    </row>
    <row r="4458" spans="1:14" ht="14.5" customHeight="1" x14ac:dyDescent="0.2">
      <c r="A4458">
        <v>2024</v>
      </c>
      <c r="B4458" t="s">
        <v>188</v>
      </c>
      <c r="C4458" t="s">
        <v>1448</v>
      </c>
      <c r="D4458" s="65">
        <v>340</v>
      </c>
      <c r="E4458" s="33">
        <v>0.25</v>
      </c>
      <c r="G4458" t="s">
        <v>149</v>
      </c>
      <c r="I4458" t="s">
        <v>74</v>
      </c>
      <c r="J4458" t="s">
        <v>219</v>
      </c>
      <c r="K4458">
        <v>1</v>
      </c>
      <c r="L4458" s="28"/>
      <c r="N4458" s="26"/>
    </row>
    <row r="4459" spans="1:14" ht="14.5" customHeight="1" x14ac:dyDescent="0.2">
      <c r="A4459">
        <v>2024</v>
      </c>
      <c r="B4459" t="s">
        <v>188</v>
      </c>
      <c r="C4459" t="s">
        <v>2225</v>
      </c>
      <c r="D4459" s="65">
        <v>280</v>
      </c>
      <c r="E4459" s="33"/>
      <c r="G4459" t="s">
        <v>144</v>
      </c>
      <c r="H4459" t="s">
        <v>232</v>
      </c>
      <c r="I4459" t="s">
        <v>92</v>
      </c>
      <c r="J4459" t="s">
        <v>214</v>
      </c>
      <c r="K4459">
        <v>1</v>
      </c>
      <c r="L4459" s="28" t="s">
        <v>178</v>
      </c>
      <c r="N4459" s="26"/>
    </row>
    <row r="4460" spans="1:14" ht="14.5" customHeight="1" x14ac:dyDescent="0.2">
      <c r="A4460">
        <v>2024</v>
      </c>
      <c r="B4460" t="s">
        <v>188</v>
      </c>
      <c r="C4460" t="s">
        <v>189</v>
      </c>
      <c r="D4460" s="65">
        <v>2300</v>
      </c>
      <c r="E4460" s="33">
        <v>0.3</v>
      </c>
      <c r="G4460" t="s">
        <v>143</v>
      </c>
      <c r="I4460" t="s">
        <v>63</v>
      </c>
      <c r="J4460" t="s">
        <v>201</v>
      </c>
      <c r="K4460">
        <v>1</v>
      </c>
      <c r="L4460" s="28" t="s">
        <v>178</v>
      </c>
      <c r="N4460" s="26"/>
    </row>
    <row r="4461" spans="1:14" ht="14.5" customHeight="1" x14ac:dyDescent="0.2">
      <c r="A4461">
        <v>2024</v>
      </c>
      <c r="B4461" t="s">
        <v>188</v>
      </c>
      <c r="C4461" t="s">
        <v>1931</v>
      </c>
      <c r="D4461" s="65">
        <v>320</v>
      </c>
      <c r="E4461" s="33">
        <v>0.6</v>
      </c>
      <c r="F4461" t="s">
        <v>2226</v>
      </c>
      <c r="G4461" t="s">
        <v>152</v>
      </c>
      <c r="I4461" t="s">
        <v>131</v>
      </c>
      <c r="J4461" t="s">
        <v>131</v>
      </c>
      <c r="K4461">
        <v>0</v>
      </c>
      <c r="L4461" s="28"/>
      <c r="N4461" s="26"/>
    </row>
    <row r="4462" spans="1:14" ht="14.5" customHeight="1" x14ac:dyDescent="0.2">
      <c r="A4462">
        <v>2024</v>
      </c>
      <c r="B4462" t="s">
        <v>188</v>
      </c>
      <c r="C4462" t="s">
        <v>2227</v>
      </c>
      <c r="D4462" s="65">
        <v>200</v>
      </c>
      <c r="E4462" s="33">
        <v>0.4</v>
      </c>
      <c r="G4462" t="s">
        <v>144</v>
      </c>
      <c r="H4462" t="s">
        <v>273</v>
      </c>
      <c r="I4462" t="s">
        <v>53</v>
      </c>
      <c r="J4462" t="s">
        <v>183</v>
      </c>
      <c r="K4462">
        <v>1</v>
      </c>
      <c r="L4462" s="28"/>
      <c r="N4462" s="26"/>
    </row>
    <row r="4463" spans="1:14" ht="14.5" customHeight="1" x14ac:dyDescent="0.2">
      <c r="A4463">
        <v>2024</v>
      </c>
      <c r="B4463" t="s">
        <v>188</v>
      </c>
      <c r="C4463" t="s">
        <v>2228</v>
      </c>
      <c r="D4463" s="65">
        <v>350</v>
      </c>
      <c r="E4463" s="33"/>
      <c r="G4463" t="s">
        <v>154</v>
      </c>
      <c r="H4463" t="s">
        <v>194</v>
      </c>
      <c r="I4463" t="s">
        <v>17</v>
      </c>
      <c r="J4463" t="s">
        <v>195</v>
      </c>
      <c r="K4463">
        <v>1</v>
      </c>
      <c r="L4463" s="28" t="s">
        <v>178</v>
      </c>
      <c r="N4463" s="26"/>
    </row>
    <row r="4464" spans="1:14" ht="14.5" customHeight="1" x14ac:dyDescent="0.2">
      <c r="A4464">
        <v>2024</v>
      </c>
      <c r="B4464" t="s">
        <v>191</v>
      </c>
      <c r="C4464" t="s">
        <v>337</v>
      </c>
      <c r="D4464" s="65">
        <v>150</v>
      </c>
      <c r="E4464" s="33">
        <v>1</v>
      </c>
      <c r="G4464" t="s">
        <v>144</v>
      </c>
      <c r="H4464" t="s">
        <v>232</v>
      </c>
      <c r="I4464" t="s">
        <v>114</v>
      </c>
      <c r="J4464" t="s">
        <v>195</v>
      </c>
      <c r="K4464">
        <v>0</v>
      </c>
      <c r="L4464" s="28" t="s">
        <v>178</v>
      </c>
      <c r="N4464" s="26"/>
    </row>
    <row r="4465" spans="1:14" ht="14.5" customHeight="1" x14ac:dyDescent="0.2">
      <c r="A4465">
        <v>2024</v>
      </c>
      <c r="B4465" t="s">
        <v>191</v>
      </c>
      <c r="C4465" t="s">
        <v>714</v>
      </c>
      <c r="D4465" s="65">
        <v>200</v>
      </c>
      <c r="E4465" s="33"/>
      <c r="G4465" t="s">
        <v>154</v>
      </c>
      <c r="H4465" t="s">
        <v>194</v>
      </c>
      <c r="I4465" t="s">
        <v>136</v>
      </c>
      <c r="J4465" t="s">
        <v>183</v>
      </c>
      <c r="K4465">
        <v>1</v>
      </c>
      <c r="L4465" s="28"/>
      <c r="N4465" s="26"/>
    </row>
    <row r="4466" spans="1:14" ht="14.5" customHeight="1" x14ac:dyDescent="0.2">
      <c r="A4466">
        <v>2024</v>
      </c>
      <c r="B4466" t="s">
        <v>191</v>
      </c>
      <c r="C4466" t="s">
        <v>577</v>
      </c>
      <c r="D4466" s="65">
        <v>140</v>
      </c>
      <c r="E4466" s="33">
        <v>1</v>
      </c>
      <c r="F4466" t="s">
        <v>2229</v>
      </c>
      <c r="G4466" t="s">
        <v>155</v>
      </c>
      <c r="I4466" t="s">
        <v>112</v>
      </c>
      <c r="J4466" t="s">
        <v>219</v>
      </c>
      <c r="K4466">
        <v>1</v>
      </c>
      <c r="L4466" s="28"/>
      <c r="N4466" s="26"/>
    </row>
    <row r="4467" spans="1:14" ht="14.5" customHeight="1" x14ac:dyDescent="0.2">
      <c r="A4467">
        <v>2024</v>
      </c>
      <c r="B4467" t="s">
        <v>191</v>
      </c>
      <c r="C4467" t="s">
        <v>285</v>
      </c>
      <c r="D4467" s="65">
        <v>460</v>
      </c>
      <c r="E4467" s="33">
        <v>0.35</v>
      </c>
      <c r="F4467" t="s">
        <v>1247</v>
      </c>
      <c r="G4467" t="s">
        <v>144</v>
      </c>
      <c r="H4467" t="s">
        <v>232</v>
      </c>
      <c r="I4467" t="s">
        <v>134</v>
      </c>
      <c r="J4467" t="s">
        <v>201</v>
      </c>
      <c r="K4467">
        <v>1</v>
      </c>
      <c r="L4467" s="28"/>
      <c r="N4467" s="26"/>
    </row>
    <row r="4468" spans="1:14" ht="14.5" customHeight="1" x14ac:dyDescent="0.2">
      <c r="A4468">
        <v>2024</v>
      </c>
      <c r="B4468" t="s">
        <v>191</v>
      </c>
      <c r="C4468" t="s">
        <v>267</v>
      </c>
      <c r="D4468" s="65">
        <v>990</v>
      </c>
      <c r="E4468" s="33"/>
      <c r="G4468" t="s">
        <v>149</v>
      </c>
      <c r="H4468" t="s">
        <v>182</v>
      </c>
      <c r="I4468" t="s">
        <v>48</v>
      </c>
      <c r="J4468" t="s">
        <v>219</v>
      </c>
      <c r="K4468">
        <v>1</v>
      </c>
      <c r="L4468" s="28"/>
      <c r="N4468" s="26"/>
    </row>
    <row r="4469" spans="1:14" ht="14.5" customHeight="1" x14ac:dyDescent="0.2">
      <c r="A4469">
        <v>2024</v>
      </c>
      <c r="B4469" t="s">
        <v>191</v>
      </c>
      <c r="C4469" t="s">
        <v>2230</v>
      </c>
      <c r="D4469" s="65">
        <v>320</v>
      </c>
      <c r="E4469" s="33">
        <v>1</v>
      </c>
      <c r="G4469" t="s">
        <v>144</v>
      </c>
      <c r="H4469" t="s">
        <v>232</v>
      </c>
      <c r="I4469" t="s">
        <v>45</v>
      </c>
      <c r="J4469" t="s">
        <v>195</v>
      </c>
      <c r="K4469">
        <v>0</v>
      </c>
      <c r="L4469" s="28" t="s">
        <v>178</v>
      </c>
      <c r="N4469" s="26"/>
    </row>
    <row r="4470" spans="1:14" ht="14.5" customHeight="1" x14ac:dyDescent="0.2">
      <c r="A4470">
        <v>2024</v>
      </c>
      <c r="B4470" t="s">
        <v>191</v>
      </c>
      <c r="C4470" t="s">
        <v>2161</v>
      </c>
      <c r="D4470" s="65">
        <v>300</v>
      </c>
      <c r="E4470" s="33">
        <v>1</v>
      </c>
      <c r="G4470" t="s">
        <v>150</v>
      </c>
      <c r="H4470" t="s">
        <v>556</v>
      </c>
      <c r="I4470" t="s">
        <v>136</v>
      </c>
      <c r="J4470" t="s">
        <v>183</v>
      </c>
      <c r="K4470">
        <v>1</v>
      </c>
      <c r="L4470" s="28" t="s">
        <v>178</v>
      </c>
      <c r="N4470" s="26"/>
    </row>
    <row r="4471" spans="1:14" ht="14.5" customHeight="1" x14ac:dyDescent="0.2">
      <c r="A4471">
        <v>2024</v>
      </c>
      <c r="B4471" t="s">
        <v>191</v>
      </c>
      <c r="C4471" t="s">
        <v>2152</v>
      </c>
      <c r="D4471" s="65">
        <v>120</v>
      </c>
      <c r="E4471" s="33"/>
      <c r="G4471" t="s">
        <v>152</v>
      </c>
      <c r="I4471" t="s">
        <v>19</v>
      </c>
      <c r="J4471" t="s">
        <v>205</v>
      </c>
      <c r="K4471">
        <v>0</v>
      </c>
      <c r="L4471" s="28"/>
      <c r="N4471" s="26"/>
    </row>
    <row r="4472" spans="1:14" ht="14.5" customHeight="1" x14ac:dyDescent="0.2">
      <c r="A4472">
        <v>2024</v>
      </c>
      <c r="B4472" t="s">
        <v>198</v>
      </c>
      <c r="C4472" t="s">
        <v>2145</v>
      </c>
      <c r="D4472" s="65">
        <v>260</v>
      </c>
      <c r="E4472" s="33">
        <v>1</v>
      </c>
      <c r="G4472" t="s">
        <v>154</v>
      </c>
      <c r="H4472" t="s">
        <v>194</v>
      </c>
      <c r="I4472" t="s">
        <v>53</v>
      </c>
      <c r="J4472" t="s">
        <v>183</v>
      </c>
      <c r="K4472">
        <v>1</v>
      </c>
      <c r="L4472" s="28"/>
      <c r="N4472" s="26"/>
    </row>
    <row r="4473" spans="1:14" ht="14.5" customHeight="1" x14ac:dyDescent="0.2">
      <c r="A4473">
        <v>2024</v>
      </c>
      <c r="B4473" t="s">
        <v>198</v>
      </c>
      <c r="C4473" t="s">
        <v>2231</v>
      </c>
      <c r="D4473" s="65">
        <v>720</v>
      </c>
      <c r="E4473" s="33">
        <v>1</v>
      </c>
      <c r="F4473" t="s">
        <v>2232</v>
      </c>
      <c r="G4473" t="s">
        <v>143</v>
      </c>
      <c r="I4473" t="s">
        <v>45</v>
      </c>
      <c r="J4473" t="s">
        <v>195</v>
      </c>
      <c r="K4473">
        <v>0</v>
      </c>
      <c r="L4473" s="28"/>
      <c r="N4473" s="26"/>
    </row>
    <row r="4474" spans="1:14" ht="14.5" customHeight="1" x14ac:dyDescent="0.2">
      <c r="A4474">
        <v>2024</v>
      </c>
      <c r="B4474" t="s">
        <v>198</v>
      </c>
      <c r="C4474" t="s">
        <v>588</v>
      </c>
      <c r="D4474" s="65">
        <v>110</v>
      </c>
      <c r="E4474" s="33">
        <v>0.26</v>
      </c>
      <c r="F4474" t="s">
        <v>2233</v>
      </c>
      <c r="G4474" t="s">
        <v>142</v>
      </c>
      <c r="I4474" t="s">
        <v>86</v>
      </c>
      <c r="J4474" t="s">
        <v>183</v>
      </c>
      <c r="K4474">
        <v>0</v>
      </c>
      <c r="L4474" s="28"/>
      <c r="N4474" s="26"/>
    </row>
    <row r="4475" spans="1:14" ht="14.5" customHeight="1" x14ac:dyDescent="0.2">
      <c r="A4475">
        <v>2024</v>
      </c>
      <c r="B4475" t="s">
        <v>198</v>
      </c>
      <c r="C4475" t="s">
        <v>2154</v>
      </c>
      <c r="D4475" s="65">
        <v>260</v>
      </c>
      <c r="E4475" s="33">
        <v>1</v>
      </c>
      <c r="G4475" t="s">
        <v>152</v>
      </c>
      <c r="I4475" t="s">
        <v>136</v>
      </c>
      <c r="J4475" t="s">
        <v>183</v>
      </c>
      <c r="K4475">
        <v>1</v>
      </c>
      <c r="L4475" s="28" t="s">
        <v>178</v>
      </c>
      <c r="N4475" s="26"/>
    </row>
    <row r="4476" spans="1:14" ht="14.5" customHeight="1" x14ac:dyDescent="0.2">
      <c r="A4476">
        <v>2024</v>
      </c>
      <c r="B4476" t="s">
        <v>198</v>
      </c>
      <c r="C4476" t="s">
        <v>2234</v>
      </c>
      <c r="D4476" s="65">
        <v>100</v>
      </c>
      <c r="E4476" s="33">
        <v>0.5</v>
      </c>
      <c r="F4476" t="s">
        <v>2235</v>
      </c>
      <c r="G4476" t="s">
        <v>144</v>
      </c>
      <c r="H4476" t="s">
        <v>232</v>
      </c>
      <c r="I4476" t="s">
        <v>92</v>
      </c>
      <c r="J4476" t="s">
        <v>214</v>
      </c>
      <c r="K4476">
        <v>1</v>
      </c>
      <c r="L4476" s="28" t="s">
        <v>178</v>
      </c>
      <c r="N4476" s="26"/>
    </row>
    <row r="4477" spans="1:14" ht="14.5" customHeight="1" x14ac:dyDescent="0.2">
      <c r="A4477">
        <v>2024</v>
      </c>
      <c r="B4477" t="s">
        <v>198</v>
      </c>
      <c r="C4477" t="s">
        <v>557</v>
      </c>
      <c r="D4477" s="65">
        <v>130</v>
      </c>
      <c r="E4477" s="33">
        <v>1</v>
      </c>
      <c r="F4477" t="s">
        <v>2236</v>
      </c>
      <c r="G4477" t="s">
        <v>151</v>
      </c>
      <c r="H4477" t="s">
        <v>279</v>
      </c>
      <c r="I4477" t="s">
        <v>127</v>
      </c>
      <c r="J4477" t="s">
        <v>214</v>
      </c>
      <c r="K4477">
        <v>1</v>
      </c>
      <c r="L4477" s="28"/>
      <c r="N4477" s="26"/>
    </row>
    <row r="4478" spans="1:14" ht="14.5" customHeight="1" x14ac:dyDescent="0.2">
      <c r="A4478">
        <v>2024</v>
      </c>
      <c r="B4478" t="s">
        <v>198</v>
      </c>
      <c r="C4478" t="s">
        <v>2237</v>
      </c>
      <c r="D4478" s="65">
        <v>140</v>
      </c>
      <c r="E4478" s="33">
        <v>1</v>
      </c>
      <c r="G4478" t="s">
        <v>154</v>
      </c>
      <c r="H4478" t="s">
        <v>250</v>
      </c>
      <c r="I4478" t="s">
        <v>77</v>
      </c>
      <c r="J4478" t="s">
        <v>177</v>
      </c>
      <c r="K4478">
        <v>0</v>
      </c>
      <c r="L4478" s="28" t="s">
        <v>178</v>
      </c>
      <c r="N4478" s="26"/>
    </row>
    <row r="4479" spans="1:14" ht="14.5" customHeight="1" x14ac:dyDescent="0.2">
      <c r="A4479">
        <v>2024</v>
      </c>
      <c r="B4479" t="s">
        <v>198</v>
      </c>
      <c r="C4479" t="s">
        <v>2238</v>
      </c>
      <c r="D4479" s="65">
        <v>230</v>
      </c>
      <c r="E4479" s="33">
        <v>1</v>
      </c>
      <c r="G4479" t="s">
        <v>150</v>
      </c>
      <c r="H4479" t="s">
        <v>556</v>
      </c>
      <c r="I4479" t="s">
        <v>72</v>
      </c>
      <c r="J4479" t="s">
        <v>183</v>
      </c>
      <c r="K4479">
        <v>1</v>
      </c>
      <c r="L4479" s="28" t="s">
        <v>178</v>
      </c>
      <c r="N4479" s="26"/>
    </row>
    <row r="4480" spans="1:14" ht="14.5" customHeight="1" x14ac:dyDescent="0.2">
      <c r="A4480">
        <v>2024</v>
      </c>
      <c r="B4480" t="s">
        <v>198</v>
      </c>
      <c r="C4480" t="s">
        <v>2103</v>
      </c>
      <c r="D4480" s="65">
        <v>300</v>
      </c>
      <c r="E4480" s="33"/>
      <c r="G4480" t="s">
        <v>149</v>
      </c>
      <c r="H4480" t="s">
        <v>236</v>
      </c>
      <c r="I4480" t="s">
        <v>138</v>
      </c>
      <c r="J4480" t="s">
        <v>219</v>
      </c>
      <c r="K4480">
        <v>1</v>
      </c>
      <c r="L4480" s="28"/>
      <c r="N4480" s="26"/>
    </row>
    <row r="4481" spans="1:14" ht="14.5" customHeight="1" x14ac:dyDescent="0.2">
      <c r="A4481">
        <v>2024</v>
      </c>
      <c r="B4481" t="s">
        <v>198</v>
      </c>
      <c r="C4481" t="s">
        <v>405</v>
      </c>
      <c r="D4481" s="65">
        <v>540</v>
      </c>
      <c r="E4481" s="33"/>
      <c r="F4481" t="s">
        <v>2195</v>
      </c>
      <c r="G4481" t="s">
        <v>149</v>
      </c>
      <c r="H4481" t="s">
        <v>182</v>
      </c>
      <c r="I4481" t="s">
        <v>105</v>
      </c>
      <c r="J4481" t="s">
        <v>214</v>
      </c>
      <c r="K4481">
        <v>1</v>
      </c>
      <c r="L4481" s="28"/>
      <c r="N4481" s="26"/>
    </row>
    <row r="4482" spans="1:14" ht="14.5" customHeight="1" x14ac:dyDescent="0.2">
      <c r="A4482">
        <v>2024</v>
      </c>
      <c r="B4482" t="s">
        <v>198</v>
      </c>
      <c r="C4482" t="s">
        <v>1505</v>
      </c>
      <c r="D4482" s="65">
        <v>270</v>
      </c>
      <c r="E4482" s="33">
        <v>1</v>
      </c>
      <c r="G4482" t="s">
        <v>154</v>
      </c>
      <c r="H4482" t="s">
        <v>194</v>
      </c>
      <c r="I4482" t="s">
        <v>77</v>
      </c>
      <c r="J4482" t="s">
        <v>205</v>
      </c>
      <c r="K4482">
        <v>0</v>
      </c>
      <c r="L4482" s="28" t="s">
        <v>178</v>
      </c>
      <c r="N4482" s="26"/>
    </row>
    <row r="4483" spans="1:14" ht="14.5" customHeight="1" x14ac:dyDescent="0.2">
      <c r="A4483">
        <v>2024</v>
      </c>
      <c r="B4483" t="s">
        <v>198</v>
      </c>
      <c r="C4483" t="s">
        <v>1829</v>
      </c>
      <c r="D4483" s="65">
        <v>390</v>
      </c>
      <c r="E4483" s="33">
        <v>1</v>
      </c>
      <c r="F4483" t="s">
        <v>2239</v>
      </c>
      <c r="G4483" t="s">
        <v>150</v>
      </c>
      <c r="H4483" t="s">
        <v>744</v>
      </c>
      <c r="I4483" t="s">
        <v>108</v>
      </c>
      <c r="J4483" t="s">
        <v>183</v>
      </c>
      <c r="K4483">
        <v>1</v>
      </c>
      <c r="L4483" s="28"/>
      <c r="N4483" s="26"/>
    </row>
    <row r="4484" spans="1:14" ht="14.5" customHeight="1" x14ac:dyDescent="0.2">
      <c r="A4484">
        <v>2024</v>
      </c>
      <c r="B4484" t="s">
        <v>198</v>
      </c>
      <c r="C4484" t="s">
        <v>806</v>
      </c>
      <c r="D4484" s="65">
        <v>260</v>
      </c>
      <c r="E4484" s="33">
        <v>0.4</v>
      </c>
      <c r="F4484" t="s">
        <v>2240</v>
      </c>
      <c r="G4484" t="s">
        <v>154</v>
      </c>
      <c r="H4484" t="s">
        <v>529</v>
      </c>
      <c r="I4484" t="s">
        <v>19</v>
      </c>
      <c r="J4484" t="s">
        <v>205</v>
      </c>
      <c r="K4484">
        <v>0</v>
      </c>
      <c r="L4484" s="28" t="s">
        <v>178</v>
      </c>
      <c r="N4484" s="26"/>
    </row>
    <row r="4485" spans="1:14" ht="14.5" customHeight="1" x14ac:dyDescent="0.2">
      <c r="A4485">
        <v>2024</v>
      </c>
      <c r="B4485" t="s">
        <v>198</v>
      </c>
      <c r="C4485" t="s">
        <v>2241</v>
      </c>
      <c r="D4485" s="65">
        <v>1050</v>
      </c>
      <c r="E4485" s="33"/>
      <c r="G4485" t="s">
        <v>149</v>
      </c>
      <c r="H4485" t="s">
        <v>182</v>
      </c>
      <c r="I4485" t="s">
        <v>97</v>
      </c>
      <c r="J4485" t="s">
        <v>183</v>
      </c>
      <c r="K4485">
        <v>1</v>
      </c>
      <c r="L4485" s="28" t="s">
        <v>178</v>
      </c>
      <c r="N4485" s="26"/>
    </row>
    <row r="4486" spans="1:14" ht="14.5" customHeight="1" x14ac:dyDescent="0.2">
      <c r="A4486">
        <v>2024</v>
      </c>
      <c r="B4486" t="s">
        <v>198</v>
      </c>
      <c r="C4486" t="s">
        <v>2242</v>
      </c>
      <c r="D4486" s="65">
        <v>150</v>
      </c>
      <c r="E4486" s="33">
        <v>0.5</v>
      </c>
      <c r="G4486" t="s">
        <v>154</v>
      </c>
      <c r="H4486" t="s">
        <v>271</v>
      </c>
      <c r="I4486" t="s">
        <v>21</v>
      </c>
      <c r="J4486" t="s">
        <v>183</v>
      </c>
      <c r="K4486">
        <v>1</v>
      </c>
      <c r="L4486" s="28" t="s">
        <v>178</v>
      </c>
      <c r="N4486" s="26"/>
    </row>
    <row r="4487" spans="1:14" ht="14.5" customHeight="1" x14ac:dyDescent="0.2">
      <c r="A4487">
        <v>2024</v>
      </c>
      <c r="B4487" t="s">
        <v>202</v>
      </c>
      <c r="C4487" t="s">
        <v>577</v>
      </c>
      <c r="D4487" s="65">
        <v>400</v>
      </c>
      <c r="E4487" s="33">
        <v>1</v>
      </c>
      <c r="G4487" t="s">
        <v>150</v>
      </c>
      <c r="H4487" t="s">
        <v>556</v>
      </c>
      <c r="I4487" t="s">
        <v>124</v>
      </c>
      <c r="J4487" t="s">
        <v>183</v>
      </c>
      <c r="K4487">
        <v>1</v>
      </c>
      <c r="L4487" s="28" t="s">
        <v>178</v>
      </c>
      <c r="N4487" s="26"/>
    </row>
    <row r="4488" spans="1:14" ht="14.5" customHeight="1" x14ac:dyDescent="0.2">
      <c r="A4488">
        <v>2024</v>
      </c>
      <c r="B4488" t="s">
        <v>202</v>
      </c>
      <c r="C4488" t="s">
        <v>798</v>
      </c>
      <c r="D4488" s="65">
        <v>220</v>
      </c>
      <c r="E4488" s="33"/>
      <c r="G4488" t="s">
        <v>149</v>
      </c>
      <c r="I4488" t="s">
        <v>8</v>
      </c>
      <c r="J4488" t="s">
        <v>205</v>
      </c>
      <c r="K4488">
        <v>1</v>
      </c>
      <c r="L4488" s="28"/>
      <c r="N4488" s="26"/>
    </row>
    <row r="4489" spans="1:14" ht="14.5" customHeight="1" x14ac:dyDescent="0.2">
      <c r="A4489">
        <v>2024</v>
      </c>
      <c r="B4489" t="s">
        <v>202</v>
      </c>
      <c r="C4489" t="s">
        <v>2243</v>
      </c>
      <c r="D4489" s="65">
        <v>420</v>
      </c>
      <c r="E4489" s="33">
        <v>1</v>
      </c>
      <c r="G4489" t="s">
        <v>152</v>
      </c>
      <c r="I4489" t="s">
        <v>113</v>
      </c>
      <c r="J4489" t="s">
        <v>183</v>
      </c>
      <c r="K4489">
        <v>0</v>
      </c>
      <c r="L4489" s="28"/>
      <c r="N4489" s="26"/>
    </row>
    <row r="4490" spans="1:14" ht="14.5" customHeight="1" x14ac:dyDescent="0.2">
      <c r="A4490">
        <v>2024</v>
      </c>
      <c r="B4490" t="s">
        <v>202</v>
      </c>
      <c r="C4490" t="s">
        <v>2244</v>
      </c>
      <c r="D4490" s="65">
        <v>140</v>
      </c>
      <c r="E4490" s="33"/>
      <c r="G4490" t="s">
        <v>142</v>
      </c>
      <c r="I4490" t="s">
        <v>114</v>
      </c>
      <c r="J4490" t="s">
        <v>195</v>
      </c>
      <c r="K4490">
        <v>0</v>
      </c>
      <c r="L4490" s="28" t="s">
        <v>178</v>
      </c>
      <c r="N4490" s="26"/>
    </row>
    <row r="4491" spans="1:14" ht="14.5" customHeight="1" x14ac:dyDescent="0.2">
      <c r="A4491">
        <v>2024</v>
      </c>
      <c r="B4491" t="s">
        <v>202</v>
      </c>
      <c r="C4491" t="s">
        <v>1448</v>
      </c>
      <c r="D4491" s="65">
        <v>250</v>
      </c>
      <c r="E4491" s="33">
        <v>0.5</v>
      </c>
      <c r="F4491" t="s">
        <v>2245</v>
      </c>
      <c r="G4491" t="s">
        <v>144</v>
      </c>
      <c r="H4491" t="s">
        <v>232</v>
      </c>
      <c r="I4491" t="s">
        <v>128</v>
      </c>
      <c r="J4491" t="s">
        <v>201</v>
      </c>
      <c r="K4491" s="17">
        <v>1</v>
      </c>
      <c r="L4491" s="28" t="s">
        <v>178</v>
      </c>
      <c r="N4491" s="26"/>
    </row>
    <row r="4492" spans="1:14" ht="14.5" customHeight="1" x14ac:dyDescent="0.2">
      <c r="A4492">
        <v>2024</v>
      </c>
      <c r="B4492" t="s">
        <v>202</v>
      </c>
      <c r="C4492" t="s">
        <v>2246</v>
      </c>
      <c r="D4492" s="65">
        <v>130</v>
      </c>
      <c r="E4492" s="33"/>
      <c r="F4492" t="s">
        <v>2247</v>
      </c>
      <c r="G4492" t="s">
        <v>154</v>
      </c>
      <c r="H4492" t="s">
        <v>194</v>
      </c>
      <c r="I4492" t="s">
        <v>136</v>
      </c>
      <c r="J4492" t="s">
        <v>183</v>
      </c>
      <c r="K4492">
        <v>1</v>
      </c>
      <c r="L4492" s="28" t="s">
        <v>178</v>
      </c>
      <c r="N4492" s="26"/>
    </row>
    <row r="4493" spans="1:14" ht="14.5" customHeight="1" x14ac:dyDescent="0.2">
      <c r="A4493">
        <v>2024</v>
      </c>
      <c r="B4493" t="s">
        <v>202</v>
      </c>
      <c r="C4493" t="s">
        <v>714</v>
      </c>
      <c r="D4493" s="65">
        <v>250</v>
      </c>
      <c r="E4493" s="33">
        <v>1</v>
      </c>
      <c r="G4493" t="s">
        <v>154</v>
      </c>
      <c r="H4493" t="s">
        <v>194</v>
      </c>
      <c r="I4493" t="s">
        <v>53</v>
      </c>
      <c r="J4493" t="s">
        <v>183</v>
      </c>
      <c r="K4493">
        <v>1</v>
      </c>
      <c r="L4493" s="28" t="s">
        <v>178</v>
      </c>
      <c r="N4493" s="26"/>
    </row>
    <row r="4494" spans="1:14" ht="14.5" customHeight="1" x14ac:dyDescent="0.2">
      <c r="A4494">
        <v>2024</v>
      </c>
      <c r="B4494" t="s">
        <v>202</v>
      </c>
      <c r="C4494" t="s">
        <v>1779</v>
      </c>
      <c r="D4494" s="65">
        <v>700</v>
      </c>
      <c r="E4494" s="33">
        <v>1</v>
      </c>
      <c r="F4494" t="s">
        <v>2248</v>
      </c>
      <c r="G4494" t="s">
        <v>145</v>
      </c>
      <c r="I4494" t="s">
        <v>57</v>
      </c>
      <c r="J4494" t="s">
        <v>195</v>
      </c>
      <c r="K4494" s="17">
        <v>0</v>
      </c>
      <c r="L4494" s="28"/>
      <c r="N4494" s="26"/>
    </row>
    <row r="4495" spans="1:14" ht="14.5" customHeight="1" x14ac:dyDescent="0.2">
      <c r="A4495">
        <v>2024</v>
      </c>
      <c r="B4495" t="s">
        <v>202</v>
      </c>
      <c r="C4495" t="s">
        <v>2145</v>
      </c>
      <c r="D4495" s="65">
        <v>360</v>
      </c>
      <c r="E4495" s="33">
        <v>1</v>
      </c>
      <c r="G4495" t="s">
        <v>154</v>
      </c>
      <c r="H4495" t="s">
        <v>194</v>
      </c>
      <c r="I4495" t="s">
        <v>80</v>
      </c>
      <c r="J4495" t="s">
        <v>214</v>
      </c>
      <c r="K4495">
        <v>1</v>
      </c>
      <c r="L4495" s="28" t="s">
        <v>178</v>
      </c>
      <c r="N4495" s="26"/>
    </row>
    <row r="4496" spans="1:14" ht="14.5" customHeight="1" x14ac:dyDescent="0.2">
      <c r="A4496">
        <v>2024</v>
      </c>
      <c r="B4496" t="s">
        <v>202</v>
      </c>
      <c r="C4496" t="s">
        <v>2135</v>
      </c>
      <c r="D4496" s="65">
        <v>230</v>
      </c>
      <c r="E4496" s="33"/>
      <c r="G4496" t="s">
        <v>154</v>
      </c>
      <c r="H4496" t="s">
        <v>194</v>
      </c>
      <c r="I4496" t="s">
        <v>77</v>
      </c>
      <c r="J4496" t="s">
        <v>177</v>
      </c>
      <c r="K4496">
        <v>0</v>
      </c>
      <c r="L4496" s="28"/>
      <c r="N4496" s="26"/>
    </row>
    <row r="4497" spans="1:14" ht="14.5" customHeight="1" x14ac:dyDescent="0.2">
      <c r="A4497">
        <v>2024</v>
      </c>
      <c r="B4497" t="s">
        <v>202</v>
      </c>
      <c r="C4497" t="s">
        <v>438</v>
      </c>
      <c r="D4497" s="65">
        <v>100</v>
      </c>
      <c r="E4497" s="33"/>
      <c r="G4497" t="s">
        <v>154</v>
      </c>
      <c r="H4497" t="s">
        <v>194</v>
      </c>
      <c r="I4497" t="s">
        <v>38</v>
      </c>
      <c r="J4497" t="s">
        <v>214</v>
      </c>
      <c r="K4497">
        <v>1</v>
      </c>
      <c r="L4497" s="28" t="s">
        <v>178</v>
      </c>
      <c r="N4497" s="26"/>
    </row>
    <row r="4498" spans="1:14" ht="14.5" customHeight="1" x14ac:dyDescent="0.2">
      <c r="A4498">
        <v>2024</v>
      </c>
      <c r="B4498" t="s">
        <v>202</v>
      </c>
      <c r="C4498" t="s">
        <v>2249</v>
      </c>
      <c r="D4498" s="65">
        <v>270</v>
      </c>
      <c r="E4498" s="33"/>
      <c r="G4498" t="s">
        <v>150</v>
      </c>
      <c r="H4498" t="s">
        <v>226</v>
      </c>
      <c r="I4498" t="s">
        <v>136</v>
      </c>
      <c r="J4498" t="s">
        <v>183</v>
      </c>
      <c r="K4498">
        <v>1</v>
      </c>
      <c r="L4498" s="28" t="s">
        <v>178</v>
      </c>
      <c r="N4498" s="26"/>
    </row>
    <row r="4499" spans="1:14" ht="14.5" customHeight="1" x14ac:dyDescent="0.2">
      <c r="A4499">
        <v>2024</v>
      </c>
      <c r="B4499" t="s">
        <v>202</v>
      </c>
      <c r="C4499" t="s">
        <v>2250</v>
      </c>
      <c r="D4499" s="65">
        <v>260</v>
      </c>
      <c r="E4499" s="33"/>
      <c r="G4499" t="s">
        <v>151</v>
      </c>
      <c r="H4499" t="s">
        <v>224</v>
      </c>
      <c r="I4499" t="s">
        <v>108</v>
      </c>
      <c r="J4499" t="s">
        <v>183</v>
      </c>
      <c r="K4499">
        <v>1</v>
      </c>
      <c r="L4499" s="28"/>
      <c r="N4499" s="26"/>
    </row>
    <row r="4500" spans="1:14" ht="14.5" customHeight="1" x14ac:dyDescent="0.2">
      <c r="A4500">
        <v>2024</v>
      </c>
      <c r="B4500" t="s">
        <v>207</v>
      </c>
      <c r="C4500" t="s">
        <v>559</v>
      </c>
      <c r="D4500" s="65">
        <v>900</v>
      </c>
      <c r="E4500" s="33">
        <v>1</v>
      </c>
      <c r="F4500" t="s">
        <v>2251</v>
      </c>
      <c r="G4500" t="s">
        <v>149</v>
      </c>
      <c r="I4500" t="s">
        <v>46</v>
      </c>
      <c r="J4500" t="s">
        <v>219</v>
      </c>
      <c r="K4500">
        <v>1</v>
      </c>
      <c r="L4500" s="28"/>
      <c r="N4500" s="26"/>
    </row>
    <row r="4501" spans="1:14" ht="14.5" customHeight="1" x14ac:dyDescent="0.2">
      <c r="A4501">
        <v>2024</v>
      </c>
      <c r="B4501" t="s">
        <v>207</v>
      </c>
      <c r="C4501" t="s">
        <v>1431</v>
      </c>
      <c r="D4501" s="65">
        <v>570</v>
      </c>
      <c r="E4501" s="33">
        <v>0.5</v>
      </c>
      <c r="F4501" t="s">
        <v>2252</v>
      </c>
      <c r="G4501" t="s">
        <v>154</v>
      </c>
      <c r="H4501" t="s">
        <v>194</v>
      </c>
      <c r="I4501" t="s">
        <v>45</v>
      </c>
      <c r="J4501" t="s">
        <v>195</v>
      </c>
      <c r="K4501">
        <v>0</v>
      </c>
      <c r="L4501" s="28"/>
      <c r="N4501" s="26"/>
    </row>
    <row r="4502" spans="1:14" ht="14.5" customHeight="1" x14ac:dyDescent="0.2">
      <c r="A4502">
        <v>2024</v>
      </c>
      <c r="B4502" t="s">
        <v>207</v>
      </c>
      <c r="C4502" t="s">
        <v>2253</v>
      </c>
      <c r="D4502" s="65">
        <v>270</v>
      </c>
      <c r="E4502" s="33">
        <v>1</v>
      </c>
      <c r="G4502" t="s">
        <v>150</v>
      </c>
      <c r="H4502" t="s">
        <v>556</v>
      </c>
      <c r="I4502" t="s">
        <v>105</v>
      </c>
      <c r="J4502" t="s">
        <v>214</v>
      </c>
      <c r="K4502">
        <v>1</v>
      </c>
      <c r="L4502" s="28" t="s">
        <v>178</v>
      </c>
      <c r="N4502" s="26"/>
    </row>
    <row r="4503" spans="1:14" ht="14.5" customHeight="1" x14ac:dyDescent="0.2">
      <c r="A4503">
        <v>2024</v>
      </c>
      <c r="B4503" t="s">
        <v>207</v>
      </c>
      <c r="C4503" t="s">
        <v>2254</v>
      </c>
      <c r="D4503" s="65">
        <v>400</v>
      </c>
      <c r="E4503" s="33"/>
      <c r="F4503" t="s">
        <v>2114</v>
      </c>
      <c r="G4503" t="s">
        <v>149</v>
      </c>
      <c r="H4503" t="s">
        <v>182</v>
      </c>
      <c r="I4503" t="s">
        <v>92</v>
      </c>
      <c r="J4503" t="s">
        <v>214</v>
      </c>
      <c r="K4503">
        <v>1</v>
      </c>
      <c r="L4503" s="28" t="s">
        <v>178</v>
      </c>
      <c r="N4503" s="26"/>
    </row>
    <row r="4504" spans="1:14" ht="14.5" customHeight="1" x14ac:dyDescent="0.2">
      <c r="A4504">
        <v>2024</v>
      </c>
      <c r="B4504" t="s">
        <v>207</v>
      </c>
      <c r="C4504" t="s">
        <v>245</v>
      </c>
      <c r="D4504" s="65">
        <v>100</v>
      </c>
      <c r="E4504" s="33"/>
      <c r="F4504" t="s">
        <v>2255</v>
      </c>
      <c r="G4504" t="s">
        <v>144</v>
      </c>
      <c r="H4504" t="s">
        <v>232</v>
      </c>
      <c r="I4504" t="s">
        <v>72</v>
      </c>
      <c r="J4504" t="s">
        <v>183</v>
      </c>
      <c r="K4504">
        <v>1</v>
      </c>
      <c r="L4504" s="28"/>
      <c r="N4504" s="26"/>
    </row>
    <row r="4505" spans="1:14" ht="14.5" customHeight="1" x14ac:dyDescent="0.2">
      <c r="A4505">
        <v>2024</v>
      </c>
      <c r="B4505" t="s">
        <v>207</v>
      </c>
      <c r="C4505" t="s">
        <v>554</v>
      </c>
      <c r="D4505" s="65">
        <v>180</v>
      </c>
      <c r="E4505" s="33">
        <v>1</v>
      </c>
      <c r="F4505" t="s">
        <v>2256</v>
      </c>
      <c r="G4505" t="s">
        <v>144</v>
      </c>
      <c r="H4505" t="s">
        <v>187</v>
      </c>
      <c r="I4505" t="s">
        <v>92</v>
      </c>
      <c r="J4505" t="s">
        <v>214</v>
      </c>
      <c r="K4505">
        <v>1</v>
      </c>
      <c r="L4505" s="28"/>
      <c r="N4505" s="26"/>
    </row>
    <row r="4506" spans="1:14" ht="14.5" customHeight="1" x14ac:dyDescent="0.2">
      <c r="A4506">
        <v>2024</v>
      </c>
      <c r="B4506" t="s">
        <v>207</v>
      </c>
      <c r="C4506" t="s">
        <v>474</v>
      </c>
      <c r="D4506" s="65">
        <v>400</v>
      </c>
      <c r="E4506" s="33">
        <v>0.5</v>
      </c>
      <c r="F4506" t="s">
        <v>2257</v>
      </c>
      <c r="G4506" t="s">
        <v>142</v>
      </c>
      <c r="I4506" t="s">
        <v>124</v>
      </c>
      <c r="J4506" t="s">
        <v>183</v>
      </c>
      <c r="K4506">
        <v>1</v>
      </c>
      <c r="L4506" s="28"/>
      <c r="N4506" s="26"/>
    </row>
    <row r="4507" spans="1:14" ht="14.5" customHeight="1" x14ac:dyDescent="0.2">
      <c r="A4507">
        <v>2024</v>
      </c>
      <c r="B4507" t="s">
        <v>207</v>
      </c>
      <c r="C4507" t="s">
        <v>269</v>
      </c>
      <c r="D4507" s="65">
        <v>110</v>
      </c>
      <c r="E4507" s="33"/>
      <c r="G4507" t="s">
        <v>148</v>
      </c>
      <c r="I4507" t="s">
        <v>124</v>
      </c>
      <c r="J4507" t="s">
        <v>183</v>
      </c>
      <c r="K4507">
        <v>1</v>
      </c>
      <c r="L4507" s="28"/>
      <c r="N4507" s="26"/>
    </row>
    <row r="4508" spans="1:14" ht="14.5" customHeight="1" x14ac:dyDescent="0.2">
      <c r="A4508">
        <v>2024</v>
      </c>
      <c r="B4508" t="s">
        <v>207</v>
      </c>
      <c r="C4508" t="s">
        <v>551</v>
      </c>
      <c r="D4508" s="65">
        <v>160</v>
      </c>
      <c r="E4508" s="33"/>
      <c r="F4508" t="s">
        <v>2258</v>
      </c>
      <c r="G4508" t="s">
        <v>154</v>
      </c>
      <c r="H4508" t="s">
        <v>194</v>
      </c>
      <c r="I4508" t="s">
        <v>136</v>
      </c>
      <c r="J4508" t="s">
        <v>183</v>
      </c>
      <c r="K4508">
        <v>1</v>
      </c>
      <c r="L4508" s="28" t="s">
        <v>178</v>
      </c>
      <c r="N4508" s="26"/>
    </row>
    <row r="4509" spans="1:14" ht="14.5" customHeight="1" x14ac:dyDescent="0.2">
      <c r="A4509">
        <v>2024</v>
      </c>
      <c r="B4509" t="s">
        <v>207</v>
      </c>
      <c r="C4509" t="s">
        <v>2259</v>
      </c>
      <c r="D4509" s="65">
        <v>100</v>
      </c>
      <c r="E4509" s="33">
        <v>1</v>
      </c>
      <c r="G4509" t="s">
        <v>145</v>
      </c>
      <c r="I4509" t="s">
        <v>105</v>
      </c>
      <c r="J4509" t="s">
        <v>214</v>
      </c>
      <c r="K4509">
        <v>1</v>
      </c>
      <c r="L4509" s="28" t="s">
        <v>178</v>
      </c>
      <c r="N4509" s="26"/>
    </row>
    <row r="4510" spans="1:14" ht="14.5" customHeight="1" x14ac:dyDescent="0.2">
      <c r="A4510">
        <v>2024</v>
      </c>
      <c r="B4510" t="s">
        <v>240</v>
      </c>
      <c r="C4510" t="s">
        <v>244</v>
      </c>
      <c r="D4510" s="65">
        <v>340</v>
      </c>
      <c r="E4510" s="33">
        <v>1</v>
      </c>
      <c r="F4510" t="s">
        <v>2260</v>
      </c>
      <c r="G4510" t="s">
        <v>149</v>
      </c>
      <c r="I4510" t="s">
        <v>19</v>
      </c>
      <c r="J4510" t="s">
        <v>205</v>
      </c>
      <c r="K4510">
        <v>0</v>
      </c>
      <c r="L4510" s="28"/>
      <c r="N4510" s="26"/>
    </row>
    <row r="4511" spans="1:14" ht="14.5" customHeight="1" x14ac:dyDescent="0.2">
      <c r="A4511">
        <v>2024</v>
      </c>
      <c r="B4511" t="s">
        <v>240</v>
      </c>
      <c r="C4511" t="s">
        <v>559</v>
      </c>
      <c r="D4511" s="65">
        <v>250</v>
      </c>
      <c r="E4511" s="33">
        <v>1</v>
      </c>
      <c r="F4511" t="s">
        <v>2261</v>
      </c>
      <c r="G4511" t="s">
        <v>149</v>
      </c>
      <c r="I4511" t="s">
        <v>96</v>
      </c>
      <c r="J4511" t="s">
        <v>205</v>
      </c>
      <c r="K4511">
        <v>1</v>
      </c>
      <c r="L4511" s="28"/>
      <c r="N4511" s="26"/>
    </row>
    <row r="4512" spans="1:14" ht="14.5" customHeight="1" x14ac:dyDescent="0.2">
      <c r="A4512">
        <v>2024</v>
      </c>
      <c r="B4512" t="s">
        <v>240</v>
      </c>
      <c r="C4512" t="s">
        <v>2262</v>
      </c>
      <c r="D4512" s="65">
        <v>110</v>
      </c>
      <c r="E4512" s="33">
        <v>1</v>
      </c>
      <c r="F4512" t="s">
        <v>2263</v>
      </c>
      <c r="G4512" t="s">
        <v>152</v>
      </c>
      <c r="I4512" t="s">
        <v>35</v>
      </c>
      <c r="J4512" t="s">
        <v>195</v>
      </c>
      <c r="K4512">
        <v>0</v>
      </c>
      <c r="L4512" s="28"/>
      <c r="N4512" s="26"/>
    </row>
    <row r="4513" spans="1:14" ht="14.5" customHeight="1" x14ac:dyDescent="0.2">
      <c r="A4513">
        <v>2024</v>
      </c>
      <c r="B4513" t="s">
        <v>240</v>
      </c>
      <c r="C4513" t="s">
        <v>2138</v>
      </c>
      <c r="D4513" s="65">
        <v>830</v>
      </c>
      <c r="E4513" s="33">
        <v>1</v>
      </c>
      <c r="G4513" t="s">
        <v>152</v>
      </c>
      <c r="I4513" t="s">
        <v>124</v>
      </c>
      <c r="J4513" t="s">
        <v>183</v>
      </c>
      <c r="K4513">
        <v>1</v>
      </c>
      <c r="L4513" s="28" t="s">
        <v>178</v>
      </c>
      <c r="N4513" s="26"/>
    </row>
    <row r="4514" spans="1:14" ht="14.5" customHeight="1" x14ac:dyDescent="0.2">
      <c r="A4514">
        <v>2024</v>
      </c>
      <c r="B4514" t="s">
        <v>240</v>
      </c>
      <c r="C4514" t="s">
        <v>2264</v>
      </c>
      <c r="D4514" s="65">
        <v>100</v>
      </c>
      <c r="E4514" s="33">
        <v>1</v>
      </c>
      <c r="G4514" t="s">
        <v>152</v>
      </c>
      <c r="I4514" t="s">
        <v>124</v>
      </c>
      <c r="J4514" t="s">
        <v>183</v>
      </c>
      <c r="K4514">
        <v>1</v>
      </c>
      <c r="L4514" s="28" t="s">
        <v>178</v>
      </c>
      <c r="N4514" s="26"/>
    </row>
    <row r="4515" spans="1:14" ht="14.5" customHeight="1" x14ac:dyDescent="0.2">
      <c r="A4515">
        <v>2024</v>
      </c>
      <c r="B4515" t="s">
        <v>240</v>
      </c>
      <c r="C4515" t="s">
        <v>2265</v>
      </c>
      <c r="D4515" s="65">
        <v>120</v>
      </c>
      <c r="E4515" s="33"/>
      <c r="G4515" t="s">
        <v>149</v>
      </c>
      <c r="H4515" t="s">
        <v>182</v>
      </c>
      <c r="I4515" t="s">
        <v>138</v>
      </c>
      <c r="J4515" t="s">
        <v>219</v>
      </c>
      <c r="K4515">
        <v>1</v>
      </c>
      <c r="L4515" s="28" t="s">
        <v>178</v>
      </c>
      <c r="N4515" s="26"/>
    </row>
    <row r="4516" spans="1:14" ht="14.5" customHeight="1" x14ac:dyDescent="0.2">
      <c r="A4516">
        <v>2024</v>
      </c>
      <c r="B4516" t="s">
        <v>240</v>
      </c>
      <c r="C4516" t="s">
        <v>307</v>
      </c>
      <c r="D4516" s="65">
        <v>200</v>
      </c>
      <c r="E4516" s="33">
        <v>0.2</v>
      </c>
      <c r="F4516" t="s">
        <v>2266</v>
      </c>
      <c r="G4516" t="s">
        <v>144</v>
      </c>
      <c r="I4516" t="s">
        <v>47</v>
      </c>
      <c r="J4516" t="s">
        <v>195</v>
      </c>
      <c r="K4516" s="17">
        <v>1</v>
      </c>
      <c r="L4516" s="28"/>
      <c r="N4516" s="26"/>
    </row>
    <row r="4517" spans="1:14" ht="14.5" customHeight="1" x14ac:dyDescent="0.2">
      <c r="A4517">
        <v>2024</v>
      </c>
      <c r="B4517" t="s">
        <v>240</v>
      </c>
      <c r="C4517" t="s">
        <v>2267</v>
      </c>
      <c r="D4517" s="65">
        <v>170</v>
      </c>
      <c r="E4517" s="33"/>
      <c r="G4517" t="s">
        <v>149</v>
      </c>
      <c r="I4517" t="s">
        <v>131</v>
      </c>
      <c r="J4517" t="s">
        <v>131</v>
      </c>
      <c r="K4517">
        <v>0</v>
      </c>
      <c r="L4517" s="28" t="s">
        <v>178</v>
      </c>
      <c r="N4517" s="26"/>
    </row>
    <row r="4518" spans="1:14" ht="14.5" customHeight="1" x14ac:dyDescent="0.2">
      <c r="A4518">
        <v>2024</v>
      </c>
      <c r="B4518" t="s">
        <v>240</v>
      </c>
      <c r="C4518" t="s">
        <v>474</v>
      </c>
      <c r="D4518" s="65">
        <v>2210</v>
      </c>
      <c r="E4518" s="33">
        <v>0.5</v>
      </c>
      <c r="F4518" t="s">
        <v>2268</v>
      </c>
      <c r="G4518" t="s">
        <v>144</v>
      </c>
      <c r="H4518" t="s">
        <v>232</v>
      </c>
      <c r="I4518" t="s">
        <v>20</v>
      </c>
      <c r="J4518" t="s">
        <v>195</v>
      </c>
      <c r="K4518">
        <v>0</v>
      </c>
      <c r="L4518" s="28" t="s">
        <v>178</v>
      </c>
      <c r="N4518" s="26"/>
    </row>
    <row r="4519" spans="1:14" ht="14.5" customHeight="1" x14ac:dyDescent="0.2">
      <c r="A4519">
        <v>2024</v>
      </c>
      <c r="B4519" t="s">
        <v>240</v>
      </c>
      <c r="C4519" t="s">
        <v>1829</v>
      </c>
      <c r="D4519" s="65">
        <v>150</v>
      </c>
      <c r="E4519" s="33"/>
      <c r="G4519" t="s">
        <v>148</v>
      </c>
      <c r="I4519" t="s">
        <v>53</v>
      </c>
      <c r="J4519" t="s">
        <v>183</v>
      </c>
      <c r="K4519">
        <v>1</v>
      </c>
      <c r="L4519" s="28"/>
      <c r="N4519" s="26"/>
    </row>
    <row r="4520" spans="1:14" ht="14.5" customHeight="1" x14ac:dyDescent="0.2">
      <c r="A4520">
        <v>2024</v>
      </c>
      <c r="B4520" t="s">
        <v>240</v>
      </c>
      <c r="C4520" t="s">
        <v>1829</v>
      </c>
      <c r="D4520" s="65">
        <v>1060</v>
      </c>
      <c r="E4520" s="33">
        <v>1</v>
      </c>
      <c r="F4520" t="s">
        <v>2269</v>
      </c>
      <c r="G4520" t="s">
        <v>151</v>
      </c>
      <c r="H4520" t="s">
        <v>224</v>
      </c>
      <c r="I4520" t="s">
        <v>61</v>
      </c>
      <c r="J4520" t="s">
        <v>183</v>
      </c>
      <c r="K4520">
        <v>0</v>
      </c>
      <c r="L4520" s="28"/>
      <c r="N4520" s="26"/>
    </row>
    <row r="4521" spans="1:14" ht="14.5" customHeight="1" x14ac:dyDescent="0.2">
      <c r="A4521">
        <v>2024</v>
      </c>
      <c r="B4521" t="s">
        <v>212</v>
      </c>
      <c r="C4521" t="s">
        <v>1624</v>
      </c>
      <c r="D4521" s="65">
        <v>840</v>
      </c>
      <c r="E4521" s="33">
        <v>0.84</v>
      </c>
      <c r="F4521" t="s">
        <v>2270</v>
      </c>
      <c r="G4521" t="s">
        <v>151</v>
      </c>
      <c r="H4521" t="s">
        <v>279</v>
      </c>
      <c r="I4521" t="s">
        <v>89</v>
      </c>
      <c r="J4521" t="s">
        <v>219</v>
      </c>
      <c r="K4521" s="17">
        <v>1</v>
      </c>
      <c r="L4521" s="28"/>
      <c r="N4521" s="26"/>
    </row>
    <row r="4522" spans="1:14" ht="14.5" customHeight="1" x14ac:dyDescent="0.2">
      <c r="A4522">
        <v>2024</v>
      </c>
      <c r="B4522" t="s">
        <v>212</v>
      </c>
      <c r="C4522" t="s">
        <v>2271</v>
      </c>
      <c r="D4522" s="65">
        <v>420</v>
      </c>
      <c r="E4522" s="33">
        <v>1</v>
      </c>
      <c r="F4522" t="s">
        <v>2272</v>
      </c>
      <c r="G4522" t="s">
        <v>149</v>
      </c>
      <c r="I4522" t="s">
        <v>19</v>
      </c>
      <c r="J4522" t="s">
        <v>205</v>
      </c>
      <c r="K4522">
        <v>0</v>
      </c>
      <c r="L4522" s="28"/>
      <c r="N4522" s="26"/>
    </row>
    <row r="4523" spans="1:14" ht="14.5" customHeight="1" x14ac:dyDescent="0.2">
      <c r="A4523">
        <v>2024</v>
      </c>
      <c r="B4523" t="s">
        <v>212</v>
      </c>
      <c r="C4523" t="s">
        <v>2122</v>
      </c>
      <c r="D4523" s="65">
        <v>100</v>
      </c>
      <c r="E4523" s="33"/>
      <c r="G4523" t="s">
        <v>148</v>
      </c>
      <c r="I4523" t="s">
        <v>131</v>
      </c>
      <c r="J4523" t="s">
        <v>131</v>
      </c>
      <c r="K4523">
        <v>0</v>
      </c>
      <c r="L4523" s="28" t="s">
        <v>178</v>
      </c>
      <c r="N4523" s="26"/>
    </row>
    <row r="4524" spans="1:14" ht="14.5" customHeight="1" x14ac:dyDescent="0.2">
      <c r="A4524">
        <v>2024</v>
      </c>
      <c r="B4524" t="s">
        <v>212</v>
      </c>
      <c r="C4524" t="s">
        <v>246</v>
      </c>
      <c r="D4524" s="65">
        <v>450</v>
      </c>
      <c r="E4524" s="33">
        <v>1</v>
      </c>
      <c r="F4524" t="s">
        <v>2273</v>
      </c>
      <c r="G4524" t="s">
        <v>144</v>
      </c>
      <c r="H4524" t="s">
        <v>232</v>
      </c>
      <c r="I4524" t="s">
        <v>114</v>
      </c>
      <c r="J4524" t="s">
        <v>195</v>
      </c>
      <c r="K4524">
        <v>0</v>
      </c>
      <c r="L4524" s="28"/>
      <c r="N4524" s="26"/>
    </row>
    <row r="4525" spans="1:14" ht="14.5" customHeight="1" x14ac:dyDescent="0.2">
      <c r="A4525">
        <v>2024</v>
      </c>
      <c r="B4525" t="s">
        <v>212</v>
      </c>
      <c r="C4525" t="s">
        <v>454</v>
      </c>
      <c r="D4525" s="65">
        <v>1200</v>
      </c>
      <c r="E4525" s="33"/>
      <c r="F4525" t="s">
        <v>2274</v>
      </c>
      <c r="G4525" t="s">
        <v>145</v>
      </c>
      <c r="I4525" t="s">
        <v>32</v>
      </c>
      <c r="J4525" t="s">
        <v>195</v>
      </c>
      <c r="K4525">
        <v>1</v>
      </c>
      <c r="L4525" s="28"/>
      <c r="N4525" s="26"/>
    </row>
    <row r="4526" spans="1:14" ht="14.5" customHeight="1" x14ac:dyDescent="0.2">
      <c r="A4526">
        <v>2024</v>
      </c>
      <c r="B4526" t="s">
        <v>212</v>
      </c>
      <c r="C4526" t="s">
        <v>278</v>
      </c>
      <c r="D4526" s="65">
        <v>110</v>
      </c>
      <c r="E4526" s="33"/>
      <c r="G4526" t="s">
        <v>144</v>
      </c>
      <c r="H4526" t="s">
        <v>232</v>
      </c>
      <c r="I4526" t="s">
        <v>63</v>
      </c>
      <c r="J4526" t="s">
        <v>201</v>
      </c>
      <c r="K4526">
        <v>1</v>
      </c>
      <c r="L4526" s="28" t="s">
        <v>178</v>
      </c>
      <c r="N4526" s="26"/>
    </row>
    <row r="4527" spans="1:14" ht="14.5" customHeight="1" x14ac:dyDescent="0.2">
      <c r="A4527">
        <v>2024</v>
      </c>
      <c r="B4527" t="s">
        <v>212</v>
      </c>
      <c r="C4527" t="s">
        <v>1772</v>
      </c>
      <c r="D4527" s="65">
        <v>3780</v>
      </c>
      <c r="E4527" s="33"/>
      <c r="G4527" t="s">
        <v>154</v>
      </c>
      <c r="H4527" t="s">
        <v>194</v>
      </c>
      <c r="I4527" t="s">
        <v>51</v>
      </c>
      <c r="J4527" t="s">
        <v>195</v>
      </c>
      <c r="K4527">
        <v>1</v>
      </c>
      <c r="L4527" s="28" t="s">
        <v>178</v>
      </c>
      <c r="N4527" s="26"/>
    </row>
    <row r="4528" spans="1:14" ht="14.5" customHeight="1" x14ac:dyDescent="0.2">
      <c r="A4528">
        <v>2024</v>
      </c>
      <c r="B4528" t="s">
        <v>212</v>
      </c>
      <c r="C4528" t="s">
        <v>2072</v>
      </c>
      <c r="D4528" s="65">
        <v>100</v>
      </c>
      <c r="E4528" s="33"/>
      <c r="F4528" t="s">
        <v>2275</v>
      </c>
      <c r="G4528" t="s">
        <v>147</v>
      </c>
      <c r="I4528" t="s">
        <v>19</v>
      </c>
      <c r="J4528" t="s">
        <v>205</v>
      </c>
      <c r="K4528">
        <v>0</v>
      </c>
      <c r="L4528" s="28" t="s">
        <v>178</v>
      </c>
      <c r="N4528" s="26"/>
    </row>
    <row r="4529" spans="1:14" ht="14.5" customHeight="1" x14ac:dyDescent="0.2">
      <c r="A4529">
        <v>2024</v>
      </c>
      <c r="B4529" t="s">
        <v>212</v>
      </c>
      <c r="C4529" t="s">
        <v>2103</v>
      </c>
      <c r="D4529" s="65">
        <v>390</v>
      </c>
      <c r="E4529" s="33"/>
      <c r="G4529" t="s">
        <v>149</v>
      </c>
      <c r="H4529" t="s">
        <v>236</v>
      </c>
      <c r="I4529" t="s">
        <v>34</v>
      </c>
      <c r="J4529" t="s">
        <v>219</v>
      </c>
      <c r="K4529">
        <v>1</v>
      </c>
      <c r="L4529" s="28"/>
      <c r="N4529" s="26"/>
    </row>
    <row r="4530" spans="1:14" ht="14.5" customHeight="1" x14ac:dyDescent="0.2">
      <c r="A4530" s="54">
        <v>2024</v>
      </c>
      <c r="B4530" t="s">
        <v>172</v>
      </c>
      <c r="C4530" t="s">
        <v>444</v>
      </c>
      <c r="D4530" s="22">
        <v>350</v>
      </c>
      <c r="E4530" s="16"/>
      <c r="F4530" t="s">
        <v>3107</v>
      </c>
      <c r="G4530" t="s">
        <v>143</v>
      </c>
      <c r="I4530" t="s">
        <v>63</v>
      </c>
      <c r="J4530" t="s">
        <v>201</v>
      </c>
      <c r="K4530">
        <v>1</v>
      </c>
      <c r="N4530" s="26"/>
    </row>
    <row r="4531" spans="1:14" ht="14.5" customHeight="1" x14ac:dyDescent="0.2">
      <c r="A4531" s="54">
        <v>2024</v>
      </c>
      <c r="B4531" t="s">
        <v>172</v>
      </c>
      <c r="C4531" t="s">
        <v>479</v>
      </c>
      <c r="D4531" s="22">
        <v>100</v>
      </c>
      <c r="E4531" s="16"/>
      <c r="G4531" t="s">
        <v>154</v>
      </c>
      <c r="H4531" t="s">
        <v>529</v>
      </c>
      <c r="I4531" t="s">
        <v>72</v>
      </c>
      <c r="J4531" t="s">
        <v>183</v>
      </c>
      <c r="K4531">
        <v>1</v>
      </c>
      <c r="N4531" s="26"/>
    </row>
    <row r="4532" spans="1:14" ht="14.5" customHeight="1" x14ac:dyDescent="0.2">
      <c r="A4532" s="54">
        <v>2024</v>
      </c>
      <c r="B4532" t="s">
        <v>172</v>
      </c>
      <c r="C4532" t="s">
        <v>3108</v>
      </c>
      <c r="D4532" s="22">
        <v>540</v>
      </c>
      <c r="E4532" s="16"/>
      <c r="G4532" t="s">
        <v>144</v>
      </c>
      <c r="H4532" t="s">
        <v>232</v>
      </c>
      <c r="I4532" t="s">
        <v>5</v>
      </c>
      <c r="J4532" t="s">
        <v>214</v>
      </c>
      <c r="K4532">
        <v>1</v>
      </c>
      <c r="N4532" s="26"/>
    </row>
    <row r="4533" spans="1:14" ht="14.5" customHeight="1" x14ac:dyDescent="0.2">
      <c r="A4533" s="54">
        <v>2024</v>
      </c>
      <c r="B4533" t="s">
        <v>172</v>
      </c>
      <c r="C4533" t="s">
        <v>1356</v>
      </c>
      <c r="D4533" s="22">
        <v>100</v>
      </c>
      <c r="E4533" s="16"/>
      <c r="G4533" t="s">
        <v>154</v>
      </c>
      <c r="H4533" t="s">
        <v>194</v>
      </c>
      <c r="I4533" t="s">
        <v>64</v>
      </c>
      <c r="J4533" t="s">
        <v>219</v>
      </c>
      <c r="K4533">
        <v>1</v>
      </c>
      <c r="N4533" s="26"/>
    </row>
    <row r="4534" spans="1:14" ht="14.5" customHeight="1" x14ac:dyDescent="0.2">
      <c r="A4534" s="54">
        <v>2024</v>
      </c>
      <c r="B4534" t="s">
        <v>172</v>
      </c>
      <c r="C4534" t="s">
        <v>449</v>
      </c>
      <c r="D4534" s="22">
        <v>1320</v>
      </c>
      <c r="E4534" s="16"/>
      <c r="F4534" t="s">
        <v>3109</v>
      </c>
      <c r="G4534" t="s">
        <v>154</v>
      </c>
      <c r="H4534" t="s">
        <v>529</v>
      </c>
      <c r="I4534" t="s">
        <v>5</v>
      </c>
      <c r="J4534" t="s">
        <v>214</v>
      </c>
      <c r="K4534">
        <v>1</v>
      </c>
      <c r="N4534" s="26"/>
    </row>
    <row r="4535" spans="1:14" ht="14.5" customHeight="1" x14ac:dyDescent="0.2">
      <c r="A4535" s="54">
        <v>2024</v>
      </c>
      <c r="B4535" t="s">
        <v>172</v>
      </c>
      <c r="C4535" t="s">
        <v>189</v>
      </c>
      <c r="D4535" s="22">
        <v>1160</v>
      </c>
      <c r="E4535" s="16">
        <v>0.35</v>
      </c>
      <c r="F4535" t="s">
        <v>2002</v>
      </c>
      <c r="G4535" t="s">
        <v>144</v>
      </c>
      <c r="H4535" t="s">
        <v>299</v>
      </c>
      <c r="I4535" t="s">
        <v>105</v>
      </c>
      <c r="J4535" t="s">
        <v>214</v>
      </c>
      <c r="K4535">
        <v>1</v>
      </c>
    </row>
    <row r="4536" spans="1:14" ht="14.5" customHeight="1" x14ac:dyDescent="0.2">
      <c r="A4536" s="54">
        <v>2024</v>
      </c>
      <c r="B4536" t="s">
        <v>172</v>
      </c>
      <c r="C4536" t="s">
        <v>185</v>
      </c>
      <c r="D4536" s="22">
        <v>130</v>
      </c>
      <c r="E4536" s="16"/>
      <c r="G4536" t="s">
        <v>144</v>
      </c>
      <c r="H4536" t="s">
        <v>187</v>
      </c>
      <c r="I4536" t="s">
        <v>53</v>
      </c>
      <c r="J4536" t="s">
        <v>183</v>
      </c>
      <c r="K4536">
        <v>1</v>
      </c>
    </row>
    <row r="4537" spans="1:14" ht="14.5" customHeight="1" x14ac:dyDescent="0.2">
      <c r="A4537" s="54">
        <v>2024</v>
      </c>
      <c r="B4537" t="s">
        <v>172</v>
      </c>
      <c r="C4537" t="s">
        <v>479</v>
      </c>
      <c r="D4537" s="22">
        <v>160</v>
      </c>
      <c r="E4537" s="16"/>
      <c r="G4537" t="s">
        <v>154</v>
      </c>
      <c r="H4537" t="s">
        <v>271</v>
      </c>
      <c r="I4537" t="s">
        <v>72</v>
      </c>
      <c r="J4537" t="s">
        <v>183</v>
      </c>
      <c r="K4537">
        <v>1</v>
      </c>
    </row>
    <row r="4538" spans="1:14" ht="14.5" customHeight="1" x14ac:dyDescent="0.2">
      <c r="A4538" s="54">
        <v>2024</v>
      </c>
      <c r="B4538" t="s">
        <v>258</v>
      </c>
      <c r="C4538" t="s">
        <v>703</v>
      </c>
      <c r="D4538" s="22">
        <v>300</v>
      </c>
      <c r="E4538" s="16"/>
      <c r="F4538" t="s">
        <v>3110</v>
      </c>
      <c r="G4538" t="s">
        <v>144</v>
      </c>
      <c r="H4538" t="s">
        <v>232</v>
      </c>
      <c r="I4538" t="s">
        <v>128</v>
      </c>
      <c r="J4538" t="s">
        <v>201</v>
      </c>
      <c r="K4538">
        <v>1</v>
      </c>
    </row>
    <row r="4539" spans="1:14" ht="14.5" customHeight="1" x14ac:dyDescent="0.2">
      <c r="A4539" s="54">
        <v>2024</v>
      </c>
      <c r="B4539" t="s">
        <v>258</v>
      </c>
      <c r="C4539" t="s">
        <v>3111</v>
      </c>
      <c r="D4539" s="22">
        <v>270</v>
      </c>
      <c r="E4539" s="16"/>
      <c r="G4539" t="s">
        <v>148</v>
      </c>
      <c r="I4539" t="s">
        <v>123</v>
      </c>
      <c r="J4539" t="s">
        <v>219</v>
      </c>
      <c r="K4539">
        <v>1</v>
      </c>
    </row>
    <row r="4540" spans="1:14" ht="14.5" customHeight="1" x14ac:dyDescent="0.2">
      <c r="A4540" s="54">
        <v>2024</v>
      </c>
      <c r="B4540" t="s">
        <v>258</v>
      </c>
      <c r="C4540" t="s">
        <v>3112</v>
      </c>
      <c r="D4540" s="22">
        <v>170</v>
      </c>
      <c r="E4540" s="16">
        <v>0.7</v>
      </c>
      <c r="F4540" t="s">
        <v>3113</v>
      </c>
      <c r="G4540" t="s">
        <v>154</v>
      </c>
      <c r="H4540" t="s">
        <v>194</v>
      </c>
      <c r="I4540" t="s">
        <v>97</v>
      </c>
      <c r="J4540" t="s">
        <v>183</v>
      </c>
      <c r="K4540">
        <v>1</v>
      </c>
    </row>
    <row r="4541" spans="1:14" ht="14.5" customHeight="1" x14ac:dyDescent="0.2">
      <c r="A4541" s="54">
        <v>2024</v>
      </c>
      <c r="B4541" t="s">
        <v>258</v>
      </c>
      <c r="C4541" t="s">
        <v>557</v>
      </c>
      <c r="D4541" s="22">
        <v>270</v>
      </c>
      <c r="E4541" s="16"/>
      <c r="G4541" t="s">
        <v>151</v>
      </c>
      <c r="H4541" t="s">
        <v>279</v>
      </c>
      <c r="I4541" t="s">
        <v>105</v>
      </c>
      <c r="J4541" t="s">
        <v>214</v>
      </c>
      <c r="K4541">
        <v>1</v>
      </c>
    </row>
    <row r="4542" spans="1:14" ht="14.5" customHeight="1" x14ac:dyDescent="0.2">
      <c r="A4542" s="54">
        <v>2024</v>
      </c>
      <c r="B4542" t="s">
        <v>258</v>
      </c>
      <c r="C4542" t="s">
        <v>745</v>
      </c>
      <c r="D4542" s="22">
        <v>260</v>
      </c>
      <c r="E4542" s="16"/>
      <c r="G4542" t="s">
        <v>150</v>
      </c>
      <c r="H4542" t="s">
        <v>292</v>
      </c>
      <c r="I4542" t="s">
        <v>13</v>
      </c>
      <c r="J4542" t="s">
        <v>201</v>
      </c>
      <c r="K4542">
        <v>1</v>
      </c>
    </row>
    <row r="4543" spans="1:14" ht="14.5" customHeight="1" x14ac:dyDescent="0.2">
      <c r="A4543" s="54">
        <v>2024</v>
      </c>
      <c r="B4543" t="s">
        <v>258</v>
      </c>
      <c r="C4543" t="s">
        <v>1035</v>
      </c>
      <c r="D4543" s="22">
        <v>140</v>
      </c>
      <c r="E4543" s="16"/>
      <c r="G4543" t="s">
        <v>144</v>
      </c>
      <c r="H4543" t="s">
        <v>197</v>
      </c>
      <c r="I4543" t="s">
        <v>3114</v>
      </c>
      <c r="J4543" t="s">
        <v>219</v>
      </c>
      <c r="K4543">
        <v>0</v>
      </c>
    </row>
    <row r="4544" spans="1:14" ht="14.5" customHeight="1" x14ac:dyDescent="0.2">
      <c r="A4544" s="54">
        <v>2024</v>
      </c>
      <c r="B4544" t="s">
        <v>258</v>
      </c>
      <c r="C4544" t="s">
        <v>336</v>
      </c>
      <c r="D4544" s="22">
        <v>3480</v>
      </c>
      <c r="E4544" s="16"/>
      <c r="G4544" t="s">
        <v>144</v>
      </c>
      <c r="I4544" t="s">
        <v>93</v>
      </c>
      <c r="J4544" t="s">
        <v>201</v>
      </c>
      <c r="K4544">
        <v>1</v>
      </c>
    </row>
    <row r="4545" spans="1:11" ht="14.5" customHeight="1" x14ac:dyDescent="0.2">
      <c r="A4545" s="54">
        <v>2024</v>
      </c>
      <c r="B4545" t="s">
        <v>258</v>
      </c>
      <c r="C4545" t="s">
        <v>341</v>
      </c>
      <c r="D4545" s="22">
        <v>140</v>
      </c>
      <c r="E4545" s="16"/>
      <c r="G4545" t="s">
        <v>153</v>
      </c>
      <c r="I4545" t="s">
        <v>2449</v>
      </c>
      <c r="J4545" t="s">
        <v>183</v>
      </c>
      <c r="K4545">
        <v>1</v>
      </c>
    </row>
    <row r="4546" spans="1:11" ht="14.5" customHeight="1" x14ac:dyDescent="0.2">
      <c r="A4546" s="54">
        <v>2024</v>
      </c>
      <c r="B4546" t="s">
        <v>258</v>
      </c>
      <c r="C4546" t="s">
        <v>1035</v>
      </c>
      <c r="D4546" s="22">
        <v>230</v>
      </c>
      <c r="E4546" s="16"/>
      <c r="G4546" t="s">
        <v>145</v>
      </c>
      <c r="I4546" t="s">
        <v>106</v>
      </c>
      <c r="J4546" t="s">
        <v>195</v>
      </c>
      <c r="K4546">
        <v>1</v>
      </c>
    </row>
    <row r="4547" spans="1:11" ht="14.5" customHeight="1" x14ac:dyDescent="0.2">
      <c r="A4547" s="54">
        <v>2024</v>
      </c>
      <c r="B4547" t="s">
        <v>258</v>
      </c>
      <c r="C4547" t="s">
        <v>3115</v>
      </c>
      <c r="D4547" s="22">
        <v>350</v>
      </c>
      <c r="E4547" s="16">
        <v>1</v>
      </c>
      <c r="G4547" t="s">
        <v>149</v>
      </c>
      <c r="I4547" t="s">
        <v>16</v>
      </c>
      <c r="J4547" t="s">
        <v>205</v>
      </c>
      <c r="K4547">
        <v>1</v>
      </c>
    </row>
    <row r="4548" spans="1:11" ht="14.5" customHeight="1" x14ac:dyDescent="0.2">
      <c r="A4548" s="54">
        <v>2024</v>
      </c>
      <c r="B4548" t="s">
        <v>258</v>
      </c>
      <c r="C4548" t="s">
        <v>745</v>
      </c>
      <c r="D4548" s="22">
        <v>5770</v>
      </c>
      <c r="E4548" s="16"/>
      <c r="G4548" t="s">
        <v>144</v>
      </c>
      <c r="H4548" t="s">
        <v>187</v>
      </c>
      <c r="I4548" t="s">
        <v>6</v>
      </c>
      <c r="J4548" t="s">
        <v>219</v>
      </c>
      <c r="K4548">
        <v>1</v>
      </c>
    </row>
    <row r="4549" spans="1:11" ht="14.5" customHeight="1" x14ac:dyDescent="0.2">
      <c r="A4549" s="54">
        <v>2024</v>
      </c>
      <c r="B4549" t="s">
        <v>258</v>
      </c>
      <c r="C4549" t="s">
        <v>875</v>
      </c>
      <c r="D4549" s="22">
        <v>130</v>
      </c>
      <c r="E4549" s="16"/>
      <c r="G4549" t="s">
        <v>151</v>
      </c>
      <c r="H4549" t="s">
        <v>279</v>
      </c>
      <c r="I4549" t="s">
        <v>105</v>
      </c>
      <c r="J4549" t="s">
        <v>214</v>
      </c>
      <c r="K4549">
        <v>1</v>
      </c>
    </row>
    <row r="4550" spans="1:11" ht="14.5" customHeight="1" x14ac:dyDescent="0.2">
      <c r="A4550" s="54">
        <v>2024</v>
      </c>
      <c r="B4550" t="s">
        <v>179</v>
      </c>
      <c r="C4550" t="s">
        <v>2092</v>
      </c>
      <c r="D4550" s="22">
        <v>200</v>
      </c>
      <c r="E4550" s="16"/>
      <c r="G4550" t="s">
        <v>154</v>
      </c>
      <c r="H4550" t="s">
        <v>194</v>
      </c>
      <c r="I4550" t="s">
        <v>127</v>
      </c>
      <c r="J4550" t="s">
        <v>214</v>
      </c>
      <c r="K4550">
        <v>1</v>
      </c>
    </row>
    <row r="4551" spans="1:11" ht="14.5" customHeight="1" x14ac:dyDescent="0.2">
      <c r="A4551" s="54">
        <v>2024</v>
      </c>
      <c r="B4551" t="s">
        <v>179</v>
      </c>
      <c r="C4551" t="s">
        <v>479</v>
      </c>
      <c r="D4551" s="22">
        <v>2060</v>
      </c>
      <c r="E4551" s="16"/>
      <c r="G4551" t="s">
        <v>151</v>
      </c>
      <c r="H4551" t="s">
        <v>279</v>
      </c>
      <c r="I4551" t="s">
        <v>105</v>
      </c>
      <c r="J4551" t="s">
        <v>214</v>
      </c>
      <c r="K4551">
        <v>1</v>
      </c>
    </row>
    <row r="4552" spans="1:11" ht="14.5" customHeight="1" x14ac:dyDescent="0.2">
      <c r="A4552" s="54">
        <v>2024</v>
      </c>
      <c r="B4552" t="s">
        <v>179</v>
      </c>
      <c r="C4552" t="s">
        <v>479</v>
      </c>
      <c r="D4552" s="22">
        <v>340</v>
      </c>
      <c r="E4552" s="16"/>
      <c r="G4552" t="s">
        <v>145</v>
      </c>
      <c r="I4552" t="s">
        <v>64</v>
      </c>
      <c r="J4552" t="s">
        <v>219</v>
      </c>
      <c r="K4552">
        <v>1</v>
      </c>
    </row>
    <row r="4553" spans="1:11" ht="14.5" customHeight="1" x14ac:dyDescent="0.2">
      <c r="A4553" s="54">
        <v>2024</v>
      </c>
      <c r="B4553" t="s">
        <v>179</v>
      </c>
      <c r="C4553" t="s">
        <v>341</v>
      </c>
      <c r="D4553" s="22">
        <v>110</v>
      </c>
      <c r="E4553" s="16"/>
      <c r="G4553" t="s">
        <v>145</v>
      </c>
      <c r="I4553" t="s">
        <v>123</v>
      </c>
      <c r="J4553" t="s">
        <v>219</v>
      </c>
      <c r="K4553">
        <v>1</v>
      </c>
    </row>
    <row r="4554" spans="1:11" ht="14.5" customHeight="1" x14ac:dyDescent="0.2">
      <c r="A4554" s="54">
        <v>2024</v>
      </c>
      <c r="B4554" t="s">
        <v>179</v>
      </c>
      <c r="C4554" t="s">
        <v>745</v>
      </c>
      <c r="D4554" s="22">
        <v>280</v>
      </c>
      <c r="E4554" s="16"/>
      <c r="G4554" t="s">
        <v>151</v>
      </c>
      <c r="H4554" t="s">
        <v>279</v>
      </c>
      <c r="I4554" t="s">
        <v>130</v>
      </c>
      <c r="J4554" t="s">
        <v>214</v>
      </c>
      <c r="K4554">
        <v>1</v>
      </c>
    </row>
    <row r="4555" spans="1:11" ht="14.5" customHeight="1" x14ac:dyDescent="0.2">
      <c r="A4555" s="54">
        <v>2024</v>
      </c>
      <c r="B4555" t="s">
        <v>179</v>
      </c>
      <c r="C4555" t="s">
        <v>745</v>
      </c>
      <c r="D4555" s="22">
        <v>140</v>
      </c>
      <c r="E4555" s="16"/>
      <c r="G4555" t="s">
        <v>143</v>
      </c>
      <c r="I4555" t="s">
        <v>101</v>
      </c>
      <c r="J4555" t="s">
        <v>201</v>
      </c>
      <c r="K4555">
        <v>1</v>
      </c>
    </row>
    <row r="4556" spans="1:11" ht="14.5" customHeight="1" x14ac:dyDescent="0.2">
      <c r="A4556" s="54">
        <v>2024</v>
      </c>
      <c r="B4556" t="s">
        <v>179</v>
      </c>
      <c r="C4556" t="s">
        <v>557</v>
      </c>
      <c r="D4556" s="22">
        <v>100</v>
      </c>
      <c r="E4556" s="16"/>
      <c r="G4556" t="s">
        <v>151</v>
      </c>
      <c r="H4556" t="s">
        <v>279</v>
      </c>
      <c r="I4556" t="s">
        <v>55</v>
      </c>
      <c r="J4556" t="s">
        <v>214</v>
      </c>
      <c r="K4556">
        <v>1</v>
      </c>
    </row>
    <row r="4557" spans="1:11" ht="14.5" customHeight="1" x14ac:dyDescent="0.2">
      <c r="A4557" s="54">
        <v>2024</v>
      </c>
      <c r="B4557" t="s">
        <v>179</v>
      </c>
      <c r="C4557" t="s">
        <v>1035</v>
      </c>
      <c r="D4557" s="22">
        <v>270</v>
      </c>
      <c r="E4557" s="16"/>
      <c r="G4557" t="s">
        <v>144</v>
      </c>
      <c r="H4557" t="s">
        <v>299</v>
      </c>
      <c r="I4557" t="s">
        <v>105</v>
      </c>
      <c r="J4557" t="s">
        <v>214</v>
      </c>
      <c r="K4557">
        <v>1</v>
      </c>
    </row>
    <row r="4558" spans="1:11" ht="14.5" customHeight="1" x14ac:dyDescent="0.2">
      <c r="A4558" s="54">
        <v>2024</v>
      </c>
      <c r="B4558" t="s">
        <v>179</v>
      </c>
      <c r="C4558" t="s">
        <v>3116</v>
      </c>
      <c r="D4558" s="22">
        <v>490</v>
      </c>
      <c r="E4558" s="16"/>
      <c r="G4558" t="s">
        <v>150</v>
      </c>
      <c r="H4558" t="s">
        <v>744</v>
      </c>
      <c r="I4558" t="s">
        <v>96</v>
      </c>
      <c r="J4558" t="s">
        <v>205</v>
      </c>
      <c r="K4558">
        <v>1</v>
      </c>
    </row>
    <row r="4559" spans="1:11" ht="14.5" customHeight="1" x14ac:dyDescent="0.2">
      <c r="A4559" s="54">
        <v>2024</v>
      </c>
      <c r="B4559" t="s">
        <v>179</v>
      </c>
      <c r="C4559" t="s">
        <v>175</v>
      </c>
      <c r="D4559" s="22">
        <v>340</v>
      </c>
      <c r="E4559" s="16"/>
      <c r="F4559" t="s">
        <v>3117</v>
      </c>
      <c r="G4559" t="s">
        <v>149</v>
      </c>
      <c r="H4559" t="s">
        <v>182</v>
      </c>
      <c r="I4559" t="s">
        <v>53</v>
      </c>
      <c r="J4559" t="s">
        <v>183</v>
      </c>
      <c r="K4559">
        <v>1</v>
      </c>
    </row>
    <row r="4560" spans="1:11" ht="14.5" customHeight="1" x14ac:dyDescent="0.2">
      <c r="A4560" s="54">
        <v>2024</v>
      </c>
      <c r="B4560" t="s">
        <v>179</v>
      </c>
      <c r="C4560" t="s">
        <v>2983</v>
      </c>
      <c r="D4560" s="22">
        <v>110</v>
      </c>
      <c r="E4560" s="16"/>
      <c r="G4560" t="s">
        <v>154</v>
      </c>
      <c r="H4560" t="s">
        <v>194</v>
      </c>
      <c r="I4560" t="s">
        <v>64</v>
      </c>
      <c r="J4560" t="s">
        <v>219</v>
      </c>
      <c r="K4560">
        <v>1</v>
      </c>
    </row>
    <row r="4561" spans="1:11" ht="14.5" customHeight="1" x14ac:dyDescent="0.2">
      <c r="A4561" s="54">
        <v>2024</v>
      </c>
      <c r="B4561" t="s">
        <v>179</v>
      </c>
      <c r="C4561" t="s">
        <v>1035</v>
      </c>
      <c r="D4561" s="22">
        <v>230</v>
      </c>
      <c r="E4561" s="16"/>
      <c r="G4561" t="s">
        <v>144</v>
      </c>
      <c r="H4561" t="s">
        <v>232</v>
      </c>
      <c r="I4561" t="s">
        <v>5</v>
      </c>
      <c r="J4561" t="s">
        <v>214</v>
      </c>
      <c r="K4561">
        <v>1</v>
      </c>
    </row>
    <row r="4562" spans="1:11" ht="14.5" customHeight="1" x14ac:dyDescent="0.2">
      <c r="A4562" s="54">
        <v>2024</v>
      </c>
      <c r="B4562" t="s">
        <v>179</v>
      </c>
      <c r="C4562" t="s">
        <v>3118</v>
      </c>
      <c r="D4562" s="22">
        <v>220</v>
      </c>
      <c r="E4562" s="16"/>
      <c r="F4562" t="s">
        <v>3119</v>
      </c>
      <c r="G4562" t="s">
        <v>144</v>
      </c>
      <c r="H4562" t="s">
        <v>232</v>
      </c>
      <c r="I4562" t="s">
        <v>134</v>
      </c>
      <c r="J4562" t="s">
        <v>201</v>
      </c>
      <c r="K4562">
        <v>1</v>
      </c>
    </row>
    <row r="4563" spans="1:11" ht="14.5" customHeight="1" x14ac:dyDescent="0.2">
      <c r="A4563" s="54">
        <v>2024</v>
      </c>
      <c r="B4563" t="s">
        <v>184</v>
      </c>
      <c r="C4563" t="s">
        <v>199</v>
      </c>
      <c r="D4563" s="22">
        <v>1410</v>
      </c>
      <c r="E4563" s="16"/>
      <c r="F4563" t="s">
        <v>2002</v>
      </c>
      <c r="G4563" t="s">
        <v>144</v>
      </c>
      <c r="H4563" t="s">
        <v>299</v>
      </c>
      <c r="I4563" t="s">
        <v>105</v>
      </c>
      <c r="J4563" t="s">
        <v>214</v>
      </c>
      <c r="K4563">
        <v>1</v>
      </c>
    </row>
    <row r="4564" spans="1:11" ht="14.5" customHeight="1" x14ac:dyDescent="0.2">
      <c r="A4564" s="54">
        <v>2024</v>
      </c>
      <c r="B4564" t="s">
        <v>184</v>
      </c>
      <c r="C4564" t="s">
        <v>397</v>
      </c>
      <c r="D4564" s="22">
        <v>360</v>
      </c>
      <c r="E4564" s="16"/>
      <c r="F4564" t="s">
        <v>2776</v>
      </c>
      <c r="G4564" t="s">
        <v>151</v>
      </c>
      <c r="H4564" t="s">
        <v>279</v>
      </c>
      <c r="I4564" t="s">
        <v>130</v>
      </c>
      <c r="J4564" t="s">
        <v>214</v>
      </c>
      <c r="K4564">
        <v>1</v>
      </c>
    </row>
    <row r="4565" spans="1:11" ht="14.5" customHeight="1" x14ac:dyDescent="0.2">
      <c r="A4565" s="54">
        <v>2024</v>
      </c>
      <c r="B4565" t="s">
        <v>184</v>
      </c>
      <c r="C4565" t="s">
        <v>449</v>
      </c>
      <c r="D4565" s="22">
        <v>180</v>
      </c>
      <c r="E4565" s="16"/>
      <c r="G4565" t="s">
        <v>147</v>
      </c>
      <c r="I4565" t="s">
        <v>27</v>
      </c>
      <c r="J4565" t="s">
        <v>205</v>
      </c>
      <c r="K4565">
        <v>1</v>
      </c>
    </row>
    <row r="4566" spans="1:11" ht="14.5" customHeight="1" x14ac:dyDescent="0.2">
      <c r="A4566" s="54">
        <v>2024</v>
      </c>
      <c r="B4566" t="s">
        <v>184</v>
      </c>
      <c r="C4566" t="s">
        <v>189</v>
      </c>
      <c r="D4566" s="22">
        <v>280</v>
      </c>
      <c r="E4566" s="16"/>
      <c r="G4566" t="s">
        <v>154</v>
      </c>
      <c r="I4566" t="s">
        <v>26</v>
      </c>
      <c r="J4566" t="s">
        <v>219</v>
      </c>
      <c r="K4566">
        <v>1</v>
      </c>
    </row>
    <row r="4567" spans="1:11" ht="14.5" customHeight="1" x14ac:dyDescent="0.2">
      <c r="A4567" s="54">
        <v>2024</v>
      </c>
      <c r="B4567" t="s">
        <v>184</v>
      </c>
      <c r="C4567" t="s">
        <v>405</v>
      </c>
      <c r="D4567" s="22">
        <v>200</v>
      </c>
      <c r="E4567" s="16"/>
      <c r="F4567" t="s">
        <v>3120</v>
      </c>
      <c r="G4567" t="s">
        <v>149</v>
      </c>
      <c r="H4567" t="s">
        <v>182</v>
      </c>
      <c r="I4567" t="s">
        <v>52</v>
      </c>
      <c r="J4567" t="s">
        <v>201</v>
      </c>
      <c r="K4567">
        <v>0</v>
      </c>
    </row>
    <row r="4568" spans="1:11" ht="14.5" customHeight="1" x14ac:dyDescent="0.2">
      <c r="A4568" s="54">
        <v>2024</v>
      </c>
      <c r="B4568" t="s">
        <v>184</v>
      </c>
      <c r="C4568" t="s">
        <v>745</v>
      </c>
      <c r="D4568" s="22">
        <v>1100</v>
      </c>
      <c r="E4568" s="16"/>
      <c r="F4568" t="s">
        <v>3121</v>
      </c>
      <c r="G4568" t="s">
        <v>142</v>
      </c>
      <c r="I4568" t="s">
        <v>38</v>
      </c>
      <c r="J4568" t="s">
        <v>214</v>
      </c>
      <c r="K4568">
        <v>1</v>
      </c>
    </row>
    <row r="4569" spans="1:11" ht="14.5" customHeight="1" x14ac:dyDescent="0.2">
      <c r="A4569" s="54">
        <v>2024</v>
      </c>
      <c r="B4569" t="s">
        <v>184</v>
      </c>
      <c r="C4569" t="s">
        <v>1035</v>
      </c>
      <c r="D4569" s="22">
        <v>110</v>
      </c>
      <c r="E4569" s="16"/>
      <c r="G4569" t="s">
        <v>154</v>
      </c>
      <c r="H4569" t="s">
        <v>194</v>
      </c>
      <c r="I4569" t="s">
        <v>98</v>
      </c>
      <c r="J4569" t="s">
        <v>195</v>
      </c>
      <c r="K4569">
        <v>1</v>
      </c>
    </row>
    <row r="4570" spans="1:11" ht="14.5" customHeight="1" x14ac:dyDescent="0.2">
      <c r="A4570" s="54">
        <v>2024</v>
      </c>
      <c r="B4570" t="s">
        <v>184</v>
      </c>
      <c r="C4570" t="s">
        <v>189</v>
      </c>
      <c r="D4570" s="22">
        <v>160</v>
      </c>
      <c r="E4570" s="16"/>
      <c r="F4570" t="s">
        <v>3122</v>
      </c>
      <c r="G4570" t="s">
        <v>144</v>
      </c>
      <c r="H4570" t="s">
        <v>299</v>
      </c>
      <c r="I4570" t="s">
        <v>105</v>
      </c>
      <c r="J4570" t="s">
        <v>214</v>
      </c>
      <c r="K4570">
        <v>1</v>
      </c>
    </row>
    <row r="4571" spans="1:11" ht="14.5" customHeight="1" x14ac:dyDescent="0.2">
      <c r="A4571" s="54">
        <v>2024</v>
      </c>
      <c r="B4571" t="s">
        <v>184</v>
      </c>
      <c r="C4571" t="s">
        <v>1035</v>
      </c>
      <c r="D4571" s="22">
        <v>490</v>
      </c>
      <c r="E4571" s="16"/>
      <c r="G4571" t="s">
        <v>144</v>
      </c>
      <c r="H4571" t="s">
        <v>197</v>
      </c>
      <c r="I4571" t="s">
        <v>97</v>
      </c>
      <c r="J4571" t="s">
        <v>183</v>
      </c>
      <c r="K4571">
        <v>1</v>
      </c>
    </row>
    <row r="4572" spans="1:11" s="17" customFormat="1" ht="14.5" customHeight="1" x14ac:dyDescent="0.2">
      <c r="A4572" s="54">
        <v>2024</v>
      </c>
      <c r="B4572" t="s">
        <v>184</v>
      </c>
      <c r="C4572" t="s">
        <v>1035</v>
      </c>
      <c r="D4572" s="22">
        <v>260</v>
      </c>
      <c r="E4572" s="16"/>
      <c r="F4572" t="s">
        <v>3123</v>
      </c>
      <c r="G4572" t="s">
        <v>144</v>
      </c>
      <c r="H4572" t="s">
        <v>232</v>
      </c>
      <c r="I4572" t="s">
        <v>72</v>
      </c>
      <c r="J4572" t="s">
        <v>183</v>
      </c>
      <c r="K4572">
        <v>1</v>
      </c>
    </row>
    <row r="4573" spans="1:11" s="17" customFormat="1" ht="14.5" customHeight="1" x14ac:dyDescent="0.2">
      <c r="A4573" s="54">
        <v>2024</v>
      </c>
      <c r="B4573" t="s">
        <v>184</v>
      </c>
      <c r="C4573" t="s">
        <v>1035</v>
      </c>
      <c r="D4573" s="22">
        <v>1460</v>
      </c>
      <c r="E4573" s="16"/>
      <c r="G4573" t="s">
        <v>144</v>
      </c>
      <c r="H4573" t="s">
        <v>299</v>
      </c>
      <c r="I4573" t="s">
        <v>105</v>
      </c>
      <c r="J4573" t="s">
        <v>214</v>
      </c>
      <c r="K4573">
        <v>1</v>
      </c>
    </row>
    <row r="4574" spans="1:11" s="17" customFormat="1" ht="14.5" customHeight="1" x14ac:dyDescent="0.2">
      <c r="A4574" s="54">
        <v>2024</v>
      </c>
      <c r="B4574" t="s">
        <v>184</v>
      </c>
      <c r="C4574" t="s">
        <v>397</v>
      </c>
      <c r="D4574" s="22">
        <v>110</v>
      </c>
      <c r="E4574" s="16"/>
      <c r="G4574" t="s">
        <v>154</v>
      </c>
      <c r="H4574" t="s">
        <v>194</v>
      </c>
      <c r="I4574" t="s">
        <v>13</v>
      </c>
      <c r="J4574" t="s">
        <v>201</v>
      </c>
      <c r="K4574">
        <v>1</v>
      </c>
    </row>
    <row r="4575" spans="1:11" ht="14.5" customHeight="1" x14ac:dyDescent="0.2">
      <c r="A4575" s="54">
        <v>2024</v>
      </c>
      <c r="B4575" t="s">
        <v>184</v>
      </c>
      <c r="C4575" t="s">
        <v>397</v>
      </c>
      <c r="D4575" s="22">
        <v>250</v>
      </c>
      <c r="E4575" s="16"/>
      <c r="F4575" t="s">
        <v>3124</v>
      </c>
      <c r="G4575" t="s">
        <v>151</v>
      </c>
      <c r="H4575" t="s">
        <v>279</v>
      </c>
      <c r="I4575" t="s">
        <v>38</v>
      </c>
      <c r="J4575" t="s">
        <v>214</v>
      </c>
      <c r="K4575">
        <v>1</v>
      </c>
    </row>
    <row r="4576" spans="1:11" ht="14.5" customHeight="1" x14ac:dyDescent="0.2">
      <c r="A4576" s="54">
        <v>2024</v>
      </c>
      <c r="B4576" t="s">
        <v>184</v>
      </c>
      <c r="C4576" t="s">
        <v>1035</v>
      </c>
      <c r="D4576" s="22">
        <v>760</v>
      </c>
      <c r="E4576" s="16"/>
      <c r="G4576" t="s">
        <v>144</v>
      </c>
      <c r="H4576" t="s">
        <v>299</v>
      </c>
      <c r="I4576" t="s">
        <v>134</v>
      </c>
      <c r="J4576" t="s">
        <v>201</v>
      </c>
      <c r="K4576">
        <v>1</v>
      </c>
    </row>
    <row r="4577" spans="1:11" ht="14.5" customHeight="1" x14ac:dyDescent="0.2">
      <c r="A4577" s="54">
        <v>2024</v>
      </c>
      <c r="B4577" t="s">
        <v>225</v>
      </c>
      <c r="C4577" t="s">
        <v>2392</v>
      </c>
      <c r="D4577" s="22">
        <v>130</v>
      </c>
      <c r="E4577" s="16"/>
      <c r="G4577" t="s">
        <v>144</v>
      </c>
      <c r="H4577" t="s">
        <v>232</v>
      </c>
      <c r="I4577" t="s">
        <v>83</v>
      </c>
      <c r="J4577" t="s">
        <v>219</v>
      </c>
      <c r="K4577">
        <v>1</v>
      </c>
    </row>
    <row r="4578" spans="1:11" ht="14.5" customHeight="1" x14ac:dyDescent="0.2">
      <c r="A4578" s="54">
        <v>2024</v>
      </c>
      <c r="B4578" t="s">
        <v>225</v>
      </c>
      <c r="C4578" t="s">
        <v>2157</v>
      </c>
      <c r="D4578" s="22">
        <v>120</v>
      </c>
      <c r="E4578" s="16"/>
      <c r="G4578" t="s">
        <v>144</v>
      </c>
      <c r="H4578" t="s">
        <v>197</v>
      </c>
      <c r="I4578" t="s">
        <v>72</v>
      </c>
      <c r="J4578" t="s">
        <v>183</v>
      </c>
      <c r="K4578">
        <v>1</v>
      </c>
    </row>
    <row r="4579" spans="1:11" ht="14.5" customHeight="1" x14ac:dyDescent="0.2">
      <c r="A4579" s="54">
        <v>2024</v>
      </c>
      <c r="B4579" t="s">
        <v>225</v>
      </c>
      <c r="C4579" t="s">
        <v>2434</v>
      </c>
      <c r="D4579" s="22">
        <v>270</v>
      </c>
      <c r="E4579" s="16"/>
      <c r="G4579" t="s">
        <v>154</v>
      </c>
      <c r="H4579" t="s">
        <v>529</v>
      </c>
      <c r="I4579" t="s">
        <v>108</v>
      </c>
      <c r="J4579" t="s">
        <v>183</v>
      </c>
      <c r="K4579">
        <v>1</v>
      </c>
    </row>
    <row r="4580" spans="1:11" ht="14.5" customHeight="1" x14ac:dyDescent="0.2">
      <c r="A4580" s="54">
        <v>2024</v>
      </c>
      <c r="B4580" t="s">
        <v>225</v>
      </c>
      <c r="C4580" t="s">
        <v>479</v>
      </c>
      <c r="D4580" s="22">
        <v>360</v>
      </c>
      <c r="E4580" s="16"/>
      <c r="G4580" t="s">
        <v>154</v>
      </c>
      <c r="H4580" t="s">
        <v>529</v>
      </c>
      <c r="I4580" t="s">
        <v>9</v>
      </c>
      <c r="J4580" t="s">
        <v>9</v>
      </c>
      <c r="K4580">
        <v>0</v>
      </c>
    </row>
    <row r="4581" spans="1:11" ht="14.5" customHeight="1" x14ac:dyDescent="0.2">
      <c r="A4581" s="54">
        <v>2024</v>
      </c>
      <c r="B4581" t="s">
        <v>225</v>
      </c>
      <c r="C4581" t="s">
        <v>479</v>
      </c>
      <c r="D4581" s="22">
        <v>160</v>
      </c>
      <c r="E4581" s="16"/>
      <c r="F4581" t="s">
        <v>3125</v>
      </c>
      <c r="G4581" t="s">
        <v>155</v>
      </c>
      <c r="I4581" t="s">
        <v>9</v>
      </c>
      <c r="J4581" t="s">
        <v>9</v>
      </c>
      <c r="K4581">
        <v>0</v>
      </c>
    </row>
    <row r="4582" spans="1:11" ht="14.5" customHeight="1" x14ac:dyDescent="0.2">
      <c r="A4582" s="54">
        <v>2024</v>
      </c>
      <c r="B4582" t="s">
        <v>225</v>
      </c>
      <c r="C4582" t="s">
        <v>3126</v>
      </c>
      <c r="D4582" s="22">
        <v>140</v>
      </c>
      <c r="E4582" s="16"/>
      <c r="F4582" t="s">
        <v>3127</v>
      </c>
      <c r="G4582" t="s">
        <v>144</v>
      </c>
      <c r="H4582" t="s">
        <v>232</v>
      </c>
      <c r="I4582" t="s">
        <v>9</v>
      </c>
      <c r="J4582" t="s">
        <v>9</v>
      </c>
      <c r="K4582">
        <v>0</v>
      </c>
    </row>
    <row r="4583" spans="1:11" ht="14.5" customHeight="1" x14ac:dyDescent="0.2">
      <c r="A4583" s="54">
        <v>2024</v>
      </c>
      <c r="B4583" t="s">
        <v>225</v>
      </c>
      <c r="C4583" t="s">
        <v>1035</v>
      </c>
      <c r="D4583" s="22">
        <v>380</v>
      </c>
      <c r="E4583" s="16"/>
      <c r="G4583" t="s">
        <v>153</v>
      </c>
      <c r="I4583" t="s">
        <v>55</v>
      </c>
      <c r="J4583" t="s">
        <v>214</v>
      </c>
      <c r="K4583">
        <v>1</v>
      </c>
    </row>
    <row r="4584" spans="1:11" ht="14.5" customHeight="1" x14ac:dyDescent="0.2">
      <c r="A4584" s="54">
        <v>2024</v>
      </c>
      <c r="B4584" t="s">
        <v>225</v>
      </c>
      <c r="C4584" t="s">
        <v>1035</v>
      </c>
      <c r="D4584" s="22">
        <v>240</v>
      </c>
      <c r="E4584" s="16"/>
      <c r="G4584" t="s">
        <v>144</v>
      </c>
      <c r="H4584" t="s">
        <v>232</v>
      </c>
      <c r="I4584" t="s">
        <v>136</v>
      </c>
      <c r="J4584" t="s">
        <v>183</v>
      </c>
      <c r="K4584">
        <v>1</v>
      </c>
    </row>
    <row r="4585" spans="1:11" ht="14.5" customHeight="1" x14ac:dyDescent="0.2">
      <c r="A4585" s="54">
        <v>2024</v>
      </c>
      <c r="B4585" t="s">
        <v>225</v>
      </c>
      <c r="C4585" t="s">
        <v>189</v>
      </c>
      <c r="D4585" s="22">
        <v>140</v>
      </c>
      <c r="E4585" s="16"/>
      <c r="G4585" t="s">
        <v>155</v>
      </c>
      <c r="I4585" t="s">
        <v>40</v>
      </c>
      <c r="J4585" t="s">
        <v>219</v>
      </c>
      <c r="K4585">
        <v>1</v>
      </c>
    </row>
    <row r="4586" spans="1:11" ht="14.5" customHeight="1" x14ac:dyDescent="0.2">
      <c r="A4586" s="54">
        <v>2024</v>
      </c>
      <c r="B4586" t="s">
        <v>225</v>
      </c>
      <c r="C4586" t="s">
        <v>341</v>
      </c>
      <c r="D4586" s="22">
        <v>1140</v>
      </c>
      <c r="E4586" s="16"/>
      <c r="G4586" t="s">
        <v>145</v>
      </c>
      <c r="I4586" t="s">
        <v>105</v>
      </c>
      <c r="J4586" t="s">
        <v>214</v>
      </c>
      <c r="K4586">
        <v>1</v>
      </c>
    </row>
    <row r="4587" spans="1:11" ht="14.5" customHeight="1" x14ac:dyDescent="0.2">
      <c r="A4587" s="54">
        <v>2024</v>
      </c>
      <c r="B4587" t="s">
        <v>225</v>
      </c>
      <c r="C4587" t="s">
        <v>479</v>
      </c>
      <c r="D4587" s="22">
        <v>1840</v>
      </c>
      <c r="E4587" s="16"/>
      <c r="G4587" t="s">
        <v>154</v>
      </c>
      <c r="H4587" t="s">
        <v>529</v>
      </c>
      <c r="I4587" t="s">
        <v>72</v>
      </c>
      <c r="J4587" t="s">
        <v>183</v>
      </c>
      <c r="K4587">
        <v>1</v>
      </c>
    </row>
    <row r="4588" spans="1:11" ht="14.5" customHeight="1" x14ac:dyDescent="0.2">
      <c r="A4588" s="54">
        <v>2024</v>
      </c>
      <c r="B4588" t="s">
        <v>225</v>
      </c>
      <c r="C4588" t="s">
        <v>745</v>
      </c>
      <c r="D4588" s="22">
        <v>280</v>
      </c>
      <c r="E4588" s="16"/>
      <c r="F4588" t="s">
        <v>3128</v>
      </c>
      <c r="G4588" t="s">
        <v>143</v>
      </c>
      <c r="I4588" t="s">
        <v>53</v>
      </c>
      <c r="J4588" t="s">
        <v>183</v>
      </c>
      <c r="K4588">
        <v>1</v>
      </c>
    </row>
    <row r="4589" spans="1:11" ht="14.5" customHeight="1" x14ac:dyDescent="0.2">
      <c r="A4589" s="54">
        <v>2024</v>
      </c>
      <c r="B4589" t="s">
        <v>225</v>
      </c>
      <c r="C4589" t="s">
        <v>745</v>
      </c>
      <c r="D4589" s="22">
        <v>190</v>
      </c>
      <c r="E4589" s="16"/>
      <c r="G4589" t="s">
        <v>149</v>
      </c>
      <c r="I4589" t="s">
        <v>92</v>
      </c>
      <c r="J4589" t="s">
        <v>214</v>
      </c>
      <c r="K4589">
        <v>1</v>
      </c>
    </row>
    <row r="4590" spans="1:11" ht="14.5" customHeight="1" x14ac:dyDescent="0.2">
      <c r="A4590" s="54">
        <v>2024</v>
      </c>
      <c r="B4590" t="s">
        <v>225</v>
      </c>
      <c r="C4590" t="s">
        <v>745</v>
      </c>
      <c r="D4590" s="22">
        <v>190</v>
      </c>
      <c r="E4590" s="16"/>
      <c r="F4590" t="s">
        <v>3129</v>
      </c>
      <c r="G4590" t="s">
        <v>144</v>
      </c>
      <c r="H4590" t="s">
        <v>232</v>
      </c>
      <c r="I4590" t="s">
        <v>92</v>
      </c>
      <c r="J4590" t="s">
        <v>214</v>
      </c>
      <c r="K4590">
        <v>1</v>
      </c>
    </row>
    <row r="4591" spans="1:11" ht="14.5" customHeight="1" x14ac:dyDescent="0.2">
      <c r="A4591" s="54">
        <v>2024</v>
      </c>
      <c r="B4591" t="s">
        <v>225</v>
      </c>
      <c r="C4591" t="s">
        <v>2960</v>
      </c>
      <c r="D4591" s="22">
        <v>110</v>
      </c>
      <c r="E4591" s="16"/>
      <c r="G4591" t="s">
        <v>154</v>
      </c>
      <c r="H4591" t="s">
        <v>529</v>
      </c>
      <c r="I4591" t="s">
        <v>48</v>
      </c>
      <c r="J4591" t="s">
        <v>219</v>
      </c>
      <c r="K4591">
        <v>1</v>
      </c>
    </row>
    <row r="4592" spans="1:11" ht="14.5" customHeight="1" x14ac:dyDescent="0.2">
      <c r="A4592" s="54">
        <v>2024</v>
      </c>
      <c r="B4592" t="s">
        <v>225</v>
      </c>
      <c r="C4592" t="s">
        <v>3130</v>
      </c>
      <c r="D4592" s="22">
        <v>240</v>
      </c>
      <c r="E4592" s="16"/>
      <c r="F4592" t="s">
        <v>2298</v>
      </c>
      <c r="G4592" t="s">
        <v>144</v>
      </c>
      <c r="H4592" t="s">
        <v>232</v>
      </c>
      <c r="I4592" t="s">
        <v>112</v>
      </c>
      <c r="J4592" t="s">
        <v>219</v>
      </c>
      <c r="K4592">
        <v>1</v>
      </c>
    </row>
    <row r="4593" spans="1:14" ht="14.5" customHeight="1" x14ac:dyDescent="0.2">
      <c r="A4593" s="54">
        <v>2024</v>
      </c>
      <c r="B4593" t="s">
        <v>188</v>
      </c>
      <c r="C4593" t="s">
        <v>397</v>
      </c>
      <c r="D4593" s="22">
        <v>300</v>
      </c>
      <c r="E4593" s="16"/>
      <c r="G4593" t="s">
        <v>154</v>
      </c>
      <c r="H4593" t="s">
        <v>194</v>
      </c>
      <c r="I4593" t="s">
        <v>65</v>
      </c>
      <c r="J4593" t="s">
        <v>214</v>
      </c>
      <c r="K4593">
        <v>1</v>
      </c>
    </row>
    <row r="4594" spans="1:14" ht="14.5" customHeight="1" x14ac:dyDescent="0.2">
      <c r="A4594" s="54">
        <v>2024</v>
      </c>
      <c r="B4594" t="s">
        <v>188</v>
      </c>
      <c r="C4594" t="s">
        <v>1035</v>
      </c>
      <c r="D4594" s="22">
        <v>260</v>
      </c>
      <c r="E4594" s="16"/>
      <c r="G4594" t="s">
        <v>151</v>
      </c>
      <c r="H4594" t="s">
        <v>279</v>
      </c>
      <c r="I4594" t="s">
        <v>65</v>
      </c>
      <c r="J4594" t="s">
        <v>214</v>
      </c>
      <c r="K4594">
        <v>1</v>
      </c>
    </row>
    <row r="4595" spans="1:14" ht="14.5" customHeight="1" x14ac:dyDescent="0.2">
      <c r="A4595" s="54">
        <v>2024</v>
      </c>
      <c r="B4595" t="s">
        <v>188</v>
      </c>
      <c r="C4595" t="s">
        <v>189</v>
      </c>
      <c r="D4595" s="22">
        <v>1070</v>
      </c>
      <c r="E4595" s="16"/>
      <c r="F4595" t="s">
        <v>2002</v>
      </c>
      <c r="G4595" t="s">
        <v>144</v>
      </c>
      <c r="H4595" t="s">
        <v>299</v>
      </c>
      <c r="I4595" t="s">
        <v>105</v>
      </c>
      <c r="J4595" t="s">
        <v>214</v>
      </c>
      <c r="K4595">
        <v>1</v>
      </c>
    </row>
    <row r="4596" spans="1:14" ht="14.5" customHeight="1" x14ac:dyDescent="0.2">
      <c r="A4596" s="54">
        <v>2024</v>
      </c>
      <c r="B4596" t="s">
        <v>188</v>
      </c>
      <c r="C4596" t="s">
        <v>875</v>
      </c>
      <c r="D4596" s="22">
        <v>790</v>
      </c>
      <c r="E4596" s="16"/>
      <c r="F4596" t="s">
        <v>2298</v>
      </c>
      <c r="G4596" t="s">
        <v>144</v>
      </c>
      <c r="H4596" t="s">
        <v>299</v>
      </c>
      <c r="I4596" t="s">
        <v>105</v>
      </c>
      <c r="J4596" t="s">
        <v>214</v>
      </c>
      <c r="K4596">
        <v>1</v>
      </c>
    </row>
    <row r="4597" spans="1:14" ht="14.5" customHeight="1" x14ac:dyDescent="0.2">
      <c r="A4597" s="54">
        <v>2024</v>
      </c>
      <c r="B4597" t="s">
        <v>188</v>
      </c>
      <c r="C4597" t="s">
        <v>479</v>
      </c>
      <c r="D4597" s="22">
        <v>190</v>
      </c>
      <c r="E4597" s="16"/>
      <c r="G4597" t="s">
        <v>154</v>
      </c>
      <c r="H4597" t="s">
        <v>271</v>
      </c>
      <c r="I4597" t="s">
        <v>124</v>
      </c>
      <c r="J4597" t="s">
        <v>183</v>
      </c>
      <c r="K4597">
        <v>1</v>
      </c>
    </row>
    <row r="4598" spans="1:14" ht="14.5" customHeight="1" x14ac:dyDescent="0.2">
      <c r="A4598" s="54">
        <v>2024</v>
      </c>
      <c r="B4598" t="s">
        <v>188</v>
      </c>
      <c r="C4598" t="s">
        <v>479</v>
      </c>
      <c r="D4598" s="22">
        <v>310</v>
      </c>
      <c r="E4598" s="16"/>
      <c r="G4598" t="s">
        <v>154</v>
      </c>
      <c r="H4598" t="s">
        <v>529</v>
      </c>
      <c r="I4598" t="s">
        <v>9</v>
      </c>
      <c r="J4598" t="s">
        <v>9</v>
      </c>
      <c r="K4598">
        <v>0</v>
      </c>
      <c r="N4598" s="26"/>
    </row>
    <row r="4599" spans="1:14" ht="14.5" customHeight="1" x14ac:dyDescent="0.2">
      <c r="A4599" s="54">
        <v>2024</v>
      </c>
      <c r="B4599" t="s">
        <v>188</v>
      </c>
      <c r="C4599" t="s">
        <v>199</v>
      </c>
      <c r="D4599" s="22">
        <v>100</v>
      </c>
      <c r="E4599" s="16"/>
      <c r="G4599" t="s">
        <v>144</v>
      </c>
      <c r="H4599" t="s">
        <v>187</v>
      </c>
      <c r="I4599" t="s">
        <v>100</v>
      </c>
      <c r="J4599" t="s">
        <v>214</v>
      </c>
      <c r="K4599">
        <v>1</v>
      </c>
      <c r="N4599" s="26"/>
    </row>
    <row r="4600" spans="1:14" ht="14.5" customHeight="1" x14ac:dyDescent="0.2">
      <c r="A4600" s="54">
        <v>2024</v>
      </c>
      <c r="B4600" t="s">
        <v>188</v>
      </c>
      <c r="C4600" t="s">
        <v>2983</v>
      </c>
      <c r="D4600" s="22">
        <v>170</v>
      </c>
      <c r="E4600" s="16"/>
      <c r="G4600" t="s">
        <v>154</v>
      </c>
      <c r="H4600" t="s">
        <v>194</v>
      </c>
      <c r="I4600" t="s">
        <v>132</v>
      </c>
      <c r="J4600" t="s">
        <v>219</v>
      </c>
      <c r="K4600">
        <v>1</v>
      </c>
      <c r="N4600" s="26"/>
    </row>
    <row r="4601" spans="1:14" ht="14.5" customHeight="1" x14ac:dyDescent="0.2">
      <c r="A4601" s="54">
        <v>2024</v>
      </c>
      <c r="B4601" t="s">
        <v>188</v>
      </c>
      <c r="C4601" t="s">
        <v>1035</v>
      </c>
      <c r="D4601" s="22">
        <v>140</v>
      </c>
      <c r="E4601" s="16"/>
      <c r="G4601" t="s">
        <v>144</v>
      </c>
      <c r="H4601" t="s">
        <v>232</v>
      </c>
      <c r="I4601" t="s">
        <v>63</v>
      </c>
      <c r="J4601" t="s">
        <v>201</v>
      </c>
      <c r="K4601">
        <v>1</v>
      </c>
      <c r="N4601" s="26"/>
    </row>
    <row r="4602" spans="1:14" ht="14.5" customHeight="1" x14ac:dyDescent="0.2">
      <c r="A4602" s="54">
        <v>2024</v>
      </c>
      <c r="B4602" t="s">
        <v>188</v>
      </c>
      <c r="C4602" t="s">
        <v>199</v>
      </c>
      <c r="D4602" s="22">
        <v>850</v>
      </c>
      <c r="E4602" s="16"/>
      <c r="G4602" t="s">
        <v>144</v>
      </c>
      <c r="H4602" t="s">
        <v>187</v>
      </c>
      <c r="I4602" t="s">
        <v>65</v>
      </c>
      <c r="J4602" t="s">
        <v>214</v>
      </c>
      <c r="K4602">
        <v>1</v>
      </c>
      <c r="N4602" s="26"/>
    </row>
    <row r="4603" spans="1:14" ht="14.5" customHeight="1" x14ac:dyDescent="0.2">
      <c r="A4603" s="54">
        <v>2024</v>
      </c>
      <c r="B4603" t="s">
        <v>188</v>
      </c>
      <c r="C4603" t="s">
        <v>2281</v>
      </c>
      <c r="D4603" s="22">
        <v>310</v>
      </c>
      <c r="E4603" s="16"/>
      <c r="G4603" t="s">
        <v>154</v>
      </c>
      <c r="H4603" t="s">
        <v>194</v>
      </c>
      <c r="I4603" t="s">
        <v>34</v>
      </c>
      <c r="J4603" t="s">
        <v>219</v>
      </c>
      <c r="K4603">
        <v>1</v>
      </c>
      <c r="N4603" s="26"/>
    </row>
    <row r="4604" spans="1:14" ht="14.5" customHeight="1" x14ac:dyDescent="0.2">
      <c r="A4604" s="54">
        <v>2024</v>
      </c>
      <c r="B4604" t="s">
        <v>188</v>
      </c>
      <c r="C4604" t="s">
        <v>875</v>
      </c>
      <c r="D4604" s="22">
        <v>110</v>
      </c>
      <c r="E4604" s="16"/>
      <c r="G4604" t="s">
        <v>144</v>
      </c>
      <c r="H4604" t="s">
        <v>232</v>
      </c>
      <c r="I4604" t="s">
        <v>134</v>
      </c>
      <c r="J4604" t="s">
        <v>201</v>
      </c>
      <c r="K4604">
        <v>1</v>
      </c>
      <c r="N4604" s="26"/>
    </row>
    <row r="4605" spans="1:14" ht="14.5" customHeight="1" x14ac:dyDescent="0.2">
      <c r="A4605" s="54">
        <v>2024</v>
      </c>
      <c r="B4605" t="s">
        <v>191</v>
      </c>
      <c r="C4605" t="s">
        <v>185</v>
      </c>
      <c r="D4605" s="22">
        <v>520</v>
      </c>
      <c r="E4605" s="16"/>
      <c r="F4605" t="s">
        <v>2148</v>
      </c>
      <c r="G4605" t="s">
        <v>144</v>
      </c>
      <c r="H4605" t="s">
        <v>299</v>
      </c>
      <c r="I4605" t="s">
        <v>82</v>
      </c>
      <c r="J4605" t="s">
        <v>183</v>
      </c>
      <c r="K4605">
        <v>1</v>
      </c>
      <c r="N4605" s="26"/>
    </row>
    <row r="4606" spans="1:14" ht="14.5" customHeight="1" x14ac:dyDescent="0.2">
      <c r="A4606" s="54">
        <v>2024</v>
      </c>
      <c r="B4606" t="s">
        <v>191</v>
      </c>
      <c r="C4606" t="s">
        <v>199</v>
      </c>
      <c r="D4606" s="22">
        <v>400</v>
      </c>
      <c r="E4606" s="16"/>
      <c r="G4606" t="s">
        <v>144</v>
      </c>
      <c r="H4606" t="s">
        <v>187</v>
      </c>
      <c r="I4606" t="s">
        <v>130</v>
      </c>
      <c r="J4606" t="s">
        <v>214</v>
      </c>
      <c r="K4606">
        <v>1</v>
      </c>
      <c r="N4606" s="26"/>
    </row>
    <row r="4607" spans="1:14" ht="14.5" customHeight="1" x14ac:dyDescent="0.2">
      <c r="A4607" s="54">
        <v>2024</v>
      </c>
      <c r="B4607" t="s">
        <v>191</v>
      </c>
      <c r="C4607" t="s">
        <v>444</v>
      </c>
      <c r="D4607" s="22">
        <v>310</v>
      </c>
      <c r="E4607" s="16"/>
      <c r="G4607" t="s">
        <v>151</v>
      </c>
      <c r="H4607" t="s">
        <v>279</v>
      </c>
      <c r="I4607" t="s">
        <v>3131</v>
      </c>
      <c r="J4607" t="s">
        <v>214</v>
      </c>
      <c r="K4607">
        <v>1</v>
      </c>
      <c r="N4607" s="26"/>
    </row>
    <row r="4608" spans="1:14" ht="14.5" customHeight="1" x14ac:dyDescent="0.2">
      <c r="A4608" s="54">
        <v>2024</v>
      </c>
      <c r="B4608" t="s">
        <v>191</v>
      </c>
      <c r="C4608" t="s">
        <v>1035</v>
      </c>
      <c r="D4608" s="22">
        <v>190</v>
      </c>
      <c r="E4608" s="16"/>
      <c r="G4608" t="s">
        <v>154</v>
      </c>
      <c r="H4608" t="s">
        <v>194</v>
      </c>
      <c r="I4608" t="s">
        <v>98</v>
      </c>
      <c r="J4608" t="s">
        <v>195</v>
      </c>
      <c r="K4608">
        <v>1</v>
      </c>
      <c r="N4608" s="26"/>
    </row>
    <row r="4609" spans="1:14" ht="14.5" customHeight="1" x14ac:dyDescent="0.2">
      <c r="A4609" s="54">
        <v>2024</v>
      </c>
      <c r="B4609" t="s">
        <v>191</v>
      </c>
      <c r="C4609" t="s">
        <v>1035</v>
      </c>
      <c r="D4609" s="22">
        <v>370</v>
      </c>
      <c r="E4609" s="16"/>
      <c r="G4609" t="s">
        <v>144</v>
      </c>
      <c r="H4609" t="s">
        <v>232</v>
      </c>
      <c r="I4609" t="s">
        <v>112</v>
      </c>
      <c r="J4609" t="s">
        <v>219</v>
      </c>
      <c r="K4609">
        <v>1</v>
      </c>
      <c r="N4609" s="26"/>
    </row>
    <row r="4610" spans="1:14" ht="14.5" customHeight="1" x14ac:dyDescent="0.2">
      <c r="A4610" s="54">
        <v>2024</v>
      </c>
      <c r="B4610" t="s">
        <v>191</v>
      </c>
      <c r="C4610" t="s">
        <v>1035</v>
      </c>
      <c r="D4610" s="22">
        <v>150</v>
      </c>
      <c r="E4610" s="16"/>
      <c r="G4610" t="s">
        <v>151</v>
      </c>
      <c r="H4610" t="s">
        <v>279</v>
      </c>
      <c r="I4610" t="s">
        <v>74</v>
      </c>
      <c r="J4610" t="s">
        <v>219</v>
      </c>
      <c r="K4610">
        <v>1</v>
      </c>
      <c r="N4610" s="26"/>
    </row>
    <row r="4611" spans="1:14" ht="14.5" customHeight="1" x14ac:dyDescent="0.2">
      <c r="A4611" s="54">
        <v>2024</v>
      </c>
      <c r="B4611" t="s">
        <v>191</v>
      </c>
      <c r="C4611" t="s">
        <v>421</v>
      </c>
      <c r="D4611" s="22">
        <v>290</v>
      </c>
      <c r="E4611" s="16"/>
      <c r="G4611" t="s">
        <v>151</v>
      </c>
      <c r="H4611" t="s">
        <v>279</v>
      </c>
      <c r="I4611" t="s">
        <v>65</v>
      </c>
      <c r="J4611" t="s">
        <v>214</v>
      </c>
      <c r="K4611">
        <v>1</v>
      </c>
      <c r="N4611" s="26"/>
    </row>
    <row r="4612" spans="1:14" ht="14.5" customHeight="1" x14ac:dyDescent="0.2">
      <c r="A4612" s="54">
        <v>2024</v>
      </c>
      <c r="B4612" t="s">
        <v>191</v>
      </c>
      <c r="C4612" t="s">
        <v>745</v>
      </c>
      <c r="D4612" s="22">
        <v>270</v>
      </c>
      <c r="E4612" s="16"/>
      <c r="F4612" t="s">
        <v>3132</v>
      </c>
      <c r="G4612" t="s">
        <v>143</v>
      </c>
      <c r="I4612" t="s">
        <v>105</v>
      </c>
      <c r="J4612" t="s">
        <v>214</v>
      </c>
      <c r="K4612">
        <v>1</v>
      </c>
      <c r="N4612" s="26"/>
    </row>
    <row r="4613" spans="1:14" ht="14.5" customHeight="1" x14ac:dyDescent="0.2">
      <c r="A4613" s="54">
        <v>2024</v>
      </c>
      <c r="B4613" t="s">
        <v>191</v>
      </c>
      <c r="C4613" t="s">
        <v>483</v>
      </c>
      <c r="D4613" s="22">
        <v>310</v>
      </c>
      <c r="E4613" s="16"/>
      <c r="F4613" t="s">
        <v>3133</v>
      </c>
      <c r="G4613" t="s">
        <v>144</v>
      </c>
      <c r="H4613" t="s">
        <v>273</v>
      </c>
      <c r="I4613" t="s">
        <v>78</v>
      </c>
      <c r="J4613" t="s">
        <v>183</v>
      </c>
      <c r="K4613">
        <v>1</v>
      </c>
      <c r="N4613" s="26"/>
    </row>
    <row r="4614" spans="1:14" ht="14.5" customHeight="1" x14ac:dyDescent="0.2">
      <c r="A4614" s="54">
        <v>2024</v>
      </c>
      <c r="B4614" t="s">
        <v>191</v>
      </c>
      <c r="C4614" t="s">
        <v>185</v>
      </c>
      <c r="D4614" s="22">
        <v>590</v>
      </c>
      <c r="E4614" s="16"/>
      <c r="G4614" t="s">
        <v>144</v>
      </c>
      <c r="H4614" t="s">
        <v>187</v>
      </c>
      <c r="I4614" t="s">
        <v>100</v>
      </c>
      <c r="J4614" t="s">
        <v>214</v>
      </c>
      <c r="K4614">
        <v>1</v>
      </c>
      <c r="N4614" s="26"/>
    </row>
    <row r="4615" spans="1:14" ht="14.5" customHeight="1" x14ac:dyDescent="0.2">
      <c r="A4615" s="54">
        <v>2024</v>
      </c>
      <c r="B4615" t="s">
        <v>191</v>
      </c>
      <c r="C4615" t="s">
        <v>1035</v>
      </c>
      <c r="D4615" s="22">
        <v>200</v>
      </c>
      <c r="E4615" s="16"/>
      <c r="F4615" t="s">
        <v>2194</v>
      </c>
      <c r="G4615" t="s">
        <v>149</v>
      </c>
      <c r="I4615" t="s">
        <v>53</v>
      </c>
      <c r="J4615" t="s">
        <v>183</v>
      </c>
      <c r="K4615">
        <v>1</v>
      </c>
      <c r="N4615" s="26"/>
    </row>
    <row r="4616" spans="1:14" ht="14.5" customHeight="1" x14ac:dyDescent="0.2">
      <c r="A4616" s="54">
        <v>2024</v>
      </c>
      <c r="B4616" t="s">
        <v>191</v>
      </c>
      <c r="C4616" t="s">
        <v>1292</v>
      </c>
      <c r="D4616" s="22">
        <v>760</v>
      </c>
      <c r="E4616" s="16"/>
      <c r="F4616" t="s">
        <v>2943</v>
      </c>
      <c r="G4616" t="s">
        <v>151</v>
      </c>
      <c r="H4616" t="s">
        <v>279</v>
      </c>
      <c r="I4616" t="s">
        <v>130</v>
      </c>
      <c r="J4616" t="s">
        <v>214</v>
      </c>
      <c r="K4616">
        <v>1</v>
      </c>
      <c r="N4616" s="26"/>
    </row>
    <row r="4617" spans="1:14" ht="14.5" customHeight="1" x14ac:dyDescent="0.2">
      <c r="A4617" s="54">
        <v>2024</v>
      </c>
      <c r="B4617" t="s">
        <v>191</v>
      </c>
      <c r="C4617" t="s">
        <v>3134</v>
      </c>
      <c r="D4617" s="22">
        <v>140</v>
      </c>
      <c r="E4617" s="16"/>
      <c r="G4617" t="s">
        <v>154</v>
      </c>
      <c r="H4617" t="s">
        <v>194</v>
      </c>
      <c r="I4617" t="s">
        <v>59</v>
      </c>
      <c r="J4617" t="s">
        <v>219</v>
      </c>
      <c r="K4617">
        <v>1</v>
      </c>
      <c r="N4617" s="26"/>
    </row>
    <row r="4618" spans="1:14" ht="14.5" customHeight="1" x14ac:dyDescent="0.2">
      <c r="A4618" s="54">
        <v>2024</v>
      </c>
      <c r="B4618" t="s">
        <v>191</v>
      </c>
      <c r="C4618" t="s">
        <v>596</v>
      </c>
      <c r="D4618" s="22">
        <v>190</v>
      </c>
      <c r="E4618" s="16"/>
      <c r="F4618" t="s">
        <v>3135</v>
      </c>
      <c r="G4618" t="s">
        <v>144</v>
      </c>
      <c r="H4618" t="s">
        <v>232</v>
      </c>
      <c r="I4618" t="s">
        <v>112</v>
      </c>
      <c r="J4618" t="s">
        <v>219</v>
      </c>
      <c r="K4618">
        <v>1</v>
      </c>
      <c r="N4618" s="26"/>
    </row>
    <row r="4619" spans="1:14" ht="14.5" customHeight="1" x14ac:dyDescent="0.2">
      <c r="A4619" s="54">
        <v>2024</v>
      </c>
      <c r="B4619" t="s">
        <v>191</v>
      </c>
      <c r="C4619" t="s">
        <v>444</v>
      </c>
      <c r="D4619" s="22">
        <v>490</v>
      </c>
      <c r="E4619" s="16"/>
      <c r="G4619" t="s">
        <v>154</v>
      </c>
      <c r="H4619" t="s">
        <v>250</v>
      </c>
      <c r="I4619" t="s">
        <v>87</v>
      </c>
      <c r="J4619" t="s">
        <v>205</v>
      </c>
      <c r="K4619">
        <v>1</v>
      </c>
      <c r="N4619" s="26"/>
    </row>
    <row r="4620" spans="1:14" ht="14.5" customHeight="1" x14ac:dyDescent="0.2">
      <c r="A4620" s="54">
        <v>2024</v>
      </c>
      <c r="B4620" t="s">
        <v>191</v>
      </c>
      <c r="C4620" t="s">
        <v>185</v>
      </c>
      <c r="D4620" s="22">
        <v>900</v>
      </c>
      <c r="E4620" s="16"/>
      <c r="F4620" t="s">
        <v>3136</v>
      </c>
      <c r="G4620" t="s">
        <v>144</v>
      </c>
      <c r="H4620" t="s">
        <v>187</v>
      </c>
      <c r="I4620" t="s">
        <v>100</v>
      </c>
      <c r="J4620" t="s">
        <v>214</v>
      </c>
      <c r="K4620">
        <v>1</v>
      </c>
      <c r="N4620" s="26"/>
    </row>
    <row r="4621" spans="1:14" ht="14.5" customHeight="1" x14ac:dyDescent="0.2">
      <c r="A4621" s="54">
        <v>2024</v>
      </c>
      <c r="B4621" t="s">
        <v>191</v>
      </c>
      <c r="C4621" t="s">
        <v>341</v>
      </c>
      <c r="D4621" s="22">
        <v>160</v>
      </c>
      <c r="E4621" s="16"/>
      <c r="G4621" t="s">
        <v>154</v>
      </c>
      <c r="H4621" t="s">
        <v>194</v>
      </c>
      <c r="I4621" t="s">
        <v>34</v>
      </c>
      <c r="J4621" t="s">
        <v>219</v>
      </c>
      <c r="K4621">
        <v>1</v>
      </c>
      <c r="N4621" s="26"/>
    </row>
    <row r="4622" spans="1:14" ht="14.5" customHeight="1" x14ac:dyDescent="0.2">
      <c r="A4622" s="54">
        <v>2024</v>
      </c>
      <c r="B4622" t="s">
        <v>198</v>
      </c>
      <c r="C4622" t="s">
        <v>244</v>
      </c>
      <c r="D4622" s="22">
        <v>430</v>
      </c>
      <c r="E4622" s="16"/>
      <c r="F4622" t="s">
        <v>3137</v>
      </c>
      <c r="G4622" t="s">
        <v>149</v>
      </c>
      <c r="H4622" t="s">
        <v>236</v>
      </c>
      <c r="I4622" t="s">
        <v>53</v>
      </c>
      <c r="J4622" t="s">
        <v>183</v>
      </c>
      <c r="K4622">
        <v>1</v>
      </c>
      <c r="N4622" s="26"/>
    </row>
    <row r="4623" spans="1:14" ht="14.5" customHeight="1" x14ac:dyDescent="0.2">
      <c r="A4623" s="54">
        <v>2024</v>
      </c>
      <c r="B4623" t="s">
        <v>198</v>
      </c>
      <c r="C4623" t="s">
        <v>1035</v>
      </c>
      <c r="D4623" s="22">
        <v>600</v>
      </c>
      <c r="E4623" s="16"/>
      <c r="G4623" t="s">
        <v>154</v>
      </c>
      <c r="H4623" t="s">
        <v>529</v>
      </c>
      <c r="I4623" t="s">
        <v>108</v>
      </c>
      <c r="J4623" t="s">
        <v>183</v>
      </c>
      <c r="K4623">
        <v>1</v>
      </c>
      <c r="N4623" s="26"/>
    </row>
    <row r="4624" spans="1:14" ht="14.5" customHeight="1" x14ac:dyDescent="0.2">
      <c r="A4624" s="54">
        <v>2024</v>
      </c>
      <c r="B4624" t="s">
        <v>198</v>
      </c>
      <c r="C4624" t="s">
        <v>875</v>
      </c>
      <c r="D4624" s="22">
        <v>970</v>
      </c>
      <c r="E4624" s="16"/>
      <c r="F4624" t="s">
        <v>3138</v>
      </c>
      <c r="G4624" t="s">
        <v>144</v>
      </c>
      <c r="H4624" t="s">
        <v>232</v>
      </c>
      <c r="I4624" t="s">
        <v>105</v>
      </c>
      <c r="J4624" t="s">
        <v>214</v>
      </c>
      <c r="K4624">
        <v>1</v>
      </c>
      <c r="N4624" s="26"/>
    </row>
    <row r="4625" spans="1:14" ht="14.5" customHeight="1" x14ac:dyDescent="0.2">
      <c r="A4625" s="54">
        <v>2024</v>
      </c>
      <c r="B4625" t="s">
        <v>198</v>
      </c>
      <c r="C4625" t="s">
        <v>199</v>
      </c>
      <c r="D4625" s="22">
        <v>210</v>
      </c>
      <c r="E4625" s="16"/>
      <c r="F4625" t="s">
        <v>2300</v>
      </c>
      <c r="G4625" t="s">
        <v>144</v>
      </c>
      <c r="H4625" t="s">
        <v>299</v>
      </c>
      <c r="I4625" t="s">
        <v>5</v>
      </c>
      <c r="J4625" t="s">
        <v>214</v>
      </c>
      <c r="K4625">
        <v>1</v>
      </c>
      <c r="N4625" s="26"/>
    </row>
    <row r="4626" spans="1:14" ht="14.5" customHeight="1" x14ac:dyDescent="0.2">
      <c r="A4626" s="54">
        <v>2024</v>
      </c>
      <c r="B4626" t="s">
        <v>198</v>
      </c>
      <c r="C4626" t="s">
        <v>189</v>
      </c>
      <c r="D4626" s="22">
        <v>140</v>
      </c>
      <c r="E4626" s="16"/>
      <c r="G4626" t="s">
        <v>144</v>
      </c>
      <c r="H4626" t="s">
        <v>187</v>
      </c>
      <c r="I4626" t="s">
        <v>55</v>
      </c>
      <c r="J4626" t="s">
        <v>214</v>
      </c>
      <c r="K4626">
        <v>1</v>
      </c>
      <c r="N4626" s="26"/>
    </row>
    <row r="4627" spans="1:14" ht="14.5" customHeight="1" x14ac:dyDescent="0.2">
      <c r="A4627" s="54">
        <v>2024</v>
      </c>
      <c r="B4627" t="s">
        <v>198</v>
      </c>
      <c r="C4627" t="s">
        <v>3139</v>
      </c>
      <c r="D4627" s="22">
        <v>150</v>
      </c>
      <c r="E4627" s="16"/>
      <c r="F4627" t="s">
        <v>3140</v>
      </c>
      <c r="G4627" t="s">
        <v>144</v>
      </c>
      <c r="H4627" t="s">
        <v>273</v>
      </c>
      <c r="I4627" t="s">
        <v>53</v>
      </c>
      <c r="J4627" t="s">
        <v>183</v>
      </c>
      <c r="K4627">
        <v>1</v>
      </c>
      <c r="N4627" s="26"/>
    </row>
    <row r="4628" spans="1:14" ht="14.5" customHeight="1" x14ac:dyDescent="0.2">
      <c r="A4628" s="54">
        <v>2024</v>
      </c>
      <c r="B4628" t="s">
        <v>198</v>
      </c>
      <c r="C4628" t="s">
        <v>397</v>
      </c>
      <c r="D4628" s="22">
        <v>1040</v>
      </c>
      <c r="E4628" s="16"/>
      <c r="F4628" t="s">
        <v>3138</v>
      </c>
      <c r="G4628" t="s">
        <v>151</v>
      </c>
      <c r="H4628" t="s">
        <v>279</v>
      </c>
      <c r="I4628" t="s">
        <v>105</v>
      </c>
      <c r="J4628" t="s">
        <v>214</v>
      </c>
      <c r="K4628">
        <v>1</v>
      </c>
      <c r="N4628" s="26"/>
    </row>
    <row r="4629" spans="1:14" ht="14.5" customHeight="1" x14ac:dyDescent="0.2">
      <c r="A4629" s="54">
        <v>2024</v>
      </c>
      <c r="B4629" t="s">
        <v>198</v>
      </c>
      <c r="C4629" t="s">
        <v>479</v>
      </c>
      <c r="D4629" s="22">
        <v>560</v>
      </c>
      <c r="E4629" s="16"/>
      <c r="F4629" t="s">
        <v>2513</v>
      </c>
      <c r="G4629" t="s">
        <v>154</v>
      </c>
      <c r="H4629" t="s">
        <v>271</v>
      </c>
      <c r="I4629" t="s">
        <v>2462</v>
      </c>
      <c r="J4629" t="s">
        <v>219</v>
      </c>
      <c r="K4629">
        <v>1</v>
      </c>
      <c r="N4629" s="26"/>
    </row>
    <row r="4630" spans="1:14" ht="14.5" customHeight="1" x14ac:dyDescent="0.2">
      <c r="A4630" s="54">
        <v>2024</v>
      </c>
      <c r="B4630" t="s">
        <v>198</v>
      </c>
      <c r="C4630" t="s">
        <v>1035</v>
      </c>
      <c r="D4630" s="22">
        <v>100</v>
      </c>
      <c r="E4630" s="16"/>
      <c r="G4630" t="s">
        <v>151</v>
      </c>
      <c r="H4630" t="s">
        <v>279</v>
      </c>
      <c r="I4630" t="s">
        <v>106</v>
      </c>
      <c r="J4630" t="s">
        <v>195</v>
      </c>
      <c r="K4630">
        <v>1</v>
      </c>
      <c r="N4630" s="26"/>
    </row>
    <row r="4631" spans="1:14" ht="14.5" customHeight="1" x14ac:dyDescent="0.2">
      <c r="A4631" s="54">
        <v>2024</v>
      </c>
      <c r="B4631" t="s">
        <v>198</v>
      </c>
      <c r="C4631" t="s">
        <v>875</v>
      </c>
      <c r="D4631" s="22">
        <v>230</v>
      </c>
      <c r="E4631" s="16"/>
      <c r="G4631" t="s">
        <v>144</v>
      </c>
      <c r="H4631" t="s">
        <v>232</v>
      </c>
      <c r="I4631" t="s">
        <v>134</v>
      </c>
      <c r="J4631" t="s">
        <v>201</v>
      </c>
      <c r="K4631">
        <v>1</v>
      </c>
      <c r="N4631" s="26"/>
    </row>
    <row r="4632" spans="1:14" ht="14.5" customHeight="1" x14ac:dyDescent="0.2">
      <c r="A4632" s="54">
        <v>2024</v>
      </c>
      <c r="B4632" t="s">
        <v>198</v>
      </c>
      <c r="C4632" t="s">
        <v>557</v>
      </c>
      <c r="D4632" s="22">
        <v>210</v>
      </c>
      <c r="E4632" s="16"/>
      <c r="G4632" t="s">
        <v>151</v>
      </c>
      <c r="H4632" t="s">
        <v>279</v>
      </c>
      <c r="I4632" t="s">
        <v>77</v>
      </c>
      <c r="J4632" t="s">
        <v>177</v>
      </c>
      <c r="K4632">
        <v>0</v>
      </c>
      <c r="N4632" s="26"/>
    </row>
    <row r="4633" spans="1:14" ht="14.5" customHeight="1" x14ac:dyDescent="0.2">
      <c r="A4633" s="54">
        <v>2024</v>
      </c>
      <c r="B4633" t="s">
        <v>202</v>
      </c>
      <c r="C4633" t="s">
        <v>189</v>
      </c>
      <c r="D4633" s="22">
        <v>880</v>
      </c>
      <c r="E4633" s="16">
        <v>0.5</v>
      </c>
      <c r="F4633" t="s">
        <v>3141</v>
      </c>
      <c r="G4633" t="s">
        <v>143</v>
      </c>
      <c r="I4633" t="s">
        <v>63</v>
      </c>
      <c r="J4633" t="s">
        <v>201</v>
      </c>
      <c r="K4633">
        <v>1</v>
      </c>
      <c r="N4633" s="26"/>
    </row>
    <row r="4634" spans="1:14" ht="14.5" customHeight="1" x14ac:dyDescent="0.2">
      <c r="A4634" s="54">
        <v>2024</v>
      </c>
      <c r="B4634" t="s">
        <v>202</v>
      </c>
      <c r="C4634" t="s">
        <v>1035</v>
      </c>
      <c r="D4634" s="22">
        <v>430</v>
      </c>
      <c r="E4634" s="16"/>
      <c r="F4634" t="s">
        <v>2427</v>
      </c>
      <c r="G4634" t="s">
        <v>144</v>
      </c>
      <c r="H4634" t="s">
        <v>299</v>
      </c>
      <c r="I4634" t="s">
        <v>72</v>
      </c>
      <c r="J4634" t="s">
        <v>183</v>
      </c>
      <c r="K4634">
        <v>1</v>
      </c>
      <c r="N4634" s="26"/>
    </row>
    <row r="4635" spans="1:14" ht="14.5" customHeight="1" x14ac:dyDescent="0.2">
      <c r="A4635" s="54">
        <v>2024</v>
      </c>
      <c r="B4635" t="s">
        <v>202</v>
      </c>
      <c r="C4635" t="s">
        <v>1035</v>
      </c>
      <c r="D4635" s="22">
        <v>220</v>
      </c>
      <c r="E4635" s="16"/>
      <c r="G4635" t="s">
        <v>144</v>
      </c>
      <c r="H4635" t="s">
        <v>232</v>
      </c>
      <c r="I4635" t="s">
        <v>112</v>
      </c>
      <c r="J4635" t="s">
        <v>219</v>
      </c>
      <c r="K4635">
        <v>1</v>
      </c>
      <c r="N4635" s="26"/>
    </row>
    <row r="4636" spans="1:14" ht="14.5" customHeight="1" x14ac:dyDescent="0.2">
      <c r="A4636" s="54">
        <v>2024</v>
      </c>
      <c r="B4636" t="s">
        <v>202</v>
      </c>
      <c r="C4636" t="s">
        <v>3026</v>
      </c>
      <c r="D4636" s="22">
        <v>320</v>
      </c>
      <c r="E4636" s="16"/>
      <c r="G4636" t="s">
        <v>144</v>
      </c>
      <c r="H4636" t="s">
        <v>299</v>
      </c>
      <c r="I4636" t="s">
        <v>3131</v>
      </c>
      <c r="J4636" t="s">
        <v>214</v>
      </c>
      <c r="K4636">
        <v>1</v>
      </c>
      <c r="N4636" s="26"/>
    </row>
    <row r="4637" spans="1:14" ht="14.5" customHeight="1" x14ac:dyDescent="0.2">
      <c r="A4637" s="54">
        <v>2024</v>
      </c>
      <c r="B4637" t="s">
        <v>202</v>
      </c>
      <c r="C4637" t="s">
        <v>479</v>
      </c>
      <c r="D4637" s="22">
        <v>220</v>
      </c>
      <c r="E4637" s="16"/>
      <c r="G4637" t="s">
        <v>154</v>
      </c>
      <c r="H4637" t="s">
        <v>529</v>
      </c>
      <c r="I4637" t="s">
        <v>9</v>
      </c>
      <c r="J4637" t="s">
        <v>9</v>
      </c>
      <c r="K4637">
        <v>0</v>
      </c>
      <c r="N4637" s="26"/>
    </row>
    <row r="4638" spans="1:14" s="41" customFormat="1" ht="14.5" customHeight="1" x14ac:dyDescent="0.2">
      <c r="A4638" s="54">
        <v>2024</v>
      </c>
      <c r="B4638" t="s">
        <v>202</v>
      </c>
      <c r="C4638" t="s">
        <v>199</v>
      </c>
      <c r="D4638" s="22">
        <v>480</v>
      </c>
      <c r="E4638" s="16"/>
      <c r="G4638" t="s">
        <v>144</v>
      </c>
      <c r="H4638" t="s">
        <v>187</v>
      </c>
      <c r="I4638" t="s">
        <v>130</v>
      </c>
      <c r="J4638" t="s">
        <v>214</v>
      </c>
      <c r="K4638">
        <v>1</v>
      </c>
      <c r="N4638" s="43"/>
    </row>
    <row r="4639" spans="1:14" ht="14.5" customHeight="1" x14ac:dyDescent="0.2">
      <c r="A4639" s="54">
        <v>2024</v>
      </c>
      <c r="B4639" t="s">
        <v>202</v>
      </c>
      <c r="C4639" t="s">
        <v>2157</v>
      </c>
      <c r="D4639" s="22">
        <v>100</v>
      </c>
      <c r="E4639" s="16"/>
      <c r="G4639" t="s">
        <v>151</v>
      </c>
      <c r="H4639" t="s">
        <v>279</v>
      </c>
      <c r="I4639" t="s">
        <v>130</v>
      </c>
      <c r="J4639" t="s">
        <v>214</v>
      </c>
      <c r="K4639">
        <v>1</v>
      </c>
      <c r="N4639" s="26"/>
    </row>
    <row r="4640" spans="1:14" ht="14.5" customHeight="1" x14ac:dyDescent="0.2">
      <c r="A4640" s="54">
        <v>2024</v>
      </c>
      <c r="B4640" t="s">
        <v>202</v>
      </c>
      <c r="C4640" t="s">
        <v>336</v>
      </c>
      <c r="D4640" s="22">
        <v>130</v>
      </c>
      <c r="E4640" s="16">
        <v>0.65</v>
      </c>
      <c r="F4640" t="s">
        <v>3142</v>
      </c>
      <c r="G4640" t="s">
        <v>144</v>
      </c>
      <c r="H4640" t="s">
        <v>187</v>
      </c>
      <c r="I4640" t="s">
        <v>92</v>
      </c>
      <c r="J4640" t="s">
        <v>214</v>
      </c>
      <c r="K4640">
        <v>1</v>
      </c>
      <c r="N4640" s="26"/>
    </row>
    <row r="4641" spans="1:14" ht="14.5" customHeight="1" x14ac:dyDescent="0.2">
      <c r="A4641" s="54">
        <v>2024</v>
      </c>
      <c r="B4641" t="s">
        <v>207</v>
      </c>
      <c r="C4641" t="s">
        <v>189</v>
      </c>
      <c r="D4641" s="22">
        <v>890</v>
      </c>
      <c r="E4641" s="16">
        <v>0.4</v>
      </c>
      <c r="F4641" t="s">
        <v>3141</v>
      </c>
      <c r="G4641" t="s">
        <v>144</v>
      </c>
      <c r="H4641" t="s">
        <v>299</v>
      </c>
      <c r="I4641" t="s">
        <v>105</v>
      </c>
      <c r="J4641" t="s">
        <v>214</v>
      </c>
      <c r="K4641">
        <v>1</v>
      </c>
      <c r="N4641" s="26"/>
    </row>
    <row r="4642" spans="1:14" ht="14.5" customHeight="1" x14ac:dyDescent="0.2">
      <c r="A4642" s="54">
        <v>2024</v>
      </c>
      <c r="B4642" t="s">
        <v>207</v>
      </c>
      <c r="C4642" t="s">
        <v>2228</v>
      </c>
      <c r="D4642" s="22">
        <v>150</v>
      </c>
      <c r="E4642" s="16"/>
      <c r="G4642" t="s">
        <v>154</v>
      </c>
      <c r="H4642" t="s">
        <v>529</v>
      </c>
      <c r="I4642" t="s">
        <v>106</v>
      </c>
      <c r="J4642" t="s">
        <v>195</v>
      </c>
      <c r="K4642">
        <v>1</v>
      </c>
      <c r="N4642" s="26"/>
    </row>
    <row r="4643" spans="1:14" ht="14.5" customHeight="1" x14ac:dyDescent="0.2">
      <c r="A4643" s="54">
        <v>2024</v>
      </c>
      <c r="B4643" t="s">
        <v>207</v>
      </c>
      <c r="C4643" t="s">
        <v>2157</v>
      </c>
      <c r="D4643" s="22">
        <v>480</v>
      </c>
      <c r="E4643" s="16"/>
      <c r="G4643" t="s">
        <v>148</v>
      </c>
      <c r="I4643" t="s">
        <v>66</v>
      </c>
      <c r="J4643" t="s">
        <v>201</v>
      </c>
      <c r="K4643">
        <v>1</v>
      </c>
      <c r="N4643" s="26"/>
    </row>
    <row r="4644" spans="1:14" ht="14.5" customHeight="1" x14ac:dyDescent="0.2">
      <c r="A4644" s="54">
        <v>2024</v>
      </c>
      <c r="B4644" t="s">
        <v>207</v>
      </c>
      <c r="C4644" t="s">
        <v>479</v>
      </c>
      <c r="D4644" s="22">
        <v>540</v>
      </c>
      <c r="E4644" s="16"/>
      <c r="G4644" t="s">
        <v>154</v>
      </c>
      <c r="H4644" t="s">
        <v>194</v>
      </c>
      <c r="I4644" t="s">
        <v>24</v>
      </c>
      <c r="J4644" t="s">
        <v>219</v>
      </c>
      <c r="K4644">
        <v>1</v>
      </c>
      <c r="N4644" s="26"/>
    </row>
    <row r="4645" spans="1:14" ht="14.5" customHeight="1" x14ac:dyDescent="0.2">
      <c r="A4645" s="54">
        <v>2024</v>
      </c>
      <c r="B4645" t="s">
        <v>207</v>
      </c>
      <c r="C4645" t="s">
        <v>397</v>
      </c>
      <c r="D4645" s="22">
        <v>410</v>
      </c>
      <c r="E4645" s="16"/>
      <c r="F4645" t="s">
        <v>3143</v>
      </c>
      <c r="G4645" t="s">
        <v>151</v>
      </c>
      <c r="H4645" t="s">
        <v>279</v>
      </c>
      <c r="I4645" t="s">
        <v>130</v>
      </c>
      <c r="J4645" t="s">
        <v>214</v>
      </c>
      <c r="K4645">
        <v>1</v>
      </c>
      <c r="N4645" s="26"/>
    </row>
    <row r="4646" spans="1:14" ht="14.5" customHeight="1" x14ac:dyDescent="0.2">
      <c r="A4646" s="54">
        <v>2024</v>
      </c>
      <c r="B4646" t="s">
        <v>207</v>
      </c>
      <c r="C4646" t="s">
        <v>3144</v>
      </c>
      <c r="D4646" s="22">
        <v>180</v>
      </c>
      <c r="E4646" s="16"/>
      <c r="F4646" t="s">
        <v>2430</v>
      </c>
      <c r="G4646" t="s">
        <v>144</v>
      </c>
      <c r="H4646" t="s">
        <v>299</v>
      </c>
      <c r="I4646" t="s">
        <v>53</v>
      </c>
      <c r="J4646" t="s">
        <v>183</v>
      </c>
      <c r="K4646">
        <v>1</v>
      </c>
      <c r="N4646" s="26"/>
    </row>
    <row r="4647" spans="1:14" ht="14.5" customHeight="1" x14ac:dyDescent="0.2">
      <c r="A4647" s="54">
        <v>2024</v>
      </c>
      <c r="B4647" t="s">
        <v>207</v>
      </c>
      <c r="C4647" t="s">
        <v>3145</v>
      </c>
      <c r="D4647" s="22">
        <v>230</v>
      </c>
      <c r="E4647" s="16"/>
      <c r="F4647" t="s">
        <v>2990</v>
      </c>
      <c r="G4647" t="s">
        <v>144</v>
      </c>
      <c r="H4647" t="s">
        <v>232</v>
      </c>
      <c r="I4647" t="s">
        <v>136</v>
      </c>
      <c r="J4647" t="s">
        <v>183</v>
      </c>
      <c r="K4647">
        <v>1</v>
      </c>
      <c r="N4647" s="26"/>
    </row>
    <row r="4648" spans="1:14" ht="14.5" customHeight="1" x14ac:dyDescent="0.2">
      <c r="A4648" s="54">
        <v>2024</v>
      </c>
      <c r="B4648" t="s">
        <v>207</v>
      </c>
      <c r="C4648" t="s">
        <v>479</v>
      </c>
      <c r="D4648" s="22">
        <v>140</v>
      </c>
      <c r="E4648" s="16"/>
      <c r="G4648" t="s">
        <v>144</v>
      </c>
      <c r="H4648" t="s">
        <v>232</v>
      </c>
      <c r="I4648" t="s">
        <v>87</v>
      </c>
      <c r="J4648" t="s">
        <v>205</v>
      </c>
      <c r="K4648">
        <v>1</v>
      </c>
      <c r="N4648" s="26"/>
    </row>
    <row r="4649" spans="1:14" ht="14.5" customHeight="1" x14ac:dyDescent="0.2">
      <c r="A4649" s="54">
        <v>2024</v>
      </c>
      <c r="B4649" t="s">
        <v>207</v>
      </c>
      <c r="C4649" t="s">
        <v>1035</v>
      </c>
      <c r="D4649" s="22">
        <v>280</v>
      </c>
      <c r="E4649" s="16"/>
      <c r="F4649" t="s">
        <v>3146</v>
      </c>
      <c r="G4649" t="s">
        <v>144</v>
      </c>
      <c r="H4649" t="s">
        <v>299</v>
      </c>
      <c r="I4649" t="s">
        <v>108</v>
      </c>
      <c r="J4649" t="s">
        <v>183</v>
      </c>
      <c r="K4649">
        <v>1</v>
      </c>
      <c r="N4649" s="26"/>
    </row>
    <row r="4650" spans="1:14" ht="14.5" customHeight="1" x14ac:dyDescent="0.2">
      <c r="A4650" s="54">
        <v>2024</v>
      </c>
      <c r="B4650" t="s">
        <v>207</v>
      </c>
      <c r="C4650" t="s">
        <v>449</v>
      </c>
      <c r="D4650" s="22">
        <v>210</v>
      </c>
      <c r="E4650" s="16"/>
      <c r="G4650" t="s">
        <v>154</v>
      </c>
      <c r="H4650" t="s">
        <v>194</v>
      </c>
      <c r="I4650" t="s">
        <v>98</v>
      </c>
      <c r="J4650" t="s">
        <v>195</v>
      </c>
      <c r="K4650">
        <v>1</v>
      </c>
      <c r="N4650" s="26"/>
    </row>
    <row r="4651" spans="1:14" ht="14.5" customHeight="1" x14ac:dyDescent="0.2">
      <c r="A4651" s="54">
        <v>2024</v>
      </c>
      <c r="B4651" t="s">
        <v>240</v>
      </c>
      <c r="C4651" t="s">
        <v>199</v>
      </c>
      <c r="D4651" s="22">
        <v>490</v>
      </c>
      <c r="E4651" s="16"/>
      <c r="G4651" t="s">
        <v>144</v>
      </c>
      <c r="I4651" t="s">
        <v>130</v>
      </c>
      <c r="J4651" t="s">
        <v>214</v>
      </c>
      <c r="K4651">
        <v>1</v>
      </c>
      <c r="N4651" s="26"/>
    </row>
    <row r="4652" spans="1:14" ht="14.5" customHeight="1" x14ac:dyDescent="0.2">
      <c r="A4652" s="54">
        <v>2024</v>
      </c>
      <c r="B4652" t="s">
        <v>240</v>
      </c>
      <c r="C4652" t="s">
        <v>557</v>
      </c>
      <c r="D4652" s="22">
        <v>350</v>
      </c>
      <c r="E4652" s="16"/>
      <c r="F4652" t="s">
        <v>3147</v>
      </c>
      <c r="G4652" t="s">
        <v>144</v>
      </c>
      <c r="H4652" t="s">
        <v>232</v>
      </c>
      <c r="I4652" t="s">
        <v>55</v>
      </c>
      <c r="J4652" t="s">
        <v>214</v>
      </c>
      <c r="K4652">
        <v>1</v>
      </c>
      <c r="N4652" s="26"/>
    </row>
    <row r="4653" spans="1:14" ht="14.5" customHeight="1" x14ac:dyDescent="0.2">
      <c r="A4653" s="54">
        <v>2024</v>
      </c>
      <c r="B4653" t="s">
        <v>240</v>
      </c>
      <c r="C4653" t="s">
        <v>449</v>
      </c>
      <c r="D4653" s="22">
        <v>130</v>
      </c>
      <c r="E4653" s="16"/>
      <c r="G4653" t="s">
        <v>154</v>
      </c>
      <c r="H4653" t="s">
        <v>194</v>
      </c>
      <c r="I4653" t="s">
        <v>96</v>
      </c>
      <c r="J4653" t="s">
        <v>205</v>
      </c>
      <c r="K4653">
        <v>1</v>
      </c>
      <c r="N4653" s="26"/>
    </row>
    <row r="4654" spans="1:14" ht="14.5" customHeight="1" x14ac:dyDescent="0.2">
      <c r="A4654" s="54">
        <v>2024</v>
      </c>
      <c r="B4654" t="s">
        <v>240</v>
      </c>
      <c r="C4654" t="s">
        <v>1035</v>
      </c>
      <c r="D4654" s="22">
        <v>100</v>
      </c>
      <c r="E4654" s="16"/>
      <c r="F4654" t="s">
        <v>1247</v>
      </c>
      <c r="G4654" t="s">
        <v>144</v>
      </c>
      <c r="H4654" t="s">
        <v>232</v>
      </c>
      <c r="I4654" t="s">
        <v>134</v>
      </c>
      <c r="J4654" t="s">
        <v>201</v>
      </c>
      <c r="K4654">
        <v>1</v>
      </c>
      <c r="N4654" s="26"/>
    </row>
    <row r="4655" spans="1:14" ht="14.5" customHeight="1" x14ac:dyDescent="0.2">
      <c r="A4655" s="54">
        <v>2024</v>
      </c>
      <c r="B4655" t="s">
        <v>240</v>
      </c>
      <c r="C4655" t="s">
        <v>397</v>
      </c>
      <c r="D4655" s="22">
        <v>100</v>
      </c>
      <c r="E4655" s="16"/>
      <c r="F4655" t="s">
        <v>3148</v>
      </c>
      <c r="G4655" t="s">
        <v>152</v>
      </c>
      <c r="I4655" t="s">
        <v>72</v>
      </c>
      <c r="J4655" t="s">
        <v>183</v>
      </c>
      <c r="K4655">
        <v>1</v>
      </c>
      <c r="N4655" s="26"/>
    </row>
    <row r="4656" spans="1:14" ht="14.5" customHeight="1" x14ac:dyDescent="0.2">
      <c r="A4656" s="54">
        <v>2024</v>
      </c>
      <c r="B4656" t="s">
        <v>240</v>
      </c>
      <c r="C4656" t="s">
        <v>745</v>
      </c>
      <c r="D4656" s="22">
        <v>410</v>
      </c>
      <c r="E4656" s="16"/>
      <c r="F4656" t="s">
        <v>3149</v>
      </c>
      <c r="G4656" t="s">
        <v>143</v>
      </c>
      <c r="I4656" t="s">
        <v>136</v>
      </c>
      <c r="J4656" t="s">
        <v>183</v>
      </c>
      <c r="K4656">
        <v>1</v>
      </c>
      <c r="N4656" s="26"/>
    </row>
    <row r="4657" spans="1:14" ht="14.5" customHeight="1" x14ac:dyDescent="0.2">
      <c r="A4657" s="54">
        <v>2024</v>
      </c>
      <c r="B4657" t="s">
        <v>240</v>
      </c>
      <c r="C4657" t="s">
        <v>397</v>
      </c>
      <c r="D4657" s="22">
        <v>130</v>
      </c>
      <c r="E4657" s="16"/>
      <c r="F4657" t="s">
        <v>2430</v>
      </c>
      <c r="G4657" t="s">
        <v>144</v>
      </c>
      <c r="H4657" t="s">
        <v>299</v>
      </c>
      <c r="I4657" t="s">
        <v>53</v>
      </c>
      <c r="J4657" t="s">
        <v>183</v>
      </c>
      <c r="K4657">
        <v>1</v>
      </c>
      <c r="N4657" s="26"/>
    </row>
    <row r="4658" spans="1:14" ht="14.5" customHeight="1" x14ac:dyDescent="0.2">
      <c r="A4658" s="54">
        <v>2024</v>
      </c>
      <c r="B4658" t="s">
        <v>240</v>
      </c>
      <c r="C4658" t="s">
        <v>189</v>
      </c>
      <c r="D4658" s="22">
        <v>220</v>
      </c>
      <c r="E4658" s="16"/>
      <c r="F4658" t="s">
        <v>2689</v>
      </c>
      <c r="G4658" t="s">
        <v>143</v>
      </c>
      <c r="I4658" t="s">
        <v>130</v>
      </c>
      <c r="J4658" t="s">
        <v>214</v>
      </c>
      <c r="K4658">
        <v>1</v>
      </c>
      <c r="N4658" s="26"/>
    </row>
    <row r="4659" spans="1:14" ht="14.5" customHeight="1" x14ac:dyDescent="0.2">
      <c r="A4659" s="54">
        <v>2024</v>
      </c>
      <c r="B4659" t="s">
        <v>212</v>
      </c>
      <c r="C4659" t="s">
        <v>2982</v>
      </c>
      <c r="D4659" s="22">
        <v>320</v>
      </c>
      <c r="E4659" s="16"/>
      <c r="G4659" t="s">
        <v>154</v>
      </c>
      <c r="H4659" t="s">
        <v>529</v>
      </c>
      <c r="I4659" t="s">
        <v>80</v>
      </c>
      <c r="J4659" t="s">
        <v>214</v>
      </c>
      <c r="K4659">
        <v>1</v>
      </c>
      <c r="N4659" s="26"/>
    </row>
    <row r="4660" spans="1:14" ht="14.5" customHeight="1" x14ac:dyDescent="0.2">
      <c r="A4660" s="54">
        <v>2024</v>
      </c>
      <c r="B4660" t="s">
        <v>212</v>
      </c>
      <c r="C4660" t="s">
        <v>875</v>
      </c>
      <c r="D4660" s="22">
        <v>600</v>
      </c>
      <c r="E4660" s="16"/>
      <c r="F4660" t="s">
        <v>3076</v>
      </c>
      <c r="G4660" t="s">
        <v>144</v>
      </c>
      <c r="H4660" t="s">
        <v>232</v>
      </c>
      <c r="I4660" t="s">
        <v>38</v>
      </c>
      <c r="J4660" t="s">
        <v>214</v>
      </c>
      <c r="K4660">
        <v>1</v>
      </c>
      <c r="N4660" s="26"/>
    </row>
    <row r="4661" spans="1:14" ht="14.5" customHeight="1" x14ac:dyDescent="0.2">
      <c r="A4661" s="54">
        <v>2024</v>
      </c>
      <c r="B4661" t="s">
        <v>212</v>
      </c>
      <c r="C4661" t="s">
        <v>189</v>
      </c>
      <c r="D4661" s="22">
        <v>140</v>
      </c>
      <c r="E4661" s="16"/>
      <c r="G4661" t="s">
        <v>144</v>
      </c>
      <c r="H4661" t="s">
        <v>299</v>
      </c>
      <c r="I4661" t="s">
        <v>130</v>
      </c>
      <c r="J4661" t="s">
        <v>214</v>
      </c>
      <c r="K4661">
        <v>1</v>
      </c>
      <c r="N4661" s="26"/>
    </row>
    <row r="4662" spans="1:14" ht="14.5" customHeight="1" x14ac:dyDescent="0.2">
      <c r="A4662" s="54">
        <v>2024</v>
      </c>
      <c r="B4662" t="s">
        <v>212</v>
      </c>
      <c r="C4662" t="s">
        <v>1035</v>
      </c>
      <c r="D4662" s="22">
        <v>790</v>
      </c>
      <c r="E4662" s="16"/>
      <c r="G4662" t="s">
        <v>154</v>
      </c>
      <c r="H4662" t="s">
        <v>529</v>
      </c>
      <c r="I4662" t="s">
        <v>106</v>
      </c>
      <c r="J4662" t="s">
        <v>195</v>
      </c>
      <c r="K4662">
        <v>1</v>
      </c>
      <c r="N4662" s="26"/>
    </row>
    <row r="4663" spans="1:14" ht="14.5" customHeight="1" x14ac:dyDescent="0.2">
      <c r="A4663" s="54">
        <v>2024</v>
      </c>
      <c r="B4663" t="s">
        <v>212</v>
      </c>
      <c r="C4663" t="s">
        <v>3150</v>
      </c>
      <c r="D4663" s="22">
        <v>150</v>
      </c>
      <c r="E4663" s="16"/>
      <c r="F4663" t="s">
        <v>3140</v>
      </c>
      <c r="G4663" t="s">
        <v>154</v>
      </c>
      <c r="H4663" t="s">
        <v>194</v>
      </c>
      <c r="I4663" t="s">
        <v>53</v>
      </c>
      <c r="J4663" t="s">
        <v>183</v>
      </c>
      <c r="K4663">
        <v>1</v>
      </c>
      <c r="N4663" s="26"/>
    </row>
    <row r="4664" spans="1:14" ht="14.5" customHeight="1" x14ac:dyDescent="0.2">
      <c r="A4664" s="54">
        <v>2024</v>
      </c>
      <c r="B4664" t="s">
        <v>212</v>
      </c>
      <c r="C4664" t="s">
        <v>397</v>
      </c>
      <c r="D4664" s="22">
        <v>120</v>
      </c>
      <c r="E4664" s="16"/>
      <c r="F4664" t="s">
        <v>3151</v>
      </c>
      <c r="G4664" t="s">
        <v>151</v>
      </c>
      <c r="H4664" t="s">
        <v>279</v>
      </c>
      <c r="I4664" t="s">
        <v>132</v>
      </c>
      <c r="J4664" t="s">
        <v>219</v>
      </c>
      <c r="K4664">
        <v>1</v>
      </c>
      <c r="N4664" s="26"/>
    </row>
    <row r="4665" spans="1:14" ht="14.5" customHeight="1" x14ac:dyDescent="0.2">
      <c r="A4665" s="54">
        <v>2024</v>
      </c>
      <c r="B4665" t="s">
        <v>212</v>
      </c>
      <c r="C4665" t="s">
        <v>3026</v>
      </c>
      <c r="D4665" s="22">
        <v>920</v>
      </c>
      <c r="E4665" s="16"/>
      <c r="G4665" t="s">
        <v>144</v>
      </c>
      <c r="H4665" t="s">
        <v>187</v>
      </c>
      <c r="I4665" t="s">
        <v>130</v>
      </c>
      <c r="J4665" t="s">
        <v>214</v>
      </c>
      <c r="K4665">
        <v>1</v>
      </c>
      <c r="N4665" s="26"/>
    </row>
    <row r="4666" spans="1:14" ht="14.5" customHeight="1" x14ac:dyDescent="0.2">
      <c r="A4666" s="54">
        <v>2024</v>
      </c>
      <c r="B4666" t="s">
        <v>212</v>
      </c>
      <c r="C4666" t="s">
        <v>1035</v>
      </c>
      <c r="D4666" s="22">
        <v>130</v>
      </c>
      <c r="E4666" s="16"/>
      <c r="G4666" t="s">
        <v>155</v>
      </c>
      <c r="I4666" t="s">
        <v>77</v>
      </c>
      <c r="J4666" t="s">
        <v>177</v>
      </c>
      <c r="K4666">
        <v>0</v>
      </c>
      <c r="N4666" s="26"/>
    </row>
    <row r="4667" spans="1:14" ht="14.5" customHeight="1" x14ac:dyDescent="0.2">
      <c r="A4667" s="54">
        <v>2024</v>
      </c>
      <c r="B4667" t="s">
        <v>212</v>
      </c>
      <c r="C4667" t="s">
        <v>1035</v>
      </c>
      <c r="D4667" s="22">
        <v>100</v>
      </c>
      <c r="E4667" s="16"/>
      <c r="G4667" t="s">
        <v>142</v>
      </c>
      <c r="I4667" t="s">
        <v>24</v>
      </c>
      <c r="J4667" t="s">
        <v>219</v>
      </c>
      <c r="K4667">
        <v>1</v>
      </c>
      <c r="N4667" s="26"/>
    </row>
    <row r="4668" spans="1:14" ht="14.5" customHeight="1" x14ac:dyDescent="0.2">
      <c r="A4668" s="54">
        <v>2024</v>
      </c>
      <c r="B4668" t="s">
        <v>212</v>
      </c>
      <c r="C4668" t="s">
        <v>479</v>
      </c>
      <c r="D4668" s="22">
        <v>130</v>
      </c>
      <c r="E4668" s="16"/>
      <c r="G4668" t="s">
        <v>154</v>
      </c>
      <c r="H4668" t="s">
        <v>194</v>
      </c>
      <c r="I4668" t="s">
        <v>48</v>
      </c>
      <c r="J4668" t="s">
        <v>219</v>
      </c>
      <c r="K4668">
        <v>1</v>
      </c>
      <c r="N4668" s="26"/>
    </row>
    <row r="4669" spans="1:14" ht="14.5" customHeight="1" x14ac:dyDescent="0.2">
      <c r="A4669" s="54">
        <v>2024</v>
      </c>
      <c r="B4669" t="s">
        <v>212</v>
      </c>
      <c r="C4669" t="s">
        <v>399</v>
      </c>
      <c r="D4669" s="22">
        <v>260</v>
      </c>
      <c r="E4669" s="16"/>
      <c r="F4669" t="s">
        <v>3152</v>
      </c>
      <c r="G4669" t="s">
        <v>144</v>
      </c>
      <c r="H4669" t="s">
        <v>232</v>
      </c>
      <c r="I4669" t="s">
        <v>72</v>
      </c>
      <c r="J4669" t="s">
        <v>183</v>
      </c>
      <c r="K4669">
        <v>1</v>
      </c>
      <c r="N4669" s="26"/>
    </row>
    <row r="4670" spans="1:14" ht="14.5" customHeight="1" x14ac:dyDescent="0.2">
      <c r="A4670">
        <v>2025</v>
      </c>
      <c r="B4670" t="s">
        <v>172</v>
      </c>
      <c r="C4670" t="s">
        <v>483</v>
      </c>
      <c r="D4670" s="65">
        <v>120</v>
      </c>
      <c r="E4670" s="33">
        <v>0.8</v>
      </c>
      <c r="G4670" t="s">
        <v>144</v>
      </c>
      <c r="H4670" t="s">
        <v>232</v>
      </c>
      <c r="I4670" t="s">
        <v>17</v>
      </c>
      <c r="J4670" t="s">
        <v>195</v>
      </c>
      <c r="K4670">
        <v>1</v>
      </c>
      <c r="L4670" s="28" t="s">
        <v>178</v>
      </c>
      <c r="N4670" s="26"/>
    </row>
    <row r="4671" spans="1:14" ht="14.5" customHeight="1" x14ac:dyDescent="0.2">
      <c r="A4671">
        <v>2025</v>
      </c>
      <c r="B4671" t="s">
        <v>172</v>
      </c>
      <c r="C4671" t="s">
        <v>2276</v>
      </c>
      <c r="D4671" s="65">
        <v>100</v>
      </c>
      <c r="E4671" s="33">
        <v>1</v>
      </c>
      <c r="G4671" t="s">
        <v>154</v>
      </c>
      <c r="H4671" t="s">
        <v>194</v>
      </c>
      <c r="I4671" t="s">
        <v>134</v>
      </c>
      <c r="J4671" t="s">
        <v>201</v>
      </c>
      <c r="K4671">
        <v>1</v>
      </c>
      <c r="L4671" s="28" t="s">
        <v>178</v>
      </c>
      <c r="N4671" s="26"/>
    </row>
    <row r="4672" spans="1:14" ht="14.5" customHeight="1" x14ac:dyDescent="0.2">
      <c r="A4672">
        <v>2025</v>
      </c>
      <c r="B4672" t="s">
        <v>172</v>
      </c>
      <c r="C4672" t="s">
        <v>557</v>
      </c>
      <c r="D4672" s="65">
        <v>310</v>
      </c>
      <c r="E4672" s="33">
        <v>1</v>
      </c>
      <c r="G4672" t="s">
        <v>150</v>
      </c>
      <c r="H4672" t="s">
        <v>217</v>
      </c>
      <c r="I4672" t="s">
        <v>38</v>
      </c>
      <c r="J4672" t="s">
        <v>214</v>
      </c>
      <c r="K4672">
        <v>1</v>
      </c>
      <c r="L4672" s="28" t="s">
        <v>178</v>
      </c>
      <c r="N4672" s="26"/>
    </row>
    <row r="4673" spans="1:14" ht="14.5" customHeight="1" x14ac:dyDescent="0.2">
      <c r="A4673">
        <v>2025</v>
      </c>
      <c r="B4673" t="s">
        <v>172</v>
      </c>
      <c r="C4673" t="s">
        <v>1353</v>
      </c>
      <c r="D4673" s="65">
        <v>110</v>
      </c>
      <c r="E4673" s="33"/>
      <c r="G4673" t="s">
        <v>150</v>
      </c>
      <c r="H4673" t="s">
        <v>556</v>
      </c>
      <c r="I4673" t="s">
        <v>38</v>
      </c>
      <c r="J4673" t="s">
        <v>214</v>
      </c>
      <c r="K4673">
        <v>1</v>
      </c>
      <c r="L4673" s="28" t="s">
        <v>178</v>
      </c>
      <c r="N4673" s="26"/>
    </row>
    <row r="4674" spans="1:14" ht="14.5" customHeight="1" x14ac:dyDescent="0.2">
      <c r="A4674">
        <v>2025</v>
      </c>
      <c r="B4674" t="s">
        <v>172</v>
      </c>
      <c r="C4674" t="s">
        <v>244</v>
      </c>
      <c r="D4674" s="65">
        <v>570</v>
      </c>
      <c r="E4674" s="33"/>
      <c r="G4674" t="s">
        <v>149</v>
      </c>
      <c r="H4674" t="s">
        <v>236</v>
      </c>
      <c r="I4674" t="s">
        <v>138</v>
      </c>
      <c r="J4674" t="s">
        <v>219</v>
      </c>
      <c r="K4674">
        <v>1</v>
      </c>
      <c r="L4674" s="28" t="s">
        <v>178</v>
      </c>
      <c r="N4674" s="26"/>
    </row>
    <row r="4675" spans="1:14" ht="14.5" customHeight="1" x14ac:dyDescent="0.2">
      <c r="A4675">
        <v>2025</v>
      </c>
      <c r="B4675" t="s">
        <v>172</v>
      </c>
      <c r="C4675" t="s">
        <v>2277</v>
      </c>
      <c r="D4675" s="65">
        <v>910</v>
      </c>
      <c r="E4675" s="33">
        <v>0.8</v>
      </c>
      <c r="F4675" t="s">
        <v>2278</v>
      </c>
      <c r="G4675" t="s">
        <v>145</v>
      </c>
      <c r="I4675" t="s">
        <v>118</v>
      </c>
      <c r="J4675" t="s">
        <v>195</v>
      </c>
      <c r="K4675">
        <v>0</v>
      </c>
      <c r="L4675" s="28"/>
      <c r="N4675" s="26"/>
    </row>
    <row r="4676" spans="1:14" ht="14.5" customHeight="1" x14ac:dyDescent="0.2">
      <c r="A4676">
        <v>2025</v>
      </c>
      <c r="B4676" t="s">
        <v>172</v>
      </c>
      <c r="C4676" t="s">
        <v>2279</v>
      </c>
      <c r="D4676" s="65">
        <v>240</v>
      </c>
      <c r="E4676" s="33"/>
      <c r="G4676" t="s">
        <v>154</v>
      </c>
      <c r="H4676" t="s">
        <v>194</v>
      </c>
      <c r="I4676" t="s">
        <v>23</v>
      </c>
      <c r="J4676" t="s">
        <v>183</v>
      </c>
      <c r="K4676">
        <v>1</v>
      </c>
      <c r="L4676" s="28" t="s">
        <v>178</v>
      </c>
      <c r="N4676" s="26"/>
    </row>
    <row r="4677" spans="1:14" ht="14.5" customHeight="1" x14ac:dyDescent="0.2">
      <c r="A4677">
        <v>2025</v>
      </c>
      <c r="B4677" t="s">
        <v>172</v>
      </c>
      <c r="C4677" t="s">
        <v>798</v>
      </c>
      <c r="D4677" s="65">
        <v>140</v>
      </c>
      <c r="E4677" s="33">
        <v>1</v>
      </c>
      <c r="G4677" t="s">
        <v>144</v>
      </c>
      <c r="H4677" t="s">
        <v>232</v>
      </c>
      <c r="I4677" t="s">
        <v>53</v>
      </c>
      <c r="J4677" t="s">
        <v>183</v>
      </c>
      <c r="K4677">
        <v>1</v>
      </c>
      <c r="L4677" s="28" t="s">
        <v>178</v>
      </c>
      <c r="N4677" s="26"/>
    </row>
    <row r="4678" spans="1:14" ht="14.5" customHeight="1" x14ac:dyDescent="0.2">
      <c r="A4678">
        <v>2025</v>
      </c>
      <c r="B4678" t="s">
        <v>172</v>
      </c>
      <c r="C4678" t="s">
        <v>290</v>
      </c>
      <c r="D4678" s="65">
        <v>210</v>
      </c>
      <c r="E4678" s="33">
        <v>1</v>
      </c>
      <c r="F4678" t="s">
        <v>2280</v>
      </c>
      <c r="G4678" t="s">
        <v>150</v>
      </c>
      <c r="H4678" t="s">
        <v>292</v>
      </c>
      <c r="I4678" t="s">
        <v>42</v>
      </c>
      <c r="J4678" t="s">
        <v>195</v>
      </c>
      <c r="K4678">
        <v>0</v>
      </c>
      <c r="L4678" s="28"/>
      <c r="N4678" s="26"/>
    </row>
    <row r="4679" spans="1:14" ht="14.5" customHeight="1" x14ac:dyDescent="0.2">
      <c r="A4679">
        <v>2025</v>
      </c>
      <c r="B4679" t="s">
        <v>172</v>
      </c>
      <c r="C4679" t="s">
        <v>1771</v>
      </c>
      <c r="D4679" s="65">
        <v>230</v>
      </c>
      <c r="E4679" s="33"/>
      <c r="G4679" t="s">
        <v>152</v>
      </c>
      <c r="H4679" t="s">
        <v>257</v>
      </c>
      <c r="I4679" t="s">
        <v>52</v>
      </c>
      <c r="J4679" t="s">
        <v>201</v>
      </c>
      <c r="K4679">
        <v>0</v>
      </c>
      <c r="L4679" s="28" t="s">
        <v>178</v>
      </c>
      <c r="N4679" s="26"/>
    </row>
    <row r="4680" spans="1:14" ht="14.5" customHeight="1" x14ac:dyDescent="0.2">
      <c r="A4680">
        <v>2025</v>
      </c>
      <c r="B4680" t="s">
        <v>172</v>
      </c>
      <c r="C4680" t="s">
        <v>2281</v>
      </c>
      <c r="D4680" s="65">
        <v>110</v>
      </c>
      <c r="E4680" s="33"/>
      <c r="F4680" t="s">
        <v>2282</v>
      </c>
      <c r="G4680" t="s">
        <v>149</v>
      </c>
      <c r="I4680" t="s">
        <v>34</v>
      </c>
      <c r="J4680" t="s">
        <v>219</v>
      </c>
      <c r="K4680">
        <v>1</v>
      </c>
      <c r="L4680" s="28"/>
      <c r="N4680" s="26"/>
    </row>
    <row r="4681" spans="1:14" ht="14.5" customHeight="1" x14ac:dyDescent="0.2">
      <c r="A4681">
        <v>2025</v>
      </c>
      <c r="B4681" t="s">
        <v>172</v>
      </c>
      <c r="C4681" t="s">
        <v>1624</v>
      </c>
      <c r="D4681" s="65">
        <v>190</v>
      </c>
      <c r="E4681" s="33">
        <v>1</v>
      </c>
      <c r="F4681" t="s">
        <v>2283</v>
      </c>
      <c r="G4681" t="s">
        <v>151</v>
      </c>
      <c r="H4681" t="s">
        <v>279</v>
      </c>
      <c r="I4681" t="s">
        <v>19</v>
      </c>
      <c r="J4681" t="s">
        <v>205</v>
      </c>
      <c r="K4681">
        <v>0</v>
      </c>
      <c r="L4681" s="28"/>
      <c r="N4681" s="26"/>
    </row>
    <row r="4682" spans="1:14" ht="14.5" customHeight="1" x14ac:dyDescent="0.2">
      <c r="A4682">
        <v>2025</v>
      </c>
      <c r="B4682" t="s">
        <v>172</v>
      </c>
      <c r="C4682" t="s">
        <v>2284</v>
      </c>
      <c r="D4682" s="65">
        <v>190</v>
      </c>
      <c r="E4682" s="33"/>
      <c r="G4682" t="s">
        <v>154</v>
      </c>
      <c r="H4682" t="s">
        <v>194</v>
      </c>
      <c r="I4682" t="s">
        <v>19</v>
      </c>
      <c r="J4682" t="s">
        <v>205</v>
      </c>
      <c r="K4682">
        <v>0</v>
      </c>
      <c r="L4682" s="28" t="s">
        <v>178</v>
      </c>
      <c r="N4682" s="26"/>
    </row>
    <row r="4683" spans="1:14" ht="14.5" customHeight="1" x14ac:dyDescent="0.2">
      <c r="A4683">
        <v>2025</v>
      </c>
      <c r="B4683" t="s">
        <v>172</v>
      </c>
      <c r="C4683" t="s">
        <v>2285</v>
      </c>
      <c r="D4683" s="65">
        <v>160</v>
      </c>
      <c r="E4683" s="33"/>
      <c r="G4683" t="s">
        <v>149</v>
      </c>
      <c r="H4683" t="s">
        <v>182</v>
      </c>
      <c r="I4683" t="s">
        <v>48</v>
      </c>
      <c r="J4683" t="s">
        <v>219</v>
      </c>
      <c r="K4683">
        <v>1</v>
      </c>
      <c r="L4683" s="28"/>
      <c r="N4683" s="26"/>
    </row>
    <row r="4684" spans="1:14" ht="14.5" customHeight="1" x14ac:dyDescent="0.2">
      <c r="A4684">
        <v>2025</v>
      </c>
      <c r="B4684" t="s">
        <v>172</v>
      </c>
      <c r="C4684" t="s">
        <v>1061</v>
      </c>
      <c r="D4684" s="65">
        <v>760</v>
      </c>
      <c r="E4684" s="33"/>
      <c r="G4684" t="s">
        <v>154</v>
      </c>
      <c r="H4684" t="s">
        <v>194</v>
      </c>
      <c r="I4684" t="s">
        <v>53</v>
      </c>
      <c r="J4684" t="s">
        <v>183</v>
      </c>
      <c r="K4684">
        <v>1</v>
      </c>
      <c r="L4684" s="28" t="s">
        <v>178</v>
      </c>
      <c r="N4684" s="26"/>
    </row>
    <row r="4685" spans="1:14" ht="14.5" customHeight="1" x14ac:dyDescent="0.2">
      <c r="A4685">
        <v>2025</v>
      </c>
      <c r="B4685" t="s">
        <v>172</v>
      </c>
      <c r="C4685" t="s">
        <v>2286</v>
      </c>
      <c r="D4685" s="65">
        <v>2070</v>
      </c>
      <c r="E4685" s="33"/>
      <c r="G4685" t="s">
        <v>153</v>
      </c>
      <c r="I4685" t="s">
        <v>131</v>
      </c>
      <c r="J4685" t="s">
        <v>131</v>
      </c>
      <c r="K4685">
        <v>0</v>
      </c>
      <c r="L4685" s="28"/>
      <c r="N4685" s="26"/>
    </row>
    <row r="4686" spans="1:14" ht="14.5" customHeight="1" x14ac:dyDescent="0.2">
      <c r="A4686">
        <v>2025</v>
      </c>
      <c r="B4686" t="s">
        <v>172</v>
      </c>
      <c r="C4686" t="s">
        <v>1624</v>
      </c>
      <c r="D4686" s="65">
        <v>100</v>
      </c>
      <c r="E4686" s="33"/>
      <c r="G4686" t="s">
        <v>151</v>
      </c>
      <c r="H4686" t="s">
        <v>279</v>
      </c>
      <c r="I4686" t="s">
        <v>71</v>
      </c>
      <c r="J4686" t="s">
        <v>219</v>
      </c>
      <c r="K4686">
        <v>1</v>
      </c>
      <c r="L4686" s="28" t="s">
        <v>178</v>
      </c>
      <c r="N4686" s="26"/>
    </row>
    <row r="4687" spans="1:14" ht="14.5" customHeight="1" x14ac:dyDescent="0.2">
      <c r="A4687">
        <v>2025</v>
      </c>
      <c r="B4687" t="s">
        <v>172</v>
      </c>
      <c r="C4687" t="s">
        <v>2287</v>
      </c>
      <c r="D4687" s="65">
        <v>170</v>
      </c>
      <c r="E4687" s="33"/>
      <c r="G4687" t="s">
        <v>152</v>
      </c>
      <c r="I4687" t="s">
        <v>124</v>
      </c>
      <c r="J4687" t="s">
        <v>183</v>
      </c>
      <c r="K4687">
        <v>1</v>
      </c>
      <c r="L4687" s="28" t="s">
        <v>178</v>
      </c>
      <c r="N4687" s="26"/>
    </row>
    <row r="4688" spans="1:14" ht="14.5" customHeight="1" x14ac:dyDescent="0.2">
      <c r="A4688">
        <v>2025</v>
      </c>
      <c r="B4688" t="s">
        <v>172</v>
      </c>
      <c r="C4688" t="s">
        <v>2288</v>
      </c>
      <c r="D4688" s="65">
        <v>3330</v>
      </c>
      <c r="E4688" s="33"/>
      <c r="F4688" t="s">
        <v>2289</v>
      </c>
      <c r="G4688" t="s">
        <v>154</v>
      </c>
      <c r="H4688" t="s">
        <v>250</v>
      </c>
      <c r="I4688" t="s">
        <v>56</v>
      </c>
      <c r="J4688" t="s">
        <v>195</v>
      </c>
      <c r="K4688">
        <v>0</v>
      </c>
      <c r="L4688" s="28"/>
      <c r="N4688" s="26"/>
    </row>
    <row r="4689" spans="1:14" ht="14.5" customHeight="1" x14ac:dyDescent="0.2">
      <c r="A4689">
        <v>2025</v>
      </c>
      <c r="B4689" t="s">
        <v>258</v>
      </c>
      <c r="C4689" t="s">
        <v>2290</v>
      </c>
      <c r="D4689" s="65">
        <v>100</v>
      </c>
      <c r="E4689" s="33"/>
      <c r="G4689" t="s">
        <v>144</v>
      </c>
      <c r="H4689" t="s">
        <v>232</v>
      </c>
      <c r="I4689" t="s">
        <v>131</v>
      </c>
      <c r="J4689" t="s">
        <v>131</v>
      </c>
      <c r="K4689">
        <v>0</v>
      </c>
      <c r="L4689" s="28" t="s">
        <v>178</v>
      </c>
      <c r="N4689" s="26"/>
    </row>
    <row r="4690" spans="1:14" ht="14.5" customHeight="1" x14ac:dyDescent="0.2">
      <c r="A4690">
        <v>2025</v>
      </c>
      <c r="B4690" t="s">
        <v>258</v>
      </c>
      <c r="C4690" t="s">
        <v>559</v>
      </c>
      <c r="D4690" s="65">
        <v>120</v>
      </c>
      <c r="E4690" s="33"/>
      <c r="F4690" t="s">
        <v>2291</v>
      </c>
      <c r="G4690" t="s">
        <v>149</v>
      </c>
      <c r="H4690" t="s">
        <v>236</v>
      </c>
      <c r="I4690" t="s">
        <v>34</v>
      </c>
      <c r="J4690" t="s">
        <v>219</v>
      </c>
      <c r="K4690">
        <v>1</v>
      </c>
      <c r="L4690" s="28"/>
      <c r="N4690" s="26"/>
    </row>
    <row r="4691" spans="1:14" ht="14.5" customHeight="1" x14ac:dyDescent="0.2">
      <c r="A4691">
        <v>2025</v>
      </c>
      <c r="B4691" t="s">
        <v>258</v>
      </c>
      <c r="C4691" t="s">
        <v>2292</v>
      </c>
      <c r="D4691" s="65">
        <v>120</v>
      </c>
      <c r="E4691" s="33"/>
      <c r="G4691" t="s">
        <v>144</v>
      </c>
      <c r="H4691" t="s">
        <v>232</v>
      </c>
      <c r="I4691" t="s">
        <v>42</v>
      </c>
      <c r="J4691" t="s">
        <v>195</v>
      </c>
      <c r="K4691">
        <v>0</v>
      </c>
      <c r="L4691" s="28" t="s">
        <v>178</v>
      </c>
      <c r="N4691" s="26"/>
    </row>
    <row r="4692" spans="1:14" ht="14.5" customHeight="1" x14ac:dyDescent="0.2">
      <c r="A4692">
        <v>2025</v>
      </c>
      <c r="B4692" t="s">
        <v>258</v>
      </c>
      <c r="C4692" t="s">
        <v>334</v>
      </c>
      <c r="D4692" s="65">
        <v>130</v>
      </c>
      <c r="E4692" s="33"/>
      <c r="G4692" t="s">
        <v>154</v>
      </c>
      <c r="H4692" t="s">
        <v>271</v>
      </c>
      <c r="I4692" t="s">
        <v>19</v>
      </c>
      <c r="J4692" t="s">
        <v>205</v>
      </c>
      <c r="K4692">
        <v>0</v>
      </c>
      <c r="L4692" s="28"/>
      <c r="N4692" s="26"/>
    </row>
    <row r="4693" spans="1:14" ht="14.5" customHeight="1" x14ac:dyDescent="0.2">
      <c r="A4693">
        <v>2025</v>
      </c>
      <c r="B4693" t="s">
        <v>258</v>
      </c>
      <c r="C4693" t="s">
        <v>477</v>
      </c>
      <c r="D4693" s="65">
        <v>350</v>
      </c>
      <c r="E4693" s="33">
        <v>0.7</v>
      </c>
      <c r="F4693" t="s">
        <v>2293</v>
      </c>
      <c r="G4693" t="s">
        <v>148</v>
      </c>
      <c r="I4693" t="s">
        <v>19</v>
      </c>
      <c r="J4693" t="s">
        <v>205</v>
      </c>
      <c r="K4693">
        <v>0</v>
      </c>
      <c r="L4693" s="28"/>
      <c r="N4693" s="26"/>
    </row>
    <row r="4694" spans="1:14" ht="14.5" customHeight="1" x14ac:dyDescent="0.2">
      <c r="A4694">
        <v>2025</v>
      </c>
      <c r="B4694" t="s">
        <v>258</v>
      </c>
      <c r="C4694" t="s">
        <v>175</v>
      </c>
      <c r="D4694" s="65">
        <v>350</v>
      </c>
      <c r="E4694" s="33">
        <v>1</v>
      </c>
      <c r="F4694" t="s">
        <v>1245</v>
      </c>
      <c r="G4694" t="s">
        <v>149</v>
      </c>
      <c r="I4694" t="s">
        <v>19</v>
      </c>
      <c r="J4694" t="s">
        <v>205</v>
      </c>
      <c r="K4694">
        <v>0</v>
      </c>
      <c r="L4694" s="28"/>
      <c r="N4694" s="26"/>
    </row>
    <row r="4695" spans="1:14" ht="14.5" customHeight="1" x14ac:dyDescent="0.2">
      <c r="A4695">
        <v>2025</v>
      </c>
      <c r="B4695" t="s">
        <v>258</v>
      </c>
      <c r="C4695" t="s">
        <v>307</v>
      </c>
      <c r="D4695" s="65">
        <v>170</v>
      </c>
      <c r="E4695" s="33"/>
      <c r="G4695" t="s">
        <v>144</v>
      </c>
      <c r="I4695" t="s">
        <v>19</v>
      </c>
      <c r="J4695" t="s">
        <v>205</v>
      </c>
      <c r="K4695">
        <v>0</v>
      </c>
      <c r="L4695" s="28"/>
      <c r="N4695" s="26"/>
    </row>
    <row r="4696" spans="1:14" ht="14.5" customHeight="1" x14ac:dyDescent="0.2">
      <c r="A4696">
        <v>2025</v>
      </c>
      <c r="B4696" t="s">
        <v>258</v>
      </c>
      <c r="C4696" t="s">
        <v>600</v>
      </c>
      <c r="D4696" s="65">
        <v>150</v>
      </c>
      <c r="E4696" s="33"/>
      <c r="F4696" t="s">
        <v>2294</v>
      </c>
      <c r="G4696" t="s">
        <v>144</v>
      </c>
      <c r="I4696" t="s">
        <v>38</v>
      </c>
      <c r="J4696" t="s">
        <v>214</v>
      </c>
      <c r="K4696">
        <v>1</v>
      </c>
      <c r="L4696" s="28"/>
      <c r="N4696" s="26"/>
    </row>
    <row r="4697" spans="1:14" ht="14.5" customHeight="1" x14ac:dyDescent="0.2">
      <c r="A4697">
        <v>2025</v>
      </c>
      <c r="B4697" t="s">
        <v>258</v>
      </c>
      <c r="C4697" t="s">
        <v>454</v>
      </c>
      <c r="D4697" s="65">
        <v>150</v>
      </c>
      <c r="E4697" s="33"/>
      <c r="G4697" t="s">
        <v>152</v>
      </c>
      <c r="I4697" t="s">
        <v>105</v>
      </c>
      <c r="J4697" t="s">
        <v>214</v>
      </c>
      <c r="K4697">
        <v>1</v>
      </c>
      <c r="L4697" s="28"/>
      <c r="N4697" s="26"/>
    </row>
    <row r="4698" spans="1:14" ht="14.5" customHeight="1" x14ac:dyDescent="0.2">
      <c r="A4698">
        <v>2025</v>
      </c>
      <c r="B4698" t="s">
        <v>258</v>
      </c>
      <c r="C4698" t="s">
        <v>2295</v>
      </c>
      <c r="D4698" s="65">
        <v>170</v>
      </c>
      <c r="E4698" s="33">
        <v>0.85</v>
      </c>
      <c r="F4698" t="s">
        <v>2296</v>
      </c>
      <c r="G4698" t="s">
        <v>149</v>
      </c>
      <c r="I4698" t="s">
        <v>89</v>
      </c>
      <c r="J4698" t="s">
        <v>219</v>
      </c>
      <c r="K4698">
        <v>1</v>
      </c>
      <c r="L4698" s="28" t="s">
        <v>178</v>
      </c>
      <c r="N4698" s="26"/>
    </row>
    <row r="4699" spans="1:14" ht="14.5" customHeight="1" x14ac:dyDescent="0.2">
      <c r="A4699">
        <v>2025</v>
      </c>
      <c r="B4699" t="s">
        <v>258</v>
      </c>
      <c r="C4699" t="s">
        <v>331</v>
      </c>
      <c r="D4699" s="65">
        <v>110</v>
      </c>
      <c r="E4699" s="33"/>
      <c r="G4699" t="s">
        <v>151</v>
      </c>
      <c r="H4699" t="s">
        <v>279</v>
      </c>
      <c r="I4699" t="s">
        <v>51</v>
      </c>
      <c r="J4699" t="s">
        <v>195</v>
      </c>
      <c r="K4699">
        <v>1</v>
      </c>
      <c r="L4699" s="28"/>
      <c r="N4699" s="26"/>
    </row>
    <row r="4700" spans="1:14" ht="14.5" customHeight="1" x14ac:dyDescent="0.2">
      <c r="A4700">
        <v>2025</v>
      </c>
      <c r="B4700" t="s">
        <v>258</v>
      </c>
      <c r="C4700" t="s">
        <v>2297</v>
      </c>
      <c r="D4700" s="65">
        <v>100</v>
      </c>
      <c r="E4700" s="33"/>
      <c r="G4700" t="s">
        <v>144</v>
      </c>
      <c r="I4700" t="s">
        <v>72</v>
      </c>
      <c r="J4700" t="s">
        <v>183</v>
      </c>
      <c r="K4700">
        <v>1</v>
      </c>
      <c r="L4700" s="28" t="s">
        <v>178</v>
      </c>
      <c r="N4700" s="26"/>
    </row>
    <row r="4701" spans="1:14" ht="14.5" customHeight="1" x14ac:dyDescent="0.2">
      <c r="A4701">
        <v>2025</v>
      </c>
      <c r="B4701" t="s">
        <v>258</v>
      </c>
      <c r="C4701" t="s">
        <v>1180</v>
      </c>
      <c r="D4701" s="65">
        <v>430</v>
      </c>
      <c r="E4701" s="33">
        <v>0.5</v>
      </c>
      <c r="F4701" t="s">
        <v>2298</v>
      </c>
      <c r="G4701" t="s">
        <v>144</v>
      </c>
      <c r="H4701" t="s">
        <v>232</v>
      </c>
      <c r="I4701" t="s">
        <v>105</v>
      </c>
      <c r="J4701" t="s">
        <v>214</v>
      </c>
      <c r="K4701">
        <v>1</v>
      </c>
      <c r="L4701" s="28" t="s">
        <v>178</v>
      </c>
      <c r="N4701" s="26"/>
    </row>
    <row r="4702" spans="1:14" ht="14.5" customHeight="1" x14ac:dyDescent="0.2">
      <c r="A4702">
        <v>2025</v>
      </c>
      <c r="B4702" t="s">
        <v>258</v>
      </c>
      <c r="C4702" t="s">
        <v>2299</v>
      </c>
      <c r="D4702" s="65">
        <v>240</v>
      </c>
      <c r="E4702" s="33"/>
      <c r="G4702" t="s">
        <v>149</v>
      </c>
      <c r="I4702" t="s">
        <v>139</v>
      </c>
      <c r="J4702" t="s">
        <v>219</v>
      </c>
      <c r="K4702">
        <v>1</v>
      </c>
      <c r="L4702" s="28" t="s">
        <v>178</v>
      </c>
      <c r="N4702" s="26"/>
    </row>
    <row r="4703" spans="1:14" ht="14.5" customHeight="1" x14ac:dyDescent="0.2">
      <c r="A4703">
        <v>2025</v>
      </c>
      <c r="B4703" t="s">
        <v>258</v>
      </c>
      <c r="C4703" t="s">
        <v>189</v>
      </c>
      <c r="D4703" s="65">
        <v>430</v>
      </c>
      <c r="E4703" s="33"/>
      <c r="F4703" t="s">
        <v>2300</v>
      </c>
      <c r="G4703" t="s">
        <v>144</v>
      </c>
      <c r="H4703" t="s">
        <v>187</v>
      </c>
      <c r="I4703" t="s">
        <v>5</v>
      </c>
      <c r="J4703" t="s">
        <v>214</v>
      </c>
      <c r="K4703">
        <v>1</v>
      </c>
      <c r="L4703" s="28" t="s">
        <v>178</v>
      </c>
      <c r="N4703" s="26"/>
    </row>
    <row r="4704" spans="1:14" ht="14.5" customHeight="1" x14ac:dyDescent="0.2">
      <c r="A4704">
        <v>2025</v>
      </c>
      <c r="B4704" t="s">
        <v>258</v>
      </c>
      <c r="C4704" t="s">
        <v>2161</v>
      </c>
      <c r="D4704" s="65">
        <v>260</v>
      </c>
      <c r="E4704" s="33"/>
      <c r="G4704" t="s">
        <v>144</v>
      </c>
      <c r="H4704" t="s">
        <v>232</v>
      </c>
      <c r="I4704" t="s">
        <v>124</v>
      </c>
      <c r="J4704" t="s">
        <v>183</v>
      </c>
      <c r="K4704">
        <v>1</v>
      </c>
      <c r="L4704" s="28" t="s">
        <v>178</v>
      </c>
      <c r="N4704" s="26"/>
    </row>
    <row r="4705" spans="1:14" ht="14.5" customHeight="1" x14ac:dyDescent="0.2">
      <c r="A4705">
        <v>2025</v>
      </c>
      <c r="B4705" t="s">
        <v>179</v>
      </c>
      <c r="C4705" t="s">
        <v>454</v>
      </c>
      <c r="D4705" s="65">
        <v>1240</v>
      </c>
      <c r="E4705" s="33">
        <v>0.25</v>
      </c>
      <c r="F4705" t="s">
        <v>2088</v>
      </c>
      <c r="G4705" t="s">
        <v>145</v>
      </c>
      <c r="I4705" t="s">
        <v>42</v>
      </c>
      <c r="J4705" t="s">
        <v>195</v>
      </c>
      <c r="K4705">
        <v>0</v>
      </c>
      <c r="L4705" s="28"/>
      <c r="N4705" s="26"/>
    </row>
    <row r="4706" spans="1:14" ht="14.5" customHeight="1" x14ac:dyDescent="0.2">
      <c r="A4706">
        <v>2025</v>
      </c>
      <c r="B4706" t="s">
        <v>179</v>
      </c>
      <c r="C4706" t="s">
        <v>577</v>
      </c>
      <c r="D4706" s="65">
        <v>120</v>
      </c>
      <c r="E4706" s="33"/>
      <c r="G4706" t="s">
        <v>150</v>
      </c>
      <c r="H4706" t="s">
        <v>556</v>
      </c>
      <c r="I4706" t="s">
        <v>52</v>
      </c>
      <c r="J4706" t="s">
        <v>201</v>
      </c>
      <c r="K4706">
        <v>0</v>
      </c>
      <c r="L4706" s="28"/>
      <c r="N4706" s="26"/>
    </row>
    <row r="4707" spans="1:14" ht="14.5" customHeight="1" x14ac:dyDescent="0.2">
      <c r="A4707">
        <v>2025</v>
      </c>
      <c r="B4707" t="s">
        <v>179</v>
      </c>
      <c r="C4707" t="s">
        <v>2207</v>
      </c>
      <c r="D4707" s="65">
        <v>230</v>
      </c>
      <c r="E4707" s="33"/>
      <c r="G4707" t="s">
        <v>151</v>
      </c>
      <c r="H4707" t="s">
        <v>279</v>
      </c>
      <c r="I4707" t="s">
        <v>108</v>
      </c>
      <c r="J4707" t="s">
        <v>183</v>
      </c>
      <c r="K4707">
        <v>1</v>
      </c>
      <c r="L4707" s="28" t="s">
        <v>178</v>
      </c>
      <c r="N4707" s="26"/>
    </row>
    <row r="4708" spans="1:14" ht="14.5" customHeight="1" x14ac:dyDescent="0.2">
      <c r="A4708">
        <v>2025</v>
      </c>
      <c r="B4708" t="s">
        <v>179</v>
      </c>
      <c r="C4708" t="s">
        <v>2047</v>
      </c>
      <c r="D4708" s="65">
        <v>760</v>
      </c>
      <c r="E4708" s="33"/>
      <c r="G4708" t="s">
        <v>152</v>
      </c>
      <c r="H4708" t="s">
        <v>257</v>
      </c>
      <c r="I4708" t="s">
        <v>124</v>
      </c>
      <c r="J4708" t="s">
        <v>183</v>
      </c>
      <c r="K4708">
        <v>1</v>
      </c>
      <c r="L4708" s="28"/>
      <c r="N4708" s="26"/>
    </row>
    <row r="4709" spans="1:14" ht="14.5" customHeight="1" x14ac:dyDescent="0.2">
      <c r="A4709">
        <v>2025</v>
      </c>
      <c r="B4709" t="s">
        <v>179</v>
      </c>
      <c r="C4709" t="s">
        <v>2301</v>
      </c>
      <c r="D4709" s="65">
        <v>300</v>
      </c>
      <c r="E4709" s="33"/>
      <c r="G4709" t="s">
        <v>149</v>
      </c>
      <c r="H4709" t="s">
        <v>182</v>
      </c>
      <c r="I4709" t="s">
        <v>38</v>
      </c>
      <c r="J4709" t="s">
        <v>214</v>
      </c>
      <c r="K4709">
        <v>1</v>
      </c>
      <c r="L4709" s="28" t="s">
        <v>178</v>
      </c>
      <c r="N4709" s="26"/>
    </row>
    <row r="4710" spans="1:14" ht="14.5" customHeight="1" x14ac:dyDescent="0.2">
      <c r="A4710">
        <v>2025</v>
      </c>
      <c r="B4710" t="s">
        <v>179</v>
      </c>
      <c r="C4710" t="s">
        <v>2213</v>
      </c>
      <c r="D4710" s="65">
        <v>100</v>
      </c>
      <c r="E4710" s="33"/>
      <c r="G4710" t="s">
        <v>155</v>
      </c>
      <c r="I4710" t="s">
        <v>66</v>
      </c>
      <c r="J4710" t="s">
        <v>201</v>
      </c>
      <c r="K4710">
        <v>1</v>
      </c>
      <c r="L4710" s="28" t="s">
        <v>178</v>
      </c>
      <c r="N4710" s="26"/>
    </row>
    <row r="4711" spans="1:14" x14ac:dyDescent="0.2">
      <c r="A4711">
        <v>2025</v>
      </c>
      <c r="B4711" t="s">
        <v>179</v>
      </c>
      <c r="C4711" t="s">
        <v>1180</v>
      </c>
      <c r="D4711" s="65">
        <v>1020</v>
      </c>
      <c r="E4711" s="33"/>
      <c r="G4711" t="s">
        <v>149</v>
      </c>
      <c r="H4711" t="s">
        <v>238</v>
      </c>
      <c r="I4711" t="s">
        <v>48</v>
      </c>
      <c r="J4711" t="s">
        <v>219</v>
      </c>
      <c r="K4711">
        <v>1</v>
      </c>
      <c r="L4711" s="28" t="s">
        <v>178</v>
      </c>
      <c r="N4711" s="26"/>
    </row>
    <row r="4712" spans="1:14" ht="14.5" customHeight="1" x14ac:dyDescent="0.2">
      <c r="A4712">
        <v>2025</v>
      </c>
      <c r="B4712" t="s">
        <v>179</v>
      </c>
      <c r="C4712" t="s">
        <v>2302</v>
      </c>
      <c r="D4712" s="65">
        <v>220</v>
      </c>
      <c r="E4712" s="33">
        <v>0.85</v>
      </c>
      <c r="G4712" t="s">
        <v>149</v>
      </c>
      <c r="H4712" t="s">
        <v>182</v>
      </c>
      <c r="I4712" t="s">
        <v>128</v>
      </c>
      <c r="J4712" t="s">
        <v>201</v>
      </c>
      <c r="K4712">
        <v>1</v>
      </c>
      <c r="L4712" s="28" t="s">
        <v>178</v>
      </c>
      <c r="N4712" s="26"/>
    </row>
    <row r="4713" spans="1:14" ht="14.5" customHeight="1" x14ac:dyDescent="0.2">
      <c r="A4713">
        <v>2025</v>
      </c>
      <c r="B4713" t="s">
        <v>179</v>
      </c>
      <c r="C4713" t="s">
        <v>2303</v>
      </c>
      <c r="D4713" s="65">
        <v>150</v>
      </c>
      <c r="E4713" s="33"/>
      <c r="G4713" t="s">
        <v>142</v>
      </c>
      <c r="I4713" t="s">
        <v>53</v>
      </c>
      <c r="J4713" t="s">
        <v>183</v>
      </c>
      <c r="K4713">
        <v>1</v>
      </c>
      <c r="L4713" s="28" t="s">
        <v>178</v>
      </c>
      <c r="N4713" s="26"/>
    </row>
    <row r="4714" spans="1:14" ht="14.5" customHeight="1" x14ac:dyDescent="0.2">
      <c r="A4714">
        <v>2025</v>
      </c>
      <c r="B4714" t="s">
        <v>179</v>
      </c>
      <c r="C4714" t="s">
        <v>307</v>
      </c>
      <c r="D4714" s="65">
        <v>1790</v>
      </c>
      <c r="E4714" s="33"/>
      <c r="G4714" t="s">
        <v>144</v>
      </c>
      <c r="I4714" t="s">
        <v>19</v>
      </c>
      <c r="J4714" t="s">
        <v>205</v>
      </c>
      <c r="K4714">
        <v>0</v>
      </c>
      <c r="L4714" s="28" t="s">
        <v>178</v>
      </c>
      <c r="N4714" s="26"/>
    </row>
    <row r="4715" spans="1:14" ht="14.5" customHeight="1" x14ac:dyDescent="0.2">
      <c r="A4715">
        <v>2025</v>
      </c>
      <c r="B4715" t="s">
        <v>179</v>
      </c>
      <c r="C4715" t="s">
        <v>2196</v>
      </c>
      <c r="D4715" s="65">
        <v>460</v>
      </c>
      <c r="E4715" s="33"/>
      <c r="G4715" t="s">
        <v>144</v>
      </c>
      <c r="H4715" t="s">
        <v>232</v>
      </c>
      <c r="I4715" t="s">
        <v>72</v>
      </c>
      <c r="J4715" t="s">
        <v>183</v>
      </c>
      <c r="K4715">
        <v>1</v>
      </c>
      <c r="L4715" s="28"/>
      <c r="N4715" s="26"/>
    </row>
    <row r="4716" spans="1:14" ht="14.5" customHeight="1" x14ac:dyDescent="0.2">
      <c r="A4716">
        <v>2025</v>
      </c>
      <c r="B4716" t="s">
        <v>179</v>
      </c>
      <c r="C4716" t="s">
        <v>2207</v>
      </c>
      <c r="D4716" s="65">
        <v>170</v>
      </c>
      <c r="E4716" s="33"/>
      <c r="G4716" t="s">
        <v>151</v>
      </c>
      <c r="H4716" t="s">
        <v>224</v>
      </c>
      <c r="I4716" t="s">
        <v>108</v>
      </c>
      <c r="J4716" t="s">
        <v>183</v>
      </c>
      <c r="K4716">
        <v>1</v>
      </c>
      <c r="L4716" s="28"/>
      <c r="N4716" s="26"/>
    </row>
    <row r="4717" spans="1:14" ht="14.5" customHeight="1" x14ac:dyDescent="0.2">
      <c r="A4717">
        <v>2025</v>
      </c>
      <c r="B4717" t="s">
        <v>184</v>
      </c>
      <c r="C4717" t="s">
        <v>2304</v>
      </c>
      <c r="D4717" s="65">
        <v>300</v>
      </c>
      <c r="E4717" s="33"/>
      <c r="G4717" t="s">
        <v>143</v>
      </c>
      <c r="I4717" t="s">
        <v>38</v>
      </c>
      <c r="J4717" t="s">
        <v>214</v>
      </c>
      <c r="K4717">
        <v>1</v>
      </c>
      <c r="L4717" s="28" t="s">
        <v>178</v>
      </c>
      <c r="N4717" s="26"/>
    </row>
    <row r="4718" spans="1:14" ht="14.5" customHeight="1" x14ac:dyDescent="0.2">
      <c r="A4718">
        <v>2025</v>
      </c>
      <c r="B4718" t="s">
        <v>184</v>
      </c>
      <c r="C4718" t="s">
        <v>2305</v>
      </c>
      <c r="D4718" s="65">
        <v>350</v>
      </c>
      <c r="E4718" s="33"/>
      <c r="G4718" t="s">
        <v>142</v>
      </c>
      <c r="I4718" t="s">
        <v>63</v>
      </c>
      <c r="J4718" t="s">
        <v>201</v>
      </c>
      <c r="K4718">
        <v>1</v>
      </c>
      <c r="L4718" s="28" t="s">
        <v>178</v>
      </c>
      <c r="N4718" s="26"/>
    </row>
    <row r="4719" spans="1:14" ht="14.5" customHeight="1" x14ac:dyDescent="0.2">
      <c r="A4719">
        <v>2025</v>
      </c>
      <c r="B4719" t="s">
        <v>184</v>
      </c>
      <c r="C4719" t="s">
        <v>2306</v>
      </c>
      <c r="D4719" s="65">
        <v>420</v>
      </c>
      <c r="E4719" s="33"/>
      <c r="F4719" t="s">
        <v>2307</v>
      </c>
      <c r="G4719" t="s">
        <v>149</v>
      </c>
      <c r="I4719" t="s">
        <v>37</v>
      </c>
      <c r="J4719" t="s">
        <v>205</v>
      </c>
      <c r="K4719" s="17">
        <v>1</v>
      </c>
      <c r="L4719" s="28"/>
      <c r="N4719" s="26"/>
    </row>
    <row r="4720" spans="1:14" ht="14.5" customHeight="1" x14ac:dyDescent="0.2">
      <c r="A4720">
        <v>2025</v>
      </c>
      <c r="B4720" t="s">
        <v>184</v>
      </c>
      <c r="C4720" t="s">
        <v>244</v>
      </c>
      <c r="D4720" s="65">
        <v>220</v>
      </c>
      <c r="E4720" s="33"/>
      <c r="G4720" t="s">
        <v>149</v>
      </c>
      <c r="I4720" t="s">
        <v>83</v>
      </c>
      <c r="J4720" t="s">
        <v>219</v>
      </c>
      <c r="K4720">
        <v>1</v>
      </c>
      <c r="L4720" s="28" t="s">
        <v>178</v>
      </c>
      <c r="N4720" s="26"/>
    </row>
    <row r="4721" spans="1:14" ht="14.5" customHeight="1" x14ac:dyDescent="0.2">
      <c r="A4721">
        <v>2025</v>
      </c>
      <c r="B4721" t="s">
        <v>184</v>
      </c>
      <c r="C4721" t="s">
        <v>2202</v>
      </c>
      <c r="D4721" s="65">
        <v>290</v>
      </c>
      <c r="E4721" s="33"/>
      <c r="F4721" t="s">
        <v>2308</v>
      </c>
      <c r="G4721" t="s">
        <v>150</v>
      </c>
      <c r="H4721" t="s">
        <v>292</v>
      </c>
      <c r="I4721" t="s">
        <v>45</v>
      </c>
      <c r="J4721" t="s">
        <v>195</v>
      </c>
      <c r="K4721">
        <v>0</v>
      </c>
      <c r="L4721" s="28"/>
      <c r="N4721" s="26"/>
    </row>
    <row r="4722" spans="1:14" ht="14.5" customHeight="1" x14ac:dyDescent="0.2">
      <c r="A4722">
        <v>2025</v>
      </c>
      <c r="B4722" t="s">
        <v>184</v>
      </c>
      <c r="C4722" t="s">
        <v>2126</v>
      </c>
      <c r="D4722" s="65">
        <v>720</v>
      </c>
      <c r="E4722" s="33">
        <v>0.51</v>
      </c>
      <c r="F4722" t="s">
        <v>2114</v>
      </c>
      <c r="G4722" t="s">
        <v>149</v>
      </c>
      <c r="I4722" t="s">
        <v>53</v>
      </c>
      <c r="J4722" t="s">
        <v>183</v>
      </c>
      <c r="K4722">
        <v>1</v>
      </c>
      <c r="L4722" s="28" t="s">
        <v>178</v>
      </c>
      <c r="N4722" s="26"/>
    </row>
    <row r="4723" spans="1:14" ht="14.5" customHeight="1" x14ac:dyDescent="0.2">
      <c r="A4723">
        <v>2025</v>
      </c>
      <c r="B4723" t="s">
        <v>184</v>
      </c>
      <c r="C4723" t="s">
        <v>2309</v>
      </c>
      <c r="D4723" s="65">
        <v>1820</v>
      </c>
      <c r="E4723" s="33"/>
      <c r="G4723" t="s">
        <v>154</v>
      </c>
      <c r="H4723" t="s">
        <v>194</v>
      </c>
      <c r="I4723" t="s">
        <v>19</v>
      </c>
      <c r="J4723" t="s">
        <v>205</v>
      </c>
      <c r="K4723">
        <v>0</v>
      </c>
      <c r="L4723" s="28" t="s">
        <v>178</v>
      </c>
      <c r="N4723" s="26"/>
    </row>
    <row r="4724" spans="1:14" ht="14.5" customHeight="1" x14ac:dyDescent="0.2">
      <c r="A4724">
        <v>2025</v>
      </c>
      <c r="B4724" t="s">
        <v>184</v>
      </c>
      <c r="C4724" t="s">
        <v>267</v>
      </c>
      <c r="D4724" s="65">
        <v>140</v>
      </c>
      <c r="E4724" s="33">
        <v>0.47</v>
      </c>
      <c r="G4724" t="s">
        <v>149</v>
      </c>
      <c r="H4724" t="s">
        <v>182</v>
      </c>
      <c r="I4724" t="s">
        <v>48</v>
      </c>
      <c r="J4724" t="s">
        <v>219</v>
      </c>
      <c r="K4724">
        <v>1</v>
      </c>
      <c r="L4724" s="28"/>
      <c r="N4724" s="26"/>
    </row>
    <row r="4725" spans="1:14" ht="14.5" customHeight="1" x14ac:dyDescent="0.2">
      <c r="A4725">
        <v>2025</v>
      </c>
      <c r="B4725" t="s">
        <v>184</v>
      </c>
      <c r="C4725" t="s">
        <v>1304</v>
      </c>
      <c r="D4725" s="65">
        <v>260</v>
      </c>
      <c r="E4725" s="33">
        <v>0.88</v>
      </c>
      <c r="G4725" t="s">
        <v>144</v>
      </c>
      <c r="H4725" t="s">
        <v>232</v>
      </c>
      <c r="I4725" t="s">
        <v>134</v>
      </c>
      <c r="J4725" t="s">
        <v>201</v>
      </c>
      <c r="K4725">
        <v>1</v>
      </c>
      <c r="L4725" s="28" t="s">
        <v>178</v>
      </c>
      <c r="N4725" s="26"/>
    </row>
    <row r="4726" spans="1:14" ht="14.5" customHeight="1" x14ac:dyDescent="0.2">
      <c r="A4726">
        <v>2025</v>
      </c>
      <c r="B4726" t="s">
        <v>225</v>
      </c>
      <c r="C4726" t="s">
        <v>2310</v>
      </c>
      <c r="D4726" s="65">
        <v>270</v>
      </c>
      <c r="E4726" s="33">
        <v>0.49</v>
      </c>
      <c r="F4726" t="s">
        <v>2311</v>
      </c>
      <c r="G4726" t="s">
        <v>154</v>
      </c>
      <c r="H4726" t="s">
        <v>194</v>
      </c>
      <c r="I4726" t="s">
        <v>42</v>
      </c>
      <c r="J4726" t="s">
        <v>195</v>
      </c>
      <c r="K4726">
        <v>0</v>
      </c>
      <c r="L4726" s="28" t="s">
        <v>178</v>
      </c>
      <c r="N4726" s="26"/>
    </row>
    <row r="4727" spans="1:14" ht="14.5" customHeight="1" x14ac:dyDescent="0.2">
      <c r="A4727">
        <v>2025</v>
      </c>
      <c r="B4727" t="s">
        <v>225</v>
      </c>
      <c r="C4727" t="s">
        <v>1951</v>
      </c>
      <c r="D4727" s="65">
        <v>570</v>
      </c>
      <c r="E4727" s="33"/>
      <c r="G4727" t="s">
        <v>144</v>
      </c>
      <c r="H4727" t="s">
        <v>232</v>
      </c>
      <c r="I4727" t="s">
        <v>92</v>
      </c>
      <c r="J4727" t="s">
        <v>214</v>
      </c>
      <c r="K4727">
        <v>1</v>
      </c>
      <c r="L4727" s="28" t="s">
        <v>178</v>
      </c>
      <c r="N4727" s="26"/>
    </row>
    <row r="4728" spans="1:14" ht="14.5" customHeight="1" x14ac:dyDescent="0.2">
      <c r="A4728">
        <v>2025</v>
      </c>
      <c r="B4728" t="s">
        <v>225</v>
      </c>
      <c r="C4728" t="s">
        <v>454</v>
      </c>
      <c r="D4728" s="65">
        <v>180</v>
      </c>
      <c r="E4728" s="33">
        <v>0.1</v>
      </c>
      <c r="F4728" t="s">
        <v>2312</v>
      </c>
      <c r="G4728" t="s">
        <v>145</v>
      </c>
      <c r="I4728" t="s">
        <v>113</v>
      </c>
      <c r="J4728" t="s">
        <v>183</v>
      </c>
      <c r="K4728">
        <v>0</v>
      </c>
      <c r="L4728" s="28"/>
      <c r="N4728" s="26"/>
    </row>
    <row r="4729" spans="1:14" ht="14.5" customHeight="1" x14ac:dyDescent="0.2">
      <c r="A4729">
        <v>2025</v>
      </c>
      <c r="B4729" t="s">
        <v>225</v>
      </c>
      <c r="C4729" t="s">
        <v>2313</v>
      </c>
      <c r="D4729" s="65">
        <v>220</v>
      </c>
      <c r="E4729" s="33">
        <v>0.65</v>
      </c>
      <c r="F4729" t="s">
        <v>2314</v>
      </c>
      <c r="G4729" t="s">
        <v>147</v>
      </c>
      <c r="I4729" t="s">
        <v>136</v>
      </c>
      <c r="J4729" t="s">
        <v>183</v>
      </c>
      <c r="K4729">
        <v>1</v>
      </c>
      <c r="L4729" s="28"/>
      <c r="N4729" s="26"/>
    </row>
    <row r="4730" spans="1:14" ht="14.5" customHeight="1" x14ac:dyDescent="0.2">
      <c r="A4730">
        <v>2025</v>
      </c>
      <c r="B4730" t="s">
        <v>225</v>
      </c>
      <c r="C4730" t="s">
        <v>2103</v>
      </c>
      <c r="D4730" s="65">
        <v>130</v>
      </c>
      <c r="E4730" s="33">
        <v>0.55000000000000004</v>
      </c>
      <c r="F4730" t="s">
        <v>1812</v>
      </c>
      <c r="G4730" t="s">
        <v>149</v>
      </c>
      <c r="I4730" t="s">
        <v>28</v>
      </c>
      <c r="J4730" t="s">
        <v>205</v>
      </c>
      <c r="K4730">
        <v>1</v>
      </c>
      <c r="L4730" s="28"/>
      <c r="N4730" s="26"/>
    </row>
    <row r="4731" spans="1:14" ht="14.5" customHeight="1" x14ac:dyDescent="0.2">
      <c r="A4731">
        <v>2025</v>
      </c>
      <c r="B4731" t="s">
        <v>225</v>
      </c>
      <c r="C4731" t="s">
        <v>175</v>
      </c>
      <c r="D4731" s="65">
        <v>810</v>
      </c>
      <c r="E4731" s="33"/>
      <c r="G4731" t="s">
        <v>149</v>
      </c>
      <c r="H4731" t="s">
        <v>236</v>
      </c>
      <c r="I4731" t="s">
        <v>18</v>
      </c>
      <c r="J4731" t="s">
        <v>219</v>
      </c>
      <c r="K4731">
        <v>1</v>
      </c>
      <c r="L4731" s="28"/>
      <c r="N4731" s="26"/>
    </row>
    <row r="4732" spans="1:14" ht="14.5" customHeight="1" x14ac:dyDescent="0.2">
      <c r="A4732">
        <v>2025</v>
      </c>
      <c r="B4732" t="s">
        <v>225</v>
      </c>
      <c r="C4732" t="s">
        <v>1061</v>
      </c>
      <c r="D4732" s="65">
        <v>250</v>
      </c>
      <c r="E4732" s="33"/>
      <c r="G4732" t="s">
        <v>154</v>
      </c>
      <c r="H4732" t="s">
        <v>194</v>
      </c>
      <c r="I4732" t="s">
        <v>51</v>
      </c>
      <c r="J4732" t="s">
        <v>195</v>
      </c>
      <c r="K4732">
        <v>1</v>
      </c>
      <c r="L4732" s="28" t="s">
        <v>178</v>
      </c>
      <c r="N4732" s="26"/>
    </row>
    <row r="4733" spans="1:14" ht="14.5" customHeight="1" x14ac:dyDescent="0.2">
      <c r="A4733">
        <v>2025</v>
      </c>
      <c r="B4733" t="s">
        <v>225</v>
      </c>
      <c r="C4733" t="s">
        <v>479</v>
      </c>
      <c r="D4733" s="65">
        <v>570</v>
      </c>
      <c r="E4733" s="33">
        <v>0.49</v>
      </c>
      <c r="G4733" t="s">
        <v>154</v>
      </c>
      <c r="H4733" t="s">
        <v>271</v>
      </c>
      <c r="I4733" t="s">
        <v>23</v>
      </c>
      <c r="J4733" t="s">
        <v>183</v>
      </c>
      <c r="K4733">
        <v>1</v>
      </c>
      <c r="L4733" s="28" t="s">
        <v>178</v>
      </c>
      <c r="N4733" s="26"/>
    </row>
    <row r="4734" spans="1:14" ht="14.5" customHeight="1" x14ac:dyDescent="0.2">
      <c r="A4734">
        <v>2025</v>
      </c>
      <c r="B4734" t="s">
        <v>225</v>
      </c>
      <c r="C4734" t="s">
        <v>2315</v>
      </c>
      <c r="D4734" s="65">
        <v>690</v>
      </c>
      <c r="E4734" s="33">
        <v>0.38</v>
      </c>
      <c r="F4734" t="s">
        <v>2316</v>
      </c>
      <c r="G4734" t="s">
        <v>143</v>
      </c>
      <c r="I4734" t="s">
        <v>108</v>
      </c>
      <c r="J4734" t="s">
        <v>183</v>
      </c>
      <c r="K4734">
        <v>1</v>
      </c>
      <c r="L4734" s="28"/>
      <c r="N4734" s="26"/>
    </row>
    <row r="4735" spans="1:14" ht="14.5" customHeight="1" x14ac:dyDescent="0.2">
      <c r="A4735">
        <v>2025</v>
      </c>
      <c r="B4735" t="s">
        <v>225</v>
      </c>
      <c r="C4735" t="s">
        <v>2317</v>
      </c>
      <c r="D4735" s="65">
        <v>140</v>
      </c>
      <c r="E4735" s="33">
        <v>0.7</v>
      </c>
      <c r="F4735" t="s">
        <v>2318</v>
      </c>
      <c r="G4735" t="s">
        <v>142</v>
      </c>
      <c r="I4735" t="s">
        <v>138</v>
      </c>
      <c r="J4735" t="s">
        <v>219</v>
      </c>
      <c r="K4735">
        <v>1</v>
      </c>
      <c r="L4735" s="28" t="s">
        <v>178</v>
      </c>
      <c r="N4735" s="26"/>
    </row>
    <row r="4736" spans="1:14" ht="14.5" customHeight="1" x14ac:dyDescent="0.2">
      <c r="A4736">
        <v>2025</v>
      </c>
      <c r="B4736" t="s">
        <v>225</v>
      </c>
      <c r="C4736" t="s">
        <v>444</v>
      </c>
      <c r="D4736" s="65">
        <v>480</v>
      </c>
      <c r="E4736" s="33"/>
      <c r="G4736" t="s">
        <v>144</v>
      </c>
      <c r="H4736" t="s">
        <v>232</v>
      </c>
      <c r="I4736" t="s">
        <v>134</v>
      </c>
      <c r="J4736" t="s">
        <v>201</v>
      </c>
      <c r="K4736">
        <v>1</v>
      </c>
      <c r="L4736" s="28" t="s">
        <v>178</v>
      </c>
      <c r="N4736" s="26"/>
    </row>
    <row r="4737" spans="1:14" ht="14.5" customHeight="1" x14ac:dyDescent="0.2">
      <c r="A4737">
        <v>2025</v>
      </c>
      <c r="B4737" t="s">
        <v>225</v>
      </c>
      <c r="C4737" t="s">
        <v>559</v>
      </c>
      <c r="D4737" s="65">
        <v>350</v>
      </c>
      <c r="E4737" s="33"/>
      <c r="F4737" t="s">
        <v>2319</v>
      </c>
      <c r="G4737" t="s">
        <v>149</v>
      </c>
      <c r="I4737" t="s">
        <v>117</v>
      </c>
      <c r="J4737" t="s">
        <v>205</v>
      </c>
      <c r="K4737">
        <v>1</v>
      </c>
      <c r="L4737" s="28"/>
      <c r="N4737" s="26"/>
    </row>
    <row r="4738" spans="1:14" ht="14.5" customHeight="1" x14ac:dyDescent="0.2">
      <c r="A4738">
        <v>2025</v>
      </c>
      <c r="B4738" t="s">
        <v>225</v>
      </c>
      <c r="C4738" t="s">
        <v>559</v>
      </c>
      <c r="D4738" s="65">
        <v>280</v>
      </c>
      <c r="E4738" s="33"/>
      <c r="F4738" t="s">
        <v>2320</v>
      </c>
      <c r="G4738" t="s">
        <v>149</v>
      </c>
      <c r="I4738" t="s">
        <v>50</v>
      </c>
      <c r="J4738" t="s">
        <v>205</v>
      </c>
      <c r="K4738">
        <v>1</v>
      </c>
      <c r="L4738" s="28"/>
      <c r="N4738" s="26"/>
    </row>
    <row r="4739" spans="1:14" ht="14.5" customHeight="1" x14ac:dyDescent="0.2">
      <c r="A4739">
        <v>2025</v>
      </c>
      <c r="B4739" t="s">
        <v>188</v>
      </c>
      <c r="C4739" t="s">
        <v>2321</v>
      </c>
      <c r="D4739" s="65">
        <v>100</v>
      </c>
      <c r="E4739" s="33"/>
      <c r="F4739" t="s">
        <v>2322</v>
      </c>
      <c r="G4739" t="s">
        <v>150</v>
      </c>
      <c r="H4739" t="s">
        <v>744</v>
      </c>
      <c r="I4739" t="s">
        <v>131</v>
      </c>
      <c r="J4739" t="s">
        <v>131</v>
      </c>
      <c r="K4739">
        <v>0</v>
      </c>
      <c r="L4739" s="28"/>
      <c r="N4739" s="26"/>
    </row>
    <row r="4740" spans="1:14" ht="14.5" customHeight="1" x14ac:dyDescent="0.2">
      <c r="A4740">
        <v>2025</v>
      </c>
      <c r="B4740" t="s">
        <v>188</v>
      </c>
      <c r="C4740" t="s">
        <v>1337</v>
      </c>
      <c r="D4740" s="65">
        <v>110</v>
      </c>
      <c r="E4740" s="33"/>
      <c r="F4740" t="s">
        <v>2323</v>
      </c>
      <c r="G4740" t="s">
        <v>154</v>
      </c>
      <c r="H4740" t="s">
        <v>194</v>
      </c>
      <c r="I4740" t="s">
        <v>42</v>
      </c>
      <c r="J4740" t="s">
        <v>195</v>
      </c>
      <c r="K4740">
        <v>0</v>
      </c>
      <c r="L4740" s="28"/>
      <c r="N4740" s="26"/>
    </row>
    <row r="4741" spans="1:14" ht="14.5" customHeight="1" x14ac:dyDescent="0.2">
      <c r="A4741">
        <v>2025</v>
      </c>
      <c r="B4741" t="s">
        <v>188</v>
      </c>
      <c r="C4741" t="s">
        <v>438</v>
      </c>
      <c r="D4741" s="65">
        <v>200</v>
      </c>
      <c r="E4741" s="33"/>
      <c r="F4741" t="s">
        <v>2324</v>
      </c>
      <c r="G4741" t="s">
        <v>154</v>
      </c>
      <c r="H4741" t="s">
        <v>194</v>
      </c>
      <c r="I4741" t="s">
        <v>118</v>
      </c>
      <c r="J4741" t="s">
        <v>195</v>
      </c>
      <c r="K4741">
        <v>0</v>
      </c>
      <c r="L4741" s="28"/>
      <c r="N4741" s="26"/>
    </row>
    <row r="4742" spans="1:14" ht="14.5" customHeight="1" x14ac:dyDescent="0.2">
      <c r="A4742">
        <v>2025</v>
      </c>
      <c r="B4742" t="s">
        <v>188</v>
      </c>
      <c r="C4742" t="s">
        <v>438</v>
      </c>
      <c r="D4742" s="65">
        <v>720</v>
      </c>
      <c r="E4742" s="33"/>
      <c r="F4742" t="s">
        <v>2069</v>
      </c>
      <c r="G4742" t="s">
        <v>154</v>
      </c>
      <c r="H4742" t="s">
        <v>194</v>
      </c>
      <c r="I4742" t="s">
        <v>19</v>
      </c>
      <c r="J4742" t="s">
        <v>205</v>
      </c>
      <c r="K4742">
        <v>0</v>
      </c>
      <c r="L4742" s="28"/>
      <c r="N4742" s="26"/>
    </row>
    <row r="4743" spans="1:14" ht="14.5" customHeight="1" x14ac:dyDescent="0.2">
      <c r="A4743">
        <v>2025</v>
      </c>
      <c r="B4743" t="s">
        <v>188</v>
      </c>
      <c r="C4743" t="s">
        <v>559</v>
      </c>
      <c r="D4743" s="65">
        <v>1200</v>
      </c>
      <c r="E4743" s="33"/>
      <c r="G4743" t="s">
        <v>149</v>
      </c>
      <c r="I4743" t="s">
        <v>63</v>
      </c>
      <c r="J4743" t="s">
        <v>201</v>
      </c>
      <c r="K4743">
        <v>1</v>
      </c>
      <c r="L4743" s="28"/>
      <c r="N4743" s="26"/>
    </row>
    <row r="4744" spans="1:14" ht="14.5" customHeight="1" x14ac:dyDescent="0.2">
      <c r="A4744">
        <v>2025</v>
      </c>
      <c r="B4744" t="s">
        <v>188</v>
      </c>
      <c r="C4744" t="s">
        <v>2325</v>
      </c>
      <c r="D4744" s="65">
        <v>850</v>
      </c>
      <c r="E4744" s="33">
        <v>0.6</v>
      </c>
      <c r="G4744" t="s">
        <v>144</v>
      </c>
      <c r="H4744" t="s">
        <v>232</v>
      </c>
      <c r="I4744" t="s">
        <v>53</v>
      </c>
      <c r="J4744" t="s">
        <v>183</v>
      </c>
      <c r="K4744">
        <v>1</v>
      </c>
      <c r="L4744" s="28" t="s">
        <v>178</v>
      </c>
      <c r="N4744" s="26"/>
    </row>
    <row r="4745" spans="1:14" ht="14.5" customHeight="1" x14ac:dyDescent="0.2">
      <c r="A4745">
        <v>2025</v>
      </c>
      <c r="B4745" t="s">
        <v>188</v>
      </c>
      <c r="C4745" t="s">
        <v>454</v>
      </c>
      <c r="D4745" s="65">
        <v>100</v>
      </c>
      <c r="E4745" s="33"/>
      <c r="G4745" t="s">
        <v>152</v>
      </c>
      <c r="H4745" t="s">
        <v>257</v>
      </c>
      <c r="I4745" t="s">
        <v>53</v>
      </c>
      <c r="J4745" t="s">
        <v>183</v>
      </c>
      <c r="K4745">
        <v>1</v>
      </c>
      <c r="L4745" s="28"/>
      <c r="N4745" s="26"/>
    </row>
    <row r="4746" spans="1:14" ht="14.5" customHeight="1" x14ac:dyDescent="0.2">
      <c r="A4746">
        <v>2025</v>
      </c>
      <c r="B4746" t="s">
        <v>188</v>
      </c>
      <c r="C4746" t="s">
        <v>2096</v>
      </c>
      <c r="D4746" s="65">
        <v>1020</v>
      </c>
      <c r="E4746" s="33">
        <v>0.78</v>
      </c>
      <c r="G4746" t="s">
        <v>154</v>
      </c>
      <c r="H4746" t="s">
        <v>194</v>
      </c>
      <c r="I4746" t="s">
        <v>80</v>
      </c>
      <c r="J4746" t="s">
        <v>214</v>
      </c>
      <c r="K4746">
        <v>1</v>
      </c>
      <c r="L4746" s="28" t="s">
        <v>178</v>
      </c>
      <c r="N4746" s="26"/>
    </row>
    <row r="4747" spans="1:14" ht="14.5" customHeight="1" x14ac:dyDescent="0.2">
      <c r="A4747">
        <v>2025</v>
      </c>
      <c r="B4747" t="s">
        <v>188</v>
      </c>
      <c r="C4747" t="s">
        <v>2326</v>
      </c>
      <c r="D4747" s="65">
        <v>100</v>
      </c>
      <c r="E4747" s="33"/>
      <c r="G4747" t="s">
        <v>150</v>
      </c>
      <c r="H4747" t="s">
        <v>217</v>
      </c>
      <c r="I4747" t="s">
        <v>136</v>
      </c>
      <c r="J4747" t="s">
        <v>183</v>
      </c>
      <c r="K4747">
        <v>1</v>
      </c>
      <c r="L4747" s="28" t="s">
        <v>178</v>
      </c>
      <c r="N4747" s="26"/>
    </row>
    <row r="4748" spans="1:14" ht="14.5" customHeight="1" x14ac:dyDescent="0.2">
      <c r="A4748">
        <v>2025</v>
      </c>
      <c r="B4748" t="s">
        <v>188</v>
      </c>
      <c r="C4748" t="s">
        <v>1520</v>
      </c>
      <c r="D4748" s="65">
        <v>160</v>
      </c>
      <c r="E4748" s="33"/>
      <c r="G4748" t="s">
        <v>148</v>
      </c>
      <c r="I4748" t="s">
        <v>9</v>
      </c>
      <c r="J4748" t="s">
        <v>9</v>
      </c>
      <c r="K4748">
        <v>0</v>
      </c>
      <c r="L4748" s="28"/>
      <c r="N4748" s="26"/>
    </row>
    <row r="4749" spans="1:14" ht="14.5" customHeight="1" x14ac:dyDescent="0.2">
      <c r="A4749">
        <v>2025</v>
      </c>
      <c r="B4749" t="s">
        <v>188</v>
      </c>
      <c r="C4749" t="s">
        <v>2327</v>
      </c>
      <c r="D4749" s="65">
        <v>190</v>
      </c>
      <c r="E4749" s="33">
        <v>1</v>
      </c>
      <c r="G4749" t="s">
        <v>152</v>
      </c>
      <c r="I4749" t="s">
        <v>124</v>
      </c>
      <c r="J4749" t="s">
        <v>183</v>
      </c>
      <c r="K4749">
        <v>1</v>
      </c>
      <c r="L4749" s="28" t="s">
        <v>178</v>
      </c>
      <c r="N4749" s="26"/>
    </row>
    <row r="4750" spans="1:14" ht="14.5" customHeight="1" x14ac:dyDescent="0.2">
      <c r="A4750">
        <v>2025</v>
      </c>
      <c r="B4750" t="s">
        <v>188</v>
      </c>
      <c r="C4750" t="s">
        <v>2328</v>
      </c>
      <c r="D4750" s="65">
        <v>2220</v>
      </c>
      <c r="E4750" s="33"/>
      <c r="G4750" t="s">
        <v>154</v>
      </c>
      <c r="H4750" t="s">
        <v>194</v>
      </c>
      <c r="I4750" t="s">
        <v>99</v>
      </c>
      <c r="J4750" t="s">
        <v>195</v>
      </c>
      <c r="K4750">
        <v>1</v>
      </c>
      <c r="L4750" s="28" t="s">
        <v>178</v>
      </c>
      <c r="N4750" s="26"/>
    </row>
    <row r="4751" spans="1:14" ht="14.5" customHeight="1" x14ac:dyDescent="0.2">
      <c r="A4751">
        <v>2025</v>
      </c>
      <c r="B4751" t="s">
        <v>188</v>
      </c>
      <c r="C4751" t="s">
        <v>877</v>
      </c>
      <c r="D4751" s="65">
        <v>850</v>
      </c>
      <c r="E4751" s="33">
        <v>0.67</v>
      </c>
      <c r="G4751" t="s">
        <v>144</v>
      </c>
      <c r="I4751" t="s">
        <v>55</v>
      </c>
      <c r="J4751" t="s">
        <v>214</v>
      </c>
      <c r="K4751">
        <v>1</v>
      </c>
      <c r="L4751" s="28"/>
      <c r="N4751" s="26"/>
    </row>
    <row r="4752" spans="1:14" ht="14.5" customHeight="1" x14ac:dyDescent="0.2">
      <c r="A4752">
        <v>2025</v>
      </c>
      <c r="B4752" t="s">
        <v>188</v>
      </c>
      <c r="C4752" t="s">
        <v>2329</v>
      </c>
      <c r="D4752" s="65">
        <v>480</v>
      </c>
      <c r="E4752" s="33"/>
      <c r="G4752" t="s">
        <v>144</v>
      </c>
      <c r="H4752" t="s">
        <v>187</v>
      </c>
      <c r="I4752" t="s">
        <v>55</v>
      </c>
      <c r="J4752" t="s">
        <v>214</v>
      </c>
      <c r="K4752">
        <v>1</v>
      </c>
      <c r="L4752" s="28"/>
      <c r="N4752" s="26"/>
    </row>
    <row r="4753" spans="1:14" ht="14.5" customHeight="1" x14ac:dyDescent="0.2">
      <c r="A4753">
        <v>2025</v>
      </c>
      <c r="B4753" t="s">
        <v>188</v>
      </c>
      <c r="C4753" t="s">
        <v>577</v>
      </c>
      <c r="D4753" s="65">
        <v>640</v>
      </c>
      <c r="E4753" s="33"/>
      <c r="G4753" t="s">
        <v>150</v>
      </c>
      <c r="H4753" t="s">
        <v>556</v>
      </c>
      <c r="I4753" t="s">
        <v>131</v>
      </c>
      <c r="J4753" t="s">
        <v>131</v>
      </c>
      <c r="K4753">
        <v>0</v>
      </c>
      <c r="L4753" s="28"/>
      <c r="N4753" s="26"/>
    </row>
    <row r="4754" spans="1:14" ht="14.5" customHeight="1" x14ac:dyDescent="0.2">
      <c r="A4754">
        <v>2025</v>
      </c>
      <c r="B4754" t="s">
        <v>188</v>
      </c>
      <c r="C4754" t="s">
        <v>199</v>
      </c>
      <c r="D4754" s="65">
        <v>500</v>
      </c>
      <c r="E4754" s="33"/>
      <c r="G4754" t="s">
        <v>144</v>
      </c>
      <c r="H4754" t="s">
        <v>299</v>
      </c>
      <c r="I4754" t="s">
        <v>96</v>
      </c>
      <c r="J4754" t="s">
        <v>205</v>
      </c>
      <c r="K4754">
        <v>1</v>
      </c>
      <c r="L4754" s="28" t="s">
        <v>178</v>
      </c>
      <c r="N4754" s="26"/>
    </row>
    <row r="4755" spans="1:14" ht="14.5" customHeight="1" x14ac:dyDescent="0.2">
      <c r="A4755">
        <v>2025</v>
      </c>
      <c r="B4755" t="s">
        <v>191</v>
      </c>
      <c r="C4755" t="s">
        <v>2330</v>
      </c>
      <c r="D4755" s="65">
        <v>120</v>
      </c>
      <c r="E4755" s="33">
        <v>1</v>
      </c>
      <c r="F4755" t="s">
        <v>2331</v>
      </c>
      <c r="G4755" t="s">
        <v>151</v>
      </c>
      <c r="H4755" t="s">
        <v>279</v>
      </c>
      <c r="I4755" t="s">
        <v>27</v>
      </c>
      <c r="J4755" t="s">
        <v>205</v>
      </c>
      <c r="K4755">
        <v>1</v>
      </c>
      <c r="L4755" s="28"/>
      <c r="N4755" s="26"/>
    </row>
    <row r="4756" spans="1:14" ht="14.5" customHeight="1" x14ac:dyDescent="0.2">
      <c r="A4756">
        <v>2025</v>
      </c>
      <c r="B4756" t="s">
        <v>191</v>
      </c>
      <c r="C4756" t="s">
        <v>378</v>
      </c>
      <c r="D4756" s="65">
        <v>100</v>
      </c>
      <c r="E4756" s="33"/>
      <c r="G4756" t="s">
        <v>148</v>
      </c>
      <c r="I4756" t="s">
        <v>38</v>
      </c>
      <c r="J4756" t="s">
        <v>214</v>
      </c>
      <c r="K4756">
        <v>1</v>
      </c>
      <c r="L4756" s="28"/>
      <c r="N4756" s="26"/>
    </row>
    <row r="4757" spans="1:14" ht="14.5" customHeight="1" x14ac:dyDescent="0.2">
      <c r="A4757">
        <v>2025</v>
      </c>
      <c r="B4757" t="s">
        <v>191</v>
      </c>
      <c r="C4757" t="s">
        <v>2332</v>
      </c>
      <c r="D4757" s="65">
        <v>130</v>
      </c>
      <c r="E4757" s="33">
        <v>1</v>
      </c>
      <c r="F4757" t="s">
        <v>2333</v>
      </c>
      <c r="G4757" t="s">
        <v>149</v>
      </c>
      <c r="I4757" t="s">
        <v>123</v>
      </c>
      <c r="J4757" t="s">
        <v>219</v>
      </c>
      <c r="K4757">
        <v>1</v>
      </c>
      <c r="L4757" s="28"/>
      <c r="N4757" s="26"/>
    </row>
    <row r="4758" spans="1:14" ht="14.5" customHeight="1" x14ac:dyDescent="0.2">
      <c r="A4758">
        <v>2025</v>
      </c>
      <c r="B4758" t="s">
        <v>191</v>
      </c>
      <c r="C4758" t="s">
        <v>2334</v>
      </c>
      <c r="D4758" s="65">
        <v>100</v>
      </c>
      <c r="E4758" s="33"/>
      <c r="G4758" t="s">
        <v>144</v>
      </c>
      <c r="H4758" t="s">
        <v>232</v>
      </c>
      <c r="I4758" t="s">
        <v>38</v>
      </c>
      <c r="J4758" t="s">
        <v>214</v>
      </c>
      <c r="K4758">
        <v>1</v>
      </c>
      <c r="L4758" s="28" t="s">
        <v>178</v>
      </c>
      <c r="N4758" s="26"/>
    </row>
    <row r="4759" spans="1:14" ht="14.5" customHeight="1" x14ac:dyDescent="0.2">
      <c r="A4759">
        <v>2025</v>
      </c>
      <c r="B4759" t="s">
        <v>191</v>
      </c>
      <c r="C4759" t="s">
        <v>1337</v>
      </c>
      <c r="D4759" s="65">
        <v>110</v>
      </c>
      <c r="E4759" s="33">
        <v>1</v>
      </c>
      <c r="F4759" t="s">
        <v>2323</v>
      </c>
      <c r="G4759" t="s">
        <v>154</v>
      </c>
      <c r="H4759" t="s">
        <v>194</v>
      </c>
      <c r="I4759" t="s">
        <v>42</v>
      </c>
      <c r="J4759" t="s">
        <v>195</v>
      </c>
      <c r="K4759">
        <v>0</v>
      </c>
      <c r="L4759" s="28"/>
      <c r="N4759" s="26"/>
    </row>
    <row r="4760" spans="1:14" ht="14.5" customHeight="1" x14ac:dyDescent="0.2">
      <c r="A4760">
        <v>2025</v>
      </c>
      <c r="B4760" t="s">
        <v>191</v>
      </c>
      <c r="C4760" t="s">
        <v>2329</v>
      </c>
      <c r="D4760" s="65">
        <v>100</v>
      </c>
      <c r="E4760" s="33"/>
      <c r="G4760" t="s">
        <v>144</v>
      </c>
      <c r="H4760" t="s">
        <v>299</v>
      </c>
      <c r="I4760" t="s">
        <v>5</v>
      </c>
      <c r="J4760" t="s">
        <v>214</v>
      </c>
      <c r="K4760">
        <v>1</v>
      </c>
      <c r="L4760" s="28"/>
      <c r="N4760" s="26"/>
    </row>
    <row r="4761" spans="1:14" ht="14.5" customHeight="1" x14ac:dyDescent="0.2">
      <c r="A4761">
        <v>2025</v>
      </c>
      <c r="B4761" t="s">
        <v>191</v>
      </c>
      <c r="C4761" t="s">
        <v>1061</v>
      </c>
      <c r="D4761" s="65">
        <v>310</v>
      </c>
      <c r="E4761" s="33"/>
      <c r="G4761" t="s">
        <v>154</v>
      </c>
      <c r="H4761" t="s">
        <v>194</v>
      </c>
      <c r="I4761" t="s">
        <v>51</v>
      </c>
      <c r="J4761" t="s">
        <v>195</v>
      </c>
      <c r="K4761">
        <v>1</v>
      </c>
      <c r="L4761" s="28" t="s">
        <v>178</v>
      </c>
      <c r="N4761" s="26"/>
    </row>
    <row r="4762" spans="1:14" ht="14.5" customHeight="1" x14ac:dyDescent="0.2">
      <c r="A4762">
        <v>2025</v>
      </c>
      <c r="B4762" t="s">
        <v>191</v>
      </c>
      <c r="C4762" t="s">
        <v>337</v>
      </c>
      <c r="D4762" s="65">
        <v>280</v>
      </c>
      <c r="E4762" s="33"/>
      <c r="G4762" t="s">
        <v>144</v>
      </c>
      <c r="H4762" t="s">
        <v>232</v>
      </c>
      <c r="I4762" t="s">
        <v>134</v>
      </c>
      <c r="J4762" t="s">
        <v>201</v>
      </c>
      <c r="K4762">
        <v>1</v>
      </c>
      <c r="L4762" s="28" t="s">
        <v>178</v>
      </c>
      <c r="N4762" s="26"/>
    </row>
    <row r="4763" spans="1:14" ht="14.5" customHeight="1" x14ac:dyDescent="0.2">
      <c r="A4763">
        <v>2025</v>
      </c>
      <c r="B4763" t="s">
        <v>191</v>
      </c>
      <c r="C4763" t="s">
        <v>444</v>
      </c>
      <c r="D4763" s="65">
        <v>140</v>
      </c>
      <c r="E4763" s="33"/>
      <c r="G4763" t="s">
        <v>144</v>
      </c>
      <c r="H4763" t="s">
        <v>232</v>
      </c>
      <c r="I4763" t="s">
        <v>134</v>
      </c>
      <c r="J4763" t="s">
        <v>201</v>
      </c>
      <c r="K4763">
        <v>1</v>
      </c>
      <c r="L4763" s="28" t="s">
        <v>178</v>
      </c>
      <c r="N4763" s="26"/>
    </row>
    <row r="4764" spans="1:14" ht="14.5" customHeight="1" x14ac:dyDescent="0.2">
      <c r="A4764">
        <v>2025</v>
      </c>
      <c r="B4764" t="s">
        <v>191</v>
      </c>
      <c r="C4764" t="s">
        <v>2335</v>
      </c>
      <c r="D4764" s="65">
        <v>120</v>
      </c>
      <c r="E4764" s="33"/>
      <c r="G4764" t="s">
        <v>151</v>
      </c>
      <c r="H4764" t="s">
        <v>279</v>
      </c>
      <c r="I4764" t="s">
        <v>139</v>
      </c>
      <c r="J4764" t="s">
        <v>219</v>
      </c>
      <c r="K4764">
        <v>1</v>
      </c>
      <c r="L4764" s="28" t="s">
        <v>178</v>
      </c>
      <c r="N4764" s="26"/>
    </row>
    <row r="4765" spans="1:14" ht="14.5" customHeight="1" x14ac:dyDescent="0.2">
      <c r="A4765">
        <v>2025</v>
      </c>
      <c r="B4765" t="s">
        <v>198</v>
      </c>
      <c r="C4765" t="s">
        <v>2336</v>
      </c>
      <c r="D4765" s="65">
        <v>100</v>
      </c>
      <c r="E4765" s="33"/>
      <c r="G4765" t="s">
        <v>154</v>
      </c>
      <c r="H4765" t="s">
        <v>194</v>
      </c>
      <c r="I4765" t="s">
        <v>114</v>
      </c>
      <c r="J4765" t="s">
        <v>195</v>
      </c>
      <c r="K4765">
        <v>0</v>
      </c>
      <c r="L4765" s="28" t="s">
        <v>178</v>
      </c>
      <c r="N4765" s="26"/>
    </row>
    <row r="4766" spans="1:14" ht="14.5" customHeight="1" x14ac:dyDescent="0.2">
      <c r="A4766">
        <v>2025</v>
      </c>
      <c r="B4766" t="s">
        <v>198</v>
      </c>
      <c r="C4766" t="s">
        <v>1344</v>
      </c>
      <c r="D4766" s="65">
        <v>190</v>
      </c>
      <c r="E4766" s="33"/>
      <c r="G4766" t="s">
        <v>150</v>
      </c>
      <c r="H4766" t="s">
        <v>556</v>
      </c>
      <c r="I4766" t="s">
        <v>19</v>
      </c>
      <c r="J4766" t="s">
        <v>205</v>
      </c>
      <c r="K4766">
        <v>0</v>
      </c>
      <c r="L4766" s="28"/>
      <c r="N4766" s="26"/>
    </row>
    <row r="4767" spans="1:14" ht="14.5" customHeight="1" x14ac:dyDescent="0.2">
      <c r="A4767">
        <v>2025</v>
      </c>
      <c r="B4767" t="s">
        <v>198</v>
      </c>
      <c r="C4767" t="s">
        <v>1604</v>
      </c>
      <c r="D4767" s="65">
        <v>280</v>
      </c>
      <c r="E4767" s="33"/>
      <c r="G4767" t="s">
        <v>144</v>
      </c>
      <c r="H4767" t="s">
        <v>232</v>
      </c>
      <c r="I4767" t="s">
        <v>105</v>
      </c>
      <c r="J4767" t="s">
        <v>214</v>
      </c>
      <c r="K4767">
        <v>1</v>
      </c>
      <c r="L4767" s="28" t="s">
        <v>178</v>
      </c>
      <c r="N4767" s="26"/>
    </row>
    <row r="4768" spans="1:14" ht="14.5" customHeight="1" x14ac:dyDescent="0.2">
      <c r="A4768">
        <v>2025</v>
      </c>
      <c r="B4768" t="s">
        <v>198</v>
      </c>
      <c r="C4768" t="s">
        <v>564</v>
      </c>
      <c r="D4768" s="65">
        <v>400</v>
      </c>
      <c r="E4768" s="33"/>
      <c r="G4768" t="s">
        <v>154</v>
      </c>
      <c r="H4768" t="s">
        <v>194</v>
      </c>
      <c r="I4768" t="s">
        <v>131</v>
      </c>
      <c r="J4768" t="s">
        <v>131</v>
      </c>
      <c r="K4768">
        <v>0</v>
      </c>
      <c r="L4768" s="28"/>
      <c r="N4768" s="26"/>
    </row>
    <row r="4769" spans="1:14" ht="14.5" customHeight="1" x14ac:dyDescent="0.2">
      <c r="A4769">
        <v>2025</v>
      </c>
      <c r="B4769" t="s">
        <v>198</v>
      </c>
      <c r="C4769" t="s">
        <v>1448</v>
      </c>
      <c r="D4769" s="65">
        <v>200</v>
      </c>
      <c r="E4769" s="33"/>
      <c r="G4769" t="s">
        <v>149</v>
      </c>
      <c r="I4769" t="s">
        <v>8</v>
      </c>
      <c r="J4769" t="s">
        <v>205</v>
      </c>
      <c r="K4769">
        <v>1</v>
      </c>
      <c r="L4769" s="28"/>
      <c r="N4769" s="26"/>
    </row>
    <row r="4770" spans="1:14" ht="14.5" customHeight="1" x14ac:dyDescent="0.2">
      <c r="A4770">
        <v>2025</v>
      </c>
      <c r="B4770" t="s">
        <v>202</v>
      </c>
      <c r="C4770" t="s">
        <v>2337</v>
      </c>
      <c r="D4770" s="65">
        <v>190</v>
      </c>
      <c r="E4770" s="33"/>
      <c r="G4770" t="s">
        <v>143</v>
      </c>
      <c r="I4770" t="s">
        <v>72</v>
      </c>
      <c r="J4770" t="s">
        <v>183</v>
      </c>
      <c r="K4770">
        <v>1</v>
      </c>
      <c r="L4770" s="28" t="s">
        <v>178</v>
      </c>
      <c r="N4770" s="26"/>
    </row>
    <row r="4771" spans="1:14" ht="14.5" customHeight="1" x14ac:dyDescent="0.2">
      <c r="A4771">
        <v>2025</v>
      </c>
      <c r="B4771" t="s">
        <v>202</v>
      </c>
      <c r="C4771" t="s">
        <v>2338</v>
      </c>
      <c r="D4771" s="65">
        <v>100</v>
      </c>
      <c r="E4771" s="33">
        <v>1</v>
      </c>
      <c r="F4771" t="s">
        <v>2339</v>
      </c>
      <c r="G4771" t="s">
        <v>150</v>
      </c>
      <c r="H4771" t="s">
        <v>556</v>
      </c>
      <c r="I4771" t="s">
        <v>20</v>
      </c>
      <c r="J4771" t="s">
        <v>195</v>
      </c>
      <c r="K4771">
        <v>0</v>
      </c>
      <c r="L4771" s="28"/>
      <c r="N4771" s="26"/>
    </row>
    <row r="4772" spans="1:14" ht="14.5" customHeight="1" x14ac:dyDescent="0.2">
      <c r="A4772">
        <v>2025</v>
      </c>
      <c r="B4772" t="s">
        <v>202</v>
      </c>
      <c r="C4772" t="s">
        <v>714</v>
      </c>
      <c r="D4772" s="65">
        <v>290</v>
      </c>
      <c r="E4772" s="33">
        <v>1</v>
      </c>
      <c r="G4772" t="s">
        <v>154</v>
      </c>
      <c r="H4772" t="s">
        <v>194</v>
      </c>
      <c r="I4772" t="s">
        <v>38</v>
      </c>
      <c r="J4772" t="s">
        <v>214</v>
      </c>
      <c r="K4772">
        <v>1</v>
      </c>
      <c r="L4772" s="28" t="s">
        <v>178</v>
      </c>
      <c r="N4772" s="26"/>
    </row>
    <row r="4773" spans="1:14" ht="14.5" customHeight="1" x14ac:dyDescent="0.2">
      <c r="A4773">
        <v>2025</v>
      </c>
      <c r="B4773" t="s">
        <v>202</v>
      </c>
      <c r="C4773" t="s">
        <v>185</v>
      </c>
      <c r="D4773" s="65">
        <v>3180</v>
      </c>
      <c r="E4773" s="33">
        <v>0.25</v>
      </c>
      <c r="F4773" t="s">
        <v>2340</v>
      </c>
      <c r="G4773" t="s">
        <v>144</v>
      </c>
      <c r="H4773" t="s">
        <v>187</v>
      </c>
      <c r="I4773" t="s">
        <v>50</v>
      </c>
      <c r="J4773" t="s">
        <v>205</v>
      </c>
      <c r="K4773">
        <v>1</v>
      </c>
      <c r="L4773" s="28"/>
      <c r="N4773" s="26"/>
    </row>
    <row r="4774" spans="1:14" ht="14.5" customHeight="1" x14ac:dyDescent="0.2">
      <c r="A4774">
        <v>2025</v>
      </c>
      <c r="B4774" t="s">
        <v>202</v>
      </c>
      <c r="C4774" t="s">
        <v>2341</v>
      </c>
      <c r="D4774" s="65">
        <v>160</v>
      </c>
      <c r="E4774" s="33"/>
      <c r="G4774" t="s">
        <v>150</v>
      </c>
      <c r="H4774" t="s">
        <v>556</v>
      </c>
      <c r="I4774" t="s">
        <v>53</v>
      </c>
      <c r="J4774" t="s">
        <v>183</v>
      </c>
      <c r="K4774">
        <v>1</v>
      </c>
      <c r="L4774" s="28" t="s">
        <v>178</v>
      </c>
      <c r="N4774" s="26"/>
    </row>
    <row r="4775" spans="1:14" ht="14.5" customHeight="1" x14ac:dyDescent="0.2">
      <c r="A4775">
        <v>2025</v>
      </c>
      <c r="B4775" t="s">
        <v>202</v>
      </c>
      <c r="C4775" t="s">
        <v>2342</v>
      </c>
      <c r="D4775" s="65">
        <v>170</v>
      </c>
      <c r="E4775" s="33"/>
      <c r="G4775" t="s">
        <v>152</v>
      </c>
      <c r="I4775" t="s">
        <v>124</v>
      </c>
      <c r="J4775" t="s">
        <v>183</v>
      </c>
      <c r="K4775">
        <v>1</v>
      </c>
      <c r="L4775" s="28" t="s">
        <v>178</v>
      </c>
      <c r="N4775" s="26"/>
    </row>
    <row r="4776" spans="1:14" ht="14.5" customHeight="1" x14ac:dyDescent="0.2">
      <c r="A4776">
        <v>2025</v>
      </c>
      <c r="B4776" t="s">
        <v>202</v>
      </c>
      <c r="C4776" t="s">
        <v>2047</v>
      </c>
      <c r="D4776" s="65">
        <v>1130</v>
      </c>
      <c r="E4776" s="33"/>
      <c r="G4776" t="s">
        <v>152</v>
      </c>
      <c r="H4776" t="s">
        <v>257</v>
      </c>
      <c r="I4776" t="s">
        <v>41</v>
      </c>
      <c r="J4776" t="s">
        <v>195</v>
      </c>
      <c r="K4776">
        <v>0</v>
      </c>
      <c r="L4776" s="28" t="s">
        <v>178</v>
      </c>
      <c r="N4776" s="26"/>
    </row>
    <row r="4777" spans="1:14" ht="14.5" customHeight="1" x14ac:dyDescent="0.2">
      <c r="A4777">
        <v>2025</v>
      </c>
      <c r="B4777" t="s">
        <v>207</v>
      </c>
      <c r="C4777" t="s">
        <v>1602</v>
      </c>
      <c r="D4777" s="65">
        <v>140</v>
      </c>
      <c r="E4777" s="33">
        <v>1</v>
      </c>
      <c r="G4777" t="s">
        <v>150</v>
      </c>
      <c r="H4777" t="s">
        <v>556</v>
      </c>
      <c r="I4777" t="s">
        <v>124</v>
      </c>
      <c r="J4777" t="s">
        <v>183</v>
      </c>
      <c r="K4777">
        <v>1</v>
      </c>
      <c r="L4777" s="28" t="s">
        <v>178</v>
      </c>
      <c r="N4777" s="26"/>
    </row>
    <row r="4778" spans="1:14" ht="14.5" customHeight="1" x14ac:dyDescent="0.2">
      <c r="A4778">
        <v>2025</v>
      </c>
      <c r="B4778" t="s">
        <v>207</v>
      </c>
      <c r="C4778" t="s">
        <v>2343</v>
      </c>
      <c r="D4778" s="65">
        <v>160</v>
      </c>
      <c r="E4778" s="33"/>
      <c r="G4778" t="s">
        <v>149</v>
      </c>
      <c r="H4778" t="s">
        <v>236</v>
      </c>
      <c r="I4778" t="s">
        <v>34</v>
      </c>
      <c r="J4778" t="s">
        <v>219</v>
      </c>
      <c r="K4778">
        <v>1</v>
      </c>
      <c r="L4778" s="28" t="s">
        <v>178</v>
      </c>
      <c r="N4778" s="26"/>
    </row>
    <row r="4779" spans="1:14" ht="14.5" customHeight="1" x14ac:dyDescent="0.2">
      <c r="A4779">
        <v>2025</v>
      </c>
      <c r="B4779" t="s">
        <v>207</v>
      </c>
      <c r="C4779" t="s">
        <v>449</v>
      </c>
      <c r="D4779" s="65">
        <v>640</v>
      </c>
      <c r="E4779" s="33"/>
      <c r="G4779" t="s">
        <v>154</v>
      </c>
      <c r="H4779" t="s">
        <v>529</v>
      </c>
      <c r="I4779" t="s">
        <v>123</v>
      </c>
      <c r="J4779" t="s">
        <v>219</v>
      </c>
      <c r="K4779">
        <v>1</v>
      </c>
      <c r="L4779" s="28" t="s">
        <v>178</v>
      </c>
      <c r="N4779" s="26"/>
    </row>
    <row r="4780" spans="1:14" ht="14.5" customHeight="1" x14ac:dyDescent="0.2">
      <c r="A4780">
        <v>2025</v>
      </c>
      <c r="B4780" t="s">
        <v>207</v>
      </c>
      <c r="C4780" t="s">
        <v>449</v>
      </c>
      <c r="D4780" s="65">
        <v>600</v>
      </c>
      <c r="E4780" s="33"/>
      <c r="G4780" t="s">
        <v>154</v>
      </c>
      <c r="H4780" t="s">
        <v>529</v>
      </c>
      <c r="I4780" t="s">
        <v>123</v>
      </c>
      <c r="J4780" t="s">
        <v>219</v>
      </c>
      <c r="K4780">
        <v>1</v>
      </c>
      <c r="L4780" s="28" t="s">
        <v>178</v>
      </c>
      <c r="N4780" s="26"/>
    </row>
    <row r="4781" spans="1:14" ht="14.5" customHeight="1" x14ac:dyDescent="0.2">
      <c r="A4781">
        <v>2025</v>
      </c>
      <c r="B4781" t="s">
        <v>207</v>
      </c>
      <c r="C4781" t="s">
        <v>2344</v>
      </c>
      <c r="D4781" s="65">
        <v>1080</v>
      </c>
      <c r="E4781" s="33"/>
      <c r="G4781" t="s">
        <v>149</v>
      </c>
      <c r="H4781" t="s">
        <v>236</v>
      </c>
      <c r="I4781" t="s">
        <v>34</v>
      </c>
      <c r="J4781" t="s">
        <v>219</v>
      </c>
      <c r="K4781">
        <v>1</v>
      </c>
      <c r="L4781" s="28"/>
      <c r="N4781" s="26"/>
    </row>
    <row r="4782" spans="1:14" ht="14.5" customHeight="1" x14ac:dyDescent="0.2">
      <c r="A4782">
        <v>2025</v>
      </c>
      <c r="B4782" t="s">
        <v>207</v>
      </c>
      <c r="C4782" t="s">
        <v>1843</v>
      </c>
      <c r="D4782" s="65">
        <v>190</v>
      </c>
      <c r="E4782" s="33">
        <v>1</v>
      </c>
      <c r="F4782" t="s">
        <v>2345</v>
      </c>
      <c r="G4782" t="s">
        <v>149</v>
      </c>
      <c r="I4782" t="s">
        <v>25</v>
      </c>
      <c r="J4782" t="s">
        <v>177</v>
      </c>
      <c r="K4782">
        <v>0</v>
      </c>
      <c r="L4782" s="28"/>
      <c r="N4782" s="26"/>
    </row>
    <row r="4783" spans="1:14" ht="14.5" customHeight="1" x14ac:dyDescent="0.2">
      <c r="A4783">
        <v>2025</v>
      </c>
      <c r="B4783" t="s">
        <v>207</v>
      </c>
      <c r="C4783" t="s">
        <v>1347</v>
      </c>
      <c r="D4783" s="65">
        <v>630</v>
      </c>
      <c r="E4783" s="33"/>
      <c r="G4783" t="s">
        <v>144</v>
      </c>
      <c r="H4783" t="s">
        <v>187</v>
      </c>
      <c r="I4783" t="s">
        <v>40</v>
      </c>
      <c r="J4783" t="s">
        <v>219</v>
      </c>
      <c r="K4783">
        <v>1</v>
      </c>
      <c r="L4783" s="28" t="s">
        <v>178</v>
      </c>
      <c r="N4783" s="26"/>
    </row>
    <row r="4784" spans="1:14" ht="14.5" customHeight="1" x14ac:dyDescent="0.2">
      <c r="A4784">
        <v>2025</v>
      </c>
      <c r="B4784" t="s">
        <v>207</v>
      </c>
      <c r="C4784" t="s">
        <v>1057</v>
      </c>
      <c r="D4784" s="65">
        <v>310</v>
      </c>
      <c r="E4784" s="33">
        <v>1</v>
      </c>
      <c r="F4784" t="s">
        <v>2346</v>
      </c>
      <c r="G4784" t="s">
        <v>144</v>
      </c>
      <c r="H4784" t="s">
        <v>232</v>
      </c>
      <c r="I4784" t="s">
        <v>9</v>
      </c>
      <c r="J4784" t="s">
        <v>9</v>
      </c>
      <c r="K4784">
        <v>0</v>
      </c>
      <c r="L4784" s="28" t="s">
        <v>178</v>
      </c>
      <c r="N4784" s="26"/>
    </row>
    <row r="4785" spans="1:14" ht="14.5" customHeight="1" x14ac:dyDescent="0.2">
      <c r="A4785">
        <v>2025</v>
      </c>
      <c r="B4785" t="s">
        <v>207</v>
      </c>
      <c r="C4785" t="s">
        <v>479</v>
      </c>
      <c r="D4785" s="65">
        <v>470</v>
      </c>
      <c r="E4785" s="33">
        <v>0.55000000000000004</v>
      </c>
      <c r="G4785" t="s">
        <v>154</v>
      </c>
      <c r="H4785" t="s">
        <v>194</v>
      </c>
      <c r="I4785" t="s">
        <v>64</v>
      </c>
      <c r="J4785" t="s">
        <v>219</v>
      </c>
      <c r="K4785">
        <v>1</v>
      </c>
      <c r="L4785" s="28" t="s">
        <v>178</v>
      </c>
      <c r="N4785" s="26"/>
    </row>
    <row r="4786" spans="1:14" ht="14.5" customHeight="1" x14ac:dyDescent="0.2">
      <c r="A4786">
        <v>2025</v>
      </c>
      <c r="B4786" t="s">
        <v>207</v>
      </c>
      <c r="C4786" t="s">
        <v>2253</v>
      </c>
      <c r="D4786" s="65">
        <v>200</v>
      </c>
      <c r="E4786" s="33"/>
      <c r="G4786" t="s">
        <v>150</v>
      </c>
      <c r="H4786" t="s">
        <v>556</v>
      </c>
      <c r="I4786" t="s">
        <v>19</v>
      </c>
      <c r="J4786" t="s">
        <v>205</v>
      </c>
      <c r="K4786">
        <v>0</v>
      </c>
      <c r="L4786" s="28" t="s">
        <v>178</v>
      </c>
      <c r="N4786" s="26"/>
    </row>
    <row r="4787" spans="1:14" ht="14.5" customHeight="1" x14ac:dyDescent="0.2">
      <c r="A4787">
        <v>2025</v>
      </c>
      <c r="B4787" t="s">
        <v>207</v>
      </c>
      <c r="C4787" t="s">
        <v>2347</v>
      </c>
      <c r="D4787" s="65">
        <v>150</v>
      </c>
      <c r="E4787" s="33"/>
      <c r="F4787" t="s">
        <v>2348</v>
      </c>
      <c r="G4787" t="s">
        <v>144</v>
      </c>
      <c r="H4787" t="s">
        <v>232</v>
      </c>
      <c r="I4787" t="s">
        <v>34</v>
      </c>
      <c r="J4787" t="s">
        <v>219</v>
      </c>
      <c r="K4787">
        <v>1</v>
      </c>
      <c r="L4787" s="28" t="s">
        <v>178</v>
      </c>
      <c r="N4787" s="26"/>
    </row>
    <row r="4788" spans="1:14" ht="14.5" customHeight="1" x14ac:dyDescent="0.2">
      <c r="A4788">
        <v>2025</v>
      </c>
      <c r="B4788" t="s">
        <v>207</v>
      </c>
      <c r="C4788" t="s">
        <v>2250</v>
      </c>
      <c r="D4788" s="65">
        <v>290</v>
      </c>
      <c r="E4788" s="33"/>
      <c r="G4788" t="s">
        <v>151</v>
      </c>
      <c r="H4788" t="s">
        <v>224</v>
      </c>
      <c r="I4788" t="s">
        <v>108</v>
      </c>
      <c r="J4788" t="s">
        <v>183</v>
      </c>
      <c r="K4788">
        <v>1</v>
      </c>
      <c r="L4788" s="28"/>
      <c r="N4788" s="26"/>
    </row>
    <row r="4789" spans="1:14" ht="14.5" customHeight="1" x14ac:dyDescent="0.2">
      <c r="A4789">
        <v>2025</v>
      </c>
      <c r="B4789" t="s">
        <v>207</v>
      </c>
      <c r="C4789" t="s">
        <v>2349</v>
      </c>
      <c r="D4789" s="65">
        <v>1920</v>
      </c>
      <c r="E4789" s="33"/>
      <c r="G4789" t="s">
        <v>152</v>
      </c>
      <c r="I4789" t="s">
        <v>72</v>
      </c>
      <c r="J4789" t="s">
        <v>183</v>
      </c>
      <c r="K4789">
        <v>1</v>
      </c>
      <c r="L4789" s="28" t="s">
        <v>178</v>
      </c>
      <c r="N4789" s="26"/>
    </row>
    <row r="4790" spans="1:14" ht="14.5" customHeight="1" x14ac:dyDescent="0.2">
      <c r="A4790">
        <v>2025</v>
      </c>
      <c r="B4790" t="s">
        <v>207</v>
      </c>
      <c r="C4790" t="s">
        <v>559</v>
      </c>
      <c r="D4790" s="65">
        <v>320</v>
      </c>
      <c r="E4790" s="33">
        <v>0.8</v>
      </c>
      <c r="G4790" t="s">
        <v>144</v>
      </c>
      <c r="H4790" t="s">
        <v>197</v>
      </c>
      <c r="I4790" t="s">
        <v>34</v>
      </c>
      <c r="J4790" t="s">
        <v>219</v>
      </c>
      <c r="K4790">
        <v>1</v>
      </c>
      <c r="L4790" s="28" t="s">
        <v>178</v>
      </c>
      <c r="N4790" s="26"/>
    </row>
    <row r="4791" spans="1:14" ht="14.5" customHeight="1" x14ac:dyDescent="0.2">
      <c r="A4791">
        <v>2025</v>
      </c>
      <c r="B4791" t="s">
        <v>207</v>
      </c>
      <c r="C4791" t="s">
        <v>2135</v>
      </c>
      <c r="D4791" s="65">
        <v>150</v>
      </c>
      <c r="E4791" s="33"/>
      <c r="G4791" t="s">
        <v>154</v>
      </c>
      <c r="H4791" t="s">
        <v>194</v>
      </c>
      <c r="I4791" t="s">
        <v>124</v>
      </c>
      <c r="J4791" t="s">
        <v>183</v>
      </c>
      <c r="K4791">
        <v>1</v>
      </c>
      <c r="L4791" s="28"/>
      <c r="N4791" s="26"/>
    </row>
    <row r="4792" spans="1:14" ht="14.5" customHeight="1" x14ac:dyDescent="0.2">
      <c r="A4792">
        <v>2025</v>
      </c>
      <c r="B4792" t="s">
        <v>240</v>
      </c>
      <c r="C4792" t="s">
        <v>2096</v>
      </c>
      <c r="D4792" s="65">
        <v>370</v>
      </c>
      <c r="E4792" s="33"/>
      <c r="G4792" t="s">
        <v>154</v>
      </c>
      <c r="H4792" t="s">
        <v>194</v>
      </c>
      <c r="I4792" t="s">
        <v>131</v>
      </c>
      <c r="J4792" t="s">
        <v>131</v>
      </c>
      <c r="K4792">
        <v>0</v>
      </c>
      <c r="L4792" s="28"/>
      <c r="N4792" s="26"/>
    </row>
    <row r="4793" spans="1:14" ht="14.5" customHeight="1" x14ac:dyDescent="0.2">
      <c r="A4793">
        <v>2025</v>
      </c>
      <c r="B4793" t="s">
        <v>240</v>
      </c>
      <c r="C4793" t="s">
        <v>244</v>
      </c>
      <c r="D4793" s="65">
        <v>680</v>
      </c>
      <c r="E4793" s="33"/>
      <c r="G4793" t="s">
        <v>149</v>
      </c>
      <c r="H4793" t="s">
        <v>236</v>
      </c>
      <c r="I4793" t="s">
        <v>138</v>
      </c>
      <c r="J4793" t="s">
        <v>219</v>
      </c>
      <c r="K4793">
        <v>1</v>
      </c>
      <c r="L4793" s="28"/>
      <c r="N4793" s="26"/>
    </row>
    <row r="4794" spans="1:14" ht="14.5" customHeight="1" x14ac:dyDescent="0.2">
      <c r="A4794">
        <v>2025</v>
      </c>
      <c r="B4794" t="s">
        <v>240</v>
      </c>
      <c r="C4794" t="s">
        <v>2350</v>
      </c>
      <c r="D4794" s="65">
        <v>270</v>
      </c>
      <c r="E4794" s="33"/>
      <c r="G4794" t="s">
        <v>143</v>
      </c>
      <c r="I4794" t="s">
        <v>38</v>
      </c>
      <c r="J4794" t="s">
        <v>214</v>
      </c>
      <c r="K4794">
        <v>1</v>
      </c>
      <c r="L4794" s="28" t="s">
        <v>178</v>
      </c>
      <c r="N4794" s="26"/>
    </row>
    <row r="4795" spans="1:14" ht="14.5" customHeight="1" x14ac:dyDescent="0.2">
      <c r="A4795">
        <v>2025</v>
      </c>
      <c r="B4795" t="s">
        <v>240</v>
      </c>
      <c r="C4795" t="s">
        <v>307</v>
      </c>
      <c r="D4795" s="65">
        <v>210</v>
      </c>
      <c r="E4795" s="33"/>
      <c r="G4795" t="s">
        <v>155</v>
      </c>
      <c r="I4795" t="s">
        <v>19</v>
      </c>
      <c r="J4795" t="s">
        <v>205</v>
      </c>
      <c r="K4795">
        <v>0</v>
      </c>
      <c r="L4795" s="28"/>
      <c r="N4795" s="26"/>
    </row>
    <row r="4796" spans="1:14" ht="14.5" customHeight="1" x14ac:dyDescent="0.2">
      <c r="A4796">
        <v>2025</v>
      </c>
      <c r="B4796" t="s">
        <v>240</v>
      </c>
      <c r="C4796" t="s">
        <v>2351</v>
      </c>
      <c r="D4796" s="65">
        <v>100</v>
      </c>
      <c r="E4796" s="33"/>
      <c r="G4796" t="s">
        <v>142</v>
      </c>
      <c r="I4796" t="s">
        <v>53</v>
      </c>
      <c r="J4796" t="s">
        <v>183</v>
      </c>
      <c r="K4796">
        <v>1</v>
      </c>
      <c r="L4796" s="28" t="s">
        <v>178</v>
      </c>
      <c r="N4796" s="26"/>
    </row>
    <row r="4797" spans="1:14" ht="14.5" customHeight="1" x14ac:dyDescent="0.2">
      <c r="A4797">
        <v>2025</v>
      </c>
      <c r="B4797" t="s">
        <v>240</v>
      </c>
      <c r="C4797" t="s">
        <v>875</v>
      </c>
      <c r="D4797" s="65">
        <v>150</v>
      </c>
      <c r="E4797" s="33"/>
      <c r="F4797" t="s">
        <v>2352</v>
      </c>
      <c r="G4797" t="s">
        <v>144</v>
      </c>
      <c r="H4797" t="s">
        <v>232</v>
      </c>
      <c r="I4797" t="s">
        <v>63</v>
      </c>
      <c r="J4797" t="s">
        <v>201</v>
      </c>
      <c r="K4797">
        <v>1</v>
      </c>
      <c r="L4797" s="28" t="s">
        <v>178</v>
      </c>
      <c r="N4797" s="26"/>
    </row>
    <row r="4798" spans="1:14" ht="14.5" customHeight="1" x14ac:dyDescent="0.2">
      <c r="A4798">
        <v>2025</v>
      </c>
      <c r="B4798" t="s">
        <v>240</v>
      </c>
      <c r="C4798" t="s">
        <v>2353</v>
      </c>
      <c r="D4798" s="65">
        <v>330</v>
      </c>
      <c r="E4798" s="33"/>
      <c r="G4798" t="s">
        <v>142</v>
      </c>
      <c r="I4798" t="s">
        <v>64</v>
      </c>
      <c r="J4798" t="s">
        <v>219</v>
      </c>
      <c r="K4798">
        <v>1</v>
      </c>
      <c r="L4798" s="28" t="s">
        <v>178</v>
      </c>
      <c r="N4798" s="26"/>
    </row>
    <row r="4799" spans="1:14" ht="14.5" customHeight="1" x14ac:dyDescent="0.2">
      <c r="A4799">
        <v>2025</v>
      </c>
      <c r="B4799" t="s">
        <v>240</v>
      </c>
      <c r="C4799" t="s">
        <v>1772</v>
      </c>
      <c r="D4799" s="65">
        <v>1940</v>
      </c>
      <c r="E4799" s="33"/>
      <c r="F4799" t="s">
        <v>2354</v>
      </c>
      <c r="G4799" t="s">
        <v>154</v>
      </c>
      <c r="H4799" t="s">
        <v>194</v>
      </c>
      <c r="I4799" t="s">
        <v>114</v>
      </c>
      <c r="J4799" t="s">
        <v>195</v>
      </c>
      <c r="K4799">
        <v>0</v>
      </c>
      <c r="L4799" s="28" t="s">
        <v>178</v>
      </c>
      <c r="N4799" s="26"/>
    </row>
    <row r="4800" spans="1:14" ht="14.5" customHeight="1" x14ac:dyDescent="0.2">
      <c r="A4800">
        <v>2025</v>
      </c>
      <c r="B4800" t="s">
        <v>240</v>
      </c>
      <c r="C4800" t="s">
        <v>1818</v>
      </c>
      <c r="D4800" s="65">
        <v>300</v>
      </c>
      <c r="E4800" s="33"/>
      <c r="G4800" t="s">
        <v>154</v>
      </c>
      <c r="H4800" t="s">
        <v>194</v>
      </c>
      <c r="I4800" t="s">
        <v>72</v>
      </c>
      <c r="J4800" t="s">
        <v>183</v>
      </c>
      <c r="K4800">
        <v>1</v>
      </c>
      <c r="L4800" s="28" t="s">
        <v>178</v>
      </c>
      <c r="N4800" s="26"/>
    </row>
    <row r="4801" spans="1:14" ht="14.5" customHeight="1" x14ac:dyDescent="0.2">
      <c r="A4801">
        <v>2025</v>
      </c>
      <c r="B4801" t="s">
        <v>240</v>
      </c>
      <c r="C4801" t="s">
        <v>2355</v>
      </c>
      <c r="D4801" s="65">
        <v>150</v>
      </c>
      <c r="E4801" s="33"/>
      <c r="G4801" t="s">
        <v>150</v>
      </c>
      <c r="H4801" t="s">
        <v>292</v>
      </c>
      <c r="I4801" t="s">
        <v>80</v>
      </c>
      <c r="J4801" t="s">
        <v>214</v>
      </c>
      <c r="K4801">
        <v>1</v>
      </c>
      <c r="L4801" s="28" t="s">
        <v>178</v>
      </c>
      <c r="N4801" s="26"/>
    </row>
    <row r="4802" spans="1:14" ht="14.5" customHeight="1" x14ac:dyDescent="0.2">
      <c r="A4802">
        <v>2025</v>
      </c>
      <c r="B4802" t="s">
        <v>240</v>
      </c>
      <c r="C4802" t="s">
        <v>1829</v>
      </c>
      <c r="D4802" s="65">
        <v>210</v>
      </c>
      <c r="E4802" s="33"/>
      <c r="F4802" t="s">
        <v>2356</v>
      </c>
      <c r="G4802" t="s">
        <v>151</v>
      </c>
      <c r="H4802" t="s">
        <v>224</v>
      </c>
      <c r="I4802" t="s">
        <v>9</v>
      </c>
      <c r="J4802" t="s">
        <v>9</v>
      </c>
      <c r="K4802">
        <v>0</v>
      </c>
      <c r="L4802" s="28"/>
      <c r="N4802" s="26"/>
    </row>
    <row r="4803" spans="1:14" ht="14.5" customHeight="1" x14ac:dyDescent="0.2">
      <c r="A4803">
        <v>2025</v>
      </c>
      <c r="B4803" t="s">
        <v>212</v>
      </c>
      <c r="C4803" t="s">
        <v>2357</v>
      </c>
      <c r="D4803" s="65">
        <v>260</v>
      </c>
      <c r="E4803" s="33">
        <v>1</v>
      </c>
      <c r="F4803" t="s">
        <v>2358</v>
      </c>
      <c r="G4803" t="s">
        <v>150</v>
      </c>
      <c r="H4803" t="s">
        <v>556</v>
      </c>
      <c r="I4803" t="s">
        <v>131</v>
      </c>
      <c r="J4803" t="s">
        <v>131</v>
      </c>
      <c r="K4803">
        <v>0</v>
      </c>
      <c r="L4803" s="28"/>
      <c r="N4803" s="26"/>
    </row>
    <row r="4804" spans="1:14" ht="14.5" customHeight="1" x14ac:dyDescent="0.2">
      <c r="A4804">
        <v>2025</v>
      </c>
      <c r="B4804" t="s">
        <v>212</v>
      </c>
      <c r="C4804" t="s">
        <v>2359</v>
      </c>
      <c r="D4804" s="65">
        <v>1560</v>
      </c>
      <c r="E4804" s="33"/>
      <c r="F4804" t="s">
        <v>2360</v>
      </c>
      <c r="G4804" t="s">
        <v>150</v>
      </c>
      <c r="H4804" t="s">
        <v>292</v>
      </c>
      <c r="I4804" t="s">
        <v>58</v>
      </c>
      <c r="J4804" t="s">
        <v>195</v>
      </c>
      <c r="K4804">
        <v>0</v>
      </c>
      <c r="L4804" s="28"/>
      <c r="N4804" s="26"/>
    </row>
    <row r="4805" spans="1:14" ht="14.5" customHeight="1" x14ac:dyDescent="0.2">
      <c r="A4805">
        <v>2025</v>
      </c>
      <c r="B4805" t="s">
        <v>212</v>
      </c>
      <c r="C4805" t="s">
        <v>2361</v>
      </c>
      <c r="D4805" s="65">
        <v>180</v>
      </c>
      <c r="E4805" s="33">
        <v>0.8</v>
      </c>
      <c r="F4805" t="s">
        <v>2362</v>
      </c>
      <c r="G4805" t="s">
        <v>149</v>
      </c>
      <c r="I4805" t="s">
        <v>8</v>
      </c>
      <c r="J4805" t="s">
        <v>205</v>
      </c>
      <c r="K4805">
        <v>1</v>
      </c>
      <c r="L4805" s="28"/>
      <c r="N4805" s="26"/>
    </row>
    <row r="4806" spans="1:14" ht="14.5" customHeight="1" x14ac:dyDescent="0.2">
      <c r="A4806">
        <v>2025</v>
      </c>
      <c r="B4806" t="s">
        <v>212</v>
      </c>
      <c r="C4806" t="s">
        <v>2306</v>
      </c>
      <c r="D4806" s="65">
        <v>900</v>
      </c>
      <c r="E4806" s="33"/>
      <c r="F4806" t="s">
        <v>2363</v>
      </c>
      <c r="G4806" t="s">
        <v>149</v>
      </c>
      <c r="I4806" t="s">
        <v>19</v>
      </c>
      <c r="J4806" t="s">
        <v>205</v>
      </c>
      <c r="K4806">
        <v>0</v>
      </c>
      <c r="L4806" s="28"/>
      <c r="N4806" s="26"/>
    </row>
    <row r="4807" spans="1:14" ht="14.5" customHeight="1" x14ac:dyDescent="0.2">
      <c r="A4807">
        <v>2025</v>
      </c>
      <c r="B4807" t="s">
        <v>212</v>
      </c>
      <c r="C4807" t="s">
        <v>2364</v>
      </c>
      <c r="D4807" s="65">
        <v>240</v>
      </c>
      <c r="E4807" s="33">
        <v>0.5</v>
      </c>
      <c r="G4807" t="s">
        <v>149</v>
      </c>
      <c r="I4807" t="s">
        <v>95</v>
      </c>
      <c r="J4807" t="s">
        <v>183</v>
      </c>
      <c r="K4807">
        <v>1</v>
      </c>
      <c r="L4807" s="28"/>
      <c r="N4807" s="26"/>
    </row>
    <row r="4808" spans="1:14" ht="14.5" customHeight="1" x14ac:dyDescent="0.2">
      <c r="A4808">
        <v>2025</v>
      </c>
      <c r="B4808" t="s">
        <v>212</v>
      </c>
      <c r="C4808" t="s">
        <v>244</v>
      </c>
      <c r="D4808" s="65">
        <v>110</v>
      </c>
      <c r="E4808" s="33">
        <v>1</v>
      </c>
      <c r="G4808" t="s">
        <v>149</v>
      </c>
      <c r="I4808" t="s">
        <v>96</v>
      </c>
      <c r="J4808" t="s">
        <v>205</v>
      </c>
      <c r="K4808">
        <v>1</v>
      </c>
      <c r="L4808" s="28"/>
      <c r="N4808" s="26"/>
    </row>
    <row r="4809" spans="1:14" ht="14.5" customHeight="1" x14ac:dyDescent="0.2">
      <c r="A4809">
        <v>2025</v>
      </c>
      <c r="B4809" t="s">
        <v>212</v>
      </c>
      <c r="C4809" t="s">
        <v>244</v>
      </c>
      <c r="D4809" s="65">
        <v>110</v>
      </c>
      <c r="E4809" s="33">
        <v>0.7</v>
      </c>
      <c r="F4809" t="s">
        <v>2365</v>
      </c>
      <c r="G4809" t="s">
        <v>149</v>
      </c>
      <c r="H4809" t="s">
        <v>236</v>
      </c>
      <c r="I4809" t="s">
        <v>63</v>
      </c>
      <c r="J4809" t="s">
        <v>201</v>
      </c>
      <c r="K4809">
        <v>1</v>
      </c>
      <c r="L4809" s="28"/>
      <c r="N4809" s="26"/>
    </row>
    <row r="4810" spans="1:14" ht="14.5" customHeight="1" x14ac:dyDescent="0.2">
      <c r="A4810">
        <v>2025</v>
      </c>
      <c r="B4810" t="s">
        <v>212</v>
      </c>
      <c r="C4810" t="s">
        <v>1520</v>
      </c>
      <c r="D4810" s="65">
        <v>1890</v>
      </c>
      <c r="E4810" s="33">
        <v>0.75</v>
      </c>
      <c r="F4810" t="s">
        <v>2366</v>
      </c>
      <c r="G4810" t="s">
        <v>150</v>
      </c>
      <c r="H4810" t="s">
        <v>556</v>
      </c>
      <c r="I4810" t="s">
        <v>45</v>
      </c>
      <c r="J4810" t="s">
        <v>195</v>
      </c>
      <c r="K4810">
        <v>0</v>
      </c>
      <c r="L4810" s="28"/>
      <c r="N4810" s="26"/>
    </row>
    <row r="4811" spans="1:14" ht="14.5" customHeight="1" x14ac:dyDescent="0.2">
      <c r="A4811">
        <v>2025</v>
      </c>
      <c r="B4811" t="s">
        <v>212</v>
      </c>
      <c r="C4811" t="s">
        <v>307</v>
      </c>
      <c r="D4811" s="65">
        <v>1310</v>
      </c>
      <c r="E4811" s="33"/>
      <c r="G4811" t="s">
        <v>144</v>
      </c>
      <c r="I4811" t="s">
        <v>19</v>
      </c>
      <c r="J4811" t="s">
        <v>205</v>
      </c>
      <c r="K4811">
        <v>0</v>
      </c>
      <c r="L4811" s="28"/>
      <c r="N4811" s="26"/>
    </row>
    <row r="4812" spans="1:14" ht="14.5" customHeight="1" x14ac:dyDescent="0.2">
      <c r="A4812">
        <v>2025</v>
      </c>
      <c r="B4812" t="s">
        <v>212</v>
      </c>
      <c r="C4812" t="s">
        <v>875</v>
      </c>
      <c r="D4812" s="65">
        <v>260</v>
      </c>
      <c r="E4812" s="33"/>
      <c r="G4812" t="s">
        <v>144</v>
      </c>
      <c r="H4812" t="s">
        <v>232</v>
      </c>
      <c r="I4812" t="s">
        <v>134</v>
      </c>
      <c r="J4812" t="s">
        <v>201</v>
      </c>
      <c r="K4812">
        <v>1</v>
      </c>
      <c r="L4812" s="28"/>
      <c r="N4812" s="26"/>
    </row>
    <row r="4813" spans="1:14" ht="14.5" customHeight="1" x14ac:dyDescent="0.2">
      <c r="A4813">
        <v>2025</v>
      </c>
      <c r="B4813" t="s">
        <v>212</v>
      </c>
      <c r="C4813" t="s">
        <v>2367</v>
      </c>
      <c r="D4813" s="65">
        <v>100</v>
      </c>
      <c r="E4813" s="33"/>
      <c r="G4813" t="s">
        <v>144</v>
      </c>
      <c r="H4813" t="s">
        <v>232</v>
      </c>
      <c r="I4813" t="s">
        <v>124</v>
      </c>
      <c r="J4813" t="s">
        <v>183</v>
      </c>
      <c r="K4813">
        <v>1</v>
      </c>
      <c r="L4813" s="28" t="s">
        <v>178</v>
      </c>
      <c r="N4813" s="26"/>
    </row>
    <row r="4814" spans="1:14" ht="14.5" customHeight="1" x14ac:dyDescent="0.2">
      <c r="A4814">
        <v>2025</v>
      </c>
      <c r="B4814" t="s">
        <v>212</v>
      </c>
      <c r="C4814" t="s">
        <v>307</v>
      </c>
      <c r="D4814" s="65">
        <v>180</v>
      </c>
      <c r="E4814" s="33"/>
      <c r="G4814" t="s">
        <v>144</v>
      </c>
      <c r="I4814" t="s">
        <v>19</v>
      </c>
      <c r="J4814" t="s">
        <v>205</v>
      </c>
      <c r="K4814">
        <v>0</v>
      </c>
      <c r="L4814" s="28"/>
      <c r="N4814" s="26"/>
    </row>
    <row r="4815" spans="1:14" ht="14.5" customHeight="1" x14ac:dyDescent="0.2">
      <c r="A4815">
        <v>2025</v>
      </c>
      <c r="B4815" t="s">
        <v>212</v>
      </c>
      <c r="C4815" t="s">
        <v>1990</v>
      </c>
      <c r="D4815" s="65">
        <v>140</v>
      </c>
      <c r="E4815" s="33"/>
      <c r="G4815" t="s">
        <v>144</v>
      </c>
      <c r="H4815" t="s">
        <v>232</v>
      </c>
      <c r="I4815" t="s">
        <v>131</v>
      </c>
      <c r="J4815" t="s">
        <v>131</v>
      </c>
      <c r="K4815">
        <v>0</v>
      </c>
      <c r="L4815" s="28" t="s">
        <v>178</v>
      </c>
      <c r="N4815" s="26"/>
    </row>
    <row r="4816" spans="1:14" ht="14.5" customHeight="1" x14ac:dyDescent="0.2">
      <c r="A4816">
        <v>2025</v>
      </c>
      <c r="B4816" t="s">
        <v>212</v>
      </c>
      <c r="C4816" t="s">
        <v>267</v>
      </c>
      <c r="D4816" s="65">
        <v>1300</v>
      </c>
      <c r="E4816" s="33"/>
      <c r="G4816" t="s">
        <v>149</v>
      </c>
      <c r="H4816" t="s">
        <v>182</v>
      </c>
      <c r="I4816" t="s">
        <v>48</v>
      </c>
      <c r="J4816" t="s">
        <v>219</v>
      </c>
      <c r="K4816">
        <v>1</v>
      </c>
      <c r="L4816" s="28"/>
      <c r="N4816" s="26"/>
    </row>
    <row r="4817" spans="1:14" ht="14.5" customHeight="1" x14ac:dyDescent="0.2">
      <c r="A4817" s="54">
        <v>2025</v>
      </c>
      <c r="B4817" t="s">
        <v>172</v>
      </c>
      <c r="C4817" t="s">
        <v>397</v>
      </c>
      <c r="D4817" s="22">
        <v>220</v>
      </c>
      <c r="E4817" s="16"/>
      <c r="G4817" t="s">
        <v>154</v>
      </c>
      <c r="H4817" t="s">
        <v>194</v>
      </c>
      <c r="I4817" t="s">
        <v>130</v>
      </c>
      <c r="J4817" t="s">
        <v>214</v>
      </c>
      <c r="K4817">
        <v>1</v>
      </c>
      <c r="N4817" s="26"/>
    </row>
    <row r="4818" spans="1:14" ht="14.5" customHeight="1" x14ac:dyDescent="0.2">
      <c r="A4818" s="54">
        <v>2025</v>
      </c>
      <c r="B4818" t="s">
        <v>172</v>
      </c>
      <c r="C4818" t="s">
        <v>520</v>
      </c>
      <c r="D4818" s="22">
        <v>1840</v>
      </c>
      <c r="E4818" s="16"/>
      <c r="F4818" t="s">
        <v>3138</v>
      </c>
      <c r="G4818" t="s">
        <v>152</v>
      </c>
      <c r="I4818" t="s">
        <v>105</v>
      </c>
      <c r="J4818" t="s">
        <v>214</v>
      </c>
      <c r="K4818">
        <v>1</v>
      </c>
      <c r="N4818" s="26"/>
    </row>
    <row r="4819" spans="1:14" ht="14.5" customHeight="1" x14ac:dyDescent="0.2">
      <c r="A4819" s="54">
        <v>2025</v>
      </c>
      <c r="B4819" t="s">
        <v>172</v>
      </c>
      <c r="C4819" t="s">
        <v>3153</v>
      </c>
      <c r="D4819" s="22">
        <v>180</v>
      </c>
      <c r="E4819" s="16"/>
      <c r="F4819" t="s">
        <v>3154</v>
      </c>
      <c r="G4819" t="s">
        <v>142</v>
      </c>
      <c r="I4819" t="s">
        <v>124</v>
      </c>
      <c r="J4819" t="s">
        <v>183</v>
      </c>
      <c r="K4819">
        <v>1</v>
      </c>
      <c r="N4819" s="26"/>
    </row>
    <row r="4820" spans="1:14" ht="14.5" customHeight="1" x14ac:dyDescent="0.2">
      <c r="A4820" s="54">
        <v>2025</v>
      </c>
      <c r="B4820" t="s">
        <v>172</v>
      </c>
      <c r="C4820" t="s">
        <v>1289</v>
      </c>
      <c r="D4820" s="22">
        <v>240</v>
      </c>
      <c r="E4820" s="16"/>
      <c r="F4820" t="s">
        <v>3155</v>
      </c>
      <c r="G4820" t="s">
        <v>151</v>
      </c>
      <c r="H4820" t="s">
        <v>279</v>
      </c>
      <c r="I4820" t="s">
        <v>108</v>
      </c>
      <c r="J4820" t="s">
        <v>183</v>
      </c>
      <c r="K4820">
        <v>1</v>
      </c>
      <c r="N4820" s="26"/>
    </row>
    <row r="4821" spans="1:14" ht="14.5" customHeight="1" x14ac:dyDescent="0.2">
      <c r="A4821" s="54">
        <v>2025</v>
      </c>
      <c r="B4821" t="s">
        <v>172</v>
      </c>
      <c r="C4821" t="s">
        <v>2157</v>
      </c>
      <c r="D4821" s="22">
        <v>100</v>
      </c>
      <c r="E4821" s="16"/>
      <c r="G4821" t="s">
        <v>154</v>
      </c>
      <c r="H4821" t="s">
        <v>194</v>
      </c>
      <c r="I4821" t="s">
        <v>122</v>
      </c>
      <c r="J4821" t="s">
        <v>201</v>
      </c>
      <c r="K4821">
        <v>1</v>
      </c>
      <c r="N4821" s="26"/>
    </row>
    <row r="4822" spans="1:14" ht="14.5" customHeight="1" x14ac:dyDescent="0.2">
      <c r="A4822" s="54">
        <v>2025</v>
      </c>
      <c r="B4822" t="s">
        <v>172</v>
      </c>
      <c r="C4822" t="s">
        <v>1035</v>
      </c>
      <c r="D4822" s="22">
        <v>240</v>
      </c>
      <c r="E4822" s="16"/>
      <c r="F4822" t="s">
        <v>1247</v>
      </c>
      <c r="G4822" t="s">
        <v>144</v>
      </c>
      <c r="H4822" t="s">
        <v>232</v>
      </c>
      <c r="I4822" t="s">
        <v>11</v>
      </c>
      <c r="J4822" t="s">
        <v>201</v>
      </c>
      <c r="K4822">
        <v>1</v>
      </c>
      <c r="N4822" s="26"/>
    </row>
    <row r="4823" spans="1:14" ht="14.5" customHeight="1" x14ac:dyDescent="0.2">
      <c r="A4823" s="54">
        <v>2025</v>
      </c>
      <c r="B4823" t="s">
        <v>172</v>
      </c>
      <c r="C4823" t="s">
        <v>1035</v>
      </c>
      <c r="D4823" s="22">
        <v>210</v>
      </c>
      <c r="E4823" s="16"/>
      <c r="F4823" t="s">
        <v>3156</v>
      </c>
      <c r="G4823" t="s">
        <v>144</v>
      </c>
      <c r="H4823" t="s">
        <v>232</v>
      </c>
      <c r="I4823" t="s">
        <v>112</v>
      </c>
      <c r="J4823" t="s">
        <v>219</v>
      </c>
      <c r="K4823">
        <v>1</v>
      </c>
      <c r="N4823" s="26"/>
    </row>
    <row r="4824" spans="1:14" ht="14.5" customHeight="1" x14ac:dyDescent="0.2">
      <c r="A4824" s="54">
        <v>2025</v>
      </c>
      <c r="B4824" t="s">
        <v>172</v>
      </c>
      <c r="C4824" t="s">
        <v>1035</v>
      </c>
      <c r="D4824" s="22">
        <v>150</v>
      </c>
      <c r="E4824" s="16"/>
      <c r="F4824" t="s">
        <v>3157</v>
      </c>
      <c r="G4824" t="s">
        <v>144</v>
      </c>
      <c r="H4824" t="s">
        <v>197</v>
      </c>
      <c r="I4824" t="s">
        <v>67</v>
      </c>
      <c r="J4824" t="s">
        <v>183</v>
      </c>
      <c r="K4824">
        <v>1</v>
      </c>
      <c r="N4824" s="26"/>
    </row>
    <row r="4825" spans="1:14" ht="14.5" customHeight="1" x14ac:dyDescent="0.2">
      <c r="A4825" s="54">
        <v>2025</v>
      </c>
      <c r="B4825" t="s">
        <v>172</v>
      </c>
      <c r="C4825" t="s">
        <v>1035</v>
      </c>
      <c r="D4825" s="22">
        <v>820</v>
      </c>
      <c r="E4825" s="16"/>
      <c r="F4825" t="s">
        <v>1247</v>
      </c>
      <c r="G4825" t="s">
        <v>144</v>
      </c>
      <c r="H4825" t="s">
        <v>232</v>
      </c>
      <c r="I4825" t="s">
        <v>38</v>
      </c>
      <c r="J4825" t="s">
        <v>214</v>
      </c>
      <c r="K4825">
        <v>1</v>
      </c>
      <c r="N4825" s="26"/>
    </row>
    <row r="4826" spans="1:14" ht="14.5" customHeight="1" x14ac:dyDescent="0.2">
      <c r="A4826" s="54">
        <v>2025</v>
      </c>
      <c r="B4826" t="s">
        <v>172</v>
      </c>
      <c r="C4826" t="s">
        <v>3158</v>
      </c>
      <c r="D4826" s="22">
        <v>700</v>
      </c>
      <c r="E4826" s="16"/>
      <c r="G4826" t="s">
        <v>144</v>
      </c>
      <c r="H4826" t="s">
        <v>232</v>
      </c>
      <c r="I4826" t="s">
        <v>97</v>
      </c>
      <c r="J4826" t="s">
        <v>183</v>
      </c>
      <c r="K4826">
        <v>1</v>
      </c>
      <c r="N4826" s="26"/>
    </row>
    <row r="4827" spans="1:14" ht="14.5" customHeight="1" x14ac:dyDescent="0.2">
      <c r="A4827" s="54">
        <v>2025</v>
      </c>
      <c r="B4827" t="s">
        <v>172</v>
      </c>
      <c r="C4827" t="s">
        <v>875</v>
      </c>
      <c r="D4827" s="22">
        <v>240</v>
      </c>
      <c r="E4827" s="16"/>
      <c r="F4827" t="s">
        <v>3159</v>
      </c>
      <c r="G4827" t="s">
        <v>144</v>
      </c>
      <c r="H4827" t="s">
        <v>232</v>
      </c>
      <c r="I4827" t="s">
        <v>67</v>
      </c>
      <c r="J4827" t="s">
        <v>183</v>
      </c>
      <c r="K4827">
        <v>1</v>
      </c>
      <c r="N4827" s="26"/>
    </row>
    <row r="4828" spans="1:14" ht="14.5" customHeight="1" x14ac:dyDescent="0.2">
      <c r="A4828" s="54">
        <v>2025</v>
      </c>
      <c r="B4828" t="s">
        <v>172</v>
      </c>
      <c r="C4828" t="s">
        <v>3160</v>
      </c>
      <c r="D4828" s="22">
        <v>140</v>
      </c>
      <c r="E4828" s="16"/>
      <c r="G4828" t="s">
        <v>154</v>
      </c>
      <c r="H4828" t="s">
        <v>194</v>
      </c>
      <c r="I4828" t="s">
        <v>34</v>
      </c>
      <c r="J4828" t="s">
        <v>219</v>
      </c>
      <c r="K4828">
        <v>1</v>
      </c>
      <c r="N4828" s="26"/>
    </row>
    <row r="4829" spans="1:14" ht="14.5" customHeight="1" x14ac:dyDescent="0.2">
      <c r="A4829" s="54">
        <v>2025</v>
      </c>
      <c r="B4829" t="s">
        <v>172</v>
      </c>
      <c r="C4829" t="s">
        <v>479</v>
      </c>
      <c r="D4829" s="22">
        <v>280</v>
      </c>
      <c r="E4829" s="16"/>
      <c r="G4829" t="s">
        <v>154</v>
      </c>
      <c r="H4829" t="s">
        <v>529</v>
      </c>
      <c r="I4829" t="s">
        <v>72</v>
      </c>
      <c r="J4829" t="s">
        <v>183</v>
      </c>
      <c r="K4829">
        <v>1</v>
      </c>
      <c r="N4829" s="26"/>
    </row>
    <row r="4830" spans="1:14" ht="14.5" customHeight="1" x14ac:dyDescent="0.2">
      <c r="A4830" s="54">
        <v>2025</v>
      </c>
      <c r="B4830" t="s">
        <v>172</v>
      </c>
      <c r="C4830" t="s">
        <v>479</v>
      </c>
      <c r="D4830" s="22">
        <v>200</v>
      </c>
      <c r="E4830" s="16"/>
      <c r="G4830" t="s">
        <v>151</v>
      </c>
      <c r="H4830" t="s">
        <v>279</v>
      </c>
      <c r="I4830" t="s">
        <v>105</v>
      </c>
      <c r="J4830" t="s">
        <v>214</v>
      </c>
      <c r="K4830">
        <v>1</v>
      </c>
      <c r="N4830" s="26"/>
    </row>
    <row r="4831" spans="1:14" ht="14.5" customHeight="1" x14ac:dyDescent="0.2">
      <c r="A4831" s="54">
        <v>2025</v>
      </c>
      <c r="B4831" t="s">
        <v>258</v>
      </c>
      <c r="C4831" t="s">
        <v>2103</v>
      </c>
      <c r="D4831" s="22">
        <v>590</v>
      </c>
      <c r="E4831" s="16"/>
      <c r="G4831" t="s">
        <v>149</v>
      </c>
      <c r="H4831" t="s">
        <v>236</v>
      </c>
      <c r="I4831" t="s">
        <v>34</v>
      </c>
      <c r="J4831" t="s">
        <v>219</v>
      </c>
      <c r="K4831">
        <v>1</v>
      </c>
      <c r="N4831" s="26"/>
    </row>
    <row r="4832" spans="1:14" ht="14.5" customHeight="1" x14ac:dyDescent="0.2">
      <c r="A4832" s="54">
        <v>2025</v>
      </c>
      <c r="B4832" t="s">
        <v>258</v>
      </c>
      <c r="C4832" t="s">
        <v>1057</v>
      </c>
      <c r="D4832" s="22">
        <v>150</v>
      </c>
      <c r="E4832" s="16"/>
      <c r="F4832" t="s">
        <v>3161</v>
      </c>
      <c r="G4832" t="s">
        <v>144</v>
      </c>
      <c r="H4832" t="s">
        <v>232</v>
      </c>
      <c r="I4832" t="s">
        <v>9</v>
      </c>
      <c r="J4832" t="s">
        <v>9</v>
      </c>
      <c r="K4832">
        <v>0</v>
      </c>
      <c r="N4832" s="26"/>
    </row>
    <row r="4833" spans="1:14" ht="14.5" customHeight="1" x14ac:dyDescent="0.2">
      <c r="A4833" s="54">
        <v>2025</v>
      </c>
      <c r="B4833" t="s">
        <v>258</v>
      </c>
      <c r="C4833" t="s">
        <v>479</v>
      </c>
      <c r="D4833" s="22">
        <v>110</v>
      </c>
      <c r="E4833" s="16"/>
      <c r="F4833" t="s">
        <v>2948</v>
      </c>
      <c r="G4833" t="s">
        <v>154</v>
      </c>
      <c r="H4833" t="s">
        <v>271</v>
      </c>
      <c r="I4833" t="s">
        <v>37</v>
      </c>
      <c r="J4833" t="s">
        <v>205</v>
      </c>
      <c r="K4833">
        <v>1</v>
      </c>
      <c r="N4833" s="26"/>
    </row>
    <row r="4834" spans="1:14" ht="14.5" customHeight="1" x14ac:dyDescent="0.2">
      <c r="A4834" s="54">
        <v>2025</v>
      </c>
      <c r="B4834" t="s">
        <v>258</v>
      </c>
      <c r="C4834" t="s">
        <v>479</v>
      </c>
      <c r="D4834" s="22">
        <v>300</v>
      </c>
      <c r="E4834" s="16"/>
      <c r="G4834" t="s">
        <v>151</v>
      </c>
      <c r="H4834" t="s">
        <v>279</v>
      </c>
      <c r="I4834" t="s">
        <v>65</v>
      </c>
      <c r="J4834" t="s">
        <v>214</v>
      </c>
      <c r="K4834">
        <v>1</v>
      </c>
      <c r="N4834" s="26"/>
    </row>
    <row r="4835" spans="1:14" ht="14.5" customHeight="1" x14ac:dyDescent="0.2">
      <c r="A4835" s="54">
        <v>2025</v>
      </c>
      <c r="B4835" t="s">
        <v>258</v>
      </c>
      <c r="C4835" t="s">
        <v>199</v>
      </c>
      <c r="D4835" s="22">
        <v>100</v>
      </c>
      <c r="E4835" s="16"/>
      <c r="F4835" t="s">
        <v>3162</v>
      </c>
      <c r="G4835" t="s">
        <v>144</v>
      </c>
      <c r="H4835" t="s">
        <v>299</v>
      </c>
      <c r="I4835" t="s">
        <v>5</v>
      </c>
      <c r="J4835" t="s">
        <v>214</v>
      </c>
      <c r="K4835">
        <v>1</v>
      </c>
      <c r="N4835" s="26"/>
    </row>
    <row r="4836" spans="1:14" ht="14.5" customHeight="1" x14ac:dyDescent="0.2">
      <c r="A4836" s="54">
        <v>2025</v>
      </c>
      <c r="B4836" t="s">
        <v>258</v>
      </c>
      <c r="C4836" t="s">
        <v>745</v>
      </c>
      <c r="D4836" s="22">
        <v>250</v>
      </c>
      <c r="E4836" s="16"/>
      <c r="F4836" t="s">
        <v>2633</v>
      </c>
      <c r="G4836" t="s">
        <v>143</v>
      </c>
      <c r="I4836" t="s">
        <v>136</v>
      </c>
      <c r="J4836" t="s">
        <v>183</v>
      </c>
      <c r="K4836">
        <v>1</v>
      </c>
      <c r="N4836" s="26"/>
    </row>
    <row r="4837" spans="1:14" ht="14.5" customHeight="1" x14ac:dyDescent="0.2">
      <c r="A4837" s="54">
        <v>2025</v>
      </c>
      <c r="B4837" t="s">
        <v>258</v>
      </c>
      <c r="C4837" t="s">
        <v>2157</v>
      </c>
      <c r="D4837" s="22">
        <v>330</v>
      </c>
      <c r="E4837" s="16"/>
      <c r="G4837" t="s">
        <v>155</v>
      </c>
      <c r="I4837" t="s">
        <v>13</v>
      </c>
      <c r="J4837" t="s">
        <v>201</v>
      </c>
      <c r="K4837">
        <v>1</v>
      </c>
      <c r="N4837" s="26"/>
    </row>
    <row r="4838" spans="1:14" ht="14.5" customHeight="1" x14ac:dyDescent="0.2">
      <c r="A4838" s="54">
        <v>2025</v>
      </c>
      <c r="B4838" t="s">
        <v>258</v>
      </c>
      <c r="C4838" t="s">
        <v>875</v>
      </c>
      <c r="D4838" s="22">
        <v>300</v>
      </c>
      <c r="E4838" s="16"/>
      <c r="G4838" t="s">
        <v>144</v>
      </c>
      <c r="H4838" t="s">
        <v>299</v>
      </c>
      <c r="I4838" t="s">
        <v>80</v>
      </c>
      <c r="J4838" t="s">
        <v>214</v>
      </c>
      <c r="K4838">
        <v>1</v>
      </c>
      <c r="N4838" s="26"/>
    </row>
    <row r="4839" spans="1:14" ht="14.5" customHeight="1" x14ac:dyDescent="0.2">
      <c r="A4839" s="54">
        <v>2025</v>
      </c>
      <c r="B4839" t="s">
        <v>258</v>
      </c>
      <c r="C4839" t="s">
        <v>1035</v>
      </c>
      <c r="D4839" s="22">
        <v>740</v>
      </c>
      <c r="E4839" s="16"/>
      <c r="F4839" t="s">
        <v>3163</v>
      </c>
      <c r="G4839" t="s">
        <v>144</v>
      </c>
      <c r="H4839" t="s">
        <v>232</v>
      </c>
      <c r="I4839" t="s">
        <v>130</v>
      </c>
      <c r="J4839" t="s">
        <v>214</v>
      </c>
      <c r="K4839">
        <v>1</v>
      </c>
      <c r="N4839" s="26"/>
    </row>
    <row r="4840" spans="1:14" ht="14.5" customHeight="1" x14ac:dyDescent="0.2">
      <c r="A4840" s="54">
        <v>2025</v>
      </c>
      <c r="B4840" t="s">
        <v>258</v>
      </c>
      <c r="C4840" t="s">
        <v>479</v>
      </c>
      <c r="D4840" s="22">
        <v>2240</v>
      </c>
      <c r="E4840" s="16">
        <v>0.6</v>
      </c>
      <c r="F4840" t="s">
        <v>3164</v>
      </c>
      <c r="G4840" t="s">
        <v>154</v>
      </c>
      <c r="H4840" t="s">
        <v>529</v>
      </c>
      <c r="I4840" t="s">
        <v>9</v>
      </c>
      <c r="J4840" t="s">
        <v>9</v>
      </c>
      <c r="K4840">
        <v>0</v>
      </c>
      <c r="N4840" s="26"/>
    </row>
    <row r="4841" spans="1:14" ht="14.5" customHeight="1" x14ac:dyDescent="0.2">
      <c r="A4841" s="54">
        <v>2025</v>
      </c>
      <c r="B4841" t="s">
        <v>258</v>
      </c>
      <c r="C4841" t="s">
        <v>341</v>
      </c>
      <c r="D4841" s="22">
        <v>190</v>
      </c>
      <c r="E4841" s="16"/>
      <c r="G4841" t="s">
        <v>154</v>
      </c>
      <c r="H4841" t="s">
        <v>194</v>
      </c>
      <c r="I4841" t="s">
        <v>17</v>
      </c>
      <c r="J4841" t="s">
        <v>195</v>
      </c>
      <c r="K4841">
        <v>1</v>
      </c>
      <c r="N4841" s="26"/>
    </row>
    <row r="4842" spans="1:14" ht="14.5" customHeight="1" x14ac:dyDescent="0.2">
      <c r="A4842" s="54">
        <v>2025</v>
      </c>
      <c r="B4842" t="s">
        <v>179</v>
      </c>
      <c r="C4842" t="s">
        <v>875</v>
      </c>
      <c r="D4842" s="22">
        <v>560</v>
      </c>
      <c r="E4842" s="16"/>
      <c r="G4842" t="s">
        <v>151</v>
      </c>
      <c r="H4842" t="s">
        <v>279</v>
      </c>
      <c r="I4842" t="s">
        <v>65</v>
      </c>
      <c r="J4842" t="s">
        <v>214</v>
      </c>
      <c r="K4842">
        <v>1</v>
      </c>
      <c r="N4842" s="26"/>
    </row>
    <row r="4843" spans="1:14" ht="14.5" customHeight="1" x14ac:dyDescent="0.2">
      <c r="A4843" s="54">
        <v>2025</v>
      </c>
      <c r="B4843" t="s">
        <v>179</v>
      </c>
      <c r="C4843" t="s">
        <v>875</v>
      </c>
      <c r="D4843" s="22">
        <v>390</v>
      </c>
      <c r="E4843" s="16"/>
      <c r="G4843" t="s">
        <v>155</v>
      </c>
      <c r="I4843" t="s">
        <v>64</v>
      </c>
      <c r="J4843" t="s">
        <v>219</v>
      </c>
      <c r="K4843">
        <v>1</v>
      </c>
      <c r="N4843" s="26"/>
    </row>
    <row r="4844" spans="1:14" x14ac:dyDescent="0.2">
      <c r="A4844" s="54">
        <v>2025</v>
      </c>
      <c r="B4844" t="s">
        <v>179</v>
      </c>
      <c r="C4844" t="s">
        <v>189</v>
      </c>
      <c r="D4844" s="22">
        <v>360</v>
      </c>
      <c r="E4844" s="16"/>
      <c r="F4844" t="s">
        <v>2422</v>
      </c>
      <c r="G4844" t="s">
        <v>142</v>
      </c>
      <c r="I4844" t="s">
        <v>105</v>
      </c>
      <c r="J4844" t="s">
        <v>214</v>
      </c>
      <c r="K4844">
        <v>1</v>
      </c>
      <c r="N4844" s="26"/>
    </row>
    <row r="4845" spans="1:14" ht="14.5" customHeight="1" x14ac:dyDescent="0.2">
      <c r="A4845" s="54">
        <v>2025</v>
      </c>
      <c r="B4845" t="s">
        <v>179</v>
      </c>
      <c r="C4845" t="s">
        <v>3165</v>
      </c>
      <c r="D4845" s="22">
        <v>500</v>
      </c>
      <c r="E4845" s="16"/>
      <c r="G4845" t="s">
        <v>144</v>
      </c>
      <c r="H4845" t="s">
        <v>232</v>
      </c>
      <c r="I4845" t="s">
        <v>55</v>
      </c>
      <c r="J4845" t="s">
        <v>214</v>
      </c>
      <c r="K4845">
        <v>1</v>
      </c>
      <c r="N4845" s="26"/>
    </row>
    <row r="4846" spans="1:14" ht="14.5" customHeight="1" x14ac:dyDescent="0.2">
      <c r="A4846" s="54">
        <v>2025</v>
      </c>
      <c r="B4846" t="s">
        <v>179</v>
      </c>
      <c r="C4846" t="s">
        <v>1035</v>
      </c>
      <c r="D4846" s="22">
        <v>220</v>
      </c>
      <c r="E4846" s="16"/>
      <c r="G4846" t="s">
        <v>144</v>
      </c>
      <c r="H4846" t="s">
        <v>299</v>
      </c>
      <c r="I4846" t="s">
        <v>100</v>
      </c>
      <c r="J4846" t="s">
        <v>214</v>
      </c>
      <c r="K4846">
        <v>1</v>
      </c>
      <c r="N4846" s="26"/>
    </row>
    <row r="4847" spans="1:14" ht="14.5" customHeight="1" x14ac:dyDescent="0.2">
      <c r="A4847" s="54">
        <v>2025</v>
      </c>
      <c r="B4847" t="s">
        <v>179</v>
      </c>
      <c r="C4847" t="s">
        <v>1035</v>
      </c>
      <c r="D4847" s="22">
        <v>150</v>
      </c>
      <c r="E4847" s="16"/>
      <c r="G4847" t="s">
        <v>155</v>
      </c>
      <c r="I4847" t="s">
        <v>6</v>
      </c>
      <c r="J4847" t="s">
        <v>219</v>
      </c>
      <c r="K4847">
        <v>1</v>
      </c>
      <c r="N4847" s="26"/>
    </row>
    <row r="4848" spans="1:14" ht="14.5" customHeight="1" x14ac:dyDescent="0.2">
      <c r="A4848" s="54">
        <v>2025</v>
      </c>
      <c r="B4848" t="s">
        <v>179</v>
      </c>
      <c r="C4848" t="s">
        <v>1035</v>
      </c>
      <c r="D4848" s="22">
        <v>310</v>
      </c>
      <c r="E4848" s="16"/>
      <c r="F4848" t="s">
        <v>3166</v>
      </c>
      <c r="G4848" t="s">
        <v>144</v>
      </c>
      <c r="H4848" t="s">
        <v>299</v>
      </c>
      <c r="I4848" t="s">
        <v>105</v>
      </c>
      <c r="J4848" t="s">
        <v>214</v>
      </c>
      <c r="K4848">
        <v>1</v>
      </c>
      <c r="N4848" s="26"/>
    </row>
    <row r="4849" spans="1:14" ht="14.5" customHeight="1" x14ac:dyDescent="0.2">
      <c r="A4849" s="54">
        <v>2025</v>
      </c>
      <c r="B4849" t="s">
        <v>179</v>
      </c>
      <c r="C4849" t="s">
        <v>175</v>
      </c>
      <c r="D4849" s="22">
        <v>150</v>
      </c>
      <c r="E4849" s="16"/>
      <c r="G4849" t="s">
        <v>153</v>
      </c>
      <c r="I4849" t="s">
        <v>108</v>
      </c>
      <c r="J4849" t="s">
        <v>183</v>
      </c>
      <c r="K4849">
        <v>1</v>
      </c>
      <c r="N4849" s="26"/>
    </row>
    <row r="4850" spans="1:14" ht="14.5" customHeight="1" x14ac:dyDescent="0.2">
      <c r="A4850" s="54">
        <v>2025</v>
      </c>
      <c r="B4850" t="s">
        <v>179</v>
      </c>
      <c r="C4850" t="s">
        <v>745</v>
      </c>
      <c r="D4850" s="22">
        <v>140</v>
      </c>
      <c r="E4850" s="16"/>
      <c r="F4850" t="s">
        <v>3167</v>
      </c>
      <c r="G4850" t="s">
        <v>142</v>
      </c>
      <c r="I4850" t="s">
        <v>6</v>
      </c>
      <c r="J4850" t="s">
        <v>219</v>
      </c>
      <c r="K4850">
        <v>1</v>
      </c>
      <c r="N4850" s="26"/>
    </row>
    <row r="4851" spans="1:14" ht="14.5" customHeight="1" x14ac:dyDescent="0.2">
      <c r="A4851" s="54">
        <v>2025</v>
      </c>
      <c r="B4851" t="s">
        <v>184</v>
      </c>
      <c r="C4851" t="s">
        <v>875</v>
      </c>
      <c r="D4851" s="22">
        <v>230</v>
      </c>
      <c r="E4851" s="16"/>
      <c r="G4851" t="s">
        <v>144</v>
      </c>
      <c r="H4851" t="s">
        <v>232</v>
      </c>
      <c r="I4851" t="s">
        <v>23</v>
      </c>
      <c r="J4851" t="s">
        <v>183</v>
      </c>
      <c r="K4851">
        <v>1</v>
      </c>
      <c r="N4851" s="26"/>
    </row>
    <row r="4852" spans="1:14" ht="14.5" customHeight="1" x14ac:dyDescent="0.2">
      <c r="A4852" s="54">
        <v>2025</v>
      </c>
      <c r="B4852" t="s">
        <v>184</v>
      </c>
      <c r="C4852" t="s">
        <v>397</v>
      </c>
      <c r="D4852" s="22">
        <v>460</v>
      </c>
      <c r="E4852" s="16"/>
      <c r="F4852" t="s">
        <v>3138</v>
      </c>
      <c r="G4852" t="s">
        <v>145</v>
      </c>
      <c r="I4852" t="s">
        <v>105</v>
      </c>
      <c r="J4852" t="s">
        <v>214</v>
      </c>
      <c r="K4852">
        <v>1</v>
      </c>
      <c r="N4852" s="26"/>
    </row>
    <row r="4853" spans="1:14" ht="14.5" customHeight="1" x14ac:dyDescent="0.2">
      <c r="A4853" s="54">
        <v>2025</v>
      </c>
      <c r="B4853" t="s">
        <v>184</v>
      </c>
      <c r="C4853" t="s">
        <v>1289</v>
      </c>
      <c r="D4853" s="22">
        <v>100</v>
      </c>
      <c r="E4853" s="16"/>
      <c r="G4853" t="s">
        <v>151</v>
      </c>
      <c r="H4853" t="s">
        <v>279</v>
      </c>
      <c r="I4853" t="s">
        <v>108</v>
      </c>
      <c r="J4853" t="s">
        <v>183</v>
      </c>
      <c r="K4853">
        <v>1</v>
      </c>
      <c r="N4853" s="26"/>
    </row>
    <row r="4854" spans="1:14" ht="14.5" customHeight="1" x14ac:dyDescent="0.2">
      <c r="A4854" s="54">
        <v>2025</v>
      </c>
      <c r="B4854" t="s">
        <v>184</v>
      </c>
      <c r="C4854" t="s">
        <v>444</v>
      </c>
      <c r="D4854" s="22">
        <v>330</v>
      </c>
      <c r="E4854" s="16"/>
      <c r="G4854" t="s">
        <v>155</v>
      </c>
      <c r="I4854" t="s">
        <v>89</v>
      </c>
      <c r="J4854" t="s">
        <v>219</v>
      </c>
      <c r="K4854">
        <v>1</v>
      </c>
      <c r="N4854" s="26"/>
    </row>
    <row r="4855" spans="1:14" ht="14.5" customHeight="1" x14ac:dyDescent="0.2">
      <c r="A4855" s="54">
        <v>2025</v>
      </c>
      <c r="B4855" t="s">
        <v>184</v>
      </c>
      <c r="C4855" t="s">
        <v>449</v>
      </c>
      <c r="D4855" s="22">
        <v>210</v>
      </c>
      <c r="E4855" s="16"/>
      <c r="G4855" t="s">
        <v>154</v>
      </c>
      <c r="H4855" t="s">
        <v>529</v>
      </c>
      <c r="I4855" t="s">
        <v>66</v>
      </c>
      <c r="J4855" t="s">
        <v>201</v>
      </c>
      <c r="K4855">
        <v>1</v>
      </c>
      <c r="N4855" s="26"/>
    </row>
    <row r="4856" spans="1:14" ht="14.5" customHeight="1" x14ac:dyDescent="0.2">
      <c r="A4856" s="54">
        <v>2025</v>
      </c>
      <c r="B4856" t="s">
        <v>184</v>
      </c>
      <c r="C4856" t="s">
        <v>1035</v>
      </c>
      <c r="D4856" s="22">
        <v>260</v>
      </c>
      <c r="E4856" s="16"/>
      <c r="G4856" t="s">
        <v>155</v>
      </c>
      <c r="I4856" t="s">
        <v>50</v>
      </c>
      <c r="J4856" t="s">
        <v>205</v>
      </c>
      <c r="K4856">
        <v>1</v>
      </c>
      <c r="N4856" s="26"/>
    </row>
    <row r="4857" spans="1:14" ht="14.5" customHeight="1" x14ac:dyDescent="0.2">
      <c r="A4857" s="54">
        <v>2025</v>
      </c>
      <c r="B4857" t="s">
        <v>184</v>
      </c>
      <c r="C4857" t="s">
        <v>479</v>
      </c>
      <c r="D4857" s="22">
        <v>200</v>
      </c>
      <c r="E4857" s="16"/>
      <c r="G4857" t="s">
        <v>145</v>
      </c>
      <c r="I4857" t="s">
        <v>9</v>
      </c>
      <c r="J4857" t="s">
        <v>9</v>
      </c>
      <c r="K4857">
        <v>0</v>
      </c>
      <c r="N4857" s="26"/>
    </row>
    <row r="4858" spans="1:14" ht="14.5" customHeight="1" x14ac:dyDescent="0.2">
      <c r="A4858" s="54">
        <v>2025</v>
      </c>
      <c r="B4858" t="s">
        <v>184</v>
      </c>
      <c r="C4858" t="s">
        <v>189</v>
      </c>
      <c r="D4858" s="22">
        <v>1010</v>
      </c>
      <c r="E4858" s="16">
        <v>0.49</v>
      </c>
      <c r="F4858" t="s">
        <v>3141</v>
      </c>
      <c r="G4858" t="s">
        <v>144</v>
      </c>
      <c r="H4858" t="s">
        <v>187</v>
      </c>
      <c r="I4858" t="s">
        <v>5</v>
      </c>
      <c r="J4858" t="s">
        <v>214</v>
      </c>
      <c r="K4858">
        <v>1</v>
      </c>
      <c r="N4858" s="26"/>
    </row>
    <row r="4859" spans="1:14" ht="14.5" customHeight="1" x14ac:dyDescent="0.2">
      <c r="A4859" s="54">
        <v>2025</v>
      </c>
      <c r="B4859" t="s">
        <v>184</v>
      </c>
      <c r="C4859" t="s">
        <v>397</v>
      </c>
      <c r="D4859" s="22">
        <v>370</v>
      </c>
      <c r="E4859" s="16"/>
      <c r="G4859" t="s">
        <v>147</v>
      </c>
      <c r="I4859" t="s">
        <v>55</v>
      </c>
      <c r="J4859" t="s">
        <v>214</v>
      </c>
      <c r="K4859">
        <v>1</v>
      </c>
      <c r="N4859" s="26"/>
    </row>
    <row r="4860" spans="1:14" ht="14.5" customHeight="1" x14ac:dyDescent="0.2">
      <c r="A4860" s="54">
        <v>2025</v>
      </c>
      <c r="B4860" t="s">
        <v>184</v>
      </c>
      <c r="C4860" t="s">
        <v>449</v>
      </c>
      <c r="D4860" s="22">
        <v>1130</v>
      </c>
      <c r="E4860" s="16"/>
      <c r="F4860" t="s">
        <v>3138</v>
      </c>
      <c r="G4860" t="s">
        <v>150</v>
      </c>
      <c r="H4860" t="s">
        <v>744</v>
      </c>
      <c r="I4860" t="s">
        <v>105</v>
      </c>
      <c r="J4860" t="s">
        <v>214</v>
      </c>
      <c r="K4860">
        <v>1</v>
      </c>
      <c r="N4860" s="26"/>
    </row>
    <row r="4861" spans="1:14" ht="14.5" customHeight="1" x14ac:dyDescent="0.2">
      <c r="A4861" s="54">
        <v>2025</v>
      </c>
      <c r="B4861" t="s">
        <v>184</v>
      </c>
      <c r="C4861" t="s">
        <v>479</v>
      </c>
      <c r="D4861" s="22">
        <v>450</v>
      </c>
      <c r="E4861" s="16">
        <v>0.88</v>
      </c>
      <c r="G4861" t="s">
        <v>154</v>
      </c>
      <c r="H4861" t="s">
        <v>271</v>
      </c>
      <c r="I4861" t="s">
        <v>23</v>
      </c>
      <c r="J4861" t="s">
        <v>183</v>
      </c>
      <c r="K4861">
        <v>1</v>
      </c>
      <c r="N4861" s="26"/>
    </row>
    <row r="4862" spans="1:14" ht="14.5" customHeight="1" x14ac:dyDescent="0.2">
      <c r="A4862" s="54">
        <v>2025</v>
      </c>
      <c r="B4862" t="s">
        <v>184</v>
      </c>
      <c r="C4862" t="s">
        <v>397</v>
      </c>
      <c r="D4862" s="22">
        <v>160</v>
      </c>
      <c r="E4862" s="16"/>
      <c r="F4862" t="s">
        <v>1523</v>
      </c>
      <c r="G4862" t="s">
        <v>151</v>
      </c>
      <c r="H4862" t="s">
        <v>279</v>
      </c>
      <c r="I4862" t="s">
        <v>53</v>
      </c>
      <c r="J4862" t="s">
        <v>183</v>
      </c>
      <c r="K4862">
        <v>1</v>
      </c>
      <c r="N4862" s="26"/>
    </row>
    <row r="4863" spans="1:14" ht="14.5" customHeight="1" x14ac:dyDescent="0.2">
      <c r="A4863" s="54">
        <v>2025</v>
      </c>
      <c r="B4863" t="s">
        <v>184</v>
      </c>
      <c r="C4863" t="s">
        <v>175</v>
      </c>
      <c r="D4863" s="22">
        <v>280</v>
      </c>
      <c r="E4863" s="16"/>
      <c r="F4863" t="s">
        <v>3168</v>
      </c>
      <c r="G4863" t="s">
        <v>149</v>
      </c>
      <c r="H4863" t="s">
        <v>182</v>
      </c>
      <c r="I4863" t="s">
        <v>63</v>
      </c>
      <c r="J4863" t="s">
        <v>201</v>
      </c>
      <c r="K4863">
        <v>1</v>
      </c>
      <c r="N4863" s="26"/>
    </row>
    <row r="4864" spans="1:14" ht="14.5" customHeight="1" x14ac:dyDescent="0.2">
      <c r="A4864" s="54">
        <v>2025</v>
      </c>
      <c r="B4864" t="s">
        <v>225</v>
      </c>
      <c r="C4864" t="s">
        <v>479</v>
      </c>
      <c r="D4864" s="22">
        <v>280</v>
      </c>
      <c r="E4864" s="16"/>
      <c r="G4864" t="s">
        <v>154</v>
      </c>
      <c r="H4864" t="s">
        <v>194</v>
      </c>
      <c r="I4864" t="s">
        <v>60</v>
      </c>
      <c r="J4864" t="s">
        <v>177</v>
      </c>
      <c r="K4864">
        <v>1</v>
      </c>
      <c r="N4864" s="26"/>
    </row>
    <row r="4865" spans="1:14" ht="14.5" customHeight="1" x14ac:dyDescent="0.2">
      <c r="A4865" s="54">
        <v>2025</v>
      </c>
      <c r="B4865" t="s">
        <v>225</v>
      </c>
      <c r="C4865" t="s">
        <v>479</v>
      </c>
      <c r="D4865" s="22">
        <v>180</v>
      </c>
      <c r="E4865" s="16"/>
      <c r="G4865" t="s">
        <v>154</v>
      </c>
      <c r="H4865" t="s">
        <v>194</v>
      </c>
      <c r="I4865" t="s">
        <v>30</v>
      </c>
      <c r="J4865" t="s">
        <v>195</v>
      </c>
      <c r="K4865">
        <v>1</v>
      </c>
      <c r="N4865" s="26"/>
    </row>
    <row r="4866" spans="1:14" ht="14.5" customHeight="1" x14ac:dyDescent="0.2">
      <c r="A4866" s="54">
        <v>2025</v>
      </c>
      <c r="B4866" t="s">
        <v>225</v>
      </c>
      <c r="C4866" t="s">
        <v>479</v>
      </c>
      <c r="D4866" s="22">
        <v>1460</v>
      </c>
      <c r="E4866" s="16"/>
      <c r="G4866" t="s">
        <v>154</v>
      </c>
      <c r="H4866" t="s">
        <v>250</v>
      </c>
      <c r="I4866" t="s">
        <v>108</v>
      </c>
      <c r="J4866" t="s">
        <v>183</v>
      </c>
      <c r="K4866">
        <v>1</v>
      </c>
      <c r="N4866" s="26"/>
    </row>
    <row r="4867" spans="1:14" x14ac:dyDescent="0.2">
      <c r="A4867" s="54">
        <v>2025</v>
      </c>
      <c r="B4867" t="s">
        <v>225</v>
      </c>
      <c r="C4867" t="s">
        <v>479</v>
      </c>
      <c r="D4867" s="22">
        <v>110</v>
      </c>
      <c r="E4867" s="16"/>
      <c r="G4867" t="s">
        <v>154</v>
      </c>
      <c r="H4867" t="s">
        <v>194</v>
      </c>
      <c r="I4867" t="s">
        <v>63</v>
      </c>
      <c r="J4867" t="s">
        <v>201</v>
      </c>
      <c r="K4867">
        <v>1</v>
      </c>
      <c r="N4867" s="26"/>
    </row>
    <row r="4868" spans="1:14" x14ac:dyDescent="0.2">
      <c r="A4868" s="54">
        <v>2025</v>
      </c>
      <c r="B4868" t="s">
        <v>225</v>
      </c>
      <c r="C4868" t="s">
        <v>199</v>
      </c>
      <c r="D4868" s="22">
        <v>1600</v>
      </c>
      <c r="E4868" s="16"/>
      <c r="F4868" t="s">
        <v>325</v>
      </c>
      <c r="G4868" t="s">
        <v>144</v>
      </c>
      <c r="H4868" t="s">
        <v>299</v>
      </c>
      <c r="I4868" t="s">
        <v>55</v>
      </c>
      <c r="J4868" t="s">
        <v>214</v>
      </c>
      <c r="K4868">
        <v>1</v>
      </c>
      <c r="N4868" s="26"/>
    </row>
    <row r="4869" spans="1:14" x14ac:dyDescent="0.2">
      <c r="A4869" s="54">
        <v>2025</v>
      </c>
      <c r="B4869" t="s">
        <v>225</v>
      </c>
      <c r="C4869" t="s">
        <v>705</v>
      </c>
      <c r="D4869" s="22">
        <v>160</v>
      </c>
      <c r="E4869" s="16"/>
      <c r="G4869" t="s">
        <v>151</v>
      </c>
      <c r="H4869" t="s">
        <v>279</v>
      </c>
      <c r="I4869" t="s">
        <v>2462</v>
      </c>
      <c r="J4869" t="s">
        <v>219</v>
      </c>
      <c r="K4869">
        <v>1</v>
      </c>
      <c r="N4869" s="26"/>
    </row>
    <row r="4870" spans="1:14" x14ac:dyDescent="0.2">
      <c r="A4870" s="54">
        <v>2025</v>
      </c>
      <c r="B4870" t="s">
        <v>225</v>
      </c>
      <c r="C4870" t="s">
        <v>449</v>
      </c>
      <c r="D4870" s="22">
        <v>250</v>
      </c>
      <c r="E4870" s="16"/>
      <c r="G4870" t="s">
        <v>154</v>
      </c>
      <c r="H4870" t="s">
        <v>529</v>
      </c>
      <c r="I4870" t="s">
        <v>78</v>
      </c>
      <c r="J4870" t="s">
        <v>183</v>
      </c>
      <c r="K4870">
        <v>1</v>
      </c>
      <c r="N4870" s="26"/>
    </row>
    <row r="4871" spans="1:14" x14ac:dyDescent="0.2">
      <c r="A4871" s="54">
        <v>2025</v>
      </c>
      <c r="B4871" t="s">
        <v>225</v>
      </c>
      <c r="C4871" t="s">
        <v>557</v>
      </c>
      <c r="D4871" s="22">
        <v>170</v>
      </c>
      <c r="E4871" s="16"/>
      <c r="G4871" t="s">
        <v>142</v>
      </c>
      <c r="I4871" t="s">
        <v>134</v>
      </c>
      <c r="J4871" t="s">
        <v>201</v>
      </c>
      <c r="K4871">
        <v>1</v>
      </c>
      <c r="N4871" s="26"/>
    </row>
    <row r="4872" spans="1:14" x14ac:dyDescent="0.2">
      <c r="A4872" s="54">
        <v>2025</v>
      </c>
      <c r="B4872" t="s">
        <v>225</v>
      </c>
      <c r="C4872" t="s">
        <v>745</v>
      </c>
      <c r="D4872" s="22">
        <v>500</v>
      </c>
      <c r="E4872" s="16"/>
      <c r="F4872" t="s">
        <v>3105</v>
      </c>
      <c r="G4872" t="s">
        <v>143</v>
      </c>
      <c r="I4872" t="s">
        <v>53</v>
      </c>
      <c r="J4872" t="s">
        <v>183</v>
      </c>
      <c r="K4872">
        <v>1</v>
      </c>
      <c r="N4872" s="26"/>
    </row>
    <row r="4873" spans="1:14" x14ac:dyDescent="0.2">
      <c r="A4873" s="54">
        <v>2025</v>
      </c>
      <c r="B4873" t="s">
        <v>225</v>
      </c>
      <c r="C4873" t="s">
        <v>1035</v>
      </c>
      <c r="D4873" s="22">
        <v>200</v>
      </c>
      <c r="E4873" s="16"/>
      <c r="G4873" t="s">
        <v>144</v>
      </c>
      <c r="H4873" t="s">
        <v>232</v>
      </c>
      <c r="I4873" t="s">
        <v>138</v>
      </c>
      <c r="J4873" t="s">
        <v>219</v>
      </c>
      <c r="K4873">
        <v>1</v>
      </c>
      <c r="N4873" s="26"/>
    </row>
    <row r="4874" spans="1:14" x14ac:dyDescent="0.2">
      <c r="A4874" s="54">
        <v>2025</v>
      </c>
      <c r="B4874" t="s">
        <v>225</v>
      </c>
      <c r="C4874" t="s">
        <v>3169</v>
      </c>
      <c r="D4874" s="22">
        <v>100</v>
      </c>
      <c r="E4874" s="16"/>
      <c r="G4874" t="s">
        <v>151</v>
      </c>
      <c r="H4874" t="s">
        <v>279</v>
      </c>
      <c r="I4874" t="s">
        <v>2462</v>
      </c>
      <c r="J4874" t="s">
        <v>219</v>
      </c>
      <c r="K4874">
        <v>1</v>
      </c>
      <c r="N4874" s="26"/>
    </row>
    <row r="4875" spans="1:14" x14ac:dyDescent="0.2">
      <c r="A4875" s="54">
        <v>2025</v>
      </c>
      <c r="B4875" t="s">
        <v>225</v>
      </c>
      <c r="C4875" t="s">
        <v>3170</v>
      </c>
      <c r="D4875" s="22">
        <v>430</v>
      </c>
      <c r="E4875" s="16"/>
      <c r="F4875" t="s">
        <v>2097</v>
      </c>
      <c r="G4875" t="s">
        <v>154</v>
      </c>
      <c r="H4875" t="s">
        <v>194</v>
      </c>
      <c r="I4875" t="s">
        <v>136</v>
      </c>
      <c r="J4875" t="s">
        <v>183</v>
      </c>
      <c r="K4875">
        <v>1</v>
      </c>
      <c r="N4875" s="26"/>
    </row>
    <row r="4876" spans="1:14" x14ac:dyDescent="0.2">
      <c r="A4876" s="54">
        <v>2025</v>
      </c>
      <c r="B4876" t="s">
        <v>225</v>
      </c>
      <c r="C4876" t="s">
        <v>397</v>
      </c>
      <c r="D4876" s="22">
        <v>130</v>
      </c>
      <c r="E4876" s="16"/>
      <c r="F4876" t="s">
        <v>3171</v>
      </c>
      <c r="G4876" t="s">
        <v>151</v>
      </c>
      <c r="H4876" t="s">
        <v>279</v>
      </c>
      <c r="I4876" t="s">
        <v>72</v>
      </c>
      <c r="J4876" t="s">
        <v>183</v>
      </c>
      <c r="K4876">
        <v>1</v>
      </c>
      <c r="N4876" s="26"/>
    </row>
    <row r="4877" spans="1:14" x14ac:dyDescent="0.2">
      <c r="A4877" s="54">
        <v>2025</v>
      </c>
      <c r="B4877" t="s">
        <v>188</v>
      </c>
      <c r="C4877" t="s">
        <v>479</v>
      </c>
      <c r="D4877" s="22">
        <v>310</v>
      </c>
      <c r="E4877" s="16"/>
      <c r="G4877" t="s">
        <v>154</v>
      </c>
      <c r="H4877" t="s">
        <v>529</v>
      </c>
      <c r="I4877" t="s">
        <v>72</v>
      </c>
      <c r="J4877" t="s">
        <v>183</v>
      </c>
      <c r="K4877">
        <v>1</v>
      </c>
      <c r="N4877" s="26"/>
    </row>
    <row r="4878" spans="1:14" x14ac:dyDescent="0.2">
      <c r="A4878" s="54">
        <v>2025</v>
      </c>
      <c r="B4878" t="s">
        <v>188</v>
      </c>
      <c r="C4878" t="s">
        <v>1110</v>
      </c>
      <c r="D4878" s="22">
        <v>280</v>
      </c>
      <c r="E4878" s="16"/>
      <c r="G4878" t="s">
        <v>151</v>
      </c>
      <c r="H4878" t="s">
        <v>279</v>
      </c>
      <c r="I4878" t="s">
        <v>105</v>
      </c>
      <c r="J4878" t="s">
        <v>214</v>
      </c>
      <c r="K4878">
        <v>1</v>
      </c>
      <c r="N4878" s="26"/>
    </row>
    <row r="4879" spans="1:14" x14ac:dyDescent="0.2">
      <c r="A4879" s="54">
        <v>2025</v>
      </c>
      <c r="B4879" t="s">
        <v>188</v>
      </c>
      <c r="C4879" t="s">
        <v>397</v>
      </c>
      <c r="D4879" s="22">
        <v>640</v>
      </c>
      <c r="E4879" s="16"/>
      <c r="G4879" t="s">
        <v>142</v>
      </c>
      <c r="I4879" t="s">
        <v>38</v>
      </c>
      <c r="J4879" t="s">
        <v>214</v>
      </c>
      <c r="K4879">
        <v>1</v>
      </c>
      <c r="N4879" s="26"/>
    </row>
    <row r="4880" spans="1:14" x14ac:dyDescent="0.2">
      <c r="A4880" s="54">
        <v>2025</v>
      </c>
      <c r="B4880" t="s">
        <v>188</v>
      </c>
      <c r="C4880" t="s">
        <v>341</v>
      </c>
      <c r="D4880" s="22">
        <v>140</v>
      </c>
      <c r="E4880" s="16"/>
      <c r="G4880" t="s">
        <v>154</v>
      </c>
      <c r="H4880" t="s">
        <v>529</v>
      </c>
      <c r="I4880" t="s">
        <v>80</v>
      </c>
      <c r="J4880" t="s">
        <v>214</v>
      </c>
      <c r="K4880">
        <v>1</v>
      </c>
      <c r="N4880" s="26"/>
    </row>
    <row r="4881" spans="1:14" x14ac:dyDescent="0.2">
      <c r="A4881" s="54">
        <v>2025</v>
      </c>
      <c r="B4881" t="s">
        <v>188</v>
      </c>
      <c r="C4881" t="s">
        <v>875</v>
      </c>
      <c r="D4881" s="22">
        <v>120</v>
      </c>
      <c r="E4881" s="16"/>
      <c r="G4881" t="s">
        <v>144</v>
      </c>
      <c r="H4881" t="s">
        <v>232</v>
      </c>
      <c r="I4881" t="s">
        <v>38</v>
      </c>
      <c r="J4881" t="s">
        <v>214</v>
      </c>
      <c r="K4881">
        <v>1</v>
      </c>
      <c r="N4881" s="26"/>
    </row>
    <row r="4882" spans="1:14" x14ac:dyDescent="0.2">
      <c r="A4882" s="54">
        <v>2025</v>
      </c>
      <c r="B4882" t="s">
        <v>188</v>
      </c>
      <c r="C4882" t="s">
        <v>199</v>
      </c>
      <c r="D4882" s="22">
        <v>290</v>
      </c>
      <c r="E4882" s="16"/>
      <c r="G4882" t="s">
        <v>144</v>
      </c>
      <c r="I4882" t="s">
        <v>55</v>
      </c>
      <c r="J4882" t="s">
        <v>214</v>
      </c>
      <c r="K4882">
        <v>1</v>
      </c>
      <c r="N4882" s="26"/>
    </row>
    <row r="4883" spans="1:14" x14ac:dyDescent="0.2">
      <c r="A4883" s="54">
        <v>2025</v>
      </c>
      <c r="B4883" t="s">
        <v>188</v>
      </c>
      <c r="C4883" t="s">
        <v>875</v>
      </c>
      <c r="D4883" s="22">
        <v>160</v>
      </c>
      <c r="E4883" s="16"/>
      <c r="F4883" t="s">
        <v>3172</v>
      </c>
      <c r="G4883" t="s">
        <v>144</v>
      </c>
      <c r="H4883" t="s">
        <v>232</v>
      </c>
      <c r="I4883" t="s">
        <v>112</v>
      </c>
      <c r="J4883" t="s">
        <v>219</v>
      </c>
      <c r="K4883">
        <v>1</v>
      </c>
      <c r="N4883" s="26"/>
    </row>
    <row r="4884" spans="1:14" x14ac:dyDescent="0.2">
      <c r="A4884" s="54">
        <v>2025</v>
      </c>
      <c r="B4884" t="s">
        <v>188</v>
      </c>
      <c r="C4884" t="s">
        <v>397</v>
      </c>
      <c r="D4884" s="22">
        <v>300</v>
      </c>
      <c r="E4884" s="16"/>
      <c r="G4884" t="s">
        <v>154</v>
      </c>
      <c r="H4884" t="s">
        <v>194</v>
      </c>
      <c r="I4884" t="s">
        <v>134</v>
      </c>
      <c r="J4884" t="s">
        <v>201</v>
      </c>
      <c r="K4884">
        <v>1</v>
      </c>
      <c r="N4884" s="26"/>
    </row>
    <row r="4885" spans="1:14" x14ac:dyDescent="0.2">
      <c r="A4885" s="54">
        <v>2025</v>
      </c>
      <c r="B4885" t="s">
        <v>188</v>
      </c>
      <c r="C4885" t="s">
        <v>1035</v>
      </c>
      <c r="D4885" s="22">
        <v>250</v>
      </c>
      <c r="E4885" s="16"/>
      <c r="G4885" t="s">
        <v>154</v>
      </c>
      <c r="H4885" t="s">
        <v>529</v>
      </c>
      <c r="I4885" t="s">
        <v>66</v>
      </c>
      <c r="J4885" t="s">
        <v>201</v>
      </c>
      <c r="K4885">
        <v>1</v>
      </c>
      <c r="N4885" s="26"/>
    </row>
    <row r="4886" spans="1:14" x14ac:dyDescent="0.2">
      <c r="A4886" s="54">
        <v>2025</v>
      </c>
      <c r="B4886" t="s">
        <v>188</v>
      </c>
      <c r="C4886" t="s">
        <v>199</v>
      </c>
      <c r="D4886" s="22">
        <v>510</v>
      </c>
      <c r="E4886" s="16"/>
      <c r="G4886" t="s">
        <v>144</v>
      </c>
      <c r="H4886" t="s">
        <v>299</v>
      </c>
      <c r="I4886" t="s">
        <v>130</v>
      </c>
      <c r="J4886" t="s">
        <v>214</v>
      </c>
      <c r="K4886">
        <v>1</v>
      </c>
      <c r="N4886" s="26"/>
    </row>
    <row r="4887" spans="1:14" x14ac:dyDescent="0.2">
      <c r="A4887" s="54">
        <v>2025</v>
      </c>
      <c r="B4887" t="s">
        <v>188</v>
      </c>
      <c r="C4887" t="s">
        <v>1035</v>
      </c>
      <c r="D4887" s="22">
        <v>220</v>
      </c>
      <c r="E4887" s="16"/>
      <c r="F4887" t="s">
        <v>3173</v>
      </c>
      <c r="G4887" t="s">
        <v>144</v>
      </c>
      <c r="H4887" t="s">
        <v>232</v>
      </c>
      <c r="I4887" t="s">
        <v>112</v>
      </c>
      <c r="J4887" t="s">
        <v>219</v>
      </c>
      <c r="K4887">
        <v>1</v>
      </c>
      <c r="N4887" s="26"/>
    </row>
    <row r="4888" spans="1:14" x14ac:dyDescent="0.2">
      <c r="A4888" s="54">
        <v>2025</v>
      </c>
      <c r="B4888" t="s">
        <v>191</v>
      </c>
      <c r="C4888" t="s">
        <v>449</v>
      </c>
      <c r="D4888" s="22">
        <v>530</v>
      </c>
      <c r="E4888" s="16"/>
      <c r="G4888" t="s">
        <v>154</v>
      </c>
      <c r="H4888" t="s">
        <v>529</v>
      </c>
      <c r="I4888" t="s">
        <v>66</v>
      </c>
      <c r="J4888" t="s">
        <v>201</v>
      </c>
      <c r="K4888">
        <v>1</v>
      </c>
      <c r="N4888" s="26"/>
    </row>
    <row r="4889" spans="1:14" x14ac:dyDescent="0.2">
      <c r="A4889" s="54">
        <v>2025</v>
      </c>
      <c r="B4889" t="s">
        <v>191</v>
      </c>
      <c r="C4889" t="s">
        <v>341</v>
      </c>
      <c r="D4889" s="22">
        <v>740</v>
      </c>
      <c r="E4889" s="16"/>
      <c r="G4889" t="s">
        <v>154</v>
      </c>
      <c r="H4889" t="s">
        <v>529</v>
      </c>
      <c r="I4889" t="s">
        <v>66</v>
      </c>
      <c r="J4889" t="s">
        <v>201</v>
      </c>
      <c r="K4889">
        <v>1</v>
      </c>
      <c r="N4889" s="26"/>
    </row>
    <row r="4890" spans="1:14" x14ac:dyDescent="0.2">
      <c r="A4890" s="54">
        <v>2025</v>
      </c>
      <c r="B4890" t="s">
        <v>191</v>
      </c>
      <c r="C4890" t="s">
        <v>2228</v>
      </c>
      <c r="D4890" s="22">
        <v>410</v>
      </c>
      <c r="E4890" s="16"/>
      <c r="G4890" t="s">
        <v>154</v>
      </c>
      <c r="H4890" t="s">
        <v>529</v>
      </c>
      <c r="I4890" t="s">
        <v>80</v>
      </c>
      <c r="J4890" t="s">
        <v>214</v>
      </c>
      <c r="K4890">
        <v>1</v>
      </c>
      <c r="N4890" s="26"/>
    </row>
    <row r="4891" spans="1:14" x14ac:dyDescent="0.2">
      <c r="A4891" s="54">
        <v>2025</v>
      </c>
      <c r="B4891" t="s">
        <v>191</v>
      </c>
      <c r="C4891" t="s">
        <v>397</v>
      </c>
      <c r="D4891" s="22">
        <v>270</v>
      </c>
      <c r="E4891" s="16"/>
      <c r="G4891" t="s">
        <v>154</v>
      </c>
      <c r="H4891" t="s">
        <v>194</v>
      </c>
      <c r="I4891" t="s">
        <v>130</v>
      </c>
      <c r="J4891" t="s">
        <v>214</v>
      </c>
      <c r="K4891">
        <v>1</v>
      </c>
      <c r="N4891" s="26"/>
    </row>
    <row r="4892" spans="1:14" x14ac:dyDescent="0.2">
      <c r="A4892" s="54">
        <v>2025</v>
      </c>
      <c r="B4892" t="s">
        <v>191</v>
      </c>
      <c r="C4892" t="s">
        <v>479</v>
      </c>
      <c r="D4892" s="22">
        <v>100</v>
      </c>
      <c r="E4892" s="16"/>
      <c r="G4892" t="s">
        <v>155</v>
      </c>
      <c r="I4892" t="s">
        <v>97</v>
      </c>
      <c r="J4892" t="s">
        <v>183</v>
      </c>
      <c r="K4892">
        <v>1</v>
      </c>
      <c r="N4892" s="26"/>
    </row>
    <row r="4893" spans="1:14" x14ac:dyDescent="0.2">
      <c r="A4893" s="54">
        <v>2025</v>
      </c>
      <c r="B4893" t="s">
        <v>191</v>
      </c>
      <c r="C4893" t="s">
        <v>444</v>
      </c>
      <c r="D4893" s="22">
        <v>190</v>
      </c>
      <c r="E4893" s="16"/>
      <c r="G4893" t="s">
        <v>143</v>
      </c>
      <c r="I4893" t="s">
        <v>63</v>
      </c>
      <c r="J4893" t="s">
        <v>201</v>
      </c>
      <c r="K4893">
        <v>1</v>
      </c>
      <c r="N4893" s="26"/>
    </row>
    <row r="4894" spans="1:14" x14ac:dyDescent="0.2">
      <c r="A4894" s="54">
        <v>2025</v>
      </c>
      <c r="B4894" t="s">
        <v>191</v>
      </c>
      <c r="C4894" t="s">
        <v>705</v>
      </c>
      <c r="D4894" s="22">
        <v>160</v>
      </c>
      <c r="E4894" s="16"/>
      <c r="G4894" t="s">
        <v>151</v>
      </c>
      <c r="H4894" t="s">
        <v>279</v>
      </c>
      <c r="I4894" t="s">
        <v>2462</v>
      </c>
      <c r="J4894" t="s">
        <v>219</v>
      </c>
      <c r="K4894">
        <v>1</v>
      </c>
      <c r="N4894" s="26"/>
    </row>
    <row r="4895" spans="1:14" ht="14.5" customHeight="1" x14ac:dyDescent="0.2">
      <c r="A4895" s="54">
        <v>2025</v>
      </c>
      <c r="B4895" t="s">
        <v>191</v>
      </c>
      <c r="C4895" t="s">
        <v>2637</v>
      </c>
      <c r="D4895" s="22">
        <v>680</v>
      </c>
      <c r="E4895" s="16"/>
      <c r="G4895" t="s">
        <v>144</v>
      </c>
      <c r="H4895" t="s">
        <v>299</v>
      </c>
      <c r="I4895" t="s">
        <v>23</v>
      </c>
      <c r="J4895" t="s">
        <v>183</v>
      </c>
      <c r="K4895">
        <v>1</v>
      </c>
      <c r="N4895" s="26"/>
    </row>
    <row r="4896" spans="1:14" ht="14.5" customHeight="1" x14ac:dyDescent="0.2">
      <c r="A4896" s="54">
        <v>2025</v>
      </c>
      <c r="B4896" t="s">
        <v>191</v>
      </c>
      <c r="C4896" t="s">
        <v>1035</v>
      </c>
      <c r="D4896" s="22">
        <v>110</v>
      </c>
      <c r="E4896" s="16"/>
      <c r="G4896" t="s">
        <v>151</v>
      </c>
      <c r="H4896" t="s">
        <v>279</v>
      </c>
      <c r="I4896" t="s">
        <v>55</v>
      </c>
      <c r="J4896" t="s">
        <v>214</v>
      </c>
      <c r="K4896">
        <v>1</v>
      </c>
      <c r="N4896" s="26"/>
    </row>
    <row r="4897" spans="1:14" x14ac:dyDescent="0.2">
      <c r="A4897" s="54">
        <v>2025</v>
      </c>
      <c r="B4897" t="s">
        <v>191</v>
      </c>
      <c r="C4897" t="s">
        <v>1035</v>
      </c>
      <c r="D4897" s="22">
        <v>430</v>
      </c>
      <c r="E4897" s="16"/>
      <c r="G4897" t="s">
        <v>144</v>
      </c>
      <c r="H4897" t="s">
        <v>232</v>
      </c>
      <c r="I4897" t="s">
        <v>105</v>
      </c>
      <c r="J4897" t="s">
        <v>214</v>
      </c>
      <c r="K4897">
        <v>1</v>
      </c>
      <c r="N4897" s="26"/>
    </row>
    <row r="4898" spans="1:14" x14ac:dyDescent="0.2">
      <c r="A4898" s="54">
        <v>2025</v>
      </c>
      <c r="B4898" t="s">
        <v>191</v>
      </c>
      <c r="C4898" t="s">
        <v>1035</v>
      </c>
      <c r="D4898" s="22">
        <v>230</v>
      </c>
      <c r="E4898" s="16"/>
      <c r="G4898" t="s">
        <v>144</v>
      </c>
      <c r="H4898" t="s">
        <v>232</v>
      </c>
      <c r="I4898" t="s">
        <v>105</v>
      </c>
      <c r="J4898" t="s">
        <v>214</v>
      </c>
      <c r="K4898">
        <v>1</v>
      </c>
      <c r="N4898" s="26"/>
    </row>
    <row r="4899" spans="1:14" x14ac:dyDescent="0.2">
      <c r="A4899" s="54">
        <v>2025</v>
      </c>
      <c r="B4899" t="s">
        <v>191</v>
      </c>
      <c r="C4899" t="s">
        <v>1035</v>
      </c>
      <c r="D4899" s="22">
        <v>120</v>
      </c>
      <c r="E4899" s="16"/>
      <c r="G4899" t="s">
        <v>154</v>
      </c>
      <c r="H4899" t="s">
        <v>529</v>
      </c>
      <c r="I4899" t="s">
        <v>19</v>
      </c>
      <c r="J4899" t="s">
        <v>205</v>
      </c>
      <c r="K4899">
        <v>0</v>
      </c>
      <c r="N4899" s="26"/>
    </row>
    <row r="4900" spans="1:14" x14ac:dyDescent="0.2">
      <c r="A4900" s="54">
        <v>2025</v>
      </c>
      <c r="B4900" t="s">
        <v>191</v>
      </c>
      <c r="C4900" t="s">
        <v>1035</v>
      </c>
      <c r="D4900" s="22">
        <v>140</v>
      </c>
      <c r="E4900" s="16"/>
      <c r="F4900" t="s">
        <v>2097</v>
      </c>
      <c r="G4900" t="s">
        <v>153</v>
      </c>
      <c r="I4900" t="s">
        <v>136</v>
      </c>
      <c r="J4900" t="s">
        <v>183</v>
      </c>
      <c r="K4900">
        <v>1</v>
      </c>
      <c r="N4900" s="26"/>
    </row>
    <row r="4901" spans="1:14" x14ac:dyDescent="0.2">
      <c r="A4901" s="54">
        <v>2025</v>
      </c>
      <c r="B4901" t="s">
        <v>198</v>
      </c>
      <c r="C4901" t="s">
        <v>341</v>
      </c>
      <c r="D4901" s="22">
        <v>1410</v>
      </c>
      <c r="E4901" s="16"/>
      <c r="G4901" t="s">
        <v>154</v>
      </c>
      <c r="H4901" t="s">
        <v>529</v>
      </c>
      <c r="I4901" t="s">
        <v>123</v>
      </c>
      <c r="J4901" t="s">
        <v>219</v>
      </c>
      <c r="K4901">
        <v>1</v>
      </c>
      <c r="N4901" s="26"/>
    </row>
    <row r="4902" spans="1:14" x14ac:dyDescent="0.2">
      <c r="A4902" s="54">
        <v>2025</v>
      </c>
      <c r="B4902" t="s">
        <v>198</v>
      </c>
      <c r="C4902" t="s">
        <v>341</v>
      </c>
      <c r="D4902" s="22">
        <v>180</v>
      </c>
      <c r="E4902" s="16"/>
      <c r="F4902" t="s">
        <v>3174</v>
      </c>
      <c r="G4902" t="s">
        <v>151</v>
      </c>
      <c r="H4902" t="s">
        <v>279</v>
      </c>
      <c r="I4902" t="s">
        <v>130</v>
      </c>
      <c r="J4902" t="s">
        <v>214</v>
      </c>
      <c r="K4902">
        <v>1</v>
      </c>
      <c r="N4902" s="26"/>
    </row>
    <row r="4903" spans="1:14" x14ac:dyDescent="0.2">
      <c r="A4903" s="54">
        <v>2025</v>
      </c>
      <c r="B4903" t="s">
        <v>198</v>
      </c>
      <c r="C4903" t="s">
        <v>557</v>
      </c>
      <c r="D4903" s="22">
        <v>310</v>
      </c>
      <c r="E4903" s="16"/>
      <c r="F4903" t="s">
        <v>3175</v>
      </c>
      <c r="G4903" t="s">
        <v>151</v>
      </c>
      <c r="H4903" t="s">
        <v>279</v>
      </c>
      <c r="I4903" t="s">
        <v>105</v>
      </c>
      <c r="J4903" t="s">
        <v>214</v>
      </c>
      <c r="K4903">
        <v>1</v>
      </c>
      <c r="N4903" s="26"/>
    </row>
    <row r="4904" spans="1:14" x14ac:dyDescent="0.2">
      <c r="A4904" s="54">
        <v>2025</v>
      </c>
      <c r="B4904" t="s">
        <v>198</v>
      </c>
      <c r="C4904" t="s">
        <v>3176</v>
      </c>
      <c r="D4904" s="22">
        <v>440</v>
      </c>
      <c r="E4904" s="16"/>
      <c r="G4904" t="s">
        <v>154</v>
      </c>
      <c r="H4904" t="s">
        <v>194</v>
      </c>
      <c r="I4904" t="s">
        <v>40</v>
      </c>
      <c r="J4904" t="s">
        <v>219</v>
      </c>
      <c r="K4904">
        <v>1</v>
      </c>
      <c r="N4904" s="26"/>
    </row>
    <row r="4905" spans="1:14" x14ac:dyDescent="0.2">
      <c r="A4905" s="54">
        <v>2025</v>
      </c>
      <c r="B4905" t="s">
        <v>198</v>
      </c>
      <c r="C4905" t="s">
        <v>875</v>
      </c>
      <c r="D4905" s="22">
        <v>670</v>
      </c>
      <c r="E4905" s="16"/>
      <c r="F4905" t="s">
        <v>3086</v>
      </c>
      <c r="G4905" t="s">
        <v>144</v>
      </c>
      <c r="H4905" t="s">
        <v>232</v>
      </c>
      <c r="I4905" t="s">
        <v>11</v>
      </c>
      <c r="J4905" t="s">
        <v>201</v>
      </c>
      <c r="K4905">
        <v>1</v>
      </c>
      <c r="N4905" s="26"/>
    </row>
    <row r="4906" spans="1:14" x14ac:dyDescent="0.2">
      <c r="A4906" s="54">
        <v>2025</v>
      </c>
      <c r="B4906" t="s">
        <v>198</v>
      </c>
      <c r="C4906" t="s">
        <v>399</v>
      </c>
      <c r="D4906" s="22">
        <v>780</v>
      </c>
      <c r="E4906" s="16"/>
      <c r="F4906" t="s">
        <v>3086</v>
      </c>
      <c r="G4906" t="s">
        <v>144</v>
      </c>
      <c r="H4906" t="s">
        <v>232</v>
      </c>
      <c r="I4906" t="s">
        <v>105</v>
      </c>
      <c r="J4906" t="s">
        <v>214</v>
      </c>
      <c r="K4906">
        <v>1</v>
      </c>
      <c r="N4906" s="26"/>
    </row>
    <row r="4907" spans="1:14" x14ac:dyDescent="0.2">
      <c r="A4907" s="54">
        <v>2025</v>
      </c>
      <c r="B4907" t="s">
        <v>198</v>
      </c>
      <c r="C4907" t="s">
        <v>3177</v>
      </c>
      <c r="D4907" s="22">
        <v>350</v>
      </c>
      <c r="E4907" s="16"/>
      <c r="F4907" t="s">
        <v>3178</v>
      </c>
      <c r="G4907" t="s">
        <v>144</v>
      </c>
      <c r="H4907" t="s">
        <v>187</v>
      </c>
      <c r="I4907" t="s">
        <v>55</v>
      </c>
      <c r="J4907" t="s">
        <v>214</v>
      </c>
      <c r="K4907">
        <v>1</v>
      </c>
      <c r="N4907" s="26"/>
    </row>
    <row r="4908" spans="1:14" x14ac:dyDescent="0.2">
      <c r="A4908" s="54">
        <v>2025</v>
      </c>
      <c r="B4908" t="s">
        <v>198</v>
      </c>
      <c r="C4908" t="s">
        <v>479</v>
      </c>
      <c r="D4908" s="22">
        <v>400</v>
      </c>
      <c r="E4908" s="16"/>
      <c r="G4908" t="s">
        <v>154</v>
      </c>
      <c r="H4908" t="s">
        <v>194</v>
      </c>
      <c r="I4908" t="s">
        <v>66</v>
      </c>
      <c r="J4908" t="s">
        <v>201</v>
      </c>
      <c r="K4908">
        <v>1</v>
      </c>
      <c r="N4908" s="26"/>
    </row>
    <row r="4909" spans="1:14" x14ac:dyDescent="0.2">
      <c r="A4909" s="54">
        <v>2025</v>
      </c>
      <c r="B4909" t="s">
        <v>198</v>
      </c>
      <c r="C4909" t="s">
        <v>444</v>
      </c>
      <c r="D4909" s="22">
        <v>120</v>
      </c>
      <c r="E4909" s="16"/>
      <c r="F4909" t="s">
        <v>3179</v>
      </c>
      <c r="G4909" t="s">
        <v>144</v>
      </c>
      <c r="H4909" t="s">
        <v>232</v>
      </c>
      <c r="I4909" t="s">
        <v>40</v>
      </c>
      <c r="J4909" t="s">
        <v>219</v>
      </c>
      <c r="K4909">
        <v>1</v>
      </c>
      <c r="N4909" s="26"/>
    </row>
    <row r="4910" spans="1:14" x14ac:dyDescent="0.2">
      <c r="A4910" s="54">
        <v>2025</v>
      </c>
      <c r="B4910" t="s">
        <v>198</v>
      </c>
      <c r="C4910" t="s">
        <v>1035</v>
      </c>
      <c r="D4910" s="22">
        <v>290</v>
      </c>
      <c r="E4910" s="16"/>
      <c r="G4910" t="s">
        <v>155</v>
      </c>
      <c r="I4910" t="s">
        <v>112</v>
      </c>
      <c r="J4910" t="s">
        <v>219</v>
      </c>
      <c r="K4910">
        <v>1</v>
      </c>
      <c r="N4910" s="26"/>
    </row>
    <row r="4911" spans="1:14" x14ac:dyDescent="0.2">
      <c r="A4911" s="54">
        <v>2025</v>
      </c>
      <c r="B4911" t="s">
        <v>198</v>
      </c>
      <c r="C4911" t="s">
        <v>267</v>
      </c>
      <c r="D4911" s="22">
        <v>140</v>
      </c>
      <c r="E4911" s="16">
        <v>0.47</v>
      </c>
      <c r="G4911" t="s">
        <v>149</v>
      </c>
      <c r="H4911" t="s">
        <v>182</v>
      </c>
      <c r="I4911" t="s">
        <v>48</v>
      </c>
      <c r="J4911" t="s">
        <v>219</v>
      </c>
      <c r="K4911">
        <v>1</v>
      </c>
      <c r="N4911" s="26"/>
    </row>
    <row r="4912" spans="1:14" x14ac:dyDescent="0.2">
      <c r="A4912" s="54">
        <v>2025</v>
      </c>
      <c r="B4912" t="s">
        <v>198</v>
      </c>
      <c r="C4912" t="s">
        <v>1035</v>
      </c>
      <c r="D4912" s="22">
        <v>170</v>
      </c>
      <c r="E4912" s="16"/>
      <c r="F4912" t="s">
        <v>1785</v>
      </c>
      <c r="G4912" t="s">
        <v>144</v>
      </c>
      <c r="H4912" t="s">
        <v>232</v>
      </c>
      <c r="I4912" t="s">
        <v>28</v>
      </c>
      <c r="J4912" t="s">
        <v>205</v>
      </c>
      <c r="K4912">
        <v>0</v>
      </c>
      <c r="N4912" s="26"/>
    </row>
    <row r="4913" spans="1:14" x14ac:dyDescent="0.2">
      <c r="A4913" s="54">
        <v>2025</v>
      </c>
      <c r="B4913" t="s">
        <v>198</v>
      </c>
      <c r="C4913" t="s">
        <v>449</v>
      </c>
      <c r="D4913" s="22">
        <v>470</v>
      </c>
      <c r="E4913" s="16"/>
      <c r="G4913" t="s">
        <v>154</v>
      </c>
      <c r="H4913" t="s">
        <v>529</v>
      </c>
      <c r="I4913" t="s">
        <v>27</v>
      </c>
      <c r="J4913" t="s">
        <v>205</v>
      </c>
      <c r="K4913">
        <v>1</v>
      </c>
      <c r="N4913" s="26"/>
    </row>
    <row r="4914" spans="1:14" x14ac:dyDescent="0.2">
      <c r="A4914" s="54">
        <v>2025</v>
      </c>
      <c r="B4914" t="s">
        <v>198</v>
      </c>
      <c r="C4914" t="s">
        <v>745</v>
      </c>
      <c r="D4914" s="22">
        <v>120</v>
      </c>
      <c r="E4914" s="16"/>
      <c r="G4914" t="s">
        <v>143</v>
      </c>
      <c r="I4914" t="s">
        <v>38</v>
      </c>
      <c r="J4914" t="s">
        <v>214</v>
      </c>
      <c r="K4914">
        <v>1</v>
      </c>
      <c r="N4914" s="26"/>
    </row>
    <row r="4915" spans="1:14" x14ac:dyDescent="0.2">
      <c r="A4915" s="54">
        <v>2025</v>
      </c>
      <c r="B4915" t="s">
        <v>202</v>
      </c>
      <c r="C4915" t="s">
        <v>2015</v>
      </c>
      <c r="D4915" s="22">
        <v>390</v>
      </c>
      <c r="E4915" s="16"/>
      <c r="G4915" t="s">
        <v>154</v>
      </c>
      <c r="H4915" t="s">
        <v>194</v>
      </c>
      <c r="I4915" t="s">
        <v>24</v>
      </c>
      <c r="J4915" t="s">
        <v>219</v>
      </c>
      <c r="K4915">
        <v>1</v>
      </c>
      <c r="N4915" s="26"/>
    </row>
    <row r="4916" spans="1:14" x14ac:dyDescent="0.2">
      <c r="A4916" s="54">
        <v>2025</v>
      </c>
      <c r="B4916" t="s">
        <v>202</v>
      </c>
      <c r="C4916" t="s">
        <v>875</v>
      </c>
      <c r="D4916" s="22">
        <v>1310</v>
      </c>
      <c r="E4916" s="16"/>
      <c r="G4916" t="s">
        <v>155</v>
      </c>
      <c r="I4916" t="s">
        <v>63</v>
      </c>
      <c r="J4916" t="s">
        <v>201</v>
      </c>
      <c r="K4916">
        <v>1</v>
      </c>
      <c r="N4916" s="26"/>
    </row>
    <row r="4917" spans="1:14" x14ac:dyDescent="0.2">
      <c r="A4917" s="54">
        <v>2025</v>
      </c>
      <c r="B4917" t="s">
        <v>202</v>
      </c>
      <c r="C4917" t="s">
        <v>479</v>
      </c>
      <c r="D4917" s="22">
        <v>1530</v>
      </c>
      <c r="E4917" s="16"/>
      <c r="G4917" t="s">
        <v>145</v>
      </c>
      <c r="I4917" t="s">
        <v>105</v>
      </c>
      <c r="J4917" t="s">
        <v>214</v>
      </c>
      <c r="K4917">
        <v>1</v>
      </c>
      <c r="N4917" s="26"/>
    </row>
    <row r="4918" spans="1:14" x14ac:dyDescent="0.2">
      <c r="A4918" s="54">
        <v>2025</v>
      </c>
      <c r="B4918" t="s">
        <v>202</v>
      </c>
      <c r="C4918" t="s">
        <v>2228</v>
      </c>
      <c r="D4918" s="22">
        <v>130</v>
      </c>
      <c r="E4918" s="16"/>
      <c r="G4918" t="s">
        <v>150</v>
      </c>
      <c r="H4918" t="s">
        <v>744</v>
      </c>
      <c r="I4918" t="s">
        <v>67</v>
      </c>
      <c r="J4918" t="s">
        <v>183</v>
      </c>
      <c r="K4918">
        <v>1</v>
      </c>
      <c r="N4918" s="26"/>
    </row>
    <row r="4919" spans="1:14" x14ac:dyDescent="0.2">
      <c r="A4919" s="54">
        <v>2025</v>
      </c>
      <c r="B4919" t="s">
        <v>202</v>
      </c>
      <c r="C4919" t="s">
        <v>3180</v>
      </c>
      <c r="D4919" s="22">
        <v>290</v>
      </c>
      <c r="E4919" s="16"/>
      <c r="G4919" t="s">
        <v>155</v>
      </c>
      <c r="I4919" t="s">
        <v>13</v>
      </c>
      <c r="J4919" t="s">
        <v>201</v>
      </c>
      <c r="K4919">
        <v>1</v>
      </c>
      <c r="N4919" s="26"/>
    </row>
    <row r="4920" spans="1:14" x14ac:dyDescent="0.2">
      <c r="A4920" s="54">
        <v>2025</v>
      </c>
      <c r="B4920" t="s">
        <v>202</v>
      </c>
      <c r="C4920" t="s">
        <v>189</v>
      </c>
      <c r="D4920" s="22">
        <v>360</v>
      </c>
      <c r="E4920" s="16"/>
      <c r="F4920" t="s">
        <v>325</v>
      </c>
      <c r="G4920" t="s">
        <v>144</v>
      </c>
      <c r="H4920" t="s">
        <v>299</v>
      </c>
      <c r="I4920" t="s">
        <v>55</v>
      </c>
      <c r="J4920" t="s">
        <v>214</v>
      </c>
      <c r="K4920">
        <v>1</v>
      </c>
      <c r="N4920" s="26"/>
    </row>
    <row r="4921" spans="1:14" x14ac:dyDescent="0.2">
      <c r="A4921" s="54">
        <v>2025</v>
      </c>
      <c r="B4921" t="s">
        <v>202</v>
      </c>
      <c r="C4921" t="s">
        <v>221</v>
      </c>
      <c r="D4921" s="22">
        <v>220</v>
      </c>
      <c r="E4921" s="16"/>
      <c r="F4921" t="s">
        <v>3181</v>
      </c>
      <c r="G4921" t="s">
        <v>151</v>
      </c>
      <c r="H4921" t="s">
        <v>279</v>
      </c>
      <c r="I4921" t="s">
        <v>130</v>
      </c>
      <c r="J4921" t="s">
        <v>214</v>
      </c>
      <c r="K4921">
        <v>1</v>
      </c>
      <c r="N4921" s="26"/>
    </row>
    <row r="4922" spans="1:14" x14ac:dyDescent="0.2">
      <c r="A4922" s="54">
        <v>2025</v>
      </c>
      <c r="B4922" t="s">
        <v>202</v>
      </c>
      <c r="C4922" t="s">
        <v>1035</v>
      </c>
      <c r="D4922" s="22">
        <v>150</v>
      </c>
      <c r="E4922" s="16"/>
      <c r="G4922" t="s">
        <v>144</v>
      </c>
      <c r="H4922" t="s">
        <v>299</v>
      </c>
      <c r="I4922" t="s">
        <v>93</v>
      </c>
      <c r="J4922" t="s">
        <v>201</v>
      </c>
      <c r="K4922">
        <v>1</v>
      </c>
      <c r="N4922" s="26"/>
    </row>
    <row r="4923" spans="1:14" x14ac:dyDescent="0.2">
      <c r="A4923" s="54">
        <v>2025</v>
      </c>
      <c r="B4923" t="s">
        <v>202</v>
      </c>
      <c r="C4923" t="s">
        <v>3182</v>
      </c>
      <c r="D4923" s="22">
        <v>310</v>
      </c>
      <c r="E4923" s="16"/>
      <c r="G4923" t="s">
        <v>154</v>
      </c>
      <c r="H4923" t="s">
        <v>194</v>
      </c>
      <c r="I4923" t="s">
        <v>136</v>
      </c>
      <c r="J4923" t="s">
        <v>183</v>
      </c>
      <c r="K4923">
        <v>1</v>
      </c>
      <c r="N4923" s="26"/>
    </row>
    <row r="4924" spans="1:14" x14ac:dyDescent="0.2">
      <c r="A4924" s="54">
        <v>2025</v>
      </c>
      <c r="B4924" t="s">
        <v>202</v>
      </c>
      <c r="C4924" t="s">
        <v>1035</v>
      </c>
      <c r="D4924" s="22">
        <v>330</v>
      </c>
      <c r="E4924" s="16"/>
      <c r="G4924" t="s">
        <v>144</v>
      </c>
      <c r="H4924" t="s">
        <v>232</v>
      </c>
      <c r="I4924" t="s">
        <v>136</v>
      </c>
      <c r="J4924" t="s">
        <v>183</v>
      </c>
      <c r="K4924">
        <v>1</v>
      </c>
      <c r="N4924" s="26"/>
    </row>
    <row r="4925" spans="1:14" x14ac:dyDescent="0.2">
      <c r="A4925" s="54">
        <v>2025</v>
      </c>
      <c r="B4925" t="s">
        <v>202</v>
      </c>
      <c r="C4925" t="s">
        <v>745</v>
      </c>
      <c r="D4925" s="22">
        <v>200</v>
      </c>
      <c r="E4925" s="16"/>
      <c r="G4925" t="s">
        <v>142</v>
      </c>
      <c r="I4925" t="s">
        <v>138</v>
      </c>
      <c r="J4925" t="s">
        <v>219</v>
      </c>
      <c r="K4925">
        <v>1</v>
      </c>
      <c r="N4925" s="26"/>
    </row>
    <row r="4926" spans="1:14" x14ac:dyDescent="0.2">
      <c r="A4926" s="54">
        <v>2025</v>
      </c>
      <c r="B4926" t="s">
        <v>202</v>
      </c>
      <c r="C4926" t="s">
        <v>221</v>
      </c>
      <c r="D4926" s="22">
        <v>250</v>
      </c>
      <c r="E4926" s="16"/>
      <c r="G4926" t="s">
        <v>154</v>
      </c>
      <c r="H4926" t="s">
        <v>194</v>
      </c>
      <c r="I4926" t="s">
        <v>134</v>
      </c>
      <c r="J4926" t="s">
        <v>201</v>
      </c>
      <c r="K4926">
        <v>1</v>
      </c>
      <c r="N4926" s="26"/>
    </row>
    <row r="4927" spans="1:14" x14ac:dyDescent="0.2">
      <c r="A4927" s="54">
        <v>2025</v>
      </c>
      <c r="B4927" t="s">
        <v>202</v>
      </c>
      <c r="C4927" t="s">
        <v>2228</v>
      </c>
      <c r="D4927" s="22">
        <v>240</v>
      </c>
      <c r="E4927" s="16"/>
      <c r="G4927" t="s">
        <v>151</v>
      </c>
      <c r="H4927" t="s">
        <v>279</v>
      </c>
      <c r="I4927" t="s">
        <v>72</v>
      </c>
      <c r="J4927" t="s">
        <v>183</v>
      </c>
      <c r="K4927">
        <v>1</v>
      </c>
      <c r="N4927" s="26"/>
    </row>
    <row r="4928" spans="1:14" x14ac:dyDescent="0.2">
      <c r="A4928" s="54">
        <v>2025</v>
      </c>
      <c r="B4928" t="s">
        <v>202</v>
      </c>
      <c r="C4928" t="s">
        <v>1292</v>
      </c>
      <c r="D4928" s="22">
        <v>100</v>
      </c>
      <c r="E4928" s="16"/>
      <c r="G4928" t="s">
        <v>144</v>
      </c>
      <c r="H4928" t="s">
        <v>299</v>
      </c>
      <c r="I4928" t="s">
        <v>105</v>
      </c>
      <c r="J4928" t="s">
        <v>214</v>
      </c>
      <c r="K4928">
        <v>1</v>
      </c>
      <c r="N4928" s="26"/>
    </row>
    <row r="4929" spans="1:14" x14ac:dyDescent="0.2">
      <c r="A4929" s="54">
        <v>2025</v>
      </c>
      <c r="B4929" t="s">
        <v>207</v>
      </c>
      <c r="C4929" t="s">
        <v>185</v>
      </c>
      <c r="D4929" s="22">
        <v>4000</v>
      </c>
      <c r="E4929" s="16"/>
      <c r="G4929" t="s">
        <v>144</v>
      </c>
      <c r="H4929" t="s">
        <v>187</v>
      </c>
      <c r="I4929" t="s">
        <v>100</v>
      </c>
      <c r="J4929" t="s">
        <v>214</v>
      </c>
      <c r="K4929">
        <v>1</v>
      </c>
      <c r="N4929" s="26"/>
    </row>
    <row r="4930" spans="1:14" x14ac:dyDescent="0.2">
      <c r="A4930" s="54">
        <v>2025</v>
      </c>
      <c r="B4930" t="s">
        <v>207</v>
      </c>
      <c r="C4930" t="s">
        <v>3183</v>
      </c>
      <c r="D4930" s="22">
        <v>170</v>
      </c>
      <c r="E4930" s="16"/>
      <c r="F4930" t="s">
        <v>3184</v>
      </c>
      <c r="G4930" t="s">
        <v>145</v>
      </c>
      <c r="I4930" t="s">
        <v>105</v>
      </c>
      <c r="J4930" t="s">
        <v>214</v>
      </c>
      <c r="K4930">
        <v>1</v>
      </c>
      <c r="N4930" s="26"/>
    </row>
    <row r="4931" spans="1:14" x14ac:dyDescent="0.2">
      <c r="A4931" s="54">
        <v>2025</v>
      </c>
      <c r="B4931" t="s">
        <v>207</v>
      </c>
      <c r="C4931" t="s">
        <v>341</v>
      </c>
      <c r="D4931" s="22">
        <v>110</v>
      </c>
      <c r="E4931" s="16"/>
      <c r="F4931" t="s">
        <v>3185</v>
      </c>
      <c r="G4931" t="s">
        <v>154</v>
      </c>
      <c r="H4931" t="s">
        <v>529</v>
      </c>
      <c r="I4931" t="s">
        <v>108</v>
      </c>
      <c r="J4931" t="s">
        <v>183</v>
      </c>
      <c r="K4931">
        <v>1</v>
      </c>
      <c r="N4931" s="26"/>
    </row>
    <row r="4932" spans="1:14" x14ac:dyDescent="0.2">
      <c r="A4932" s="54">
        <v>2025</v>
      </c>
      <c r="B4932" t="s">
        <v>207</v>
      </c>
      <c r="C4932" t="s">
        <v>1035</v>
      </c>
      <c r="D4932" s="22">
        <v>330</v>
      </c>
      <c r="E4932" s="16"/>
      <c r="F4932" t="s">
        <v>3186</v>
      </c>
      <c r="G4932" t="s">
        <v>144</v>
      </c>
      <c r="H4932" t="s">
        <v>232</v>
      </c>
      <c r="I4932" t="s">
        <v>94</v>
      </c>
      <c r="J4932" t="s">
        <v>177</v>
      </c>
      <c r="K4932">
        <v>0</v>
      </c>
      <c r="N4932" s="26"/>
    </row>
    <row r="4933" spans="1:14" x14ac:dyDescent="0.2">
      <c r="A4933" s="54">
        <v>2025</v>
      </c>
      <c r="B4933" t="s">
        <v>207</v>
      </c>
      <c r="C4933" t="s">
        <v>1035</v>
      </c>
      <c r="D4933" s="22">
        <v>150</v>
      </c>
      <c r="E4933" s="16"/>
      <c r="F4933" t="s">
        <v>1247</v>
      </c>
      <c r="G4933" t="s">
        <v>144</v>
      </c>
      <c r="H4933" t="s">
        <v>232</v>
      </c>
      <c r="I4933" t="s">
        <v>134</v>
      </c>
      <c r="J4933" t="s">
        <v>201</v>
      </c>
      <c r="K4933">
        <v>1</v>
      </c>
      <c r="N4933" s="26"/>
    </row>
    <row r="4934" spans="1:14" x14ac:dyDescent="0.2">
      <c r="A4934" s="54">
        <v>2025</v>
      </c>
      <c r="B4934" t="s">
        <v>207</v>
      </c>
      <c r="C4934" t="s">
        <v>244</v>
      </c>
      <c r="D4934" s="22">
        <v>570</v>
      </c>
      <c r="E4934" s="16"/>
      <c r="F4934" t="s">
        <v>3187</v>
      </c>
      <c r="G4934" t="s">
        <v>149</v>
      </c>
      <c r="H4934" t="s">
        <v>238</v>
      </c>
      <c r="I4934" t="s">
        <v>136</v>
      </c>
      <c r="J4934" t="s">
        <v>183</v>
      </c>
      <c r="K4934">
        <v>1</v>
      </c>
      <c r="N4934" s="26"/>
    </row>
    <row r="4935" spans="1:14" x14ac:dyDescent="0.2">
      <c r="A4935" s="54">
        <v>2025</v>
      </c>
      <c r="B4935" t="s">
        <v>240</v>
      </c>
      <c r="C4935" t="s">
        <v>341</v>
      </c>
      <c r="D4935" s="22">
        <v>750</v>
      </c>
      <c r="E4935" s="16"/>
      <c r="G4935" t="s">
        <v>154</v>
      </c>
      <c r="H4935" t="s">
        <v>529</v>
      </c>
      <c r="I4935" t="s">
        <v>3188</v>
      </c>
      <c r="J4935" t="s">
        <v>219</v>
      </c>
      <c r="K4935">
        <v>1</v>
      </c>
      <c r="N4935" s="26"/>
    </row>
    <row r="4936" spans="1:14" x14ac:dyDescent="0.2">
      <c r="A4936" s="54">
        <v>2025</v>
      </c>
      <c r="B4936" t="s">
        <v>240</v>
      </c>
      <c r="C4936" t="s">
        <v>185</v>
      </c>
      <c r="D4936" s="22">
        <v>200</v>
      </c>
      <c r="E4936" s="16"/>
      <c r="F4936" t="s">
        <v>2672</v>
      </c>
      <c r="G4936" t="s">
        <v>144</v>
      </c>
      <c r="H4936" t="s">
        <v>187</v>
      </c>
      <c r="I4936" t="s">
        <v>124</v>
      </c>
      <c r="J4936" t="s">
        <v>183</v>
      </c>
      <c r="K4936">
        <v>1</v>
      </c>
      <c r="N4936" s="26"/>
    </row>
    <row r="4937" spans="1:14" x14ac:dyDescent="0.2">
      <c r="A4937" s="54">
        <v>2025</v>
      </c>
      <c r="B4937" t="s">
        <v>240</v>
      </c>
      <c r="C4937" t="s">
        <v>745</v>
      </c>
      <c r="D4937" s="22">
        <v>130</v>
      </c>
      <c r="E4937" s="16"/>
      <c r="G4937" t="s">
        <v>143</v>
      </c>
      <c r="I4937" t="s">
        <v>38</v>
      </c>
      <c r="J4937" t="s">
        <v>214</v>
      </c>
      <c r="K4937">
        <v>1</v>
      </c>
      <c r="N4937" s="26"/>
    </row>
    <row r="4938" spans="1:14" x14ac:dyDescent="0.2">
      <c r="A4938" s="54">
        <v>2025</v>
      </c>
      <c r="B4938" t="s">
        <v>240</v>
      </c>
      <c r="C4938" t="s">
        <v>875</v>
      </c>
      <c r="D4938" s="22">
        <v>830</v>
      </c>
      <c r="E4938" s="16"/>
      <c r="G4938" t="s">
        <v>144</v>
      </c>
      <c r="H4938" t="s">
        <v>232</v>
      </c>
      <c r="I4938" t="s">
        <v>105</v>
      </c>
      <c r="J4938" t="s">
        <v>214</v>
      </c>
      <c r="K4938">
        <v>1</v>
      </c>
      <c r="N4938" s="26"/>
    </row>
    <row r="4939" spans="1:14" x14ac:dyDescent="0.2">
      <c r="A4939" s="54">
        <v>2025</v>
      </c>
      <c r="B4939" t="s">
        <v>240</v>
      </c>
      <c r="C4939" t="s">
        <v>875</v>
      </c>
      <c r="D4939" s="22">
        <v>640</v>
      </c>
      <c r="E4939" s="16"/>
      <c r="G4939" t="s">
        <v>144</v>
      </c>
      <c r="H4939" t="s">
        <v>232</v>
      </c>
      <c r="I4939" t="s">
        <v>105</v>
      </c>
      <c r="J4939" t="s">
        <v>214</v>
      </c>
      <c r="K4939">
        <v>1</v>
      </c>
      <c r="N4939" s="26"/>
    </row>
    <row r="4940" spans="1:14" x14ac:dyDescent="0.2">
      <c r="A4940" s="54">
        <v>2025</v>
      </c>
      <c r="B4940" t="s">
        <v>240</v>
      </c>
      <c r="C4940" t="s">
        <v>397</v>
      </c>
      <c r="D4940" s="22">
        <v>750</v>
      </c>
      <c r="E4940" s="16"/>
      <c r="G4940" t="s">
        <v>151</v>
      </c>
      <c r="H4940" t="s">
        <v>279</v>
      </c>
      <c r="I4940" t="s">
        <v>105</v>
      </c>
      <c r="J4940" t="s">
        <v>214</v>
      </c>
      <c r="K4940">
        <v>1</v>
      </c>
      <c r="N4940" s="26"/>
    </row>
    <row r="4941" spans="1:14" x14ac:dyDescent="0.2">
      <c r="A4941" s="54">
        <v>2025</v>
      </c>
      <c r="B4941" t="s">
        <v>240</v>
      </c>
      <c r="C4941" t="s">
        <v>397</v>
      </c>
      <c r="D4941" s="22">
        <v>270</v>
      </c>
      <c r="E4941" s="16"/>
      <c r="F4941" t="s">
        <v>3189</v>
      </c>
      <c r="G4941" t="s">
        <v>151</v>
      </c>
      <c r="H4941" t="s">
        <v>279</v>
      </c>
      <c r="I4941" t="s">
        <v>130</v>
      </c>
      <c r="J4941" t="s">
        <v>214</v>
      </c>
      <c r="K4941">
        <v>1</v>
      </c>
      <c r="N4941" s="26"/>
    </row>
    <row r="4942" spans="1:14" x14ac:dyDescent="0.2">
      <c r="A4942" s="54">
        <v>2025</v>
      </c>
      <c r="B4942" t="s">
        <v>240</v>
      </c>
      <c r="C4942" t="s">
        <v>337</v>
      </c>
      <c r="D4942" s="22">
        <v>110</v>
      </c>
      <c r="E4942" s="16"/>
      <c r="G4942" t="s">
        <v>144</v>
      </c>
      <c r="H4942" t="s">
        <v>299</v>
      </c>
      <c r="I4942" t="s">
        <v>63</v>
      </c>
      <c r="J4942" t="s">
        <v>201</v>
      </c>
      <c r="K4942">
        <v>1</v>
      </c>
      <c r="N4942" s="26"/>
    </row>
    <row r="4943" spans="1:14" x14ac:dyDescent="0.2">
      <c r="A4943" s="54">
        <v>2025</v>
      </c>
      <c r="B4943" t="s">
        <v>240</v>
      </c>
      <c r="C4943" t="s">
        <v>875</v>
      </c>
      <c r="D4943" s="22">
        <v>810</v>
      </c>
      <c r="E4943" s="16"/>
      <c r="F4943" t="s">
        <v>325</v>
      </c>
      <c r="G4943" t="s">
        <v>144</v>
      </c>
      <c r="H4943" t="s">
        <v>232</v>
      </c>
      <c r="I4943" t="s">
        <v>55</v>
      </c>
      <c r="J4943" t="s">
        <v>214</v>
      </c>
      <c r="K4943">
        <v>1</v>
      </c>
      <c r="N4943" s="26"/>
    </row>
    <row r="4944" spans="1:14" x14ac:dyDescent="0.2">
      <c r="A4944" s="54">
        <v>2025</v>
      </c>
      <c r="B4944" t="s">
        <v>240</v>
      </c>
      <c r="C4944" t="s">
        <v>745</v>
      </c>
      <c r="D4944" s="22">
        <v>140</v>
      </c>
      <c r="E4944" s="16"/>
      <c r="F4944" t="s">
        <v>3190</v>
      </c>
      <c r="G4944" t="s">
        <v>142</v>
      </c>
      <c r="I4944" t="s">
        <v>53</v>
      </c>
      <c r="J4944" t="s">
        <v>183</v>
      </c>
      <c r="K4944">
        <v>1</v>
      </c>
      <c r="N4944" s="26"/>
    </row>
    <row r="4945" spans="1:14" x14ac:dyDescent="0.2">
      <c r="A4945" s="54">
        <v>2025</v>
      </c>
      <c r="B4945" t="s">
        <v>240</v>
      </c>
      <c r="C4945" t="s">
        <v>2157</v>
      </c>
      <c r="D4945" s="22">
        <v>320</v>
      </c>
      <c r="E4945" s="16"/>
      <c r="G4945" t="s">
        <v>154</v>
      </c>
      <c r="H4945" t="s">
        <v>194</v>
      </c>
      <c r="I4945" t="s">
        <v>97</v>
      </c>
      <c r="J4945" t="s">
        <v>183</v>
      </c>
      <c r="K4945">
        <v>1</v>
      </c>
      <c r="N4945" s="26"/>
    </row>
    <row r="4946" spans="1:14" x14ac:dyDescent="0.2">
      <c r="A4946" s="54">
        <v>2025</v>
      </c>
      <c r="B4946" t="s">
        <v>240</v>
      </c>
      <c r="C4946" t="s">
        <v>2547</v>
      </c>
      <c r="D4946" s="22">
        <v>290</v>
      </c>
      <c r="E4946" s="16"/>
      <c r="G4946" t="s">
        <v>154</v>
      </c>
      <c r="H4946" t="s">
        <v>194</v>
      </c>
      <c r="I4946" t="s">
        <v>97</v>
      </c>
      <c r="J4946" t="s">
        <v>183</v>
      </c>
      <c r="K4946">
        <v>1</v>
      </c>
      <c r="N4946" s="26"/>
    </row>
    <row r="4947" spans="1:14" x14ac:dyDescent="0.2">
      <c r="A4947" s="54">
        <v>2025</v>
      </c>
      <c r="B4947" t="s">
        <v>212</v>
      </c>
      <c r="C4947" t="s">
        <v>875</v>
      </c>
      <c r="D4947" s="22">
        <v>300</v>
      </c>
      <c r="E4947" s="16"/>
      <c r="F4947" t="s">
        <v>3191</v>
      </c>
      <c r="G4947" t="s">
        <v>144</v>
      </c>
      <c r="H4947" t="s">
        <v>232</v>
      </c>
      <c r="I4947" t="s">
        <v>92</v>
      </c>
      <c r="J4947" t="s">
        <v>214</v>
      </c>
      <c r="K4947">
        <v>1</v>
      </c>
      <c r="N4947" s="26"/>
    </row>
    <row r="4948" spans="1:14" x14ac:dyDescent="0.2">
      <c r="A4948" s="54">
        <v>2025</v>
      </c>
      <c r="B4948" t="s">
        <v>212</v>
      </c>
      <c r="C4948" t="s">
        <v>1035</v>
      </c>
      <c r="D4948" s="22">
        <v>160</v>
      </c>
      <c r="E4948" s="16"/>
      <c r="F4948" t="s">
        <v>3192</v>
      </c>
      <c r="G4948" t="s">
        <v>144</v>
      </c>
      <c r="H4948" t="s">
        <v>232</v>
      </c>
      <c r="I4948" t="s">
        <v>97</v>
      </c>
      <c r="J4948" t="s">
        <v>183</v>
      </c>
      <c r="K4948">
        <v>1</v>
      </c>
      <c r="N4948" s="26"/>
    </row>
    <row r="4949" spans="1:14" x14ac:dyDescent="0.2">
      <c r="A4949" s="54">
        <v>2025</v>
      </c>
      <c r="B4949" t="s">
        <v>212</v>
      </c>
      <c r="C4949" t="s">
        <v>3026</v>
      </c>
      <c r="D4949" s="22">
        <v>100</v>
      </c>
      <c r="E4949" s="16"/>
      <c r="G4949" t="s">
        <v>144</v>
      </c>
      <c r="H4949" t="s">
        <v>299</v>
      </c>
      <c r="I4949" t="s">
        <v>21</v>
      </c>
      <c r="J4949" t="s">
        <v>183</v>
      </c>
      <c r="K4949">
        <v>1</v>
      </c>
      <c r="N4949" s="26"/>
    </row>
    <row r="4950" spans="1:14" x14ac:dyDescent="0.2">
      <c r="A4950" s="54">
        <v>2025</v>
      </c>
      <c r="B4950" t="s">
        <v>212</v>
      </c>
      <c r="C4950" t="s">
        <v>1035</v>
      </c>
      <c r="D4950" s="22">
        <v>120</v>
      </c>
      <c r="E4950" s="16"/>
      <c r="F4950" t="s">
        <v>2151</v>
      </c>
      <c r="G4950" t="s">
        <v>144</v>
      </c>
      <c r="H4950" t="s">
        <v>232</v>
      </c>
      <c r="I4950" t="s">
        <v>97</v>
      </c>
      <c r="J4950" t="s">
        <v>183</v>
      </c>
      <c r="K4950">
        <v>1</v>
      </c>
      <c r="N4950" s="26"/>
    </row>
    <row r="4951" spans="1:14" x14ac:dyDescent="0.2">
      <c r="A4951" s="54">
        <v>2025</v>
      </c>
      <c r="B4951" t="s">
        <v>212</v>
      </c>
      <c r="C4951" t="s">
        <v>557</v>
      </c>
      <c r="D4951" s="22">
        <v>250</v>
      </c>
      <c r="E4951" s="16"/>
      <c r="F4951" t="s">
        <v>3193</v>
      </c>
      <c r="G4951" t="s">
        <v>151</v>
      </c>
      <c r="H4951" t="s">
        <v>279</v>
      </c>
      <c r="I4951" t="s">
        <v>64</v>
      </c>
      <c r="J4951" t="s">
        <v>219</v>
      </c>
      <c r="K4951">
        <v>1</v>
      </c>
      <c r="N4951" s="26"/>
    </row>
    <row r="4952" spans="1:14" x14ac:dyDescent="0.2">
      <c r="A4952" s="54">
        <v>2025</v>
      </c>
      <c r="B4952" t="s">
        <v>212</v>
      </c>
      <c r="C4952" t="s">
        <v>596</v>
      </c>
      <c r="D4952" s="22">
        <v>310</v>
      </c>
      <c r="E4952" s="16"/>
      <c r="G4952" t="s">
        <v>144</v>
      </c>
      <c r="H4952" t="s">
        <v>232</v>
      </c>
      <c r="I4952" t="s">
        <v>92</v>
      </c>
      <c r="J4952" t="s">
        <v>214</v>
      </c>
      <c r="K4952">
        <v>1</v>
      </c>
      <c r="N4952" s="26"/>
    </row>
    <row r="4953" spans="1:14" x14ac:dyDescent="0.2">
      <c r="A4953" s="54">
        <v>2025</v>
      </c>
      <c r="B4953" t="s">
        <v>212</v>
      </c>
      <c r="C4953" t="s">
        <v>875</v>
      </c>
      <c r="D4953" s="22">
        <v>360</v>
      </c>
      <c r="E4953" s="16"/>
      <c r="G4953" t="s">
        <v>144</v>
      </c>
      <c r="H4953" t="s">
        <v>197</v>
      </c>
      <c r="I4953" t="s">
        <v>34</v>
      </c>
      <c r="J4953" t="s">
        <v>219</v>
      </c>
      <c r="K4953">
        <v>1</v>
      </c>
      <c r="N4953" s="26"/>
    </row>
    <row r="4954" spans="1:14" x14ac:dyDescent="0.2">
      <c r="A4954" s="54">
        <v>2025</v>
      </c>
      <c r="B4954" t="s">
        <v>212</v>
      </c>
      <c r="C4954" t="s">
        <v>189</v>
      </c>
      <c r="D4954" s="22">
        <v>440</v>
      </c>
      <c r="E4954" s="16"/>
      <c r="F4954" t="s">
        <v>2300</v>
      </c>
      <c r="G4954" t="s">
        <v>143</v>
      </c>
      <c r="I4954" t="s">
        <v>5</v>
      </c>
      <c r="J4954" t="s">
        <v>214</v>
      </c>
      <c r="K4954">
        <v>1</v>
      </c>
      <c r="N4954" s="26"/>
    </row>
    <row r="4955" spans="1:14" x14ac:dyDescent="0.2">
      <c r="A4955" s="54">
        <v>2025</v>
      </c>
      <c r="B4955" t="s">
        <v>212</v>
      </c>
      <c r="C4955" t="s">
        <v>875</v>
      </c>
      <c r="D4955" s="22">
        <v>300</v>
      </c>
      <c r="E4955" s="16"/>
      <c r="G4955" t="s">
        <v>144</v>
      </c>
      <c r="H4955" t="s">
        <v>232</v>
      </c>
      <c r="I4955" t="s">
        <v>105</v>
      </c>
      <c r="J4955" t="s">
        <v>214</v>
      </c>
      <c r="K4955">
        <v>1</v>
      </c>
      <c r="N4955" s="26"/>
    </row>
    <row r="4956" spans="1:14" x14ac:dyDescent="0.2">
      <c r="A4956" s="54">
        <v>2025</v>
      </c>
      <c r="B4956" t="s">
        <v>212</v>
      </c>
      <c r="C4956" t="s">
        <v>1035</v>
      </c>
      <c r="D4956" s="22">
        <v>190</v>
      </c>
      <c r="E4956" s="16"/>
      <c r="G4956" t="s">
        <v>147</v>
      </c>
      <c r="I4956" t="s">
        <v>96</v>
      </c>
      <c r="J4956" t="s">
        <v>205</v>
      </c>
      <c r="K4956">
        <v>1</v>
      </c>
      <c r="N4956" s="26"/>
    </row>
    <row r="4957" spans="1:14" x14ac:dyDescent="0.2">
      <c r="A4957" s="54">
        <v>2025</v>
      </c>
      <c r="B4957" t="s">
        <v>212</v>
      </c>
      <c r="C4957" t="s">
        <v>175</v>
      </c>
      <c r="D4957" s="22">
        <v>110</v>
      </c>
      <c r="E4957" s="16"/>
      <c r="F4957" t="s">
        <v>2114</v>
      </c>
      <c r="G4957" t="s">
        <v>149</v>
      </c>
      <c r="H4957" t="s">
        <v>182</v>
      </c>
      <c r="I4957" t="s">
        <v>19</v>
      </c>
      <c r="J4957" t="s">
        <v>205</v>
      </c>
      <c r="K4957">
        <v>0</v>
      </c>
      <c r="N4957" s="26"/>
    </row>
    <row r="4958" spans="1:14" x14ac:dyDescent="0.2">
      <c r="D4958" s="65"/>
      <c r="E4958" s="33"/>
      <c r="L4958" s="28"/>
      <c r="N4958" s="26"/>
    </row>
    <row r="4959" spans="1:14" x14ac:dyDescent="0.2">
      <c r="D4959" s="65"/>
      <c r="E4959" s="33"/>
      <c r="L4959" s="28"/>
      <c r="N4959" s="26"/>
    </row>
    <row r="4960" spans="1:14" x14ac:dyDescent="0.2">
      <c r="D4960" s="65"/>
      <c r="E4960" s="33"/>
      <c r="L4960" s="28"/>
      <c r="N4960" s="26"/>
    </row>
    <row r="4961" spans="4:14" x14ac:dyDescent="0.2">
      <c r="D4961" s="65"/>
      <c r="E4961" s="33"/>
      <c r="L4961" s="28"/>
      <c r="N4961" s="26"/>
    </row>
    <row r="4962" spans="4:14" x14ac:dyDescent="0.2">
      <c r="D4962" s="65"/>
      <c r="E4962" s="33"/>
      <c r="L4962" s="28"/>
      <c r="N4962" s="26"/>
    </row>
    <row r="4963" spans="4:14" x14ac:dyDescent="0.2">
      <c r="D4963" s="65"/>
      <c r="E4963" s="33"/>
      <c r="L4963" s="28"/>
      <c r="N4963" s="26"/>
    </row>
    <row r="4964" spans="4:14" x14ac:dyDescent="0.2">
      <c r="D4964" s="65"/>
      <c r="E4964" s="33"/>
      <c r="L4964" s="28"/>
      <c r="N4964" s="26"/>
    </row>
    <row r="4965" spans="4:14" x14ac:dyDescent="0.2">
      <c r="D4965" s="65"/>
      <c r="E4965" s="33"/>
      <c r="L4965" s="28"/>
      <c r="N4965" s="26"/>
    </row>
    <row r="4966" spans="4:14" x14ac:dyDescent="0.2">
      <c r="D4966" s="65"/>
      <c r="E4966" s="33"/>
      <c r="L4966" s="28"/>
      <c r="N4966" s="26"/>
    </row>
    <row r="4967" spans="4:14" x14ac:dyDescent="0.2">
      <c r="D4967" s="65"/>
      <c r="E4967" s="33"/>
      <c r="L4967" s="28"/>
      <c r="N4967" s="26"/>
    </row>
    <row r="4968" spans="4:14" x14ac:dyDescent="0.2">
      <c r="D4968" s="65"/>
      <c r="E4968" s="33"/>
      <c r="L4968" s="28"/>
      <c r="N4968" s="26"/>
    </row>
    <row r="4969" spans="4:14" x14ac:dyDescent="0.2">
      <c r="D4969" s="65"/>
      <c r="E4969" s="33"/>
      <c r="L4969" s="28"/>
      <c r="N4969" s="26"/>
    </row>
    <row r="4970" spans="4:14" x14ac:dyDescent="0.2">
      <c r="D4970" s="65"/>
      <c r="E4970" s="33"/>
      <c r="L4970" s="28"/>
      <c r="N4970" s="26"/>
    </row>
    <row r="4971" spans="4:14" x14ac:dyDescent="0.2">
      <c r="D4971" s="65"/>
      <c r="E4971" s="33"/>
      <c r="L4971" s="28"/>
      <c r="N4971" s="26"/>
    </row>
    <row r="4972" spans="4:14" x14ac:dyDescent="0.2">
      <c r="D4972" s="65"/>
      <c r="E4972" s="33"/>
      <c r="L4972" s="28"/>
      <c r="N4972" s="26"/>
    </row>
    <row r="4973" spans="4:14" x14ac:dyDescent="0.2">
      <c r="D4973" s="65"/>
      <c r="E4973" s="33"/>
      <c r="L4973" s="28"/>
      <c r="N4973" s="26"/>
    </row>
    <row r="4974" spans="4:14" x14ac:dyDescent="0.2">
      <c r="D4974" s="65"/>
      <c r="E4974" s="33"/>
      <c r="L4974" s="28"/>
      <c r="N4974" s="26"/>
    </row>
    <row r="4975" spans="4:14" x14ac:dyDescent="0.2">
      <c r="D4975" s="65"/>
      <c r="E4975" s="33"/>
      <c r="L4975" s="28"/>
      <c r="N4975" s="26"/>
    </row>
    <row r="4976" spans="4:14" x14ac:dyDescent="0.2">
      <c r="D4976" s="65"/>
      <c r="E4976" s="33"/>
      <c r="L4976" s="28"/>
      <c r="N4976" s="26"/>
    </row>
    <row r="4977" spans="4:14" x14ac:dyDescent="0.2">
      <c r="D4977" s="65"/>
      <c r="E4977" s="33"/>
      <c r="L4977" s="28"/>
      <c r="N4977" s="26"/>
    </row>
    <row r="4978" spans="4:14" x14ac:dyDescent="0.2">
      <c r="D4978" s="65"/>
      <c r="E4978" s="33"/>
      <c r="L4978" s="28"/>
      <c r="N4978" s="26"/>
    </row>
    <row r="4979" spans="4:14" x14ac:dyDescent="0.2">
      <c r="D4979" s="65"/>
      <c r="E4979" s="33"/>
      <c r="L4979" s="28"/>
      <c r="N4979" s="26"/>
    </row>
    <row r="4980" spans="4:14" x14ac:dyDescent="0.2">
      <c r="D4980" s="65"/>
      <c r="E4980" s="33"/>
      <c r="L4980" s="28"/>
      <c r="N4980" s="26"/>
    </row>
    <row r="4981" spans="4:14" x14ac:dyDescent="0.2">
      <c r="D4981" s="65"/>
      <c r="E4981" s="33"/>
      <c r="L4981" s="28"/>
      <c r="N4981" s="26"/>
    </row>
    <row r="4982" spans="4:14" x14ac:dyDescent="0.2">
      <c r="D4982" s="65"/>
      <c r="E4982" s="33"/>
      <c r="L4982" s="28"/>
      <c r="N4982" s="26"/>
    </row>
    <row r="4983" spans="4:14" x14ac:dyDescent="0.2">
      <c r="D4983" s="65"/>
      <c r="E4983" s="33"/>
      <c r="L4983" s="28"/>
      <c r="N4983" s="26"/>
    </row>
    <row r="4984" spans="4:14" x14ac:dyDescent="0.2">
      <c r="D4984" s="65"/>
      <c r="E4984" s="33"/>
      <c r="L4984" s="28"/>
      <c r="N4984" s="26"/>
    </row>
    <row r="4985" spans="4:14" x14ac:dyDescent="0.2">
      <c r="D4985" s="65"/>
      <c r="E4985" s="33"/>
      <c r="L4985" s="28"/>
      <c r="N4985" s="26"/>
    </row>
    <row r="4986" spans="4:14" x14ac:dyDescent="0.2">
      <c r="D4986" s="65"/>
      <c r="E4986" s="33"/>
      <c r="L4986" s="28"/>
      <c r="N4986" s="26"/>
    </row>
    <row r="4987" spans="4:14" x14ac:dyDescent="0.2">
      <c r="D4987" s="65"/>
      <c r="E4987" s="33"/>
      <c r="L4987" s="28"/>
      <c r="N4987" s="26"/>
    </row>
    <row r="4988" spans="4:14" x14ac:dyDescent="0.2">
      <c r="D4988" s="65"/>
      <c r="E4988" s="33"/>
      <c r="L4988" s="28"/>
      <c r="N4988" s="26"/>
    </row>
    <row r="4989" spans="4:14" x14ac:dyDescent="0.2">
      <c r="D4989" s="65"/>
      <c r="E4989" s="33"/>
      <c r="L4989" s="28"/>
      <c r="N4989" s="26"/>
    </row>
    <row r="4990" spans="4:14" x14ac:dyDescent="0.2">
      <c r="D4990" s="65"/>
      <c r="E4990" s="33"/>
      <c r="L4990" s="28"/>
      <c r="N4990" s="26"/>
    </row>
    <row r="4991" spans="4:14" x14ac:dyDescent="0.2">
      <c r="D4991" s="65"/>
      <c r="E4991" s="33"/>
      <c r="L4991" s="28"/>
      <c r="N4991" s="26"/>
    </row>
    <row r="4992" spans="4:14" x14ac:dyDescent="0.2">
      <c r="D4992" s="65"/>
      <c r="E4992" s="33"/>
      <c r="L4992" s="28"/>
      <c r="N4992" s="26"/>
    </row>
    <row r="4993" spans="4:14" x14ac:dyDescent="0.2">
      <c r="D4993" s="65"/>
      <c r="E4993" s="33"/>
      <c r="L4993" s="28"/>
      <c r="N4993" s="26"/>
    </row>
    <row r="4994" spans="4:14" x14ac:dyDescent="0.2">
      <c r="D4994" s="65"/>
      <c r="E4994" s="33"/>
      <c r="L4994" s="28"/>
      <c r="N4994" s="26"/>
    </row>
    <row r="4995" spans="4:14" x14ac:dyDescent="0.2">
      <c r="D4995" s="65"/>
      <c r="E4995" s="33"/>
      <c r="L4995" s="28"/>
      <c r="N4995" s="26"/>
    </row>
    <row r="4996" spans="4:14" x14ac:dyDescent="0.2">
      <c r="D4996" s="65"/>
      <c r="E4996" s="33"/>
      <c r="L4996" s="28"/>
      <c r="N4996" s="26"/>
    </row>
    <row r="4997" spans="4:14" x14ac:dyDescent="0.2">
      <c r="D4997" s="65"/>
      <c r="E4997" s="33"/>
      <c r="L4997" s="28"/>
      <c r="N4997" s="26"/>
    </row>
    <row r="4998" spans="4:14" x14ac:dyDescent="0.2">
      <c r="D4998" s="65"/>
      <c r="E4998" s="33"/>
      <c r="L4998" s="28"/>
      <c r="N4998" s="26"/>
    </row>
    <row r="4999" spans="4:14" x14ac:dyDescent="0.2">
      <c r="D4999" s="65"/>
      <c r="E4999" s="33"/>
      <c r="L4999" s="28"/>
      <c r="N4999" s="26"/>
    </row>
    <row r="5000" spans="4:14" x14ac:dyDescent="0.2">
      <c r="D5000" s="65"/>
      <c r="E5000" s="33"/>
      <c r="L5000" s="28"/>
      <c r="N5000" s="26"/>
    </row>
    <row r="5001" spans="4:14" x14ac:dyDescent="0.2">
      <c r="D5001" s="65"/>
      <c r="E5001" s="33"/>
      <c r="L5001" s="28"/>
      <c r="N5001" s="26"/>
    </row>
    <row r="5002" spans="4:14" x14ac:dyDescent="0.2">
      <c r="D5002" s="65"/>
      <c r="E5002" s="33"/>
      <c r="L5002" s="28"/>
      <c r="N5002" s="26"/>
    </row>
    <row r="5003" spans="4:14" x14ac:dyDescent="0.2">
      <c r="D5003" s="65"/>
      <c r="E5003" s="33"/>
      <c r="L5003" s="28"/>
      <c r="N5003" s="26"/>
    </row>
    <row r="5004" spans="4:14" x14ac:dyDescent="0.2">
      <c r="D5004" s="65"/>
      <c r="E5004" s="33"/>
      <c r="L5004" s="28"/>
      <c r="N5004" s="26"/>
    </row>
    <row r="5005" spans="4:14" x14ac:dyDescent="0.2">
      <c r="D5005" s="65"/>
      <c r="E5005" s="33"/>
      <c r="L5005" s="28"/>
      <c r="N5005" s="26"/>
    </row>
    <row r="5006" spans="4:14" x14ac:dyDescent="0.2">
      <c r="D5006" s="65"/>
      <c r="E5006" s="33"/>
      <c r="L5006" s="28"/>
      <c r="N5006" s="26"/>
    </row>
    <row r="5007" spans="4:14" x14ac:dyDescent="0.2">
      <c r="D5007" s="65"/>
      <c r="E5007" s="33"/>
      <c r="L5007" s="28"/>
      <c r="N5007" s="26"/>
    </row>
    <row r="5008" spans="4:14" x14ac:dyDescent="0.2">
      <c r="D5008" s="65"/>
      <c r="E5008" s="33"/>
      <c r="L5008" s="28"/>
      <c r="N5008" s="26"/>
    </row>
    <row r="5009" spans="1:14" x14ac:dyDescent="0.2">
      <c r="D5009" s="65"/>
      <c r="E5009" s="33"/>
      <c r="L5009" s="28"/>
      <c r="N5009" s="26"/>
    </row>
    <row r="5010" spans="1:14" x14ac:dyDescent="0.2">
      <c r="D5010" s="65"/>
      <c r="E5010" s="33"/>
      <c r="L5010" s="28"/>
      <c r="N5010" s="26"/>
    </row>
    <row r="5011" spans="1:14" x14ac:dyDescent="0.2">
      <c r="D5011" s="65"/>
      <c r="E5011" s="33"/>
      <c r="L5011" s="28"/>
      <c r="N5011" s="26"/>
    </row>
    <row r="5012" spans="1:14" x14ac:dyDescent="0.2">
      <c r="D5012" s="65"/>
      <c r="E5012" s="33"/>
      <c r="L5012" s="28"/>
      <c r="N5012" s="26"/>
    </row>
    <row r="5013" spans="1:14" x14ac:dyDescent="0.2">
      <c r="A5013" s="54"/>
      <c r="D5013" s="22"/>
      <c r="E5013" s="16"/>
      <c r="N5013" s="26"/>
    </row>
    <row r="5014" spans="1:14" x14ac:dyDescent="0.2">
      <c r="A5014" s="54"/>
      <c r="D5014" s="22"/>
      <c r="E5014" s="16"/>
      <c r="N5014" s="26"/>
    </row>
    <row r="5015" spans="1:14" x14ac:dyDescent="0.2">
      <c r="A5015" s="54"/>
      <c r="D5015" s="22"/>
      <c r="E5015" s="16"/>
      <c r="N5015" s="26"/>
    </row>
    <row r="5016" spans="1:14" x14ac:dyDescent="0.2">
      <c r="A5016" s="54"/>
      <c r="D5016" s="22"/>
      <c r="E5016" s="16"/>
      <c r="N5016" s="26"/>
    </row>
    <row r="5017" spans="1:14" x14ac:dyDescent="0.2">
      <c r="A5017" s="54"/>
      <c r="D5017" s="22"/>
      <c r="E5017" s="16"/>
      <c r="N5017" s="26"/>
    </row>
    <row r="5018" spans="1:14" x14ac:dyDescent="0.2">
      <c r="A5018" s="54"/>
      <c r="D5018" s="22"/>
      <c r="E5018" s="16"/>
      <c r="N5018" s="26"/>
    </row>
    <row r="5019" spans="1:14" x14ac:dyDescent="0.2">
      <c r="A5019" s="54"/>
      <c r="D5019" s="22"/>
      <c r="E5019" s="16"/>
      <c r="N5019" s="26"/>
    </row>
    <row r="5020" spans="1:14" x14ac:dyDescent="0.2">
      <c r="A5020" s="54"/>
      <c r="D5020" s="22"/>
      <c r="E5020" s="16"/>
      <c r="N5020" s="26"/>
    </row>
    <row r="5021" spans="1:14" x14ac:dyDescent="0.2">
      <c r="A5021" s="54"/>
      <c r="D5021" s="22"/>
      <c r="E5021" s="16"/>
      <c r="N5021" s="26"/>
    </row>
    <row r="5022" spans="1:14" x14ac:dyDescent="0.2">
      <c r="A5022" s="54"/>
      <c r="D5022" s="22"/>
      <c r="E5022" s="16"/>
      <c r="N5022" s="26"/>
    </row>
    <row r="5023" spans="1:14" x14ac:dyDescent="0.2">
      <c r="A5023" s="54"/>
      <c r="D5023" s="22"/>
      <c r="E5023" s="16"/>
      <c r="N5023" s="26"/>
    </row>
    <row r="5024" spans="1:14" x14ac:dyDescent="0.2">
      <c r="A5024" s="54"/>
      <c r="D5024" s="22"/>
      <c r="E5024" s="16"/>
      <c r="N5024" s="26"/>
    </row>
    <row r="5025" spans="1:14" x14ac:dyDescent="0.2">
      <c r="A5025" s="54"/>
      <c r="D5025" s="22"/>
      <c r="E5025" s="16"/>
      <c r="N5025" s="26"/>
    </row>
    <row r="5026" spans="1:14" x14ac:dyDescent="0.2">
      <c r="A5026" s="54"/>
      <c r="D5026" s="22"/>
      <c r="E5026" s="16"/>
      <c r="N5026" s="26"/>
    </row>
    <row r="5027" spans="1:14" x14ac:dyDescent="0.2">
      <c r="A5027" s="54"/>
      <c r="D5027" s="22"/>
      <c r="E5027" s="16"/>
      <c r="N5027" s="26"/>
    </row>
    <row r="5028" spans="1:14" x14ac:dyDescent="0.2">
      <c r="A5028" s="54"/>
      <c r="D5028" s="22"/>
      <c r="E5028" s="16"/>
      <c r="N5028" s="26"/>
    </row>
    <row r="5029" spans="1:14" x14ac:dyDescent="0.2">
      <c r="A5029" s="54"/>
      <c r="D5029" s="22"/>
      <c r="E5029" s="16"/>
      <c r="N5029" s="26"/>
    </row>
    <row r="5030" spans="1:14" x14ac:dyDescent="0.2">
      <c r="A5030" s="54"/>
      <c r="D5030" s="22"/>
      <c r="E5030" s="16"/>
      <c r="N5030" s="26"/>
    </row>
    <row r="5031" spans="1:14" x14ac:dyDescent="0.2">
      <c r="A5031" s="54"/>
      <c r="D5031" s="22"/>
      <c r="E5031" s="16"/>
      <c r="N5031" s="26"/>
    </row>
    <row r="5032" spans="1:14" x14ac:dyDescent="0.2">
      <c r="A5032" s="54"/>
      <c r="D5032" s="22"/>
      <c r="E5032" s="16"/>
      <c r="N5032" s="26"/>
    </row>
    <row r="5033" spans="1:14" x14ac:dyDescent="0.2">
      <c r="A5033" s="54"/>
      <c r="D5033" s="22"/>
      <c r="E5033" s="16"/>
      <c r="N5033" s="26"/>
    </row>
    <row r="5034" spans="1:14" x14ac:dyDescent="0.2">
      <c r="A5034" s="54"/>
      <c r="D5034" s="22"/>
      <c r="E5034" s="16"/>
      <c r="N5034" s="26"/>
    </row>
    <row r="5035" spans="1:14" x14ac:dyDescent="0.2">
      <c r="A5035" s="54"/>
      <c r="D5035" s="22"/>
      <c r="E5035" s="16"/>
      <c r="N5035" s="26"/>
    </row>
    <row r="5036" spans="1:14" x14ac:dyDescent="0.2">
      <c r="A5036" s="54"/>
      <c r="D5036" s="22"/>
      <c r="E5036" s="16"/>
      <c r="N5036" s="26"/>
    </row>
    <row r="5037" spans="1:14" x14ac:dyDescent="0.2">
      <c r="A5037" s="54"/>
      <c r="D5037" s="22"/>
      <c r="E5037" s="16"/>
      <c r="N5037" s="26"/>
    </row>
    <row r="5038" spans="1:14" x14ac:dyDescent="0.2">
      <c r="A5038" s="54"/>
      <c r="D5038" s="22"/>
      <c r="E5038" s="16"/>
      <c r="N5038" s="26"/>
    </row>
    <row r="5039" spans="1:14" x14ac:dyDescent="0.2">
      <c r="A5039" s="54"/>
      <c r="D5039" s="22"/>
      <c r="E5039" s="16"/>
      <c r="N5039" s="26"/>
    </row>
    <row r="5040" spans="1:14" x14ac:dyDescent="0.2">
      <c r="A5040" s="54"/>
      <c r="D5040" s="22"/>
      <c r="E5040" s="16"/>
      <c r="N5040" s="26"/>
    </row>
    <row r="5041" spans="1:14" x14ac:dyDescent="0.2">
      <c r="A5041" s="54"/>
      <c r="D5041" s="22"/>
      <c r="E5041" s="16"/>
      <c r="N5041" s="26"/>
    </row>
    <row r="5042" spans="1:14" x14ac:dyDescent="0.2">
      <c r="A5042" s="54"/>
      <c r="D5042" s="22"/>
      <c r="E5042" s="16"/>
      <c r="N5042" s="26"/>
    </row>
    <row r="5043" spans="1:14" x14ac:dyDescent="0.2">
      <c r="A5043" s="54"/>
      <c r="D5043" s="22"/>
      <c r="E5043" s="16"/>
      <c r="N5043" s="26"/>
    </row>
    <row r="5044" spans="1:14" x14ac:dyDescent="0.2">
      <c r="A5044" s="54"/>
      <c r="D5044" s="22"/>
      <c r="E5044" s="16"/>
      <c r="N5044" s="26"/>
    </row>
    <row r="5045" spans="1:14" x14ac:dyDescent="0.2">
      <c r="A5045" s="54"/>
      <c r="D5045" s="22"/>
      <c r="E5045" s="16"/>
      <c r="N5045" s="26"/>
    </row>
    <row r="5046" spans="1:14" x14ac:dyDescent="0.2">
      <c r="A5046" s="54"/>
      <c r="D5046" s="22"/>
      <c r="E5046" s="16"/>
      <c r="N5046" s="26"/>
    </row>
    <row r="5047" spans="1:14" x14ac:dyDescent="0.2">
      <c r="A5047" s="54"/>
      <c r="D5047" s="22"/>
      <c r="E5047" s="16"/>
      <c r="N5047" s="26"/>
    </row>
    <row r="5048" spans="1:14" x14ac:dyDescent="0.2">
      <c r="A5048" s="54"/>
      <c r="D5048" s="22"/>
      <c r="E5048" s="16"/>
      <c r="N5048" s="26"/>
    </row>
    <row r="5049" spans="1:14" x14ac:dyDescent="0.2">
      <c r="A5049" s="54"/>
      <c r="D5049" s="22"/>
      <c r="E5049" s="16"/>
      <c r="N5049" s="26"/>
    </row>
    <row r="5050" spans="1:14" x14ac:dyDescent="0.2">
      <c r="A5050" s="54"/>
      <c r="D5050" s="22"/>
      <c r="E5050" s="16"/>
      <c r="N5050" s="26"/>
    </row>
    <row r="5051" spans="1:14" x14ac:dyDescent="0.2">
      <c r="A5051" s="54"/>
      <c r="D5051" s="22"/>
      <c r="E5051" s="16"/>
      <c r="N5051" s="26"/>
    </row>
    <row r="5052" spans="1:14" x14ac:dyDescent="0.2">
      <c r="A5052" s="54"/>
      <c r="D5052" s="22"/>
      <c r="E5052" s="16"/>
      <c r="N5052" s="26"/>
    </row>
    <row r="5053" spans="1:14" x14ac:dyDescent="0.2">
      <c r="A5053" s="54"/>
      <c r="D5053" s="22"/>
      <c r="E5053" s="16"/>
      <c r="N5053" s="26"/>
    </row>
    <row r="5054" spans="1:14" x14ac:dyDescent="0.2">
      <c r="A5054" s="54"/>
      <c r="D5054" s="22"/>
      <c r="E5054" s="16"/>
      <c r="N5054" s="26"/>
    </row>
    <row r="5055" spans="1:14" x14ac:dyDescent="0.2">
      <c r="A5055" s="54"/>
      <c r="D5055" s="22"/>
      <c r="E5055" s="16"/>
      <c r="N5055" s="26"/>
    </row>
  </sheetData>
  <autoFilter ref="A5:L5055" xr:uid="{00000000-0009-0000-0000-000003000000}">
    <sortState xmlns:xlrd2="http://schemas.microsoft.com/office/spreadsheetml/2017/richdata2" ref="A6:L41">
      <sortCondition ref="A6:A5055"/>
      <sortCondition ref="B6:B5055" customList="January,February,March,April,May,June,July,August,September,October,November,December"/>
    </sortState>
  </autoFilter>
  <pageMargins left="0.7" right="0.7" top="0.75" bottom="0.75" header="0.3" footer="0.3"/>
  <pageSetup orientation="portrait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G152"/>
  <sheetViews>
    <sheetView workbookViewId="0">
      <pane xSplit="1" ySplit="5" topLeftCell="I6" activePane="bottomRight" state="frozen"/>
      <selection pane="topRight"/>
      <selection pane="bottomLeft"/>
      <selection pane="bottomRight" activeCell="D27" sqref="D27"/>
    </sheetView>
  </sheetViews>
  <sheetFormatPr baseColWidth="10" defaultColWidth="8.83203125" defaultRowHeight="15" x14ac:dyDescent="0.2"/>
  <cols>
    <col min="1" max="1" width="34" customWidth="1"/>
    <col min="2" max="137" width="15" customWidth="1"/>
  </cols>
  <sheetData>
    <row r="1" spans="1:137" ht="19" x14ac:dyDescent="0.25">
      <c r="A1" s="84" t="s">
        <v>0</v>
      </c>
    </row>
    <row r="2" spans="1:137" x14ac:dyDescent="0.2">
      <c r="A2" s="89" t="s">
        <v>1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</row>
    <row r="4" spans="1:137" ht="16" x14ac:dyDescent="0.2">
      <c r="A4" s="85" t="s">
        <v>2</v>
      </c>
    </row>
    <row r="5" spans="1:137" x14ac:dyDescent="0.2">
      <c r="A5" s="86" t="s">
        <v>3</v>
      </c>
      <c r="B5" s="87" t="s">
        <v>4</v>
      </c>
      <c r="C5" s="87" t="s">
        <v>5</v>
      </c>
      <c r="D5" s="87" t="s">
        <v>6</v>
      </c>
      <c r="E5" s="87" t="s">
        <v>7</v>
      </c>
      <c r="F5" s="87" t="s">
        <v>8</v>
      </c>
      <c r="G5" s="87" t="s">
        <v>9</v>
      </c>
      <c r="H5" s="87" t="s">
        <v>10</v>
      </c>
      <c r="I5" s="87" t="s">
        <v>11</v>
      </c>
      <c r="J5" s="87" t="s">
        <v>12</v>
      </c>
      <c r="K5" s="87" t="s">
        <v>13</v>
      </c>
      <c r="L5" s="87" t="s">
        <v>14</v>
      </c>
      <c r="M5" s="87" t="s">
        <v>15</v>
      </c>
      <c r="N5" s="87" t="s">
        <v>16</v>
      </c>
      <c r="O5" s="87" t="s">
        <v>17</v>
      </c>
      <c r="P5" s="87" t="s">
        <v>18</v>
      </c>
      <c r="Q5" s="87" t="s">
        <v>19</v>
      </c>
      <c r="R5" s="87" t="s">
        <v>20</v>
      </c>
      <c r="S5" s="87" t="s">
        <v>21</v>
      </c>
      <c r="T5" s="87" t="s">
        <v>22</v>
      </c>
      <c r="U5" s="87" t="s">
        <v>23</v>
      </c>
      <c r="V5" s="87" t="s">
        <v>24</v>
      </c>
      <c r="W5" s="87" t="s">
        <v>25</v>
      </c>
      <c r="X5" s="87" t="s">
        <v>26</v>
      </c>
      <c r="Y5" s="87" t="s">
        <v>27</v>
      </c>
      <c r="Z5" s="87" t="s">
        <v>28</v>
      </c>
      <c r="AA5" s="87" t="s">
        <v>29</v>
      </c>
      <c r="AB5" s="87" t="s">
        <v>30</v>
      </c>
      <c r="AC5" s="87" t="s">
        <v>31</v>
      </c>
      <c r="AD5" s="87" t="s">
        <v>32</v>
      </c>
      <c r="AE5" s="87" t="s">
        <v>33</v>
      </c>
      <c r="AF5" s="87" t="s">
        <v>34</v>
      </c>
      <c r="AG5" s="87" t="s">
        <v>35</v>
      </c>
      <c r="AH5" s="87" t="s">
        <v>36</v>
      </c>
      <c r="AI5" s="87" t="s">
        <v>37</v>
      </c>
      <c r="AJ5" s="87" t="s">
        <v>38</v>
      </c>
      <c r="AK5" s="87" t="s">
        <v>39</v>
      </c>
      <c r="AL5" s="87" t="s">
        <v>40</v>
      </c>
      <c r="AM5" s="87" t="s">
        <v>41</v>
      </c>
      <c r="AN5" s="87" t="s">
        <v>42</v>
      </c>
      <c r="AO5" s="87" t="s">
        <v>43</v>
      </c>
      <c r="AP5" s="87" t="s">
        <v>44</v>
      </c>
      <c r="AQ5" s="87" t="s">
        <v>45</v>
      </c>
      <c r="AR5" s="87" t="s">
        <v>46</v>
      </c>
      <c r="AS5" s="87" t="s">
        <v>47</v>
      </c>
      <c r="AT5" s="87" t="s">
        <v>48</v>
      </c>
      <c r="AU5" s="87" t="s">
        <v>49</v>
      </c>
      <c r="AV5" s="87" t="s">
        <v>50</v>
      </c>
      <c r="AW5" s="87" t="s">
        <v>51</v>
      </c>
      <c r="AX5" s="87" t="s">
        <v>52</v>
      </c>
      <c r="AY5" s="87" t="s">
        <v>53</v>
      </c>
      <c r="AZ5" s="87" t="s">
        <v>54</v>
      </c>
      <c r="BA5" s="87" t="s">
        <v>55</v>
      </c>
      <c r="BB5" s="87" t="s">
        <v>56</v>
      </c>
      <c r="BC5" s="87" t="s">
        <v>57</v>
      </c>
      <c r="BD5" s="87" t="s">
        <v>58</v>
      </c>
      <c r="BE5" s="87" t="s">
        <v>59</v>
      </c>
      <c r="BF5" s="87" t="s">
        <v>60</v>
      </c>
      <c r="BG5" s="87" t="s">
        <v>61</v>
      </c>
      <c r="BH5" s="87" t="s">
        <v>62</v>
      </c>
      <c r="BI5" s="87" t="s">
        <v>63</v>
      </c>
      <c r="BJ5" s="87" t="s">
        <v>64</v>
      </c>
      <c r="BK5" s="87" t="s">
        <v>65</v>
      </c>
      <c r="BL5" s="87" t="s">
        <v>66</v>
      </c>
      <c r="BM5" s="87" t="s">
        <v>67</v>
      </c>
      <c r="BN5" s="87" t="s">
        <v>68</v>
      </c>
      <c r="BO5" s="87" t="s">
        <v>69</v>
      </c>
      <c r="BP5" s="87" t="s">
        <v>70</v>
      </c>
      <c r="BQ5" s="87" t="s">
        <v>71</v>
      </c>
      <c r="BR5" s="87" t="s">
        <v>72</v>
      </c>
      <c r="BS5" s="87" t="s">
        <v>73</v>
      </c>
      <c r="BT5" s="87" t="s">
        <v>74</v>
      </c>
      <c r="BU5" s="87" t="s">
        <v>75</v>
      </c>
      <c r="BV5" s="87" t="s">
        <v>76</v>
      </c>
      <c r="BW5" s="87" t="s">
        <v>77</v>
      </c>
      <c r="BX5" s="87" t="s">
        <v>78</v>
      </c>
      <c r="BY5" s="87" t="s">
        <v>79</v>
      </c>
      <c r="BZ5" s="87" t="s">
        <v>80</v>
      </c>
      <c r="CA5" s="87" t="s">
        <v>81</v>
      </c>
      <c r="CB5" s="87" t="s">
        <v>82</v>
      </c>
      <c r="CC5" s="87" t="s">
        <v>83</v>
      </c>
      <c r="CD5" s="87" t="s">
        <v>84</v>
      </c>
      <c r="CE5" s="87" t="s">
        <v>85</v>
      </c>
      <c r="CF5" s="87" t="s">
        <v>86</v>
      </c>
      <c r="CG5" s="87" t="s">
        <v>87</v>
      </c>
      <c r="CH5" s="87" t="s">
        <v>88</v>
      </c>
      <c r="CI5" s="87" t="s">
        <v>89</v>
      </c>
      <c r="CJ5" s="87" t="s">
        <v>90</v>
      </c>
      <c r="CK5" s="87" t="s">
        <v>91</v>
      </c>
      <c r="CL5" s="87" t="s">
        <v>92</v>
      </c>
      <c r="CM5" s="87" t="s">
        <v>93</v>
      </c>
      <c r="CN5" s="87" t="s">
        <v>94</v>
      </c>
      <c r="CO5" s="87" t="s">
        <v>95</v>
      </c>
      <c r="CP5" s="87" t="s">
        <v>96</v>
      </c>
      <c r="CQ5" s="87" t="s">
        <v>97</v>
      </c>
      <c r="CR5" s="87" t="s">
        <v>98</v>
      </c>
      <c r="CS5" s="87" t="s">
        <v>99</v>
      </c>
      <c r="CT5" s="87" t="s">
        <v>100</v>
      </c>
      <c r="CU5" s="87" t="s">
        <v>101</v>
      </c>
      <c r="CV5" s="87" t="s">
        <v>102</v>
      </c>
      <c r="CW5" s="87" t="s">
        <v>103</v>
      </c>
      <c r="CX5" s="87" t="s">
        <v>104</v>
      </c>
      <c r="CY5" s="87" t="s">
        <v>105</v>
      </c>
      <c r="CZ5" s="87" t="s">
        <v>106</v>
      </c>
      <c r="DA5" s="87" t="s">
        <v>107</v>
      </c>
      <c r="DB5" s="87" t="s">
        <v>108</v>
      </c>
      <c r="DC5" s="87" t="s">
        <v>109</v>
      </c>
      <c r="DD5" s="87" t="s">
        <v>110</v>
      </c>
      <c r="DE5" s="87" t="s">
        <v>111</v>
      </c>
      <c r="DF5" s="87" t="s">
        <v>112</v>
      </c>
      <c r="DG5" s="87" t="s">
        <v>113</v>
      </c>
      <c r="DH5" s="87" t="s">
        <v>114</v>
      </c>
      <c r="DI5" s="87" t="s">
        <v>115</v>
      </c>
      <c r="DJ5" s="87" t="s">
        <v>116</v>
      </c>
      <c r="DK5" s="87" t="s">
        <v>117</v>
      </c>
      <c r="DL5" s="87" t="s">
        <v>118</v>
      </c>
      <c r="DM5" s="87" t="s">
        <v>119</v>
      </c>
      <c r="DN5" s="87" t="s">
        <v>120</v>
      </c>
      <c r="DO5" s="87" t="s">
        <v>121</v>
      </c>
      <c r="DP5" s="87" t="s">
        <v>122</v>
      </c>
      <c r="DQ5" s="87" t="s">
        <v>123</v>
      </c>
      <c r="DR5" s="87" t="s">
        <v>124</v>
      </c>
      <c r="DS5" s="87" t="s">
        <v>125</v>
      </c>
      <c r="DT5" s="87" t="s">
        <v>126</v>
      </c>
      <c r="DU5" s="87" t="s">
        <v>127</v>
      </c>
      <c r="DV5" s="87" t="s">
        <v>128</v>
      </c>
      <c r="DW5" s="87" t="s">
        <v>129</v>
      </c>
      <c r="DX5" s="87" t="s">
        <v>130</v>
      </c>
      <c r="DY5" s="87" t="s">
        <v>131</v>
      </c>
      <c r="DZ5" s="87" t="s">
        <v>132</v>
      </c>
      <c r="EA5" s="87" t="s">
        <v>133</v>
      </c>
      <c r="EB5" s="87" t="s">
        <v>134</v>
      </c>
      <c r="EC5" s="87" t="s">
        <v>135</v>
      </c>
      <c r="ED5" s="87" t="s">
        <v>136</v>
      </c>
      <c r="EE5" s="87" t="s">
        <v>137</v>
      </c>
      <c r="EF5" s="87" t="s">
        <v>138</v>
      </c>
      <c r="EG5" s="87" t="s">
        <v>139</v>
      </c>
    </row>
    <row r="6" spans="1:137" x14ac:dyDescent="0.2">
      <c r="A6">
        <v>2005</v>
      </c>
      <c r="B6" s="83">
        <f>SUMIFS('Dataset 1'!$E$7:$E$2506,'Dataset 1'!$B$7:$B$2506,$A6,'Dataset 1'!$J$7:$J$2506,B$5)</f>
        <v>0</v>
      </c>
      <c r="C6" s="83">
        <f>SUMIFS('Dataset 1'!$E$7:$E$2506,'Dataset 1'!$B$7:$B$2506,$A6,'Dataset 1'!$J$7:$J$2506,C$5)</f>
        <v>0</v>
      </c>
      <c r="D6" s="83">
        <f>SUMIFS('Dataset 1'!$E$7:$E$2506,'Dataset 1'!$B$7:$B$2506,$A6,'Dataset 1'!$J$7:$J$2506,D$5)</f>
        <v>0</v>
      </c>
      <c r="E6" s="83">
        <f>SUMIFS('Dataset 1'!$E$7:$E$2506,'Dataset 1'!$B$7:$B$2506,$A6,'Dataset 1'!$J$7:$J$2506,E$5)</f>
        <v>0</v>
      </c>
      <c r="F6" s="83">
        <f>SUMIFS('Dataset 1'!$E$7:$E$2506,'Dataset 1'!$B$7:$B$2506,$A6,'Dataset 1'!$J$7:$J$2506,F$5)</f>
        <v>0</v>
      </c>
      <c r="G6" s="83">
        <f>SUMIFS('Dataset 1'!$E$7:$E$2506,'Dataset 1'!$B$7:$B$2506,$A6,'Dataset 1'!$J$7:$J$2506,G$5)</f>
        <v>320</v>
      </c>
      <c r="H6" s="83">
        <f>SUMIFS('Dataset 1'!$E$7:$E$2506,'Dataset 1'!$B$7:$B$2506,$A6,'Dataset 1'!$J$7:$J$2506,H$5)</f>
        <v>0</v>
      </c>
      <c r="I6" s="83">
        <f>SUMIFS('Dataset 1'!$E$7:$E$2506,'Dataset 1'!$B$7:$B$2506,$A6,'Dataset 1'!$J$7:$J$2506,I$5)</f>
        <v>0</v>
      </c>
      <c r="J6" s="83">
        <f>SUMIFS('Dataset 1'!$E$7:$E$2506,'Dataset 1'!$B$7:$B$2506,$A6,'Dataset 1'!$J$7:$J$2506,J$5)</f>
        <v>0</v>
      </c>
      <c r="K6" s="83">
        <f>SUMIFS('Dataset 1'!$E$7:$E$2506,'Dataset 1'!$B$7:$B$2506,$A6,'Dataset 1'!$J$7:$J$2506,K$5)</f>
        <v>0</v>
      </c>
      <c r="L6" s="83">
        <f>SUMIFS('Dataset 1'!$E$7:$E$2506,'Dataset 1'!$B$7:$B$2506,$A6,'Dataset 1'!$J$7:$J$2506,L$5)</f>
        <v>0</v>
      </c>
      <c r="M6" s="83">
        <f>SUMIFS('Dataset 1'!$E$7:$E$2506,'Dataset 1'!$B$7:$B$2506,$A6,'Dataset 1'!$J$7:$J$2506,M$5)</f>
        <v>0</v>
      </c>
      <c r="N6" s="83">
        <f>SUMIFS('Dataset 1'!$E$7:$E$2506,'Dataset 1'!$B$7:$B$2506,$A6,'Dataset 1'!$J$7:$J$2506,N$5)</f>
        <v>0</v>
      </c>
      <c r="O6" s="83">
        <f>SUMIFS('Dataset 1'!$E$7:$E$2506,'Dataset 1'!$B$7:$B$2506,$A6,'Dataset 1'!$J$7:$J$2506,O$5)</f>
        <v>0</v>
      </c>
      <c r="P6" s="83">
        <f>SUMIFS('Dataset 1'!$E$7:$E$2506,'Dataset 1'!$B$7:$B$2506,$A6,'Dataset 1'!$J$7:$J$2506,P$5)</f>
        <v>0</v>
      </c>
      <c r="Q6" s="83">
        <f>SUMIFS('Dataset 1'!$E$7:$E$2506,'Dataset 1'!$B$7:$B$2506,$A6,'Dataset 1'!$J$7:$J$2506,Q$5)</f>
        <v>0</v>
      </c>
      <c r="R6" s="83">
        <f>SUMIFS('Dataset 1'!$E$7:$E$2506,'Dataset 1'!$B$7:$B$2506,$A6,'Dataset 1'!$J$7:$J$2506,R$5)</f>
        <v>100</v>
      </c>
      <c r="S6" s="83">
        <f>SUMIFS('Dataset 1'!$E$7:$E$2506,'Dataset 1'!$B$7:$B$2506,$A6,'Dataset 1'!$J$7:$J$2506,S$5)</f>
        <v>0</v>
      </c>
      <c r="T6" s="83">
        <f>SUMIFS('Dataset 1'!$E$7:$E$2506,'Dataset 1'!$B$7:$B$2506,$A6,'Dataset 1'!$J$7:$J$2506,T$5)</f>
        <v>0</v>
      </c>
      <c r="U6" s="83">
        <f>SUMIFS('Dataset 1'!$E$7:$E$2506,'Dataset 1'!$B$7:$B$2506,$A6,'Dataset 1'!$J$7:$J$2506,U$5)</f>
        <v>280</v>
      </c>
      <c r="V6" s="83">
        <f>SUMIFS('Dataset 1'!$E$7:$E$2506,'Dataset 1'!$B$7:$B$2506,$A6,'Dataset 1'!$J$7:$J$2506,V$5)</f>
        <v>0</v>
      </c>
      <c r="W6" s="83">
        <f>SUMIFS('Dataset 1'!$E$7:$E$2506,'Dataset 1'!$B$7:$B$2506,$A6,'Dataset 1'!$J$7:$J$2506,W$5)</f>
        <v>250</v>
      </c>
      <c r="X6" s="83">
        <f>SUMIFS('Dataset 1'!$E$7:$E$2506,'Dataset 1'!$B$7:$B$2506,$A6,'Dataset 1'!$J$7:$J$2506,X$5)</f>
        <v>0</v>
      </c>
      <c r="Y6" s="83">
        <f>SUMIFS('Dataset 1'!$E$7:$E$2506,'Dataset 1'!$B$7:$B$2506,$A6,'Dataset 1'!$J$7:$J$2506,Y$5)</f>
        <v>0</v>
      </c>
      <c r="Z6" s="83">
        <f>SUMIFS('Dataset 1'!$E$7:$E$2506,'Dataset 1'!$B$7:$B$2506,$A6,'Dataset 1'!$J$7:$J$2506,Z$5)</f>
        <v>0</v>
      </c>
      <c r="AA6" s="83">
        <f>SUMIFS('Dataset 1'!$E$7:$E$2506,'Dataset 1'!$B$7:$B$2506,$A6,'Dataset 1'!$J$7:$J$2506,AA$5)</f>
        <v>0</v>
      </c>
      <c r="AB6" s="83">
        <f>SUMIFS('Dataset 1'!$E$7:$E$2506,'Dataset 1'!$B$7:$B$2506,$A6,'Dataset 1'!$J$7:$J$2506,AB$5)</f>
        <v>0</v>
      </c>
      <c r="AC6" s="83">
        <f>SUMIFS('Dataset 1'!$E$7:$E$2506,'Dataset 1'!$B$7:$B$2506,$A6,'Dataset 1'!$J$7:$J$2506,AC$5)</f>
        <v>500</v>
      </c>
      <c r="AD6" s="83">
        <f>SUMIFS('Dataset 1'!$E$7:$E$2506,'Dataset 1'!$B$7:$B$2506,$A6,'Dataset 1'!$J$7:$J$2506,AD$5)</f>
        <v>0</v>
      </c>
      <c r="AE6" s="83">
        <f>SUMIFS('Dataset 1'!$E$7:$E$2506,'Dataset 1'!$B$7:$B$2506,$A6,'Dataset 1'!$J$7:$J$2506,AE$5)</f>
        <v>0</v>
      </c>
      <c r="AF6" s="83">
        <f>SUMIFS('Dataset 1'!$E$7:$E$2506,'Dataset 1'!$B$7:$B$2506,$A6,'Dataset 1'!$J$7:$J$2506,AF$5)</f>
        <v>0</v>
      </c>
      <c r="AG6" s="83">
        <f>SUMIFS('Dataset 1'!$E$7:$E$2506,'Dataset 1'!$B$7:$B$2506,$A6,'Dataset 1'!$J$7:$J$2506,AG$5)</f>
        <v>0</v>
      </c>
      <c r="AH6" s="83">
        <f>SUMIFS('Dataset 1'!$E$7:$E$2506,'Dataset 1'!$B$7:$B$2506,$A6,'Dataset 1'!$J$7:$J$2506,AH$5)</f>
        <v>0</v>
      </c>
      <c r="AI6" s="83">
        <f>SUMIFS('Dataset 1'!$E$7:$E$2506,'Dataset 1'!$B$7:$B$2506,$A6,'Dataset 1'!$J$7:$J$2506,AI$5)</f>
        <v>1420</v>
      </c>
      <c r="AJ6" s="83">
        <f>SUMIFS('Dataset 1'!$E$7:$E$2506,'Dataset 1'!$B$7:$B$2506,$A6,'Dataset 1'!$J$7:$J$2506,AJ$5)</f>
        <v>0</v>
      </c>
      <c r="AK6" s="83">
        <f>SUMIFS('Dataset 1'!$E$7:$E$2506,'Dataset 1'!$B$7:$B$2506,$A6,'Dataset 1'!$J$7:$J$2506,AK$5)</f>
        <v>0</v>
      </c>
      <c r="AL6" s="83">
        <f>SUMIFS('Dataset 1'!$E$7:$E$2506,'Dataset 1'!$B$7:$B$2506,$A6,'Dataset 1'!$J$7:$J$2506,AL$5)</f>
        <v>0</v>
      </c>
      <c r="AM6" s="83">
        <f>SUMIFS('Dataset 1'!$E$7:$E$2506,'Dataset 1'!$B$7:$B$2506,$A6,'Dataset 1'!$J$7:$J$2506,AM$5)</f>
        <v>0</v>
      </c>
      <c r="AN6" s="83">
        <f>SUMIFS('Dataset 1'!$E$7:$E$2506,'Dataset 1'!$B$7:$B$2506,$A6,'Dataset 1'!$J$7:$J$2506,AN$5)</f>
        <v>0</v>
      </c>
      <c r="AO6" s="83">
        <f>SUMIFS('Dataset 1'!$E$7:$E$2506,'Dataset 1'!$B$7:$B$2506,$A6,'Dataset 1'!$J$7:$J$2506,AO$5)</f>
        <v>0</v>
      </c>
      <c r="AP6" s="83">
        <f>SUMIFS('Dataset 1'!$E$7:$E$2506,'Dataset 1'!$B$7:$B$2506,$A6,'Dataset 1'!$J$7:$J$2506,AP$5)</f>
        <v>0</v>
      </c>
      <c r="AQ6" s="83">
        <f>SUMIFS('Dataset 1'!$E$7:$E$2506,'Dataset 1'!$B$7:$B$2506,$A6,'Dataset 1'!$J$7:$J$2506,AQ$5)</f>
        <v>0</v>
      </c>
      <c r="AR6" s="83">
        <f>SUMIFS('Dataset 1'!$E$7:$E$2506,'Dataset 1'!$B$7:$B$2506,$A6,'Dataset 1'!$J$7:$J$2506,AR$5)</f>
        <v>0</v>
      </c>
      <c r="AS6" s="83">
        <f>SUMIFS('Dataset 1'!$E$7:$E$2506,'Dataset 1'!$B$7:$B$2506,$A6,'Dataset 1'!$J$7:$J$2506,AS$5)</f>
        <v>0</v>
      </c>
      <c r="AT6" s="83">
        <f>SUMIFS('Dataset 1'!$E$7:$E$2506,'Dataset 1'!$B$7:$B$2506,$A6,'Dataset 1'!$J$7:$J$2506,AT$5)</f>
        <v>0</v>
      </c>
      <c r="AU6" s="83">
        <f>SUMIFS('Dataset 1'!$E$7:$E$2506,'Dataset 1'!$B$7:$B$2506,$A6,'Dataset 1'!$J$7:$J$2506,AU$5)</f>
        <v>0</v>
      </c>
      <c r="AV6" s="83">
        <f>SUMIFS('Dataset 1'!$E$7:$E$2506,'Dataset 1'!$B$7:$B$2506,$A6,'Dataset 1'!$J$7:$J$2506,AV$5)</f>
        <v>0</v>
      </c>
      <c r="AW6" s="83">
        <f>SUMIFS('Dataset 1'!$E$7:$E$2506,'Dataset 1'!$B$7:$B$2506,$A6,'Dataset 1'!$J$7:$J$2506,AW$5)</f>
        <v>0</v>
      </c>
      <c r="AX6" s="83">
        <f>SUMIFS('Dataset 1'!$E$7:$E$2506,'Dataset 1'!$B$7:$B$2506,$A6,'Dataset 1'!$J$7:$J$2506,AX$5)</f>
        <v>0</v>
      </c>
      <c r="AY6" s="83">
        <f>SUMIFS('Dataset 1'!$E$7:$E$2506,'Dataset 1'!$B$7:$B$2506,$A6,'Dataset 1'!$J$7:$J$2506,AY$5)</f>
        <v>0</v>
      </c>
      <c r="AZ6" s="83">
        <f>SUMIFS('Dataset 1'!$E$7:$E$2506,'Dataset 1'!$B$7:$B$2506,$A6,'Dataset 1'!$J$7:$J$2506,AZ$5)</f>
        <v>0</v>
      </c>
      <c r="BA6" s="83">
        <f>SUMIFS('Dataset 1'!$E$7:$E$2506,'Dataset 1'!$B$7:$B$2506,$A6,'Dataset 1'!$J$7:$J$2506,BA$5)</f>
        <v>0</v>
      </c>
      <c r="BB6" s="83">
        <f>SUMIFS('Dataset 1'!$E$7:$E$2506,'Dataset 1'!$B$7:$B$2506,$A6,'Dataset 1'!$J$7:$J$2506,BB$5)</f>
        <v>0</v>
      </c>
      <c r="BC6" s="83">
        <f>SUMIFS('Dataset 1'!$E$7:$E$2506,'Dataset 1'!$B$7:$B$2506,$A6,'Dataset 1'!$J$7:$J$2506,BC$5)</f>
        <v>0</v>
      </c>
      <c r="BD6" s="83">
        <f>SUMIFS('Dataset 1'!$E$7:$E$2506,'Dataset 1'!$B$7:$B$2506,$A6,'Dataset 1'!$J$7:$J$2506,BD$5)</f>
        <v>0</v>
      </c>
      <c r="BE6" s="83">
        <f>SUMIFS('Dataset 1'!$E$7:$E$2506,'Dataset 1'!$B$7:$B$2506,$A6,'Dataset 1'!$J$7:$J$2506,BE$5)</f>
        <v>0</v>
      </c>
      <c r="BF6" s="83">
        <f>SUMIFS('Dataset 1'!$E$7:$E$2506,'Dataset 1'!$B$7:$B$2506,$A6,'Dataset 1'!$J$7:$J$2506,BF$5)</f>
        <v>0</v>
      </c>
      <c r="BG6" s="83">
        <f>SUMIFS('Dataset 1'!$E$7:$E$2506,'Dataset 1'!$B$7:$B$2506,$A6,'Dataset 1'!$J$7:$J$2506,BG$5)</f>
        <v>0</v>
      </c>
      <c r="BH6" s="83">
        <f>SUMIFS('Dataset 1'!$E$7:$E$2506,'Dataset 1'!$B$7:$B$2506,$A6,'Dataset 1'!$J$7:$J$2506,BH$5)</f>
        <v>0</v>
      </c>
      <c r="BI6" s="83">
        <f>SUMIFS('Dataset 1'!$E$7:$E$2506,'Dataset 1'!$B$7:$B$2506,$A6,'Dataset 1'!$J$7:$J$2506,BI$5)</f>
        <v>4200</v>
      </c>
      <c r="BJ6" s="83">
        <f>SUMIFS('Dataset 1'!$E$7:$E$2506,'Dataset 1'!$B$7:$B$2506,$A6,'Dataset 1'!$J$7:$J$2506,BJ$5)</f>
        <v>0</v>
      </c>
      <c r="BK6" s="83">
        <f>SUMIFS('Dataset 1'!$E$7:$E$2506,'Dataset 1'!$B$7:$B$2506,$A6,'Dataset 1'!$J$7:$J$2506,BK$5)</f>
        <v>0</v>
      </c>
      <c r="BL6" s="83">
        <f>SUMIFS('Dataset 1'!$E$7:$E$2506,'Dataset 1'!$B$7:$B$2506,$A6,'Dataset 1'!$J$7:$J$2506,BL$5)</f>
        <v>0</v>
      </c>
      <c r="BM6" s="83">
        <f>SUMIFS('Dataset 1'!$E$7:$E$2506,'Dataset 1'!$B$7:$B$2506,$A6,'Dataset 1'!$J$7:$J$2506,BM$5)</f>
        <v>0</v>
      </c>
      <c r="BN6" s="83">
        <f>SUMIFS('Dataset 1'!$E$7:$E$2506,'Dataset 1'!$B$7:$B$2506,$A6,'Dataset 1'!$J$7:$J$2506,BN$5)</f>
        <v>0</v>
      </c>
      <c r="BO6" s="83">
        <f>SUMIFS('Dataset 1'!$E$7:$E$2506,'Dataset 1'!$B$7:$B$2506,$A6,'Dataset 1'!$J$7:$J$2506,BO$5)</f>
        <v>0</v>
      </c>
      <c r="BP6" s="83">
        <f>SUMIFS('Dataset 1'!$E$7:$E$2506,'Dataset 1'!$B$7:$B$2506,$A6,'Dataset 1'!$J$7:$J$2506,BP$5)</f>
        <v>0</v>
      </c>
      <c r="BQ6" s="83">
        <f>SUMIFS('Dataset 1'!$E$7:$E$2506,'Dataset 1'!$B$7:$B$2506,$A6,'Dataset 1'!$J$7:$J$2506,BQ$5)</f>
        <v>0</v>
      </c>
      <c r="BR6" s="83">
        <f>SUMIFS('Dataset 1'!$E$7:$E$2506,'Dataset 1'!$B$7:$B$2506,$A6,'Dataset 1'!$J$7:$J$2506,BR$5)</f>
        <v>0</v>
      </c>
      <c r="BS6" s="83">
        <f>SUMIFS('Dataset 1'!$E$7:$E$2506,'Dataset 1'!$B$7:$B$2506,$A6,'Dataset 1'!$J$7:$J$2506,BS$5)</f>
        <v>0</v>
      </c>
      <c r="BT6" s="83">
        <f>SUMIFS('Dataset 1'!$E$7:$E$2506,'Dataset 1'!$B$7:$B$2506,$A6,'Dataset 1'!$J$7:$J$2506,BT$5)</f>
        <v>0</v>
      </c>
      <c r="BU6" s="83">
        <f>SUMIFS('Dataset 1'!$E$7:$E$2506,'Dataset 1'!$B$7:$B$2506,$A6,'Dataset 1'!$J$7:$J$2506,BU$5)</f>
        <v>0</v>
      </c>
      <c r="BV6" s="83">
        <f>SUMIFS('Dataset 1'!$E$7:$E$2506,'Dataset 1'!$B$7:$B$2506,$A6,'Dataset 1'!$J$7:$J$2506,BV$5)</f>
        <v>0</v>
      </c>
      <c r="BW6" s="83">
        <f>SUMIFS('Dataset 1'!$E$7:$E$2506,'Dataset 1'!$B$7:$B$2506,$A6,'Dataset 1'!$J$7:$J$2506,BW$5)</f>
        <v>0</v>
      </c>
      <c r="BX6" s="83">
        <f>SUMIFS('Dataset 1'!$E$7:$E$2506,'Dataset 1'!$B$7:$B$2506,$A6,'Dataset 1'!$J$7:$J$2506,BX$5)</f>
        <v>200</v>
      </c>
      <c r="BY6" s="83">
        <f>SUMIFS('Dataset 1'!$E$7:$E$2506,'Dataset 1'!$B$7:$B$2506,$A6,'Dataset 1'!$J$7:$J$2506,BY$5)</f>
        <v>0</v>
      </c>
      <c r="BZ6" s="83">
        <f>SUMIFS('Dataset 1'!$E$7:$E$2506,'Dataset 1'!$B$7:$B$2506,$A6,'Dataset 1'!$J$7:$J$2506,BZ$5)</f>
        <v>0</v>
      </c>
      <c r="CA6" s="83">
        <f>SUMIFS('Dataset 1'!$E$7:$E$2506,'Dataset 1'!$B$7:$B$2506,$A6,'Dataset 1'!$J$7:$J$2506,CA$5)</f>
        <v>0</v>
      </c>
      <c r="CB6" s="83">
        <f>SUMIFS('Dataset 1'!$E$7:$E$2506,'Dataset 1'!$B$7:$B$2506,$A6,'Dataset 1'!$J$7:$J$2506,CB$5)</f>
        <v>0</v>
      </c>
      <c r="CC6" s="83">
        <f>SUMIFS('Dataset 1'!$E$7:$E$2506,'Dataset 1'!$B$7:$B$2506,$A6,'Dataset 1'!$J$7:$J$2506,CC$5)</f>
        <v>0</v>
      </c>
      <c r="CD6" s="83">
        <f>SUMIFS('Dataset 1'!$E$7:$E$2506,'Dataset 1'!$B$7:$B$2506,$A6,'Dataset 1'!$J$7:$J$2506,CD$5)</f>
        <v>0</v>
      </c>
      <c r="CE6" s="83">
        <f>SUMIFS('Dataset 1'!$E$7:$E$2506,'Dataset 1'!$B$7:$B$2506,$A6,'Dataset 1'!$J$7:$J$2506,CE$5)</f>
        <v>0</v>
      </c>
      <c r="CF6" s="83">
        <f>SUMIFS('Dataset 1'!$E$7:$E$2506,'Dataset 1'!$B$7:$B$2506,$A6,'Dataset 1'!$J$7:$J$2506,CF$5)</f>
        <v>0</v>
      </c>
      <c r="CG6" s="83">
        <f>SUMIFS('Dataset 1'!$E$7:$E$2506,'Dataset 1'!$B$7:$B$2506,$A6,'Dataset 1'!$J$7:$J$2506,CG$5)</f>
        <v>0</v>
      </c>
      <c r="CH6" s="83">
        <f>SUMIFS('Dataset 1'!$E$7:$E$2506,'Dataset 1'!$B$7:$B$2506,$A6,'Dataset 1'!$J$7:$J$2506,CH$5)</f>
        <v>0</v>
      </c>
      <c r="CI6" s="83">
        <f>SUMIFS('Dataset 1'!$E$7:$E$2506,'Dataset 1'!$B$7:$B$2506,$A6,'Dataset 1'!$J$7:$J$2506,CI$5)</f>
        <v>0</v>
      </c>
      <c r="CJ6" s="83">
        <f>SUMIFS('Dataset 1'!$E$7:$E$2506,'Dataset 1'!$B$7:$B$2506,$A6,'Dataset 1'!$J$7:$J$2506,CJ$5)</f>
        <v>0</v>
      </c>
      <c r="CK6" s="83">
        <f>SUMIFS('Dataset 1'!$E$7:$E$2506,'Dataset 1'!$B$7:$B$2506,$A6,'Dataset 1'!$J$7:$J$2506,CK$5)</f>
        <v>0</v>
      </c>
      <c r="CL6" s="83">
        <f>SUMIFS('Dataset 1'!$E$7:$E$2506,'Dataset 1'!$B$7:$B$2506,$A6,'Dataset 1'!$J$7:$J$2506,CL$5)</f>
        <v>0</v>
      </c>
      <c r="CM6" s="83">
        <f>SUMIFS('Dataset 1'!$E$7:$E$2506,'Dataset 1'!$B$7:$B$2506,$A6,'Dataset 1'!$J$7:$J$2506,CM$5)</f>
        <v>0</v>
      </c>
      <c r="CN6" s="83">
        <f>SUMIFS('Dataset 1'!$E$7:$E$2506,'Dataset 1'!$B$7:$B$2506,$A6,'Dataset 1'!$J$7:$J$2506,CN$5)</f>
        <v>0</v>
      </c>
      <c r="CO6" s="83">
        <f>SUMIFS('Dataset 1'!$E$7:$E$2506,'Dataset 1'!$B$7:$B$2506,$A6,'Dataset 1'!$J$7:$J$2506,CO$5)</f>
        <v>670</v>
      </c>
      <c r="CP6" s="83">
        <f>SUMIFS('Dataset 1'!$E$7:$E$2506,'Dataset 1'!$B$7:$B$2506,$A6,'Dataset 1'!$J$7:$J$2506,CP$5)</f>
        <v>0</v>
      </c>
      <c r="CQ6" s="83">
        <f>SUMIFS('Dataset 1'!$E$7:$E$2506,'Dataset 1'!$B$7:$B$2506,$A6,'Dataset 1'!$J$7:$J$2506,CQ$5)</f>
        <v>0</v>
      </c>
      <c r="CR6" s="83">
        <f>SUMIFS('Dataset 1'!$E$7:$E$2506,'Dataset 1'!$B$7:$B$2506,$A6,'Dataset 1'!$J$7:$J$2506,CR$5)</f>
        <v>0</v>
      </c>
      <c r="CS6" s="83">
        <f>SUMIFS('Dataset 1'!$E$7:$E$2506,'Dataset 1'!$B$7:$B$2506,$A6,'Dataset 1'!$J$7:$J$2506,CS$5)</f>
        <v>0</v>
      </c>
      <c r="CT6" s="83">
        <f>SUMIFS('Dataset 1'!$E$7:$E$2506,'Dataset 1'!$B$7:$B$2506,$A6,'Dataset 1'!$J$7:$J$2506,CT$5)</f>
        <v>0</v>
      </c>
      <c r="CU6" s="83">
        <f>SUMIFS('Dataset 1'!$E$7:$E$2506,'Dataset 1'!$B$7:$B$2506,$A6,'Dataset 1'!$J$7:$J$2506,CU$5)</f>
        <v>0</v>
      </c>
      <c r="CV6" s="83">
        <f>SUMIFS('Dataset 1'!$E$7:$E$2506,'Dataset 1'!$B$7:$B$2506,$A6,'Dataset 1'!$J$7:$J$2506,CV$5)</f>
        <v>0</v>
      </c>
      <c r="CW6" s="83">
        <f>SUMIFS('Dataset 1'!$E$7:$E$2506,'Dataset 1'!$B$7:$B$2506,$A6,'Dataset 1'!$J$7:$J$2506,CW$5)</f>
        <v>0</v>
      </c>
      <c r="CX6" s="83">
        <f>SUMIFS('Dataset 1'!$E$7:$E$2506,'Dataset 1'!$B$7:$B$2506,$A6,'Dataset 1'!$J$7:$J$2506,CX$5)</f>
        <v>0</v>
      </c>
      <c r="CY6" s="83">
        <f>SUMIFS('Dataset 1'!$E$7:$E$2506,'Dataset 1'!$B$7:$B$2506,$A6,'Dataset 1'!$J$7:$J$2506,CY$5)</f>
        <v>0</v>
      </c>
      <c r="CZ6" s="83">
        <f>SUMIFS('Dataset 1'!$E$7:$E$2506,'Dataset 1'!$B$7:$B$2506,$A6,'Dataset 1'!$J$7:$J$2506,CZ$5)</f>
        <v>0</v>
      </c>
      <c r="DA6" s="83">
        <f>SUMIFS('Dataset 1'!$E$7:$E$2506,'Dataset 1'!$B$7:$B$2506,$A6,'Dataset 1'!$J$7:$J$2506,DA$5)</f>
        <v>0</v>
      </c>
      <c r="DB6" s="83">
        <f>SUMIFS('Dataset 1'!$E$7:$E$2506,'Dataset 1'!$B$7:$B$2506,$A6,'Dataset 1'!$J$7:$J$2506,DB$5)</f>
        <v>0</v>
      </c>
      <c r="DC6" s="83">
        <f>SUMIFS('Dataset 1'!$E$7:$E$2506,'Dataset 1'!$B$7:$B$2506,$A6,'Dataset 1'!$J$7:$J$2506,DC$5)</f>
        <v>0</v>
      </c>
      <c r="DD6" s="83">
        <f>SUMIFS('Dataset 1'!$E$7:$E$2506,'Dataset 1'!$B$7:$B$2506,$A6,'Dataset 1'!$J$7:$J$2506,DD$5)</f>
        <v>0</v>
      </c>
      <c r="DE6" s="83">
        <f>SUMIFS('Dataset 1'!$E$7:$E$2506,'Dataset 1'!$B$7:$B$2506,$A6,'Dataset 1'!$J$7:$J$2506,DE$5)</f>
        <v>0</v>
      </c>
      <c r="DF6" s="83">
        <f>SUMIFS('Dataset 1'!$E$7:$E$2506,'Dataset 1'!$B$7:$B$2506,$A6,'Dataset 1'!$J$7:$J$2506,DF$5)</f>
        <v>0</v>
      </c>
      <c r="DG6" s="83">
        <f>SUMIFS('Dataset 1'!$E$7:$E$2506,'Dataset 1'!$B$7:$B$2506,$A6,'Dataset 1'!$J$7:$J$2506,DG$5)</f>
        <v>0</v>
      </c>
      <c r="DH6" s="83">
        <f>SUMIFS('Dataset 1'!$E$7:$E$2506,'Dataset 1'!$B$7:$B$2506,$A6,'Dataset 1'!$J$7:$J$2506,DH$5)</f>
        <v>0</v>
      </c>
      <c r="DI6" s="83">
        <f>SUMIFS('Dataset 1'!$E$7:$E$2506,'Dataset 1'!$B$7:$B$2506,$A6,'Dataset 1'!$J$7:$J$2506,DI$5)</f>
        <v>0</v>
      </c>
      <c r="DJ6" s="83">
        <f>SUMIFS('Dataset 1'!$E$7:$E$2506,'Dataset 1'!$B$7:$B$2506,$A6,'Dataset 1'!$J$7:$J$2506,DJ$5)</f>
        <v>0</v>
      </c>
      <c r="DK6" s="83">
        <f>SUMIFS('Dataset 1'!$E$7:$E$2506,'Dataset 1'!$B$7:$B$2506,$A6,'Dataset 1'!$J$7:$J$2506,DK$5)</f>
        <v>0</v>
      </c>
      <c r="DL6" s="83">
        <f>SUMIFS('Dataset 1'!$E$7:$E$2506,'Dataset 1'!$B$7:$B$2506,$A6,'Dataset 1'!$J$7:$J$2506,DL$5)</f>
        <v>0</v>
      </c>
      <c r="DM6" s="83">
        <f>SUMIFS('Dataset 1'!$E$7:$E$2506,'Dataset 1'!$B$7:$B$2506,$A6,'Dataset 1'!$J$7:$J$2506,DM$5)</f>
        <v>0</v>
      </c>
      <c r="DN6" s="83">
        <f>SUMIFS('Dataset 1'!$E$7:$E$2506,'Dataset 1'!$B$7:$B$2506,$A6,'Dataset 1'!$J$7:$J$2506,DN$5)</f>
        <v>290</v>
      </c>
      <c r="DO6" s="83">
        <f>SUMIFS('Dataset 1'!$E$7:$E$2506,'Dataset 1'!$B$7:$B$2506,$A6,'Dataset 1'!$J$7:$J$2506,DO$5)</f>
        <v>0</v>
      </c>
      <c r="DP6" s="83">
        <f>SUMIFS('Dataset 1'!$E$7:$E$2506,'Dataset 1'!$B$7:$B$2506,$A6,'Dataset 1'!$J$7:$J$2506,DP$5)</f>
        <v>0</v>
      </c>
      <c r="DQ6" s="83">
        <f>SUMIFS('Dataset 1'!$E$7:$E$2506,'Dataset 1'!$B$7:$B$2506,$A6,'Dataset 1'!$J$7:$J$2506,DQ$5)</f>
        <v>0</v>
      </c>
      <c r="DR6" s="83">
        <f>SUMIFS('Dataset 1'!$E$7:$E$2506,'Dataset 1'!$B$7:$B$2506,$A6,'Dataset 1'!$J$7:$J$2506,DR$5)</f>
        <v>150</v>
      </c>
      <c r="DS6" s="83">
        <f>SUMIFS('Dataset 1'!$E$7:$E$2506,'Dataset 1'!$B$7:$B$2506,$A6,'Dataset 1'!$J$7:$J$2506,DS$5)</f>
        <v>0</v>
      </c>
      <c r="DT6" s="83">
        <f>SUMIFS('Dataset 1'!$E$7:$E$2506,'Dataset 1'!$B$7:$B$2506,$A6,'Dataset 1'!$J$7:$J$2506,DT$5)</f>
        <v>0</v>
      </c>
      <c r="DU6" s="83">
        <f>SUMIFS('Dataset 1'!$E$7:$E$2506,'Dataset 1'!$B$7:$B$2506,$A6,'Dataset 1'!$J$7:$J$2506,DU$5)</f>
        <v>0</v>
      </c>
      <c r="DV6" s="83">
        <f>SUMIFS('Dataset 1'!$E$7:$E$2506,'Dataset 1'!$B$7:$B$2506,$A6,'Dataset 1'!$J$7:$J$2506,DV$5)</f>
        <v>0</v>
      </c>
      <c r="DW6" s="83">
        <f>SUMIFS('Dataset 1'!$E$7:$E$2506,'Dataset 1'!$B$7:$B$2506,$A6,'Dataset 1'!$J$7:$J$2506,DW$5)</f>
        <v>0</v>
      </c>
      <c r="DX6" s="83">
        <f>SUMIFS('Dataset 1'!$E$7:$E$2506,'Dataset 1'!$B$7:$B$2506,$A6,'Dataset 1'!$J$7:$J$2506,DX$5)</f>
        <v>0</v>
      </c>
      <c r="DY6" s="83">
        <f>SUMIFS('Dataset 1'!$E$7:$E$2506,'Dataset 1'!$B$7:$B$2506,$A6,'Dataset 1'!$J$7:$J$2506,DY$5)</f>
        <v>1740</v>
      </c>
      <c r="DZ6" s="83">
        <f>SUMIFS('Dataset 1'!$E$7:$E$2506,'Dataset 1'!$B$7:$B$2506,$A6,'Dataset 1'!$J$7:$J$2506,DZ$5)</f>
        <v>0</v>
      </c>
      <c r="EA6" s="83">
        <f>SUMIFS('Dataset 1'!$E$7:$E$2506,'Dataset 1'!$B$7:$B$2506,$A6,'Dataset 1'!$J$7:$J$2506,EA$5)</f>
        <v>0</v>
      </c>
      <c r="EB6" s="83">
        <f>SUMIFS('Dataset 1'!$E$7:$E$2506,'Dataset 1'!$B$7:$B$2506,$A6,'Dataset 1'!$J$7:$J$2506,EB$5)</f>
        <v>0</v>
      </c>
      <c r="EC6" s="83">
        <f>SUMIFS('Dataset 1'!$E$7:$E$2506,'Dataset 1'!$B$7:$B$2506,$A6,'Dataset 1'!$J$7:$J$2506,EC$5)</f>
        <v>0</v>
      </c>
      <c r="ED6" s="83">
        <f>SUMIFS('Dataset 1'!$E$7:$E$2506,'Dataset 1'!$B$7:$B$2506,$A6,'Dataset 1'!$J$7:$J$2506,ED$5)</f>
        <v>0</v>
      </c>
      <c r="EE6" s="83">
        <f>SUMIFS('Dataset 1'!$E$7:$E$2506,'Dataset 1'!$B$7:$B$2506,$A6,'Dataset 1'!$J$7:$J$2506,EE$5)</f>
        <v>0</v>
      </c>
      <c r="EF6" s="83">
        <f>SUMIFS('Dataset 1'!$E$7:$E$2506,'Dataset 1'!$B$7:$B$2506,$A6,'Dataset 1'!$J$7:$J$2506,EF$5)</f>
        <v>0</v>
      </c>
      <c r="EG6" s="83">
        <f>SUMIFS('Dataset 1'!$E$7:$E$2506,'Dataset 1'!$B$7:$B$2506,$A6,'Dataset 1'!$J$7:$J$2506,EG$5)</f>
        <v>0</v>
      </c>
    </row>
    <row r="7" spans="1:137" x14ac:dyDescent="0.2">
      <c r="A7">
        <v>2006</v>
      </c>
      <c r="B7" s="83">
        <f>SUMIFS('Dataset 1'!$E$7:$E$2506,'Dataset 1'!$B$7:$B$2506,$A7,'Dataset 1'!$J$7:$J$2506,B$5)</f>
        <v>0</v>
      </c>
      <c r="C7" s="83">
        <f>SUMIFS('Dataset 1'!$E$7:$E$2506,'Dataset 1'!$B$7:$B$2506,$A7,'Dataset 1'!$J$7:$J$2506,C$5)</f>
        <v>0</v>
      </c>
      <c r="D7" s="83">
        <f>SUMIFS('Dataset 1'!$E$7:$E$2506,'Dataset 1'!$B$7:$B$2506,$A7,'Dataset 1'!$J$7:$J$2506,D$5)</f>
        <v>740</v>
      </c>
      <c r="E7" s="83">
        <f>SUMIFS('Dataset 1'!$E$7:$E$2506,'Dataset 1'!$B$7:$B$2506,$A7,'Dataset 1'!$J$7:$J$2506,E$5)</f>
        <v>0</v>
      </c>
      <c r="F7" s="83">
        <f>SUMIFS('Dataset 1'!$E$7:$E$2506,'Dataset 1'!$B$7:$B$2506,$A7,'Dataset 1'!$J$7:$J$2506,F$5)</f>
        <v>0</v>
      </c>
      <c r="G7" s="83">
        <f>SUMIFS('Dataset 1'!$E$7:$E$2506,'Dataset 1'!$B$7:$B$2506,$A7,'Dataset 1'!$J$7:$J$2506,G$5)</f>
        <v>2920</v>
      </c>
      <c r="H7" s="83">
        <f>SUMIFS('Dataset 1'!$E$7:$E$2506,'Dataset 1'!$B$7:$B$2506,$A7,'Dataset 1'!$J$7:$J$2506,H$5)</f>
        <v>0</v>
      </c>
      <c r="I7" s="83">
        <f>SUMIFS('Dataset 1'!$E$7:$E$2506,'Dataset 1'!$B$7:$B$2506,$A7,'Dataset 1'!$J$7:$J$2506,I$5)</f>
        <v>0</v>
      </c>
      <c r="J7" s="83">
        <f>SUMIFS('Dataset 1'!$E$7:$E$2506,'Dataset 1'!$B$7:$B$2506,$A7,'Dataset 1'!$J$7:$J$2506,J$5)</f>
        <v>0</v>
      </c>
      <c r="K7" s="83">
        <f>SUMIFS('Dataset 1'!$E$7:$E$2506,'Dataset 1'!$B$7:$B$2506,$A7,'Dataset 1'!$J$7:$J$2506,K$5)</f>
        <v>0</v>
      </c>
      <c r="L7" s="83">
        <f>SUMIFS('Dataset 1'!$E$7:$E$2506,'Dataset 1'!$B$7:$B$2506,$A7,'Dataset 1'!$J$7:$J$2506,L$5)</f>
        <v>0</v>
      </c>
      <c r="M7" s="83">
        <f>SUMIFS('Dataset 1'!$E$7:$E$2506,'Dataset 1'!$B$7:$B$2506,$A7,'Dataset 1'!$J$7:$J$2506,M$5)</f>
        <v>0</v>
      </c>
      <c r="N7" s="83">
        <f>SUMIFS('Dataset 1'!$E$7:$E$2506,'Dataset 1'!$B$7:$B$2506,$A7,'Dataset 1'!$J$7:$J$2506,N$5)</f>
        <v>0</v>
      </c>
      <c r="O7" s="83">
        <f>SUMIFS('Dataset 1'!$E$7:$E$2506,'Dataset 1'!$B$7:$B$2506,$A7,'Dataset 1'!$J$7:$J$2506,O$5)</f>
        <v>0</v>
      </c>
      <c r="P7" s="83">
        <f>SUMIFS('Dataset 1'!$E$7:$E$2506,'Dataset 1'!$B$7:$B$2506,$A7,'Dataset 1'!$J$7:$J$2506,P$5)</f>
        <v>0</v>
      </c>
      <c r="Q7" s="83">
        <f>SUMIFS('Dataset 1'!$E$7:$E$2506,'Dataset 1'!$B$7:$B$2506,$A7,'Dataset 1'!$J$7:$J$2506,Q$5)</f>
        <v>0</v>
      </c>
      <c r="R7" s="83">
        <f>SUMIFS('Dataset 1'!$E$7:$E$2506,'Dataset 1'!$B$7:$B$2506,$A7,'Dataset 1'!$J$7:$J$2506,R$5)</f>
        <v>800</v>
      </c>
      <c r="S7" s="83">
        <f>SUMIFS('Dataset 1'!$E$7:$E$2506,'Dataset 1'!$B$7:$B$2506,$A7,'Dataset 1'!$J$7:$J$2506,S$5)</f>
        <v>0</v>
      </c>
      <c r="T7" s="83">
        <f>SUMIFS('Dataset 1'!$E$7:$E$2506,'Dataset 1'!$B$7:$B$2506,$A7,'Dataset 1'!$J$7:$J$2506,T$5)</f>
        <v>0</v>
      </c>
      <c r="U7" s="83">
        <f>SUMIFS('Dataset 1'!$E$7:$E$2506,'Dataset 1'!$B$7:$B$2506,$A7,'Dataset 1'!$J$7:$J$2506,U$5)</f>
        <v>0</v>
      </c>
      <c r="V7" s="83">
        <f>SUMIFS('Dataset 1'!$E$7:$E$2506,'Dataset 1'!$B$7:$B$2506,$A7,'Dataset 1'!$J$7:$J$2506,V$5)</f>
        <v>0</v>
      </c>
      <c r="W7" s="83">
        <f>SUMIFS('Dataset 1'!$E$7:$E$2506,'Dataset 1'!$B$7:$B$2506,$A7,'Dataset 1'!$J$7:$J$2506,W$5)</f>
        <v>110</v>
      </c>
      <c r="X7" s="83">
        <f>SUMIFS('Dataset 1'!$E$7:$E$2506,'Dataset 1'!$B$7:$B$2506,$A7,'Dataset 1'!$J$7:$J$2506,X$5)</f>
        <v>480</v>
      </c>
      <c r="Y7" s="83">
        <f>SUMIFS('Dataset 1'!$E$7:$E$2506,'Dataset 1'!$B$7:$B$2506,$A7,'Dataset 1'!$J$7:$J$2506,Y$5)</f>
        <v>0</v>
      </c>
      <c r="Z7" s="83">
        <f>SUMIFS('Dataset 1'!$E$7:$E$2506,'Dataset 1'!$B$7:$B$2506,$A7,'Dataset 1'!$J$7:$J$2506,Z$5)</f>
        <v>430</v>
      </c>
      <c r="AA7" s="83">
        <f>SUMIFS('Dataset 1'!$E$7:$E$2506,'Dataset 1'!$B$7:$B$2506,$A7,'Dataset 1'!$J$7:$J$2506,AA$5)</f>
        <v>0</v>
      </c>
      <c r="AB7" s="83">
        <f>SUMIFS('Dataset 1'!$E$7:$E$2506,'Dataset 1'!$B$7:$B$2506,$A7,'Dataset 1'!$J$7:$J$2506,AB$5)</f>
        <v>0</v>
      </c>
      <c r="AC7" s="83">
        <f>SUMIFS('Dataset 1'!$E$7:$E$2506,'Dataset 1'!$B$7:$B$2506,$A7,'Dataset 1'!$J$7:$J$2506,AC$5)</f>
        <v>0</v>
      </c>
      <c r="AD7" s="83">
        <f>SUMIFS('Dataset 1'!$E$7:$E$2506,'Dataset 1'!$B$7:$B$2506,$A7,'Dataset 1'!$J$7:$J$2506,AD$5)</f>
        <v>0</v>
      </c>
      <c r="AE7" s="83">
        <f>SUMIFS('Dataset 1'!$E$7:$E$2506,'Dataset 1'!$B$7:$B$2506,$A7,'Dataset 1'!$J$7:$J$2506,AE$5)</f>
        <v>0</v>
      </c>
      <c r="AF7" s="83">
        <f>SUMIFS('Dataset 1'!$E$7:$E$2506,'Dataset 1'!$B$7:$B$2506,$A7,'Dataset 1'!$J$7:$J$2506,AF$5)</f>
        <v>1160</v>
      </c>
      <c r="AG7" s="83">
        <f>SUMIFS('Dataset 1'!$E$7:$E$2506,'Dataset 1'!$B$7:$B$2506,$A7,'Dataset 1'!$J$7:$J$2506,AG$5)</f>
        <v>0</v>
      </c>
      <c r="AH7" s="83">
        <f>SUMIFS('Dataset 1'!$E$7:$E$2506,'Dataset 1'!$B$7:$B$2506,$A7,'Dataset 1'!$J$7:$J$2506,AH$5)</f>
        <v>0</v>
      </c>
      <c r="AI7" s="83">
        <f>SUMIFS('Dataset 1'!$E$7:$E$2506,'Dataset 1'!$B$7:$B$2506,$A7,'Dataset 1'!$J$7:$J$2506,AI$5)</f>
        <v>0</v>
      </c>
      <c r="AJ7" s="83">
        <f>SUMIFS('Dataset 1'!$E$7:$E$2506,'Dataset 1'!$B$7:$B$2506,$A7,'Dataset 1'!$J$7:$J$2506,AJ$5)</f>
        <v>940</v>
      </c>
      <c r="AK7" s="83">
        <f>SUMIFS('Dataset 1'!$E$7:$E$2506,'Dataset 1'!$B$7:$B$2506,$A7,'Dataset 1'!$J$7:$J$2506,AK$5)</f>
        <v>0</v>
      </c>
      <c r="AL7" s="83">
        <f>SUMIFS('Dataset 1'!$E$7:$E$2506,'Dataset 1'!$B$7:$B$2506,$A7,'Dataset 1'!$J$7:$J$2506,AL$5)</f>
        <v>0</v>
      </c>
      <c r="AM7" s="83">
        <f>SUMIFS('Dataset 1'!$E$7:$E$2506,'Dataset 1'!$B$7:$B$2506,$A7,'Dataset 1'!$J$7:$J$2506,AM$5)</f>
        <v>0</v>
      </c>
      <c r="AN7" s="83">
        <f>SUMIFS('Dataset 1'!$E$7:$E$2506,'Dataset 1'!$B$7:$B$2506,$A7,'Dataset 1'!$J$7:$J$2506,AN$5)</f>
        <v>480</v>
      </c>
      <c r="AO7" s="83">
        <f>SUMIFS('Dataset 1'!$E$7:$E$2506,'Dataset 1'!$B$7:$B$2506,$A7,'Dataset 1'!$J$7:$J$2506,AO$5)</f>
        <v>0</v>
      </c>
      <c r="AP7" s="83">
        <f>SUMIFS('Dataset 1'!$E$7:$E$2506,'Dataset 1'!$B$7:$B$2506,$A7,'Dataset 1'!$J$7:$J$2506,AP$5)</f>
        <v>0</v>
      </c>
      <c r="AQ7" s="83">
        <f>SUMIFS('Dataset 1'!$E$7:$E$2506,'Dataset 1'!$B$7:$B$2506,$A7,'Dataset 1'!$J$7:$J$2506,AQ$5)</f>
        <v>0</v>
      </c>
      <c r="AR7" s="83">
        <f>SUMIFS('Dataset 1'!$E$7:$E$2506,'Dataset 1'!$B$7:$B$2506,$A7,'Dataset 1'!$J$7:$J$2506,AR$5)</f>
        <v>0</v>
      </c>
      <c r="AS7" s="83">
        <f>SUMIFS('Dataset 1'!$E$7:$E$2506,'Dataset 1'!$B$7:$B$2506,$A7,'Dataset 1'!$J$7:$J$2506,AS$5)</f>
        <v>0</v>
      </c>
      <c r="AT7" s="83">
        <f>SUMIFS('Dataset 1'!$E$7:$E$2506,'Dataset 1'!$B$7:$B$2506,$A7,'Dataset 1'!$J$7:$J$2506,AT$5)</f>
        <v>0</v>
      </c>
      <c r="AU7" s="83">
        <f>SUMIFS('Dataset 1'!$E$7:$E$2506,'Dataset 1'!$B$7:$B$2506,$A7,'Dataset 1'!$J$7:$J$2506,AU$5)</f>
        <v>0</v>
      </c>
      <c r="AV7" s="83">
        <f>SUMIFS('Dataset 1'!$E$7:$E$2506,'Dataset 1'!$B$7:$B$2506,$A7,'Dataset 1'!$J$7:$J$2506,AV$5)</f>
        <v>0</v>
      </c>
      <c r="AW7" s="83">
        <f>SUMIFS('Dataset 1'!$E$7:$E$2506,'Dataset 1'!$B$7:$B$2506,$A7,'Dataset 1'!$J$7:$J$2506,AW$5)</f>
        <v>0</v>
      </c>
      <c r="AX7" s="83">
        <f>SUMIFS('Dataset 1'!$E$7:$E$2506,'Dataset 1'!$B$7:$B$2506,$A7,'Dataset 1'!$J$7:$J$2506,AX$5)</f>
        <v>0</v>
      </c>
      <c r="AY7" s="83">
        <f>SUMIFS('Dataset 1'!$E$7:$E$2506,'Dataset 1'!$B$7:$B$2506,$A7,'Dataset 1'!$J$7:$J$2506,AY$5)</f>
        <v>100</v>
      </c>
      <c r="AZ7" s="83">
        <f>SUMIFS('Dataset 1'!$E$7:$E$2506,'Dataset 1'!$B$7:$B$2506,$A7,'Dataset 1'!$J$7:$J$2506,AZ$5)</f>
        <v>0</v>
      </c>
      <c r="BA7" s="83">
        <f>SUMIFS('Dataset 1'!$E$7:$E$2506,'Dataset 1'!$B$7:$B$2506,$A7,'Dataset 1'!$J$7:$J$2506,BA$5)</f>
        <v>0</v>
      </c>
      <c r="BB7" s="83">
        <f>SUMIFS('Dataset 1'!$E$7:$E$2506,'Dataset 1'!$B$7:$B$2506,$A7,'Dataset 1'!$J$7:$J$2506,BB$5)</f>
        <v>0</v>
      </c>
      <c r="BC7" s="83">
        <f>SUMIFS('Dataset 1'!$E$7:$E$2506,'Dataset 1'!$B$7:$B$2506,$A7,'Dataset 1'!$J$7:$J$2506,BC$5)</f>
        <v>0</v>
      </c>
      <c r="BD7" s="83">
        <f>SUMIFS('Dataset 1'!$E$7:$E$2506,'Dataset 1'!$B$7:$B$2506,$A7,'Dataset 1'!$J$7:$J$2506,BD$5)</f>
        <v>0</v>
      </c>
      <c r="BE7" s="83">
        <f>SUMIFS('Dataset 1'!$E$7:$E$2506,'Dataset 1'!$B$7:$B$2506,$A7,'Dataset 1'!$J$7:$J$2506,BE$5)</f>
        <v>0</v>
      </c>
      <c r="BF7" s="83">
        <f>SUMIFS('Dataset 1'!$E$7:$E$2506,'Dataset 1'!$B$7:$B$2506,$A7,'Dataset 1'!$J$7:$J$2506,BF$5)</f>
        <v>0</v>
      </c>
      <c r="BG7" s="83">
        <f>SUMIFS('Dataset 1'!$E$7:$E$2506,'Dataset 1'!$B$7:$B$2506,$A7,'Dataset 1'!$J$7:$J$2506,BG$5)</f>
        <v>110</v>
      </c>
      <c r="BH7" s="83">
        <f>SUMIFS('Dataset 1'!$E$7:$E$2506,'Dataset 1'!$B$7:$B$2506,$A7,'Dataset 1'!$J$7:$J$2506,BH$5)</f>
        <v>0</v>
      </c>
      <c r="BI7" s="83">
        <f>SUMIFS('Dataset 1'!$E$7:$E$2506,'Dataset 1'!$B$7:$B$2506,$A7,'Dataset 1'!$J$7:$J$2506,BI$5)</f>
        <v>1910</v>
      </c>
      <c r="BJ7" s="83">
        <f>SUMIFS('Dataset 1'!$E$7:$E$2506,'Dataset 1'!$B$7:$B$2506,$A7,'Dataset 1'!$J$7:$J$2506,BJ$5)</f>
        <v>0</v>
      </c>
      <c r="BK7" s="83">
        <f>SUMIFS('Dataset 1'!$E$7:$E$2506,'Dataset 1'!$B$7:$B$2506,$A7,'Dataset 1'!$J$7:$J$2506,BK$5)</f>
        <v>0</v>
      </c>
      <c r="BL7" s="83">
        <f>SUMIFS('Dataset 1'!$E$7:$E$2506,'Dataset 1'!$B$7:$B$2506,$A7,'Dataset 1'!$J$7:$J$2506,BL$5)</f>
        <v>0</v>
      </c>
      <c r="BM7" s="83">
        <f>SUMIFS('Dataset 1'!$E$7:$E$2506,'Dataset 1'!$B$7:$B$2506,$A7,'Dataset 1'!$J$7:$J$2506,BM$5)</f>
        <v>140</v>
      </c>
      <c r="BN7" s="83">
        <f>SUMIFS('Dataset 1'!$E$7:$E$2506,'Dataset 1'!$B$7:$B$2506,$A7,'Dataset 1'!$J$7:$J$2506,BN$5)</f>
        <v>0</v>
      </c>
      <c r="BO7" s="83">
        <f>SUMIFS('Dataset 1'!$E$7:$E$2506,'Dataset 1'!$B$7:$B$2506,$A7,'Dataset 1'!$J$7:$J$2506,BO$5)</f>
        <v>0</v>
      </c>
      <c r="BP7" s="83">
        <f>SUMIFS('Dataset 1'!$E$7:$E$2506,'Dataset 1'!$B$7:$B$2506,$A7,'Dataset 1'!$J$7:$J$2506,BP$5)</f>
        <v>0</v>
      </c>
      <c r="BQ7" s="83">
        <f>SUMIFS('Dataset 1'!$E$7:$E$2506,'Dataset 1'!$B$7:$B$2506,$A7,'Dataset 1'!$J$7:$J$2506,BQ$5)</f>
        <v>0</v>
      </c>
      <c r="BR7" s="83">
        <f>SUMIFS('Dataset 1'!$E$7:$E$2506,'Dataset 1'!$B$7:$B$2506,$A7,'Dataset 1'!$J$7:$J$2506,BR$5)</f>
        <v>0</v>
      </c>
      <c r="BS7" s="83">
        <f>SUMIFS('Dataset 1'!$E$7:$E$2506,'Dataset 1'!$B$7:$B$2506,$A7,'Dataset 1'!$J$7:$J$2506,BS$5)</f>
        <v>0</v>
      </c>
      <c r="BT7" s="83">
        <f>SUMIFS('Dataset 1'!$E$7:$E$2506,'Dataset 1'!$B$7:$B$2506,$A7,'Dataset 1'!$J$7:$J$2506,BT$5)</f>
        <v>0</v>
      </c>
      <c r="BU7" s="83">
        <f>SUMIFS('Dataset 1'!$E$7:$E$2506,'Dataset 1'!$B$7:$B$2506,$A7,'Dataset 1'!$J$7:$J$2506,BU$5)</f>
        <v>0</v>
      </c>
      <c r="BV7" s="83">
        <f>SUMIFS('Dataset 1'!$E$7:$E$2506,'Dataset 1'!$B$7:$B$2506,$A7,'Dataset 1'!$J$7:$J$2506,BV$5)</f>
        <v>0</v>
      </c>
      <c r="BW7" s="83">
        <f>SUMIFS('Dataset 1'!$E$7:$E$2506,'Dataset 1'!$B$7:$B$2506,$A7,'Dataset 1'!$J$7:$J$2506,BW$5)</f>
        <v>0</v>
      </c>
      <c r="BX7" s="83">
        <f>SUMIFS('Dataset 1'!$E$7:$E$2506,'Dataset 1'!$B$7:$B$2506,$A7,'Dataset 1'!$J$7:$J$2506,BX$5)</f>
        <v>0</v>
      </c>
      <c r="BY7" s="83">
        <f>SUMIFS('Dataset 1'!$E$7:$E$2506,'Dataset 1'!$B$7:$B$2506,$A7,'Dataset 1'!$J$7:$J$2506,BY$5)</f>
        <v>0</v>
      </c>
      <c r="BZ7" s="83">
        <f>SUMIFS('Dataset 1'!$E$7:$E$2506,'Dataset 1'!$B$7:$B$2506,$A7,'Dataset 1'!$J$7:$J$2506,BZ$5)</f>
        <v>0</v>
      </c>
      <c r="CA7" s="83">
        <f>SUMIFS('Dataset 1'!$E$7:$E$2506,'Dataset 1'!$B$7:$B$2506,$A7,'Dataset 1'!$J$7:$J$2506,CA$5)</f>
        <v>0</v>
      </c>
      <c r="CB7" s="83">
        <f>SUMIFS('Dataset 1'!$E$7:$E$2506,'Dataset 1'!$B$7:$B$2506,$A7,'Dataset 1'!$J$7:$J$2506,CB$5)</f>
        <v>0</v>
      </c>
      <c r="CC7" s="83">
        <f>SUMIFS('Dataset 1'!$E$7:$E$2506,'Dataset 1'!$B$7:$B$2506,$A7,'Dataset 1'!$J$7:$J$2506,CC$5)</f>
        <v>0</v>
      </c>
      <c r="CD7" s="83">
        <f>SUMIFS('Dataset 1'!$E$7:$E$2506,'Dataset 1'!$B$7:$B$2506,$A7,'Dataset 1'!$J$7:$J$2506,CD$5)</f>
        <v>0</v>
      </c>
      <c r="CE7" s="83">
        <f>SUMIFS('Dataset 1'!$E$7:$E$2506,'Dataset 1'!$B$7:$B$2506,$A7,'Dataset 1'!$J$7:$J$2506,CE$5)</f>
        <v>100</v>
      </c>
      <c r="CF7" s="83">
        <f>SUMIFS('Dataset 1'!$E$7:$E$2506,'Dataset 1'!$B$7:$B$2506,$A7,'Dataset 1'!$J$7:$J$2506,CF$5)</f>
        <v>0</v>
      </c>
      <c r="CG7" s="83">
        <f>SUMIFS('Dataset 1'!$E$7:$E$2506,'Dataset 1'!$B$7:$B$2506,$A7,'Dataset 1'!$J$7:$J$2506,CG$5)</f>
        <v>0</v>
      </c>
      <c r="CH7" s="83">
        <f>SUMIFS('Dataset 1'!$E$7:$E$2506,'Dataset 1'!$B$7:$B$2506,$A7,'Dataset 1'!$J$7:$J$2506,CH$5)</f>
        <v>0</v>
      </c>
      <c r="CI7" s="83">
        <f>SUMIFS('Dataset 1'!$E$7:$E$2506,'Dataset 1'!$B$7:$B$2506,$A7,'Dataset 1'!$J$7:$J$2506,CI$5)</f>
        <v>2270</v>
      </c>
      <c r="CJ7" s="83">
        <f>SUMIFS('Dataset 1'!$E$7:$E$2506,'Dataset 1'!$B$7:$B$2506,$A7,'Dataset 1'!$J$7:$J$2506,CJ$5)</f>
        <v>0</v>
      </c>
      <c r="CK7" s="83">
        <f>SUMIFS('Dataset 1'!$E$7:$E$2506,'Dataset 1'!$B$7:$B$2506,$A7,'Dataset 1'!$J$7:$J$2506,CK$5)</f>
        <v>0</v>
      </c>
      <c r="CL7" s="83">
        <f>SUMIFS('Dataset 1'!$E$7:$E$2506,'Dataset 1'!$B$7:$B$2506,$A7,'Dataset 1'!$J$7:$J$2506,CL$5)</f>
        <v>0</v>
      </c>
      <c r="CM7" s="83">
        <f>SUMIFS('Dataset 1'!$E$7:$E$2506,'Dataset 1'!$B$7:$B$2506,$A7,'Dataset 1'!$J$7:$J$2506,CM$5)</f>
        <v>0</v>
      </c>
      <c r="CN7" s="83">
        <f>SUMIFS('Dataset 1'!$E$7:$E$2506,'Dataset 1'!$B$7:$B$2506,$A7,'Dataset 1'!$J$7:$J$2506,CN$5)</f>
        <v>0</v>
      </c>
      <c r="CO7" s="83">
        <f>SUMIFS('Dataset 1'!$E$7:$E$2506,'Dataset 1'!$B$7:$B$2506,$A7,'Dataset 1'!$J$7:$J$2506,CO$5)</f>
        <v>0</v>
      </c>
      <c r="CP7" s="83">
        <f>SUMIFS('Dataset 1'!$E$7:$E$2506,'Dataset 1'!$B$7:$B$2506,$A7,'Dataset 1'!$J$7:$J$2506,CP$5)</f>
        <v>0</v>
      </c>
      <c r="CQ7" s="83">
        <f>SUMIFS('Dataset 1'!$E$7:$E$2506,'Dataset 1'!$B$7:$B$2506,$A7,'Dataset 1'!$J$7:$J$2506,CQ$5)</f>
        <v>0</v>
      </c>
      <c r="CR7" s="83">
        <f>SUMIFS('Dataset 1'!$E$7:$E$2506,'Dataset 1'!$B$7:$B$2506,$A7,'Dataset 1'!$J$7:$J$2506,CR$5)</f>
        <v>0</v>
      </c>
      <c r="CS7" s="83">
        <f>SUMIFS('Dataset 1'!$E$7:$E$2506,'Dataset 1'!$B$7:$B$2506,$A7,'Dataset 1'!$J$7:$J$2506,CS$5)</f>
        <v>0</v>
      </c>
      <c r="CT7" s="83">
        <f>SUMIFS('Dataset 1'!$E$7:$E$2506,'Dataset 1'!$B$7:$B$2506,$A7,'Dataset 1'!$J$7:$J$2506,CT$5)</f>
        <v>0</v>
      </c>
      <c r="CU7" s="83">
        <f>SUMIFS('Dataset 1'!$E$7:$E$2506,'Dataset 1'!$B$7:$B$2506,$A7,'Dataset 1'!$J$7:$J$2506,CU$5)</f>
        <v>5410</v>
      </c>
      <c r="CV7" s="83">
        <f>SUMIFS('Dataset 1'!$E$7:$E$2506,'Dataset 1'!$B$7:$B$2506,$A7,'Dataset 1'!$J$7:$J$2506,CV$5)</f>
        <v>0</v>
      </c>
      <c r="CW7" s="83">
        <f>SUMIFS('Dataset 1'!$E$7:$E$2506,'Dataset 1'!$B$7:$B$2506,$A7,'Dataset 1'!$J$7:$J$2506,CW$5)</f>
        <v>0</v>
      </c>
      <c r="CX7" s="83">
        <f>SUMIFS('Dataset 1'!$E$7:$E$2506,'Dataset 1'!$B$7:$B$2506,$A7,'Dataset 1'!$J$7:$J$2506,CX$5)</f>
        <v>0</v>
      </c>
      <c r="CY7" s="83">
        <f>SUMIFS('Dataset 1'!$E$7:$E$2506,'Dataset 1'!$B$7:$B$2506,$A7,'Dataset 1'!$J$7:$J$2506,CY$5)</f>
        <v>0</v>
      </c>
      <c r="CZ7" s="83">
        <f>SUMIFS('Dataset 1'!$E$7:$E$2506,'Dataset 1'!$B$7:$B$2506,$A7,'Dataset 1'!$J$7:$J$2506,CZ$5)</f>
        <v>0</v>
      </c>
      <c r="DA7" s="83">
        <f>SUMIFS('Dataset 1'!$E$7:$E$2506,'Dataset 1'!$B$7:$B$2506,$A7,'Dataset 1'!$J$7:$J$2506,DA$5)</f>
        <v>0</v>
      </c>
      <c r="DB7" s="83">
        <f>SUMIFS('Dataset 1'!$E$7:$E$2506,'Dataset 1'!$B$7:$B$2506,$A7,'Dataset 1'!$J$7:$J$2506,DB$5)</f>
        <v>970</v>
      </c>
      <c r="DC7" s="83">
        <f>SUMIFS('Dataset 1'!$E$7:$E$2506,'Dataset 1'!$B$7:$B$2506,$A7,'Dataset 1'!$J$7:$J$2506,DC$5)</f>
        <v>0</v>
      </c>
      <c r="DD7" s="83">
        <f>SUMIFS('Dataset 1'!$E$7:$E$2506,'Dataset 1'!$B$7:$B$2506,$A7,'Dataset 1'!$J$7:$J$2506,DD$5)</f>
        <v>0</v>
      </c>
      <c r="DE7" s="83">
        <f>SUMIFS('Dataset 1'!$E$7:$E$2506,'Dataset 1'!$B$7:$B$2506,$A7,'Dataset 1'!$J$7:$J$2506,DE$5)</f>
        <v>0</v>
      </c>
      <c r="DF7" s="83">
        <f>SUMIFS('Dataset 1'!$E$7:$E$2506,'Dataset 1'!$B$7:$B$2506,$A7,'Dataset 1'!$J$7:$J$2506,DF$5)</f>
        <v>230</v>
      </c>
      <c r="DG7" s="83">
        <f>SUMIFS('Dataset 1'!$E$7:$E$2506,'Dataset 1'!$B$7:$B$2506,$A7,'Dataset 1'!$J$7:$J$2506,DG$5)</f>
        <v>0</v>
      </c>
      <c r="DH7" s="83">
        <f>SUMIFS('Dataset 1'!$E$7:$E$2506,'Dataset 1'!$B$7:$B$2506,$A7,'Dataset 1'!$J$7:$J$2506,DH$5)</f>
        <v>0</v>
      </c>
      <c r="DI7" s="83">
        <f>SUMIFS('Dataset 1'!$E$7:$E$2506,'Dataset 1'!$B$7:$B$2506,$A7,'Dataset 1'!$J$7:$J$2506,DI$5)</f>
        <v>0</v>
      </c>
      <c r="DJ7" s="83">
        <f>SUMIFS('Dataset 1'!$E$7:$E$2506,'Dataset 1'!$B$7:$B$2506,$A7,'Dataset 1'!$J$7:$J$2506,DJ$5)</f>
        <v>0</v>
      </c>
      <c r="DK7" s="83">
        <f>SUMIFS('Dataset 1'!$E$7:$E$2506,'Dataset 1'!$B$7:$B$2506,$A7,'Dataset 1'!$J$7:$J$2506,DK$5)</f>
        <v>0</v>
      </c>
      <c r="DL7" s="83">
        <f>SUMIFS('Dataset 1'!$E$7:$E$2506,'Dataset 1'!$B$7:$B$2506,$A7,'Dataset 1'!$J$7:$J$2506,DL$5)</f>
        <v>0</v>
      </c>
      <c r="DM7" s="83">
        <f>SUMIFS('Dataset 1'!$E$7:$E$2506,'Dataset 1'!$B$7:$B$2506,$A7,'Dataset 1'!$J$7:$J$2506,DM$5)</f>
        <v>0</v>
      </c>
      <c r="DN7" s="83">
        <f>SUMIFS('Dataset 1'!$E$7:$E$2506,'Dataset 1'!$B$7:$B$2506,$A7,'Dataset 1'!$J$7:$J$2506,DN$5)</f>
        <v>0</v>
      </c>
      <c r="DO7" s="83">
        <f>SUMIFS('Dataset 1'!$E$7:$E$2506,'Dataset 1'!$B$7:$B$2506,$A7,'Dataset 1'!$J$7:$J$2506,DO$5)</f>
        <v>0</v>
      </c>
      <c r="DP7" s="83">
        <f>SUMIFS('Dataset 1'!$E$7:$E$2506,'Dataset 1'!$B$7:$B$2506,$A7,'Dataset 1'!$J$7:$J$2506,DP$5)</f>
        <v>0</v>
      </c>
      <c r="DQ7" s="83">
        <f>SUMIFS('Dataset 1'!$E$7:$E$2506,'Dataset 1'!$B$7:$B$2506,$A7,'Dataset 1'!$J$7:$J$2506,DQ$5)</f>
        <v>0</v>
      </c>
      <c r="DR7" s="83">
        <f>SUMIFS('Dataset 1'!$E$7:$E$2506,'Dataset 1'!$B$7:$B$2506,$A7,'Dataset 1'!$J$7:$J$2506,DR$5)</f>
        <v>0</v>
      </c>
      <c r="DS7" s="83">
        <f>SUMIFS('Dataset 1'!$E$7:$E$2506,'Dataset 1'!$B$7:$B$2506,$A7,'Dataset 1'!$J$7:$J$2506,DS$5)</f>
        <v>0</v>
      </c>
      <c r="DT7" s="83">
        <f>SUMIFS('Dataset 1'!$E$7:$E$2506,'Dataset 1'!$B$7:$B$2506,$A7,'Dataset 1'!$J$7:$J$2506,DT$5)</f>
        <v>0</v>
      </c>
      <c r="DU7" s="83">
        <f>SUMIFS('Dataset 1'!$E$7:$E$2506,'Dataset 1'!$B$7:$B$2506,$A7,'Dataset 1'!$J$7:$J$2506,DU$5)</f>
        <v>0</v>
      </c>
      <c r="DV7" s="83">
        <f>SUMIFS('Dataset 1'!$E$7:$E$2506,'Dataset 1'!$B$7:$B$2506,$A7,'Dataset 1'!$J$7:$J$2506,DV$5)</f>
        <v>0</v>
      </c>
      <c r="DW7" s="83">
        <f>SUMIFS('Dataset 1'!$E$7:$E$2506,'Dataset 1'!$B$7:$B$2506,$A7,'Dataset 1'!$J$7:$J$2506,DW$5)</f>
        <v>0</v>
      </c>
      <c r="DX7" s="83">
        <f>SUMIFS('Dataset 1'!$E$7:$E$2506,'Dataset 1'!$B$7:$B$2506,$A7,'Dataset 1'!$J$7:$J$2506,DX$5)</f>
        <v>0</v>
      </c>
      <c r="DY7" s="83">
        <f>SUMIFS('Dataset 1'!$E$7:$E$2506,'Dataset 1'!$B$7:$B$2506,$A7,'Dataset 1'!$J$7:$J$2506,DY$5)</f>
        <v>0</v>
      </c>
      <c r="DZ7" s="83">
        <f>SUMIFS('Dataset 1'!$E$7:$E$2506,'Dataset 1'!$B$7:$B$2506,$A7,'Dataset 1'!$J$7:$J$2506,DZ$5)</f>
        <v>0</v>
      </c>
      <c r="EA7" s="83">
        <f>SUMIFS('Dataset 1'!$E$7:$E$2506,'Dataset 1'!$B$7:$B$2506,$A7,'Dataset 1'!$J$7:$J$2506,EA$5)</f>
        <v>0</v>
      </c>
      <c r="EB7" s="83">
        <f>SUMIFS('Dataset 1'!$E$7:$E$2506,'Dataset 1'!$B$7:$B$2506,$A7,'Dataset 1'!$J$7:$J$2506,EB$5)</f>
        <v>0</v>
      </c>
      <c r="EC7" s="83">
        <f>SUMIFS('Dataset 1'!$E$7:$E$2506,'Dataset 1'!$B$7:$B$2506,$A7,'Dataset 1'!$J$7:$J$2506,EC$5)</f>
        <v>0</v>
      </c>
      <c r="ED7" s="83">
        <f>SUMIFS('Dataset 1'!$E$7:$E$2506,'Dataset 1'!$B$7:$B$2506,$A7,'Dataset 1'!$J$7:$J$2506,ED$5)</f>
        <v>0</v>
      </c>
      <c r="EE7" s="83">
        <f>SUMIFS('Dataset 1'!$E$7:$E$2506,'Dataset 1'!$B$7:$B$2506,$A7,'Dataset 1'!$J$7:$J$2506,EE$5)</f>
        <v>0</v>
      </c>
      <c r="EF7" s="83">
        <f>SUMIFS('Dataset 1'!$E$7:$E$2506,'Dataset 1'!$B$7:$B$2506,$A7,'Dataset 1'!$J$7:$J$2506,EF$5)</f>
        <v>310</v>
      </c>
      <c r="EG7" s="83">
        <f>SUMIFS('Dataset 1'!$E$7:$E$2506,'Dataset 1'!$B$7:$B$2506,$A7,'Dataset 1'!$J$7:$J$2506,EG$5)</f>
        <v>0</v>
      </c>
    </row>
    <row r="8" spans="1:137" x14ac:dyDescent="0.2">
      <c r="A8">
        <v>2007</v>
      </c>
      <c r="B8" s="83">
        <f>SUMIFS('Dataset 1'!$E$7:$E$2506,'Dataset 1'!$B$7:$B$2506,$A8,'Dataset 1'!$J$7:$J$2506,B$5)</f>
        <v>2520</v>
      </c>
      <c r="C8" s="83">
        <f>SUMIFS('Dataset 1'!$E$7:$E$2506,'Dataset 1'!$B$7:$B$2506,$A8,'Dataset 1'!$J$7:$J$2506,C$5)</f>
        <v>0</v>
      </c>
      <c r="D8" s="83">
        <f>SUMIFS('Dataset 1'!$E$7:$E$2506,'Dataset 1'!$B$7:$B$2506,$A8,'Dataset 1'!$J$7:$J$2506,D$5)</f>
        <v>0</v>
      </c>
      <c r="E8" s="83">
        <f>SUMIFS('Dataset 1'!$E$7:$E$2506,'Dataset 1'!$B$7:$B$2506,$A8,'Dataset 1'!$J$7:$J$2506,E$5)</f>
        <v>0</v>
      </c>
      <c r="F8" s="83">
        <f>SUMIFS('Dataset 1'!$E$7:$E$2506,'Dataset 1'!$B$7:$B$2506,$A8,'Dataset 1'!$J$7:$J$2506,F$5)</f>
        <v>0</v>
      </c>
      <c r="G8" s="83">
        <f>SUMIFS('Dataset 1'!$E$7:$E$2506,'Dataset 1'!$B$7:$B$2506,$A8,'Dataset 1'!$J$7:$J$2506,G$5)</f>
        <v>430</v>
      </c>
      <c r="H8" s="83">
        <f>SUMIFS('Dataset 1'!$E$7:$E$2506,'Dataset 1'!$B$7:$B$2506,$A8,'Dataset 1'!$J$7:$J$2506,H$5)</f>
        <v>0</v>
      </c>
      <c r="I8" s="83">
        <f>SUMIFS('Dataset 1'!$E$7:$E$2506,'Dataset 1'!$B$7:$B$2506,$A8,'Dataset 1'!$J$7:$J$2506,I$5)</f>
        <v>0</v>
      </c>
      <c r="J8" s="83">
        <f>SUMIFS('Dataset 1'!$E$7:$E$2506,'Dataset 1'!$B$7:$B$2506,$A8,'Dataset 1'!$J$7:$J$2506,J$5)</f>
        <v>0</v>
      </c>
      <c r="K8" s="83">
        <f>SUMIFS('Dataset 1'!$E$7:$E$2506,'Dataset 1'!$B$7:$B$2506,$A8,'Dataset 1'!$J$7:$J$2506,K$5)</f>
        <v>0</v>
      </c>
      <c r="L8" s="83">
        <f>SUMIFS('Dataset 1'!$E$7:$E$2506,'Dataset 1'!$B$7:$B$2506,$A8,'Dataset 1'!$J$7:$J$2506,L$5)</f>
        <v>0</v>
      </c>
      <c r="M8" s="83">
        <f>SUMIFS('Dataset 1'!$E$7:$E$2506,'Dataset 1'!$B$7:$B$2506,$A8,'Dataset 1'!$J$7:$J$2506,M$5)</f>
        <v>2790</v>
      </c>
      <c r="N8" s="83">
        <f>SUMIFS('Dataset 1'!$E$7:$E$2506,'Dataset 1'!$B$7:$B$2506,$A8,'Dataset 1'!$J$7:$J$2506,N$5)</f>
        <v>0</v>
      </c>
      <c r="O8" s="83">
        <f>SUMIFS('Dataset 1'!$E$7:$E$2506,'Dataset 1'!$B$7:$B$2506,$A8,'Dataset 1'!$J$7:$J$2506,O$5)</f>
        <v>0</v>
      </c>
      <c r="P8" s="83">
        <f>SUMIFS('Dataset 1'!$E$7:$E$2506,'Dataset 1'!$B$7:$B$2506,$A8,'Dataset 1'!$J$7:$J$2506,P$5)</f>
        <v>0</v>
      </c>
      <c r="Q8" s="83">
        <f>SUMIFS('Dataset 1'!$E$7:$E$2506,'Dataset 1'!$B$7:$B$2506,$A8,'Dataset 1'!$J$7:$J$2506,Q$5)</f>
        <v>0</v>
      </c>
      <c r="R8" s="83">
        <f>SUMIFS('Dataset 1'!$E$7:$E$2506,'Dataset 1'!$B$7:$B$2506,$A8,'Dataset 1'!$J$7:$J$2506,R$5)</f>
        <v>3040</v>
      </c>
      <c r="S8" s="83">
        <f>SUMIFS('Dataset 1'!$E$7:$E$2506,'Dataset 1'!$B$7:$B$2506,$A8,'Dataset 1'!$J$7:$J$2506,S$5)</f>
        <v>0</v>
      </c>
      <c r="T8" s="83">
        <f>SUMIFS('Dataset 1'!$E$7:$E$2506,'Dataset 1'!$B$7:$B$2506,$A8,'Dataset 1'!$J$7:$J$2506,T$5)</f>
        <v>0</v>
      </c>
      <c r="U8" s="83">
        <f>SUMIFS('Dataset 1'!$E$7:$E$2506,'Dataset 1'!$B$7:$B$2506,$A8,'Dataset 1'!$J$7:$J$2506,U$5)</f>
        <v>0</v>
      </c>
      <c r="V8" s="83">
        <f>SUMIFS('Dataset 1'!$E$7:$E$2506,'Dataset 1'!$B$7:$B$2506,$A8,'Dataset 1'!$J$7:$J$2506,V$5)</f>
        <v>0</v>
      </c>
      <c r="W8" s="83">
        <f>SUMIFS('Dataset 1'!$E$7:$E$2506,'Dataset 1'!$B$7:$B$2506,$A8,'Dataset 1'!$J$7:$J$2506,W$5)</f>
        <v>0</v>
      </c>
      <c r="X8" s="83">
        <f>SUMIFS('Dataset 1'!$E$7:$E$2506,'Dataset 1'!$B$7:$B$2506,$A8,'Dataset 1'!$J$7:$J$2506,X$5)</f>
        <v>200</v>
      </c>
      <c r="Y8" s="83">
        <f>SUMIFS('Dataset 1'!$E$7:$E$2506,'Dataset 1'!$B$7:$B$2506,$A8,'Dataset 1'!$J$7:$J$2506,Y$5)</f>
        <v>0</v>
      </c>
      <c r="Z8" s="83">
        <f>SUMIFS('Dataset 1'!$E$7:$E$2506,'Dataset 1'!$B$7:$B$2506,$A8,'Dataset 1'!$J$7:$J$2506,Z$5)</f>
        <v>0</v>
      </c>
      <c r="AA8" s="83">
        <f>SUMIFS('Dataset 1'!$E$7:$E$2506,'Dataset 1'!$B$7:$B$2506,$A8,'Dataset 1'!$J$7:$J$2506,AA$5)</f>
        <v>0</v>
      </c>
      <c r="AB8" s="83">
        <f>SUMIFS('Dataset 1'!$E$7:$E$2506,'Dataset 1'!$B$7:$B$2506,$A8,'Dataset 1'!$J$7:$J$2506,AB$5)</f>
        <v>0</v>
      </c>
      <c r="AC8" s="83">
        <f>SUMIFS('Dataset 1'!$E$7:$E$2506,'Dataset 1'!$B$7:$B$2506,$A8,'Dataset 1'!$J$7:$J$2506,AC$5)</f>
        <v>0</v>
      </c>
      <c r="AD8" s="83">
        <f>SUMIFS('Dataset 1'!$E$7:$E$2506,'Dataset 1'!$B$7:$B$2506,$A8,'Dataset 1'!$J$7:$J$2506,AD$5)</f>
        <v>0</v>
      </c>
      <c r="AE8" s="83">
        <f>SUMIFS('Dataset 1'!$E$7:$E$2506,'Dataset 1'!$B$7:$B$2506,$A8,'Dataset 1'!$J$7:$J$2506,AE$5)</f>
        <v>0</v>
      </c>
      <c r="AF8" s="83">
        <f>SUMIFS('Dataset 1'!$E$7:$E$2506,'Dataset 1'!$B$7:$B$2506,$A8,'Dataset 1'!$J$7:$J$2506,AF$5)</f>
        <v>0</v>
      </c>
      <c r="AG8" s="83">
        <f>SUMIFS('Dataset 1'!$E$7:$E$2506,'Dataset 1'!$B$7:$B$2506,$A8,'Dataset 1'!$J$7:$J$2506,AG$5)</f>
        <v>0</v>
      </c>
      <c r="AH8" s="83">
        <f>SUMIFS('Dataset 1'!$E$7:$E$2506,'Dataset 1'!$B$7:$B$2506,$A8,'Dataset 1'!$J$7:$J$2506,AH$5)</f>
        <v>0</v>
      </c>
      <c r="AI8" s="83">
        <f>SUMIFS('Dataset 1'!$E$7:$E$2506,'Dataset 1'!$B$7:$B$2506,$A8,'Dataset 1'!$J$7:$J$2506,AI$5)</f>
        <v>0</v>
      </c>
      <c r="AJ8" s="83">
        <f>SUMIFS('Dataset 1'!$E$7:$E$2506,'Dataset 1'!$B$7:$B$2506,$A8,'Dataset 1'!$J$7:$J$2506,AJ$5)</f>
        <v>150</v>
      </c>
      <c r="AK8" s="83">
        <f>SUMIFS('Dataset 1'!$E$7:$E$2506,'Dataset 1'!$B$7:$B$2506,$A8,'Dataset 1'!$J$7:$J$2506,AK$5)</f>
        <v>0</v>
      </c>
      <c r="AL8" s="83">
        <f>SUMIFS('Dataset 1'!$E$7:$E$2506,'Dataset 1'!$B$7:$B$2506,$A8,'Dataset 1'!$J$7:$J$2506,AL$5)</f>
        <v>0</v>
      </c>
      <c r="AM8" s="83">
        <f>SUMIFS('Dataset 1'!$E$7:$E$2506,'Dataset 1'!$B$7:$B$2506,$A8,'Dataset 1'!$J$7:$J$2506,AM$5)</f>
        <v>0</v>
      </c>
      <c r="AN8" s="83">
        <f>SUMIFS('Dataset 1'!$E$7:$E$2506,'Dataset 1'!$B$7:$B$2506,$A8,'Dataset 1'!$J$7:$J$2506,AN$5)</f>
        <v>700</v>
      </c>
      <c r="AO8" s="83">
        <f>SUMIFS('Dataset 1'!$E$7:$E$2506,'Dataset 1'!$B$7:$B$2506,$A8,'Dataset 1'!$J$7:$J$2506,AO$5)</f>
        <v>0</v>
      </c>
      <c r="AP8" s="83">
        <f>SUMIFS('Dataset 1'!$E$7:$E$2506,'Dataset 1'!$B$7:$B$2506,$A8,'Dataset 1'!$J$7:$J$2506,AP$5)</f>
        <v>0</v>
      </c>
      <c r="AQ8" s="83">
        <f>SUMIFS('Dataset 1'!$E$7:$E$2506,'Dataset 1'!$B$7:$B$2506,$A8,'Dataset 1'!$J$7:$J$2506,AQ$5)</f>
        <v>130</v>
      </c>
      <c r="AR8" s="83">
        <f>SUMIFS('Dataset 1'!$E$7:$E$2506,'Dataset 1'!$B$7:$B$2506,$A8,'Dataset 1'!$J$7:$J$2506,AR$5)</f>
        <v>200</v>
      </c>
      <c r="AS8" s="83">
        <f>SUMIFS('Dataset 1'!$E$7:$E$2506,'Dataset 1'!$B$7:$B$2506,$A8,'Dataset 1'!$J$7:$J$2506,AS$5)</f>
        <v>0</v>
      </c>
      <c r="AT8" s="83">
        <f>SUMIFS('Dataset 1'!$E$7:$E$2506,'Dataset 1'!$B$7:$B$2506,$A8,'Dataset 1'!$J$7:$J$2506,AT$5)</f>
        <v>0</v>
      </c>
      <c r="AU8" s="83">
        <f>SUMIFS('Dataset 1'!$E$7:$E$2506,'Dataset 1'!$B$7:$B$2506,$A8,'Dataset 1'!$J$7:$J$2506,AU$5)</f>
        <v>0</v>
      </c>
      <c r="AV8" s="83">
        <f>SUMIFS('Dataset 1'!$E$7:$E$2506,'Dataset 1'!$B$7:$B$2506,$A8,'Dataset 1'!$J$7:$J$2506,AV$5)</f>
        <v>0</v>
      </c>
      <c r="AW8" s="83">
        <f>SUMIFS('Dataset 1'!$E$7:$E$2506,'Dataset 1'!$B$7:$B$2506,$A8,'Dataset 1'!$J$7:$J$2506,AW$5)</f>
        <v>0</v>
      </c>
      <c r="AX8" s="83">
        <f>SUMIFS('Dataset 1'!$E$7:$E$2506,'Dataset 1'!$B$7:$B$2506,$A8,'Dataset 1'!$J$7:$J$2506,AX$5)</f>
        <v>250</v>
      </c>
      <c r="AY8" s="83">
        <f>SUMIFS('Dataset 1'!$E$7:$E$2506,'Dataset 1'!$B$7:$B$2506,$A8,'Dataset 1'!$J$7:$J$2506,AY$5)</f>
        <v>0</v>
      </c>
      <c r="AZ8" s="83">
        <f>SUMIFS('Dataset 1'!$E$7:$E$2506,'Dataset 1'!$B$7:$B$2506,$A8,'Dataset 1'!$J$7:$J$2506,AZ$5)</f>
        <v>2010</v>
      </c>
      <c r="BA8" s="83">
        <f>SUMIFS('Dataset 1'!$E$7:$E$2506,'Dataset 1'!$B$7:$B$2506,$A8,'Dataset 1'!$J$7:$J$2506,BA$5)</f>
        <v>0</v>
      </c>
      <c r="BB8" s="83">
        <f>SUMIFS('Dataset 1'!$E$7:$E$2506,'Dataset 1'!$B$7:$B$2506,$A8,'Dataset 1'!$J$7:$J$2506,BB$5)</f>
        <v>0</v>
      </c>
      <c r="BC8" s="83">
        <f>SUMIFS('Dataset 1'!$E$7:$E$2506,'Dataset 1'!$B$7:$B$2506,$A8,'Dataset 1'!$J$7:$J$2506,BC$5)</f>
        <v>0</v>
      </c>
      <c r="BD8" s="83">
        <f>SUMIFS('Dataset 1'!$E$7:$E$2506,'Dataset 1'!$B$7:$B$2506,$A8,'Dataset 1'!$J$7:$J$2506,BD$5)</f>
        <v>0</v>
      </c>
      <c r="BE8" s="83">
        <f>SUMIFS('Dataset 1'!$E$7:$E$2506,'Dataset 1'!$B$7:$B$2506,$A8,'Dataset 1'!$J$7:$J$2506,BE$5)</f>
        <v>0</v>
      </c>
      <c r="BF8" s="83">
        <f>SUMIFS('Dataset 1'!$E$7:$E$2506,'Dataset 1'!$B$7:$B$2506,$A8,'Dataset 1'!$J$7:$J$2506,BF$5)</f>
        <v>0</v>
      </c>
      <c r="BG8" s="83">
        <f>SUMIFS('Dataset 1'!$E$7:$E$2506,'Dataset 1'!$B$7:$B$2506,$A8,'Dataset 1'!$J$7:$J$2506,BG$5)</f>
        <v>0</v>
      </c>
      <c r="BH8" s="83">
        <f>SUMIFS('Dataset 1'!$E$7:$E$2506,'Dataset 1'!$B$7:$B$2506,$A8,'Dataset 1'!$J$7:$J$2506,BH$5)</f>
        <v>0</v>
      </c>
      <c r="BI8" s="83">
        <f>SUMIFS('Dataset 1'!$E$7:$E$2506,'Dataset 1'!$B$7:$B$2506,$A8,'Dataset 1'!$J$7:$J$2506,BI$5)</f>
        <v>0</v>
      </c>
      <c r="BJ8" s="83">
        <f>SUMIFS('Dataset 1'!$E$7:$E$2506,'Dataset 1'!$B$7:$B$2506,$A8,'Dataset 1'!$J$7:$J$2506,BJ$5)</f>
        <v>0</v>
      </c>
      <c r="BK8" s="83">
        <f>SUMIFS('Dataset 1'!$E$7:$E$2506,'Dataset 1'!$B$7:$B$2506,$A8,'Dataset 1'!$J$7:$J$2506,BK$5)</f>
        <v>0</v>
      </c>
      <c r="BL8" s="83">
        <f>SUMIFS('Dataset 1'!$E$7:$E$2506,'Dataset 1'!$B$7:$B$2506,$A8,'Dataset 1'!$J$7:$J$2506,BL$5)</f>
        <v>0</v>
      </c>
      <c r="BM8" s="83">
        <f>SUMIFS('Dataset 1'!$E$7:$E$2506,'Dataset 1'!$B$7:$B$2506,$A8,'Dataset 1'!$J$7:$J$2506,BM$5)</f>
        <v>370</v>
      </c>
      <c r="BN8" s="83">
        <f>SUMIFS('Dataset 1'!$E$7:$E$2506,'Dataset 1'!$B$7:$B$2506,$A8,'Dataset 1'!$J$7:$J$2506,BN$5)</f>
        <v>0</v>
      </c>
      <c r="BO8" s="83">
        <f>SUMIFS('Dataset 1'!$E$7:$E$2506,'Dataset 1'!$B$7:$B$2506,$A8,'Dataset 1'!$J$7:$J$2506,BO$5)</f>
        <v>0</v>
      </c>
      <c r="BP8" s="83">
        <f>SUMIFS('Dataset 1'!$E$7:$E$2506,'Dataset 1'!$B$7:$B$2506,$A8,'Dataset 1'!$J$7:$J$2506,BP$5)</f>
        <v>0</v>
      </c>
      <c r="BQ8" s="83">
        <f>SUMIFS('Dataset 1'!$E$7:$E$2506,'Dataset 1'!$B$7:$B$2506,$A8,'Dataset 1'!$J$7:$J$2506,BQ$5)</f>
        <v>0</v>
      </c>
      <c r="BR8" s="83">
        <f>SUMIFS('Dataset 1'!$E$7:$E$2506,'Dataset 1'!$B$7:$B$2506,$A8,'Dataset 1'!$J$7:$J$2506,BR$5)</f>
        <v>0</v>
      </c>
      <c r="BS8" s="83">
        <f>SUMIFS('Dataset 1'!$E$7:$E$2506,'Dataset 1'!$B$7:$B$2506,$A8,'Dataset 1'!$J$7:$J$2506,BS$5)</f>
        <v>0</v>
      </c>
      <c r="BT8" s="83">
        <f>SUMIFS('Dataset 1'!$E$7:$E$2506,'Dataset 1'!$B$7:$B$2506,$A8,'Dataset 1'!$J$7:$J$2506,BT$5)</f>
        <v>0</v>
      </c>
      <c r="BU8" s="83">
        <f>SUMIFS('Dataset 1'!$E$7:$E$2506,'Dataset 1'!$B$7:$B$2506,$A8,'Dataset 1'!$J$7:$J$2506,BU$5)</f>
        <v>0</v>
      </c>
      <c r="BV8" s="83">
        <f>SUMIFS('Dataset 1'!$E$7:$E$2506,'Dataset 1'!$B$7:$B$2506,$A8,'Dataset 1'!$J$7:$J$2506,BV$5)</f>
        <v>0</v>
      </c>
      <c r="BW8" s="83">
        <f>SUMIFS('Dataset 1'!$E$7:$E$2506,'Dataset 1'!$B$7:$B$2506,$A8,'Dataset 1'!$J$7:$J$2506,BW$5)</f>
        <v>100</v>
      </c>
      <c r="BX8" s="83">
        <f>SUMIFS('Dataset 1'!$E$7:$E$2506,'Dataset 1'!$B$7:$B$2506,$A8,'Dataset 1'!$J$7:$J$2506,BX$5)</f>
        <v>0</v>
      </c>
      <c r="BY8" s="83">
        <f>SUMIFS('Dataset 1'!$E$7:$E$2506,'Dataset 1'!$B$7:$B$2506,$A8,'Dataset 1'!$J$7:$J$2506,BY$5)</f>
        <v>0</v>
      </c>
      <c r="BZ8" s="83">
        <f>SUMIFS('Dataset 1'!$E$7:$E$2506,'Dataset 1'!$B$7:$B$2506,$A8,'Dataset 1'!$J$7:$J$2506,BZ$5)</f>
        <v>0</v>
      </c>
      <c r="CA8" s="83">
        <f>SUMIFS('Dataset 1'!$E$7:$E$2506,'Dataset 1'!$B$7:$B$2506,$A8,'Dataset 1'!$J$7:$J$2506,CA$5)</f>
        <v>0</v>
      </c>
      <c r="CB8" s="83">
        <f>SUMIFS('Dataset 1'!$E$7:$E$2506,'Dataset 1'!$B$7:$B$2506,$A8,'Dataset 1'!$J$7:$J$2506,CB$5)</f>
        <v>220</v>
      </c>
      <c r="CC8" s="83">
        <f>SUMIFS('Dataset 1'!$E$7:$E$2506,'Dataset 1'!$B$7:$B$2506,$A8,'Dataset 1'!$J$7:$J$2506,CC$5)</f>
        <v>0</v>
      </c>
      <c r="CD8" s="83">
        <f>SUMIFS('Dataset 1'!$E$7:$E$2506,'Dataset 1'!$B$7:$B$2506,$A8,'Dataset 1'!$J$7:$J$2506,CD$5)</f>
        <v>0</v>
      </c>
      <c r="CE8" s="83">
        <f>SUMIFS('Dataset 1'!$E$7:$E$2506,'Dataset 1'!$B$7:$B$2506,$A8,'Dataset 1'!$J$7:$J$2506,CE$5)</f>
        <v>140</v>
      </c>
      <c r="CF8" s="83">
        <f>SUMIFS('Dataset 1'!$E$7:$E$2506,'Dataset 1'!$B$7:$B$2506,$A8,'Dataset 1'!$J$7:$J$2506,CF$5)</f>
        <v>0</v>
      </c>
      <c r="CG8" s="83">
        <f>SUMIFS('Dataset 1'!$E$7:$E$2506,'Dataset 1'!$B$7:$B$2506,$A8,'Dataset 1'!$J$7:$J$2506,CG$5)</f>
        <v>0</v>
      </c>
      <c r="CH8" s="83">
        <f>SUMIFS('Dataset 1'!$E$7:$E$2506,'Dataset 1'!$B$7:$B$2506,$A8,'Dataset 1'!$J$7:$J$2506,CH$5)</f>
        <v>0</v>
      </c>
      <c r="CI8" s="83">
        <f>SUMIFS('Dataset 1'!$E$7:$E$2506,'Dataset 1'!$B$7:$B$2506,$A8,'Dataset 1'!$J$7:$J$2506,CI$5)</f>
        <v>0</v>
      </c>
      <c r="CJ8" s="83">
        <f>SUMIFS('Dataset 1'!$E$7:$E$2506,'Dataset 1'!$B$7:$B$2506,$A8,'Dataset 1'!$J$7:$J$2506,CJ$5)</f>
        <v>0</v>
      </c>
      <c r="CK8" s="83">
        <f>SUMIFS('Dataset 1'!$E$7:$E$2506,'Dataset 1'!$B$7:$B$2506,$A8,'Dataset 1'!$J$7:$J$2506,CK$5)</f>
        <v>0</v>
      </c>
      <c r="CL8" s="83">
        <f>SUMIFS('Dataset 1'!$E$7:$E$2506,'Dataset 1'!$B$7:$B$2506,$A8,'Dataset 1'!$J$7:$J$2506,CL$5)</f>
        <v>0</v>
      </c>
      <c r="CM8" s="83">
        <f>SUMIFS('Dataset 1'!$E$7:$E$2506,'Dataset 1'!$B$7:$B$2506,$A8,'Dataset 1'!$J$7:$J$2506,CM$5)</f>
        <v>460</v>
      </c>
      <c r="CN8" s="83">
        <f>SUMIFS('Dataset 1'!$E$7:$E$2506,'Dataset 1'!$B$7:$B$2506,$A8,'Dataset 1'!$J$7:$J$2506,CN$5)</f>
        <v>0</v>
      </c>
      <c r="CO8" s="83">
        <f>SUMIFS('Dataset 1'!$E$7:$E$2506,'Dataset 1'!$B$7:$B$2506,$A8,'Dataset 1'!$J$7:$J$2506,CO$5)</f>
        <v>0</v>
      </c>
      <c r="CP8" s="83">
        <f>SUMIFS('Dataset 1'!$E$7:$E$2506,'Dataset 1'!$B$7:$B$2506,$A8,'Dataset 1'!$J$7:$J$2506,CP$5)</f>
        <v>1430</v>
      </c>
      <c r="CQ8" s="83">
        <f>SUMIFS('Dataset 1'!$E$7:$E$2506,'Dataset 1'!$B$7:$B$2506,$A8,'Dataset 1'!$J$7:$J$2506,CQ$5)</f>
        <v>0</v>
      </c>
      <c r="CR8" s="83">
        <f>SUMIFS('Dataset 1'!$E$7:$E$2506,'Dataset 1'!$B$7:$B$2506,$A8,'Dataset 1'!$J$7:$J$2506,CR$5)</f>
        <v>0</v>
      </c>
      <c r="CS8" s="83">
        <f>SUMIFS('Dataset 1'!$E$7:$E$2506,'Dataset 1'!$B$7:$B$2506,$A8,'Dataset 1'!$J$7:$J$2506,CS$5)</f>
        <v>0</v>
      </c>
      <c r="CT8" s="83">
        <f>SUMIFS('Dataset 1'!$E$7:$E$2506,'Dataset 1'!$B$7:$B$2506,$A8,'Dataset 1'!$J$7:$J$2506,CT$5)</f>
        <v>0</v>
      </c>
      <c r="CU8" s="83">
        <f>SUMIFS('Dataset 1'!$E$7:$E$2506,'Dataset 1'!$B$7:$B$2506,$A8,'Dataset 1'!$J$7:$J$2506,CU$5)</f>
        <v>0</v>
      </c>
      <c r="CV8" s="83">
        <f>SUMIFS('Dataset 1'!$E$7:$E$2506,'Dataset 1'!$B$7:$B$2506,$A8,'Dataset 1'!$J$7:$J$2506,CV$5)</f>
        <v>0</v>
      </c>
      <c r="CW8" s="83">
        <f>SUMIFS('Dataset 1'!$E$7:$E$2506,'Dataset 1'!$B$7:$B$2506,$A8,'Dataset 1'!$J$7:$J$2506,CW$5)</f>
        <v>0</v>
      </c>
      <c r="CX8" s="83">
        <f>SUMIFS('Dataset 1'!$E$7:$E$2506,'Dataset 1'!$B$7:$B$2506,$A8,'Dataset 1'!$J$7:$J$2506,CX$5)</f>
        <v>0</v>
      </c>
      <c r="CY8" s="83">
        <f>SUMIFS('Dataset 1'!$E$7:$E$2506,'Dataset 1'!$B$7:$B$2506,$A8,'Dataset 1'!$J$7:$J$2506,CY$5)</f>
        <v>1200</v>
      </c>
      <c r="CZ8" s="83">
        <f>SUMIFS('Dataset 1'!$E$7:$E$2506,'Dataset 1'!$B$7:$B$2506,$A8,'Dataset 1'!$J$7:$J$2506,CZ$5)</f>
        <v>0</v>
      </c>
      <c r="DA8" s="83">
        <f>SUMIFS('Dataset 1'!$E$7:$E$2506,'Dataset 1'!$B$7:$B$2506,$A8,'Dataset 1'!$J$7:$J$2506,DA$5)</f>
        <v>0</v>
      </c>
      <c r="DB8" s="83">
        <f>SUMIFS('Dataset 1'!$E$7:$E$2506,'Dataset 1'!$B$7:$B$2506,$A8,'Dataset 1'!$J$7:$J$2506,DB$5)</f>
        <v>0</v>
      </c>
      <c r="DC8" s="83">
        <f>SUMIFS('Dataset 1'!$E$7:$E$2506,'Dataset 1'!$B$7:$B$2506,$A8,'Dataset 1'!$J$7:$J$2506,DC$5)</f>
        <v>0</v>
      </c>
      <c r="DD8" s="83">
        <f>SUMIFS('Dataset 1'!$E$7:$E$2506,'Dataset 1'!$B$7:$B$2506,$A8,'Dataset 1'!$J$7:$J$2506,DD$5)</f>
        <v>0</v>
      </c>
      <c r="DE8" s="83">
        <f>SUMIFS('Dataset 1'!$E$7:$E$2506,'Dataset 1'!$B$7:$B$2506,$A8,'Dataset 1'!$J$7:$J$2506,DE$5)</f>
        <v>0</v>
      </c>
      <c r="DF8" s="83">
        <f>SUMIFS('Dataset 1'!$E$7:$E$2506,'Dataset 1'!$B$7:$B$2506,$A8,'Dataset 1'!$J$7:$J$2506,DF$5)</f>
        <v>5600</v>
      </c>
      <c r="DG8" s="83">
        <f>SUMIFS('Dataset 1'!$E$7:$E$2506,'Dataset 1'!$B$7:$B$2506,$A8,'Dataset 1'!$J$7:$J$2506,DG$5)</f>
        <v>0</v>
      </c>
      <c r="DH8" s="83">
        <f>SUMIFS('Dataset 1'!$E$7:$E$2506,'Dataset 1'!$B$7:$B$2506,$A8,'Dataset 1'!$J$7:$J$2506,DH$5)</f>
        <v>0</v>
      </c>
      <c r="DI8" s="83">
        <f>SUMIFS('Dataset 1'!$E$7:$E$2506,'Dataset 1'!$B$7:$B$2506,$A8,'Dataset 1'!$J$7:$J$2506,DI$5)</f>
        <v>0</v>
      </c>
      <c r="DJ8" s="83">
        <f>SUMIFS('Dataset 1'!$E$7:$E$2506,'Dataset 1'!$B$7:$B$2506,$A8,'Dataset 1'!$J$7:$J$2506,DJ$5)</f>
        <v>0</v>
      </c>
      <c r="DK8" s="83">
        <f>SUMIFS('Dataset 1'!$E$7:$E$2506,'Dataset 1'!$B$7:$B$2506,$A8,'Dataset 1'!$J$7:$J$2506,DK$5)</f>
        <v>0</v>
      </c>
      <c r="DL8" s="83">
        <f>SUMIFS('Dataset 1'!$E$7:$E$2506,'Dataset 1'!$B$7:$B$2506,$A8,'Dataset 1'!$J$7:$J$2506,DL$5)</f>
        <v>0</v>
      </c>
      <c r="DM8" s="83">
        <f>SUMIFS('Dataset 1'!$E$7:$E$2506,'Dataset 1'!$B$7:$B$2506,$A8,'Dataset 1'!$J$7:$J$2506,DM$5)</f>
        <v>0</v>
      </c>
      <c r="DN8" s="83">
        <f>SUMIFS('Dataset 1'!$E$7:$E$2506,'Dataset 1'!$B$7:$B$2506,$A8,'Dataset 1'!$J$7:$J$2506,DN$5)</f>
        <v>0</v>
      </c>
      <c r="DO8" s="83">
        <f>SUMIFS('Dataset 1'!$E$7:$E$2506,'Dataset 1'!$B$7:$B$2506,$A8,'Dataset 1'!$J$7:$J$2506,DO$5)</f>
        <v>0</v>
      </c>
      <c r="DP8" s="83">
        <f>SUMIFS('Dataset 1'!$E$7:$E$2506,'Dataset 1'!$B$7:$B$2506,$A8,'Dataset 1'!$J$7:$J$2506,DP$5)</f>
        <v>0</v>
      </c>
      <c r="DQ8" s="83">
        <f>SUMIFS('Dataset 1'!$E$7:$E$2506,'Dataset 1'!$B$7:$B$2506,$A8,'Dataset 1'!$J$7:$J$2506,DQ$5)</f>
        <v>0</v>
      </c>
      <c r="DR8" s="83">
        <f>SUMIFS('Dataset 1'!$E$7:$E$2506,'Dataset 1'!$B$7:$B$2506,$A8,'Dataset 1'!$J$7:$J$2506,DR$5)</f>
        <v>0</v>
      </c>
      <c r="DS8" s="83">
        <f>SUMIFS('Dataset 1'!$E$7:$E$2506,'Dataset 1'!$B$7:$B$2506,$A8,'Dataset 1'!$J$7:$J$2506,DS$5)</f>
        <v>0</v>
      </c>
      <c r="DT8" s="83">
        <f>SUMIFS('Dataset 1'!$E$7:$E$2506,'Dataset 1'!$B$7:$B$2506,$A8,'Dataset 1'!$J$7:$J$2506,DT$5)</f>
        <v>0</v>
      </c>
      <c r="DU8" s="83">
        <f>SUMIFS('Dataset 1'!$E$7:$E$2506,'Dataset 1'!$B$7:$B$2506,$A8,'Dataset 1'!$J$7:$J$2506,DU$5)</f>
        <v>0</v>
      </c>
      <c r="DV8" s="83">
        <f>SUMIFS('Dataset 1'!$E$7:$E$2506,'Dataset 1'!$B$7:$B$2506,$A8,'Dataset 1'!$J$7:$J$2506,DV$5)</f>
        <v>0</v>
      </c>
      <c r="DW8" s="83">
        <f>SUMIFS('Dataset 1'!$E$7:$E$2506,'Dataset 1'!$B$7:$B$2506,$A8,'Dataset 1'!$J$7:$J$2506,DW$5)</f>
        <v>0</v>
      </c>
      <c r="DX8" s="83">
        <f>SUMIFS('Dataset 1'!$E$7:$E$2506,'Dataset 1'!$B$7:$B$2506,$A8,'Dataset 1'!$J$7:$J$2506,DX$5)</f>
        <v>0</v>
      </c>
      <c r="DY8" s="83">
        <f>SUMIFS('Dataset 1'!$E$7:$E$2506,'Dataset 1'!$B$7:$B$2506,$A8,'Dataset 1'!$J$7:$J$2506,DY$5)</f>
        <v>8400</v>
      </c>
      <c r="DZ8" s="83">
        <f>SUMIFS('Dataset 1'!$E$7:$E$2506,'Dataset 1'!$B$7:$B$2506,$A8,'Dataset 1'!$J$7:$J$2506,DZ$5)</f>
        <v>0</v>
      </c>
      <c r="EA8" s="83">
        <f>SUMIFS('Dataset 1'!$E$7:$E$2506,'Dataset 1'!$B$7:$B$2506,$A8,'Dataset 1'!$J$7:$J$2506,EA$5)</f>
        <v>0</v>
      </c>
      <c r="EB8" s="83">
        <f>SUMIFS('Dataset 1'!$E$7:$E$2506,'Dataset 1'!$B$7:$B$2506,$A8,'Dataset 1'!$J$7:$J$2506,EB$5)</f>
        <v>0</v>
      </c>
      <c r="EC8" s="83">
        <f>SUMIFS('Dataset 1'!$E$7:$E$2506,'Dataset 1'!$B$7:$B$2506,$A8,'Dataset 1'!$J$7:$J$2506,EC$5)</f>
        <v>0</v>
      </c>
      <c r="ED8" s="83">
        <f>SUMIFS('Dataset 1'!$E$7:$E$2506,'Dataset 1'!$B$7:$B$2506,$A8,'Dataset 1'!$J$7:$J$2506,ED$5)</f>
        <v>0</v>
      </c>
      <c r="EE8" s="83">
        <f>SUMIFS('Dataset 1'!$E$7:$E$2506,'Dataset 1'!$B$7:$B$2506,$A8,'Dataset 1'!$J$7:$J$2506,EE$5)</f>
        <v>0</v>
      </c>
      <c r="EF8" s="83">
        <f>SUMIFS('Dataset 1'!$E$7:$E$2506,'Dataset 1'!$B$7:$B$2506,$A8,'Dataset 1'!$J$7:$J$2506,EF$5)</f>
        <v>0</v>
      </c>
      <c r="EG8" s="83">
        <f>SUMIFS('Dataset 1'!$E$7:$E$2506,'Dataset 1'!$B$7:$B$2506,$A8,'Dataset 1'!$J$7:$J$2506,EG$5)</f>
        <v>100</v>
      </c>
    </row>
    <row r="9" spans="1:137" x14ac:dyDescent="0.2">
      <c r="A9">
        <v>2008</v>
      </c>
      <c r="B9" s="83">
        <f>SUMIFS('Dataset 1'!$E$7:$E$2506,'Dataset 1'!$B$7:$B$2506,$A9,'Dataset 1'!$J$7:$J$2506,B$5)</f>
        <v>0</v>
      </c>
      <c r="C9" s="83">
        <f>SUMIFS('Dataset 1'!$E$7:$E$2506,'Dataset 1'!$B$7:$B$2506,$A9,'Dataset 1'!$J$7:$J$2506,C$5)</f>
        <v>0</v>
      </c>
      <c r="D9" s="83">
        <f>SUMIFS('Dataset 1'!$E$7:$E$2506,'Dataset 1'!$B$7:$B$2506,$A9,'Dataset 1'!$J$7:$J$2506,D$5)</f>
        <v>0</v>
      </c>
      <c r="E9" s="83">
        <f>SUMIFS('Dataset 1'!$E$7:$E$2506,'Dataset 1'!$B$7:$B$2506,$A9,'Dataset 1'!$J$7:$J$2506,E$5)</f>
        <v>0</v>
      </c>
      <c r="F9" s="83">
        <f>SUMIFS('Dataset 1'!$E$7:$E$2506,'Dataset 1'!$B$7:$B$2506,$A9,'Dataset 1'!$J$7:$J$2506,F$5)</f>
        <v>0</v>
      </c>
      <c r="G9" s="83">
        <f>SUMIFS('Dataset 1'!$E$7:$E$2506,'Dataset 1'!$B$7:$B$2506,$A9,'Dataset 1'!$J$7:$J$2506,G$5)</f>
        <v>16250</v>
      </c>
      <c r="H9" s="83">
        <f>SUMIFS('Dataset 1'!$E$7:$E$2506,'Dataset 1'!$B$7:$B$2506,$A9,'Dataset 1'!$J$7:$J$2506,H$5)</f>
        <v>0</v>
      </c>
      <c r="I9" s="83">
        <f>SUMIFS('Dataset 1'!$E$7:$E$2506,'Dataset 1'!$B$7:$B$2506,$A9,'Dataset 1'!$J$7:$J$2506,I$5)</f>
        <v>0</v>
      </c>
      <c r="J9" s="83">
        <f>SUMIFS('Dataset 1'!$E$7:$E$2506,'Dataset 1'!$B$7:$B$2506,$A9,'Dataset 1'!$J$7:$J$2506,J$5)</f>
        <v>0</v>
      </c>
      <c r="K9" s="83">
        <f>SUMIFS('Dataset 1'!$E$7:$E$2506,'Dataset 1'!$B$7:$B$2506,$A9,'Dataset 1'!$J$7:$J$2506,K$5)</f>
        <v>0</v>
      </c>
      <c r="L9" s="83">
        <f>SUMIFS('Dataset 1'!$E$7:$E$2506,'Dataset 1'!$B$7:$B$2506,$A9,'Dataset 1'!$J$7:$J$2506,L$5)</f>
        <v>0</v>
      </c>
      <c r="M9" s="83">
        <f>SUMIFS('Dataset 1'!$E$7:$E$2506,'Dataset 1'!$B$7:$B$2506,$A9,'Dataset 1'!$J$7:$J$2506,M$5)</f>
        <v>0</v>
      </c>
      <c r="N9" s="83">
        <f>SUMIFS('Dataset 1'!$E$7:$E$2506,'Dataset 1'!$B$7:$B$2506,$A9,'Dataset 1'!$J$7:$J$2506,N$5)</f>
        <v>0</v>
      </c>
      <c r="O9" s="83">
        <f>SUMIFS('Dataset 1'!$E$7:$E$2506,'Dataset 1'!$B$7:$B$2506,$A9,'Dataset 1'!$J$7:$J$2506,O$5)</f>
        <v>0</v>
      </c>
      <c r="P9" s="83">
        <f>SUMIFS('Dataset 1'!$E$7:$E$2506,'Dataset 1'!$B$7:$B$2506,$A9,'Dataset 1'!$J$7:$J$2506,P$5)</f>
        <v>0</v>
      </c>
      <c r="Q9" s="83">
        <f>SUMIFS('Dataset 1'!$E$7:$E$2506,'Dataset 1'!$B$7:$B$2506,$A9,'Dataset 1'!$J$7:$J$2506,Q$5)</f>
        <v>110</v>
      </c>
      <c r="R9" s="83">
        <f>SUMIFS('Dataset 1'!$E$7:$E$2506,'Dataset 1'!$B$7:$B$2506,$A9,'Dataset 1'!$J$7:$J$2506,R$5)</f>
        <v>2010</v>
      </c>
      <c r="S9" s="83">
        <f>SUMIFS('Dataset 1'!$E$7:$E$2506,'Dataset 1'!$B$7:$B$2506,$A9,'Dataset 1'!$J$7:$J$2506,S$5)</f>
        <v>0</v>
      </c>
      <c r="T9" s="83">
        <f>SUMIFS('Dataset 1'!$E$7:$E$2506,'Dataset 1'!$B$7:$B$2506,$A9,'Dataset 1'!$J$7:$J$2506,T$5)</f>
        <v>0</v>
      </c>
      <c r="U9" s="83">
        <f>SUMIFS('Dataset 1'!$E$7:$E$2506,'Dataset 1'!$B$7:$B$2506,$A9,'Dataset 1'!$J$7:$J$2506,U$5)</f>
        <v>2500</v>
      </c>
      <c r="V9" s="83">
        <f>SUMIFS('Dataset 1'!$E$7:$E$2506,'Dataset 1'!$B$7:$B$2506,$A9,'Dataset 1'!$J$7:$J$2506,V$5)</f>
        <v>0</v>
      </c>
      <c r="W9" s="83">
        <f>SUMIFS('Dataset 1'!$E$7:$E$2506,'Dataset 1'!$B$7:$B$2506,$A9,'Dataset 1'!$J$7:$J$2506,W$5)</f>
        <v>0</v>
      </c>
      <c r="X9" s="83">
        <f>SUMIFS('Dataset 1'!$E$7:$E$2506,'Dataset 1'!$B$7:$B$2506,$A9,'Dataset 1'!$J$7:$J$2506,X$5)</f>
        <v>0</v>
      </c>
      <c r="Y9" s="83">
        <f>SUMIFS('Dataset 1'!$E$7:$E$2506,'Dataset 1'!$B$7:$B$2506,$A9,'Dataset 1'!$J$7:$J$2506,Y$5)</f>
        <v>0</v>
      </c>
      <c r="Z9" s="83">
        <f>SUMIFS('Dataset 1'!$E$7:$E$2506,'Dataset 1'!$B$7:$B$2506,$A9,'Dataset 1'!$J$7:$J$2506,Z$5)</f>
        <v>0</v>
      </c>
      <c r="AA9" s="83">
        <f>SUMIFS('Dataset 1'!$E$7:$E$2506,'Dataset 1'!$B$7:$B$2506,$A9,'Dataset 1'!$J$7:$J$2506,AA$5)</f>
        <v>0</v>
      </c>
      <c r="AB9" s="83">
        <f>SUMIFS('Dataset 1'!$E$7:$E$2506,'Dataset 1'!$B$7:$B$2506,$A9,'Dataset 1'!$J$7:$J$2506,AB$5)</f>
        <v>0</v>
      </c>
      <c r="AC9" s="83">
        <f>SUMIFS('Dataset 1'!$E$7:$E$2506,'Dataset 1'!$B$7:$B$2506,$A9,'Dataset 1'!$J$7:$J$2506,AC$5)</f>
        <v>0</v>
      </c>
      <c r="AD9" s="83">
        <f>SUMIFS('Dataset 1'!$E$7:$E$2506,'Dataset 1'!$B$7:$B$2506,$A9,'Dataset 1'!$J$7:$J$2506,AD$5)</f>
        <v>0</v>
      </c>
      <c r="AE9" s="83">
        <f>SUMIFS('Dataset 1'!$E$7:$E$2506,'Dataset 1'!$B$7:$B$2506,$A9,'Dataset 1'!$J$7:$J$2506,AE$5)</f>
        <v>0</v>
      </c>
      <c r="AF9" s="83">
        <f>SUMIFS('Dataset 1'!$E$7:$E$2506,'Dataset 1'!$B$7:$B$2506,$A9,'Dataset 1'!$J$7:$J$2506,AF$5)</f>
        <v>2540</v>
      </c>
      <c r="AG9" s="83">
        <f>SUMIFS('Dataset 1'!$E$7:$E$2506,'Dataset 1'!$B$7:$B$2506,$A9,'Dataset 1'!$J$7:$J$2506,AG$5)</f>
        <v>0</v>
      </c>
      <c r="AH9" s="83">
        <f>SUMIFS('Dataset 1'!$E$7:$E$2506,'Dataset 1'!$B$7:$B$2506,$A9,'Dataset 1'!$J$7:$J$2506,AH$5)</f>
        <v>0</v>
      </c>
      <c r="AI9" s="83">
        <f>SUMIFS('Dataset 1'!$E$7:$E$2506,'Dataset 1'!$B$7:$B$2506,$A9,'Dataset 1'!$J$7:$J$2506,AI$5)</f>
        <v>0</v>
      </c>
      <c r="AJ9" s="83">
        <f>SUMIFS('Dataset 1'!$E$7:$E$2506,'Dataset 1'!$B$7:$B$2506,$A9,'Dataset 1'!$J$7:$J$2506,AJ$5)</f>
        <v>0</v>
      </c>
      <c r="AK9" s="83">
        <f>SUMIFS('Dataset 1'!$E$7:$E$2506,'Dataset 1'!$B$7:$B$2506,$A9,'Dataset 1'!$J$7:$J$2506,AK$5)</f>
        <v>0</v>
      </c>
      <c r="AL9" s="83">
        <f>SUMIFS('Dataset 1'!$E$7:$E$2506,'Dataset 1'!$B$7:$B$2506,$A9,'Dataset 1'!$J$7:$J$2506,AL$5)</f>
        <v>0</v>
      </c>
      <c r="AM9" s="83">
        <f>SUMIFS('Dataset 1'!$E$7:$E$2506,'Dataset 1'!$B$7:$B$2506,$A9,'Dataset 1'!$J$7:$J$2506,AM$5)</f>
        <v>0</v>
      </c>
      <c r="AN9" s="83">
        <f>SUMIFS('Dataset 1'!$E$7:$E$2506,'Dataset 1'!$B$7:$B$2506,$A9,'Dataset 1'!$J$7:$J$2506,AN$5)</f>
        <v>2800</v>
      </c>
      <c r="AO9" s="83">
        <f>SUMIFS('Dataset 1'!$E$7:$E$2506,'Dataset 1'!$B$7:$B$2506,$A9,'Dataset 1'!$J$7:$J$2506,AO$5)</f>
        <v>0</v>
      </c>
      <c r="AP9" s="83">
        <f>SUMIFS('Dataset 1'!$E$7:$E$2506,'Dataset 1'!$B$7:$B$2506,$A9,'Dataset 1'!$J$7:$J$2506,AP$5)</f>
        <v>0</v>
      </c>
      <c r="AQ9" s="83">
        <f>SUMIFS('Dataset 1'!$E$7:$E$2506,'Dataset 1'!$B$7:$B$2506,$A9,'Dataset 1'!$J$7:$J$2506,AQ$5)</f>
        <v>140</v>
      </c>
      <c r="AR9" s="83">
        <f>SUMIFS('Dataset 1'!$E$7:$E$2506,'Dataset 1'!$B$7:$B$2506,$A9,'Dataset 1'!$J$7:$J$2506,AR$5)</f>
        <v>0</v>
      </c>
      <c r="AS9" s="83">
        <f>SUMIFS('Dataset 1'!$E$7:$E$2506,'Dataset 1'!$B$7:$B$2506,$A9,'Dataset 1'!$J$7:$J$2506,AS$5)</f>
        <v>5790</v>
      </c>
      <c r="AT9" s="83">
        <f>SUMIFS('Dataset 1'!$E$7:$E$2506,'Dataset 1'!$B$7:$B$2506,$A9,'Dataset 1'!$J$7:$J$2506,AT$5)</f>
        <v>0</v>
      </c>
      <c r="AU9" s="83">
        <f>SUMIFS('Dataset 1'!$E$7:$E$2506,'Dataset 1'!$B$7:$B$2506,$A9,'Dataset 1'!$J$7:$J$2506,AU$5)</f>
        <v>0</v>
      </c>
      <c r="AV9" s="83">
        <f>SUMIFS('Dataset 1'!$E$7:$E$2506,'Dataset 1'!$B$7:$B$2506,$A9,'Dataset 1'!$J$7:$J$2506,AV$5)</f>
        <v>0</v>
      </c>
      <c r="AW9" s="83">
        <f>SUMIFS('Dataset 1'!$E$7:$E$2506,'Dataset 1'!$B$7:$B$2506,$A9,'Dataset 1'!$J$7:$J$2506,AW$5)</f>
        <v>0</v>
      </c>
      <c r="AX9" s="83">
        <f>SUMIFS('Dataset 1'!$E$7:$E$2506,'Dataset 1'!$B$7:$B$2506,$A9,'Dataset 1'!$J$7:$J$2506,AX$5)</f>
        <v>1200</v>
      </c>
      <c r="AY9" s="83">
        <f>SUMIFS('Dataset 1'!$E$7:$E$2506,'Dataset 1'!$B$7:$B$2506,$A9,'Dataset 1'!$J$7:$J$2506,AY$5)</f>
        <v>130</v>
      </c>
      <c r="AZ9" s="83">
        <f>SUMIFS('Dataset 1'!$E$7:$E$2506,'Dataset 1'!$B$7:$B$2506,$A9,'Dataset 1'!$J$7:$J$2506,AZ$5)</f>
        <v>0</v>
      </c>
      <c r="BA9" s="83">
        <f>SUMIFS('Dataset 1'!$E$7:$E$2506,'Dataset 1'!$B$7:$B$2506,$A9,'Dataset 1'!$J$7:$J$2506,BA$5)</f>
        <v>0</v>
      </c>
      <c r="BB9" s="83">
        <f>SUMIFS('Dataset 1'!$E$7:$E$2506,'Dataset 1'!$B$7:$B$2506,$A9,'Dataset 1'!$J$7:$J$2506,BB$5)</f>
        <v>0</v>
      </c>
      <c r="BC9" s="83">
        <f>SUMIFS('Dataset 1'!$E$7:$E$2506,'Dataset 1'!$B$7:$B$2506,$A9,'Dataset 1'!$J$7:$J$2506,BC$5)</f>
        <v>0</v>
      </c>
      <c r="BD9" s="83">
        <f>SUMIFS('Dataset 1'!$E$7:$E$2506,'Dataset 1'!$B$7:$B$2506,$A9,'Dataset 1'!$J$7:$J$2506,BD$5)</f>
        <v>250</v>
      </c>
      <c r="BE9" s="83">
        <f>SUMIFS('Dataset 1'!$E$7:$E$2506,'Dataset 1'!$B$7:$B$2506,$A9,'Dataset 1'!$J$7:$J$2506,BE$5)</f>
        <v>0</v>
      </c>
      <c r="BF9" s="83">
        <f>SUMIFS('Dataset 1'!$E$7:$E$2506,'Dataset 1'!$B$7:$B$2506,$A9,'Dataset 1'!$J$7:$J$2506,BF$5)</f>
        <v>0</v>
      </c>
      <c r="BG9" s="83">
        <f>SUMIFS('Dataset 1'!$E$7:$E$2506,'Dataset 1'!$B$7:$B$2506,$A9,'Dataset 1'!$J$7:$J$2506,BG$5)</f>
        <v>0</v>
      </c>
      <c r="BH9" s="83">
        <f>SUMIFS('Dataset 1'!$E$7:$E$2506,'Dataset 1'!$B$7:$B$2506,$A9,'Dataset 1'!$J$7:$J$2506,BH$5)</f>
        <v>0</v>
      </c>
      <c r="BI9" s="83">
        <f>SUMIFS('Dataset 1'!$E$7:$E$2506,'Dataset 1'!$B$7:$B$2506,$A9,'Dataset 1'!$J$7:$J$2506,BI$5)</f>
        <v>250</v>
      </c>
      <c r="BJ9" s="83">
        <f>SUMIFS('Dataset 1'!$E$7:$E$2506,'Dataset 1'!$B$7:$B$2506,$A9,'Dataset 1'!$J$7:$J$2506,BJ$5)</f>
        <v>0</v>
      </c>
      <c r="BK9" s="83">
        <f>SUMIFS('Dataset 1'!$E$7:$E$2506,'Dataset 1'!$B$7:$B$2506,$A9,'Dataset 1'!$J$7:$J$2506,BK$5)</f>
        <v>0</v>
      </c>
      <c r="BL9" s="83">
        <f>SUMIFS('Dataset 1'!$E$7:$E$2506,'Dataset 1'!$B$7:$B$2506,$A9,'Dataset 1'!$J$7:$J$2506,BL$5)</f>
        <v>0</v>
      </c>
      <c r="BM9" s="83">
        <f>SUMIFS('Dataset 1'!$E$7:$E$2506,'Dataset 1'!$B$7:$B$2506,$A9,'Dataset 1'!$J$7:$J$2506,BM$5)</f>
        <v>0</v>
      </c>
      <c r="BN9" s="83">
        <f>SUMIFS('Dataset 1'!$E$7:$E$2506,'Dataset 1'!$B$7:$B$2506,$A9,'Dataset 1'!$J$7:$J$2506,BN$5)</f>
        <v>110</v>
      </c>
      <c r="BO9" s="83">
        <f>SUMIFS('Dataset 1'!$E$7:$E$2506,'Dataset 1'!$B$7:$B$2506,$A9,'Dataset 1'!$J$7:$J$2506,BO$5)</f>
        <v>0</v>
      </c>
      <c r="BP9" s="83">
        <f>SUMIFS('Dataset 1'!$E$7:$E$2506,'Dataset 1'!$B$7:$B$2506,$A9,'Dataset 1'!$J$7:$J$2506,BP$5)</f>
        <v>0</v>
      </c>
      <c r="BQ9" s="83">
        <f>SUMIFS('Dataset 1'!$E$7:$E$2506,'Dataset 1'!$B$7:$B$2506,$A9,'Dataset 1'!$J$7:$J$2506,BQ$5)</f>
        <v>0</v>
      </c>
      <c r="BR9" s="83">
        <f>SUMIFS('Dataset 1'!$E$7:$E$2506,'Dataset 1'!$B$7:$B$2506,$A9,'Dataset 1'!$J$7:$J$2506,BR$5)</f>
        <v>0</v>
      </c>
      <c r="BS9" s="83">
        <f>SUMIFS('Dataset 1'!$E$7:$E$2506,'Dataset 1'!$B$7:$B$2506,$A9,'Dataset 1'!$J$7:$J$2506,BS$5)</f>
        <v>0</v>
      </c>
      <c r="BT9" s="83">
        <f>SUMIFS('Dataset 1'!$E$7:$E$2506,'Dataset 1'!$B$7:$B$2506,$A9,'Dataset 1'!$J$7:$J$2506,BT$5)</f>
        <v>0</v>
      </c>
      <c r="BU9" s="83">
        <f>SUMIFS('Dataset 1'!$E$7:$E$2506,'Dataset 1'!$B$7:$B$2506,$A9,'Dataset 1'!$J$7:$J$2506,BU$5)</f>
        <v>0</v>
      </c>
      <c r="BV9" s="83">
        <f>SUMIFS('Dataset 1'!$E$7:$E$2506,'Dataset 1'!$B$7:$B$2506,$A9,'Dataset 1'!$J$7:$J$2506,BV$5)</f>
        <v>0</v>
      </c>
      <c r="BW9" s="83">
        <f>SUMIFS('Dataset 1'!$E$7:$E$2506,'Dataset 1'!$B$7:$B$2506,$A9,'Dataset 1'!$J$7:$J$2506,BW$5)</f>
        <v>210</v>
      </c>
      <c r="BX9" s="83">
        <f>SUMIFS('Dataset 1'!$E$7:$E$2506,'Dataset 1'!$B$7:$B$2506,$A9,'Dataset 1'!$J$7:$J$2506,BX$5)</f>
        <v>150</v>
      </c>
      <c r="BY9" s="83">
        <f>SUMIFS('Dataset 1'!$E$7:$E$2506,'Dataset 1'!$B$7:$B$2506,$A9,'Dataset 1'!$J$7:$J$2506,BY$5)</f>
        <v>0</v>
      </c>
      <c r="BZ9" s="83">
        <f>SUMIFS('Dataset 1'!$E$7:$E$2506,'Dataset 1'!$B$7:$B$2506,$A9,'Dataset 1'!$J$7:$J$2506,BZ$5)</f>
        <v>0</v>
      </c>
      <c r="CA9" s="83">
        <f>SUMIFS('Dataset 1'!$E$7:$E$2506,'Dataset 1'!$B$7:$B$2506,$A9,'Dataset 1'!$J$7:$J$2506,CA$5)</f>
        <v>0</v>
      </c>
      <c r="CB9" s="83">
        <f>SUMIFS('Dataset 1'!$E$7:$E$2506,'Dataset 1'!$B$7:$B$2506,$A9,'Dataset 1'!$J$7:$J$2506,CB$5)</f>
        <v>810</v>
      </c>
      <c r="CC9" s="83">
        <f>SUMIFS('Dataset 1'!$E$7:$E$2506,'Dataset 1'!$B$7:$B$2506,$A9,'Dataset 1'!$J$7:$J$2506,CC$5)</f>
        <v>0</v>
      </c>
      <c r="CD9" s="83">
        <f>SUMIFS('Dataset 1'!$E$7:$E$2506,'Dataset 1'!$B$7:$B$2506,$A9,'Dataset 1'!$J$7:$J$2506,CD$5)</f>
        <v>0</v>
      </c>
      <c r="CE9" s="83">
        <f>SUMIFS('Dataset 1'!$E$7:$E$2506,'Dataset 1'!$B$7:$B$2506,$A9,'Dataset 1'!$J$7:$J$2506,CE$5)</f>
        <v>1240</v>
      </c>
      <c r="CF9" s="83">
        <f>SUMIFS('Dataset 1'!$E$7:$E$2506,'Dataset 1'!$B$7:$B$2506,$A9,'Dataset 1'!$J$7:$J$2506,CF$5)</f>
        <v>0</v>
      </c>
      <c r="CG9" s="83">
        <f>SUMIFS('Dataset 1'!$E$7:$E$2506,'Dataset 1'!$B$7:$B$2506,$A9,'Dataset 1'!$J$7:$J$2506,CG$5)</f>
        <v>0</v>
      </c>
      <c r="CH9" s="83">
        <f>SUMIFS('Dataset 1'!$E$7:$E$2506,'Dataset 1'!$B$7:$B$2506,$A9,'Dataset 1'!$J$7:$J$2506,CH$5)</f>
        <v>190</v>
      </c>
      <c r="CI9" s="83">
        <f>SUMIFS('Dataset 1'!$E$7:$E$2506,'Dataset 1'!$B$7:$B$2506,$A9,'Dataset 1'!$J$7:$J$2506,CI$5)</f>
        <v>0</v>
      </c>
      <c r="CJ9" s="83">
        <f>SUMIFS('Dataset 1'!$E$7:$E$2506,'Dataset 1'!$B$7:$B$2506,$A9,'Dataset 1'!$J$7:$J$2506,CJ$5)</f>
        <v>0</v>
      </c>
      <c r="CK9" s="83">
        <f>SUMIFS('Dataset 1'!$E$7:$E$2506,'Dataset 1'!$B$7:$B$2506,$A9,'Dataset 1'!$J$7:$J$2506,CK$5)</f>
        <v>2490</v>
      </c>
      <c r="CL9" s="83">
        <f>SUMIFS('Dataset 1'!$E$7:$E$2506,'Dataset 1'!$B$7:$B$2506,$A9,'Dataset 1'!$J$7:$J$2506,CL$5)</f>
        <v>0</v>
      </c>
      <c r="CM9" s="83">
        <f>SUMIFS('Dataset 1'!$E$7:$E$2506,'Dataset 1'!$B$7:$B$2506,$A9,'Dataset 1'!$J$7:$J$2506,CM$5)</f>
        <v>110</v>
      </c>
      <c r="CN9" s="83">
        <f>SUMIFS('Dataset 1'!$E$7:$E$2506,'Dataset 1'!$B$7:$B$2506,$A9,'Dataset 1'!$J$7:$J$2506,CN$5)</f>
        <v>0</v>
      </c>
      <c r="CO9" s="83">
        <f>SUMIFS('Dataset 1'!$E$7:$E$2506,'Dataset 1'!$B$7:$B$2506,$A9,'Dataset 1'!$J$7:$J$2506,CO$5)</f>
        <v>0</v>
      </c>
      <c r="CP9" s="83">
        <f>SUMIFS('Dataset 1'!$E$7:$E$2506,'Dataset 1'!$B$7:$B$2506,$A9,'Dataset 1'!$J$7:$J$2506,CP$5)</f>
        <v>2160</v>
      </c>
      <c r="CQ9" s="83">
        <f>SUMIFS('Dataset 1'!$E$7:$E$2506,'Dataset 1'!$B$7:$B$2506,$A9,'Dataset 1'!$J$7:$J$2506,CQ$5)</f>
        <v>1580</v>
      </c>
      <c r="CR9" s="83">
        <f>SUMIFS('Dataset 1'!$E$7:$E$2506,'Dataset 1'!$B$7:$B$2506,$A9,'Dataset 1'!$J$7:$J$2506,CR$5)</f>
        <v>0</v>
      </c>
      <c r="CS9" s="83">
        <f>SUMIFS('Dataset 1'!$E$7:$E$2506,'Dataset 1'!$B$7:$B$2506,$A9,'Dataset 1'!$J$7:$J$2506,CS$5)</f>
        <v>0</v>
      </c>
      <c r="CT9" s="83">
        <f>SUMIFS('Dataset 1'!$E$7:$E$2506,'Dataset 1'!$B$7:$B$2506,$A9,'Dataset 1'!$J$7:$J$2506,CT$5)</f>
        <v>0</v>
      </c>
      <c r="CU9" s="83">
        <f>SUMIFS('Dataset 1'!$E$7:$E$2506,'Dataset 1'!$B$7:$B$2506,$A9,'Dataset 1'!$J$7:$J$2506,CU$5)</f>
        <v>0</v>
      </c>
      <c r="CV9" s="83">
        <f>SUMIFS('Dataset 1'!$E$7:$E$2506,'Dataset 1'!$B$7:$B$2506,$A9,'Dataset 1'!$J$7:$J$2506,CV$5)</f>
        <v>0</v>
      </c>
      <c r="CW9" s="83">
        <f>SUMIFS('Dataset 1'!$E$7:$E$2506,'Dataset 1'!$B$7:$B$2506,$A9,'Dataset 1'!$J$7:$J$2506,CW$5)</f>
        <v>0</v>
      </c>
      <c r="CX9" s="83">
        <f>SUMIFS('Dataset 1'!$E$7:$E$2506,'Dataset 1'!$B$7:$B$2506,$A9,'Dataset 1'!$J$7:$J$2506,CX$5)</f>
        <v>0</v>
      </c>
      <c r="CY9" s="83">
        <f>SUMIFS('Dataset 1'!$E$7:$E$2506,'Dataset 1'!$B$7:$B$2506,$A9,'Dataset 1'!$J$7:$J$2506,CY$5)</f>
        <v>0</v>
      </c>
      <c r="CZ9" s="83">
        <f>SUMIFS('Dataset 1'!$E$7:$E$2506,'Dataset 1'!$B$7:$B$2506,$A9,'Dataset 1'!$J$7:$J$2506,CZ$5)</f>
        <v>0</v>
      </c>
      <c r="DA9" s="83">
        <f>SUMIFS('Dataset 1'!$E$7:$E$2506,'Dataset 1'!$B$7:$B$2506,$A9,'Dataset 1'!$J$7:$J$2506,DA$5)</f>
        <v>0</v>
      </c>
      <c r="DB9" s="83">
        <f>SUMIFS('Dataset 1'!$E$7:$E$2506,'Dataset 1'!$B$7:$B$2506,$A9,'Dataset 1'!$J$7:$J$2506,DB$5)</f>
        <v>3570</v>
      </c>
      <c r="DC9" s="83">
        <f>SUMIFS('Dataset 1'!$E$7:$E$2506,'Dataset 1'!$B$7:$B$2506,$A9,'Dataset 1'!$J$7:$J$2506,DC$5)</f>
        <v>0</v>
      </c>
      <c r="DD9" s="83">
        <f>SUMIFS('Dataset 1'!$E$7:$E$2506,'Dataset 1'!$B$7:$B$2506,$A9,'Dataset 1'!$J$7:$J$2506,DD$5)</f>
        <v>0</v>
      </c>
      <c r="DE9" s="83">
        <f>SUMIFS('Dataset 1'!$E$7:$E$2506,'Dataset 1'!$B$7:$B$2506,$A9,'Dataset 1'!$J$7:$J$2506,DE$5)</f>
        <v>0</v>
      </c>
      <c r="DF9" s="83">
        <f>SUMIFS('Dataset 1'!$E$7:$E$2506,'Dataset 1'!$B$7:$B$2506,$A9,'Dataset 1'!$J$7:$J$2506,DF$5)</f>
        <v>0</v>
      </c>
      <c r="DG9" s="83">
        <f>SUMIFS('Dataset 1'!$E$7:$E$2506,'Dataset 1'!$B$7:$B$2506,$A9,'Dataset 1'!$J$7:$J$2506,DG$5)</f>
        <v>0</v>
      </c>
      <c r="DH9" s="83">
        <f>SUMIFS('Dataset 1'!$E$7:$E$2506,'Dataset 1'!$B$7:$B$2506,$A9,'Dataset 1'!$J$7:$J$2506,DH$5)</f>
        <v>0</v>
      </c>
      <c r="DI9" s="83">
        <f>SUMIFS('Dataset 1'!$E$7:$E$2506,'Dataset 1'!$B$7:$B$2506,$A9,'Dataset 1'!$J$7:$J$2506,DI$5)</f>
        <v>0</v>
      </c>
      <c r="DJ9" s="83">
        <f>SUMIFS('Dataset 1'!$E$7:$E$2506,'Dataset 1'!$B$7:$B$2506,$A9,'Dataset 1'!$J$7:$J$2506,DJ$5)</f>
        <v>0</v>
      </c>
      <c r="DK9" s="83">
        <f>SUMIFS('Dataset 1'!$E$7:$E$2506,'Dataset 1'!$B$7:$B$2506,$A9,'Dataset 1'!$J$7:$J$2506,DK$5)</f>
        <v>0</v>
      </c>
      <c r="DL9" s="83">
        <f>SUMIFS('Dataset 1'!$E$7:$E$2506,'Dataset 1'!$B$7:$B$2506,$A9,'Dataset 1'!$J$7:$J$2506,DL$5)</f>
        <v>0</v>
      </c>
      <c r="DM9" s="83">
        <f>SUMIFS('Dataset 1'!$E$7:$E$2506,'Dataset 1'!$B$7:$B$2506,$A9,'Dataset 1'!$J$7:$J$2506,DM$5)</f>
        <v>0</v>
      </c>
      <c r="DN9" s="83">
        <f>SUMIFS('Dataset 1'!$E$7:$E$2506,'Dataset 1'!$B$7:$B$2506,$A9,'Dataset 1'!$J$7:$J$2506,DN$5)</f>
        <v>1990</v>
      </c>
      <c r="DO9" s="83">
        <f>SUMIFS('Dataset 1'!$E$7:$E$2506,'Dataset 1'!$B$7:$B$2506,$A9,'Dataset 1'!$J$7:$J$2506,DO$5)</f>
        <v>0</v>
      </c>
      <c r="DP9" s="83">
        <f>SUMIFS('Dataset 1'!$E$7:$E$2506,'Dataset 1'!$B$7:$B$2506,$A9,'Dataset 1'!$J$7:$J$2506,DP$5)</f>
        <v>0</v>
      </c>
      <c r="DQ9" s="83">
        <f>SUMIFS('Dataset 1'!$E$7:$E$2506,'Dataset 1'!$B$7:$B$2506,$A9,'Dataset 1'!$J$7:$J$2506,DQ$5)</f>
        <v>0</v>
      </c>
      <c r="DR9" s="83">
        <f>SUMIFS('Dataset 1'!$E$7:$E$2506,'Dataset 1'!$B$7:$B$2506,$A9,'Dataset 1'!$J$7:$J$2506,DR$5)</f>
        <v>0</v>
      </c>
      <c r="DS9" s="83">
        <f>SUMIFS('Dataset 1'!$E$7:$E$2506,'Dataset 1'!$B$7:$B$2506,$A9,'Dataset 1'!$J$7:$J$2506,DS$5)</f>
        <v>0</v>
      </c>
      <c r="DT9" s="83">
        <f>SUMIFS('Dataset 1'!$E$7:$E$2506,'Dataset 1'!$B$7:$B$2506,$A9,'Dataset 1'!$J$7:$J$2506,DT$5)</f>
        <v>0</v>
      </c>
      <c r="DU9" s="83">
        <f>SUMIFS('Dataset 1'!$E$7:$E$2506,'Dataset 1'!$B$7:$B$2506,$A9,'Dataset 1'!$J$7:$J$2506,DU$5)</f>
        <v>0</v>
      </c>
      <c r="DV9" s="83">
        <f>SUMIFS('Dataset 1'!$E$7:$E$2506,'Dataset 1'!$B$7:$B$2506,$A9,'Dataset 1'!$J$7:$J$2506,DV$5)</f>
        <v>760</v>
      </c>
      <c r="DW9" s="83">
        <f>SUMIFS('Dataset 1'!$E$7:$E$2506,'Dataset 1'!$B$7:$B$2506,$A9,'Dataset 1'!$J$7:$J$2506,DW$5)</f>
        <v>0</v>
      </c>
      <c r="DX9" s="83">
        <f>SUMIFS('Dataset 1'!$E$7:$E$2506,'Dataset 1'!$B$7:$B$2506,$A9,'Dataset 1'!$J$7:$J$2506,DX$5)</f>
        <v>0</v>
      </c>
      <c r="DY9" s="83">
        <f>SUMIFS('Dataset 1'!$E$7:$E$2506,'Dataset 1'!$B$7:$B$2506,$A9,'Dataset 1'!$J$7:$J$2506,DY$5)</f>
        <v>4970</v>
      </c>
      <c r="DZ9" s="83">
        <f>SUMIFS('Dataset 1'!$E$7:$E$2506,'Dataset 1'!$B$7:$B$2506,$A9,'Dataset 1'!$J$7:$J$2506,DZ$5)</f>
        <v>0</v>
      </c>
      <c r="EA9" s="83">
        <f>SUMIFS('Dataset 1'!$E$7:$E$2506,'Dataset 1'!$B$7:$B$2506,$A9,'Dataset 1'!$J$7:$J$2506,EA$5)</f>
        <v>0</v>
      </c>
      <c r="EB9" s="83">
        <f>SUMIFS('Dataset 1'!$E$7:$E$2506,'Dataset 1'!$B$7:$B$2506,$A9,'Dataset 1'!$J$7:$J$2506,EB$5)</f>
        <v>0</v>
      </c>
      <c r="EC9" s="83">
        <f>SUMIFS('Dataset 1'!$E$7:$E$2506,'Dataset 1'!$B$7:$B$2506,$A9,'Dataset 1'!$J$7:$J$2506,EC$5)</f>
        <v>0</v>
      </c>
      <c r="ED9" s="83">
        <f>SUMIFS('Dataset 1'!$E$7:$E$2506,'Dataset 1'!$B$7:$B$2506,$A9,'Dataset 1'!$J$7:$J$2506,ED$5)</f>
        <v>0</v>
      </c>
      <c r="EE9" s="83">
        <f>SUMIFS('Dataset 1'!$E$7:$E$2506,'Dataset 1'!$B$7:$B$2506,$A9,'Dataset 1'!$J$7:$J$2506,EE$5)</f>
        <v>470</v>
      </c>
      <c r="EF9" s="83">
        <f>SUMIFS('Dataset 1'!$E$7:$E$2506,'Dataset 1'!$B$7:$B$2506,$A9,'Dataset 1'!$J$7:$J$2506,EF$5)</f>
        <v>0</v>
      </c>
      <c r="EG9" s="83">
        <f>SUMIFS('Dataset 1'!$E$7:$E$2506,'Dataset 1'!$B$7:$B$2506,$A9,'Dataset 1'!$J$7:$J$2506,EG$5)</f>
        <v>0</v>
      </c>
    </row>
    <row r="10" spans="1:137" x14ac:dyDescent="0.2">
      <c r="A10">
        <v>2009</v>
      </c>
      <c r="B10" s="83">
        <f>SUMIFS('Dataset 1'!$E$7:$E$2506,'Dataset 1'!$B$7:$B$2506,$A10,'Dataset 1'!$J$7:$J$2506,B$5)</f>
        <v>0</v>
      </c>
      <c r="C10" s="83">
        <f>SUMIFS('Dataset 1'!$E$7:$E$2506,'Dataset 1'!$B$7:$B$2506,$A10,'Dataset 1'!$J$7:$J$2506,C$5)</f>
        <v>0</v>
      </c>
      <c r="D10" s="83">
        <f>SUMIFS('Dataset 1'!$E$7:$E$2506,'Dataset 1'!$B$7:$B$2506,$A10,'Dataset 1'!$J$7:$J$2506,D$5)</f>
        <v>0</v>
      </c>
      <c r="E10" s="83">
        <f>SUMIFS('Dataset 1'!$E$7:$E$2506,'Dataset 1'!$B$7:$B$2506,$A10,'Dataset 1'!$J$7:$J$2506,E$5)</f>
        <v>0</v>
      </c>
      <c r="F10" s="83">
        <f>SUMIFS('Dataset 1'!$E$7:$E$2506,'Dataset 1'!$B$7:$B$2506,$A10,'Dataset 1'!$J$7:$J$2506,F$5)</f>
        <v>0</v>
      </c>
      <c r="G10" s="83">
        <f>SUMIFS('Dataset 1'!$E$7:$E$2506,'Dataset 1'!$B$7:$B$2506,$A10,'Dataset 1'!$J$7:$J$2506,G$5)</f>
        <v>9130</v>
      </c>
      <c r="H10" s="83">
        <f>SUMIFS('Dataset 1'!$E$7:$E$2506,'Dataset 1'!$B$7:$B$2506,$A10,'Dataset 1'!$J$7:$J$2506,H$5)</f>
        <v>140</v>
      </c>
      <c r="I10" s="83">
        <f>SUMIFS('Dataset 1'!$E$7:$E$2506,'Dataset 1'!$B$7:$B$2506,$A10,'Dataset 1'!$J$7:$J$2506,I$5)</f>
        <v>0</v>
      </c>
      <c r="J10" s="83">
        <f>SUMIFS('Dataset 1'!$E$7:$E$2506,'Dataset 1'!$B$7:$B$2506,$A10,'Dataset 1'!$J$7:$J$2506,J$5)</f>
        <v>100</v>
      </c>
      <c r="K10" s="83">
        <f>SUMIFS('Dataset 1'!$E$7:$E$2506,'Dataset 1'!$B$7:$B$2506,$A10,'Dataset 1'!$J$7:$J$2506,K$5)</f>
        <v>0</v>
      </c>
      <c r="L10" s="83">
        <f>SUMIFS('Dataset 1'!$E$7:$E$2506,'Dataset 1'!$B$7:$B$2506,$A10,'Dataset 1'!$J$7:$J$2506,L$5)</f>
        <v>0</v>
      </c>
      <c r="M10" s="83">
        <f>SUMIFS('Dataset 1'!$E$7:$E$2506,'Dataset 1'!$B$7:$B$2506,$A10,'Dataset 1'!$J$7:$J$2506,M$5)</f>
        <v>0</v>
      </c>
      <c r="N10" s="83">
        <f>SUMIFS('Dataset 1'!$E$7:$E$2506,'Dataset 1'!$B$7:$B$2506,$A10,'Dataset 1'!$J$7:$J$2506,N$5)</f>
        <v>0</v>
      </c>
      <c r="O10" s="83">
        <f>SUMIFS('Dataset 1'!$E$7:$E$2506,'Dataset 1'!$B$7:$B$2506,$A10,'Dataset 1'!$J$7:$J$2506,O$5)</f>
        <v>0</v>
      </c>
      <c r="P10" s="83">
        <f>SUMIFS('Dataset 1'!$E$7:$E$2506,'Dataset 1'!$B$7:$B$2506,$A10,'Dataset 1'!$J$7:$J$2506,P$5)</f>
        <v>0</v>
      </c>
      <c r="Q10" s="83">
        <f>SUMIFS('Dataset 1'!$E$7:$E$2506,'Dataset 1'!$B$7:$B$2506,$A10,'Dataset 1'!$J$7:$J$2506,Q$5)</f>
        <v>900</v>
      </c>
      <c r="R10" s="83">
        <f>SUMIFS('Dataset 1'!$E$7:$E$2506,'Dataset 1'!$B$7:$B$2506,$A10,'Dataset 1'!$J$7:$J$2506,R$5)</f>
        <v>1700</v>
      </c>
      <c r="S10" s="83">
        <f>SUMIFS('Dataset 1'!$E$7:$E$2506,'Dataset 1'!$B$7:$B$2506,$A10,'Dataset 1'!$J$7:$J$2506,S$5)</f>
        <v>0</v>
      </c>
      <c r="T10" s="83">
        <f>SUMIFS('Dataset 1'!$E$7:$E$2506,'Dataset 1'!$B$7:$B$2506,$A10,'Dataset 1'!$J$7:$J$2506,T$5)</f>
        <v>120</v>
      </c>
      <c r="U10" s="83">
        <f>SUMIFS('Dataset 1'!$E$7:$E$2506,'Dataset 1'!$B$7:$B$2506,$A10,'Dataset 1'!$J$7:$J$2506,U$5)</f>
        <v>320</v>
      </c>
      <c r="V10" s="83">
        <f>SUMIFS('Dataset 1'!$E$7:$E$2506,'Dataset 1'!$B$7:$B$2506,$A10,'Dataset 1'!$J$7:$J$2506,V$5)</f>
        <v>0</v>
      </c>
      <c r="W10" s="83">
        <f>SUMIFS('Dataset 1'!$E$7:$E$2506,'Dataset 1'!$B$7:$B$2506,$A10,'Dataset 1'!$J$7:$J$2506,W$5)</f>
        <v>3480</v>
      </c>
      <c r="X10" s="83">
        <f>SUMIFS('Dataset 1'!$E$7:$E$2506,'Dataset 1'!$B$7:$B$2506,$A10,'Dataset 1'!$J$7:$J$2506,X$5)</f>
        <v>470</v>
      </c>
      <c r="Y10" s="83">
        <f>SUMIFS('Dataset 1'!$E$7:$E$2506,'Dataset 1'!$B$7:$B$2506,$A10,'Dataset 1'!$J$7:$J$2506,Y$5)</f>
        <v>0</v>
      </c>
      <c r="Z10" s="83">
        <f>SUMIFS('Dataset 1'!$E$7:$E$2506,'Dataset 1'!$B$7:$B$2506,$A10,'Dataset 1'!$J$7:$J$2506,Z$5)</f>
        <v>0</v>
      </c>
      <c r="AA10" s="83">
        <f>SUMIFS('Dataset 1'!$E$7:$E$2506,'Dataset 1'!$B$7:$B$2506,$A10,'Dataset 1'!$J$7:$J$2506,AA$5)</f>
        <v>0</v>
      </c>
      <c r="AB10" s="83">
        <f>SUMIFS('Dataset 1'!$E$7:$E$2506,'Dataset 1'!$B$7:$B$2506,$A10,'Dataset 1'!$J$7:$J$2506,AB$5)</f>
        <v>0</v>
      </c>
      <c r="AC10" s="83">
        <f>SUMIFS('Dataset 1'!$E$7:$E$2506,'Dataset 1'!$B$7:$B$2506,$A10,'Dataset 1'!$J$7:$J$2506,AC$5)</f>
        <v>0</v>
      </c>
      <c r="AD10" s="83">
        <f>SUMIFS('Dataset 1'!$E$7:$E$2506,'Dataset 1'!$B$7:$B$2506,$A10,'Dataset 1'!$J$7:$J$2506,AD$5)</f>
        <v>0</v>
      </c>
      <c r="AE10" s="83">
        <f>SUMIFS('Dataset 1'!$E$7:$E$2506,'Dataset 1'!$B$7:$B$2506,$A10,'Dataset 1'!$J$7:$J$2506,AE$5)</f>
        <v>0</v>
      </c>
      <c r="AF10" s="83">
        <f>SUMIFS('Dataset 1'!$E$7:$E$2506,'Dataset 1'!$B$7:$B$2506,$A10,'Dataset 1'!$J$7:$J$2506,AF$5)</f>
        <v>0</v>
      </c>
      <c r="AG10" s="83">
        <f>SUMIFS('Dataset 1'!$E$7:$E$2506,'Dataset 1'!$B$7:$B$2506,$A10,'Dataset 1'!$J$7:$J$2506,AG$5)</f>
        <v>0</v>
      </c>
      <c r="AH10" s="83">
        <f>SUMIFS('Dataset 1'!$E$7:$E$2506,'Dataset 1'!$B$7:$B$2506,$A10,'Dataset 1'!$J$7:$J$2506,AH$5)</f>
        <v>0</v>
      </c>
      <c r="AI10" s="83">
        <f>SUMIFS('Dataset 1'!$E$7:$E$2506,'Dataset 1'!$B$7:$B$2506,$A10,'Dataset 1'!$J$7:$J$2506,AI$5)</f>
        <v>0</v>
      </c>
      <c r="AJ10" s="83">
        <f>SUMIFS('Dataset 1'!$E$7:$E$2506,'Dataset 1'!$B$7:$B$2506,$A10,'Dataset 1'!$J$7:$J$2506,AJ$5)</f>
        <v>550</v>
      </c>
      <c r="AK10" s="83">
        <f>SUMIFS('Dataset 1'!$E$7:$E$2506,'Dataset 1'!$B$7:$B$2506,$A10,'Dataset 1'!$J$7:$J$2506,AK$5)</f>
        <v>0</v>
      </c>
      <c r="AL10" s="83">
        <f>SUMIFS('Dataset 1'!$E$7:$E$2506,'Dataset 1'!$B$7:$B$2506,$A10,'Dataset 1'!$J$7:$J$2506,AL$5)</f>
        <v>0</v>
      </c>
      <c r="AM10" s="83">
        <f>SUMIFS('Dataset 1'!$E$7:$E$2506,'Dataset 1'!$B$7:$B$2506,$A10,'Dataset 1'!$J$7:$J$2506,AM$5)</f>
        <v>0</v>
      </c>
      <c r="AN10" s="83">
        <f>SUMIFS('Dataset 1'!$E$7:$E$2506,'Dataset 1'!$B$7:$B$2506,$A10,'Dataset 1'!$J$7:$J$2506,AN$5)</f>
        <v>0</v>
      </c>
      <c r="AO10" s="83">
        <f>SUMIFS('Dataset 1'!$E$7:$E$2506,'Dataset 1'!$B$7:$B$2506,$A10,'Dataset 1'!$J$7:$J$2506,AO$5)</f>
        <v>0</v>
      </c>
      <c r="AP10" s="83">
        <f>SUMIFS('Dataset 1'!$E$7:$E$2506,'Dataset 1'!$B$7:$B$2506,$A10,'Dataset 1'!$J$7:$J$2506,AP$5)</f>
        <v>0</v>
      </c>
      <c r="AQ10" s="83">
        <f>SUMIFS('Dataset 1'!$E$7:$E$2506,'Dataset 1'!$B$7:$B$2506,$A10,'Dataset 1'!$J$7:$J$2506,AQ$5)</f>
        <v>0</v>
      </c>
      <c r="AR10" s="83">
        <f>SUMIFS('Dataset 1'!$E$7:$E$2506,'Dataset 1'!$B$7:$B$2506,$A10,'Dataset 1'!$J$7:$J$2506,AR$5)</f>
        <v>0</v>
      </c>
      <c r="AS10" s="83">
        <f>SUMIFS('Dataset 1'!$E$7:$E$2506,'Dataset 1'!$B$7:$B$2506,$A10,'Dataset 1'!$J$7:$J$2506,AS$5)</f>
        <v>0</v>
      </c>
      <c r="AT10" s="83">
        <f>SUMIFS('Dataset 1'!$E$7:$E$2506,'Dataset 1'!$B$7:$B$2506,$A10,'Dataset 1'!$J$7:$J$2506,AT$5)</f>
        <v>0</v>
      </c>
      <c r="AU10" s="83">
        <f>SUMIFS('Dataset 1'!$E$7:$E$2506,'Dataset 1'!$B$7:$B$2506,$A10,'Dataset 1'!$J$7:$J$2506,AU$5)</f>
        <v>0</v>
      </c>
      <c r="AV10" s="83">
        <f>SUMIFS('Dataset 1'!$E$7:$E$2506,'Dataset 1'!$B$7:$B$2506,$A10,'Dataset 1'!$J$7:$J$2506,AV$5)</f>
        <v>0</v>
      </c>
      <c r="AW10" s="83">
        <f>SUMIFS('Dataset 1'!$E$7:$E$2506,'Dataset 1'!$B$7:$B$2506,$A10,'Dataset 1'!$J$7:$J$2506,AW$5)</f>
        <v>0</v>
      </c>
      <c r="AX10" s="83">
        <f>SUMIFS('Dataset 1'!$E$7:$E$2506,'Dataset 1'!$B$7:$B$2506,$A10,'Dataset 1'!$J$7:$J$2506,AX$5)</f>
        <v>350</v>
      </c>
      <c r="AY10" s="83">
        <f>SUMIFS('Dataset 1'!$E$7:$E$2506,'Dataset 1'!$B$7:$B$2506,$A10,'Dataset 1'!$J$7:$J$2506,AY$5)</f>
        <v>230</v>
      </c>
      <c r="AZ10" s="83">
        <f>SUMIFS('Dataset 1'!$E$7:$E$2506,'Dataset 1'!$B$7:$B$2506,$A10,'Dataset 1'!$J$7:$J$2506,AZ$5)</f>
        <v>1760</v>
      </c>
      <c r="BA10" s="83">
        <f>SUMIFS('Dataset 1'!$E$7:$E$2506,'Dataset 1'!$B$7:$B$2506,$A10,'Dataset 1'!$J$7:$J$2506,BA$5)</f>
        <v>8580</v>
      </c>
      <c r="BB10" s="83">
        <f>SUMIFS('Dataset 1'!$E$7:$E$2506,'Dataset 1'!$B$7:$B$2506,$A10,'Dataset 1'!$J$7:$J$2506,BB$5)</f>
        <v>0</v>
      </c>
      <c r="BC10" s="83">
        <f>SUMIFS('Dataset 1'!$E$7:$E$2506,'Dataset 1'!$B$7:$B$2506,$A10,'Dataset 1'!$J$7:$J$2506,BC$5)</f>
        <v>0</v>
      </c>
      <c r="BD10" s="83">
        <f>SUMIFS('Dataset 1'!$E$7:$E$2506,'Dataset 1'!$B$7:$B$2506,$A10,'Dataset 1'!$J$7:$J$2506,BD$5)</f>
        <v>0</v>
      </c>
      <c r="BE10" s="83">
        <f>SUMIFS('Dataset 1'!$E$7:$E$2506,'Dataset 1'!$B$7:$B$2506,$A10,'Dataset 1'!$J$7:$J$2506,BE$5)</f>
        <v>0</v>
      </c>
      <c r="BF10" s="83">
        <f>SUMIFS('Dataset 1'!$E$7:$E$2506,'Dataset 1'!$B$7:$B$2506,$A10,'Dataset 1'!$J$7:$J$2506,BF$5)</f>
        <v>0</v>
      </c>
      <c r="BG10" s="83">
        <f>SUMIFS('Dataset 1'!$E$7:$E$2506,'Dataset 1'!$B$7:$B$2506,$A10,'Dataset 1'!$J$7:$J$2506,BG$5)</f>
        <v>0</v>
      </c>
      <c r="BH10" s="83">
        <f>SUMIFS('Dataset 1'!$E$7:$E$2506,'Dataset 1'!$B$7:$B$2506,$A10,'Dataset 1'!$J$7:$J$2506,BH$5)</f>
        <v>0</v>
      </c>
      <c r="BI10" s="83">
        <f>SUMIFS('Dataset 1'!$E$7:$E$2506,'Dataset 1'!$B$7:$B$2506,$A10,'Dataset 1'!$J$7:$J$2506,BI$5)</f>
        <v>3540</v>
      </c>
      <c r="BJ10" s="83">
        <f>SUMIFS('Dataset 1'!$E$7:$E$2506,'Dataset 1'!$B$7:$B$2506,$A10,'Dataset 1'!$J$7:$J$2506,BJ$5)</f>
        <v>0</v>
      </c>
      <c r="BK10" s="83">
        <f>SUMIFS('Dataset 1'!$E$7:$E$2506,'Dataset 1'!$B$7:$B$2506,$A10,'Dataset 1'!$J$7:$J$2506,BK$5)</f>
        <v>0</v>
      </c>
      <c r="BL10" s="83">
        <f>SUMIFS('Dataset 1'!$E$7:$E$2506,'Dataset 1'!$B$7:$B$2506,$A10,'Dataset 1'!$J$7:$J$2506,BL$5)</f>
        <v>0</v>
      </c>
      <c r="BM10" s="83">
        <f>SUMIFS('Dataset 1'!$E$7:$E$2506,'Dataset 1'!$B$7:$B$2506,$A10,'Dataset 1'!$J$7:$J$2506,BM$5)</f>
        <v>0</v>
      </c>
      <c r="BN10" s="83">
        <f>SUMIFS('Dataset 1'!$E$7:$E$2506,'Dataset 1'!$B$7:$B$2506,$A10,'Dataset 1'!$J$7:$J$2506,BN$5)</f>
        <v>0</v>
      </c>
      <c r="BO10" s="83">
        <f>SUMIFS('Dataset 1'!$E$7:$E$2506,'Dataset 1'!$B$7:$B$2506,$A10,'Dataset 1'!$J$7:$J$2506,BO$5)</f>
        <v>0</v>
      </c>
      <c r="BP10" s="83">
        <f>SUMIFS('Dataset 1'!$E$7:$E$2506,'Dataset 1'!$B$7:$B$2506,$A10,'Dataset 1'!$J$7:$J$2506,BP$5)</f>
        <v>0</v>
      </c>
      <c r="BQ10" s="83">
        <f>SUMIFS('Dataset 1'!$E$7:$E$2506,'Dataset 1'!$B$7:$B$2506,$A10,'Dataset 1'!$J$7:$J$2506,BQ$5)</f>
        <v>0</v>
      </c>
      <c r="BR10" s="83">
        <f>SUMIFS('Dataset 1'!$E$7:$E$2506,'Dataset 1'!$B$7:$B$2506,$A10,'Dataset 1'!$J$7:$J$2506,BR$5)</f>
        <v>0</v>
      </c>
      <c r="BS10" s="83">
        <f>SUMIFS('Dataset 1'!$E$7:$E$2506,'Dataset 1'!$B$7:$B$2506,$A10,'Dataset 1'!$J$7:$J$2506,BS$5)</f>
        <v>0</v>
      </c>
      <c r="BT10" s="83">
        <f>SUMIFS('Dataset 1'!$E$7:$E$2506,'Dataset 1'!$B$7:$B$2506,$A10,'Dataset 1'!$J$7:$J$2506,BT$5)</f>
        <v>0</v>
      </c>
      <c r="BU10" s="83">
        <f>SUMIFS('Dataset 1'!$E$7:$E$2506,'Dataset 1'!$B$7:$B$2506,$A10,'Dataset 1'!$J$7:$J$2506,BU$5)</f>
        <v>0</v>
      </c>
      <c r="BV10" s="83">
        <f>SUMIFS('Dataset 1'!$E$7:$E$2506,'Dataset 1'!$B$7:$B$2506,$A10,'Dataset 1'!$J$7:$J$2506,BV$5)</f>
        <v>740</v>
      </c>
      <c r="BW10" s="83">
        <f>SUMIFS('Dataset 1'!$E$7:$E$2506,'Dataset 1'!$B$7:$B$2506,$A10,'Dataset 1'!$J$7:$J$2506,BW$5)</f>
        <v>0</v>
      </c>
      <c r="BX10" s="83">
        <f>SUMIFS('Dataset 1'!$E$7:$E$2506,'Dataset 1'!$B$7:$B$2506,$A10,'Dataset 1'!$J$7:$J$2506,BX$5)</f>
        <v>750</v>
      </c>
      <c r="BY10" s="83">
        <f>SUMIFS('Dataset 1'!$E$7:$E$2506,'Dataset 1'!$B$7:$B$2506,$A10,'Dataset 1'!$J$7:$J$2506,BY$5)</f>
        <v>0</v>
      </c>
      <c r="BZ10" s="83">
        <f>SUMIFS('Dataset 1'!$E$7:$E$2506,'Dataset 1'!$B$7:$B$2506,$A10,'Dataset 1'!$J$7:$J$2506,BZ$5)</f>
        <v>0</v>
      </c>
      <c r="CA10" s="83">
        <f>SUMIFS('Dataset 1'!$E$7:$E$2506,'Dataset 1'!$B$7:$B$2506,$A10,'Dataset 1'!$J$7:$J$2506,CA$5)</f>
        <v>0</v>
      </c>
      <c r="CB10" s="83">
        <f>SUMIFS('Dataset 1'!$E$7:$E$2506,'Dataset 1'!$B$7:$B$2506,$A10,'Dataset 1'!$J$7:$J$2506,CB$5)</f>
        <v>1020</v>
      </c>
      <c r="CC10" s="83">
        <f>SUMIFS('Dataset 1'!$E$7:$E$2506,'Dataset 1'!$B$7:$B$2506,$A10,'Dataset 1'!$J$7:$J$2506,CC$5)</f>
        <v>0</v>
      </c>
      <c r="CD10" s="83">
        <f>SUMIFS('Dataset 1'!$E$7:$E$2506,'Dataset 1'!$B$7:$B$2506,$A10,'Dataset 1'!$J$7:$J$2506,CD$5)</f>
        <v>0</v>
      </c>
      <c r="CE10" s="83">
        <f>SUMIFS('Dataset 1'!$E$7:$E$2506,'Dataset 1'!$B$7:$B$2506,$A10,'Dataset 1'!$J$7:$J$2506,CE$5)</f>
        <v>0</v>
      </c>
      <c r="CF10" s="83">
        <f>SUMIFS('Dataset 1'!$E$7:$E$2506,'Dataset 1'!$B$7:$B$2506,$A10,'Dataset 1'!$J$7:$J$2506,CF$5)</f>
        <v>0</v>
      </c>
      <c r="CG10" s="83">
        <f>SUMIFS('Dataset 1'!$E$7:$E$2506,'Dataset 1'!$B$7:$B$2506,$A10,'Dataset 1'!$J$7:$J$2506,CG$5)</f>
        <v>0</v>
      </c>
      <c r="CH10" s="83">
        <f>SUMIFS('Dataset 1'!$E$7:$E$2506,'Dataset 1'!$B$7:$B$2506,$A10,'Dataset 1'!$J$7:$J$2506,CH$5)</f>
        <v>0</v>
      </c>
      <c r="CI10" s="83">
        <f>SUMIFS('Dataset 1'!$E$7:$E$2506,'Dataset 1'!$B$7:$B$2506,$A10,'Dataset 1'!$J$7:$J$2506,CI$5)</f>
        <v>0</v>
      </c>
      <c r="CJ10" s="83">
        <f>SUMIFS('Dataset 1'!$E$7:$E$2506,'Dataset 1'!$B$7:$B$2506,$A10,'Dataset 1'!$J$7:$J$2506,CJ$5)</f>
        <v>0</v>
      </c>
      <c r="CK10" s="83">
        <f>SUMIFS('Dataset 1'!$E$7:$E$2506,'Dataset 1'!$B$7:$B$2506,$A10,'Dataset 1'!$J$7:$J$2506,CK$5)</f>
        <v>0</v>
      </c>
      <c r="CL10" s="83">
        <f>SUMIFS('Dataset 1'!$E$7:$E$2506,'Dataset 1'!$B$7:$B$2506,$A10,'Dataset 1'!$J$7:$J$2506,CL$5)</f>
        <v>0</v>
      </c>
      <c r="CM10" s="83">
        <f>SUMIFS('Dataset 1'!$E$7:$E$2506,'Dataset 1'!$B$7:$B$2506,$A10,'Dataset 1'!$J$7:$J$2506,CM$5)</f>
        <v>500</v>
      </c>
      <c r="CN10" s="83">
        <f>SUMIFS('Dataset 1'!$E$7:$E$2506,'Dataset 1'!$B$7:$B$2506,$A10,'Dataset 1'!$J$7:$J$2506,CN$5)</f>
        <v>0</v>
      </c>
      <c r="CO10" s="83">
        <f>SUMIFS('Dataset 1'!$E$7:$E$2506,'Dataset 1'!$B$7:$B$2506,$A10,'Dataset 1'!$J$7:$J$2506,CO$5)</f>
        <v>0</v>
      </c>
      <c r="CP10" s="83">
        <f>SUMIFS('Dataset 1'!$E$7:$E$2506,'Dataset 1'!$B$7:$B$2506,$A10,'Dataset 1'!$J$7:$J$2506,CP$5)</f>
        <v>1090</v>
      </c>
      <c r="CQ10" s="83">
        <f>SUMIFS('Dataset 1'!$E$7:$E$2506,'Dataset 1'!$B$7:$B$2506,$A10,'Dataset 1'!$J$7:$J$2506,CQ$5)</f>
        <v>0</v>
      </c>
      <c r="CR10" s="83">
        <f>SUMIFS('Dataset 1'!$E$7:$E$2506,'Dataset 1'!$B$7:$B$2506,$A10,'Dataset 1'!$J$7:$J$2506,CR$5)</f>
        <v>0</v>
      </c>
      <c r="CS10" s="83">
        <f>SUMIFS('Dataset 1'!$E$7:$E$2506,'Dataset 1'!$B$7:$B$2506,$A10,'Dataset 1'!$J$7:$J$2506,CS$5)</f>
        <v>0</v>
      </c>
      <c r="CT10" s="83">
        <f>SUMIFS('Dataset 1'!$E$7:$E$2506,'Dataset 1'!$B$7:$B$2506,$A10,'Dataset 1'!$J$7:$J$2506,CT$5)</f>
        <v>100</v>
      </c>
      <c r="CU10" s="83">
        <f>SUMIFS('Dataset 1'!$E$7:$E$2506,'Dataset 1'!$B$7:$B$2506,$A10,'Dataset 1'!$J$7:$J$2506,CU$5)</f>
        <v>780</v>
      </c>
      <c r="CV10" s="83">
        <f>SUMIFS('Dataset 1'!$E$7:$E$2506,'Dataset 1'!$B$7:$B$2506,$A10,'Dataset 1'!$J$7:$J$2506,CV$5)</f>
        <v>0</v>
      </c>
      <c r="CW10" s="83">
        <f>SUMIFS('Dataset 1'!$E$7:$E$2506,'Dataset 1'!$B$7:$B$2506,$A10,'Dataset 1'!$J$7:$J$2506,CW$5)</f>
        <v>0</v>
      </c>
      <c r="CX10" s="83">
        <f>SUMIFS('Dataset 1'!$E$7:$E$2506,'Dataset 1'!$B$7:$B$2506,$A10,'Dataset 1'!$J$7:$J$2506,CX$5)</f>
        <v>0</v>
      </c>
      <c r="CY10" s="83">
        <f>SUMIFS('Dataset 1'!$E$7:$E$2506,'Dataset 1'!$B$7:$B$2506,$A10,'Dataset 1'!$J$7:$J$2506,CY$5)</f>
        <v>0</v>
      </c>
      <c r="CZ10" s="83">
        <f>SUMIFS('Dataset 1'!$E$7:$E$2506,'Dataset 1'!$B$7:$B$2506,$A10,'Dataset 1'!$J$7:$J$2506,CZ$5)</f>
        <v>0</v>
      </c>
      <c r="DA10" s="83">
        <f>SUMIFS('Dataset 1'!$E$7:$E$2506,'Dataset 1'!$B$7:$B$2506,$A10,'Dataset 1'!$J$7:$J$2506,DA$5)</f>
        <v>0</v>
      </c>
      <c r="DB10" s="83">
        <f>SUMIFS('Dataset 1'!$E$7:$E$2506,'Dataset 1'!$B$7:$B$2506,$A10,'Dataset 1'!$J$7:$J$2506,DB$5)</f>
        <v>2180</v>
      </c>
      <c r="DC10" s="83">
        <f>SUMIFS('Dataset 1'!$E$7:$E$2506,'Dataset 1'!$B$7:$B$2506,$A10,'Dataset 1'!$J$7:$J$2506,DC$5)</f>
        <v>0</v>
      </c>
      <c r="DD10" s="83">
        <f>SUMIFS('Dataset 1'!$E$7:$E$2506,'Dataset 1'!$B$7:$B$2506,$A10,'Dataset 1'!$J$7:$J$2506,DD$5)</f>
        <v>0</v>
      </c>
      <c r="DE10" s="83">
        <f>SUMIFS('Dataset 1'!$E$7:$E$2506,'Dataset 1'!$B$7:$B$2506,$A10,'Dataset 1'!$J$7:$J$2506,DE$5)</f>
        <v>0</v>
      </c>
      <c r="DF10" s="83">
        <f>SUMIFS('Dataset 1'!$E$7:$E$2506,'Dataset 1'!$B$7:$B$2506,$A10,'Dataset 1'!$J$7:$J$2506,DF$5)</f>
        <v>0</v>
      </c>
      <c r="DG10" s="83">
        <f>SUMIFS('Dataset 1'!$E$7:$E$2506,'Dataset 1'!$B$7:$B$2506,$A10,'Dataset 1'!$J$7:$J$2506,DG$5)</f>
        <v>0</v>
      </c>
      <c r="DH10" s="83">
        <f>SUMIFS('Dataset 1'!$E$7:$E$2506,'Dataset 1'!$B$7:$B$2506,$A10,'Dataset 1'!$J$7:$J$2506,DH$5)</f>
        <v>1000</v>
      </c>
      <c r="DI10" s="83">
        <f>SUMIFS('Dataset 1'!$E$7:$E$2506,'Dataset 1'!$B$7:$B$2506,$A10,'Dataset 1'!$J$7:$J$2506,DI$5)</f>
        <v>0</v>
      </c>
      <c r="DJ10" s="83">
        <f>SUMIFS('Dataset 1'!$E$7:$E$2506,'Dataset 1'!$B$7:$B$2506,$A10,'Dataset 1'!$J$7:$J$2506,DJ$5)</f>
        <v>260</v>
      </c>
      <c r="DK10" s="83">
        <f>SUMIFS('Dataset 1'!$E$7:$E$2506,'Dataset 1'!$B$7:$B$2506,$A10,'Dataset 1'!$J$7:$J$2506,DK$5)</f>
        <v>0</v>
      </c>
      <c r="DL10" s="83">
        <f>SUMIFS('Dataset 1'!$E$7:$E$2506,'Dataset 1'!$B$7:$B$2506,$A10,'Dataset 1'!$J$7:$J$2506,DL$5)</f>
        <v>0</v>
      </c>
      <c r="DM10" s="83">
        <f>SUMIFS('Dataset 1'!$E$7:$E$2506,'Dataset 1'!$B$7:$B$2506,$A10,'Dataset 1'!$J$7:$J$2506,DM$5)</f>
        <v>7200</v>
      </c>
      <c r="DN10" s="83">
        <f>SUMIFS('Dataset 1'!$E$7:$E$2506,'Dataset 1'!$B$7:$B$2506,$A10,'Dataset 1'!$J$7:$J$2506,DN$5)</f>
        <v>0</v>
      </c>
      <c r="DO10" s="83">
        <f>SUMIFS('Dataset 1'!$E$7:$E$2506,'Dataset 1'!$B$7:$B$2506,$A10,'Dataset 1'!$J$7:$J$2506,DO$5)</f>
        <v>0</v>
      </c>
      <c r="DP10" s="83">
        <f>SUMIFS('Dataset 1'!$E$7:$E$2506,'Dataset 1'!$B$7:$B$2506,$A10,'Dataset 1'!$J$7:$J$2506,DP$5)</f>
        <v>0</v>
      </c>
      <c r="DQ10" s="83">
        <f>SUMIFS('Dataset 1'!$E$7:$E$2506,'Dataset 1'!$B$7:$B$2506,$A10,'Dataset 1'!$J$7:$J$2506,DQ$5)</f>
        <v>0</v>
      </c>
      <c r="DR10" s="83">
        <f>SUMIFS('Dataset 1'!$E$7:$E$2506,'Dataset 1'!$B$7:$B$2506,$A10,'Dataset 1'!$J$7:$J$2506,DR$5)</f>
        <v>530</v>
      </c>
      <c r="DS10" s="83">
        <f>SUMIFS('Dataset 1'!$E$7:$E$2506,'Dataset 1'!$B$7:$B$2506,$A10,'Dataset 1'!$J$7:$J$2506,DS$5)</f>
        <v>0</v>
      </c>
      <c r="DT10" s="83">
        <f>SUMIFS('Dataset 1'!$E$7:$E$2506,'Dataset 1'!$B$7:$B$2506,$A10,'Dataset 1'!$J$7:$J$2506,DT$5)</f>
        <v>320</v>
      </c>
      <c r="DU10" s="83">
        <f>SUMIFS('Dataset 1'!$E$7:$E$2506,'Dataset 1'!$B$7:$B$2506,$A10,'Dataset 1'!$J$7:$J$2506,DU$5)</f>
        <v>0</v>
      </c>
      <c r="DV10" s="83">
        <f>SUMIFS('Dataset 1'!$E$7:$E$2506,'Dataset 1'!$B$7:$B$2506,$A10,'Dataset 1'!$J$7:$J$2506,DV$5)</f>
        <v>0</v>
      </c>
      <c r="DW10" s="83">
        <f>SUMIFS('Dataset 1'!$E$7:$E$2506,'Dataset 1'!$B$7:$B$2506,$A10,'Dataset 1'!$J$7:$J$2506,DW$5)</f>
        <v>1190</v>
      </c>
      <c r="DX10" s="83">
        <f>SUMIFS('Dataset 1'!$E$7:$E$2506,'Dataset 1'!$B$7:$B$2506,$A10,'Dataset 1'!$J$7:$J$2506,DX$5)</f>
        <v>0</v>
      </c>
      <c r="DY10" s="83">
        <f>SUMIFS('Dataset 1'!$E$7:$E$2506,'Dataset 1'!$B$7:$B$2506,$A10,'Dataset 1'!$J$7:$J$2506,DY$5)</f>
        <v>8200</v>
      </c>
      <c r="DZ10" s="83">
        <f>SUMIFS('Dataset 1'!$E$7:$E$2506,'Dataset 1'!$B$7:$B$2506,$A10,'Dataset 1'!$J$7:$J$2506,DZ$5)</f>
        <v>0</v>
      </c>
      <c r="EA10" s="83">
        <f>SUMIFS('Dataset 1'!$E$7:$E$2506,'Dataset 1'!$B$7:$B$2506,$A10,'Dataset 1'!$J$7:$J$2506,EA$5)</f>
        <v>0</v>
      </c>
      <c r="EB10" s="83">
        <f>SUMIFS('Dataset 1'!$E$7:$E$2506,'Dataset 1'!$B$7:$B$2506,$A10,'Dataset 1'!$J$7:$J$2506,EB$5)</f>
        <v>0</v>
      </c>
      <c r="EC10" s="83">
        <f>SUMIFS('Dataset 1'!$E$7:$E$2506,'Dataset 1'!$B$7:$B$2506,$A10,'Dataset 1'!$J$7:$J$2506,EC$5)</f>
        <v>0</v>
      </c>
      <c r="ED10" s="83">
        <f>SUMIFS('Dataset 1'!$E$7:$E$2506,'Dataset 1'!$B$7:$B$2506,$A10,'Dataset 1'!$J$7:$J$2506,ED$5)</f>
        <v>0</v>
      </c>
      <c r="EE10" s="83">
        <f>SUMIFS('Dataset 1'!$E$7:$E$2506,'Dataset 1'!$B$7:$B$2506,$A10,'Dataset 1'!$J$7:$J$2506,EE$5)</f>
        <v>0</v>
      </c>
      <c r="EF10" s="83">
        <f>SUMIFS('Dataset 1'!$E$7:$E$2506,'Dataset 1'!$B$7:$B$2506,$A10,'Dataset 1'!$J$7:$J$2506,EF$5)</f>
        <v>370</v>
      </c>
      <c r="EG10" s="83">
        <f>SUMIFS('Dataset 1'!$E$7:$E$2506,'Dataset 1'!$B$7:$B$2506,$A10,'Dataset 1'!$J$7:$J$2506,EG$5)</f>
        <v>0</v>
      </c>
    </row>
    <row r="11" spans="1:137" x14ac:dyDescent="0.2">
      <c r="A11">
        <v>2010</v>
      </c>
      <c r="B11" s="83">
        <f>SUMIFS('Dataset 1'!$E$7:$E$2506,'Dataset 1'!$B$7:$B$2506,$A11,'Dataset 1'!$J$7:$J$2506,B$5)</f>
        <v>0</v>
      </c>
      <c r="C11" s="83">
        <f>SUMIFS('Dataset 1'!$E$7:$E$2506,'Dataset 1'!$B$7:$B$2506,$A11,'Dataset 1'!$J$7:$J$2506,C$5)</f>
        <v>0</v>
      </c>
      <c r="D11" s="83">
        <f>SUMIFS('Dataset 1'!$E$7:$E$2506,'Dataset 1'!$B$7:$B$2506,$A11,'Dataset 1'!$J$7:$J$2506,D$5)</f>
        <v>0</v>
      </c>
      <c r="E11" s="83">
        <f>SUMIFS('Dataset 1'!$E$7:$E$2506,'Dataset 1'!$B$7:$B$2506,$A11,'Dataset 1'!$J$7:$J$2506,E$5)</f>
        <v>0</v>
      </c>
      <c r="F11" s="83">
        <f>SUMIFS('Dataset 1'!$E$7:$E$2506,'Dataset 1'!$B$7:$B$2506,$A11,'Dataset 1'!$J$7:$J$2506,F$5)</f>
        <v>5680</v>
      </c>
      <c r="G11" s="83">
        <f>SUMIFS('Dataset 1'!$E$7:$E$2506,'Dataset 1'!$B$7:$B$2506,$A11,'Dataset 1'!$J$7:$J$2506,G$5)</f>
        <v>3340</v>
      </c>
      <c r="H11" s="83">
        <f>SUMIFS('Dataset 1'!$E$7:$E$2506,'Dataset 1'!$B$7:$B$2506,$A11,'Dataset 1'!$J$7:$J$2506,H$5)</f>
        <v>0</v>
      </c>
      <c r="I11" s="83">
        <f>SUMIFS('Dataset 1'!$E$7:$E$2506,'Dataset 1'!$B$7:$B$2506,$A11,'Dataset 1'!$J$7:$J$2506,I$5)</f>
        <v>0</v>
      </c>
      <c r="J11" s="83">
        <f>SUMIFS('Dataset 1'!$E$7:$E$2506,'Dataset 1'!$B$7:$B$2506,$A11,'Dataset 1'!$J$7:$J$2506,J$5)</f>
        <v>0</v>
      </c>
      <c r="K11" s="83">
        <f>SUMIFS('Dataset 1'!$E$7:$E$2506,'Dataset 1'!$B$7:$B$2506,$A11,'Dataset 1'!$J$7:$J$2506,K$5)</f>
        <v>0</v>
      </c>
      <c r="L11" s="83">
        <f>SUMIFS('Dataset 1'!$E$7:$E$2506,'Dataset 1'!$B$7:$B$2506,$A11,'Dataset 1'!$J$7:$J$2506,L$5)</f>
        <v>100</v>
      </c>
      <c r="M11" s="83">
        <f>SUMIFS('Dataset 1'!$E$7:$E$2506,'Dataset 1'!$B$7:$B$2506,$A11,'Dataset 1'!$J$7:$J$2506,M$5)</f>
        <v>0</v>
      </c>
      <c r="N11" s="83">
        <f>SUMIFS('Dataset 1'!$E$7:$E$2506,'Dataset 1'!$B$7:$B$2506,$A11,'Dataset 1'!$J$7:$J$2506,N$5)</f>
        <v>0</v>
      </c>
      <c r="O11" s="83">
        <f>SUMIFS('Dataset 1'!$E$7:$E$2506,'Dataset 1'!$B$7:$B$2506,$A11,'Dataset 1'!$J$7:$J$2506,O$5)</f>
        <v>0</v>
      </c>
      <c r="P11" s="83">
        <f>SUMIFS('Dataset 1'!$E$7:$E$2506,'Dataset 1'!$B$7:$B$2506,$A11,'Dataset 1'!$J$7:$J$2506,P$5)</f>
        <v>0</v>
      </c>
      <c r="Q11" s="83">
        <f>SUMIFS('Dataset 1'!$E$7:$E$2506,'Dataset 1'!$B$7:$B$2506,$A11,'Dataset 1'!$J$7:$J$2506,Q$5)</f>
        <v>13880</v>
      </c>
      <c r="R11" s="83">
        <f>SUMIFS('Dataset 1'!$E$7:$E$2506,'Dataset 1'!$B$7:$B$2506,$A11,'Dataset 1'!$J$7:$J$2506,R$5)</f>
        <v>1130</v>
      </c>
      <c r="S11" s="83">
        <f>SUMIFS('Dataset 1'!$E$7:$E$2506,'Dataset 1'!$B$7:$B$2506,$A11,'Dataset 1'!$J$7:$J$2506,S$5)</f>
        <v>0</v>
      </c>
      <c r="T11" s="83">
        <f>SUMIFS('Dataset 1'!$E$7:$E$2506,'Dataset 1'!$B$7:$B$2506,$A11,'Dataset 1'!$J$7:$J$2506,T$5)</f>
        <v>0</v>
      </c>
      <c r="U11" s="83">
        <f>SUMIFS('Dataset 1'!$E$7:$E$2506,'Dataset 1'!$B$7:$B$2506,$A11,'Dataset 1'!$J$7:$J$2506,U$5)</f>
        <v>890</v>
      </c>
      <c r="V11" s="83">
        <f>SUMIFS('Dataset 1'!$E$7:$E$2506,'Dataset 1'!$B$7:$B$2506,$A11,'Dataset 1'!$J$7:$J$2506,V$5)</f>
        <v>500</v>
      </c>
      <c r="W11" s="83">
        <f>SUMIFS('Dataset 1'!$E$7:$E$2506,'Dataset 1'!$B$7:$B$2506,$A11,'Dataset 1'!$J$7:$J$2506,W$5)</f>
        <v>7080</v>
      </c>
      <c r="X11" s="83">
        <f>SUMIFS('Dataset 1'!$E$7:$E$2506,'Dataset 1'!$B$7:$B$2506,$A11,'Dataset 1'!$J$7:$J$2506,X$5)</f>
        <v>0</v>
      </c>
      <c r="Y11" s="83">
        <f>SUMIFS('Dataset 1'!$E$7:$E$2506,'Dataset 1'!$B$7:$B$2506,$A11,'Dataset 1'!$J$7:$J$2506,Y$5)</f>
        <v>1910</v>
      </c>
      <c r="Z11" s="83">
        <f>SUMIFS('Dataset 1'!$E$7:$E$2506,'Dataset 1'!$B$7:$B$2506,$A11,'Dataset 1'!$J$7:$J$2506,Z$5)</f>
        <v>0</v>
      </c>
      <c r="AA11" s="83">
        <f>SUMIFS('Dataset 1'!$E$7:$E$2506,'Dataset 1'!$B$7:$B$2506,$A11,'Dataset 1'!$J$7:$J$2506,AA$5)</f>
        <v>0</v>
      </c>
      <c r="AB11" s="83">
        <f>SUMIFS('Dataset 1'!$E$7:$E$2506,'Dataset 1'!$B$7:$B$2506,$A11,'Dataset 1'!$J$7:$J$2506,AB$5)</f>
        <v>0</v>
      </c>
      <c r="AC11" s="83">
        <f>SUMIFS('Dataset 1'!$E$7:$E$2506,'Dataset 1'!$B$7:$B$2506,$A11,'Dataset 1'!$J$7:$J$2506,AC$5)</f>
        <v>0</v>
      </c>
      <c r="AD11" s="83">
        <f>SUMIFS('Dataset 1'!$E$7:$E$2506,'Dataset 1'!$B$7:$B$2506,$A11,'Dataset 1'!$J$7:$J$2506,AD$5)</f>
        <v>0</v>
      </c>
      <c r="AE11" s="83">
        <f>SUMIFS('Dataset 1'!$E$7:$E$2506,'Dataset 1'!$B$7:$B$2506,$A11,'Dataset 1'!$J$7:$J$2506,AE$5)</f>
        <v>0</v>
      </c>
      <c r="AF11" s="83">
        <f>SUMIFS('Dataset 1'!$E$7:$E$2506,'Dataset 1'!$B$7:$B$2506,$A11,'Dataset 1'!$J$7:$J$2506,AF$5)</f>
        <v>0</v>
      </c>
      <c r="AG11" s="83">
        <f>SUMIFS('Dataset 1'!$E$7:$E$2506,'Dataset 1'!$B$7:$B$2506,$A11,'Dataset 1'!$J$7:$J$2506,AG$5)</f>
        <v>0</v>
      </c>
      <c r="AH11" s="83">
        <f>SUMIFS('Dataset 1'!$E$7:$E$2506,'Dataset 1'!$B$7:$B$2506,$A11,'Dataset 1'!$J$7:$J$2506,AH$5)</f>
        <v>0</v>
      </c>
      <c r="AI11" s="83">
        <f>SUMIFS('Dataset 1'!$E$7:$E$2506,'Dataset 1'!$B$7:$B$2506,$A11,'Dataset 1'!$J$7:$J$2506,AI$5)</f>
        <v>1260</v>
      </c>
      <c r="AJ11" s="83">
        <f>SUMIFS('Dataset 1'!$E$7:$E$2506,'Dataset 1'!$B$7:$B$2506,$A11,'Dataset 1'!$J$7:$J$2506,AJ$5)</f>
        <v>0</v>
      </c>
      <c r="AK11" s="83">
        <f>SUMIFS('Dataset 1'!$E$7:$E$2506,'Dataset 1'!$B$7:$B$2506,$A11,'Dataset 1'!$J$7:$J$2506,AK$5)</f>
        <v>0</v>
      </c>
      <c r="AL11" s="83">
        <f>SUMIFS('Dataset 1'!$E$7:$E$2506,'Dataset 1'!$B$7:$B$2506,$A11,'Dataset 1'!$J$7:$J$2506,AL$5)</f>
        <v>140</v>
      </c>
      <c r="AM11" s="83">
        <f>SUMIFS('Dataset 1'!$E$7:$E$2506,'Dataset 1'!$B$7:$B$2506,$A11,'Dataset 1'!$J$7:$J$2506,AM$5)</f>
        <v>0</v>
      </c>
      <c r="AN11" s="83">
        <f>SUMIFS('Dataset 1'!$E$7:$E$2506,'Dataset 1'!$B$7:$B$2506,$A11,'Dataset 1'!$J$7:$J$2506,AN$5)</f>
        <v>0</v>
      </c>
      <c r="AO11" s="83">
        <f>SUMIFS('Dataset 1'!$E$7:$E$2506,'Dataset 1'!$B$7:$B$2506,$A11,'Dataset 1'!$J$7:$J$2506,AO$5)</f>
        <v>0</v>
      </c>
      <c r="AP11" s="83">
        <f>SUMIFS('Dataset 1'!$E$7:$E$2506,'Dataset 1'!$B$7:$B$2506,$A11,'Dataset 1'!$J$7:$J$2506,AP$5)</f>
        <v>100</v>
      </c>
      <c r="AQ11" s="83">
        <f>SUMIFS('Dataset 1'!$E$7:$E$2506,'Dataset 1'!$B$7:$B$2506,$A11,'Dataset 1'!$J$7:$J$2506,AQ$5)</f>
        <v>0</v>
      </c>
      <c r="AR11" s="83">
        <f>SUMIFS('Dataset 1'!$E$7:$E$2506,'Dataset 1'!$B$7:$B$2506,$A11,'Dataset 1'!$J$7:$J$2506,AR$5)</f>
        <v>1200</v>
      </c>
      <c r="AS11" s="83">
        <f>SUMIFS('Dataset 1'!$E$7:$E$2506,'Dataset 1'!$B$7:$B$2506,$A11,'Dataset 1'!$J$7:$J$2506,AS$5)</f>
        <v>0</v>
      </c>
      <c r="AT11" s="83">
        <f>SUMIFS('Dataset 1'!$E$7:$E$2506,'Dataset 1'!$B$7:$B$2506,$A11,'Dataset 1'!$J$7:$J$2506,AT$5)</f>
        <v>0</v>
      </c>
      <c r="AU11" s="83">
        <f>SUMIFS('Dataset 1'!$E$7:$E$2506,'Dataset 1'!$B$7:$B$2506,$A11,'Dataset 1'!$J$7:$J$2506,AU$5)</f>
        <v>0</v>
      </c>
      <c r="AV11" s="83">
        <f>SUMIFS('Dataset 1'!$E$7:$E$2506,'Dataset 1'!$B$7:$B$2506,$A11,'Dataset 1'!$J$7:$J$2506,AV$5)</f>
        <v>0</v>
      </c>
      <c r="AW11" s="83">
        <f>SUMIFS('Dataset 1'!$E$7:$E$2506,'Dataset 1'!$B$7:$B$2506,$A11,'Dataset 1'!$J$7:$J$2506,AW$5)</f>
        <v>190</v>
      </c>
      <c r="AX11" s="83">
        <f>SUMIFS('Dataset 1'!$E$7:$E$2506,'Dataset 1'!$B$7:$B$2506,$A11,'Dataset 1'!$J$7:$J$2506,AX$5)</f>
        <v>0</v>
      </c>
      <c r="AY11" s="83">
        <f>SUMIFS('Dataset 1'!$E$7:$E$2506,'Dataset 1'!$B$7:$B$2506,$A11,'Dataset 1'!$J$7:$J$2506,AY$5)</f>
        <v>830</v>
      </c>
      <c r="AZ11" s="83">
        <f>SUMIFS('Dataset 1'!$E$7:$E$2506,'Dataset 1'!$B$7:$B$2506,$A11,'Dataset 1'!$J$7:$J$2506,AZ$5)</f>
        <v>0</v>
      </c>
      <c r="BA11" s="83">
        <f>SUMIFS('Dataset 1'!$E$7:$E$2506,'Dataset 1'!$B$7:$B$2506,$A11,'Dataset 1'!$J$7:$J$2506,BA$5)</f>
        <v>0</v>
      </c>
      <c r="BB11" s="83">
        <f>SUMIFS('Dataset 1'!$E$7:$E$2506,'Dataset 1'!$B$7:$B$2506,$A11,'Dataset 1'!$J$7:$J$2506,BB$5)</f>
        <v>0</v>
      </c>
      <c r="BC11" s="83">
        <f>SUMIFS('Dataset 1'!$E$7:$E$2506,'Dataset 1'!$B$7:$B$2506,$A11,'Dataset 1'!$J$7:$J$2506,BC$5)</f>
        <v>1440</v>
      </c>
      <c r="BD11" s="83">
        <f>SUMIFS('Dataset 1'!$E$7:$E$2506,'Dataset 1'!$B$7:$B$2506,$A11,'Dataset 1'!$J$7:$J$2506,BD$5)</f>
        <v>200</v>
      </c>
      <c r="BE11" s="83">
        <f>SUMIFS('Dataset 1'!$E$7:$E$2506,'Dataset 1'!$B$7:$B$2506,$A11,'Dataset 1'!$J$7:$J$2506,BE$5)</f>
        <v>0</v>
      </c>
      <c r="BF11" s="83">
        <f>SUMIFS('Dataset 1'!$E$7:$E$2506,'Dataset 1'!$B$7:$B$2506,$A11,'Dataset 1'!$J$7:$J$2506,BF$5)</f>
        <v>140</v>
      </c>
      <c r="BG11" s="83">
        <f>SUMIFS('Dataset 1'!$E$7:$E$2506,'Dataset 1'!$B$7:$B$2506,$A11,'Dataset 1'!$J$7:$J$2506,BG$5)</f>
        <v>0</v>
      </c>
      <c r="BH11" s="83">
        <f>SUMIFS('Dataset 1'!$E$7:$E$2506,'Dataset 1'!$B$7:$B$2506,$A11,'Dataset 1'!$J$7:$J$2506,BH$5)</f>
        <v>0</v>
      </c>
      <c r="BI11" s="83">
        <f>SUMIFS('Dataset 1'!$E$7:$E$2506,'Dataset 1'!$B$7:$B$2506,$A11,'Dataset 1'!$J$7:$J$2506,BI$5)</f>
        <v>270</v>
      </c>
      <c r="BJ11" s="83">
        <f>SUMIFS('Dataset 1'!$E$7:$E$2506,'Dataset 1'!$B$7:$B$2506,$A11,'Dataset 1'!$J$7:$J$2506,BJ$5)</f>
        <v>0</v>
      </c>
      <c r="BK11" s="83">
        <f>SUMIFS('Dataset 1'!$E$7:$E$2506,'Dataset 1'!$B$7:$B$2506,$A11,'Dataset 1'!$J$7:$J$2506,BK$5)</f>
        <v>0</v>
      </c>
      <c r="BL11" s="83">
        <f>SUMIFS('Dataset 1'!$E$7:$E$2506,'Dataset 1'!$B$7:$B$2506,$A11,'Dataset 1'!$J$7:$J$2506,BL$5)</f>
        <v>0</v>
      </c>
      <c r="BM11" s="83">
        <f>SUMIFS('Dataset 1'!$E$7:$E$2506,'Dataset 1'!$B$7:$B$2506,$A11,'Dataset 1'!$J$7:$J$2506,BM$5)</f>
        <v>1230</v>
      </c>
      <c r="BN11" s="83">
        <f>SUMIFS('Dataset 1'!$E$7:$E$2506,'Dataset 1'!$B$7:$B$2506,$A11,'Dataset 1'!$J$7:$J$2506,BN$5)</f>
        <v>0</v>
      </c>
      <c r="BO11" s="83">
        <f>SUMIFS('Dataset 1'!$E$7:$E$2506,'Dataset 1'!$B$7:$B$2506,$A11,'Dataset 1'!$J$7:$J$2506,BO$5)</f>
        <v>0</v>
      </c>
      <c r="BP11" s="83">
        <f>SUMIFS('Dataset 1'!$E$7:$E$2506,'Dataset 1'!$B$7:$B$2506,$A11,'Dataset 1'!$J$7:$J$2506,BP$5)</f>
        <v>0</v>
      </c>
      <c r="BQ11" s="83">
        <f>SUMIFS('Dataset 1'!$E$7:$E$2506,'Dataset 1'!$B$7:$B$2506,$A11,'Dataset 1'!$J$7:$J$2506,BQ$5)</f>
        <v>0</v>
      </c>
      <c r="BR11" s="83">
        <f>SUMIFS('Dataset 1'!$E$7:$E$2506,'Dataset 1'!$B$7:$B$2506,$A11,'Dataset 1'!$J$7:$J$2506,BR$5)</f>
        <v>350</v>
      </c>
      <c r="BS11" s="83">
        <f>SUMIFS('Dataset 1'!$E$7:$E$2506,'Dataset 1'!$B$7:$B$2506,$A11,'Dataset 1'!$J$7:$J$2506,BS$5)</f>
        <v>0</v>
      </c>
      <c r="BT11" s="83">
        <f>SUMIFS('Dataset 1'!$E$7:$E$2506,'Dataset 1'!$B$7:$B$2506,$A11,'Dataset 1'!$J$7:$J$2506,BT$5)</f>
        <v>0</v>
      </c>
      <c r="BU11" s="83">
        <f>SUMIFS('Dataset 1'!$E$7:$E$2506,'Dataset 1'!$B$7:$B$2506,$A11,'Dataset 1'!$J$7:$J$2506,BU$5)</f>
        <v>0</v>
      </c>
      <c r="BV11" s="83">
        <f>SUMIFS('Dataset 1'!$E$7:$E$2506,'Dataset 1'!$B$7:$B$2506,$A11,'Dataset 1'!$J$7:$J$2506,BV$5)</f>
        <v>0</v>
      </c>
      <c r="BW11" s="83">
        <f>SUMIFS('Dataset 1'!$E$7:$E$2506,'Dataset 1'!$B$7:$B$2506,$A11,'Dataset 1'!$J$7:$J$2506,BW$5)</f>
        <v>0</v>
      </c>
      <c r="BX11" s="83">
        <f>SUMIFS('Dataset 1'!$E$7:$E$2506,'Dataset 1'!$B$7:$B$2506,$A11,'Dataset 1'!$J$7:$J$2506,BX$5)</f>
        <v>0</v>
      </c>
      <c r="BY11" s="83">
        <f>SUMIFS('Dataset 1'!$E$7:$E$2506,'Dataset 1'!$B$7:$B$2506,$A11,'Dataset 1'!$J$7:$J$2506,BY$5)</f>
        <v>0</v>
      </c>
      <c r="BZ11" s="83">
        <f>SUMIFS('Dataset 1'!$E$7:$E$2506,'Dataset 1'!$B$7:$B$2506,$A11,'Dataset 1'!$J$7:$J$2506,BZ$5)</f>
        <v>0</v>
      </c>
      <c r="CA11" s="83">
        <f>SUMIFS('Dataset 1'!$E$7:$E$2506,'Dataset 1'!$B$7:$B$2506,$A11,'Dataset 1'!$J$7:$J$2506,CA$5)</f>
        <v>0</v>
      </c>
      <c r="CB11" s="83">
        <f>SUMIFS('Dataset 1'!$E$7:$E$2506,'Dataset 1'!$B$7:$B$2506,$A11,'Dataset 1'!$J$7:$J$2506,CB$5)</f>
        <v>1480</v>
      </c>
      <c r="CC11" s="83">
        <f>SUMIFS('Dataset 1'!$E$7:$E$2506,'Dataset 1'!$B$7:$B$2506,$A11,'Dataset 1'!$J$7:$J$2506,CC$5)</f>
        <v>0</v>
      </c>
      <c r="CD11" s="83">
        <f>SUMIFS('Dataset 1'!$E$7:$E$2506,'Dataset 1'!$B$7:$B$2506,$A11,'Dataset 1'!$J$7:$J$2506,CD$5)</f>
        <v>0</v>
      </c>
      <c r="CE11" s="83">
        <f>SUMIFS('Dataset 1'!$E$7:$E$2506,'Dataset 1'!$B$7:$B$2506,$A11,'Dataset 1'!$J$7:$J$2506,CE$5)</f>
        <v>270</v>
      </c>
      <c r="CF11" s="83">
        <f>SUMIFS('Dataset 1'!$E$7:$E$2506,'Dataset 1'!$B$7:$B$2506,$A11,'Dataset 1'!$J$7:$J$2506,CF$5)</f>
        <v>0</v>
      </c>
      <c r="CG11" s="83">
        <f>SUMIFS('Dataset 1'!$E$7:$E$2506,'Dataset 1'!$B$7:$B$2506,$A11,'Dataset 1'!$J$7:$J$2506,CG$5)</f>
        <v>0</v>
      </c>
      <c r="CH11" s="83">
        <f>SUMIFS('Dataset 1'!$E$7:$E$2506,'Dataset 1'!$B$7:$B$2506,$A11,'Dataset 1'!$J$7:$J$2506,CH$5)</f>
        <v>4680</v>
      </c>
      <c r="CI11" s="83">
        <f>SUMIFS('Dataset 1'!$E$7:$E$2506,'Dataset 1'!$B$7:$B$2506,$A11,'Dataset 1'!$J$7:$J$2506,CI$5)</f>
        <v>340</v>
      </c>
      <c r="CJ11" s="83">
        <f>SUMIFS('Dataset 1'!$E$7:$E$2506,'Dataset 1'!$B$7:$B$2506,$A11,'Dataset 1'!$J$7:$J$2506,CJ$5)</f>
        <v>0</v>
      </c>
      <c r="CK11" s="83">
        <f>SUMIFS('Dataset 1'!$E$7:$E$2506,'Dataset 1'!$B$7:$B$2506,$A11,'Dataset 1'!$J$7:$J$2506,CK$5)</f>
        <v>380</v>
      </c>
      <c r="CL11" s="83">
        <f>SUMIFS('Dataset 1'!$E$7:$E$2506,'Dataset 1'!$B$7:$B$2506,$A11,'Dataset 1'!$J$7:$J$2506,CL$5)</f>
        <v>0</v>
      </c>
      <c r="CM11" s="83">
        <f>SUMIFS('Dataset 1'!$E$7:$E$2506,'Dataset 1'!$B$7:$B$2506,$A11,'Dataset 1'!$J$7:$J$2506,CM$5)</f>
        <v>0</v>
      </c>
      <c r="CN11" s="83">
        <f>SUMIFS('Dataset 1'!$E$7:$E$2506,'Dataset 1'!$B$7:$B$2506,$A11,'Dataset 1'!$J$7:$J$2506,CN$5)</f>
        <v>0</v>
      </c>
      <c r="CO11" s="83">
        <f>SUMIFS('Dataset 1'!$E$7:$E$2506,'Dataset 1'!$B$7:$B$2506,$A11,'Dataset 1'!$J$7:$J$2506,CO$5)</f>
        <v>0</v>
      </c>
      <c r="CP11" s="83">
        <f>SUMIFS('Dataset 1'!$E$7:$E$2506,'Dataset 1'!$B$7:$B$2506,$A11,'Dataset 1'!$J$7:$J$2506,CP$5)</f>
        <v>0</v>
      </c>
      <c r="CQ11" s="83">
        <f>SUMIFS('Dataset 1'!$E$7:$E$2506,'Dataset 1'!$B$7:$B$2506,$A11,'Dataset 1'!$J$7:$J$2506,CQ$5)</f>
        <v>0</v>
      </c>
      <c r="CR11" s="83">
        <f>SUMIFS('Dataset 1'!$E$7:$E$2506,'Dataset 1'!$B$7:$B$2506,$A11,'Dataset 1'!$J$7:$J$2506,CR$5)</f>
        <v>0</v>
      </c>
      <c r="CS11" s="83">
        <f>SUMIFS('Dataset 1'!$E$7:$E$2506,'Dataset 1'!$B$7:$B$2506,$A11,'Dataset 1'!$J$7:$J$2506,CS$5)</f>
        <v>0</v>
      </c>
      <c r="CT11" s="83">
        <f>SUMIFS('Dataset 1'!$E$7:$E$2506,'Dataset 1'!$B$7:$B$2506,$A11,'Dataset 1'!$J$7:$J$2506,CT$5)</f>
        <v>0</v>
      </c>
      <c r="CU11" s="83">
        <f>SUMIFS('Dataset 1'!$E$7:$E$2506,'Dataset 1'!$B$7:$B$2506,$A11,'Dataset 1'!$J$7:$J$2506,CU$5)</f>
        <v>830</v>
      </c>
      <c r="CV11" s="83">
        <f>SUMIFS('Dataset 1'!$E$7:$E$2506,'Dataset 1'!$B$7:$B$2506,$A11,'Dataset 1'!$J$7:$J$2506,CV$5)</f>
        <v>0</v>
      </c>
      <c r="CW11" s="83">
        <f>SUMIFS('Dataset 1'!$E$7:$E$2506,'Dataset 1'!$B$7:$B$2506,$A11,'Dataset 1'!$J$7:$J$2506,CW$5)</f>
        <v>0</v>
      </c>
      <c r="CX11" s="83">
        <f>SUMIFS('Dataset 1'!$E$7:$E$2506,'Dataset 1'!$B$7:$B$2506,$A11,'Dataset 1'!$J$7:$J$2506,CX$5)</f>
        <v>0</v>
      </c>
      <c r="CY11" s="83">
        <f>SUMIFS('Dataset 1'!$E$7:$E$2506,'Dataset 1'!$B$7:$B$2506,$A11,'Dataset 1'!$J$7:$J$2506,CY$5)</f>
        <v>0</v>
      </c>
      <c r="CZ11" s="83">
        <f>SUMIFS('Dataset 1'!$E$7:$E$2506,'Dataset 1'!$B$7:$B$2506,$A11,'Dataset 1'!$J$7:$J$2506,CZ$5)</f>
        <v>0</v>
      </c>
      <c r="DA11" s="83">
        <f>SUMIFS('Dataset 1'!$E$7:$E$2506,'Dataset 1'!$B$7:$B$2506,$A11,'Dataset 1'!$J$7:$J$2506,DA$5)</f>
        <v>260</v>
      </c>
      <c r="DB11" s="83">
        <f>SUMIFS('Dataset 1'!$E$7:$E$2506,'Dataset 1'!$B$7:$B$2506,$A11,'Dataset 1'!$J$7:$J$2506,DB$5)</f>
        <v>0</v>
      </c>
      <c r="DC11" s="83">
        <f>SUMIFS('Dataset 1'!$E$7:$E$2506,'Dataset 1'!$B$7:$B$2506,$A11,'Dataset 1'!$J$7:$J$2506,DC$5)</f>
        <v>0</v>
      </c>
      <c r="DD11" s="83">
        <f>SUMIFS('Dataset 1'!$E$7:$E$2506,'Dataset 1'!$B$7:$B$2506,$A11,'Dataset 1'!$J$7:$J$2506,DD$5)</f>
        <v>0</v>
      </c>
      <c r="DE11" s="83">
        <f>SUMIFS('Dataset 1'!$E$7:$E$2506,'Dataset 1'!$B$7:$B$2506,$A11,'Dataset 1'!$J$7:$J$2506,DE$5)</f>
        <v>0</v>
      </c>
      <c r="DF11" s="83">
        <f>SUMIFS('Dataset 1'!$E$7:$E$2506,'Dataset 1'!$B$7:$B$2506,$A11,'Dataset 1'!$J$7:$J$2506,DF$5)</f>
        <v>450</v>
      </c>
      <c r="DG11" s="83">
        <f>SUMIFS('Dataset 1'!$E$7:$E$2506,'Dataset 1'!$B$7:$B$2506,$A11,'Dataset 1'!$J$7:$J$2506,DG$5)</f>
        <v>1090</v>
      </c>
      <c r="DH11" s="83">
        <f>SUMIFS('Dataset 1'!$E$7:$E$2506,'Dataset 1'!$B$7:$B$2506,$A11,'Dataset 1'!$J$7:$J$2506,DH$5)</f>
        <v>0</v>
      </c>
      <c r="DI11" s="83">
        <f>SUMIFS('Dataset 1'!$E$7:$E$2506,'Dataset 1'!$B$7:$B$2506,$A11,'Dataset 1'!$J$7:$J$2506,DI$5)</f>
        <v>0</v>
      </c>
      <c r="DJ11" s="83">
        <f>SUMIFS('Dataset 1'!$E$7:$E$2506,'Dataset 1'!$B$7:$B$2506,$A11,'Dataset 1'!$J$7:$J$2506,DJ$5)</f>
        <v>0</v>
      </c>
      <c r="DK11" s="83">
        <f>SUMIFS('Dataset 1'!$E$7:$E$2506,'Dataset 1'!$B$7:$B$2506,$A11,'Dataset 1'!$J$7:$J$2506,DK$5)</f>
        <v>0</v>
      </c>
      <c r="DL11" s="83">
        <f>SUMIFS('Dataset 1'!$E$7:$E$2506,'Dataset 1'!$B$7:$B$2506,$A11,'Dataset 1'!$J$7:$J$2506,DL$5)</f>
        <v>2700</v>
      </c>
      <c r="DM11" s="83">
        <f>SUMIFS('Dataset 1'!$E$7:$E$2506,'Dataset 1'!$B$7:$B$2506,$A11,'Dataset 1'!$J$7:$J$2506,DM$5)</f>
        <v>0</v>
      </c>
      <c r="DN11" s="83">
        <f>SUMIFS('Dataset 1'!$E$7:$E$2506,'Dataset 1'!$B$7:$B$2506,$A11,'Dataset 1'!$J$7:$J$2506,DN$5)</f>
        <v>1480</v>
      </c>
      <c r="DO11" s="83">
        <f>SUMIFS('Dataset 1'!$E$7:$E$2506,'Dataset 1'!$B$7:$B$2506,$A11,'Dataset 1'!$J$7:$J$2506,DO$5)</f>
        <v>0</v>
      </c>
      <c r="DP11" s="83">
        <f>SUMIFS('Dataset 1'!$E$7:$E$2506,'Dataset 1'!$B$7:$B$2506,$A11,'Dataset 1'!$J$7:$J$2506,DP$5)</f>
        <v>0</v>
      </c>
      <c r="DQ11" s="83">
        <f>SUMIFS('Dataset 1'!$E$7:$E$2506,'Dataset 1'!$B$7:$B$2506,$A11,'Dataset 1'!$J$7:$J$2506,DQ$5)</f>
        <v>0</v>
      </c>
      <c r="DR11" s="83">
        <f>SUMIFS('Dataset 1'!$E$7:$E$2506,'Dataset 1'!$B$7:$B$2506,$A11,'Dataset 1'!$J$7:$J$2506,DR$5)</f>
        <v>500</v>
      </c>
      <c r="DS11" s="83">
        <f>SUMIFS('Dataset 1'!$E$7:$E$2506,'Dataset 1'!$B$7:$B$2506,$A11,'Dataset 1'!$J$7:$J$2506,DS$5)</f>
        <v>0</v>
      </c>
      <c r="DT11" s="83">
        <f>SUMIFS('Dataset 1'!$E$7:$E$2506,'Dataset 1'!$B$7:$B$2506,$A11,'Dataset 1'!$J$7:$J$2506,DT$5)</f>
        <v>0</v>
      </c>
      <c r="DU11" s="83">
        <f>SUMIFS('Dataset 1'!$E$7:$E$2506,'Dataset 1'!$B$7:$B$2506,$A11,'Dataset 1'!$J$7:$J$2506,DU$5)</f>
        <v>0</v>
      </c>
      <c r="DV11" s="83">
        <f>SUMIFS('Dataset 1'!$E$7:$E$2506,'Dataset 1'!$B$7:$B$2506,$A11,'Dataset 1'!$J$7:$J$2506,DV$5)</f>
        <v>0</v>
      </c>
      <c r="DW11" s="83">
        <f>SUMIFS('Dataset 1'!$E$7:$E$2506,'Dataset 1'!$B$7:$B$2506,$A11,'Dataset 1'!$J$7:$J$2506,DW$5)</f>
        <v>0</v>
      </c>
      <c r="DX11" s="83">
        <f>SUMIFS('Dataset 1'!$E$7:$E$2506,'Dataset 1'!$B$7:$B$2506,$A11,'Dataset 1'!$J$7:$J$2506,DX$5)</f>
        <v>0</v>
      </c>
      <c r="DY11" s="83">
        <f>SUMIFS('Dataset 1'!$E$7:$E$2506,'Dataset 1'!$B$7:$B$2506,$A11,'Dataset 1'!$J$7:$J$2506,DY$5)</f>
        <v>8820</v>
      </c>
      <c r="DZ11" s="83">
        <f>SUMIFS('Dataset 1'!$E$7:$E$2506,'Dataset 1'!$B$7:$B$2506,$A11,'Dataset 1'!$J$7:$J$2506,DZ$5)</f>
        <v>0</v>
      </c>
      <c r="EA11" s="83">
        <f>SUMIFS('Dataset 1'!$E$7:$E$2506,'Dataset 1'!$B$7:$B$2506,$A11,'Dataset 1'!$J$7:$J$2506,EA$5)</f>
        <v>0</v>
      </c>
      <c r="EB11" s="83">
        <f>SUMIFS('Dataset 1'!$E$7:$E$2506,'Dataset 1'!$B$7:$B$2506,$A11,'Dataset 1'!$J$7:$J$2506,EB$5)</f>
        <v>300</v>
      </c>
      <c r="EC11" s="83">
        <f>SUMIFS('Dataset 1'!$E$7:$E$2506,'Dataset 1'!$B$7:$B$2506,$A11,'Dataset 1'!$J$7:$J$2506,EC$5)</f>
        <v>900</v>
      </c>
      <c r="ED11" s="83">
        <f>SUMIFS('Dataset 1'!$E$7:$E$2506,'Dataset 1'!$B$7:$B$2506,$A11,'Dataset 1'!$J$7:$J$2506,ED$5)</f>
        <v>0</v>
      </c>
      <c r="EE11" s="83">
        <f>SUMIFS('Dataset 1'!$E$7:$E$2506,'Dataset 1'!$B$7:$B$2506,$A11,'Dataset 1'!$J$7:$J$2506,EE$5)</f>
        <v>0</v>
      </c>
      <c r="EF11" s="83">
        <f>SUMIFS('Dataset 1'!$E$7:$E$2506,'Dataset 1'!$B$7:$B$2506,$A11,'Dataset 1'!$J$7:$J$2506,EF$5)</f>
        <v>0</v>
      </c>
      <c r="EG11" s="83">
        <f>SUMIFS('Dataset 1'!$E$7:$E$2506,'Dataset 1'!$B$7:$B$2506,$A11,'Dataset 1'!$J$7:$J$2506,EG$5)</f>
        <v>0</v>
      </c>
    </row>
    <row r="12" spans="1:137" x14ac:dyDescent="0.2">
      <c r="A12">
        <v>2011</v>
      </c>
      <c r="B12" s="83">
        <f>SUMIFS('Dataset 1'!$E$7:$E$2506,'Dataset 1'!$B$7:$B$2506,$A12,'Dataset 1'!$J$7:$J$2506,B$5)</f>
        <v>400</v>
      </c>
      <c r="C12" s="83">
        <f>SUMIFS('Dataset 1'!$E$7:$E$2506,'Dataset 1'!$B$7:$B$2506,$A12,'Dataset 1'!$J$7:$J$2506,C$5)</f>
        <v>0</v>
      </c>
      <c r="D12" s="83">
        <f>SUMIFS('Dataset 1'!$E$7:$E$2506,'Dataset 1'!$B$7:$B$2506,$A12,'Dataset 1'!$J$7:$J$2506,D$5)</f>
        <v>2170</v>
      </c>
      <c r="E12" s="83">
        <f>SUMIFS('Dataset 1'!$E$7:$E$2506,'Dataset 1'!$B$7:$B$2506,$A12,'Dataset 1'!$J$7:$J$2506,E$5)</f>
        <v>0</v>
      </c>
      <c r="F12" s="83">
        <f>SUMIFS('Dataset 1'!$E$7:$E$2506,'Dataset 1'!$B$7:$B$2506,$A12,'Dataset 1'!$J$7:$J$2506,F$5)</f>
        <v>1280</v>
      </c>
      <c r="G12" s="83">
        <f>SUMIFS('Dataset 1'!$E$7:$E$2506,'Dataset 1'!$B$7:$B$2506,$A12,'Dataset 1'!$J$7:$J$2506,G$5)</f>
        <v>9880</v>
      </c>
      <c r="H12" s="83">
        <f>SUMIFS('Dataset 1'!$E$7:$E$2506,'Dataset 1'!$B$7:$B$2506,$A12,'Dataset 1'!$J$7:$J$2506,H$5)</f>
        <v>140</v>
      </c>
      <c r="I12" s="83">
        <f>SUMIFS('Dataset 1'!$E$7:$E$2506,'Dataset 1'!$B$7:$B$2506,$A12,'Dataset 1'!$J$7:$J$2506,I$5)</f>
        <v>0</v>
      </c>
      <c r="J12" s="83">
        <f>SUMIFS('Dataset 1'!$E$7:$E$2506,'Dataset 1'!$B$7:$B$2506,$A12,'Dataset 1'!$J$7:$J$2506,J$5)</f>
        <v>0</v>
      </c>
      <c r="K12" s="83">
        <f>SUMIFS('Dataset 1'!$E$7:$E$2506,'Dataset 1'!$B$7:$B$2506,$A12,'Dataset 1'!$J$7:$J$2506,K$5)</f>
        <v>0</v>
      </c>
      <c r="L12" s="83">
        <f>SUMIFS('Dataset 1'!$E$7:$E$2506,'Dataset 1'!$B$7:$B$2506,$A12,'Dataset 1'!$J$7:$J$2506,L$5)</f>
        <v>0</v>
      </c>
      <c r="M12" s="83">
        <f>SUMIFS('Dataset 1'!$E$7:$E$2506,'Dataset 1'!$B$7:$B$2506,$A12,'Dataset 1'!$J$7:$J$2506,M$5)</f>
        <v>0</v>
      </c>
      <c r="N12" s="83">
        <f>SUMIFS('Dataset 1'!$E$7:$E$2506,'Dataset 1'!$B$7:$B$2506,$A12,'Dataset 1'!$J$7:$J$2506,N$5)</f>
        <v>0</v>
      </c>
      <c r="O12" s="83">
        <f>SUMIFS('Dataset 1'!$E$7:$E$2506,'Dataset 1'!$B$7:$B$2506,$A12,'Dataset 1'!$J$7:$J$2506,O$5)</f>
        <v>0</v>
      </c>
      <c r="P12" s="83">
        <f>SUMIFS('Dataset 1'!$E$7:$E$2506,'Dataset 1'!$B$7:$B$2506,$A12,'Dataset 1'!$J$7:$J$2506,P$5)</f>
        <v>0</v>
      </c>
      <c r="Q12" s="83">
        <f>SUMIFS('Dataset 1'!$E$7:$E$2506,'Dataset 1'!$B$7:$B$2506,$A12,'Dataset 1'!$J$7:$J$2506,Q$5)</f>
        <v>8220</v>
      </c>
      <c r="R12" s="83">
        <f>SUMIFS('Dataset 1'!$E$7:$E$2506,'Dataset 1'!$B$7:$B$2506,$A12,'Dataset 1'!$J$7:$J$2506,R$5)</f>
        <v>510</v>
      </c>
      <c r="S12" s="83">
        <f>SUMIFS('Dataset 1'!$E$7:$E$2506,'Dataset 1'!$B$7:$B$2506,$A12,'Dataset 1'!$J$7:$J$2506,S$5)</f>
        <v>0</v>
      </c>
      <c r="T12" s="83">
        <f>SUMIFS('Dataset 1'!$E$7:$E$2506,'Dataset 1'!$B$7:$B$2506,$A12,'Dataset 1'!$J$7:$J$2506,T$5)</f>
        <v>0</v>
      </c>
      <c r="U12" s="83">
        <f>SUMIFS('Dataset 1'!$E$7:$E$2506,'Dataset 1'!$B$7:$B$2506,$A12,'Dataset 1'!$J$7:$J$2506,U$5)</f>
        <v>500</v>
      </c>
      <c r="V12" s="83">
        <f>SUMIFS('Dataset 1'!$E$7:$E$2506,'Dataset 1'!$B$7:$B$2506,$A12,'Dataset 1'!$J$7:$J$2506,V$5)</f>
        <v>540</v>
      </c>
      <c r="W12" s="83">
        <f>SUMIFS('Dataset 1'!$E$7:$E$2506,'Dataset 1'!$B$7:$B$2506,$A12,'Dataset 1'!$J$7:$J$2506,W$5)</f>
        <v>5460</v>
      </c>
      <c r="X12" s="83">
        <f>SUMIFS('Dataset 1'!$E$7:$E$2506,'Dataset 1'!$B$7:$B$2506,$A12,'Dataset 1'!$J$7:$J$2506,X$5)</f>
        <v>0</v>
      </c>
      <c r="Y12" s="83">
        <f>SUMIFS('Dataset 1'!$E$7:$E$2506,'Dataset 1'!$B$7:$B$2506,$A12,'Dataset 1'!$J$7:$J$2506,Y$5)</f>
        <v>0</v>
      </c>
      <c r="Z12" s="83">
        <f>SUMIFS('Dataset 1'!$E$7:$E$2506,'Dataset 1'!$B$7:$B$2506,$A12,'Dataset 1'!$J$7:$J$2506,Z$5)</f>
        <v>0</v>
      </c>
      <c r="AA12" s="83">
        <f>SUMIFS('Dataset 1'!$E$7:$E$2506,'Dataset 1'!$B$7:$B$2506,$A12,'Dataset 1'!$J$7:$J$2506,AA$5)</f>
        <v>120</v>
      </c>
      <c r="AB12" s="83">
        <f>SUMIFS('Dataset 1'!$E$7:$E$2506,'Dataset 1'!$B$7:$B$2506,$A12,'Dataset 1'!$J$7:$J$2506,AB$5)</f>
        <v>0</v>
      </c>
      <c r="AC12" s="83">
        <f>SUMIFS('Dataset 1'!$E$7:$E$2506,'Dataset 1'!$B$7:$B$2506,$A12,'Dataset 1'!$J$7:$J$2506,AC$5)</f>
        <v>0</v>
      </c>
      <c r="AD12" s="83">
        <f>SUMIFS('Dataset 1'!$E$7:$E$2506,'Dataset 1'!$B$7:$B$2506,$A12,'Dataset 1'!$J$7:$J$2506,AD$5)</f>
        <v>0</v>
      </c>
      <c r="AE12" s="83">
        <f>SUMIFS('Dataset 1'!$E$7:$E$2506,'Dataset 1'!$B$7:$B$2506,$A12,'Dataset 1'!$J$7:$J$2506,AE$5)</f>
        <v>0</v>
      </c>
      <c r="AF12" s="83">
        <f>SUMIFS('Dataset 1'!$E$7:$E$2506,'Dataset 1'!$B$7:$B$2506,$A12,'Dataset 1'!$J$7:$J$2506,AF$5)</f>
        <v>1280</v>
      </c>
      <c r="AG12" s="83">
        <f>SUMIFS('Dataset 1'!$E$7:$E$2506,'Dataset 1'!$B$7:$B$2506,$A12,'Dataset 1'!$J$7:$J$2506,AG$5)</f>
        <v>0</v>
      </c>
      <c r="AH12" s="83">
        <f>SUMIFS('Dataset 1'!$E$7:$E$2506,'Dataset 1'!$B$7:$B$2506,$A12,'Dataset 1'!$J$7:$J$2506,AH$5)</f>
        <v>0</v>
      </c>
      <c r="AI12" s="83">
        <f>SUMIFS('Dataset 1'!$E$7:$E$2506,'Dataset 1'!$B$7:$B$2506,$A12,'Dataset 1'!$J$7:$J$2506,AI$5)</f>
        <v>0</v>
      </c>
      <c r="AJ12" s="83">
        <f>SUMIFS('Dataset 1'!$E$7:$E$2506,'Dataset 1'!$B$7:$B$2506,$A12,'Dataset 1'!$J$7:$J$2506,AJ$5)</f>
        <v>0</v>
      </c>
      <c r="AK12" s="83">
        <f>SUMIFS('Dataset 1'!$E$7:$E$2506,'Dataset 1'!$B$7:$B$2506,$A12,'Dataset 1'!$J$7:$J$2506,AK$5)</f>
        <v>0</v>
      </c>
      <c r="AL12" s="83">
        <f>SUMIFS('Dataset 1'!$E$7:$E$2506,'Dataset 1'!$B$7:$B$2506,$A12,'Dataset 1'!$J$7:$J$2506,AL$5)</f>
        <v>0</v>
      </c>
      <c r="AM12" s="83">
        <f>SUMIFS('Dataset 1'!$E$7:$E$2506,'Dataset 1'!$B$7:$B$2506,$A12,'Dataset 1'!$J$7:$J$2506,AM$5)</f>
        <v>0</v>
      </c>
      <c r="AN12" s="83">
        <f>SUMIFS('Dataset 1'!$E$7:$E$2506,'Dataset 1'!$B$7:$B$2506,$A12,'Dataset 1'!$J$7:$J$2506,AN$5)</f>
        <v>3750</v>
      </c>
      <c r="AO12" s="83">
        <f>SUMIFS('Dataset 1'!$E$7:$E$2506,'Dataset 1'!$B$7:$B$2506,$A12,'Dataset 1'!$J$7:$J$2506,AO$5)</f>
        <v>0</v>
      </c>
      <c r="AP12" s="83">
        <f>SUMIFS('Dataset 1'!$E$7:$E$2506,'Dataset 1'!$B$7:$B$2506,$A12,'Dataset 1'!$J$7:$J$2506,AP$5)</f>
        <v>0</v>
      </c>
      <c r="AQ12" s="83">
        <f>SUMIFS('Dataset 1'!$E$7:$E$2506,'Dataset 1'!$B$7:$B$2506,$A12,'Dataset 1'!$J$7:$J$2506,AQ$5)</f>
        <v>2040</v>
      </c>
      <c r="AR12" s="83">
        <f>SUMIFS('Dataset 1'!$E$7:$E$2506,'Dataset 1'!$B$7:$B$2506,$A12,'Dataset 1'!$J$7:$J$2506,AR$5)</f>
        <v>0</v>
      </c>
      <c r="AS12" s="83">
        <f>SUMIFS('Dataset 1'!$E$7:$E$2506,'Dataset 1'!$B$7:$B$2506,$A12,'Dataset 1'!$J$7:$J$2506,AS$5)</f>
        <v>120</v>
      </c>
      <c r="AT12" s="83">
        <f>SUMIFS('Dataset 1'!$E$7:$E$2506,'Dataset 1'!$B$7:$B$2506,$A12,'Dataset 1'!$J$7:$J$2506,AT$5)</f>
        <v>0</v>
      </c>
      <c r="AU12" s="83">
        <f>SUMIFS('Dataset 1'!$E$7:$E$2506,'Dataset 1'!$B$7:$B$2506,$A12,'Dataset 1'!$J$7:$J$2506,AU$5)</f>
        <v>0</v>
      </c>
      <c r="AV12" s="83">
        <f>SUMIFS('Dataset 1'!$E$7:$E$2506,'Dataset 1'!$B$7:$B$2506,$A12,'Dataset 1'!$J$7:$J$2506,AV$5)</f>
        <v>0</v>
      </c>
      <c r="AW12" s="83">
        <f>SUMIFS('Dataset 1'!$E$7:$E$2506,'Dataset 1'!$B$7:$B$2506,$A12,'Dataset 1'!$J$7:$J$2506,AW$5)</f>
        <v>1920</v>
      </c>
      <c r="AX12" s="83">
        <f>SUMIFS('Dataset 1'!$E$7:$E$2506,'Dataset 1'!$B$7:$B$2506,$A12,'Dataset 1'!$J$7:$J$2506,AX$5)</f>
        <v>0</v>
      </c>
      <c r="AY12" s="83">
        <f>SUMIFS('Dataset 1'!$E$7:$E$2506,'Dataset 1'!$B$7:$B$2506,$A12,'Dataset 1'!$J$7:$J$2506,AY$5)</f>
        <v>1870</v>
      </c>
      <c r="AZ12" s="83">
        <f>SUMIFS('Dataset 1'!$E$7:$E$2506,'Dataset 1'!$B$7:$B$2506,$A12,'Dataset 1'!$J$7:$J$2506,AZ$5)</f>
        <v>0</v>
      </c>
      <c r="BA12" s="83">
        <f>SUMIFS('Dataset 1'!$E$7:$E$2506,'Dataset 1'!$B$7:$B$2506,$A12,'Dataset 1'!$J$7:$J$2506,BA$5)</f>
        <v>0</v>
      </c>
      <c r="BB12" s="83">
        <f>SUMIFS('Dataset 1'!$E$7:$E$2506,'Dataset 1'!$B$7:$B$2506,$A12,'Dataset 1'!$J$7:$J$2506,BB$5)</f>
        <v>0</v>
      </c>
      <c r="BC12" s="83">
        <f>SUMIFS('Dataset 1'!$E$7:$E$2506,'Dataset 1'!$B$7:$B$2506,$A12,'Dataset 1'!$J$7:$J$2506,BC$5)</f>
        <v>0</v>
      </c>
      <c r="BD12" s="83">
        <f>SUMIFS('Dataset 1'!$E$7:$E$2506,'Dataset 1'!$B$7:$B$2506,$A12,'Dataset 1'!$J$7:$J$2506,BD$5)</f>
        <v>130</v>
      </c>
      <c r="BE12" s="83">
        <f>SUMIFS('Dataset 1'!$E$7:$E$2506,'Dataset 1'!$B$7:$B$2506,$A12,'Dataset 1'!$J$7:$J$2506,BE$5)</f>
        <v>0</v>
      </c>
      <c r="BF12" s="83">
        <f>SUMIFS('Dataset 1'!$E$7:$E$2506,'Dataset 1'!$B$7:$B$2506,$A12,'Dataset 1'!$J$7:$J$2506,BF$5)</f>
        <v>0</v>
      </c>
      <c r="BG12" s="83">
        <f>SUMIFS('Dataset 1'!$E$7:$E$2506,'Dataset 1'!$B$7:$B$2506,$A12,'Dataset 1'!$J$7:$J$2506,BG$5)</f>
        <v>1410</v>
      </c>
      <c r="BH12" s="83">
        <f>SUMIFS('Dataset 1'!$E$7:$E$2506,'Dataset 1'!$B$7:$B$2506,$A12,'Dataset 1'!$J$7:$J$2506,BH$5)</f>
        <v>0</v>
      </c>
      <c r="BI12" s="83">
        <f>SUMIFS('Dataset 1'!$E$7:$E$2506,'Dataset 1'!$B$7:$B$2506,$A12,'Dataset 1'!$J$7:$J$2506,BI$5)</f>
        <v>0</v>
      </c>
      <c r="BJ12" s="83">
        <f>SUMIFS('Dataset 1'!$E$7:$E$2506,'Dataset 1'!$B$7:$B$2506,$A12,'Dataset 1'!$J$7:$J$2506,BJ$5)</f>
        <v>0</v>
      </c>
      <c r="BK12" s="83">
        <f>SUMIFS('Dataset 1'!$E$7:$E$2506,'Dataset 1'!$B$7:$B$2506,$A12,'Dataset 1'!$J$7:$J$2506,BK$5)</f>
        <v>0</v>
      </c>
      <c r="BL12" s="83">
        <f>SUMIFS('Dataset 1'!$E$7:$E$2506,'Dataset 1'!$B$7:$B$2506,$A12,'Dataset 1'!$J$7:$J$2506,BL$5)</f>
        <v>0</v>
      </c>
      <c r="BM12" s="83">
        <f>SUMIFS('Dataset 1'!$E$7:$E$2506,'Dataset 1'!$B$7:$B$2506,$A12,'Dataset 1'!$J$7:$J$2506,BM$5)</f>
        <v>0</v>
      </c>
      <c r="BN12" s="83">
        <f>SUMIFS('Dataset 1'!$E$7:$E$2506,'Dataset 1'!$B$7:$B$2506,$A12,'Dataset 1'!$J$7:$J$2506,BN$5)</f>
        <v>0</v>
      </c>
      <c r="BO12" s="83">
        <f>SUMIFS('Dataset 1'!$E$7:$E$2506,'Dataset 1'!$B$7:$B$2506,$A12,'Dataset 1'!$J$7:$J$2506,BO$5)</f>
        <v>0</v>
      </c>
      <c r="BP12" s="83">
        <f>SUMIFS('Dataset 1'!$E$7:$E$2506,'Dataset 1'!$B$7:$B$2506,$A12,'Dataset 1'!$J$7:$J$2506,BP$5)</f>
        <v>150</v>
      </c>
      <c r="BQ12" s="83">
        <f>SUMIFS('Dataset 1'!$E$7:$E$2506,'Dataset 1'!$B$7:$B$2506,$A12,'Dataset 1'!$J$7:$J$2506,BQ$5)</f>
        <v>0</v>
      </c>
      <c r="BR12" s="83">
        <f>SUMIFS('Dataset 1'!$E$7:$E$2506,'Dataset 1'!$B$7:$B$2506,$A12,'Dataset 1'!$J$7:$J$2506,BR$5)</f>
        <v>1830</v>
      </c>
      <c r="BS12" s="83">
        <f>SUMIFS('Dataset 1'!$E$7:$E$2506,'Dataset 1'!$B$7:$B$2506,$A12,'Dataset 1'!$J$7:$J$2506,BS$5)</f>
        <v>0</v>
      </c>
      <c r="BT12" s="83">
        <f>SUMIFS('Dataset 1'!$E$7:$E$2506,'Dataset 1'!$B$7:$B$2506,$A12,'Dataset 1'!$J$7:$J$2506,BT$5)</f>
        <v>0</v>
      </c>
      <c r="BU12" s="83">
        <f>SUMIFS('Dataset 1'!$E$7:$E$2506,'Dataset 1'!$B$7:$B$2506,$A12,'Dataset 1'!$J$7:$J$2506,BU$5)</f>
        <v>0</v>
      </c>
      <c r="BV12" s="83">
        <f>SUMIFS('Dataset 1'!$E$7:$E$2506,'Dataset 1'!$B$7:$B$2506,$A12,'Dataset 1'!$J$7:$J$2506,BV$5)</f>
        <v>0</v>
      </c>
      <c r="BW12" s="83">
        <f>SUMIFS('Dataset 1'!$E$7:$E$2506,'Dataset 1'!$B$7:$B$2506,$A12,'Dataset 1'!$J$7:$J$2506,BW$5)</f>
        <v>0</v>
      </c>
      <c r="BX12" s="83">
        <f>SUMIFS('Dataset 1'!$E$7:$E$2506,'Dataset 1'!$B$7:$B$2506,$A12,'Dataset 1'!$J$7:$J$2506,BX$5)</f>
        <v>1010</v>
      </c>
      <c r="BY12" s="83">
        <f>SUMIFS('Dataset 1'!$E$7:$E$2506,'Dataset 1'!$B$7:$B$2506,$A12,'Dataset 1'!$J$7:$J$2506,BY$5)</f>
        <v>0</v>
      </c>
      <c r="BZ12" s="83">
        <f>SUMIFS('Dataset 1'!$E$7:$E$2506,'Dataset 1'!$B$7:$B$2506,$A12,'Dataset 1'!$J$7:$J$2506,BZ$5)</f>
        <v>0</v>
      </c>
      <c r="CA12" s="83">
        <f>SUMIFS('Dataset 1'!$E$7:$E$2506,'Dataset 1'!$B$7:$B$2506,$A12,'Dataset 1'!$J$7:$J$2506,CA$5)</f>
        <v>0</v>
      </c>
      <c r="CB12" s="83">
        <f>SUMIFS('Dataset 1'!$E$7:$E$2506,'Dataset 1'!$B$7:$B$2506,$A12,'Dataset 1'!$J$7:$J$2506,CB$5)</f>
        <v>0</v>
      </c>
      <c r="CC12" s="83">
        <f>SUMIFS('Dataset 1'!$E$7:$E$2506,'Dataset 1'!$B$7:$B$2506,$A12,'Dataset 1'!$J$7:$J$2506,CC$5)</f>
        <v>0</v>
      </c>
      <c r="CD12" s="83">
        <f>SUMIFS('Dataset 1'!$E$7:$E$2506,'Dataset 1'!$B$7:$B$2506,$A12,'Dataset 1'!$J$7:$J$2506,CD$5)</f>
        <v>140</v>
      </c>
      <c r="CE12" s="83">
        <f>SUMIFS('Dataset 1'!$E$7:$E$2506,'Dataset 1'!$B$7:$B$2506,$A12,'Dataset 1'!$J$7:$J$2506,CE$5)</f>
        <v>270</v>
      </c>
      <c r="CF12" s="83">
        <f>SUMIFS('Dataset 1'!$E$7:$E$2506,'Dataset 1'!$B$7:$B$2506,$A12,'Dataset 1'!$J$7:$J$2506,CF$5)</f>
        <v>0</v>
      </c>
      <c r="CG12" s="83">
        <f>SUMIFS('Dataset 1'!$E$7:$E$2506,'Dataset 1'!$B$7:$B$2506,$A12,'Dataset 1'!$J$7:$J$2506,CG$5)</f>
        <v>0</v>
      </c>
      <c r="CH12" s="83">
        <f>SUMIFS('Dataset 1'!$E$7:$E$2506,'Dataset 1'!$B$7:$B$2506,$A12,'Dataset 1'!$J$7:$J$2506,CH$5)</f>
        <v>0</v>
      </c>
      <c r="CI12" s="83">
        <f>SUMIFS('Dataset 1'!$E$7:$E$2506,'Dataset 1'!$B$7:$B$2506,$A12,'Dataset 1'!$J$7:$J$2506,CI$5)</f>
        <v>0</v>
      </c>
      <c r="CJ12" s="83">
        <f>SUMIFS('Dataset 1'!$E$7:$E$2506,'Dataset 1'!$B$7:$B$2506,$A12,'Dataset 1'!$J$7:$J$2506,CJ$5)</f>
        <v>2000</v>
      </c>
      <c r="CK12" s="83">
        <f>SUMIFS('Dataset 1'!$E$7:$E$2506,'Dataset 1'!$B$7:$B$2506,$A12,'Dataset 1'!$J$7:$J$2506,CK$5)</f>
        <v>2090</v>
      </c>
      <c r="CL12" s="83">
        <f>SUMIFS('Dataset 1'!$E$7:$E$2506,'Dataset 1'!$B$7:$B$2506,$A12,'Dataset 1'!$J$7:$J$2506,CL$5)</f>
        <v>0</v>
      </c>
      <c r="CM12" s="83">
        <f>SUMIFS('Dataset 1'!$E$7:$E$2506,'Dataset 1'!$B$7:$B$2506,$A12,'Dataset 1'!$J$7:$J$2506,CM$5)</f>
        <v>880</v>
      </c>
      <c r="CN12" s="83">
        <f>SUMIFS('Dataset 1'!$E$7:$E$2506,'Dataset 1'!$B$7:$B$2506,$A12,'Dataset 1'!$J$7:$J$2506,CN$5)</f>
        <v>0</v>
      </c>
      <c r="CO12" s="83">
        <f>SUMIFS('Dataset 1'!$E$7:$E$2506,'Dataset 1'!$B$7:$B$2506,$A12,'Dataset 1'!$J$7:$J$2506,CO$5)</f>
        <v>0</v>
      </c>
      <c r="CP12" s="83">
        <f>SUMIFS('Dataset 1'!$E$7:$E$2506,'Dataset 1'!$B$7:$B$2506,$A12,'Dataset 1'!$J$7:$J$2506,CP$5)</f>
        <v>0</v>
      </c>
      <c r="CQ12" s="83">
        <f>SUMIFS('Dataset 1'!$E$7:$E$2506,'Dataset 1'!$B$7:$B$2506,$A12,'Dataset 1'!$J$7:$J$2506,CQ$5)</f>
        <v>0</v>
      </c>
      <c r="CR12" s="83">
        <f>SUMIFS('Dataset 1'!$E$7:$E$2506,'Dataset 1'!$B$7:$B$2506,$A12,'Dataset 1'!$J$7:$J$2506,CR$5)</f>
        <v>0</v>
      </c>
      <c r="CS12" s="83">
        <f>SUMIFS('Dataset 1'!$E$7:$E$2506,'Dataset 1'!$B$7:$B$2506,$A12,'Dataset 1'!$J$7:$J$2506,CS$5)</f>
        <v>3510</v>
      </c>
      <c r="CT12" s="83">
        <f>SUMIFS('Dataset 1'!$E$7:$E$2506,'Dataset 1'!$B$7:$B$2506,$A12,'Dataset 1'!$J$7:$J$2506,CT$5)</f>
        <v>0</v>
      </c>
      <c r="CU12" s="83">
        <f>SUMIFS('Dataset 1'!$E$7:$E$2506,'Dataset 1'!$B$7:$B$2506,$A12,'Dataset 1'!$J$7:$J$2506,CU$5)</f>
        <v>2940</v>
      </c>
      <c r="CV12" s="83">
        <f>SUMIFS('Dataset 1'!$E$7:$E$2506,'Dataset 1'!$B$7:$B$2506,$A12,'Dataset 1'!$J$7:$J$2506,CV$5)</f>
        <v>0</v>
      </c>
      <c r="CW12" s="83">
        <f>SUMIFS('Dataset 1'!$E$7:$E$2506,'Dataset 1'!$B$7:$B$2506,$A12,'Dataset 1'!$J$7:$J$2506,CW$5)</f>
        <v>0</v>
      </c>
      <c r="CX12" s="83">
        <f>SUMIFS('Dataset 1'!$E$7:$E$2506,'Dataset 1'!$B$7:$B$2506,$A12,'Dataset 1'!$J$7:$J$2506,CX$5)</f>
        <v>0</v>
      </c>
      <c r="CY12" s="83">
        <f>SUMIFS('Dataset 1'!$E$7:$E$2506,'Dataset 1'!$B$7:$B$2506,$A12,'Dataset 1'!$J$7:$J$2506,CY$5)</f>
        <v>3710</v>
      </c>
      <c r="CZ12" s="83">
        <f>SUMIFS('Dataset 1'!$E$7:$E$2506,'Dataset 1'!$B$7:$B$2506,$A12,'Dataset 1'!$J$7:$J$2506,CZ$5)</f>
        <v>0</v>
      </c>
      <c r="DA12" s="83">
        <f>SUMIFS('Dataset 1'!$E$7:$E$2506,'Dataset 1'!$B$7:$B$2506,$A12,'Dataset 1'!$J$7:$J$2506,DA$5)</f>
        <v>1490</v>
      </c>
      <c r="DB12" s="83">
        <f>SUMIFS('Dataset 1'!$E$7:$E$2506,'Dataset 1'!$B$7:$B$2506,$A12,'Dataset 1'!$J$7:$J$2506,DB$5)</f>
        <v>1260</v>
      </c>
      <c r="DC12" s="83">
        <f>SUMIFS('Dataset 1'!$E$7:$E$2506,'Dataset 1'!$B$7:$B$2506,$A12,'Dataset 1'!$J$7:$J$2506,DC$5)</f>
        <v>0</v>
      </c>
      <c r="DD12" s="83">
        <f>SUMIFS('Dataset 1'!$E$7:$E$2506,'Dataset 1'!$B$7:$B$2506,$A12,'Dataset 1'!$J$7:$J$2506,DD$5)</f>
        <v>0</v>
      </c>
      <c r="DE12" s="83">
        <f>SUMIFS('Dataset 1'!$E$7:$E$2506,'Dataset 1'!$B$7:$B$2506,$A12,'Dataset 1'!$J$7:$J$2506,DE$5)</f>
        <v>0</v>
      </c>
      <c r="DF12" s="83">
        <f>SUMIFS('Dataset 1'!$E$7:$E$2506,'Dataset 1'!$B$7:$B$2506,$A12,'Dataset 1'!$J$7:$J$2506,DF$5)</f>
        <v>2330</v>
      </c>
      <c r="DG12" s="83">
        <f>SUMIFS('Dataset 1'!$E$7:$E$2506,'Dataset 1'!$B$7:$B$2506,$A12,'Dataset 1'!$J$7:$J$2506,DG$5)</f>
        <v>0</v>
      </c>
      <c r="DH12" s="83">
        <f>SUMIFS('Dataset 1'!$E$7:$E$2506,'Dataset 1'!$B$7:$B$2506,$A12,'Dataset 1'!$J$7:$J$2506,DH$5)</f>
        <v>500</v>
      </c>
      <c r="DI12" s="83">
        <f>SUMIFS('Dataset 1'!$E$7:$E$2506,'Dataset 1'!$B$7:$B$2506,$A12,'Dataset 1'!$J$7:$J$2506,DI$5)</f>
        <v>280</v>
      </c>
      <c r="DJ12" s="83">
        <f>SUMIFS('Dataset 1'!$E$7:$E$2506,'Dataset 1'!$B$7:$B$2506,$A12,'Dataset 1'!$J$7:$J$2506,DJ$5)</f>
        <v>0</v>
      </c>
      <c r="DK12" s="83">
        <f>SUMIFS('Dataset 1'!$E$7:$E$2506,'Dataset 1'!$B$7:$B$2506,$A12,'Dataset 1'!$J$7:$J$2506,DK$5)</f>
        <v>0</v>
      </c>
      <c r="DL12" s="83">
        <f>SUMIFS('Dataset 1'!$E$7:$E$2506,'Dataset 1'!$B$7:$B$2506,$A12,'Dataset 1'!$J$7:$J$2506,DL$5)</f>
        <v>0</v>
      </c>
      <c r="DM12" s="83">
        <f>SUMIFS('Dataset 1'!$E$7:$E$2506,'Dataset 1'!$B$7:$B$2506,$A12,'Dataset 1'!$J$7:$J$2506,DM$5)</f>
        <v>100</v>
      </c>
      <c r="DN12" s="83">
        <f>SUMIFS('Dataset 1'!$E$7:$E$2506,'Dataset 1'!$B$7:$B$2506,$A12,'Dataset 1'!$J$7:$J$2506,DN$5)</f>
        <v>0</v>
      </c>
      <c r="DO12" s="83">
        <f>SUMIFS('Dataset 1'!$E$7:$E$2506,'Dataset 1'!$B$7:$B$2506,$A12,'Dataset 1'!$J$7:$J$2506,DO$5)</f>
        <v>0</v>
      </c>
      <c r="DP12" s="83">
        <f>SUMIFS('Dataset 1'!$E$7:$E$2506,'Dataset 1'!$B$7:$B$2506,$A12,'Dataset 1'!$J$7:$J$2506,DP$5)</f>
        <v>0</v>
      </c>
      <c r="DQ12" s="83">
        <f>SUMIFS('Dataset 1'!$E$7:$E$2506,'Dataset 1'!$B$7:$B$2506,$A12,'Dataset 1'!$J$7:$J$2506,DQ$5)</f>
        <v>0</v>
      </c>
      <c r="DR12" s="83">
        <f>SUMIFS('Dataset 1'!$E$7:$E$2506,'Dataset 1'!$B$7:$B$2506,$A12,'Dataset 1'!$J$7:$J$2506,DR$5)</f>
        <v>100</v>
      </c>
      <c r="DS12" s="83">
        <f>SUMIFS('Dataset 1'!$E$7:$E$2506,'Dataset 1'!$B$7:$B$2506,$A12,'Dataset 1'!$J$7:$J$2506,DS$5)</f>
        <v>0</v>
      </c>
      <c r="DT12" s="83">
        <f>SUMIFS('Dataset 1'!$E$7:$E$2506,'Dataset 1'!$B$7:$B$2506,$A12,'Dataset 1'!$J$7:$J$2506,DT$5)</f>
        <v>850</v>
      </c>
      <c r="DU12" s="83">
        <f>SUMIFS('Dataset 1'!$E$7:$E$2506,'Dataset 1'!$B$7:$B$2506,$A12,'Dataset 1'!$J$7:$J$2506,DU$5)</f>
        <v>0</v>
      </c>
      <c r="DV12" s="83">
        <f>SUMIFS('Dataset 1'!$E$7:$E$2506,'Dataset 1'!$B$7:$B$2506,$A12,'Dataset 1'!$J$7:$J$2506,DV$5)</f>
        <v>0</v>
      </c>
      <c r="DW12" s="83">
        <f>SUMIFS('Dataset 1'!$E$7:$E$2506,'Dataset 1'!$B$7:$B$2506,$A12,'Dataset 1'!$J$7:$J$2506,DW$5)</f>
        <v>0</v>
      </c>
      <c r="DX12" s="83">
        <f>SUMIFS('Dataset 1'!$E$7:$E$2506,'Dataset 1'!$B$7:$B$2506,$A12,'Dataset 1'!$J$7:$J$2506,DX$5)</f>
        <v>0</v>
      </c>
      <c r="DY12" s="83">
        <f>SUMIFS('Dataset 1'!$E$7:$E$2506,'Dataset 1'!$B$7:$B$2506,$A12,'Dataset 1'!$J$7:$J$2506,DY$5)</f>
        <v>2170</v>
      </c>
      <c r="DZ12" s="83">
        <f>SUMIFS('Dataset 1'!$E$7:$E$2506,'Dataset 1'!$B$7:$B$2506,$A12,'Dataset 1'!$J$7:$J$2506,DZ$5)</f>
        <v>0</v>
      </c>
      <c r="EA12" s="83">
        <f>SUMIFS('Dataset 1'!$E$7:$E$2506,'Dataset 1'!$B$7:$B$2506,$A12,'Dataset 1'!$J$7:$J$2506,EA$5)</f>
        <v>0</v>
      </c>
      <c r="EB12" s="83">
        <f>SUMIFS('Dataset 1'!$E$7:$E$2506,'Dataset 1'!$B$7:$B$2506,$A12,'Dataset 1'!$J$7:$J$2506,EB$5)</f>
        <v>0</v>
      </c>
      <c r="EC12" s="83">
        <f>SUMIFS('Dataset 1'!$E$7:$E$2506,'Dataset 1'!$B$7:$B$2506,$A12,'Dataset 1'!$J$7:$J$2506,EC$5)</f>
        <v>200</v>
      </c>
      <c r="ED12" s="83">
        <f>SUMIFS('Dataset 1'!$E$7:$E$2506,'Dataset 1'!$B$7:$B$2506,$A12,'Dataset 1'!$J$7:$J$2506,ED$5)</f>
        <v>460</v>
      </c>
      <c r="EE12" s="83">
        <f>SUMIFS('Dataset 1'!$E$7:$E$2506,'Dataset 1'!$B$7:$B$2506,$A12,'Dataset 1'!$J$7:$J$2506,EE$5)</f>
        <v>0</v>
      </c>
      <c r="EF12" s="83">
        <f>SUMIFS('Dataset 1'!$E$7:$E$2506,'Dataset 1'!$B$7:$B$2506,$A12,'Dataset 1'!$J$7:$J$2506,EF$5)</f>
        <v>0</v>
      </c>
      <c r="EG12" s="83">
        <f>SUMIFS('Dataset 1'!$E$7:$E$2506,'Dataset 1'!$B$7:$B$2506,$A12,'Dataset 1'!$J$7:$J$2506,EG$5)</f>
        <v>500</v>
      </c>
    </row>
    <row r="13" spans="1:137" x14ac:dyDescent="0.2">
      <c r="A13">
        <v>2012</v>
      </c>
      <c r="B13" s="83">
        <f>SUMIFS('Dataset 1'!$E$7:$E$2506,'Dataset 1'!$B$7:$B$2506,$A13,'Dataset 1'!$J$7:$J$2506,B$5)</f>
        <v>0</v>
      </c>
      <c r="C13" s="83">
        <f>SUMIFS('Dataset 1'!$E$7:$E$2506,'Dataset 1'!$B$7:$B$2506,$A13,'Dataset 1'!$J$7:$J$2506,C$5)</f>
        <v>0</v>
      </c>
      <c r="D13" s="83">
        <f>SUMIFS('Dataset 1'!$E$7:$E$2506,'Dataset 1'!$B$7:$B$2506,$A13,'Dataset 1'!$J$7:$J$2506,D$5)</f>
        <v>0</v>
      </c>
      <c r="E13" s="83">
        <f>SUMIFS('Dataset 1'!$E$7:$E$2506,'Dataset 1'!$B$7:$B$2506,$A13,'Dataset 1'!$J$7:$J$2506,E$5)</f>
        <v>0</v>
      </c>
      <c r="F13" s="83">
        <f>SUMIFS('Dataset 1'!$E$7:$E$2506,'Dataset 1'!$B$7:$B$2506,$A13,'Dataset 1'!$J$7:$J$2506,F$5)</f>
        <v>0</v>
      </c>
      <c r="G13" s="83">
        <f>SUMIFS('Dataset 1'!$E$7:$E$2506,'Dataset 1'!$B$7:$B$2506,$A13,'Dataset 1'!$J$7:$J$2506,G$5)</f>
        <v>9080</v>
      </c>
      <c r="H13" s="83">
        <f>SUMIFS('Dataset 1'!$E$7:$E$2506,'Dataset 1'!$B$7:$B$2506,$A13,'Dataset 1'!$J$7:$J$2506,H$5)</f>
        <v>0</v>
      </c>
      <c r="I13" s="83">
        <f>SUMIFS('Dataset 1'!$E$7:$E$2506,'Dataset 1'!$B$7:$B$2506,$A13,'Dataset 1'!$J$7:$J$2506,I$5)</f>
        <v>0</v>
      </c>
      <c r="J13" s="83">
        <f>SUMIFS('Dataset 1'!$E$7:$E$2506,'Dataset 1'!$B$7:$B$2506,$A13,'Dataset 1'!$J$7:$J$2506,J$5)</f>
        <v>0</v>
      </c>
      <c r="K13" s="83">
        <f>SUMIFS('Dataset 1'!$E$7:$E$2506,'Dataset 1'!$B$7:$B$2506,$A13,'Dataset 1'!$J$7:$J$2506,K$5)</f>
        <v>0</v>
      </c>
      <c r="L13" s="83">
        <f>SUMIFS('Dataset 1'!$E$7:$E$2506,'Dataset 1'!$B$7:$B$2506,$A13,'Dataset 1'!$J$7:$J$2506,L$5)</f>
        <v>0</v>
      </c>
      <c r="M13" s="83">
        <f>SUMIFS('Dataset 1'!$E$7:$E$2506,'Dataset 1'!$B$7:$B$2506,$A13,'Dataset 1'!$J$7:$J$2506,M$5)</f>
        <v>260</v>
      </c>
      <c r="N13" s="83">
        <f>SUMIFS('Dataset 1'!$E$7:$E$2506,'Dataset 1'!$B$7:$B$2506,$A13,'Dataset 1'!$J$7:$J$2506,N$5)</f>
        <v>0</v>
      </c>
      <c r="O13" s="83">
        <f>SUMIFS('Dataset 1'!$E$7:$E$2506,'Dataset 1'!$B$7:$B$2506,$A13,'Dataset 1'!$J$7:$J$2506,O$5)</f>
        <v>0</v>
      </c>
      <c r="P13" s="83">
        <f>SUMIFS('Dataset 1'!$E$7:$E$2506,'Dataset 1'!$B$7:$B$2506,$A13,'Dataset 1'!$J$7:$J$2506,P$5)</f>
        <v>0</v>
      </c>
      <c r="Q13" s="83">
        <f>SUMIFS('Dataset 1'!$E$7:$E$2506,'Dataset 1'!$B$7:$B$2506,$A13,'Dataset 1'!$J$7:$J$2506,Q$5)</f>
        <v>1750</v>
      </c>
      <c r="R13" s="83">
        <f>SUMIFS('Dataset 1'!$E$7:$E$2506,'Dataset 1'!$B$7:$B$2506,$A13,'Dataset 1'!$J$7:$J$2506,R$5)</f>
        <v>7120</v>
      </c>
      <c r="S13" s="83">
        <f>SUMIFS('Dataset 1'!$E$7:$E$2506,'Dataset 1'!$B$7:$B$2506,$A13,'Dataset 1'!$J$7:$J$2506,S$5)</f>
        <v>0</v>
      </c>
      <c r="T13" s="83">
        <f>SUMIFS('Dataset 1'!$E$7:$E$2506,'Dataset 1'!$B$7:$B$2506,$A13,'Dataset 1'!$J$7:$J$2506,T$5)</f>
        <v>0</v>
      </c>
      <c r="U13" s="83">
        <f>SUMIFS('Dataset 1'!$E$7:$E$2506,'Dataset 1'!$B$7:$B$2506,$A13,'Dataset 1'!$J$7:$J$2506,U$5)</f>
        <v>240</v>
      </c>
      <c r="V13" s="83">
        <f>SUMIFS('Dataset 1'!$E$7:$E$2506,'Dataset 1'!$B$7:$B$2506,$A13,'Dataset 1'!$J$7:$J$2506,V$5)</f>
        <v>660</v>
      </c>
      <c r="W13" s="83">
        <f>SUMIFS('Dataset 1'!$E$7:$E$2506,'Dataset 1'!$B$7:$B$2506,$A13,'Dataset 1'!$J$7:$J$2506,W$5)</f>
        <v>21570</v>
      </c>
      <c r="X13" s="83">
        <f>SUMIFS('Dataset 1'!$E$7:$E$2506,'Dataset 1'!$B$7:$B$2506,$A13,'Dataset 1'!$J$7:$J$2506,X$5)</f>
        <v>0</v>
      </c>
      <c r="Y13" s="83">
        <f>SUMIFS('Dataset 1'!$E$7:$E$2506,'Dataset 1'!$B$7:$B$2506,$A13,'Dataset 1'!$J$7:$J$2506,Y$5)</f>
        <v>190</v>
      </c>
      <c r="Z13" s="83">
        <f>SUMIFS('Dataset 1'!$E$7:$E$2506,'Dataset 1'!$B$7:$B$2506,$A13,'Dataset 1'!$J$7:$J$2506,Z$5)</f>
        <v>980</v>
      </c>
      <c r="AA13" s="83">
        <f>SUMIFS('Dataset 1'!$E$7:$E$2506,'Dataset 1'!$B$7:$B$2506,$A13,'Dataset 1'!$J$7:$J$2506,AA$5)</f>
        <v>0</v>
      </c>
      <c r="AB13" s="83">
        <f>SUMIFS('Dataset 1'!$E$7:$E$2506,'Dataset 1'!$B$7:$B$2506,$A13,'Dataset 1'!$J$7:$J$2506,AB$5)</f>
        <v>0</v>
      </c>
      <c r="AC13" s="83">
        <f>SUMIFS('Dataset 1'!$E$7:$E$2506,'Dataset 1'!$B$7:$B$2506,$A13,'Dataset 1'!$J$7:$J$2506,AC$5)</f>
        <v>0</v>
      </c>
      <c r="AD13" s="83">
        <f>SUMIFS('Dataset 1'!$E$7:$E$2506,'Dataset 1'!$B$7:$B$2506,$A13,'Dataset 1'!$J$7:$J$2506,AD$5)</f>
        <v>0</v>
      </c>
      <c r="AE13" s="83">
        <f>SUMIFS('Dataset 1'!$E$7:$E$2506,'Dataset 1'!$B$7:$B$2506,$A13,'Dataset 1'!$J$7:$J$2506,AE$5)</f>
        <v>0</v>
      </c>
      <c r="AF13" s="83">
        <f>SUMIFS('Dataset 1'!$E$7:$E$2506,'Dataset 1'!$B$7:$B$2506,$A13,'Dataset 1'!$J$7:$J$2506,AF$5)</f>
        <v>0</v>
      </c>
      <c r="AG13" s="83">
        <f>SUMIFS('Dataset 1'!$E$7:$E$2506,'Dataset 1'!$B$7:$B$2506,$A13,'Dataset 1'!$J$7:$J$2506,AG$5)</f>
        <v>0</v>
      </c>
      <c r="AH13" s="83">
        <f>SUMIFS('Dataset 1'!$E$7:$E$2506,'Dataset 1'!$B$7:$B$2506,$A13,'Dataset 1'!$J$7:$J$2506,AH$5)</f>
        <v>190</v>
      </c>
      <c r="AI13" s="83">
        <f>SUMIFS('Dataset 1'!$E$7:$E$2506,'Dataset 1'!$B$7:$B$2506,$A13,'Dataset 1'!$J$7:$J$2506,AI$5)</f>
        <v>0</v>
      </c>
      <c r="AJ13" s="83">
        <f>SUMIFS('Dataset 1'!$E$7:$E$2506,'Dataset 1'!$B$7:$B$2506,$A13,'Dataset 1'!$J$7:$J$2506,AJ$5)</f>
        <v>230</v>
      </c>
      <c r="AK13" s="83">
        <f>SUMIFS('Dataset 1'!$E$7:$E$2506,'Dataset 1'!$B$7:$B$2506,$A13,'Dataset 1'!$J$7:$J$2506,AK$5)</f>
        <v>0</v>
      </c>
      <c r="AL13" s="83">
        <f>SUMIFS('Dataset 1'!$E$7:$E$2506,'Dataset 1'!$B$7:$B$2506,$A13,'Dataset 1'!$J$7:$J$2506,AL$5)</f>
        <v>0</v>
      </c>
      <c r="AM13" s="83">
        <f>SUMIFS('Dataset 1'!$E$7:$E$2506,'Dataset 1'!$B$7:$B$2506,$A13,'Dataset 1'!$J$7:$J$2506,AM$5)</f>
        <v>0</v>
      </c>
      <c r="AN13" s="83">
        <f>SUMIFS('Dataset 1'!$E$7:$E$2506,'Dataset 1'!$B$7:$B$2506,$A13,'Dataset 1'!$J$7:$J$2506,AN$5)</f>
        <v>610</v>
      </c>
      <c r="AO13" s="83">
        <f>SUMIFS('Dataset 1'!$E$7:$E$2506,'Dataset 1'!$B$7:$B$2506,$A13,'Dataset 1'!$J$7:$J$2506,AO$5)</f>
        <v>0</v>
      </c>
      <c r="AP13" s="83">
        <f>SUMIFS('Dataset 1'!$E$7:$E$2506,'Dataset 1'!$B$7:$B$2506,$A13,'Dataset 1'!$J$7:$J$2506,AP$5)</f>
        <v>270</v>
      </c>
      <c r="AQ13" s="83">
        <f>SUMIFS('Dataset 1'!$E$7:$E$2506,'Dataset 1'!$B$7:$B$2506,$A13,'Dataset 1'!$J$7:$J$2506,AQ$5)</f>
        <v>2700</v>
      </c>
      <c r="AR13" s="83">
        <f>SUMIFS('Dataset 1'!$E$7:$E$2506,'Dataset 1'!$B$7:$B$2506,$A13,'Dataset 1'!$J$7:$J$2506,AR$5)</f>
        <v>0</v>
      </c>
      <c r="AS13" s="83">
        <f>SUMIFS('Dataset 1'!$E$7:$E$2506,'Dataset 1'!$B$7:$B$2506,$A13,'Dataset 1'!$J$7:$J$2506,AS$5)</f>
        <v>0</v>
      </c>
      <c r="AT13" s="83">
        <f>SUMIFS('Dataset 1'!$E$7:$E$2506,'Dataset 1'!$B$7:$B$2506,$A13,'Dataset 1'!$J$7:$J$2506,AT$5)</f>
        <v>1350</v>
      </c>
      <c r="AU13" s="83">
        <f>SUMIFS('Dataset 1'!$E$7:$E$2506,'Dataset 1'!$B$7:$B$2506,$A13,'Dataset 1'!$J$7:$J$2506,AU$5)</f>
        <v>0</v>
      </c>
      <c r="AV13" s="83">
        <f>SUMIFS('Dataset 1'!$E$7:$E$2506,'Dataset 1'!$B$7:$B$2506,$A13,'Dataset 1'!$J$7:$J$2506,AV$5)</f>
        <v>100</v>
      </c>
      <c r="AW13" s="83">
        <f>SUMIFS('Dataset 1'!$E$7:$E$2506,'Dataset 1'!$B$7:$B$2506,$A13,'Dataset 1'!$J$7:$J$2506,AW$5)</f>
        <v>1200</v>
      </c>
      <c r="AX13" s="83">
        <f>SUMIFS('Dataset 1'!$E$7:$E$2506,'Dataset 1'!$B$7:$B$2506,$A13,'Dataset 1'!$J$7:$J$2506,AX$5)</f>
        <v>200</v>
      </c>
      <c r="AY13" s="83">
        <f>SUMIFS('Dataset 1'!$E$7:$E$2506,'Dataset 1'!$B$7:$B$2506,$A13,'Dataset 1'!$J$7:$J$2506,AY$5)</f>
        <v>2100</v>
      </c>
      <c r="AZ13" s="83">
        <f>SUMIFS('Dataset 1'!$E$7:$E$2506,'Dataset 1'!$B$7:$B$2506,$A13,'Dataset 1'!$J$7:$J$2506,AZ$5)</f>
        <v>0</v>
      </c>
      <c r="BA13" s="83">
        <f>SUMIFS('Dataset 1'!$E$7:$E$2506,'Dataset 1'!$B$7:$B$2506,$A13,'Dataset 1'!$J$7:$J$2506,BA$5)</f>
        <v>820</v>
      </c>
      <c r="BB13" s="83">
        <f>SUMIFS('Dataset 1'!$E$7:$E$2506,'Dataset 1'!$B$7:$B$2506,$A13,'Dataset 1'!$J$7:$J$2506,BB$5)</f>
        <v>0</v>
      </c>
      <c r="BC13" s="83">
        <f>SUMIFS('Dataset 1'!$E$7:$E$2506,'Dataset 1'!$B$7:$B$2506,$A13,'Dataset 1'!$J$7:$J$2506,BC$5)</f>
        <v>0</v>
      </c>
      <c r="BD13" s="83">
        <f>SUMIFS('Dataset 1'!$E$7:$E$2506,'Dataset 1'!$B$7:$B$2506,$A13,'Dataset 1'!$J$7:$J$2506,BD$5)</f>
        <v>700</v>
      </c>
      <c r="BE13" s="83">
        <f>SUMIFS('Dataset 1'!$E$7:$E$2506,'Dataset 1'!$B$7:$B$2506,$A13,'Dataset 1'!$J$7:$J$2506,BE$5)</f>
        <v>0</v>
      </c>
      <c r="BF13" s="83">
        <f>SUMIFS('Dataset 1'!$E$7:$E$2506,'Dataset 1'!$B$7:$B$2506,$A13,'Dataset 1'!$J$7:$J$2506,BF$5)</f>
        <v>0</v>
      </c>
      <c r="BG13" s="83">
        <f>SUMIFS('Dataset 1'!$E$7:$E$2506,'Dataset 1'!$B$7:$B$2506,$A13,'Dataset 1'!$J$7:$J$2506,BG$5)</f>
        <v>0</v>
      </c>
      <c r="BH13" s="83">
        <f>SUMIFS('Dataset 1'!$E$7:$E$2506,'Dataset 1'!$B$7:$B$2506,$A13,'Dataset 1'!$J$7:$J$2506,BH$5)</f>
        <v>0</v>
      </c>
      <c r="BI13" s="83">
        <f>SUMIFS('Dataset 1'!$E$7:$E$2506,'Dataset 1'!$B$7:$B$2506,$A13,'Dataset 1'!$J$7:$J$2506,BI$5)</f>
        <v>500</v>
      </c>
      <c r="BJ13" s="83">
        <f>SUMIFS('Dataset 1'!$E$7:$E$2506,'Dataset 1'!$B$7:$B$2506,$A13,'Dataset 1'!$J$7:$J$2506,BJ$5)</f>
        <v>0</v>
      </c>
      <c r="BK13" s="83">
        <f>SUMIFS('Dataset 1'!$E$7:$E$2506,'Dataset 1'!$B$7:$B$2506,$A13,'Dataset 1'!$J$7:$J$2506,BK$5)</f>
        <v>0</v>
      </c>
      <c r="BL13" s="83">
        <f>SUMIFS('Dataset 1'!$E$7:$E$2506,'Dataset 1'!$B$7:$B$2506,$A13,'Dataset 1'!$J$7:$J$2506,BL$5)</f>
        <v>0</v>
      </c>
      <c r="BM13" s="83">
        <f>SUMIFS('Dataset 1'!$E$7:$E$2506,'Dataset 1'!$B$7:$B$2506,$A13,'Dataset 1'!$J$7:$J$2506,BM$5)</f>
        <v>520</v>
      </c>
      <c r="BN13" s="83">
        <f>SUMIFS('Dataset 1'!$E$7:$E$2506,'Dataset 1'!$B$7:$B$2506,$A13,'Dataset 1'!$J$7:$J$2506,BN$5)</f>
        <v>0</v>
      </c>
      <c r="BO13" s="83">
        <f>SUMIFS('Dataset 1'!$E$7:$E$2506,'Dataset 1'!$B$7:$B$2506,$A13,'Dataset 1'!$J$7:$J$2506,BO$5)</f>
        <v>0</v>
      </c>
      <c r="BP13" s="83">
        <f>SUMIFS('Dataset 1'!$E$7:$E$2506,'Dataset 1'!$B$7:$B$2506,$A13,'Dataset 1'!$J$7:$J$2506,BP$5)</f>
        <v>0</v>
      </c>
      <c r="BQ13" s="83">
        <f>SUMIFS('Dataset 1'!$E$7:$E$2506,'Dataset 1'!$B$7:$B$2506,$A13,'Dataset 1'!$J$7:$J$2506,BQ$5)</f>
        <v>0</v>
      </c>
      <c r="BR13" s="83">
        <f>SUMIFS('Dataset 1'!$E$7:$E$2506,'Dataset 1'!$B$7:$B$2506,$A13,'Dataset 1'!$J$7:$J$2506,BR$5)</f>
        <v>460</v>
      </c>
      <c r="BS13" s="83">
        <f>SUMIFS('Dataset 1'!$E$7:$E$2506,'Dataset 1'!$B$7:$B$2506,$A13,'Dataset 1'!$J$7:$J$2506,BS$5)</f>
        <v>0</v>
      </c>
      <c r="BT13" s="83">
        <f>SUMIFS('Dataset 1'!$E$7:$E$2506,'Dataset 1'!$B$7:$B$2506,$A13,'Dataset 1'!$J$7:$J$2506,BT$5)</f>
        <v>0</v>
      </c>
      <c r="BU13" s="83">
        <f>SUMIFS('Dataset 1'!$E$7:$E$2506,'Dataset 1'!$B$7:$B$2506,$A13,'Dataset 1'!$J$7:$J$2506,BU$5)</f>
        <v>0</v>
      </c>
      <c r="BV13" s="83">
        <f>SUMIFS('Dataset 1'!$E$7:$E$2506,'Dataset 1'!$B$7:$B$2506,$A13,'Dataset 1'!$J$7:$J$2506,BV$5)</f>
        <v>0</v>
      </c>
      <c r="BW13" s="83">
        <f>SUMIFS('Dataset 1'!$E$7:$E$2506,'Dataset 1'!$B$7:$B$2506,$A13,'Dataset 1'!$J$7:$J$2506,BW$5)</f>
        <v>0</v>
      </c>
      <c r="BX13" s="83">
        <f>SUMIFS('Dataset 1'!$E$7:$E$2506,'Dataset 1'!$B$7:$B$2506,$A13,'Dataset 1'!$J$7:$J$2506,BX$5)</f>
        <v>0</v>
      </c>
      <c r="BY13" s="83">
        <f>SUMIFS('Dataset 1'!$E$7:$E$2506,'Dataset 1'!$B$7:$B$2506,$A13,'Dataset 1'!$J$7:$J$2506,BY$5)</f>
        <v>0</v>
      </c>
      <c r="BZ13" s="83">
        <f>SUMIFS('Dataset 1'!$E$7:$E$2506,'Dataset 1'!$B$7:$B$2506,$A13,'Dataset 1'!$J$7:$J$2506,BZ$5)</f>
        <v>0</v>
      </c>
      <c r="CA13" s="83">
        <f>SUMIFS('Dataset 1'!$E$7:$E$2506,'Dataset 1'!$B$7:$B$2506,$A13,'Dataset 1'!$J$7:$J$2506,CA$5)</f>
        <v>210</v>
      </c>
      <c r="CB13" s="83">
        <f>SUMIFS('Dataset 1'!$E$7:$E$2506,'Dataset 1'!$B$7:$B$2506,$A13,'Dataset 1'!$J$7:$J$2506,CB$5)</f>
        <v>0</v>
      </c>
      <c r="CC13" s="83">
        <f>SUMIFS('Dataset 1'!$E$7:$E$2506,'Dataset 1'!$B$7:$B$2506,$A13,'Dataset 1'!$J$7:$J$2506,CC$5)</f>
        <v>0</v>
      </c>
      <c r="CD13" s="83">
        <f>SUMIFS('Dataset 1'!$E$7:$E$2506,'Dataset 1'!$B$7:$B$2506,$A13,'Dataset 1'!$J$7:$J$2506,CD$5)</f>
        <v>0</v>
      </c>
      <c r="CE13" s="83">
        <f>SUMIFS('Dataset 1'!$E$7:$E$2506,'Dataset 1'!$B$7:$B$2506,$A13,'Dataset 1'!$J$7:$J$2506,CE$5)</f>
        <v>0</v>
      </c>
      <c r="CF13" s="83">
        <f>SUMIFS('Dataset 1'!$E$7:$E$2506,'Dataset 1'!$B$7:$B$2506,$A13,'Dataset 1'!$J$7:$J$2506,CF$5)</f>
        <v>1170</v>
      </c>
      <c r="CG13" s="83">
        <f>SUMIFS('Dataset 1'!$E$7:$E$2506,'Dataset 1'!$B$7:$B$2506,$A13,'Dataset 1'!$J$7:$J$2506,CG$5)</f>
        <v>300</v>
      </c>
      <c r="CH13" s="83">
        <f>SUMIFS('Dataset 1'!$E$7:$E$2506,'Dataset 1'!$B$7:$B$2506,$A13,'Dataset 1'!$J$7:$J$2506,CH$5)</f>
        <v>0</v>
      </c>
      <c r="CI13" s="83">
        <f>SUMIFS('Dataset 1'!$E$7:$E$2506,'Dataset 1'!$B$7:$B$2506,$A13,'Dataset 1'!$J$7:$J$2506,CI$5)</f>
        <v>2630</v>
      </c>
      <c r="CJ13" s="83">
        <f>SUMIFS('Dataset 1'!$E$7:$E$2506,'Dataset 1'!$B$7:$B$2506,$A13,'Dataset 1'!$J$7:$J$2506,CJ$5)</f>
        <v>0</v>
      </c>
      <c r="CK13" s="83">
        <f>SUMIFS('Dataset 1'!$E$7:$E$2506,'Dataset 1'!$B$7:$B$2506,$A13,'Dataset 1'!$J$7:$J$2506,CK$5)</f>
        <v>0</v>
      </c>
      <c r="CL13" s="83">
        <f>SUMIFS('Dataset 1'!$E$7:$E$2506,'Dataset 1'!$B$7:$B$2506,$A13,'Dataset 1'!$J$7:$J$2506,CL$5)</f>
        <v>0</v>
      </c>
      <c r="CM13" s="83">
        <f>SUMIFS('Dataset 1'!$E$7:$E$2506,'Dataset 1'!$B$7:$B$2506,$A13,'Dataset 1'!$J$7:$J$2506,CM$5)</f>
        <v>200</v>
      </c>
      <c r="CN13" s="83">
        <f>SUMIFS('Dataset 1'!$E$7:$E$2506,'Dataset 1'!$B$7:$B$2506,$A13,'Dataset 1'!$J$7:$J$2506,CN$5)</f>
        <v>0</v>
      </c>
      <c r="CO13" s="83">
        <f>SUMIFS('Dataset 1'!$E$7:$E$2506,'Dataset 1'!$B$7:$B$2506,$A13,'Dataset 1'!$J$7:$J$2506,CO$5)</f>
        <v>1090</v>
      </c>
      <c r="CP13" s="83">
        <f>SUMIFS('Dataset 1'!$E$7:$E$2506,'Dataset 1'!$B$7:$B$2506,$A13,'Dataset 1'!$J$7:$J$2506,CP$5)</f>
        <v>0</v>
      </c>
      <c r="CQ13" s="83">
        <f>SUMIFS('Dataset 1'!$E$7:$E$2506,'Dataset 1'!$B$7:$B$2506,$A13,'Dataset 1'!$J$7:$J$2506,CQ$5)</f>
        <v>0</v>
      </c>
      <c r="CR13" s="83">
        <f>SUMIFS('Dataset 1'!$E$7:$E$2506,'Dataset 1'!$B$7:$B$2506,$A13,'Dataset 1'!$J$7:$J$2506,CR$5)</f>
        <v>100</v>
      </c>
      <c r="CS13" s="83">
        <f>SUMIFS('Dataset 1'!$E$7:$E$2506,'Dataset 1'!$B$7:$B$2506,$A13,'Dataset 1'!$J$7:$J$2506,CS$5)</f>
        <v>980</v>
      </c>
      <c r="CT13" s="83">
        <f>SUMIFS('Dataset 1'!$E$7:$E$2506,'Dataset 1'!$B$7:$B$2506,$A13,'Dataset 1'!$J$7:$J$2506,CT$5)</f>
        <v>0</v>
      </c>
      <c r="CU13" s="83">
        <f>SUMIFS('Dataset 1'!$E$7:$E$2506,'Dataset 1'!$B$7:$B$2506,$A13,'Dataset 1'!$J$7:$J$2506,CU$5)</f>
        <v>2510</v>
      </c>
      <c r="CV13" s="83">
        <f>SUMIFS('Dataset 1'!$E$7:$E$2506,'Dataset 1'!$B$7:$B$2506,$A13,'Dataset 1'!$J$7:$J$2506,CV$5)</f>
        <v>0</v>
      </c>
      <c r="CW13" s="83">
        <f>SUMIFS('Dataset 1'!$E$7:$E$2506,'Dataset 1'!$B$7:$B$2506,$A13,'Dataset 1'!$J$7:$J$2506,CW$5)</f>
        <v>0</v>
      </c>
      <c r="CX13" s="83">
        <f>SUMIFS('Dataset 1'!$E$7:$E$2506,'Dataset 1'!$B$7:$B$2506,$A13,'Dataset 1'!$J$7:$J$2506,CX$5)</f>
        <v>0</v>
      </c>
      <c r="CY13" s="83">
        <f>SUMIFS('Dataset 1'!$E$7:$E$2506,'Dataset 1'!$B$7:$B$2506,$A13,'Dataset 1'!$J$7:$J$2506,CY$5)</f>
        <v>0</v>
      </c>
      <c r="CZ13" s="83">
        <f>SUMIFS('Dataset 1'!$E$7:$E$2506,'Dataset 1'!$B$7:$B$2506,$A13,'Dataset 1'!$J$7:$J$2506,CZ$5)</f>
        <v>0</v>
      </c>
      <c r="DA13" s="83">
        <f>SUMIFS('Dataset 1'!$E$7:$E$2506,'Dataset 1'!$B$7:$B$2506,$A13,'Dataset 1'!$J$7:$J$2506,DA$5)</f>
        <v>0</v>
      </c>
      <c r="DB13" s="83">
        <f>SUMIFS('Dataset 1'!$E$7:$E$2506,'Dataset 1'!$B$7:$B$2506,$A13,'Dataset 1'!$J$7:$J$2506,DB$5)</f>
        <v>150</v>
      </c>
      <c r="DC13" s="83">
        <f>SUMIFS('Dataset 1'!$E$7:$E$2506,'Dataset 1'!$B$7:$B$2506,$A13,'Dataset 1'!$J$7:$J$2506,DC$5)</f>
        <v>0</v>
      </c>
      <c r="DD13" s="83">
        <f>SUMIFS('Dataset 1'!$E$7:$E$2506,'Dataset 1'!$B$7:$B$2506,$A13,'Dataset 1'!$J$7:$J$2506,DD$5)</f>
        <v>0</v>
      </c>
      <c r="DE13" s="83">
        <f>SUMIFS('Dataset 1'!$E$7:$E$2506,'Dataset 1'!$B$7:$B$2506,$A13,'Dataset 1'!$J$7:$J$2506,DE$5)</f>
        <v>0</v>
      </c>
      <c r="DF13" s="83">
        <f>SUMIFS('Dataset 1'!$E$7:$E$2506,'Dataset 1'!$B$7:$B$2506,$A13,'Dataset 1'!$J$7:$J$2506,DF$5)</f>
        <v>480</v>
      </c>
      <c r="DG13" s="83">
        <f>SUMIFS('Dataset 1'!$E$7:$E$2506,'Dataset 1'!$B$7:$B$2506,$A13,'Dataset 1'!$J$7:$J$2506,DG$5)</f>
        <v>900</v>
      </c>
      <c r="DH13" s="83">
        <f>SUMIFS('Dataset 1'!$E$7:$E$2506,'Dataset 1'!$B$7:$B$2506,$A13,'Dataset 1'!$J$7:$J$2506,DH$5)</f>
        <v>0</v>
      </c>
      <c r="DI13" s="83">
        <f>SUMIFS('Dataset 1'!$E$7:$E$2506,'Dataset 1'!$B$7:$B$2506,$A13,'Dataset 1'!$J$7:$J$2506,DI$5)</f>
        <v>150</v>
      </c>
      <c r="DJ13" s="83">
        <f>SUMIFS('Dataset 1'!$E$7:$E$2506,'Dataset 1'!$B$7:$B$2506,$A13,'Dataset 1'!$J$7:$J$2506,DJ$5)</f>
        <v>0</v>
      </c>
      <c r="DK13" s="83">
        <f>SUMIFS('Dataset 1'!$E$7:$E$2506,'Dataset 1'!$B$7:$B$2506,$A13,'Dataset 1'!$J$7:$J$2506,DK$5)</f>
        <v>0</v>
      </c>
      <c r="DL13" s="83">
        <f>SUMIFS('Dataset 1'!$E$7:$E$2506,'Dataset 1'!$B$7:$B$2506,$A13,'Dataset 1'!$J$7:$J$2506,DL$5)</f>
        <v>0</v>
      </c>
      <c r="DM13" s="83">
        <f>SUMIFS('Dataset 1'!$E$7:$E$2506,'Dataset 1'!$B$7:$B$2506,$A13,'Dataset 1'!$J$7:$J$2506,DM$5)</f>
        <v>870</v>
      </c>
      <c r="DN13" s="83">
        <f>SUMIFS('Dataset 1'!$E$7:$E$2506,'Dataset 1'!$B$7:$B$2506,$A13,'Dataset 1'!$J$7:$J$2506,DN$5)</f>
        <v>0</v>
      </c>
      <c r="DO13" s="83">
        <f>SUMIFS('Dataset 1'!$E$7:$E$2506,'Dataset 1'!$B$7:$B$2506,$A13,'Dataset 1'!$J$7:$J$2506,DO$5)</f>
        <v>140</v>
      </c>
      <c r="DP13" s="83">
        <f>SUMIFS('Dataset 1'!$E$7:$E$2506,'Dataset 1'!$B$7:$B$2506,$A13,'Dataset 1'!$J$7:$J$2506,DP$5)</f>
        <v>520</v>
      </c>
      <c r="DQ13" s="83">
        <f>SUMIFS('Dataset 1'!$E$7:$E$2506,'Dataset 1'!$B$7:$B$2506,$A13,'Dataset 1'!$J$7:$J$2506,DQ$5)</f>
        <v>0</v>
      </c>
      <c r="DR13" s="83">
        <f>SUMIFS('Dataset 1'!$E$7:$E$2506,'Dataset 1'!$B$7:$B$2506,$A13,'Dataset 1'!$J$7:$J$2506,DR$5)</f>
        <v>270</v>
      </c>
      <c r="DS13" s="83">
        <f>SUMIFS('Dataset 1'!$E$7:$E$2506,'Dataset 1'!$B$7:$B$2506,$A13,'Dataset 1'!$J$7:$J$2506,DS$5)</f>
        <v>190</v>
      </c>
      <c r="DT13" s="83">
        <f>SUMIFS('Dataset 1'!$E$7:$E$2506,'Dataset 1'!$B$7:$B$2506,$A13,'Dataset 1'!$J$7:$J$2506,DT$5)</f>
        <v>0</v>
      </c>
      <c r="DU13" s="83">
        <f>SUMIFS('Dataset 1'!$E$7:$E$2506,'Dataset 1'!$B$7:$B$2506,$A13,'Dataset 1'!$J$7:$J$2506,DU$5)</f>
        <v>0</v>
      </c>
      <c r="DV13" s="83">
        <f>SUMIFS('Dataset 1'!$E$7:$E$2506,'Dataset 1'!$B$7:$B$2506,$A13,'Dataset 1'!$J$7:$J$2506,DV$5)</f>
        <v>850</v>
      </c>
      <c r="DW13" s="83">
        <f>SUMIFS('Dataset 1'!$E$7:$E$2506,'Dataset 1'!$B$7:$B$2506,$A13,'Dataset 1'!$J$7:$J$2506,DW$5)</f>
        <v>0</v>
      </c>
      <c r="DX13" s="83">
        <f>SUMIFS('Dataset 1'!$E$7:$E$2506,'Dataset 1'!$B$7:$B$2506,$A13,'Dataset 1'!$J$7:$J$2506,DX$5)</f>
        <v>0</v>
      </c>
      <c r="DY13" s="83">
        <f>SUMIFS('Dataset 1'!$E$7:$E$2506,'Dataset 1'!$B$7:$B$2506,$A13,'Dataset 1'!$J$7:$J$2506,DY$5)</f>
        <v>8980</v>
      </c>
      <c r="DZ13" s="83">
        <f>SUMIFS('Dataset 1'!$E$7:$E$2506,'Dataset 1'!$B$7:$B$2506,$A13,'Dataset 1'!$J$7:$J$2506,DZ$5)</f>
        <v>100</v>
      </c>
      <c r="EA13" s="83">
        <f>SUMIFS('Dataset 1'!$E$7:$E$2506,'Dataset 1'!$B$7:$B$2506,$A13,'Dataset 1'!$J$7:$J$2506,EA$5)</f>
        <v>0</v>
      </c>
      <c r="EB13" s="83">
        <f>SUMIFS('Dataset 1'!$E$7:$E$2506,'Dataset 1'!$B$7:$B$2506,$A13,'Dataset 1'!$J$7:$J$2506,EB$5)</f>
        <v>0</v>
      </c>
      <c r="EC13" s="83">
        <f>SUMIFS('Dataset 1'!$E$7:$E$2506,'Dataset 1'!$B$7:$B$2506,$A13,'Dataset 1'!$J$7:$J$2506,EC$5)</f>
        <v>0</v>
      </c>
      <c r="ED13" s="83">
        <f>SUMIFS('Dataset 1'!$E$7:$E$2506,'Dataset 1'!$B$7:$B$2506,$A13,'Dataset 1'!$J$7:$J$2506,ED$5)</f>
        <v>100</v>
      </c>
      <c r="EE13" s="83">
        <f>SUMIFS('Dataset 1'!$E$7:$E$2506,'Dataset 1'!$B$7:$B$2506,$A13,'Dataset 1'!$J$7:$J$2506,EE$5)</f>
        <v>0</v>
      </c>
      <c r="EF13" s="83">
        <f>SUMIFS('Dataset 1'!$E$7:$E$2506,'Dataset 1'!$B$7:$B$2506,$A13,'Dataset 1'!$J$7:$J$2506,EF$5)</f>
        <v>830</v>
      </c>
      <c r="EG13" s="83">
        <f>SUMIFS('Dataset 1'!$E$7:$E$2506,'Dataset 1'!$B$7:$B$2506,$A13,'Dataset 1'!$J$7:$J$2506,EG$5)</f>
        <v>0</v>
      </c>
    </row>
    <row r="14" spans="1:137" x14ac:dyDescent="0.2">
      <c r="A14">
        <v>2013</v>
      </c>
      <c r="B14" s="83">
        <f>SUMIFS('Dataset 1'!$E$7:$E$2506,'Dataset 1'!$B$7:$B$2506,$A14,'Dataset 1'!$J$7:$J$2506,B$5)</f>
        <v>0</v>
      </c>
      <c r="C14" s="83">
        <f>SUMIFS('Dataset 1'!$E$7:$E$2506,'Dataset 1'!$B$7:$B$2506,$A14,'Dataset 1'!$J$7:$J$2506,C$5)</f>
        <v>0</v>
      </c>
      <c r="D14" s="83">
        <f>SUMIFS('Dataset 1'!$E$7:$E$2506,'Dataset 1'!$B$7:$B$2506,$A14,'Dataset 1'!$J$7:$J$2506,D$5)</f>
        <v>2120</v>
      </c>
      <c r="E14" s="83">
        <f>SUMIFS('Dataset 1'!$E$7:$E$2506,'Dataset 1'!$B$7:$B$2506,$A14,'Dataset 1'!$J$7:$J$2506,E$5)</f>
        <v>0</v>
      </c>
      <c r="F14" s="83">
        <f>SUMIFS('Dataset 1'!$E$7:$E$2506,'Dataset 1'!$B$7:$B$2506,$A14,'Dataset 1'!$J$7:$J$2506,F$5)</f>
        <v>120</v>
      </c>
      <c r="G14" s="83">
        <f>SUMIFS('Dataset 1'!$E$7:$E$2506,'Dataset 1'!$B$7:$B$2506,$A14,'Dataset 1'!$J$7:$J$2506,G$5)</f>
        <v>9060</v>
      </c>
      <c r="H14" s="83">
        <f>SUMIFS('Dataset 1'!$E$7:$E$2506,'Dataset 1'!$B$7:$B$2506,$A14,'Dataset 1'!$J$7:$J$2506,H$5)</f>
        <v>0</v>
      </c>
      <c r="I14" s="83">
        <f>SUMIFS('Dataset 1'!$E$7:$E$2506,'Dataset 1'!$B$7:$B$2506,$A14,'Dataset 1'!$J$7:$J$2506,I$5)</f>
        <v>0</v>
      </c>
      <c r="J14" s="83">
        <f>SUMIFS('Dataset 1'!$E$7:$E$2506,'Dataset 1'!$B$7:$B$2506,$A14,'Dataset 1'!$J$7:$J$2506,J$5)</f>
        <v>0</v>
      </c>
      <c r="K14" s="83">
        <f>SUMIFS('Dataset 1'!$E$7:$E$2506,'Dataset 1'!$B$7:$B$2506,$A14,'Dataset 1'!$J$7:$J$2506,K$5)</f>
        <v>0</v>
      </c>
      <c r="L14" s="83">
        <f>SUMIFS('Dataset 1'!$E$7:$E$2506,'Dataset 1'!$B$7:$B$2506,$A14,'Dataset 1'!$J$7:$J$2506,L$5)</f>
        <v>0</v>
      </c>
      <c r="M14" s="83">
        <f>SUMIFS('Dataset 1'!$E$7:$E$2506,'Dataset 1'!$B$7:$B$2506,$A14,'Dataset 1'!$J$7:$J$2506,M$5)</f>
        <v>0</v>
      </c>
      <c r="N14" s="83">
        <f>SUMIFS('Dataset 1'!$E$7:$E$2506,'Dataset 1'!$B$7:$B$2506,$A14,'Dataset 1'!$J$7:$J$2506,N$5)</f>
        <v>0</v>
      </c>
      <c r="O14" s="83">
        <f>SUMIFS('Dataset 1'!$E$7:$E$2506,'Dataset 1'!$B$7:$B$2506,$A14,'Dataset 1'!$J$7:$J$2506,O$5)</f>
        <v>0</v>
      </c>
      <c r="P14" s="83">
        <f>SUMIFS('Dataset 1'!$E$7:$E$2506,'Dataset 1'!$B$7:$B$2506,$A14,'Dataset 1'!$J$7:$J$2506,P$5)</f>
        <v>0</v>
      </c>
      <c r="Q14" s="83">
        <f>SUMIFS('Dataset 1'!$E$7:$E$2506,'Dataset 1'!$B$7:$B$2506,$A14,'Dataset 1'!$J$7:$J$2506,Q$5)</f>
        <v>3020</v>
      </c>
      <c r="R14" s="83">
        <f>SUMIFS('Dataset 1'!$E$7:$E$2506,'Dataset 1'!$B$7:$B$2506,$A14,'Dataset 1'!$J$7:$J$2506,R$5)</f>
        <v>6330</v>
      </c>
      <c r="S14" s="83">
        <f>SUMIFS('Dataset 1'!$E$7:$E$2506,'Dataset 1'!$B$7:$B$2506,$A14,'Dataset 1'!$J$7:$J$2506,S$5)</f>
        <v>0</v>
      </c>
      <c r="T14" s="83">
        <f>SUMIFS('Dataset 1'!$E$7:$E$2506,'Dataset 1'!$B$7:$B$2506,$A14,'Dataset 1'!$J$7:$J$2506,T$5)</f>
        <v>0</v>
      </c>
      <c r="U14" s="83">
        <f>SUMIFS('Dataset 1'!$E$7:$E$2506,'Dataset 1'!$B$7:$B$2506,$A14,'Dataset 1'!$J$7:$J$2506,U$5)</f>
        <v>410</v>
      </c>
      <c r="V14" s="83">
        <f>SUMIFS('Dataset 1'!$E$7:$E$2506,'Dataset 1'!$B$7:$B$2506,$A14,'Dataset 1'!$J$7:$J$2506,V$5)</f>
        <v>0</v>
      </c>
      <c r="W14" s="83">
        <f>SUMIFS('Dataset 1'!$E$7:$E$2506,'Dataset 1'!$B$7:$B$2506,$A14,'Dataset 1'!$J$7:$J$2506,W$5)</f>
        <v>470</v>
      </c>
      <c r="X14" s="83">
        <f>SUMIFS('Dataset 1'!$E$7:$E$2506,'Dataset 1'!$B$7:$B$2506,$A14,'Dataset 1'!$J$7:$J$2506,X$5)</f>
        <v>0</v>
      </c>
      <c r="Y14" s="83">
        <f>SUMIFS('Dataset 1'!$E$7:$E$2506,'Dataset 1'!$B$7:$B$2506,$A14,'Dataset 1'!$J$7:$J$2506,Y$5)</f>
        <v>0</v>
      </c>
      <c r="Z14" s="83">
        <f>SUMIFS('Dataset 1'!$E$7:$E$2506,'Dataset 1'!$B$7:$B$2506,$A14,'Dataset 1'!$J$7:$J$2506,Z$5)</f>
        <v>0</v>
      </c>
      <c r="AA14" s="83">
        <f>SUMIFS('Dataset 1'!$E$7:$E$2506,'Dataset 1'!$B$7:$B$2506,$A14,'Dataset 1'!$J$7:$J$2506,AA$5)</f>
        <v>2020</v>
      </c>
      <c r="AB14" s="83">
        <f>SUMIFS('Dataset 1'!$E$7:$E$2506,'Dataset 1'!$B$7:$B$2506,$A14,'Dataset 1'!$J$7:$J$2506,AB$5)</f>
        <v>0</v>
      </c>
      <c r="AC14" s="83">
        <f>SUMIFS('Dataset 1'!$E$7:$E$2506,'Dataset 1'!$B$7:$B$2506,$A14,'Dataset 1'!$J$7:$J$2506,AC$5)</f>
        <v>0</v>
      </c>
      <c r="AD14" s="83">
        <f>SUMIFS('Dataset 1'!$E$7:$E$2506,'Dataset 1'!$B$7:$B$2506,$A14,'Dataset 1'!$J$7:$J$2506,AD$5)</f>
        <v>0</v>
      </c>
      <c r="AE14" s="83">
        <f>SUMIFS('Dataset 1'!$E$7:$E$2506,'Dataset 1'!$B$7:$B$2506,$A14,'Dataset 1'!$J$7:$J$2506,AE$5)</f>
        <v>0</v>
      </c>
      <c r="AF14" s="83">
        <f>SUMIFS('Dataset 1'!$E$7:$E$2506,'Dataset 1'!$B$7:$B$2506,$A14,'Dataset 1'!$J$7:$J$2506,AF$5)</f>
        <v>170</v>
      </c>
      <c r="AG14" s="83">
        <f>SUMIFS('Dataset 1'!$E$7:$E$2506,'Dataset 1'!$B$7:$B$2506,$A14,'Dataset 1'!$J$7:$J$2506,AG$5)</f>
        <v>0</v>
      </c>
      <c r="AH14" s="83">
        <f>SUMIFS('Dataset 1'!$E$7:$E$2506,'Dataset 1'!$B$7:$B$2506,$A14,'Dataset 1'!$J$7:$J$2506,AH$5)</f>
        <v>0</v>
      </c>
      <c r="AI14" s="83">
        <f>SUMIFS('Dataset 1'!$E$7:$E$2506,'Dataset 1'!$B$7:$B$2506,$A14,'Dataset 1'!$J$7:$J$2506,AI$5)</f>
        <v>0</v>
      </c>
      <c r="AJ14" s="83">
        <f>SUMIFS('Dataset 1'!$E$7:$E$2506,'Dataset 1'!$B$7:$B$2506,$A14,'Dataset 1'!$J$7:$J$2506,AJ$5)</f>
        <v>3100</v>
      </c>
      <c r="AK14" s="83">
        <f>SUMIFS('Dataset 1'!$E$7:$E$2506,'Dataset 1'!$B$7:$B$2506,$A14,'Dataset 1'!$J$7:$J$2506,AK$5)</f>
        <v>0</v>
      </c>
      <c r="AL14" s="83">
        <f>SUMIFS('Dataset 1'!$E$7:$E$2506,'Dataset 1'!$B$7:$B$2506,$A14,'Dataset 1'!$J$7:$J$2506,AL$5)</f>
        <v>0</v>
      </c>
      <c r="AM14" s="83">
        <f>SUMIFS('Dataset 1'!$E$7:$E$2506,'Dataset 1'!$B$7:$B$2506,$A14,'Dataset 1'!$J$7:$J$2506,AM$5)</f>
        <v>0</v>
      </c>
      <c r="AN14" s="83">
        <f>SUMIFS('Dataset 1'!$E$7:$E$2506,'Dataset 1'!$B$7:$B$2506,$A14,'Dataset 1'!$J$7:$J$2506,AN$5)</f>
        <v>890</v>
      </c>
      <c r="AO14" s="83">
        <f>SUMIFS('Dataset 1'!$E$7:$E$2506,'Dataset 1'!$B$7:$B$2506,$A14,'Dataset 1'!$J$7:$J$2506,AO$5)</f>
        <v>0</v>
      </c>
      <c r="AP14" s="83">
        <f>SUMIFS('Dataset 1'!$E$7:$E$2506,'Dataset 1'!$B$7:$B$2506,$A14,'Dataset 1'!$J$7:$J$2506,AP$5)</f>
        <v>0</v>
      </c>
      <c r="AQ14" s="83">
        <f>SUMIFS('Dataset 1'!$E$7:$E$2506,'Dataset 1'!$B$7:$B$2506,$A14,'Dataset 1'!$J$7:$J$2506,AQ$5)</f>
        <v>800</v>
      </c>
      <c r="AR14" s="83">
        <f>SUMIFS('Dataset 1'!$E$7:$E$2506,'Dataset 1'!$B$7:$B$2506,$A14,'Dataset 1'!$J$7:$J$2506,AR$5)</f>
        <v>0</v>
      </c>
      <c r="AS14" s="83">
        <f>SUMIFS('Dataset 1'!$E$7:$E$2506,'Dataset 1'!$B$7:$B$2506,$A14,'Dataset 1'!$J$7:$J$2506,AS$5)</f>
        <v>0</v>
      </c>
      <c r="AT14" s="83">
        <f>SUMIFS('Dataset 1'!$E$7:$E$2506,'Dataset 1'!$B$7:$B$2506,$A14,'Dataset 1'!$J$7:$J$2506,AT$5)</f>
        <v>0</v>
      </c>
      <c r="AU14" s="83">
        <f>SUMIFS('Dataset 1'!$E$7:$E$2506,'Dataset 1'!$B$7:$B$2506,$A14,'Dataset 1'!$J$7:$J$2506,AU$5)</f>
        <v>0</v>
      </c>
      <c r="AV14" s="83">
        <f>SUMIFS('Dataset 1'!$E$7:$E$2506,'Dataset 1'!$B$7:$B$2506,$A14,'Dataset 1'!$J$7:$J$2506,AV$5)</f>
        <v>0</v>
      </c>
      <c r="AW14" s="83">
        <f>SUMIFS('Dataset 1'!$E$7:$E$2506,'Dataset 1'!$B$7:$B$2506,$A14,'Dataset 1'!$J$7:$J$2506,AW$5)</f>
        <v>0</v>
      </c>
      <c r="AX14" s="83">
        <f>SUMIFS('Dataset 1'!$E$7:$E$2506,'Dataset 1'!$B$7:$B$2506,$A14,'Dataset 1'!$J$7:$J$2506,AX$5)</f>
        <v>0</v>
      </c>
      <c r="AY14" s="83">
        <f>SUMIFS('Dataset 1'!$E$7:$E$2506,'Dataset 1'!$B$7:$B$2506,$A14,'Dataset 1'!$J$7:$J$2506,AY$5)</f>
        <v>520</v>
      </c>
      <c r="AZ14" s="83">
        <f>SUMIFS('Dataset 1'!$E$7:$E$2506,'Dataset 1'!$B$7:$B$2506,$A14,'Dataset 1'!$J$7:$J$2506,AZ$5)</f>
        <v>0</v>
      </c>
      <c r="BA14" s="83">
        <f>SUMIFS('Dataset 1'!$E$7:$E$2506,'Dataset 1'!$B$7:$B$2506,$A14,'Dataset 1'!$J$7:$J$2506,BA$5)</f>
        <v>1250</v>
      </c>
      <c r="BB14" s="83">
        <f>SUMIFS('Dataset 1'!$E$7:$E$2506,'Dataset 1'!$B$7:$B$2506,$A14,'Dataset 1'!$J$7:$J$2506,BB$5)</f>
        <v>0</v>
      </c>
      <c r="BC14" s="83">
        <f>SUMIFS('Dataset 1'!$E$7:$E$2506,'Dataset 1'!$B$7:$B$2506,$A14,'Dataset 1'!$J$7:$J$2506,BC$5)</f>
        <v>240</v>
      </c>
      <c r="BD14" s="83">
        <f>SUMIFS('Dataset 1'!$E$7:$E$2506,'Dataset 1'!$B$7:$B$2506,$A14,'Dataset 1'!$J$7:$J$2506,BD$5)</f>
        <v>0</v>
      </c>
      <c r="BE14" s="83">
        <f>SUMIFS('Dataset 1'!$E$7:$E$2506,'Dataset 1'!$B$7:$B$2506,$A14,'Dataset 1'!$J$7:$J$2506,BE$5)</f>
        <v>0</v>
      </c>
      <c r="BF14" s="83">
        <f>SUMIFS('Dataset 1'!$E$7:$E$2506,'Dataset 1'!$B$7:$B$2506,$A14,'Dataset 1'!$J$7:$J$2506,BF$5)</f>
        <v>0</v>
      </c>
      <c r="BG14" s="83">
        <f>SUMIFS('Dataset 1'!$E$7:$E$2506,'Dataset 1'!$B$7:$B$2506,$A14,'Dataset 1'!$J$7:$J$2506,BG$5)</f>
        <v>160</v>
      </c>
      <c r="BH14" s="83">
        <f>SUMIFS('Dataset 1'!$E$7:$E$2506,'Dataset 1'!$B$7:$B$2506,$A14,'Dataset 1'!$J$7:$J$2506,BH$5)</f>
        <v>0</v>
      </c>
      <c r="BI14" s="83">
        <f>SUMIFS('Dataset 1'!$E$7:$E$2506,'Dataset 1'!$B$7:$B$2506,$A14,'Dataset 1'!$J$7:$J$2506,BI$5)</f>
        <v>5300</v>
      </c>
      <c r="BJ14" s="83">
        <f>SUMIFS('Dataset 1'!$E$7:$E$2506,'Dataset 1'!$B$7:$B$2506,$A14,'Dataset 1'!$J$7:$J$2506,BJ$5)</f>
        <v>0</v>
      </c>
      <c r="BK14" s="83">
        <f>SUMIFS('Dataset 1'!$E$7:$E$2506,'Dataset 1'!$B$7:$B$2506,$A14,'Dataset 1'!$J$7:$J$2506,BK$5)</f>
        <v>0</v>
      </c>
      <c r="BL14" s="83">
        <f>SUMIFS('Dataset 1'!$E$7:$E$2506,'Dataset 1'!$B$7:$B$2506,$A14,'Dataset 1'!$J$7:$J$2506,BL$5)</f>
        <v>0</v>
      </c>
      <c r="BM14" s="83">
        <f>SUMIFS('Dataset 1'!$E$7:$E$2506,'Dataset 1'!$B$7:$B$2506,$A14,'Dataset 1'!$J$7:$J$2506,BM$5)</f>
        <v>180</v>
      </c>
      <c r="BN14" s="83">
        <f>SUMIFS('Dataset 1'!$E$7:$E$2506,'Dataset 1'!$B$7:$B$2506,$A14,'Dataset 1'!$J$7:$J$2506,BN$5)</f>
        <v>0</v>
      </c>
      <c r="BO14" s="83">
        <f>SUMIFS('Dataset 1'!$E$7:$E$2506,'Dataset 1'!$B$7:$B$2506,$A14,'Dataset 1'!$J$7:$J$2506,BO$5)</f>
        <v>220</v>
      </c>
      <c r="BP14" s="83">
        <f>SUMIFS('Dataset 1'!$E$7:$E$2506,'Dataset 1'!$B$7:$B$2506,$A14,'Dataset 1'!$J$7:$J$2506,BP$5)</f>
        <v>0</v>
      </c>
      <c r="BQ14" s="83">
        <f>SUMIFS('Dataset 1'!$E$7:$E$2506,'Dataset 1'!$B$7:$B$2506,$A14,'Dataset 1'!$J$7:$J$2506,BQ$5)</f>
        <v>0</v>
      </c>
      <c r="BR14" s="83">
        <f>SUMIFS('Dataset 1'!$E$7:$E$2506,'Dataset 1'!$B$7:$B$2506,$A14,'Dataset 1'!$J$7:$J$2506,BR$5)</f>
        <v>3230</v>
      </c>
      <c r="BS14" s="83">
        <f>SUMIFS('Dataset 1'!$E$7:$E$2506,'Dataset 1'!$B$7:$B$2506,$A14,'Dataset 1'!$J$7:$J$2506,BS$5)</f>
        <v>0</v>
      </c>
      <c r="BT14" s="83">
        <f>SUMIFS('Dataset 1'!$E$7:$E$2506,'Dataset 1'!$B$7:$B$2506,$A14,'Dataset 1'!$J$7:$J$2506,BT$5)</f>
        <v>0</v>
      </c>
      <c r="BU14" s="83">
        <f>SUMIFS('Dataset 1'!$E$7:$E$2506,'Dataset 1'!$B$7:$B$2506,$A14,'Dataset 1'!$J$7:$J$2506,BU$5)</f>
        <v>0</v>
      </c>
      <c r="BV14" s="83">
        <f>SUMIFS('Dataset 1'!$E$7:$E$2506,'Dataset 1'!$B$7:$B$2506,$A14,'Dataset 1'!$J$7:$J$2506,BV$5)</f>
        <v>0</v>
      </c>
      <c r="BW14" s="83">
        <f>SUMIFS('Dataset 1'!$E$7:$E$2506,'Dataset 1'!$B$7:$B$2506,$A14,'Dataset 1'!$J$7:$J$2506,BW$5)</f>
        <v>280</v>
      </c>
      <c r="BX14" s="83">
        <f>SUMIFS('Dataset 1'!$E$7:$E$2506,'Dataset 1'!$B$7:$B$2506,$A14,'Dataset 1'!$J$7:$J$2506,BX$5)</f>
        <v>0</v>
      </c>
      <c r="BY14" s="83">
        <f>SUMIFS('Dataset 1'!$E$7:$E$2506,'Dataset 1'!$B$7:$B$2506,$A14,'Dataset 1'!$J$7:$J$2506,BY$5)</f>
        <v>0</v>
      </c>
      <c r="BZ14" s="83">
        <f>SUMIFS('Dataset 1'!$E$7:$E$2506,'Dataset 1'!$B$7:$B$2506,$A14,'Dataset 1'!$J$7:$J$2506,BZ$5)</f>
        <v>0</v>
      </c>
      <c r="CA14" s="83">
        <f>SUMIFS('Dataset 1'!$E$7:$E$2506,'Dataset 1'!$B$7:$B$2506,$A14,'Dataset 1'!$J$7:$J$2506,CA$5)</f>
        <v>4610</v>
      </c>
      <c r="CB14" s="83">
        <f>SUMIFS('Dataset 1'!$E$7:$E$2506,'Dataset 1'!$B$7:$B$2506,$A14,'Dataset 1'!$J$7:$J$2506,CB$5)</f>
        <v>100</v>
      </c>
      <c r="CC14" s="83">
        <f>SUMIFS('Dataset 1'!$E$7:$E$2506,'Dataset 1'!$B$7:$B$2506,$A14,'Dataset 1'!$J$7:$J$2506,CC$5)</f>
        <v>0</v>
      </c>
      <c r="CD14" s="83">
        <f>SUMIFS('Dataset 1'!$E$7:$E$2506,'Dataset 1'!$B$7:$B$2506,$A14,'Dataset 1'!$J$7:$J$2506,CD$5)</f>
        <v>0</v>
      </c>
      <c r="CE14" s="83">
        <f>SUMIFS('Dataset 1'!$E$7:$E$2506,'Dataset 1'!$B$7:$B$2506,$A14,'Dataset 1'!$J$7:$J$2506,CE$5)</f>
        <v>470</v>
      </c>
      <c r="CF14" s="83">
        <f>SUMIFS('Dataset 1'!$E$7:$E$2506,'Dataset 1'!$B$7:$B$2506,$A14,'Dataset 1'!$J$7:$J$2506,CF$5)</f>
        <v>180</v>
      </c>
      <c r="CG14" s="83">
        <f>SUMIFS('Dataset 1'!$E$7:$E$2506,'Dataset 1'!$B$7:$B$2506,$A14,'Dataset 1'!$J$7:$J$2506,CG$5)</f>
        <v>0</v>
      </c>
      <c r="CH14" s="83">
        <f>SUMIFS('Dataset 1'!$E$7:$E$2506,'Dataset 1'!$B$7:$B$2506,$A14,'Dataset 1'!$J$7:$J$2506,CH$5)</f>
        <v>0</v>
      </c>
      <c r="CI14" s="83">
        <f>SUMIFS('Dataset 1'!$E$7:$E$2506,'Dataset 1'!$B$7:$B$2506,$A14,'Dataset 1'!$J$7:$J$2506,CI$5)</f>
        <v>0</v>
      </c>
      <c r="CJ14" s="83">
        <f>SUMIFS('Dataset 1'!$E$7:$E$2506,'Dataset 1'!$B$7:$B$2506,$A14,'Dataset 1'!$J$7:$J$2506,CJ$5)</f>
        <v>0</v>
      </c>
      <c r="CK14" s="83">
        <f>SUMIFS('Dataset 1'!$E$7:$E$2506,'Dataset 1'!$B$7:$B$2506,$A14,'Dataset 1'!$J$7:$J$2506,CK$5)</f>
        <v>0</v>
      </c>
      <c r="CL14" s="83">
        <f>SUMIFS('Dataset 1'!$E$7:$E$2506,'Dataset 1'!$B$7:$B$2506,$A14,'Dataset 1'!$J$7:$J$2506,CL$5)</f>
        <v>0</v>
      </c>
      <c r="CM14" s="83">
        <f>SUMIFS('Dataset 1'!$E$7:$E$2506,'Dataset 1'!$B$7:$B$2506,$A14,'Dataset 1'!$J$7:$J$2506,CM$5)</f>
        <v>0</v>
      </c>
      <c r="CN14" s="83">
        <f>SUMIFS('Dataset 1'!$E$7:$E$2506,'Dataset 1'!$B$7:$B$2506,$A14,'Dataset 1'!$J$7:$J$2506,CN$5)</f>
        <v>0</v>
      </c>
      <c r="CO14" s="83">
        <f>SUMIFS('Dataset 1'!$E$7:$E$2506,'Dataset 1'!$B$7:$B$2506,$A14,'Dataset 1'!$J$7:$J$2506,CO$5)</f>
        <v>0</v>
      </c>
      <c r="CP14" s="83">
        <f>SUMIFS('Dataset 1'!$E$7:$E$2506,'Dataset 1'!$B$7:$B$2506,$A14,'Dataset 1'!$J$7:$J$2506,CP$5)</f>
        <v>2890</v>
      </c>
      <c r="CQ14" s="83">
        <f>SUMIFS('Dataset 1'!$E$7:$E$2506,'Dataset 1'!$B$7:$B$2506,$A14,'Dataset 1'!$J$7:$J$2506,CQ$5)</f>
        <v>0</v>
      </c>
      <c r="CR14" s="83">
        <f>SUMIFS('Dataset 1'!$E$7:$E$2506,'Dataset 1'!$B$7:$B$2506,$A14,'Dataset 1'!$J$7:$J$2506,CR$5)</f>
        <v>0</v>
      </c>
      <c r="CS14" s="83">
        <f>SUMIFS('Dataset 1'!$E$7:$E$2506,'Dataset 1'!$B$7:$B$2506,$A14,'Dataset 1'!$J$7:$J$2506,CS$5)</f>
        <v>100</v>
      </c>
      <c r="CT14" s="83">
        <f>SUMIFS('Dataset 1'!$E$7:$E$2506,'Dataset 1'!$B$7:$B$2506,$A14,'Dataset 1'!$J$7:$J$2506,CT$5)</f>
        <v>0</v>
      </c>
      <c r="CU14" s="83">
        <f>SUMIFS('Dataset 1'!$E$7:$E$2506,'Dataset 1'!$B$7:$B$2506,$A14,'Dataset 1'!$J$7:$J$2506,CU$5)</f>
        <v>5310</v>
      </c>
      <c r="CV14" s="83">
        <f>SUMIFS('Dataset 1'!$E$7:$E$2506,'Dataset 1'!$B$7:$B$2506,$A14,'Dataset 1'!$J$7:$J$2506,CV$5)</f>
        <v>0</v>
      </c>
      <c r="CW14" s="83">
        <f>SUMIFS('Dataset 1'!$E$7:$E$2506,'Dataset 1'!$B$7:$B$2506,$A14,'Dataset 1'!$J$7:$J$2506,CW$5)</f>
        <v>0</v>
      </c>
      <c r="CX14" s="83">
        <f>SUMIFS('Dataset 1'!$E$7:$E$2506,'Dataset 1'!$B$7:$B$2506,$A14,'Dataset 1'!$J$7:$J$2506,CX$5)</f>
        <v>150</v>
      </c>
      <c r="CY14" s="83">
        <f>SUMIFS('Dataset 1'!$E$7:$E$2506,'Dataset 1'!$B$7:$B$2506,$A14,'Dataset 1'!$J$7:$J$2506,CY$5)</f>
        <v>0</v>
      </c>
      <c r="CZ14" s="83">
        <f>SUMIFS('Dataset 1'!$E$7:$E$2506,'Dataset 1'!$B$7:$B$2506,$A14,'Dataset 1'!$J$7:$J$2506,CZ$5)</f>
        <v>0</v>
      </c>
      <c r="DA14" s="83">
        <f>SUMIFS('Dataset 1'!$E$7:$E$2506,'Dataset 1'!$B$7:$B$2506,$A14,'Dataset 1'!$J$7:$J$2506,DA$5)</f>
        <v>0</v>
      </c>
      <c r="DB14" s="83">
        <f>SUMIFS('Dataset 1'!$E$7:$E$2506,'Dataset 1'!$B$7:$B$2506,$A14,'Dataset 1'!$J$7:$J$2506,DB$5)</f>
        <v>1370</v>
      </c>
      <c r="DC14" s="83">
        <f>SUMIFS('Dataset 1'!$E$7:$E$2506,'Dataset 1'!$B$7:$B$2506,$A14,'Dataset 1'!$J$7:$J$2506,DC$5)</f>
        <v>0</v>
      </c>
      <c r="DD14" s="83">
        <f>SUMIFS('Dataset 1'!$E$7:$E$2506,'Dataset 1'!$B$7:$B$2506,$A14,'Dataset 1'!$J$7:$J$2506,DD$5)</f>
        <v>0</v>
      </c>
      <c r="DE14" s="83">
        <f>SUMIFS('Dataset 1'!$E$7:$E$2506,'Dataset 1'!$B$7:$B$2506,$A14,'Dataset 1'!$J$7:$J$2506,DE$5)</f>
        <v>0</v>
      </c>
      <c r="DF14" s="83">
        <f>SUMIFS('Dataset 1'!$E$7:$E$2506,'Dataset 1'!$B$7:$B$2506,$A14,'Dataset 1'!$J$7:$J$2506,DF$5)</f>
        <v>260</v>
      </c>
      <c r="DG14" s="83">
        <f>SUMIFS('Dataset 1'!$E$7:$E$2506,'Dataset 1'!$B$7:$B$2506,$A14,'Dataset 1'!$J$7:$J$2506,DG$5)</f>
        <v>1110</v>
      </c>
      <c r="DH14" s="83">
        <f>SUMIFS('Dataset 1'!$E$7:$E$2506,'Dataset 1'!$B$7:$B$2506,$A14,'Dataset 1'!$J$7:$J$2506,DH$5)</f>
        <v>550</v>
      </c>
      <c r="DI14" s="83">
        <f>SUMIFS('Dataset 1'!$E$7:$E$2506,'Dataset 1'!$B$7:$B$2506,$A14,'Dataset 1'!$J$7:$J$2506,DI$5)</f>
        <v>260</v>
      </c>
      <c r="DJ14" s="83">
        <f>SUMIFS('Dataset 1'!$E$7:$E$2506,'Dataset 1'!$B$7:$B$2506,$A14,'Dataset 1'!$J$7:$J$2506,DJ$5)</f>
        <v>0</v>
      </c>
      <c r="DK14" s="83">
        <f>SUMIFS('Dataset 1'!$E$7:$E$2506,'Dataset 1'!$B$7:$B$2506,$A14,'Dataset 1'!$J$7:$J$2506,DK$5)</f>
        <v>0</v>
      </c>
      <c r="DL14" s="83">
        <f>SUMIFS('Dataset 1'!$E$7:$E$2506,'Dataset 1'!$B$7:$B$2506,$A14,'Dataset 1'!$J$7:$J$2506,DL$5)</f>
        <v>0</v>
      </c>
      <c r="DM14" s="83">
        <f>SUMIFS('Dataset 1'!$E$7:$E$2506,'Dataset 1'!$B$7:$B$2506,$A14,'Dataset 1'!$J$7:$J$2506,DM$5)</f>
        <v>0</v>
      </c>
      <c r="DN14" s="83">
        <f>SUMIFS('Dataset 1'!$E$7:$E$2506,'Dataset 1'!$B$7:$B$2506,$A14,'Dataset 1'!$J$7:$J$2506,DN$5)</f>
        <v>0</v>
      </c>
      <c r="DO14" s="83">
        <f>SUMIFS('Dataset 1'!$E$7:$E$2506,'Dataset 1'!$B$7:$B$2506,$A14,'Dataset 1'!$J$7:$J$2506,DO$5)</f>
        <v>0</v>
      </c>
      <c r="DP14" s="83">
        <f>SUMIFS('Dataset 1'!$E$7:$E$2506,'Dataset 1'!$B$7:$B$2506,$A14,'Dataset 1'!$J$7:$J$2506,DP$5)</f>
        <v>0</v>
      </c>
      <c r="DQ14" s="83">
        <f>SUMIFS('Dataset 1'!$E$7:$E$2506,'Dataset 1'!$B$7:$B$2506,$A14,'Dataset 1'!$J$7:$J$2506,DQ$5)</f>
        <v>0</v>
      </c>
      <c r="DR14" s="83">
        <f>SUMIFS('Dataset 1'!$E$7:$E$2506,'Dataset 1'!$B$7:$B$2506,$A14,'Dataset 1'!$J$7:$J$2506,DR$5)</f>
        <v>0</v>
      </c>
      <c r="DS14" s="83">
        <f>SUMIFS('Dataset 1'!$E$7:$E$2506,'Dataset 1'!$B$7:$B$2506,$A14,'Dataset 1'!$J$7:$J$2506,DS$5)</f>
        <v>0</v>
      </c>
      <c r="DT14" s="83">
        <f>SUMIFS('Dataset 1'!$E$7:$E$2506,'Dataset 1'!$B$7:$B$2506,$A14,'Dataset 1'!$J$7:$J$2506,DT$5)</f>
        <v>0</v>
      </c>
      <c r="DU14" s="83">
        <f>SUMIFS('Dataset 1'!$E$7:$E$2506,'Dataset 1'!$B$7:$B$2506,$A14,'Dataset 1'!$J$7:$J$2506,DU$5)</f>
        <v>0</v>
      </c>
      <c r="DV14" s="83">
        <f>SUMIFS('Dataset 1'!$E$7:$E$2506,'Dataset 1'!$B$7:$B$2506,$A14,'Dataset 1'!$J$7:$J$2506,DV$5)</f>
        <v>350</v>
      </c>
      <c r="DW14" s="83">
        <f>SUMIFS('Dataset 1'!$E$7:$E$2506,'Dataset 1'!$B$7:$B$2506,$A14,'Dataset 1'!$J$7:$J$2506,DW$5)</f>
        <v>0</v>
      </c>
      <c r="DX14" s="83">
        <f>SUMIFS('Dataset 1'!$E$7:$E$2506,'Dataset 1'!$B$7:$B$2506,$A14,'Dataset 1'!$J$7:$J$2506,DX$5)</f>
        <v>450</v>
      </c>
      <c r="DY14" s="83">
        <f>SUMIFS('Dataset 1'!$E$7:$E$2506,'Dataset 1'!$B$7:$B$2506,$A14,'Dataset 1'!$J$7:$J$2506,DY$5)</f>
        <v>16120</v>
      </c>
      <c r="DZ14" s="83">
        <f>SUMIFS('Dataset 1'!$E$7:$E$2506,'Dataset 1'!$B$7:$B$2506,$A14,'Dataset 1'!$J$7:$J$2506,DZ$5)</f>
        <v>180</v>
      </c>
      <c r="EA14" s="83">
        <f>SUMIFS('Dataset 1'!$E$7:$E$2506,'Dataset 1'!$B$7:$B$2506,$A14,'Dataset 1'!$J$7:$J$2506,EA$5)</f>
        <v>0</v>
      </c>
      <c r="EB14" s="83">
        <f>SUMIFS('Dataset 1'!$E$7:$E$2506,'Dataset 1'!$B$7:$B$2506,$A14,'Dataset 1'!$J$7:$J$2506,EB$5)</f>
        <v>0</v>
      </c>
      <c r="EC14" s="83">
        <f>SUMIFS('Dataset 1'!$E$7:$E$2506,'Dataset 1'!$B$7:$B$2506,$A14,'Dataset 1'!$J$7:$J$2506,EC$5)</f>
        <v>1400</v>
      </c>
      <c r="ED14" s="83">
        <f>SUMIFS('Dataset 1'!$E$7:$E$2506,'Dataset 1'!$B$7:$B$2506,$A14,'Dataset 1'!$J$7:$J$2506,ED$5)</f>
        <v>230</v>
      </c>
      <c r="EE14" s="83">
        <f>SUMIFS('Dataset 1'!$E$7:$E$2506,'Dataset 1'!$B$7:$B$2506,$A14,'Dataset 1'!$J$7:$J$2506,EE$5)</f>
        <v>0</v>
      </c>
      <c r="EF14" s="83">
        <f>SUMIFS('Dataset 1'!$E$7:$E$2506,'Dataset 1'!$B$7:$B$2506,$A14,'Dataset 1'!$J$7:$J$2506,EF$5)</f>
        <v>0</v>
      </c>
      <c r="EG14" s="83">
        <f>SUMIFS('Dataset 1'!$E$7:$E$2506,'Dataset 1'!$B$7:$B$2506,$A14,'Dataset 1'!$J$7:$J$2506,EG$5)</f>
        <v>0</v>
      </c>
    </row>
    <row r="15" spans="1:137" x14ac:dyDescent="0.2">
      <c r="A15">
        <v>2014</v>
      </c>
      <c r="B15" s="83">
        <f>SUMIFS('Dataset 1'!$E$7:$E$2506,'Dataset 1'!$B$7:$B$2506,$A15,'Dataset 1'!$J$7:$J$2506,B$5)</f>
        <v>0</v>
      </c>
      <c r="C15" s="83">
        <f>SUMIFS('Dataset 1'!$E$7:$E$2506,'Dataset 1'!$B$7:$B$2506,$A15,'Dataset 1'!$J$7:$J$2506,C$5)</f>
        <v>0</v>
      </c>
      <c r="D15" s="83">
        <f>SUMIFS('Dataset 1'!$E$7:$E$2506,'Dataset 1'!$B$7:$B$2506,$A15,'Dataset 1'!$J$7:$J$2506,D$5)</f>
        <v>120</v>
      </c>
      <c r="E15" s="83">
        <f>SUMIFS('Dataset 1'!$E$7:$E$2506,'Dataset 1'!$B$7:$B$2506,$A15,'Dataset 1'!$J$7:$J$2506,E$5)</f>
        <v>740</v>
      </c>
      <c r="F15" s="83">
        <f>SUMIFS('Dataset 1'!$E$7:$E$2506,'Dataset 1'!$B$7:$B$2506,$A15,'Dataset 1'!$J$7:$J$2506,F$5)</f>
        <v>0</v>
      </c>
      <c r="G15" s="83">
        <f>SUMIFS('Dataset 1'!$E$7:$E$2506,'Dataset 1'!$B$7:$B$2506,$A15,'Dataset 1'!$J$7:$J$2506,G$5)</f>
        <v>10060</v>
      </c>
      <c r="H15" s="83">
        <f>SUMIFS('Dataset 1'!$E$7:$E$2506,'Dataset 1'!$B$7:$B$2506,$A15,'Dataset 1'!$J$7:$J$2506,H$5)</f>
        <v>0</v>
      </c>
      <c r="I15" s="83">
        <f>SUMIFS('Dataset 1'!$E$7:$E$2506,'Dataset 1'!$B$7:$B$2506,$A15,'Dataset 1'!$J$7:$J$2506,I$5)</f>
        <v>0</v>
      </c>
      <c r="J15" s="83">
        <f>SUMIFS('Dataset 1'!$E$7:$E$2506,'Dataset 1'!$B$7:$B$2506,$A15,'Dataset 1'!$J$7:$J$2506,J$5)</f>
        <v>0</v>
      </c>
      <c r="K15" s="83">
        <f>SUMIFS('Dataset 1'!$E$7:$E$2506,'Dataset 1'!$B$7:$B$2506,$A15,'Dataset 1'!$J$7:$J$2506,K$5)</f>
        <v>0</v>
      </c>
      <c r="L15" s="83">
        <f>SUMIFS('Dataset 1'!$E$7:$E$2506,'Dataset 1'!$B$7:$B$2506,$A15,'Dataset 1'!$J$7:$J$2506,L$5)</f>
        <v>0</v>
      </c>
      <c r="M15" s="83">
        <f>SUMIFS('Dataset 1'!$E$7:$E$2506,'Dataset 1'!$B$7:$B$2506,$A15,'Dataset 1'!$J$7:$J$2506,M$5)</f>
        <v>710</v>
      </c>
      <c r="N15" s="83">
        <f>SUMIFS('Dataset 1'!$E$7:$E$2506,'Dataset 1'!$B$7:$B$2506,$A15,'Dataset 1'!$J$7:$J$2506,N$5)</f>
        <v>0</v>
      </c>
      <c r="O15" s="83">
        <f>SUMIFS('Dataset 1'!$E$7:$E$2506,'Dataset 1'!$B$7:$B$2506,$A15,'Dataset 1'!$J$7:$J$2506,O$5)</f>
        <v>0</v>
      </c>
      <c r="P15" s="83">
        <f>SUMIFS('Dataset 1'!$E$7:$E$2506,'Dataset 1'!$B$7:$B$2506,$A15,'Dataset 1'!$J$7:$J$2506,P$5)</f>
        <v>0</v>
      </c>
      <c r="Q15" s="83">
        <f>SUMIFS('Dataset 1'!$E$7:$E$2506,'Dataset 1'!$B$7:$B$2506,$A15,'Dataset 1'!$J$7:$J$2506,Q$5)</f>
        <v>1580</v>
      </c>
      <c r="R15" s="83">
        <f>SUMIFS('Dataset 1'!$E$7:$E$2506,'Dataset 1'!$B$7:$B$2506,$A15,'Dataset 1'!$J$7:$J$2506,R$5)</f>
        <v>6920</v>
      </c>
      <c r="S15" s="83">
        <f>SUMIFS('Dataset 1'!$E$7:$E$2506,'Dataset 1'!$B$7:$B$2506,$A15,'Dataset 1'!$J$7:$J$2506,S$5)</f>
        <v>3440</v>
      </c>
      <c r="T15" s="83">
        <f>SUMIFS('Dataset 1'!$E$7:$E$2506,'Dataset 1'!$B$7:$B$2506,$A15,'Dataset 1'!$J$7:$J$2506,T$5)</f>
        <v>0</v>
      </c>
      <c r="U15" s="83">
        <f>SUMIFS('Dataset 1'!$E$7:$E$2506,'Dataset 1'!$B$7:$B$2506,$A15,'Dataset 1'!$J$7:$J$2506,U$5)</f>
        <v>0</v>
      </c>
      <c r="V15" s="83">
        <f>SUMIFS('Dataset 1'!$E$7:$E$2506,'Dataset 1'!$B$7:$B$2506,$A15,'Dataset 1'!$J$7:$J$2506,V$5)</f>
        <v>0</v>
      </c>
      <c r="W15" s="83">
        <f>SUMIFS('Dataset 1'!$E$7:$E$2506,'Dataset 1'!$B$7:$B$2506,$A15,'Dataset 1'!$J$7:$J$2506,W$5)</f>
        <v>3600</v>
      </c>
      <c r="X15" s="83">
        <f>SUMIFS('Dataset 1'!$E$7:$E$2506,'Dataset 1'!$B$7:$B$2506,$A15,'Dataset 1'!$J$7:$J$2506,X$5)</f>
        <v>370</v>
      </c>
      <c r="Y15" s="83">
        <f>SUMIFS('Dataset 1'!$E$7:$E$2506,'Dataset 1'!$B$7:$B$2506,$A15,'Dataset 1'!$J$7:$J$2506,Y$5)</f>
        <v>0</v>
      </c>
      <c r="Z15" s="83">
        <f>SUMIFS('Dataset 1'!$E$7:$E$2506,'Dataset 1'!$B$7:$B$2506,$A15,'Dataset 1'!$J$7:$J$2506,Z$5)</f>
        <v>0</v>
      </c>
      <c r="AA15" s="83">
        <f>SUMIFS('Dataset 1'!$E$7:$E$2506,'Dataset 1'!$B$7:$B$2506,$A15,'Dataset 1'!$J$7:$J$2506,AA$5)</f>
        <v>150</v>
      </c>
      <c r="AB15" s="83">
        <f>SUMIFS('Dataset 1'!$E$7:$E$2506,'Dataset 1'!$B$7:$B$2506,$A15,'Dataset 1'!$J$7:$J$2506,AB$5)</f>
        <v>0</v>
      </c>
      <c r="AC15" s="83">
        <f>SUMIFS('Dataset 1'!$E$7:$E$2506,'Dataset 1'!$B$7:$B$2506,$A15,'Dataset 1'!$J$7:$J$2506,AC$5)</f>
        <v>0</v>
      </c>
      <c r="AD15" s="83">
        <f>SUMIFS('Dataset 1'!$E$7:$E$2506,'Dataset 1'!$B$7:$B$2506,$A15,'Dataset 1'!$J$7:$J$2506,AD$5)</f>
        <v>0</v>
      </c>
      <c r="AE15" s="83">
        <f>SUMIFS('Dataset 1'!$E$7:$E$2506,'Dataset 1'!$B$7:$B$2506,$A15,'Dataset 1'!$J$7:$J$2506,AE$5)</f>
        <v>0</v>
      </c>
      <c r="AF15" s="83">
        <f>SUMIFS('Dataset 1'!$E$7:$E$2506,'Dataset 1'!$B$7:$B$2506,$A15,'Dataset 1'!$J$7:$J$2506,AF$5)</f>
        <v>0</v>
      </c>
      <c r="AG15" s="83">
        <f>SUMIFS('Dataset 1'!$E$7:$E$2506,'Dataset 1'!$B$7:$B$2506,$A15,'Dataset 1'!$J$7:$J$2506,AG$5)</f>
        <v>0</v>
      </c>
      <c r="AH15" s="83">
        <f>SUMIFS('Dataset 1'!$E$7:$E$2506,'Dataset 1'!$B$7:$B$2506,$A15,'Dataset 1'!$J$7:$J$2506,AH$5)</f>
        <v>0</v>
      </c>
      <c r="AI15" s="83">
        <f>SUMIFS('Dataset 1'!$E$7:$E$2506,'Dataset 1'!$B$7:$B$2506,$A15,'Dataset 1'!$J$7:$J$2506,AI$5)</f>
        <v>2040</v>
      </c>
      <c r="AJ15" s="83">
        <f>SUMIFS('Dataset 1'!$E$7:$E$2506,'Dataset 1'!$B$7:$B$2506,$A15,'Dataset 1'!$J$7:$J$2506,AJ$5)</f>
        <v>0</v>
      </c>
      <c r="AK15" s="83">
        <f>SUMIFS('Dataset 1'!$E$7:$E$2506,'Dataset 1'!$B$7:$B$2506,$A15,'Dataset 1'!$J$7:$J$2506,AK$5)</f>
        <v>0</v>
      </c>
      <c r="AL15" s="83">
        <f>SUMIFS('Dataset 1'!$E$7:$E$2506,'Dataset 1'!$B$7:$B$2506,$A15,'Dataset 1'!$J$7:$J$2506,AL$5)</f>
        <v>300</v>
      </c>
      <c r="AM15" s="83">
        <f>SUMIFS('Dataset 1'!$E$7:$E$2506,'Dataset 1'!$B$7:$B$2506,$A15,'Dataset 1'!$J$7:$J$2506,AM$5)</f>
        <v>0</v>
      </c>
      <c r="AN15" s="83">
        <f>SUMIFS('Dataset 1'!$E$7:$E$2506,'Dataset 1'!$B$7:$B$2506,$A15,'Dataset 1'!$J$7:$J$2506,AN$5)</f>
        <v>3090</v>
      </c>
      <c r="AO15" s="83">
        <f>SUMIFS('Dataset 1'!$E$7:$E$2506,'Dataset 1'!$B$7:$B$2506,$A15,'Dataset 1'!$J$7:$J$2506,AO$5)</f>
        <v>400</v>
      </c>
      <c r="AP15" s="83">
        <f>SUMIFS('Dataset 1'!$E$7:$E$2506,'Dataset 1'!$B$7:$B$2506,$A15,'Dataset 1'!$J$7:$J$2506,AP$5)</f>
        <v>0</v>
      </c>
      <c r="AQ15" s="83">
        <f>SUMIFS('Dataset 1'!$E$7:$E$2506,'Dataset 1'!$B$7:$B$2506,$A15,'Dataset 1'!$J$7:$J$2506,AQ$5)</f>
        <v>1620</v>
      </c>
      <c r="AR15" s="83">
        <f>SUMIFS('Dataset 1'!$E$7:$E$2506,'Dataset 1'!$B$7:$B$2506,$A15,'Dataset 1'!$J$7:$J$2506,AR$5)</f>
        <v>110</v>
      </c>
      <c r="AS15" s="83">
        <f>SUMIFS('Dataset 1'!$E$7:$E$2506,'Dataset 1'!$B$7:$B$2506,$A15,'Dataset 1'!$J$7:$J$2506,AS$5)</f>
        <v>0</v>
      </c>
      <c r="AT15" s="83">
        <f>SUMIFS('Dataset 1'!$E$7:$E$2506,'Dataset 1'!$B$7:$B$2506,$A15,'Dataset 1'!$J$7:$J$2506,AT$5)</f>
        <v>2510</v>
      </c>
      <c r="AU15" s="83">
        <f>SUMIFS('Dataset 1'!$E$7:$E$2506,'Dataset 1'!$B$7:$B$2506,$A15,'Dataset 1'!$J$7:$J$2506,AU$5)</f>
        <v>0</v>
      </c>
      <c r="AV15" s="83">
        <f>SUMIFS('Dataset 1'!$E$7:$E$2506,'Dataset 1'!$B$7:$B$2506,$A15,'Dataset 1'!$J$7:$J$2506,AV$5)</f>
        <v>0</v>
      </c>
      <c r="AW15" s="83">
        <f>SUMIFS('Dataset 1'!$E$7:$E$2506,'Dataset 1'!$B$7:$B$2506,$A15,'Dataset 1'!$J$7:$J$2506,AW$5)</f>
        <v>0</v>
      </c>
      <c r="AX15" s="83">
        <f>SUMIFS('Dataset 1'!$E$7:$E$2506,'Dataset 1'!$B$7:$B$2506,$A15,'Dataset 1'!$J$7:$J$2506,AX$5)</f>
        <v>300</v>
      </c>
      <c r="AY15" s="83">
        <f>SUMIFS('Dataset 1'!$E$7:$E$2506,'Dataset 1'!$B$7:$B$2506,$A15,'Dataset 1'!$J$7:$J$2506,AY$5)</f>
        <v>2590</v>
      </c>
      <c r="AZ15" s="83">
        <f>SUMIFS('Dataset 1'!$E$7:$E$2506,'Dataset 1'!$B$7:$B$2506,$A15,'Dataset 1'!$J$7:$J$2506,AZ$5)</f>
        <v>350</v>
      </c>
      <c r="BA15" s="83">
        <f>SUMIFS('Dataset 1'!$E$7:$E$2506,'Dataset 1'!$B$7:$B$2506,$A15,'Dataset 1'!$J$7:$J$2506,BA$5)</f>
        <v>0</v>
      </c>
      <c r="BB15" s="83">
        <f>SUMIFS('Dataset 1'!$E$7:$E$2506,'Dataset 1'!$B$7:$B$2506,$A15,'Dataset 1'!$J$7:$J$2506,BB$5)</f>
        <v>0</v>
      </c>
      <c r="BC15" s="83">
        <f>SUMIFS('Dataset 1'!$E$7:$E$2506,'Dataset 1'!$B$7:$B$2506,$A15,'Dataset 1'!$J$7:$J$2506,BC$5)</f>
        <v>1660</v>
      </c>
      <c r="BD15" s="83">
        <f>SUMIFS('Dataset 1'!$E$7:$E$2506,'Dataset 1'!$B$7:$B$2506,$A15,'Dataset 1'!$J$7:$J$2506,BD$5)</f>
        <v>7860</v>
      </c>
      <c r="BE15" s="83">
        <f>SUMIFS('Dataset 1'!$E$7:$E$2506,'Dataset 1'!$B$7:$B$2506,$A15,'Dataset 1'!$J$7:$J$2506,BE$5)</f>
        <v>0</v>
      </c>
      <c r="BF15" s="83">
        <f>SUMIFS('Dataset 1'!$E$7:$E$2506,'Dataset 1'!$B$7:$B$2506,$A15,'Dataset 1'!$J$7:$J$2506,BF$5)</f>
        <v>730</v>
      </c>
      <c r="BG15" s="83">
        <f>SUMIFS('Dataset 1'!$E$7:$E$2506,'Dataset 1'!$B$7:$B$2506,$A15,'Dataset 1'!$J$7:$J$2506,BG$5)</f>
        <v>0</v>
      </c>
      <c r="BH15" s="83">
        <f>SUMIFS('Dataset 1'!$E$7:$E$2506,'Dataset 1'!$B$7:$B$2506,$A15,'Dataset 1'!$J$7:$J$2506,BH$5)</f>
        <v>0</v>
      </c>
      <c r="BI15" s="83">
        <f>SUMIFS('Dataset 1'!$E$7:$E$2506,'Dataset 1'!$B$7:$B$2506,$A15,'Dataset 1'!$J$7:$J$2506,BI$5)</f>
        <v>1620</v>
      </c>
      <c r="BJ15" s="83">
        <f>SUMIFS('Dataset 1'!$E$7:$E$2506,'Dataset 1'!$B$7:$B$2506,$A15,'Dataset 1'!$J$7:$J$2506,BJ$5)</f>
        <v>0</v>
      </c>
      <c r="BK15" s="83">
        <f>SUMIFS('Dataset 1'!$E$7:$E$2506,'Dataset 1'!$B$7:$B$2506,$A15,'Dataset 1'!$J$7:$J$2506,BK$5)</f>
        <v>0</v>
      </c>
      <c r="BL15" s="83">
        <f>SUMIFS('Dataset 1'!$E$7:$E$2506,'Dataset 1'!$B$7:$B$2506,$A15,'Dataset 1'!$J$7:$J$2506,BL$5)</f>
        <v>520</v>
      </c>
      <c r="BM15" s="83">
        <f>SUMIFS('Dataset 1'!$E$7:$E$2506,'Dataset 1'!$B$7:$B$2506,$A15,'Dataset 1'!$J$7:$J$2506,BM$5)</f>
        <v>0</v>
      </c>
      <c r="BN15" s="83">
        <f>SUMIFS('Dataset 1'!$E$7:$E$2506,'Dataset 1'!$B$7:$B$2506,$A15,'Dataset 1'!$J$7:$J$2506,BN$5)</f>
        <v>160</v>
      </c>
      <c r="BO15" s="83">
        <f>SUMIFS('Dataset 1'!$E$7:$E$2506,'Dataset 1'!$B$7:$B$2506,$A15,'Dataset 1'!$J$7:$J$2506,BO$5)</f>
        <v>210</v>
      </c>
      <c r="BP15" s="83">
        <f>SUMIFS('Dataset 1'!$E$7:$E$2506,'Dataset 1'!$B$7:$B$2506,$A15,'Dataset 1'!$J$7:$J$2506,BP$5)</f>
        <v>0</v>
      </c>
      <c r="BQ15" s="83">
        <f>SUMIFS('Dataset 1'!$E$7:$E$2506,'Dataset 1'!$B$7:$B$2506,$A15,'Dataset 1'!$J$7:$J$2506,BQ$5)</f>
        <v>0</v>
      </c>
      <c r="BR15" s="83">
        <f>SUMIFS('Dataset 1'!$E$7:$E$2506,'Dataset 1'!$B$7:$B$2506,$A15,'Dataset 1'!$J$7:$J$2506,BR$5)</f>
        <v>400</v>
      </c>
      <c r="BS15" s="83">
        <f>SUMIFS('Dataset 1'!$E$7:$E$2506,'Dataset 1'!$B$7:$B$2506,$A15,'Dataset 1'!$J$7:$J$2506,BS$5)</f>
        <v>0</v>
      </c>
      <c r="BT15" s="83">
        <f>SUMIFS('Dataset 1'!$E$7:$E$2506,'Dataset 1'!$B$7:$B$2506,$A15,'Dataset 1'!$J$7:$J$2506,BT$5)</f>
        <v>0</v>
      </c>
      <c r="BU15" s="83">
        <f>SUMIFS('Dataset 1'!$E$7:$E$2506,'Dataset 1'!$B$7:$B$2506,$A15,'Dataset 1'!$J$7:$J$2506,BU$5)</f>
        <v>440</v>
      </c>
      <c r="BV15" s="83">
        <f>SUMIFS('Dataset 1'!$E$7:$E$2506,'Dataset 1'!$B$7:$B$2506,$A15,'Dataset 1'!$J$7:$J$2506,BV$5)</f>
        <v>0</v>
      </c>
      <c r="BW15" s="83">
        <f>SUMIFS('Dataset 1'!$E$7:$E$2506,'Dataset 1'!$B$7:$B$2506,$A15,'Dataset 1'!$J$7:$J$2506,BW$5)</f>
        <v>0</v>
      </c>
      <c r="BX15" s="83">
        <f>SUMIFS('Dataset 1'!$E$7:$E$2506,'Dataset 1'!$B$7:$B$2506,$A15,'Dataset 1'!$J$7:$J$2506,BX$5)</f>
        <v>0</v>
      </c>
      <c r="BY15" s="83">
        <f>SUMIFS('Dataset 1'!$E$7:$E$2506,'Dataset 1'!$B$7:$B$2506,$A15,'Dataset 1'!$J$7:$J$2506,BY$5)</f>
        <v>0</v>
      </c>
      <c r="BZ15" s="83">
        <f>SUMIFS('Dataset 1'!$E$7:$E$2506,'Dataset 1'!$B$7:$B$2506,$A15,'Dataset 1'!$J$7:$J$2506,BZ$5)</f>
        <v>0</v>
      </c>
      <c r="CA15" s="83">
        <f>SUMIFS('Dataset 1'!$E$7:$E$2506,'Dataset 1'!$B$7:$B$2506,$A15,'Dataset 1'!$J$7:$J$2506,CA$5)</f>
        <v>0</v>
      </c>
      <c r="CB15" s="83">
        <f>SUMIFS('Dataset 1'!$E$7:$E$2506,'Dataset 1'!$B$7:$B$2506,$A15,'Dataset 1'!$J$7:$J$2506,CB$5)</f>
        <v>0</v>
      </c>
      <c r="CC15" s="83">
        <f>SUMIFS('Dataset 1'!$E$7:$E$2506,'Dataset 1'!$B$7:$B$2506,$A15,'Dataset 1'!$J$7:$J$2506,CC$5)</f>
        <v>2160</v>
      </c>
      <c r="CD15" s="83">
        <f>SUMIFS('Dataset 1'!$E$7:$E$2506,'Dataset 1'!$B$7:$B$2506,$A15,'Dataset 1'!$J$7:$J$2506,CD$5)</f>
        <v>0</v>
      </c>
      <c r="CE15" s="83">
        <f>SUMIFS('Dataset 1'!$E$7:$E$2506,'Dataset 1'!$B$7:$B$2506,$A15,'Dataset 1'!$J$7:$J$2506,CE$5)</f>
        <v>2040</v>
      </c>
      <c r="CF15" s="83">
        <f>SUMIFS('Dataset 1'!$E$7:$E$2506,'Dataset 1'!$B$7:$B$2506,$A15,'Dataset 1'!$J$7:$J$2506,CF$5)</f>
        <v>1110</v>
      </c>
      <c r="CG15" s="83">
        <f>SUMIFS('Dataset 1'!$E$7:$E$2506,'Dataset 1'!$B$7:$B$2506,$A15,'Dataset 1'!$J$7:$J$2506,CG$5)</f>
        <v>0</v>
      </c>
      <c r="CH15" s="83">
        <f>SUMIFS('Dataset 1'!$E$7:$E$2506,'Dataset 1'!$B$7:$B$2506,$A15,'Dataset 1'!$J$7:$J$2506,CH$5)</f>
        <v>0</v>
      </c>
      <c r="CI15" s="83">
        <f>SUMIFS('Dataset 1'!$E$7:$E$2506,'Dataset 1'!$B$7:$B$2506,$A15,'Dataset 1'!$J$7:$J$2506,CI$5)</f>
        <v>0</v>
      </c>
      <c r="CJ15" s="83">
        <f>SUMIFS('Dataset 1'!$E$7:$E$2506,'Dataset 1'!$B$7:$B$2506,$A15,'Dataset 1'!$J$7:$J$2506,CJ$5)</f>
        <v>0</v>
      </c>
      <c r="CK15" s="83">
        <f>SUMIFS('Dataset 1'!$E$7:$E$2506,'Dataset 1'!$B$7:$B$2506,$A15,'Dataset 1'!$J$7:$J$2506,CK$5)</f>
        <v>640</v>
      </c>
      <c r="CL15" s="83">
        <f>SUMIFS('Dataset 1'!$E$7:$E$2506,'Dataset 1'!$B$7:$B$2506,$A15,'Dataset 1'!$J$7:$J$2506,CL$5)</f>
        <v>0</v>
      </c>
      <c r="CM15" s="83">
        <f>SUMIFS('Dataset 1'!$E$7:$E$2506,'Dataset 1'!$B$7:$B$2506,$A15,'Dataset 1'!$J$7:$J$2506,CM$5)</f>
        <v>890</v>
      </c>
      <c r="CN15" s="83">
        <f>SUMIFS('Dataset 1'!$E$7:$E$2506,'Dataset 1'!$B$7:$B$2506,$A15,'Dataset 1'!$J$7:$J$2506,CN$5)</f>
        <v>0</v>
      </c>
      <c r="CO15" s="83">
        <f>SUMIFS('Dataset 1'!$E$7:$E$2506,'Dataset 1'!$B$7:$B$2506,$A15,'Dataset 1'!$J$7:$J$2506,CO$5)</f>
        <v>0</v>
      </c>
      <c r="CP15" s="83">
        <f>SUMIFS('Dataset 1'!$E$7:$E$2506,'Dataset 1'!$B$7:$B$2506,$A15,'Dataset 1'!$J$7:$J$2506,CP$5)</f>
        <v>6950</v>
      </c>
      <c r="CQ15" s="83">
        <f>SUMIFS('Dataset 1'!$E$7:$E$2506,'Dataset 1'!$B$7:$B$2506,$A15,'Dataset 1'!$J$7:$J$2506,CQ$5)</f>
        <v>0</v>
      </c>
      <c r="CR15" s="83">
        <f>SUMIFS('Dataset 1'!$E$7:$E$2506,'Dataset 1'!$B$7:$B$2506,$A15,'Dataset 1'!$J$7:$J$2506,CR$5)</f>
        <v>200</v>
      </c>
      <c r="CS15" s="83">
        <f>SUMIFS('Dataset 1'!$E$7:$E$2506,'Dataset 1'!$B$7:$B$2506,$A15,'Dataset 1'!$J$7:$J$2506,CS$5)</f>
        <v>3090</v>
      </c>
      <c r="CT15" s="83">
        <f>SUMIFS('Dataset 1'!$E$7:$E$2506,'Dataset 1'!$B$7:$B$2506,$A15,'Dataset 1'!$J$7:$J$2506,CT$5)</f>
        <v>0</v>
      </c>
      <c r="CU15" s="83">
        <f>SUMIFS('Dataset 1'!$E$7:$E$2506,'Dataset 1'!$B$7:$B$2506,$A15,'Dataset 1'!$J$7:$J$2506,CU$5)</f>
        <v>3380</v>
      </c>
      <c r="CV15" s="83">
        <f>SUMIFS('Dataset 1'!$E$7:$E$2506,'Dataset 1'!$B$7:$B$2506,$A15,'Dataset 1'!$J$7:$J$2506,CV$5)</f>
        <v>0</v>
      </c>
      <c r="CW15" s="83">
        <f>SUMIFS('Dataset 1'!$E$7:$E$2506,'Dataset 1'!$B$7:$B$2506,$A15,'Dataset 1'!$J$7:$J$2506,CW$5)</f>
        <v>0</v>
      </c>
      <c r="CX15" s="83">
        <f>SUMIFS('Dataset 1'!$E$7:$E$2506,'Dataset 1'!$B$7:$B$2506,$A15,'Dataset 1'!$J$7:$J$2506,CX$5)</f>
        <v>0</v>
      </c>
      <c r="CY15" s="83">
        <f>SUMIFS('Dataset 1'!$E$7:$E$2506,'Dataset 1'!$B$7:$B$2506,$A15,'Dataset 1'!$J$7:$J$2506,CY$5)</f>
        <v>0</v>
      </c>
      <c r="CZ15" s="83">
        <f>SUMIFS('Dataset 1'!$E$7:$E$2506,'Dataset 1'!$B$7:$B$2506,$A15,'Dataset 1'!$J$7:$J$2506,CZ$5)</f>
        <v>970</v>
      </c>
      <c r="DA15" s="83">
        <f>SUMIFS('Dataset 1'!$E$7:$E$2506,'Dataset 1'!$B$7:$B$2506,$A15,'Dataset 1'!$J$7:$J$2506,DA$5)</f>
        <v>0</v>
      </c>
      <c r="DB15" s="83">
        <f>SUMIFS('Dataset 1'!$E$7:$E$2506,'Dataset 1'!$B$7:$B$2506,$A15,'Dataset 1'!$J$7:$J$2506,DB$5)</f>
        <v>750</v>
      </c>
      <c r="DC15" s="83">
        <f>SUMIFS('Dataset 1'!$E$7:$E$2506,'Dataset 1'!$B$7:$B$2506,$A15,'Dataset 1'!$J$7:$J$2506,DC$5)</f>
        <v>0</v>
      </c>
      <c r="DD15" s="83">
        <f>SUMIFS('Dataset 1'!$E$7:$E$2506,'Dataset 1'!$B$7:$B$2506,$A15,'Dataset 1'!$J$7:$J$2506,DD$5)</f>
        <v>0</v>
      </c>
      <c r="DE15" s="83">
        <f>SUMIFS('Dataset 1'!$E$7:$E$2506,'Dataset 1'!$B$7:$B$2506,$A15,'Dataset 1'!$J$7:$J$2506,DE$5)</f>
        <v>0</v>
      </c>
      <c r="DF15" s="83">
        <f>SUMIFS('Dataset 1'!$E$7:$E$2506,'Dataset 1'!$B$7:$B$2506,$A15,'Dataset 1'!$J$7:$J$2506,DF$5)</f>
        <v>230</v>
      </c>
      <c r="DG15" s="83">
        <f>SUMIFS('Dataset 1'!$E$7:$E$2506,'Dataset 1'!$B$7:$B$2506,$A15,'Dataset 1'!$J$7:$J$2506,DG$5)</f>
        <v>1600</v>
      </c>
      <c r="DH15" s="83">
        <f>SUMIFS('Dataset 1'!$E$7:$E$2506,'Dataset 1'!$B$7:$B$2506,$A15,'Dataset 1'!$J$7:$J$2506,DH$5)</f>
        <v>540</v>
      </c>
      <c r="DI15" s="83">
        <f>SUMIFS('Dataset 1'!$E$7:$E$2506,'Dataset 1'!$B$7:$B$2506,$A15,'Dataset 1'!$J$7:$J$2506,DI$5)</f>
        <v>390</v>
      </c>
      <c r="DJ15" s="83">
        <f>SUMIFS('Dataset 1'!$E$7:$E$2506,'Dataset 1'!$B$7:$B$2506,$A15,'Dataset 1'!$J$7:$J$2506,DJ$5)</f>
        <v>0</v>
      </c>
      <c r="DK15" s="83">
        <f>SUMIFS('Dataset 1'!$E$7:$E$2506,'Dataset 1'!$B$7:$B$2506,$A15,'Dataset 1'!$J$7:$J$2506,DK$5)</f>
        <v>0</v>
      </c>
      <c r="DL15" s="83">
        <f>SUMIFS('Dataset 1'!$E$7:$E$2506,'Dataset 1'!$B$7:$B$2506,$A15,'Dataset 1'!$J$7:$J$2506,DL$5)</f>
        <v>0</v>
      </c>
      <c r="DM15" s="83">
        <f>SUMIFS('Dataset 1'!$E$7:$E$2506,'Dataset 1'!$B$7:$B$2506,$A15,'Dataset 1'!$J$7:$J$2506,DM$5)</f>
        <v>400</v>
      </c>
      <c r="DN15" s="83">
        <f>SUMIFS('Dataset 1'!$E$7:$E$2506,'Dataset 1'!$B$7:$B$2506,$A15,'Dataset 1'!$J$7:$J$2506,DN$5)</f>
        <v>0</v>
      </c>
      <c r="DO15" s="83">
        <f>SUMIFS('Dataset 1'!$E$7:$E$2506,'Dataset 1'!$B$7:$B$2506,$A15,'Dataset 1'!$J$7:$J$2506,DO$5)</f>
        <v>0</v>
      </c>
      <c r="DP15" s="83">
        <f>SUMIFS('Dataset 1'!$E$7:$E$2506,'Dataset 1'!$B$7:$B$2506,$A15,'Dataset 1'!$J$7:$J$2506,DP$5)</f>
        <v>0</v>
      </c>
      <c r="DQ15" s="83">
        <f>SUMIFS('Dataset 1'!$E$7:$E$2506,'Dataset 1'!$B$7:$B$2506,$A15,'Dataset 1'!$J$7:$J$2506,DQ$5)</f>
        <v>0</v>
      </c>
      <c r="DR15" s="83">
        <f>SUMIFS('Dataset 1'!$E$7:$E$2506,'Dataset 1'!$B$7:$B$2506,$A15,'Dataset 1'!$J$7:$J$2506,DR$5)</f>
        <v>880</v>
      </c>
      <c r="DS15" s="83">
        <f>SUMIFS('Dataset 1'!$E$7:$E$2506,'Dataset 1'!$B$7:$B$2506,$A15,'Dataset 1'!$J$7:$J$2506,DS$5)</f>
        <v>0</v>
      </c>
      <c r="DT15" s="83">
        <f>SUMIFS('Dataset 1'!$E$7:$E$2506,'Dataset 1'!$B$7:$B$2506,$A15,'Dataset 1'!$J$7:$J$2506,DT$5)</f>
        <v>0</v>
      </c>
      <c r="DU15" s="83">
        <f>SUMIFS('Dataset 1'!$E$7:$E$2506,'Dataset 1'!$B$7:$B$2506,$A15,'Dataset 1'!$J$7:$J$2506,DU$5)</f>
        <v>0</v>
      </c>
      <c r="DV15" s="83">
        <f>SUMIFS('Dataset 1'!$E$7:$E$2506,'Dataset 1'!$B$7:$B$2506,$A15,'Dataset 1'!$J$7:$J$2506,DV$5)</f>
        <v>320</v>
      </c>
      <c r="DW15" s="83">
        <f>SUMIFS('Dataset 1'!$E$7:$E$2506,'Dataset 1'!$B$7:$B$2506,$A15,'Dataset 1'!$J$7:$J$2506,DW$5)</f>
        <v>600</v>
      </c>
      <c r="DX15" s="83">
        <f>SUMIFS('Dataset 1'!$E$7:$E$2506,'Dataset 1'!$B$7:$B$2506,$A15,'Dataset 1'!$J$7:$J$2506,DX$5)</f>
        <v>0</v>
      </c>
      <c r="DY15" s="83">
        <f>SUMIFS('Dataset 1'!$E$7:$E$2506,'Dataset 1'!$B$7:$B$2506,$A15,'Dataset 1'!$J$7:$J$2506,DY$5)</f>
        <v>17620</v>
      </c>
      <c r="DZ15" s="83">
        <f>SUMIFS('Dataset 1'!$E$7:$E$2506,'Dataset 1'!$B$7:$B$2506,$A15,'Dataset 1'!$J$7:$J$2506,DZ$5)</f>
        <v>920</v>
      </c>
      <c r="EA15" s="83">
        <f>SUMIFS('Dataset 1'!$E$7:$E$2506,'Dataset 1'!$B$7:$B$2506,$A15,'Dataset 1'!$J$7:$J$2506,EA$5)</f>
        <v>0</v>
      </c>
      <c r="EB15" s="83">
        <f>SUMIFS('Dataset 1'!$E$7:$E$2506,'Dataset 1'!$B$7:$B$2506,$A15,'Dataset 1'!$J$7:$J$2506,EB$5)</f>
        <v>0</v>
      </c>
      <c r="EC15" s="83">
        <f>SUMIFS('Dataset 1'!$E$7:$E$2506,'Dataset 1'!$B$7:$B$2506,$A15,'Dataset 1'!$J$7:$J$2506,EC$5)</f>
        <v>0</v>
      </c>
      <c r="ED15" s="83">
        <f>SUMIFS('Dataset 1'!$E$7:$E$2506,'Dataset 1'!$B$7:$B$2506,$A15,'Dataset 1'!$J$7:$J$2506,ED$5)</f>
        <v>210</v>
      </c>
      <c r="EE15" s="83">
        <f>SUMIFS('Dataset 1'!$E$7:$E$2506,'Dataset 1'!$B$7:$B$2506,$A15,'Dataset 1'!$J$7:$J$2506,EE$5)</f>
        <v>0</v>
      </c>
      <c r="EF15" s="83">
        <f>SUMIFS('Dataset 1'!$E$7:$E$2506,'Dataset 1'!$B$7:$B$2506,$A15,'Dataset 1'!$J$7:$J$2506,EF$5)</f>
        <v>0</v>
      </c>
      <c r="EG15" s="83">
        <f>SUMIFS('Dataset 1'!$E$7:$E$2506,'Dataset 1'!$B$7:$B$2506,$A15,'Dataset 1'!$J$7:$J$2506,EG$5)</f>
        <v>250</v>
      </c>
    </row>
    <row r="16" spans="1:137" x14ac:dyDescent="0.2">
      <c r="A16">
        <v>2015</v>
      </c>
      <c r="B16" s="83">
        <f>SUMIFS('Dataset 1'!$E$7:$E$2506,'Dataset 1'!$B$7:$B$2506,$A16,'Dataset 1'!$J$7:$J$2506,B$5)</f>
        <v>0</v>
      </c>
      <c r="C16" s="83">
        <f>SUMIFS('Dataset 1'!$E$7:$E$2506,'Dataset 1'!$B$7:$B$2506,$A16,'Dataset 1'!$J$7:$J$2506,C$5)</f>
        <v>0</v>
      </c>
      <c r="D16" s="83">
        <f>SUMIFS('Dataset 1'!$E$7:$E$2506,'Dataset 1'!$B$7:$B$2506,$A16,'Dataset 1'!$J$7:$J$2506,D$5)</f>
        <v>0</v>
      </c>
      <c r="E16" s="83">
        <f>SUMIFS('Dataset 1'!$E$7:$E$2506,'Dataset 1'!$B$7:$B$2506,$A16,'Dataset 1'!$J$7:$J$2506,E$5)</f>
        <v>0</v>
      </c>
      <c r="F16" s="83">
        <f>SUMIFS('Dataset 1'!$E$7:$E$2506,'Dataset 1'!$B$7:$B$2506,$A16,'Dataset 1'!$J$7:$J$2506,F$5)</f>
        <v>300</v>
      </c>
      <c r="G16" s="83">
        <f>SUMIFS('Dataset 1'!$E$7:$E$2506,'Dataset 1'!$B$7:$B$2506,$A16,'Dataset 1'!$J$7:$J$2506,G$5)</f>
        <v>10990</v>
      </c>
      <c r="H16" s="83">
        <f>SUMIFS('Dataset 1'!$E$7:$E$2506,'Dataset 1'!$B$7:$B$2506,$A16,'Dataset 1'!$J$7:$J$2506,H$5)</f>
        <v>0</v>
      </c>
      <c r="I16" s="83">
        <f>SUMIFS('Dataset 1'!$E$7:$E$2506,'Dataset 1'!$B$7:$B$2506,$A16,'Dataset 1'!$J$7:$J$2506,I$5)</f>
        <v>0</v>
      </c>
      <c r="J16" s="83">
        <f>SUMIFS('Dataset 1'!$E$7:$E$2506,'Dataset 1'!$B$7:$B$2506,$A16,'Dataset 1'!$J$7:$J$2506,J$5)</f>
        <v>250</v>
      </c>
      <c r="K16" s="83">
        <f>SUMIFS('Dataset 1'!$E$7:$E$2506,'Dataset 1'!$B$7:$B$2506,$A16,'Dataset 1'!$J$7:$J$2506,K$5)</f>
        <v>750</v>
      </c>
      <c r="L16" s="83">
        <f>SUMIFS('Dataset 1'!$E$7:$E$2506,'Dataset 1'!$B$7:$B$2506,$A16,'Dataset 1'!$J$7:$J$2506,L$5)</f>
        <v>300</v>
      </c>
      <c r="M16" s="83">
        <f>SUMIFS('Dataset 1'!$E$7:$E$2506,'Dataset 1'!$B$7:$B$2506,$A16,'Dataset 1'!$J$7:$J$2506,M$5)</f>
        <v>290</v>
      </c>
      <c r="N16" s="83">
        <f>SUMIFS('Dataset 1'!$E$7:$E$2506,'Dataset 1'!$B$7:$B$2506,$A16,'Dataset 1'!$J$7:$J$2506,N$5)</f>
        <v>0</v>
      </c>
      <c r="O16" s="83">
        <f>SUMIFS('Dataset 1'!$E$7:$E$2506,'Dataset 1'!$B$7:$B$2506,$A16,'Dataset 1'!$J$7:$J$2506,O$5)</f>
        <v>0</v>
      </c>
      <c r="P16" s="83">
        <f>SUMIFS('Dataset 1'!$E$7:$E$2506,'Dataset 1'!$B$7:$B$2506,$A16,'Dataset 1'!$J$7:$J$2506,P$5)</f>
        <v>0</v>
      </c>
      <c r="Q16" s="83">
        <f>SUMIFS('Dataset 1'!$E$7:$E$2506,'Dataset 1'!$B$7:$B$2506,$A16,'Dataset 1'!$J$7:$J$2506,Q$5)</f>
        <v>3220</v>
      </c>
      <c r="R16" s="83">
        <f>SUMIFS('Dataset 1'!$E$7:$E$2506,'Dataset 1'!$B$7:$B$2506,$A16,'Dataset 1'!$J$7:$J$2506,R$5)</f>
        <v>3830</v>
      </c>
      <c r="S16" s="83">
        <f>SUMIFS('Dataset 1'!$E$7:$E$2506,'Dataset 1'!$B$7:$B$2506,$A16,'Dataset 1'!$J$7:$J$2506,S$5)</f>
        <v>0</v>
      </c>
      <c r="T16" s="83">
        <f>SUMIFS('Dataset 1'!$E$7:$E$2506,'Dataset 1'!$B$7:$B$2506,$A16,'Dataset 1'!$J$7:$J$2506,T$5)</f>
        <v>0</v>
      </c>
      <c r="U16" s="83">
        <f>SUMIFS('Dataset 1'!$E$7:$E$2506,'Dataset 1'!$B$7:$B$2506,$A16,'Dataset 1'!$J$7:$J$2506,U$5)</f>
        <v>0</v>
      </c>
      <c r="V16" s="83">
        <f>SUMIFS('Dataset 1'!$E$7:$E$2506,'Dataset 1'!$B$7:$B$2506,$A16,'Dataset 1'!$J$7:$J$2506,V$5)</f>
        <v>200</v>
      </c>
      <c r="W16" s="83">
        <f>SUMIFS('Dataset 1'!$E$7:$E$2506,'Dataset 1'!$B$7:$B$2506,$A16,'Dataset 1'!$J$7:$J$2506,W$5)</f>
        <v>1340</v>
      </c>
      <c r="X16" s="83">
        <f>SUMIFS('Dataset 1'!$E$7:$E$2506,'Dataset 1'!$B$7:$B$2506,$A16,'Dataset 1'!$J$7:$J$2506,X$5)</f>
        <v>0</v>
      </c>
      <c r="Y16" s="83">
        <f>SUMIFS('Dataset 1'!$E$7:$E$2506,'Dataset 1'!$B$7:$B$2506,$A16,'Dataset 1'!$J$7:$J$2506,Y$5)</f>
        <v>0</v>
      </c>
      <c r="Z16" s="83">
        <f>SUMIFS('Dataset 1'!$E$7:$E$2506,'Dataset 1'!$B$7:$B$2506,$A16,'Dataset 1'!$J$7:$J$2506,Z$5)</f>
        <v>0</v>
      </c>
      <c r="AA16" s="83">
        <f>SUMIFS('Dataset 1'!$E$7:$E$2506,'Dataset 1'!$B$7:$B$2506,$A16,'Dataset 1'!$J$7:$J$2506,AA$5)</f>
        <v>0</v>
      </c>
      <c r="AB16" s="83">
        <f>SUMIFS('Dataset 1'!$E$7:$E$2506,'Dataset 1'!$B$7:$B$2506,$A16,'Dataset 1'!$J$7:$J$2506,AB$5)</f>
        <v>0</v>
      </c>
      <c r="AC16" s="83">
        <f>SUMIFS('Dataset 1'!$E$7:$E$2506,'Dataset 1'!$B$7:$B$2506,$A16,'Dataset 1'!$J$7:$J$2506,AC$5)</f>
        <v>0</v>
      </c>
      <c r="AD16" s="83">
        <f>SUMIFS('Dataset 1'!$E$7:$E$2506,'Dataset 1'!$B$7:$B$2506,$A16,'Dataset 1'!$J$7:$J$2506,AD$5)</f>
        <v>0</v>
      </c>
      <c r="AE16" s="83">
        <f>SUMIFS('Dataset 1'!$E$7:$E$2506,'Dataset 1'!$B$7:$B$2506,$A16,'Dataset 1'!$J$7:$J$2506,AE$5)</f>
        <v>200</v>
      </c>
      <c r="AF16" s="83">
        <f>SUMIFS('Dataset 1'!$E$7:$E$2506,'Dataset 1'!$B$7:$B$2506,$A16,'Dataset 1'!$J$7:$J$2506,AF$5)</f>
        <v>980</v>
      </c>
      <c r="AG16" s="83">
        <f>SUMIFS('Dataset 1'!$E$7:$E$2506,'Dataset 1'!$B$7:$B$2506,$A16,'Dataset 1'!$J$7:$J$2506,AG$5)</f>
        <v>0</v>
      </c>
      <c r="AH16" s="83">
        <f>SUMIFS('Dataset 1'!$E$7:$E$2506,'Dataset 1'!$B$7:$B$2506,$A16,'Dataset 1'!$J$7:$J$2506,AH$5)</f>
        <v>0</v>
      </c>
      <c r="AI16" s="83">
        <f>SUMIFS('Dataset 1'!$E$7:$E$2506,'Dataset 1'!$B$7:$B$2506,$A16,'Dataset 1'!$J$7:$J$2506,AI$5)</f>
        <v>530</v>
      </c>
      <c r="AJ16" s="83">
        <f>SUMIFS('Dataset 1'!$E$7:$E$2506,'Dataset 1'!$B$7:$B$2506,$A16,'Dataset 1'!$J$7:$J$2506,AJ$5)</f>
        <v>190</v>
      </c>
      <c r="AK16" s="83">
        <f>SUMIFS('Dataset 1'!$E$7:$E$2506,'Dataset 1'!$B$7:$B$2506,$A16,'Dataset 1'!$J$7:$J$2506,AK$5)</f>
        <v>0</v>
      </c>
      <c r="AL16" s="83">
        <f>SUMIFS('Dataset 1'!$E$7:$E$2506,'Dataset 1'!$B$7:$B$2506,$A16,'Dataset 1'!$J$7:$J$2506,AL$5)</f>
        <v>0</v>
      </c>
      <c r="AM16" s="83">
        <f>SUMIFS('Dataset 1'!$E$7:$E$2506,'Dataset 1'!$B$7:$B$2506,$A16,'Dataset 1'!$J$7:$J$2506,AM$5)</f>
        <v>0</v>
      </c>
      <c r="AN16" s="83">
        <f>SUMIFS('Dataset 1'!$E$7:$E$2506,'Dataset 1'!$B$7:$B$2506,$A16,'Dataset 1'!$J$7:$J$2506,AN$5)</f>
        <v>2990</v>
      </c>
      <c r="AO16" s="83">
        <f>SUMIFS('Dataset 1'!$E$7:$E$2506,'Dataset 1'!$B$7:$B$2506,$A16,'Dataset 1'!$J$7:$J$2506,AO$5)</f>
        <v>0</v>
      </c>
      <c r="AP16" s="83">
        <f>SUMIFS('Dataset 1'!$E$7:$E$2506,'Dataset 1'!$B$7:$B$2506,$A16,'Dataset 1'!$J$7:$J$2506,AP$5)</f>
        <v>0</v>
      </c>
      <c r="AQ16" s="83">
        <f>SUMIFS('Dataset 1'!$E$7:$E$2506,'Dataset 1'!$B$7:$B$2506,$A16,'Dataset 1'!$J$7:$J$2506,AQ$5)</f>
        <v>1690</v>
      </c>
      <c r="AR16" s="83">
        <f>SUMIFS('Dataset 1'!$E$7:$E$2506,'Dataset 1'!$B$7:$B$2506,$A16,'Dataset 1'!$J$7:$J$2506,AR$5)</f>
        <v>590</v>
      </c>
      <c r="AS16" s="83">
        <f>SUMIFS('Dataset 1'!$E$7:$E$2506,'Dataset 1'!$B$7:$B$2506,$A16,'Dataset 1'!$J$7:$J$2506,AS$5)</f>
        <v>0</v>
      </c>
      <c r="AT16" s="83">
        <f>SUMIFS('Dataset 1'!$E$7:$E$2506,'Dataset 1'!$B$7:$B$2506,$A16,'Dataset 1'!$J$7:$J$2506,AT$5)</f>
        <v>0</v>
      </c>
      <c r="AU16" s="83">
        <f>SUMIFS('Dataset 1'!$E$7:$E$2506,'Dataset 1'!$B$7:$B$2506,$A16,'Dataset 1'!$J$7:$J$2506,AU$5)</f>
        <v>0</v>
      </c>
      <c r="AV16" s="83">
        <f>SUMIFS('Dataset 1'!$E$7:$E$2506,'Dataset 1'!$B$7:$B$2506,$A16,'Dataset 1'!$J$7:$J$2506,AV$5)</f>
        <v>0</v>
      </c>
      <c r="AW16" s="83">
        <f>SUMIFS('Dataset 1'!$E$7:$E$2506,'Dataset 1'!$B$7:$B$2506,$A16,'Dataset 1'!$J$7:$J$2506,AW$5)</f>
        <v>0</v>
      </c>
      <c r="AX16" s="83">
        <f>SUMIFS('Dataset 1'!$E$7:$E$2506,'Dataset 1'!$B$7:$B$2506,$A16,'Dataset 1'!$J$7:$J$2506,AX$5)</f>
        <v>1630</v>
      </c>
      <c r="AY16" s="83">
        <f>SUMIFS('Dataset 1'!$E$7:$E$2506,'Dataset 1'!$B$7:$B$2506,$A16,'Dataset 1'!$J$7:$J$2506,AY$5)</f>
        <v>3190</v>
      </c>
      <c r="AZ16" s="83">
        <f>SUMIFS('Dataset 1'!$E$7:$E$2506,'Dataset 1'!$B$7:$B$2506,$A16,'Dataset 1'!$J$7:$J$2506,AZ$5)</f>
        <v>0</v>
      </c>
      <c r="BA16" s="83">
        <f>SUMIFS('Dataset 1'!$E$7:$E$2506,'Dataset 1'!$B$7:$B$2506,$A16,'Dataset 1'!$J$7:$J$2506,BA$5)</f>
        <v>0</v>
      </c>
      <c r="BB16" s="83">
        <f>SUMIFS('Dataset 1'!$E$7:$E$2506,'Dataset 1'!$B$7:$B$2506,$A16,'Dataset 1'!$J$7:$J$2506,BB$5)</f>
        <v>5170</v>
      </c>
      <c r="BC16" s="83">
        <f>SUMIFS('Dataset 1'!$E$7:$E$2506,'Dataset 1'!$B$7:$B$2506,$A16,'Dataset 1'!$J$7:$J$2506,BC$5)</f>
        <v>100</v>
      </c>
      <c r="BD16" s="83">
        <f>SUMIFS('Dataset 1'!$E$7:$E$2506,'Dataset 1'!$B$7:$B$2506,$A16,'Dataset 1'!$J$7:$J$2506,BD$5)</f>
        <v>10580</v>
      </c>
      <c r="BE16" s="83">
        <f>SUMIFS('Dataset 1'!$E$7:$E$2506,'Dataset 1'!$B$7:$B$2506,$A16,'Dataset 1'!$J$7:$J$2506,BE$5)</f>
        <v>0</v>
      </c>
      <c r="BF16" s="83">
        <f>SUMIFS('Dataset 1'!$E$7:$E$2506,'Dataset 1'!$B$7:$B$2506,$A16,'Dataset 1'!$J$7:$J$2506,BF$5)</f>
        <v>0</v>
      </c>
      <c r="BG16" s="83">
        <f>SUMIFS('Dataset 1'!$E$7:$E$2506,'Dataset 1'!$B$7:$B$2506,$A16,'Dataset 1'!$J$7:$J$2506,BG$5)</f>
        <v>1340</v>
      </c>
      <c r="BH16" s="83">
        <f>SUMIFS('Dataset 1'!$E$7:$E$2506,'Dataset 1'!$B$7:$B$2506,$A16,'Dataset 1'!$J$7:$J$2506,BH$5)</f>
        <v>350</v>
      </c>
      <c r="BI16" s="83">
        <f>SUMIFS('Dataset 1'!$E$7:$E$2506,'Dataset 1'!$B$7:$B$2506,$A16,'Dataset 1'!$J$7:$J$2506,BI$5)</f>
        <v>600</v>
      </c>
      <c r="BJ16" s="83">
        <f>SUMIFS('Dataset 1'!$E$7:$E$2506,'Dataset 1'!$B$7:$B$2506,$A16,'Dataset 1'!$J$7:$J$2506,BJ$5)</f>
        <v>120</v>
      </c>
      <c r="BK16" s="83">
        <f>SUMIFS('Dataset 1'!$E$7:$E$2506,'Dataset 1'!$B$7:$B$2506,$A16,'Dataset 1'!$J$7:$J$2506,BK$5)</f>
        <v>0</v>
      </c>
      <c r="BL16" s="83">
        <f>SUMIFS('Dataset 1'!$E$7:$E$2506,'Dataset 1'!$B$7:$B$2506,$A16,'Dataset 1'!$J$7:$J$2506,BL$5)</f>
        <v>150</v>
      </c>
      <c r="BM16" s="83">
        <f>SUMIFS('Dataset 1'!$E$7:$E$2506,'Dataset 1'!$B$7:$B$2506,$A16,'Dataset 1'!$J$7:$J$2506,BM$5)</f>
        <v>100</v>
      </c>
      <c r="BN16" s="83">
        <f>SUMIFS('Dataset 1'!$E$7:$E$2506,'Dataset 1'!$B$7:$B$2506,$A16,'Dataset 1'!$J$7:$J$2506,BN$5)</f>
        <v>0</v>
      </c>
      <c r="BO16" s="83">
        <f>SUMIFS('Dataset 1'!$E$7:$E$2506,'Dataset 1'!$B$7:$B$2506,$A16,'Dataset 1'!$J$7:$J$2506,BO$5)</f>
        <v>130</v>
      </c>
      <c r="BP16" s="83">
        <f>SUMIFS('Dataset 1'!$E$7:$E$2506,'Dataset 1'!$B$7:$B$2506,$A16,'Dataset 1'!$J$7:$J$2506,BP$5)</f>
        <v>0</v>
      </c>
      <c r="BQ16" s="83">
        <f>SUMIFS('Dataset 1'!$E$7:$E$2506,'Dataset 1'!$B$7:$B$2506,$A16,'Dataset 1'!$J$7:$J$2506,BQ$5)</f>
        <v>0</v>
      </c>
      <c r="BR16" s="83">
        <f>SUMIFS('Dataset 1'!$E$7:$E$2506,'Dataset 1'!$B$7:$B$2506,$A16,'Dataset 1'!$J$7:$J$2506,BR$5)</f>
        <v>6670</v>
      </c>
      <c r="BS16" s="83">
        <f>SUMIFS('Dataset 1'!$E$7:$E$2506,'Dataset 1'!$B$7:$B$2506,$A16,'Dataset 1'!$J$7:$J$2506,BS$5)</f>
        <v>0</v>
      </c>
      <c r="BT16" s="83">
        <f>SUMIFS('Dataset 1'!$E$7:$E$2506,'Dataset 1'!$B$7:$B$2506,$A16,'Dataset 1'!$J$7:$J$2506,BT$5)</f>
        <v>0</v>
      </c>
      <c r="BU16" s="83">
        <f>SUMIFS('Dataset 1'!$E$7:$E$2506,'Dataset 1'!$B$7:$B$2506,$A16,'Dataset 1'!$J$7:$J$2506,BU$5)</f>
        <v>0</v>
      </c>
      <c r="BV16" s="83">
        <f>SUMIFS('Dataset 1'!$E$7:$E$2506,'Dataset 1'!$B$7:$B$2506,$A16,'Dataset 1'!$J$7:$J$2506,BV$5)</f>
        <v>0</v>
      </c>
      <c r="BW16" s="83">
        <f>SUMIFS('Dataset 1'!$E$7:$E$2506,'Dataset 1'!$B$7:$B$2506,$A16,'Dataset 1'!$J$7:$J$2506,BW$5)</f>
        <v>400</v>
      </c>
      <c r="BX16" s="83">
        <f>SUMIFS('Dataset 1'!$E$7:$E$2506,'Dataset 1'!$B$7:$B$2506,$A16,'Dataset 1'!$J$7:$J$2506,BX$5)</f>
        <v>2450</v>
      </c>
      <c r="BY16" s="83">
        <f>SUMIFS('Dataset 1'!$E$7:$E$2506,'Dataset 1'!$B$7:$B$2506,$A16,'Dataset 1'!$J$7:$J$2506,BY$5)</f>
        <v>0</v>
      </c>
      <c r="BZ16" s="83">
        <f>SUMIFS('Dataset 1'!$E$7:$E$2506,'Dataset 1'!$B$7:$B$2506,$A16,'Dataset 1'!$J$7:$J$2506,BZ$5)</f>
        <v>0</v>
      </c>
      <c r="CA16" s="83">
        <f>SUMIFS('Dataset 1'!$E$7:$E$2506,'Dataset 1'!$B$7:$B$2506,$A16,'Dataset 1'!$J$7:$J$2506,CA$5)</f>
        <v>0</v>
      </c>
      <c r="CB16" s="83">
        <f>SUMIFS('Dataset 1'!$E$7:$E$2506,'Dataset 1'!$B$7:$B$2506,$A16,'Dataset 1'!$J$7:$J$2506,CB$5)</f>
        <v>0</v>
      </c>
      <c r="CC16" s="83">
        <f>SUMIFS('Dataset 1'!$E$7:$E$2506,'Dataset 1'!$B$7:$B$2506,$A16,'Dataset 1'!$J$7:$J$2506,CC$5)</f>
        <v>270</v>
      </c>
      <c r="CD16" s="83">
        <f>SUMIFS('Dataset 1'!$E$7:$E$2506,'Dataset 1'!$B$7:$B$2506,$A16,'Dataset 1'!$J$7:$J$2506,CD$5)</f>
        <v>250</v>
      </c>
      <c r="CE16" s="83">
        <f>SUMIFS('Dataset 1'!$E$7:$E$2506,'Dataset 1'!$B$7:$B$2506,$A16,'Dataset 1'!$J$7:$J$2506,CE$5)</f>
        <v>3470</v>
      </c>
      <c r="CF16" s="83">
        <f>SUMIFS('Dataset 1'!$E$7:$E$2506,'Dataset 1'!$B$7:$B$2506,$A16,'Dataset 1'!$J$7:$J$2506,CF$5)</f>
        <v>200</v>
      </c>
      <c r="CG16" s="83">
        <f>SUMIFS('Dataset 1'!$E$7:$E$2506,'Dataset 1'!$B$7:$B$2506,$A16,'Dataset 1'!$J$7:$J$2506,CG$5)</f>
        <v>0</v>
      </c>
      <c r="CH16" s="83">
        <f>SUMIFS('Dataset 1'!$E$7:$E$2506,'Dataset 1'!$B$7:$B$2506,$A16,'Dataset 1'!$J$7:$J$2506,CH$5)</f>
        <v>0</v>
      </c>
      <c r="CI16" s="83">
        <f>SUMIFS('Dataset 1'!$E$7:$E$2506,'Dataset 1'!$B$7:$B$2506,$A16,'Dataset 1'!$J$7:$J$2506,CI$5)</f>
        <v>0</v>
      </c>
      <c r="CJ16" s="83">
        <f>SUMIFS('Dataset 1'!$E$7:$E$2506,'Dataset 1'!$B$7:$B$2506,$A16,'Dataset 1'!$J$7:$J$2506,CJ$5)</f>
        <v>0</v>
      </c>
      <c r="CK16" s="83">
        <f>SUMIFS('Dataset 1'!$E$7:$E$2506,'Dataset 1'!$B$7:$B$2506,$A16,'Dataset 1'!$J$7:$J$2506,CK$5)</f>
        <v>0</v>
      </c>
      <c r="CL16" s="83">
        <f>SUMIFS('Dataset 1'!$E$7:$E$2506,'Dataset 1'!$B$7:$B$2506,$A16,'Dataset 1'!$J$7:$J$2506,CL$5)</f>
        <v>0</v>
      </c>
      <c r="CM16" s="83">
        <f>SUMIFS('Dataset 1'!$E$7:$E$2506,'Dataset 1'!$B$7:$B$2506,$A16,'Dataset 1'!$J$7:$J$2506,CM$5)</f>
        <v>4230</v>
      </c>
      <c r="CN16" s="83">
        <f>SUMIFS('Dataset 1'!$E$7:$E$2506,'Dataset 1'!$B$7:$B$2506,$A16,'Dataset 1'!$J$7:$J$2506,CN$5)</f>
        <v>0</v>
      </c>
      <c r="CO16" s="83">
        <f>SUMIFS('Dataset 1'!$E$7:$E$2506,'Dataset 1'!$B$7:$B$2506,$A16,'Dataset 1'!$J$7:$J$2506,CO$5)</f>
        <v>300</v>
      </c>
      <c r="CP16" s="83">
        <f>SUMIFS('Dataset 1'!$E$7:$E$2506,'Dataset 1'!$B$7:$B$2506,$A16,'Dataset 1'!$J$7:$J$2506,CP$5)</f>
        <v>0</v>
      </c>
      <c r="CQ16" s="83">
        <f>SUMIFS('Dataset 1'!$E$7:$E$2506,'Dataset 1'!$B$7:$B$2506,$A16,'Dataset 1'!$J$7:$J$2506,CQ$5)</f>
        <v>0</v>
      </c>
      <c r="CR16" s="83">
        <f>SUMIFS('Dataset 1'!$E$7:$E$2506,'Dataset 1'!$B$7:$B$2506,$A16,'Dataset 1'!$J$7:$J$2506,CR$5)</f>
        <v>340</v>
      </c>
      <c r="CS16" s="83">
        <f>SUMIFS('Dataset 1'!$E$7:$E$2506,'Dataset 1'!$B$7:$B$2506,$A16,'Dataset 1'!$J$7:$J$2506,CS$5)</f>
        <v>590</v>
      </c>
      <c r="CT16" s="83">
        <f>SUMIFS('Dataset 1'!$E$7:$E$2506,'Dataset 1'!$B$7:$B$2506,$A16,'Dataset 1'!$J$7:$J$2506,CT$5)</f>
        <v>0</v>
      </c>
      <c r="CU16" s="83">
        <f>SUMIFS('Dataset 1'!$E$7:$E$2506,'Dataset 1'!$B$7:$B$2506,$A16,'Dataset 1'!$J$7:$J$2506,CU$5)</f>
        <v>4110</v>
      </c>
      <c r="CV16" s="83">
        <f>SUMIFS('Dataset 1'!$E$7:$E$2506,'Dataset 1'!$B$7:$B$2506,$A16,'Dataset 1'!$J$7:$J$2506,CV$5)</f>
        <v>120</v>
      </c>
      <c r="CW16" s="83">
        <f>SUMIFS('Dataset 1'!$E$7:$E$2506,'Dataset 1'!$B$7:$B$2506,$A16,'Dataset 1'!$J$7:$J$2506,CW$5)</f>
        <v>0</v>
      </c>
      <c r="CX16" s="83">
        <f>SUMIFS('Dataset 1'!$E$7:$E$2506,'Dataset 1'!$B$7:$B$2506,$A16,'Dataset 1'!$J$7:$J$2506,CX$5)</f>
        <v>120</v>
      </c>
      <c r="CY16" s="83">
        <f>SUMIFS('Dataset 1'!$E$7:$E$2506,'Dataset 1'!$B$7:$B$2506,$A16,'Dataset 1'!$J$7:$J$2506,CY$5)</f>
        <v>0</v>
      </c>
      <c r="CZ16" s="83">
        <f>SUMIFS('Dataset 1'!$E$7:$E$2506,'Dataset 1'!$B$7:$B$2506,$A16,'Dataset 1'!$J$7:$J$2506,CZ$5)</f>
        <v>0</v>
      </c>
      <c r="DA16" s="83">
        <f>SUMIFS('Dataset 1'!$E$7:$E$2506,'Dataset 1'!$B$7:$B$2506,$A16,'Dataset 1'!$J$7:$J$2506,DA$5)</f>
        <v>540</v>
      </c>
      <c r="DB16" s="83">
        <f>SUMIFS('Dataset 1'!$E$7:$E$2506,'Dataset 1'!$B$7:$B$2506,$A16,'Dataset 1'!$J$7:$J$2506,DB$5)</f>
        <v>4470</v>
      </c>
      <c r="DC16" s="83">
        <f>SUMIFS('Dataset 1'!$E$7:$E$2506,'Dataset 1'!$B$7:$B$2506,$A16,'Dataset 1'!$J$7:$J$2506,DC$5)</f>
        <v>0</v>
      </c>
      <c r="DD16" s="83">
        <f>SUMIFS('Dataset 1'!$E$7:$E$2506,'Dataset 1'!$B$7:$B$2506,$A16,'Dataset 1'!$J$7:$J$2506,DD$5)</f>
        <v>0</v>
      </c>
      <c r="DE16" s="83">
        <f>SUMIFS('Dataset 1'!$E$7:$E$2506,'Dataset 1'!$B$7:$B$2506,$A16,'Dataset 1'!$J$7:$J$2506,DE$5)</f>
        <v>0</v>
      </c>
      <c r="DF16" s="83">
        <f>SUMIFS('Dataset 1'!$E$7:$E$2506,'Dataset 1'!$B$7:$B$2506,$A16,'Dataset 1'!$J$7:$J$2506,DF$5)</f>
        <v>490</v>
      </c>
      <c r="DG16" s="83">
        <f>SUMIFS('Dataset 1'!$E$7:$E$2506,'Dataset 1'!$B$7:$B$2506,$A16,'Dataset 1'!$J$7:$J$2506,DG$5)</f>
        <v>1440</v>
      </c>
      <c r="DH16" s="83">
        <f>SUMIFS('Dataset 1'!$E$7:$E$2506,'Dataset 1'!$B$7:$B$2506,$A16,'Dataset 1'!$J$7:$J$2506,DH$5)</f>
        <v>850</v>
      </c>
      <c r="DI16" s="83">
        <f>SUMIFS('Dataset 1'!$E$7:$E$2506,'Dataset 1'!$B$7:$B$2506,$A16,'Dataset 1'!$J$7:$J$2506,DI$5)</f>
        <v>0</v>
      </c>
      <c r="DJ16" s="83">
        <f>SUMIFS('Dataset 1'!$E$7:$E$2506,'Dataset 1'!$B$7:$B$2506,$A16,'Dataset 1'!$J$7:$J$2506,DJ$5)</f>
        <v>0</v>
      </c>
      <c r="DK16" s="83">
        <f>SUMIFS('Dataset 1'!$E$7:$E$2506,'Dataset 1'!$B$7:$B$2506,$A16,'Dataset 1'!$J$7:$J$2506,DK$5)</f>
        <v>0</v>
      </c>
      <c r="DL16" s="83">
        <f>SUMIFS('Dataset 1'!$E$7:$E$2506,'Dataset 1'!$B$7:$B$2506,$A16,'Dataset 1'!$J$7:$J$2506,DL$5)</f>
        <v>2590</v>
      </c>
      <c r="DM16" s="83">
        <f>SUMIFS('Dataset 1'!$E$7:$E$2506,'Dataset 1'!$B$7:$B$2506,$A16,'Dataset 1'!$J$7:$J$2506,DM$5)</f>
        <v>4360</v>
      </c>
      <c r="DN16" s="83">
        <f>SUMIFS('Dataset 1'!$E$7:$E$2506,'Dataset 1'!$B$7:$B$2506,$A16,'Dataset 1'!$J$7:$J$2506,DN$5)</f>
        <v>0</v>
      </c>
      <c r="DO16" s="83">
        <f>SUMIFS('Dataset 1'!$E$7:$E$2506,'Dataset 1'!$B$7:$B$2506,$A16,'Dataset 1'!$J$7:$J$2506,DO$5)</f>
        <v>0</v>
      </c>
      <c r="DP16" s="83">
        <f>SUMIFS('Dataset 1'!$E$7:$E$2506,'Dataset 1'!$B$7:$B$2506,$A16,'Dataset 1'!$J$7:$J$2506,DP$5)</f>
        <v>0</v>
      </c>
      <c r="DQ16" s="83">
        <f>SUMIFS('Dataset 1'!$E$7:$E$2506,'Dataset 1'!$B$7:$B$2506,$A16,'Dataset 1'!$J$7:$J$2506,DQ$5)</f>
        <v>0</v>
      </c>
      <c r="DR16" s="83">
        <f>SUMIFS('Dataset 1'!$E$7:$E$2506,'Dataset 1'!$B$7:$B$2506,$A16,'Dataset 1'!$J$7:$J$2506,DR$5)</f>
        <v>860</v>
      </c>
      <c r="DS16" s="83">
        <f>SUMIFS('Dataset 1'!$E$7:$E$2506,'Dataset 1'!$B$7:$B$2506,$A16,'Dataset 1'!$J$7:$J$2506,DS$5)</f>
        <v>0</v>
      </c>
      <c r="DT16" s="83">
        <f>SUMIFS('Dataset 1'!$E$7:$E$2506,'Dataset 1'!$B$7:$B$2506,$A16,'Dataset 1'!$J$7:$J$2506,DT$5)</f>
        <v>0</v>
      </c>
      <c r="DU16" s="83">
        <f>SUMIFS('Dataset 1'!$E$7:$E$2506,'Dataset 1'!$B$7:$B$2506,$A16,'Dataset 1'!$J$7:$J$2506,DU$5)</f>
        <v>0</v>
      </c>
      <c r="DV16" s="83">
        <f>SUMIFS('Dataset 1'!$E$7:$E$2506,'Dataset 1'!$B$7:$B$2506,$A16,'Dataset 1'!$J$7:$J$2506,DV$5)</f>
        <v>1300</v>
      </c>
      <c r="DW16" s="83">
        <f>SUMIFS('Dataset 1'!$E$7:$E$2506,'Dataset 1'!$B$7:$B$2506,$A16,'Dataset 1'!$J$7:$J$2506,DW$5)</f>
        <v>0</v>
      </c>
      <c r="DX16" s="83">
        <f>SUMIFS('Dataset 1'!$E$7:$E$2506,'Dataset 1'!$B$7:$B$2506,$A16,'Dataset 1'!$J$7:$J$2506,DX$5)</f>
        <v>0</v>
      </c>
      <c r="DY16" s="83">
        <f>SUMIFS('Dataset 1'!$E$7:$E$2506,'Dataset 1'!$B$7:$B$2506,$A16,'Dataset 1'!$J$7:$J$2506,DY$5)</f>
        <v>19030</v>
      </c>
      <c r="DZ16" s="83">
        <f>SUMIFS('Dataset 1'!$E$7:$E$2506,'Dataset 1'!$B$7:$B$2506,$A16,'Dataset 1'!$J$7:$J$2506,DZ$5)</f>
        <v>0</v>
      </c>
      <c r="EA16" s="83">
        <f>SUMIFS('Dataset 1'!$E$7:$E$2506,'Dataset 1'!$B$7:$B$2506,$A16,'Dataset 1'!$J$7:$J$2506,EA$5)</f>
        <v>0</v>
      </c>
      <c r="EB16" s="83">
        <f>SUMIFS('Dataset 1'!$E$7:$E$2506,'Dataset 1'!$B$7:$B$2506,$A16,'Dataset 1'!$J$7:$J$2506,EB$5)</f>
        <v>0</v>
      </c>
      <c r="EC16" s="83">
        <f>SUMIFS('Dataset 1'!$E$7:$E$2506,'Dataset 1'!$B$7:$B$2506,$A16,'Dataset 1'!$J$7:$J$2506,EC$5)</f>
        <v>0</v>
      </c>
      <c r="ED16" s="83">
        <f>SUMIFS('Dataset 1'!$E$7:$E$2506,'Dataset 1'!$B$7:$B$2506,$A16,'Dataset 1'!$J$7:$J$2506,ED$5)</f>
        <v>3260</v>
      </c>
      <c r="EE16" s="83">
        <f>SUMIFS('Dataset 1'!$E$7:$E$2506,'Dataset 1'!$B$7:$B$2506,$A16,'Dataset 1'!$J$7:$J$2506,EE$5)</f>
        <v>0</v>
      </c>
      <c r="EF16" s="83">
        <f>SUMIFS('Dataset 1'!$E$7:$E$2506,'Dataset 1'!$B$7:$B$2506,$A16,'Dataset 1'!$J$7:$J$2506,EF$5)</f>
        <v>500</v>
      </c>
      <c r="EG16" s="83">
        <f>SUMIFS('Dataset 1'!$E$7:$E$2506,'Dataset 1'!$B$7:$B$2506,$A16,'Dataset 1'!$J$7:$J$2506,EG$5)</f>
        <v>0</v>
      </c>
    </row>
    <row r="17" spans="1:137" x14ac:dyDescent="0.2">
      <c r="A17">
        <v>2016</v>
      </c>
      <c r="B17" s="83">
        <f>SUMIFS('Dataset 1'!$E$7:$E$2506,'Dataset 1'!$B$7:$B$2506,$A17,'Dataset 1'!$J$7:$J$2506,B$5)</f>
        <v>0</v>
      </c>
      <c r="C17" s="83">
        <f>SUMIFS('Dataset 1'!$E$7:$E$2506,'Dataset 1'!$B$7:$B$2506,$A17,'Dataset 1'!$J$7:$J$2506,C$5)</f>
        <v>0</v>
      </c>
      <c r="D17" s="83">
        <f>SUMIFS('Dataset 1'!$E$7:$E$2506,'Dataset 1'!$B$7:$B$2506,$A17,'Dataset 1'!$J$7:$J$2506,D$5)</f>
        <v>0</v>
      </c>
      <c r="E17" s="83">
        <f>SUMIFS('Dataset 1'!$E$7:$E$2506,'Dataset 1'!$B$7:$B$2506,$A17,'Dataset 1'!$J$7:$J$2506,E$5)</f>
        <v>0</v>
      </c>
      <c r="F17" s="83">
        <f>SUMIFS('Dataset 1'!$E$7:$E$2506,'Dataset 1'!$B$7:$B$2506,$A17,'Dataset 1'!$J$7:$J$2506,F$5)</f>
        <v>290</v>
      </c>
      <c r="G17" s="83">
        <f>SUMIFS('Dataset 1'!$E$7:$E$2506,'Dataset 1'!$B$7:$B$2506,$A17,'Dataset 1'!$J$7:$J$2506,G$5)</f>
        <v>6840</v>
      </c>
      <c r="H17" s="83">
        <f>SUMIFS('Dataset 1'!$E$7:$E$2506,'Dataset 1'!$B$7:$B$2506,$A17,'Dataset 1'!$J$7:$J$2506,H$5)</f>
        <v>0</v>
      </c>
      <c r="I17" s="83">
        <f>SUMIFS('Dataset 1'!$E$7:$E$2506,'Dataset 1'!$B$7:$B$2506,$A17,'Dataset 1'!$J$7:$J$2506,I$5)</f>
        <v>0</v>
      </c>
      <c r="J17" s="83">
        <f>SUMIFS('Dataset 1'!$E$7:$E$2506,'Dataset 1'!$B$7:$B$2506,$A17,'Dataset 1'!$J$7:$J$2506,J$5)</f>
        <v>0</v>
      </c>
      <c r="K17" s="83">
        <f>SUMIFS('Dataset 1'!$E$7:$E$2506,'Dataset 1'!$B$7:$B$2506,$A17,'Dataset 1'!$J$7:$J$2506,K$5)</f>
        <v>990</v>
      </c>
      <c r="L17" s="83">
        <f>SUMIFS('Dataset 1'!$E$7:$E$2506,'Dataset 1'!$B$7:$B$2506,$A17,'Dataset 1'!$J$7:$J$2506,L$5)</f>
        <v>0</v>
      </c>
      <c r="M17" s="83">
        <f>SUMIFS('Dataset 1'!$E$7:$E$2506,'Dataset 1'!$B$7:$B$2506,$A17,'Dataset 1'!$J$7:$J$2506,M$5)</f>
        <v>0</v>
      </c>
      <c r="N17" s="83">
        <f>SUMIFS('Dataset 1'!$E$7:$E$2506,'Dataset 1'!$B$7:$B$2506,$A17,'Dataset 1'!$J$7:$J$2506,N$5)</f>
        <v>0</v>
      </c>
      <c r="O17" s="83">
        <f>SUMIFS('Dataset 1'!$E$7:$E$2506,'Dataset 1'!$B$7:$B$2506,$A17,'Dataset 1'!$J$7:$J$2506,O$5)</f>
        <v>0</v>
      </c>
      <c r="P17" s="83">
        <f>SUMIFS('Dataset 1'!$E$7:$E$2506,'Dataset 1'!$B$7:$B$2506,$A17,'Dataset 1'!$J$7:$J$2506,P$5)</f>
        <v>0</v>
      </c>
      <c r="Q17" s="83">
        <f>SUMIFS('Dataset 1'!$E$7:$E$2506,'Dataset 1'!$B$7:$B$2506,$A17,'Dataset 1'!$J$7:$J$2506,Q$5)</f>
        <v>13410</v>
      </c>
      <c r="R17" s="83">
        <f>SUMIFS('Dataset 1'!$E$7:$E$2506,'Dataset 1'!$B$7:$B$2506,$A17,'Dataset 1'!$J$7:$J$2506,R$5)</f>
        <v>11300</v>
      </c>
      <c r="S17" s="83">
        <f>SUMIFS('Dataset 1'!$E$7:$E$2506,'Dataset 1'!$B$7:$B$2506,$A17,'Dataset 1'!$J$7:$J$2506,S$5)</f>
        <v>0</v>
      </c>
      <c r="T17" s="83">
        <f>SUMIFS('Dataset 1'!$E$7:$E$2506,'Dataset 1'!$B$7:$B$2506,$A17,'Dataset 1'!$J$7:$J$2506,T$5)</f>
        <v>0</v>
      </c>
      <c r="U17" s="83">
        <f>SUMIFS('Dataset 1'!$E$7:$E$2506,'Dataset 1'!$B$7:$B$2506,$A17,'Dataset 1'!$J$7:$J$2506,U$5)</f>
        <v>480</v>
      </c>
      <c r="V17" s="83">
        <f>SUMIFS('Dataset 1'!$E$7:$E$2506,'Dataset 1'!$B$7:$B$2506,$A17,'Dataset 1'!$J$7:$J$2506,V$5)</f>
        <v>0</v>
      </c>
      <c r="W17" s="83">
        <f>SUMIFS('Dataset 1'!$E$7:$E$2506,'Dataset 1'!$B$7:$B$2506,$A17,'Dataset 1'!$J$7:$J$2506,W$5)</f>
        <v>2750</v>
      </c>
      <c r="X17" s="83">
        <f>SUMIFS('Dataset 1'!$E$7:$E$2506,'Dataset 1'!$B$7:$B$2506,$A17,'Dataset 1'!$J$7:$J$2506,X$5)</f>
        <v>110</v>
      </c>
      <c r="Y17" s="83">
        <f>SUMIFS('Dataset 1'!$E$7:$E$2506,'Dataset 1'!$B$7:$B$2506,$A17,'Dataset 1'!$J$7:$J$2506,Y$5)</f>
        <v>350</v>
      </c>
      <c r="Z17" s="83">
        <f>SUMIFS('Dataset 1'!$E$7:$E$2506,'Dataset 1'!$B$7:$B$2506,$A17,'Dataset 1'!$J$7:$J$2506,Z$5)</f>
        <v>0</v>
      </c>
      <c r="AA17" s="83">
        <f>SUMIFS('Dataset 1'!$E$7:$E$2506,'Dataset 1'!$B$7:$B$2506,$A17,'Dataset 1'!$J$7:$J$2506,AA$5)</f>
        <v>0</v>
      </c>
      <c r="AB17" s="83">
        <f>SUMIFS('Dataset 1'!$E$7:$E$2506,'Dataset 1'!$B$7:$B$2506,$A17,'Dataset 1'!$J$7:$J$2506,AB$5)</f>
        <v>0</v>
      </c>
      <c r="AC17" s="83">
        <f>SUMIFS('Dataset 1'!$E$7:$E$2506,'Dataset 1'!$B$7:$B$2506,$A17,'Dataset 1'!$J$7:$J$2506,AC$5)</f>
        <v>0</v>
      </c>
      <c r="AD17" s="83">
        <f>SUMIFS('Dataset 1'!$E$7:$E$2506,'Dataset 1'!$B$7:$B$2506,$A17,'Dataset 1'!$J$7:$J$2506,AD$5)</f>
        <v>0</v>
      </c>
      <c r="AE17" s="83">
        <f>SUMIFS('Dataset 1'!$E$7:$E$2506,'Dataset 1'!$B$7:$B$2506,$A17,'Dataset 1'!$J$7:$J$2506,AE$5)</f>
        <v>310</v>
      </c>
      <c r="AF17" s="83">
        <f>SUMIFS('Dataset 1'!$E$7:$E$2506,'Dataset 1'!$B$7:$B$2506,$A17,'Dataset 1'!$J$7:$J$2506,AF$5)</f>
        <v>3210</v>
      </c>
      <c r="AG17" s="83">
        <f>SUMIFS('Dataset 1'!$E$7:$E$2506,'Dataset 1'!$B$7:$B$2506,$A17,'Dataset 1'!$J$7:$J$2506,AG$5)</f>
        <v>0</v>
      </c>
      <c r="AH17" s="83">
        <f>SUMIFS('Dataset 1'!$E$7:$E$2506,'Dataset 1'!$B$7:$B$2506,$A17,'Dataset 1'!$J$7:$J$2506,AH$5)</f>
        <v>0</v>
      </c>
      <c r="AI17" s="83">
        <f>SUMIFS('Dataset 1'!$E$7:$E$2506,'Dataset 1'!$B$7:$B$2506,$A17,'Dataset 1'!$J$7:$J$2506,AI$5)</f>
        <v>0</v>
      </c>
      <c r="AJ17" s="83">
        <f>SUMIFS('Dataset 1'!$E$7:$E$2506,'Dataset 1'!$B$7:$B$2506,$A17,'Dataset 1'!$J$7:$J$2506,AJ$5)</f>
        <v>0</v>
      </c>
      <c r="AK17" s="83">
        <f>SUMIFS('Dataset 1'!$E$7:$E$2506,'Dataset 1'!$B$7:$B$2506,$A17,'Dataset 1'!$J$7:$J$2506,AK$5)</f>
        <v>0</v>
      </c>
      <c r="AL17" s="83">
        <f>SUMIFS('Dataset 1'!$E$7:$E$2506,'Dataset 1'!$B$7:$B$2506,$A17,'Dataset 1'!$J$7:$J$2506,AL$5)</f>
        <v>350</v>
      </c>
      <c r="AM17" s="83">
        <f>SUMIFS('Dataset 1'!$E$7:$E$2506,'Dataset 1'!$B$7:$B$2506,$A17,'Dataset 1'!$J$7:$J$2506,AM$5)</f>
        <v>8890</v>
      </c>
      <c r="AN17" s="83">
        <f>SUMIFS('Dataset 1'!$E$7:$E$2506,'Dataset 1'!$B$7:$B$2506,$A17,'Dataset 1'!$J$7:$J$2506,AN$5)</f>
        <v>2700</v>
      </c>
      <c r="AO17" s="83">
        <f>SUMIFS('Dataset 1'!$E$7:$E$2506,'Dataset 1'!$B$7:$B$2506,$A17,'Dataset 1'!$J$7:$J$2506,AO$5)</f>
        <v>0</v>
      </c>
      <c r="AP17" s="83">
        <f>SUMIFS('Dataset 1'!$E$7:$E$2506,'Dataset 1'!$B$7:$B$2506,$A17,'Dataset 1'!$J$7:$J$2506,AP$5)</f>
        <v>0</v>
      </c>
      <c r="AQ17" s="83">
        <f>SUMIFS('Dataset 1'!$E$7:$E$2506,'Dataset 1'!$B$7:$B$2506,$A17,'Dataset 1'!$J$7:$J$2506,AQ$5)</f>
        <v>12580</v>
      </c>
      <c r="AR17" s="83">
        <f>SUMIFS('Dataset 1'!$E$7:$E$2506,'Dataset 1'!$B$7:$B$2506,$A17,'Dataset 1'!$J$7:$J$2506,AR$5)</f>
        <v>0</v>
      </c>
      <c r="AS17" s="83">
        <f>SUMIFS('Dataset 1'!$E$7:$E$2506,'Dataset 1'!$B$7:$B$2506,$A17,'Dataset 1'!$J$7:$J$2506,AS$5)</f>
        <v>870</v>
      </c>
      <c r="AT17" s="83">
        <f>SUMIFS('Dataset 1'!$E$7:$E$2506,'Dataset 1'!$B$7:$B$2506,$A17,'Dataset 1'!$J$7:$J$2506,AT$5)</f>
        <v>0</v>
      </c>
      <c r="AU17" s="83">
        <f>SUMIFS('Dataset 1'!$E$7:$E$2506,'Dataset 1'!$B$7:$B$2506,$A17,'Dataset 1'!$J$7:$J$2506,AU$5)</f>
        <v>0</v>
      </c>
      <c r="AV17" s="83">
        <f>SUMIFS('Dataset 1'!$E$7:$E$2506,'Dataset 1'!$B$7:$B$2506,$A17,'Dataset 1'!$J$7:$J$2506,AV$5)</f>
        <v>0</v>
      </c>
      <c r="AW17" s="83">
        <f>SUMIFS('Dataset 1'!$E$7:$E$2506,'Dataset 1'!$B$7:$B$2506,$A17,'Dataset 1'!$J$7:$J$2506,AW$5)</f>
        <v>0</v>
      </c>
      <c r="AX17" s="83">
        <f>SUMIFS('Dataset 1'!$E$7:$E$2506,'Dataset 1'!$B$7:$B$2506,$A17,'Dataset 1'!$J$7:$J$2506,AX$5)</f>
        <v>1210</v>
      </c>
      <c r="AY17" s="83">
        <f>SUMIFS('Dataset 1'!$E$7:$E$2506,'Dataset 1'!$B$7:$B$2506,$A17,'Dataset 1'!$J$7:$J$2506,AY$5)</f>
        <v>2420</v>
      </c>
      <c r="AZ17" s="83">
        <f>SUMIFS('Dataset 1'!$E$7:$E$2506,'Dataset 1'!$B$7:$B$2506,$A17,'Dataset 1'!$J$7:$J$2506,AZ$5)</f>
        <v>600</v>
      </c>
      <c r="BA17" s="83">
        <f>SUMIFS('Dataset 1'!$E$7:$E$2506,'Dataset 1'!$B$7:$B$2506,$A17,'Dataset 1'!$J$7:$J$2506,BA$5)</f>
        <v>0</v>
      </c>
      <c r="BB17" s="83">
        <f>SUMIFS('Dataset 1'!$E$7:$E$2506,'Dataset 1'!$B$7:$B$2506,$A17,'Dataset 1'!$J$7:$J$2506,BB$5)</f>
        <v>1630</v>
      </c>
      <c r="BC17" s="83">
        <f>SUMIFS('Dataset 1'!$E$7:$E$2506,'Dataset 1'!$B$7:$B$2506,$A17,'Dataset 1'!$J$7:$J$2506,BC$5)</f>
        <v>5950</v>
      </c>
      <c r="BD17" s="83">
        <f>SUMIFS('Dataset 1'!$E$7:$E$2506,'Dataset 1'!$B$7:$B$2506,$A17,'Dataset 1'!$J$7:$J$2506,BD$5)</f>
        <v>700</v>
      </c>
      <c r="BE17" s="83">
        <f>SUMIFS('Dataset 1'!$E$7:$E$2506,'Dataset 1'!$B$7:$B$2506,$A17,'Dataset 1'!$J$7:$J$2506,BE$5)</f>
        <v>0</v>
      </c>
      <c r="BF17" s="83">
        <f>SUMIFS('Dataset 1'!$E$7:$E$2506,'Dataset 1'!$B$7:$B$2506,$A17,'Dataset 1'!$J$7:$J$2506,BF$5)</f>
        <v>300</v>
      </c>
      <c r="BG17" s="83">
        <f>SUMIFS('Dataset 1'!$E$7:$E$2506,'Dataset 1'!$B$7:$B$2506,$A17,'Dataset 1'!$J$7:$J$2506,BG$5)</f>
        <v>1170</v>
      </c>
      <c r="BH17" s="83">
        <f>SUMIFS('Dataset 1'!$E$7:$E$2506,'Dataset 1'!$B$7:$B$2506,$A17,'Dataset 1'!$J$7:$J$2506,BH$5)</f>
        <v>950</v>
      </c>
      <c r="BI17" s="83">
        <f>SUMIFS('Dataset 1'!$E$7:$E$2506,'Dataset 1'!$B$7:$B$2506,$A17,'Dataset 1'!$J$7:$J$2506,BI$5)</f>
        <v>180</v>
      </c>
      <c r="BJ17" s="83">
        <f>SUMIFS('Dataset 1'!$E$7:$E$2506,'Dataset 1'!$B$7:$B$2506,$A17,'Dataset 1'!$J$7:$J$2506,BJ$5)</f>
        <v>100</v>
      </c>
      <c r="BK17" s="83">
        <f>SUMIFS('Dataset 1'!$E$7:$E$2506,'Dataset 1'!$B$7:$B$2506,$A17,'Dataset 1'!$J$7:$J$2506,BK$5)</f>
        <v>0</v>
      </c>
      <c r="BL17" s="83">
        <f>SUMIFS('Dataset 1'!$E$7:$E$2506,'Dataset 1'!$B$7:$B$2506,$A17,'Dataset 1'!$J$7:$J$2506,BL$5)</f>
        <v>0</v>
      </c>
      <c r="BM17" s="83">
        <f>SUMIFS('Dataset 1'!$E$7:$E$2506,'Dataset 1'!$B$7:$B$2506,$A17,'Dataset 1'!$J$7:$J$2506,BM$5)</f>
        <v>2030</v>
      </c>
      <c r="BN17" s="83">
        <f>SUMIFS('Dataset 1'!$E$7:$E$2506,'Dataset 1'!$B$7:$B$2506,$A17,'Dataset 1'!$J$7:$J$2506,BN$5)</f>
        <v>0</v>
      </c>
      <c r="BO17" s="83">
        <f>SUMIFS('Dataset 1'!$E$7:$E$2506,'Dataset 1'!$B$7:$B$2506,$A17,'Dataset 1'!$J$7:$J$2506,BO$5)</f>
        <v>0</v>
      </c>
      <c r="BP17" s="83">
        <f>SUMIFS('Dataset 1'!$E$7:$E$2506,'Dataset 1'!$B$7:$B$2506,$A17,'Dataset 1'!$J$7:$J$2506,BP$5)</f>
        <v>0</v>
      </c>
      <c r="BQ17" s="83">
        <f>SUMIFS('Dataset 1'!$E$7:$E$2506,'Dataset 1'!$B$7:$B$2506,$A17,'Dataset 1'!$J$7:$J$2506,BQ$5)</f>
        <v>100</v>
      </c>
      <c r="BR17" s="83">
        <f>SUMIFS('Dataset 1'!$E$7:$E$2506,'Dataset 1'!$B$7:$B$2506,$A17,'Dataset 1'!$J$7:$J$2506,BR$5)</f>
        <v>2520</v>
      </c>
      <c r="BS17" s="83">
        <f>SUMIFS('Dataset 1'!$E$7:$E$2506,'Dataset 1'!$B$7:$B$2506,$A17,'Dataset 1'!$J$7:$J$2506,BS$5)</f>
        <v>0</v>
      </c>
      <c r="BT17" s="83">
        <f>SUMIFS('Dataset 1'!$E$7:$E$2506,'Dataset 1'!$B$7:$B$2506,$A17,'Dataset 1'!$J$7:$J$2506,BT$5)</f>
        <v>0</v>
      </c>
      <c r="BU17" s="83">
        <f>SUMIFS('Dataset 1'!$E$7:$E$2506,'Dataset 1'!$B$7:$B$2506,$A17,'Dataset 1'!$J$7:$J$2506,BU$5)</f>
        <v>0</v>
      </c>
      <c r="BV17" s="83">
        <f>SUMIFS('Dataset 1'!$E$7:$E$2506,'Dataset 1'!$B$7:$B$2506,$A17,'Dataset 1'!$J$7:$J$2506,BV$5)</f>
        <v>0</v>
      </c>
      <c r="BW17" s="83">
        <f>SUMIFS('Dataset 1'!$E$7:$E$2506,'Dataset 1'!$B$7:$B$2506,$A17,'Dataset 1'!$J$7:$J$2506,BW$5)</f>
        <v>1410</v>
      </c>
      <c r="BX17" s="83">
        <f>SUMIFS('Dataset 1'!$E$7:$E$2506,'Dataset 1'!$B$7:$B$2506,$A17,'Dataset 1'!$J$7:$J$2506,BX$5)</f>
        <v>100</v>
      </c>
      <c r="BY17" s="83">
        <f>SUMIFS('Dataset 1'!$E$7:$E$2506,'Dataset 1'!$B$7:$B$2506,$A17,'Dataset 1'!$J$7:$J$2506,BY$5)</f>
        <v>0</v>
      </c>
      <c r="BZ17" s="83">
        <f>SUMIFS('Dataset 1'!$E$7:$E$2506,'Dataset 1'!$B$7:$B$2506,$A17,'Dataset 1'!$J$7:$J$2506,BZ$5)</f>
        <v>0</v>
      </c>
      <c r="CA17" s="83">
        <f>SUMIFS('Dataset 1'!$E$7:$E$2506,'Dataset 1'!$B$7:$B$2506,$A17,'Dataset 1'!$J$7:$J$2506,CA$5)</f>
        <v>0</v>
      </c>
      <c r="CB17" s="83">
        <f>SUMIFS('Dataset 1'!$E$7:$E$2506,'Dataset 1'!$B$7:$B$2506,$A17,'Dataset 1'!$J$7:$J$2506,CB$5)</f>
        <v>2100</v>
      </c>
      <c r="CC17" s="83">
        <f>SUMIFS('Dataset 1'!$E$7:$E$2506,'Dataset 1'!$B$7:$B$2506,$A17,'Dataset 1'!$J$7:$J$2506,CC$5)</f>
        <v>0</v>
      </c>
      <c r="CD17" s="83">
        <f>SUMIFS('Dataset 1'!$E$7:$E$2506,'Dataset 1'!$B$7:$B$2506,$A17,'Dataset 1'!$J$7:$J$2506,CD$5)</f>
        <v>0</v>
      </c>
      <c r="CE17" s="83">
        <f>SUMIFS('Dataset 1'!$E$7:$E$2506,'Dataset 1'!$B$7:$B$2506,$A17,'Dataset 1'!$J$7:$J$2506,CE$5)</f>
        <v>4890</v>
      </c>
      <c r="CF17" s="83">
        <f>SUMIFS('Dataset 1'!$E$7:$E$2506,'Dataset 1'!$B$7:$B$2506,$A17,'Dataset 1'!$J$7:$J$2506,CF$5)</f>
        <v>180</v>
      </c>
      <c r="CG17" s="83">
        <f>SUMIFS('Dataset 1'!$E$7:$E$2506,'Dataset 1'!$B$7:$B$2506,$A17,'Dataset 1'!$J$7:$J$2506,CG$5)</f>
        <v>0</v>
      </c>
      <c r="CH17" s="83">
        <f>SUMIFS('Dataset 1'!$E$7:$E$2506,'Dataset 1'!$B$7:$B$2506,$A17,'Dataset 1'!$J$7:$J$2506,CH$5)</f>
        <v>0</v>
      </c>
      <c r="CI17" s="83">
        <f>SUMIFS('Dataset 1'!$E$7:$E$2506,'Dataset 1'!$B$7:$B$2506,$A17,'Dataset 1'!$J$7:$J$2506,CI$5)</f>
        <v>0</v>
      </c>
      <c r="CJ17" s="83">
        <f>SUMIFS('Dataset 1'!$E$7:$E$2506,'Dataset 1'!$B$7:$B$2506,$A17,'Dataset 1'!$J$7:$J$2506,CJ$5)</f>
        <v>0</v>
      </c>
      <c r="CK17" s="83">
        <f>SUMIFS('Dataset 1'!$E$7:$E$2506,'Dataset 1'!$B$7:$B$2506,$A17,'Dataset 1'!$J$7:$J$2506,CK$5)</f>
        <v>720</v>
      </c>
      <c r="CL17" s="83">
        <f>SUMIFS('Dataset 1'!$E$7:$E$2506,'Dataset 1'!$B$7:$B$2506,$A17,'Dataset 1'!$J$7:$J$2506,CL$5)</f>
        <v>0</v>
      </c>
      <c r="CM17" s="83">
        <f>SUMIFS('Dataset 1'!$E$7:$E$2506,'Dataset 1'!$B$7:$B$2506,$A17,'Dataset 1'!$J$7:$J$2506,CM$5)</f>
        <v>3070</v>
      </c>
      <c r="CN17" s="83">
        <f>SUMIFS('Dataset 1'!$E$7:$E$2506,'Dataset 1'!$B$7:$B$2506,$A17,'Dataset 1'!$J$7:$J$2506,CN$5)</f>
        <v>310</v>
      </c>
      <c r="CO17" s="83">
        <f>SUMIFS('Dataset 1'!$E$7:$E$2506,'Dataset 1'!$B$7:$B$2506,$A17,'Dataset 1'!$J$7:$J$2506,CO$5)</f>
        <v>0</v>
      </c>
      <c r="CP17" s="83">
        <f>SUMIFS('Dataset 1'!$E$7:$E$2506,'Dataset 1'!$B$7:$B$2506,$A17,'Dataset 1'!$J$7:$J$2506,CP$5)</f>
        <v>0</v>
      </c>
      <c r="CQ17" s="83">
        <f>SUMIFS('Dataset 1'!$E$7:$E$2506,'Dataset 1'!$B$7:$B$2506,$A17,'Dataset 1'!$J$7:$J$2506,CQ$5)</f>
        <v>0</v>
      </c>
      <c r="CR17" s="83">
        <f>SUMIFS('Dataset 1'!$E$7:$E$2506,'Dataset 1'!$B$7:$B$2506,$A17,'Dataset 1'!$J$7:$J$2506,CR$5)</f>
        <v>140</v>
      </c>
      <c r="CS17" s="83">
        <f>SUMIFS('Dataset 1'!$E$7:$E$2506,'Dataset 1'!$B$7:$B$2506,$A17,'Dataset 1'!$J$7:$J$2506,CS$5)</f>
        <v>180</v>
      </c>
      <c r="CT17" s="83">
        <f>SUMIFS('Dataset 1'!$E$7:$E$2506,'Dataset 1'!$B$7:$B$2506,$A17,'Dataset 1'!$J$7:$J$2506,CT$5)</f>
        <v>0</v>
      </c>
      <c r="CU17" s="83">
        <f>SUMIFS('Dataset 1'!$E$7:$E$2506,'Dataset 1'!$B$7:$B$2506,$A17,'Dataset 1'!$J$7:$J$2506,CU$5)</f>
        <v>2370</v>
      </c>
      <c r="CV17" s="83">
        <f>SUMIFS('Dataset 1'!$E$7:$E$2506,'Dataset 1'!$B$7:$B$2506,$A17,'Dataset 1'!$J$7:$J$2506,CV$5)</f>
        <v>0</v>
      </c>
      <c r="CW17" s="83">
        <f>SUMIFS('Dataset 1'!$E$7:$E$2506,'Dataset 1'!$B$7:$B$2506,$A17,'Dataset 1'!$J$7:$J$2506,CW$5)</f>
        <v>0</v>
      </c>
      <c r="CX17" s="83">
        <f>SUMIFS('Dataset 1'!$E$7:$E$2506,'Dataset 1'!$B$7:$B$2506,$A17,'Dataset 1'!$J$7:$J$2506,CX$5)</f>
        <v>0</v>
      </c>
      <c r="CY17" s="83">
        <f>SUMIFS('Dataset 1'!$E$7:$E$2506,'Dataset 1'!$B$7:$B$2506,$A17,'Dataset 1'!$J$7:$J$2506,CY$5)</f>
        <v>0</v>
      </c>
      <c r="CZ17" s="83">
        <f>SUMIFS('Dataset 1'!$E$7:$E$2506,'Dataset 1'!$B$7:$B$2506,$A17,'Dataset 1'!$J$7:$J$2506,CZ$5)</f>
        <v>120</v>
      </c>
      <c r="DA17" s="83">
        <f>SUMIFS('Dataset 1'!$E$7:$E$2506,'Dataset 1'!$B$7:$B$2506,$A17,'Dataset 1'!$J$7:$J$2506,DA$5)</f>
        <v>0</v>
      </c>
      <c r="DB17" s="83">
        <f>SUMIFS('Dataset 1'!$E$7:$E$2506,'Dataset 1'!$B$7:$B$2506,$A17,'Dataset 1'!$J$7:$J$2506,DB$5)</f>
        <v>3040</v>
      </c>
      <c r="DC17" s="83">
        <f>SUMIFS('Dataset 1'!$E$7:$E$2506,'Dataset 1'!$B$7:$B$2506,$A17,'Dataset 1'!$J$7:$J$2506,DC$5)</f>
        <v>0</v>
      </c>
      <c r="DD17" s="83">
        <f>SUMIFS('Dataset 1'!$E$7:$E$2506,'Dataset 1'!$B$7:$B$2506,$A17,'Dataset 1'!$J$7:$J$2506,DD$5)</f>
        <v>0</v>
      </c>
      <c r="DE17" s="83">
        <f>SUMIFS('Dataset 1'!$E$7:$E$2506,'Dataset 1'!$B$7:$B$2506,$A17,'Dataset 1'!$J$7:$J$2506,DE$5)</f>
        <v>0</v>
      </c>
      <c r="DF17" s="83">
        <f>SUMIFS('Dataset 1'!$E$7:$E$2506,'Dataset 1'!$B$7:$B$2506,$A17,'Dataset 1'!$J$7:$J$2506,DF$5)</f>
        <v>520</v>
      </c>
      <c r="DG17" s="83">
        <f>SUMIFS('Dataset 1'!$E$7:$E$2506,'Dataset 1'!$B$7:$B$2506,$A17,'Dataset 1'!$J$7:$J$2506,DG$5)</f>
        <v>680</v>
      </c>
      <c r="DH17" s="83">
        <f>SUMIFS('Dataset 1'!$E$7:$E$2506,'Dataset 1'!$B$7:$B$2506,$A17,'Dataset 1'!$J$7:$J$2506,DH$5)</f>
        <v>2040</v>
      </c>
      <c r="DI17" s="83">
        <f>SUMIFS('Dataset 1'!$E$7:$E$2506,'Dataset 1'!$B$7:$B$2506,$A17,'Dataset 1'!$J$7:$J$2506,DI$5)</f>
        <v>0</v>
      </c>
      <c r="DJ17" s="83">
        <f>SUMIFS('Dataset 1'!$E$7:$E$2506,'Dataset 1'!$B$7:$B$2506,$A17,'Dataset 1'!$J$7:$J$2506,DJ$5)</f>
        <v>0</v>
      </c>
      <c r="DK17" s="83">
        <f>SUMIFS('Dataset 1'!$E$7:$E$2506,'Dataset 1'!$B$7:$B$2506,$A17,'Dataset 1'!$J$7:$J$2506,DK$5)</f>
        <v>0</v>
      </c>
      <c r="DL17" s="83">
        <f>SUMIFS('Dataset 1'!$E$7:$E$2506,'Dataset 1'!$B$7:$B$2506,$A17,'Dataset 1'!$J$7:$J$2506,DL$5)</f>
        <v>480</v>
      </c>
      <c r="DM17" s="83">
        <f>SUMIFS('Dataset 1'!$E$7:$E$2506,'Dataset 1'!$B$7:$B$2506,$A17,'Dataset 1'!$J$7:$J$2506,DM$5)</f>
        <v>2410</v>
      </c>
      <c r="DN17" s="83">
        <f>SUMIFS('Dataset 1'!$E$7:$E$2506,'Dataset 1'!$B$7:$B$2506,$A17,'Dataset 1'!$J$7:$J$2506,DN$5)</f>
        <v>0</v>
      </c>
      <c r="DO17" s="83">
        <f>SUMIFS('Dataset 1'!$E$7:$E$2506,'Dataset 1'!$B$7:$B$2506,$A17,'Dataset 1'!$J$7:$J$2506,DO$5)</f>
        <v>0</v>
      </c>
      <c r="DP17" s="83">
        <f>SUMIFS('Dataset 1'!$E$7:$E$2506,'Dataset 1'!$B$7:$B$2506,$A17,'Dataset 1'!$J$7:$J$2506,DP$5)</f>
        <v>0</v>
      </c>
      <c r="DQ17" s="83">
        <f>SUMIFS('Dataset 1'!$E$7:$E$2506,'Dataset 1'!$B$7:$B$2506,$A17,'Dataset 1'!$J$7:$J$2506,DQ$5)</f>
        <v>0</v>
      </c>
      <c r="DR17" s="83">
        <f>SUMIFS('Dataset 1'!$E$7:$E$2506,'Dataset 1'!$B$7:$B$2506,$A17,'Dataset 1'!$J$7:$J$2506,DR$5)</f>
        <v>0</v>
      </c>
      <c r="DS17" s="83">
        <f>SUMIFS('Dataset 1'!$E$7:$E$2506,'Dataset 1'!$B$7:$B$2506,$A17,'Dataset 1'!$J$7:$J$2506,DS$5)</f>
        <v>0</v>
      </c>
      <c r="DT17" s="83">
        <f>SUMIFS('Dataset 1'!$E$7:$E$2506,'Dataset 1'!$B$7:$B$2506,$A17,'Dataset 1'!$J$7:$J$2506,DT$5)</f>
        <v>0</v>
      </c>
      <c r="DU17" s="83">
        <f>SUMIFS('Dataset 1'!$E$7:$E$2506,'Dataset 1'!$B$7:$B$2506,$A17,'Dataset 1'!$J$7:$J$2506,DU$5)</f>
        <v>0</v>
      </c>
      <c r="DV17" s="83">
        <f>SUMIFS('Dataset 1'!$E$7:$E$2506,'Dataset 1'!$B$7:$B$2506,$A17,'Dataset 1'!$J$7:$J$2506,DV$5)</f>
        <v>210</v>
      </c>
      <c r="DW17" s="83">
        <f>SUMIFS('Dataset 1'!$E$7:$E$2506,'Dataset 1'!$B$7:$B$2506,$A17,'Dataset 1'!$J$7:$J$2506,DW$5)</f>
        <v>0</v>
      </c>
      <c r="DX17" s="83">
        <f>SUMIFS('Dataset 1'!$E$7:$E$2506,'Dataset 1'!$B$7:$B$2506,$A17,'Dataset 1'!$J$7:$J$2506,DX$5)</f>
        <v>1490</v>
      </c>
      <c r="DY17" s="83">
        <f>SUMIFS('Dataset 1'!$E$7:$E$2506,'Dataset 1'!$B$7:$B$2506,$A17,'Dataset 1'!$J$7:$J$2506,DY$5)</f>
        <v>55570</v>
      </c>
      <c r="DZ17" s="83">
        <f>SUMIFS('Dataset 1'!$E$7:$E$2506,'Dataset 1'!$B$7:$B$2506,$A17,'Dataset 1'!$J$7:$J$2506,DZ$5)</f>
        <v>0</v>
      </c>
      <c r="EA17" s="83">
        <f>SUMIFS('Dataset 1'!$E$7:$E$2506,'Dataset 1'!$B$7:$B$2506,$A17,'Dataset 1'!$J$7:$J$2506,EA$5)</f>
        <v>180</v>
      </c>
      <c r="EB17" s="83">
        <f>SUMIFS('Dataset 1'!$E$7:$E$2506,'Dataset 1'!$B$7:$B$2506,$A17,'Dataset 1'!$J$7:$J$2506,EB$5)</f>
        <v>0</v>
      </c>
      <c r="EC17" s="83">
        <f>SUMIFS('Dataset 1'!$E$7:$E$2506,'Dataset 1'!$B$7:$B$2506,$A17,'Dataset 1'!$J$7:$J$2506,EC$5)</f>
        <v>1460</v>
      </c>
      <c r="ED17" s="83">
        <f>SUMIFS('Dataset 1'!$E$7:$E$2506,'Dataset 1'!$B$7:$B$2506,$A17,'Dataset 1'!$J$7:$J$2506,ED$5)</f>
        <v>170</v>
      </c>
      <c r="EE17" s="83">
        <f>SUMIFS('Dataset 1'!$E$7:$E$2506,'Dataset 1'!$B$7:$B$2506,$A17,'Dataset 1'!$J$7:$J$2506,EE$5)</f>
        <v>0</v>
      </c>
      <c r="EF17" s="83">
        <f>SUMIFS('Dataset 1'!$E$7:$E$2506,'Dataset 1'!$B$7:$B$2506,$A17,'Dataset 1'!$J$7:$J$2506,EF$5)</f>
        <v>0</v>
      </c>
      <c r="EG17" s="83">
        <f>SUMIFS('Dataset 1'!$E$7:$E$2506,'Dataset 1'!$B$7:$B$2506,$A17,'Dataset 1'!$J$7:$J$2506,EG$5)</f>
        <v>0</v>
      </c>
    </row>
    <row r="18" spans="1:137" x14ac:dyDescent="0.2">
      <c r="A18">
        <v>2017</v>
      </c>
      <c r="B18" s="83">
        <f>SUMIFS('Dataset 1'!$E$7:$E$2506,'Dataset 1'!$B$7:$B$2506,$A18,'Dataset 1'!$J$7:$J$2506,B$5)</f>
        <v>0</v>
      </c>
      <c r="C18" s="83">
        <f>SUMIFS('Dataset 1'!$E$7:$E$2506,'Dataset 1'!$B$7:$B$2506,$A18,'Dataset 1'!$J$7:$J$2506,C$5)</f>
        <v>0</v>
      </c>
      <c r="D18" s="83">
        <f>SUMIFS('Dataset 1'!$E$7:$E$2506,'Dataset 1'!$B$7:$B$2506,$A18,'Dataset 1'!$J$7:$J$2506,D$5)</f>
        <v>0</v>
      </c>
      <c r="E18" s="83">
        <f>SUMIFS('Dataset 1'!$E$7:$E$2506,'Dataset 1'!$B$7:$B$2506,$A18,'Dataset 1'!$J$7:$J$2506,E$5)</f>
        <v>0</v>
      </c>
      <c r="F18" s="83">
        <f>SUMIFS('Dataset 1'!$E$7:$E$2506,'Dataset 1'!$B$7:$B$2506,$A18,'Dataset 1'!$J$7:$J$2506,F$5)</f>
        <v>960</v>
      </c>
      <c r="G18" s="83">
        <f>SUMIFS('Dataset 1'!$E$7:$E$2506,'Dataset 1'!$B$7:$B$2506,$A18,'Dataset 1'!$J$7:$J$2506,G$5)</f>
        <v>5040</v>
      </c>
      <c r="H18" s="83">
        <f>SUMIFS('Dataset 1'!$E$7:$E$2506,'Dataset 1'!$B$7:$B$2506,$A18,'Dataset 1'!$J$7:$J$2506,H$5)</f>
        <v>230</v>
      </c>
      <c r="I18" s="83">
        <f>SUMIFS('Dataset 1'!$E$7:$E$2506,'Dataset 1'!$B$7:$B$2506,$A18,'Dataset 1'!$J$7:$J$2506,I$5)</f>
        <v>0</v>
      </c>
      <c r="J18" s="83">
        <f>SUMIFS('Dataset 1'!$E$7:$E$2506,'Dataset 1'!$B$7:$B$2506,$A18,'Dataset 1'!$J$7:$J$2506,J$5)</f>
        <v>0</v>
      </c>
      <c r="K18" s="83">
        <f>SUMIFS('Dataset 1'!$E$7:$E$2506,'Dataset 1'!$B$7:$B$2506,$A18,'Dataset 1'!$J$7:$J$2506,K$5)</f>
        <v>110</v>
      </c>
      <c r="L18" s="83">
        <f>SUMIFS('Dataset 1'!$E$7:$E$2506,'Dataset 1'!$B$7:$B$2506,$A18,'Dataset 1'!$J$7:$J$2506,L$5)</f>
        <v>0</v>
      </c>
      <c r="M18" s="83">
        <f>SUMIFS('Dataset 1'!$E$7:$E$2506,'Dataset 1'!$B$7:$B$2506,$A18,'Dataset 1'!$J$7:$J$2506,M$5)</f>
        <v>360</v>
      </c>
      <c r="N18" s="83">
        <f>SUMIFS('Dataset 1'!$E$7:$E$2506,'Dataset 1'!$B$7:$B$2506,$A18,'Dataset 1'!$J$7:$J$2506,N$5)</f>
        <v>0</v>
      </c>
      <c r="O18" s="83">
        <f>SUMIFS('Dataset 1'!$E$7:$E$2506,'Dataset 1'!$B$7:$B$2506,$A18,'Dataset 1'!$J$7:$J$2506,O$5)</f>
        <v>0</v>
      </c>
      <c r="P18" s="83">
        <f>SUMIFS('Dataset 1'!$E$7:$E$2506,'Dataset 1'!$B$7:$B$2506,$A18,'Dataset 1'!$J$7:$J$2506,P$5)</f>
        <v>0</v>
      </c>
      <c r="Q18" s="83">
        <f>SUMIFS('Dataset 1'!$E$7:$E$2506,'Dataset 1'!$B$7:$B$2506,$A18,'Dataset 1'!$J$7:$J$2506,Q$5)</f>
        <v>8570</v>
      </c>
      <c r="R18" s="83">
        <f>SUMIFS('Dataset 1'!$E$7:$E$2506,'Dataset 1'!$B$7:$B$2506,$A18,'Dataset 1'!$J$7:$J$2506,R$5)</f>
        <v>29480</v>
      </c>
      <c r="S18" s="83">
        <f>SUMIFS('Dataset 1'!$E$7:$E$2506,'Dataset 1'!$B$7:$B$2506,$A18,'Dataset 1'!$J$7:$J$2506,S$5)</f>
        <v>0</v>
      </c>
      <c r="T18" s="83">
        <f>SUMIFS('Dataset 1'!$E$7:$E$2506,'Dataset 1'!$B$7:$B$2506,$A18,'Dataset 1'!$J$7:$J$2506,T$5)</f>
        <v>0</v>
      </c>
      <c r="U18" s="83">
        <f>SUMIFS('Dataset 1'!$E$7:$E$2506,'Dataset 1'!$B$7:$B$2506,$A18,'Dataset 1'!$J$7:$J$2506,U$5)</f>
        <v>250</v>
      </c>
      <c r="V18" s="83">
        <f>SUMIFS('Dataset 1'!$E$7:$E$2506,'Dataset 1'!$B$7:$B$2506,$A18,'Dataset 1'!$J$7:$J$2506,V$5)</f>
        <v>0</v>
      </c>
      <c r="W18" s="83">
        <f>SUMIFS('Dataset 1'!$E$7:$E$2506,'Dataset 1'!$B$7:$B$2506,$A18,'Dataset 1'!$J$7:$J$2506,W$5)</f>
        <v>2610</v>
      </c>
      <c r="X18" s="83">
        <f>SUMIFS('Dataset 1'!$E$7:$E$2506,'Dataset 1'!$B$7:$B$2506,$A18,'Dataset 1'!$J$7:$J$2506,X$5)</f>
        <v>0</v>
      </c>
      <c r="Y18" s="83">
        <f>SUMIFS('Dataset 1'!$E$7:$E$2506,'Dataset 1'!$B$7:$B$2506,$A18,'Dataset 1'!$J$7:$J$2506,Y$5)</f>
        <v>0</v>
      </c>
      <c r="Z18" s="83">
        <f>SUMIFS('Dataset 1'!$E$7:$E$2506,'Dataset 1'!$B$7:$B$2506,$A18,'Dataset 1'!$J$7:$J$2506,Z$5)</f>
        <v>0</v>
      </c>
      <c r="AA18" s="83">
        <f>SUMIFS('Dataset 1'!$E$7:$E$2506,'Dataset 1'!$B$7:$B$2506,$A18,'Dataset 1'!$J$7:$J$2506,AA$5)</f>
        <v>0</v>
      </c>
      <c r="AB18" s="83">
        <f>SUMIFS('Dataset 1'!$E$7:$E$2506,'Dataset 1'!$B$7:$B$2506,$A18,'Dataset 1'!$J$7:$J$2506,AB$5)</f>
        <v>0</v>
      </c>
      <c r="AC18" s="83">
        <f>SUMIFS('Dataset 1'!$E$7:$E$2506,'Dataset 1'!$B$7:$B$2506,$A18,'Dataset 1'!$J$7:$J$2506,AC$5)</f>
        <v>0</v>
      </c>
      <c r="AD18" s="83">
        <f>SUMIFS('Dataset 1'!$E$7:$E$2506,'Dataset 1'!$B$7:$B$2506,$A18,'Dataset 1'!$J$7:$J$2506,AD$5)</f>
        <v>0</v>
      </c>
      <c r="AE18" s="83">
        <f>SUMIFS('Dataset 1'!$E$7:$E$2506,'Dataset 1'!$B$7:$B$2506,$A18,'Dataset 1'!$J$7:$J$2506,AE$5)</f>
        <v>0</v>
      </c>
      <c r="AF18" s="83">
        <f>SUMIFS('Dataset 1'!$E$7:$E$2506,'Dataset 1'!$B$7:$B$2506,$A18,'Dataset 1'!$J$7:$J$2506,AF$5)</f>
        <v>1560</v>
      </c>
      <c r="AG18" s="83">
        <f>SUMIFS('Dataset 1'!$E$7:$E$2506,'Dataset 1'!$B$7:$B$2506,$A18,'Dataset 1'!$J$7:$J$2506,AG$5)</f>
        <v>730</v>
      </c>
      <c r="AH18" s="83">
        <f>SUMIFS('Dataset 1'!$E$7:$E$2506,'Dataset 1'!$B$7:$B$2506,$A18,'Dataset 1'!$J$7:$J$2506,AH$5)</f>
        <v>0</v>
      </c>
      <c r="AI18" s="83">
        <f>SUMIFS('Dataset 1'!$E$7:$E$2506,'Dataset 1'!$B$7:$B$2506,$A18,'Dataset 1'!$J$7:$J$2506,AI$5)</f>
        <v>0</v>
      </c>
      <c r="AJ18" s="83">
        <f>SUMIFS('Dataset 1'!$E$7:$E$2506,'Dataset 1'!$B$7:$B$2506,$A18,'Dataset 1'!$J$7:$J$2506,AJ$5)</f>
        <v>0</v>
      </c>
      <c r="AK18" s="83">
        <f>SUMIFS('Dataset 1'!$E$7:$E$2506,'Dataset 1'!$B$7:$B$2506,$A18,'Dataset 1'!$J$7:$J$2506,AK$5)</f>
        <v>0</v>
      </c>
      <c r="AL18" s="83">
        <f>SUMIFS('Dataset 1'!$E$7:$E$2506,'Dataset 1'!$B$7:$B$2506,$A18,'Dataset 1'!$J$7:$J$2506,AL$5)</f>
        <v>0</v>
      </c>
      <c r="AM18" s="83">
        <f>SUMIFS('Dataset 1'!$E$7:$E$2506,'Dataset 1'!$B$7:$B$2506,$A18,'Dataset 1'!$J$7:$J$2506,AM$5)</f>
        <v>0</v>
      </c>
      <c r="AN18" s="83">
        <f>SUMIFS('Dataset 1'!$E$7:$E$2506,'Dataset 1'!$B$7:$B$2506,$A18,'Dataset 1'!$J$7:$J$2506,AN$5)</f>
        <v>1350</v>
      </c>
      <c r="AO18" s="83">
        <f>SUMIFS('Dataset 1'!$E$7:$E$2506,'Dataset 1'!$B$7:$B$2506,$A18,'Dataset 1'!$J$7:$J$2506,AO$5)</f>
        <v>0</v>
      </c>
      <c r="AP18" s="83">
        <f>SUMIFS('Dataset 1'!$E$7:$E$2506,'Dataset 1'!$B$7:$B$2506,$A18,'Dataset 1'!$J$7:$J$2506,AP$5)</f>
        <v>0</v>
      </c>
      <c r="AQ18" s="83">
        <f>SUMIFS('Dataset 1'!$E$7:$E$2506,'Dataset 1'!$B$7:$B$2506,$A18,'Dataset 1'!$J$7:$J$2506,AQ$5)</f>
        <v>7230</v>
      </c>
      <c r="AR18" s="83">
        <f>SUMIFS('Dataset 1'!$E$7:$E$2506,'Dataset 1'!$B$7:$B$2506,$A18,'Dataset 1'!$J$7:$J$2506,AR$5)</f>
        <v>0</v>
      </c>
      <c r="AS18" s="83">
        <f>SUMIFS('Dataset 1'!$E$7:$E$2506,'Dataset 1'!$B$7:$B$2506,$A18,'Dataset 1'!$J$7:$J$2506,AS$5)</f>
        <v>2200</v>
      </c>
      <c r="AT18" s="83">
        <f>SUMIFS('Dataset 1'!$E$7:$E$2506,'Dataset 1'!$B$7:$B$2506,$A18,'Dataset 1'!$J$7:$J$2506,AT$5)</f>
        <v>0</v>
      </c>
      <c r="AU18" s="83">
        <f>SUMIFS('Dataset 1'!$E$7:$E$2506,'Dataset 1'!$B$7:$B$2506,$A18,'Dataset 1'!$J$7:$J$2506,AU$5)</f>
        <v>170</v>
      </c>
      <c r="AV18" s="83">
        <f>SUMIFS('Dataset 1'!$E$7:$E$2506,'Dataset 1'!$B$7:$B$2506,$A18,'Dataset 1'!$J$7:$J$2506,AV$5)</f>
        <v>0</v>
      </c>
      <c r="AW18" s="83">
        <f>SUMIFS('Dataset 1'!$E$7:$E$2506,'Dataset 1'!$B$7:$B$2506,$A18,'Dataset 1'!$J$7:$J$2506,AW$5)</f>
        <v>210</v>
      </c>
      <c r="AX18" s="83">
        <f>SUMIFS('Dataset 1'!$E$7:$E$2506,'Dataset 1'!$B$7:$B$2506,$A18,'Dataset 1'!$J$7:$J$2506,AX$5)</f>
        <v>2550</v>
      </c>
      <c r="AY18" s="83">
        <f>SUMIFS('Dataset 1'!$E$7:$E$2506,'Dataset 1'!$B$7:$B$2506,$A18,'Dataset 1'!$J$7:$J$2506,AY$5)</f>
        <v>2400</v>
      </c>
      <c r="AZ18" s="83">
        <f>SUMIFS('Dataset 1'!$E$7:$E$2506,'Dataset 1'!$B$7:$B$2506,$A18,'Dataset 1'!$J$7:$J$2506,AZ$5)</f>
        <v>0</v>
      </c>
      <c r="BA18" s="83">
        <f>SUMIFS('Dataset 1'!$E$7:$E$2506,'Dataset 1'!$B$7:$B$2506,$A18,'Dataset 1'!$J$7:$J$2506,BA$5)</f>
        <v>0</v>
      </c>
      <c r="BB18" s="83">
        <f>SUMIFS('Dataset 1'!$E$7:$E$2506,'Dataset 1'!$B$7:$B$2506,$A18,'Dataset 1'!$J$7:$J$2506,BB$5)</f>
        <v>0</v>
      </c>
      <c r="BC18" s="83">
        <f>SUMIFS('Dataset 1'!$E$7:$E$2506,'Dataset 1'!$B$7:$B$2506,$A18,'Dataset 1'!$J$7:$J$2506,BC$5)</f>
        <v>170</v>
      </c>
      <c r="BD18" s="83">
        <f>SUMIFS('Dataset 1'!$E$7:$E$2506,'Dataset 1'!$B$7:$B$2506,$A18,'Dataset 1'!$J$7:$J$2506,BD$5)</f>
        <v>890</v>
      </c>
      <c r="BE18" s="83">
        <f>SUMIFS('Dataset 1'!$E$7:$E$2506,'Dataset 1'!$B$7:$B$2506,$A18,'Dataset 1'!$J$7:$J$2506,BE$5)</f>
        <v>0</v>
      </c>
      <c r="BF18" s="83">
        <f>SUMIFS('Dataset 1'!$E$7:$E$2506,'Dataset 1'!$B$7:$B$2506,$A18,'Dataset 1'!$J$7:$J$2506,BF$5)</f>
        <v>0</v>
      </c>
      <c r="BG18" s="83">
        <f>SUMIFS('Dataset 1'!$E$7:$E$2506,'Dataset 1'!$B$7:$B$2506,$A18,'Dataset 1'!$J$7:$J$2506,BG$5)</f>
        <v>4660</v>
      </c>
      <c r="BH18" s="83">
        <f>SUMIFS('Dataset 1'!$E$7:$E$2506,'Dataset 1'!$B$7:$B$2506,$A18,'Dataset 1'!$J$7:$J$2506,BH$5)</f>
        <v>0</v>
      </c>
      <c r="BI18" s="83">
        <f>SUMIFS('Dataset 1'!$E$7:$E$2506,'Dataset 1'!$B$7:$B$2506,$A18,'Dataset 1'!$J$7:$J$2506,BI$5)</f>
        <v>110</v>
      </c>
      <c r="BJ18" s="83">
        <f>SUMIFS('Dataset 1'!$E$7:$E$2506,'Dataset 1'!$B$7:$B$2506,$A18,'Dataset 1'!$J$7:$J$2506,BJ$5)</f>
        <v>510</v>
      </c>
      <c r="BK18" s="83">
        <f>SUMIFS('Dataset 1'!$E$7:$E$2506,'Dataset 1'!$B$7:$B$2506,$A18,'Dataset 1'!$J$7:$J$2506,BK$5)</f>
        <v>0</v>
      </c>
      <c r="BL18" s="83">
        <f>SUMIFS('Dataset 1'!$E$7:$E$2506,'Dataset 1'!$B$7:$B$2506,$A18,'Dataset 1'!$J$7:$J$2506,BL$5)</f>
        <v>0</v>
      </c>
      <c r="BM18" s="83">
        <f>SUMIFS('Dataset 1'!$E$7:$E$2506,'Dataset 1'!$B$7:$B$2506,$A18,'Dataset 1'!$J$7:$J$2506,BM$5)</f>
        <v>1010</v>
      </c>
      <c r="BN18" s="83">
        <f>SUMIFS('Dataset 1'!$E$7:$E$2506,'Dataset 1'!$B$7:$B$2506,$A18,'Dataset 1'!$J$7:$J$2506,BN$5)</f>
        <v>250</v>
      </c>
      <c r="BO18" s="83">
        <f>SUMIFS('Dataset 1'!$E$7:$E$2506,'Dataset 1'!$B$7:$B$2506,$A18,'Dataset 1'!$J$7:$J$2506,BO$5)</f>
        <v>1760</v>
      </c>
      <c r="BP18" s="83">
        <f>SUMIFS('Dataset 1'!$E$7:$E$2506,'Dataset 1'!$B$7:$B$2506,$A18,'Dataset 1'!$J$7:$J$2506,BP$5)</f>
        <v>0</v>
      </c>
      <c r="BQ18" s="83">
        <f>SUMIFS('Dataset 1'!$E$7:$E$2506,'Dataset 1'!$B$7:$B$2506,$A18,'Dataset 1'!$J$7:$J$2506,BQ$5)</f>
        <v>0</v>
      </c>
      <c r="BR18" s="83">
        <f>SUMIFS('Dataset 1'!$E$7:$E$2506,'Dataset 1'!$B$7:$B$2506,$A18,'Dataset 1'!$J$7:$J$2506,BR$5)</f>
        <v>790</v>
      </c>
      <c r="BS18" s="83">
        <f>SUMIFS('Dataset 1'!$E$7:$E$2506,'Dataset 1'!$B$7:$B$2506,$A18,'Dataset 1'!$J$7:$J$2506,BS$5)</f>
        <v>0</v>
      </c>
      <c r="BT18" s="83">
        <f>SUMIFS('Dataset 1'!$E$7:$E$2506,'Dataset 1'!$B$7:$B$2506,$A18,'Dataset 1'!$J$7:$J$2506,BT$5)</f>
        <v>0</v>
      </c>
      <c r="BU18" s="83">
        <f>SUMIFS('Dataset 1'!$E$7:$E$2506,'Dataset 1'!$B$7:$B$2506,$A18,'Dataset 1'!$J$7:$J$2506,BU$5)</f>
        <v>0</v>
      </c>
      <c r="BV18" s="83">
        <f>SUMIFS('Dataset 1'!$E$7:$E$2506,'Dataset 1'!$B$7:$B$2506,$A18,'Dataset 1'!$J$7:$J$2506,BV$5)</f>
        <v>0</v>
      </c>
      <c r="BW18" s="83">
        <f>SUMIFS('Dataset 1'!$E$7:$E$2506,'Dataset 1'!$B$7:$B$2506,$A18,'Dataset 1'!$J$7:$J$2506,BW$5)</f>
        <v>110</v>
      </c>
      <c r="BX18" s="83">
        <f>SUMIFS('Dataset 1'!$E$7:$E$2506,'Dataset 1'!$B$7:$B$2506,$A18,'Dataset 1'!$J$7:$J$2506,BX$5)</f>
        <v>0</v>
      </c>
      <c r="BY18" s="83">
        <f>SUMIFS('Dataset 1'!$E$7:$E$2506,'Dataset 1'!$B$7:$B$2506,$A18,'Dataset 1'!$J$7:$J$2506,BY$5)</f>
        <v>100</v>
      </c>
      <c r="BZ18" s="83">
        <f>SUMIFS('Dataset 1'!$E$7:$E$2506,'Dataset 1'!$B$7:$B$2506,$A18,'Dataset 1'!$J$7:$J$2506,BZ$5)</f>
        <v>0</v>
      </c>
      <c r="CA18" s="83">
        <f>SUMIFS('Dataset 1'!$E$7:$E$2506,'Dataset 1'!$B$7:$B$2506,$A18,'Dataset 1'!$J$7:$J$2506,CA$5)</f>
        <v>0</v>
      </c>
      <c r="CB18" s="83">
        <f>SUMIFS('Dataset 1'!$E$7:$E$2506,'Dataset 1'!$B$7:$B$2506,$A18,'Dataset 1'!$J$7:$J$2506,CB$5)</f>
        <v>0</v>
      </c>
      <c r="CC18" s="83">
        <f>SUMIFS('Dataset 1'!$E$7:$E$2506,'Dataset 1'!$B$7:$B$2506,$A18,'Dataset 1'!$J$7:$J$2506,CC$5)</f>
        <v>0</v>
      </c>
      <c r="CD18" s="83">
        <f>SUMIFS('Dataset 1'!$E$7:$E$2506,'Dataset 1'!$B$7:$B$2506,$A18,'Dataset 1'!$J$7:$J$2506,CD$5)</f>
        <v>210</v>
      </c>
      <c r="CE18" s="83">
        <f>SUMIFS('Dataset 1'!$E$7:$E$2506,'Dataset 1'!$B$7:$B$2506,$A18,'Dataset 1'!$J$7:$J$2506,CE$5)</f>
        <v>390</v>
      </c>
      <c r="CF18" s="83">
        <f>SUMIFS('Dataset 1'!$E$7:$E$2506,'Dataset 1'!$B$7:$B$2506,$A18,'Dataset 1'!$J$7:$J$2506,CF$5)</f>
        <v>280</v>
      </c>
      <c r="CG18" s="83">
        <f>SUMIFS('Dataset 1'!$E$7:$E$2506,'Dataset 1'!$B$7:$B$2506,$A18,'Dataset 1'!$J$7:$J$2506,CG$5)</f>
        <v>0</v>
      </c>
      <c r="CH18" s="83">
        <f>SUMIFS('Dataset 1'!$E$7:$E$2506,'Dataset 1'!$B$7:$B$2506,$A18,'Dataset 1'!$J$7:$J$2506,CH$5)</f>
        <v>0</v>
      </c>
      <c r="CI18" s="83">
        <f>SUMIFS('Dataset 1'!$E$7:$E$2506,'Dataset 1'!$B$7:$B$2506,$A18,'Dataset 1'!$J$7:$J$2506,CI$5)</f>
        <v>0</v>
      </c>
      <c r="CJ18" s="83">
        <f>SUMIFS('Dataset 1'!$E$7:$E$2506,'Dataset 1'!$B$7:$B$2506,$A18,'Dataset 1'!$J$7:$J$2506,CJ$5)</f>
        <v>0</v>
      </c>
      <c r="CK18" s="83">
        <f>SUMIFS('Dataset 1'!$E$7:$E$2506,'Dataset 1'!$B$7:$B$2506,$A18,'Dataset 1'!$J$7:$J$2506,CK$5)</f>
        <v>0</v>
      </c>
      <c r="CL18" s="83">
        <f>SUMIFS('Dataset 1'!$E$7:$E$2506,'Dataset 1'!$B$7:$B$2506,$A18,'Dataset 1'!$J$7:$J$2506,CL$5)</f>
        <v>1040</v>
      </c>
      <c r="CM18" s="83">
        <f>SUMIFS('Dataset 1'!$E$7:$E$2506,'Dataset 1'!$B$7:$B$2506,$A18,'Dataset 1'!$J$7:$J$2506,CM$5)</f>
        <v>2320</v>
      </c>
      <c r="CN18" s="83">
        <f>SUMIFS('Dataset 1'!$E$7:$E$2506,'Dataset 1'!$B$7:$B$2506,$A18,'Dataset 1'!$J$7:$J$2506,CN$5)</f>
        <v>0</v>
      </c>
      <c r="CO18" s="83">
        <f>SUMIFS('Dataset 1'!$E$7:$E$2506,'Dataset 1'!$B$7:$B$2506,$A18,'Dataset 1'!$J$7:$J$2506,CO$5)</f>
        <v>0</v>
      </c>
      <c r="CP18" s="83">
        <f>SUMIFS('Dataset 1'!$E$7:$E$2506,'Dataset 1'!$B$7:$B$2506,$A18,'Dataset 1'!$J$7:$J$2506,CP$5)</f>
        <v>720</v>
      </c>
      <c r="CQ18" s="83">
        <f>SUMIFS('Dataset 1'!$E$7:$E$2506,'Dataset 1'!$B$7:$B$2506,$A18,'Dataset 1'!$J$7:$J$2506,CQ$5)</f>
        <v>190</v>
      </c>
      <c r="CR18" s="83">
        <f>SUMIFS('Dataset 1'!$E$7:$E$2506,'Dataset 1'!$B$7:$B$2506,$A18,'Dataset 1'!$J$7:$J$2506,CR$5)</f>
        <v>210</v>
      </c>
      <c r="CS18" s="83">
        <f>SUMIFS('Dataset 1'!$E$7:$E$2506,'Dataset 1'!$B$7:$B$2506,$A18,'Dataset 1'!$J$7:$J$2506,CS$5)</f>
        <v>670</v>
      </c>
      <c r="CT18" s="83">
        <f>SUMIFS('Dataset 1'!$E$7:$E$2506,'Dataset 1'!$B$7:$B$2506,$A18,'Dataset 1'!$J$7:$J$2506,CT$5)</f>
        <v>0</v>
      </c>
      <c r="CU18" s="83">
        <f>SUMIFS('Dataset 1'!$E$7:$E$2506,'Dataset 1'!$B$7:$B$2506,$A18,'Dataset 1'!$J$7:$J$2506,CU$5)</f>
        <v>600</v>
      </c>
      <c r="CV18" s="83">
        <f>SUMIFS('Dataset 1'!$E$7:$E$2506,'Dataset 1'!$B$7:$B$2506,$A18,'Dataset 1'!$J$7:$J$2506,CV$5)</f>
        <v>0</v>
      </c>
      <c r="CW18" s="83">
        <f>SUMIFS('Dataset 1'!$E$7:$E$2506,'Dataset 1'!$B$7:$B$2506,$A18,'Dataset 1'!$J$7:$J$2506,CW$5)</f>
        <v>110</v>
      </c>
      <c r="CX18" s="83">
        <f>SUMIFS('Dataset 1'!$E$7:$E$2506,'Dataset 1'!$B$7:$B$2506,$A18,'Dataset 1'!$J$7:$J$2506,CX$5)</f>
        <v>0</v>
      </c>
      <c r="CY18" s="83">
        <f>SUMIFS('Dataset 1'!$E$7:$E$2506,'Dataset 1'!$B$7:$B$2506,$A18,'Dataset 1'!$J$7:$J$2506,CY$5)</f>
        <v>0</v>
      </c>
      <c r="CZ18" s="83">
        <f>SUMIFS('Dataset 1'!$E$7:$E$2506,'Dataset 1'!$B$7:$B$2506,$A18,'Dataset 1'!$J$7:$J$2506,CZ$5)</f>
        <v>0</v>
      </c>
      <c r="DA18" s="83">
        <f>SUMIFS('Dataset 1'!$E$7:$E$2506,'Dataset 1'!$B$7:$B$2506,$A18,'Dataset 1'!$J$7:$J$2506,DA$5)</f>
        <v>0</v>
      </c>
      <c r="DB18" s="83">
        <f>SUMIFS('Dataset 1'!$E$7:$E$2506,'Dataset 1'!$B$7:$B$2506,$A18,'Dataset 1'!$J$7:$J$2506,DB$5)</f>
        <v>14240</v>
      </c>
      <c r="DC18" s="83">
        <f>SUMIFS('Dataset 1'!$E$7:$E$2506,'Dataset 1'!$B$7:$B$2506,$A18,'Dataset 1'!$J$7:$J$2506,DC$5)</f>
        <v>0</v>
      </c>
      <c r="DD18" s="83">
        <f>SUMIFS('Dataset 1'!$E$7:$E$2506,'Dataset 1'!$B$7:$B$2506,$A18,'Dataset 1'!$J$7:$J$2506,DD$5)</f>
        <v>1050</v>
      </c>
      <c r="DE18" s="83">
        <f>SUMIFS('Dataset 1'!$E$7:$E$2506,'Dataset 1'!$B$7:$B$2506,$A18,'Dataset 1'!$J$7:$J$2506,DE$5)</f>
        <v>0</v>
      </c>
      <c r="DF18" s="83">
        <f>SUMIFS('Dataset 1'!$E$7:$E$2506,'Dataset 1'!$B$7:$B$2506,$A18,'Dataset 1'!$J$7:$J$2506,DF$5)</f>
        <v>0</v>
      </c>
      <c r="DG18" s="83">
        <f>SUMIFS('Dataset 1'!$E$7:$E$2506,'Dataset 1'!$B$7:$B$2506,$A18,'Dataset 1'!$J$7:$J$2506,DG$5)</f>
        <v>2400</v>
      </c>
      <c r="DH18" s="83">
        <f>SUMIFS('Dataset 1'!$E$7:$E$2506,'Dataset 1'!$B$7:$B$2506,$A18,'Dataset 1'!$J$7:$J$2506,DH$5)</f>
        <v>390</v>
      </c>
      <c r="DI18" s="83">
        <f>SUMIFS('Dataset 1'!$E$7:$E$2506,'Dataset 1'!$B$7:$B$2506,$A18,'Dataset 1'!$J$7:$J$2506,DI$5)</f>
        <v>0</v>
      </c>
      <c r="DJ18" s="83">
        <f>SUMIFS('Dataset 1'!$E$7:$E$2506,'Dataset 1'!$B$7:$B$2506,$A18,'Dataset 1'!$J$7:$J$2506,DJ$5)</f>
        <v>0</v>
      </c>
      <c r="DK18" s="83">
        <f>SUMIFS('Dataset 1'!$E$7:$E$2506,'Dataset 1'!$B$7:$B$2506,$A18,'Dataset 1'!$J$7:$J$2506,DK$5)</f>
        <v>0</v>
      </c>
      <c r="DL18" s="83">
        <f>SUMIFS('Dataset 1'!$E$7:$E$2506,'Dataset 1'!$B$7:$B$2506,$A18,'Dataset 1'!$J$7:$J$2506,DL$5)</f>
        <v>1390</v>
      </c>
      <c r="DM18" s="83">
        <f>SUMIFS('Dataset 1'!$E$7:$E$2506,'Dataset 1'!$B$7:$B$2506,$A18,'Dataset 1'!$J$7:$J$2506,DM$5)</f>
        <v>45370</v>
      </c>
      <c r="DN18" s="83">
        <f>SUMIFS('Dataset 1'!$E$7:$E$2506,'Dataset 1'!$B$7:$B$2506,$A18,'Dataset 1'!$J$7:$J$2506,DN$5)</f>
        <v>0</v>
      </c>
      <c r="DO18" s="83">
        <f>SUMIFS('Dataset 1'!$E$7:$E$2506,'Dataset 1'!$B$7:$B$2506,$A18,'Dataset 1'!$J$7:$J$2506,DO$5)</f>
        <v>0</v>
      </c>
      <c r="DP18" s="83">
        <f>SUMIFS('Dataset 1'!$E$7:$E$2506,'Dataset 1'!$B$7:$B$2506,$A18,'Dataset 1'!$J$7:$J$2506,DP$5)</f>
        <v>0</v>
      </c>
      <c r="DQ18" s="83">
        <f>SUMIFS('Dataset 1'!$E$7:$E$2506,'Dataset 1'!$B$7:$B$2506,$A18,'Dataset 1'!$J$7:$J$2506,DQ$5)</f>
        <v>0</v>
      </c>
      <c r="DR18" s="83">
        <f>SUMIFS('Dataset 1'!$E$7:$E$2506,'Dataset 1'!$B$7:$B$2506,$A18,'Dataset 1'!$J$7:$J$2506,DR$5)</f>
        <v>230</v>
      </c>
      <c r="DS18" s="83">
        <f>SUMIFS('Dataset 1'!$E$7:$E$2506,'Dataset 1'!$B$7:$B$2506,$A18,'Dataset 1'!$J$7:$J$2506,DS$5)</f>
        <v>0</v>
      </c>
      <c r="DT18" s="83">
        <f>SUMIFS('Dataset 1'!$E$7:$E$2506,'Dataset 1'!$B$7:$B$2506,$A18,'Dataset 1'!$J$7:$J$2506,DT$5)</f>
        <v>0</v>
      </c>
      <c r="DU18" s="83">
        <f>SUMIFS('Dataset 1'!$E$7:$E$2506,'Dataset 1'!$B$7:$B$2506,$A18,'Dataset 1'!$J$7:$J$2506,DU$5)</f>
        <v>0</v>
      </c>
      <c r="DV18" s="83">
        <f>SUMIFS('Dataset 1'!$E$7:$E$2506,'Dataset 1'!$B$7:$B$2506,$A18,'Dataset 1'!$J$7:$J$2506,DV$5)</f>
        <v>0</v>
      </c>
      <c r="DW18" s="83">
        <f>SUMIFS('Dataset 1'!$E$7:$E$2506,'Dataset 1'!$B$7:$B$2506,$A18,'Dataset 1'!$J$7:$J$2506,DW$5)</f>
        <v>0</v>
      </c>
      <c r="DX18" s="83">
        <f>SUMIFS('Dataset 1'!$E$7:$E$2506,'Dataset 1'!$B$7:$B$2506,$A18,'Dataset 1'!$J$7:$J$2506,DX$5)</f>
        <v>2960</v>
      </c>
      <c r="DY18" s="83">
        <f>SUMIFS('Dataset 1'!$E$7:$E$2506,'Dataset 1'!$B$7:$B$2506,$A18,'Dataset 1'!$J$7:$J$2506,DY$5)</f>
        <v>23400</v>
      </c>
      <c r="DZ18" s="83">
        <f>SUMIFS('Dataset 1'!$E$7:$E$2506,'Dataset 1'!$B$7:$B$2506,$A18,'Dataset 1'!$J$7:$J$2506,DZ$5)</f>
        <v>0</v>
      </c>
      <c r="EA18" s="83">
        <f>SUMIFS('Dataset 1'!$E$7:$E$2506,'Dataset 1'!$B$7:$B$2506,$A18,'Dataset 1'!$J$7:$J$2506,EA$5)</f>
        <v>0</v>
      </c>
      <c r="EB18" s="83">
        <f>SUMIFS('Dataset 1'!$E$7:$E$2506,'Dataset 1'!$B$7:$B$2506,$A18,'Dataset 1'!$J$7:$J$2506,EB$5)</f>
        <v>450</v>
      </c>
      <c r="EC18" s="83">
        <f>SUMIFS('Dataset 1'!$E$7:$E$2506,'Dataset 1'!$B$7:$B$2506,$A18,'Dataset 1'!$J$7:$J$2506,EC$5)</f>
        <v>0</v>
      </c>
      <c r="ED18" s="83">
        <f>SUMIFS('Dataset 1'!$E$7:$E$2506,'Dataset 1'!$B$7:$B$2506,$A18,'Dataset 1'!$J$7:$J$2506,ED$5)</f>
        <v>100</v>
      </c>
      <c r="EE18" s="83">
        <f>SUMIFS('Dataset 1'!$E$7:$E$2506,'Dataset 1'!$B$7:$B$2506,$A18,'Dataset 1'!$J$7:$J$2506,EE$5)</f>
        <v>0</v>
      </c>
      <c r="EF18" s="83">
        <f>SUMIFS('Dataset 1'!$E$7:$E$2506,'Dataset 1'!$B$7:$B$2506,$A18,'Dataset 1'!$J$7:$J$2506,EF$5)</f>
        <v>0</v>
      </c>
      <c r="EG18" s="83">
        <f>SUMIFS('Dataset 1'!$E$7:$E$2506,'Dataset 1'!$B$7:$B$2506,$A18,'Dataset 1'!$J$7:$J$2506,EG$5)</f>
        <v>0</v>
      </c>
    </row>
    <row r="19" spans="1:137" x14ac:dyDescent="0.2">
      <c r="A19">
        <v>2018</v>
      </c>
      <c r="B19" s="83">
        <f>SUMIFS('Dataset 1'!$E$7:$E$2506,'Dataset 1'!$B$7:$B$2506,$A19,'Dataset 1'!$J$7:$J$2506,B$5)</f>
        <v>0</v>
      </c>
      <c r="C19" s="83">
        <f>SUMIFS('Dataset 1'!$E$7:$E$2506,'Dataset 1'!$B$7:$B$2506,$A19,'Dataset 1'!$J$7:$J$2506,C$5)</f>
        <v>0</v>
      </c>
      <c r="D19" s="83">
        <f>SUMIFS('Dataset 1'!$E$7:$E$2506,'Dataset 1'!$B$7:$B$2506,$A19,'Dataset 1'!$J$7:$J$2506,D$5)</f>
        <v>0</v>
      </c>
      <c r="E19" s="83">
        <f>SUMIFS('Dataset 1'!$E$7:$E$2506,'Dataset 1'!$B$7:$B$2506,$A19,'Dataset 1'!$J$7:$J$2506,E$5)</f>
        <v>0</v>
      </c>
      <c r="F19" s="83">
        <f>SUMIFS('Dataset 1'!$E$7:$E$2506,'Dataset 1'!$B$7:$B$2506,$A19,'Dataset 1'!$J$7:$J$2506,F$5)</f>
        <v>210</v>
      </c>
      <c r="G19" s="83">
        <f>SUMIFS('Dataset 1'!$E$7:$E$2506,'Dataset 1'!$B$7:$B$2506,$A19,'Dataset 1'!$J$7:$J$2506,G$5)</f>
        <v>5740</v>
      </c>
      <c r="H19" s="83">
        <f>SUMIFS('Dataset 1'!$E$7:$E$2506,'Dataset 1'!$B$7:$B$2506,$A19,'Dataset 1'!$J$7:$J$2506,H$5)</f>
        <v>0</v>
      </c>
      <c r="I19" s="83">
        <f>SUMIFS('Dataset 1'!$E$7:$E$2506,'Dataset 1'!$B$7:$B$2506,$A19,'Dataset 1'!$J$7:$J$2506,I$5)</f>
        <v>0</v>
      </c>
      <c r="J19" s="83">
        <f>SUMIFS('Dataset 1'!$E$7:$E$2506,'Dataset 1'!$B$7:$B$2506,$A19,'Dataset 1'!$J$7:$J$2506,J$5)</f>
        <v>0</v>
      </c>
      <c r="K19" s="83">
        <f>SUMIFS('Dataset 1'!$E$7:$E$2506,'Dataset 1'!$B$7:$B$2506,$A19,'Dataset 1'!$J$7:$J$2506,K$5)</f>
        <v>2650</v>
      </c>
      <c r="L19" s="83">
        <f>SUMIFS('Dataset 1'!$E$7:$E$2506,'Dataset 1'!$B$7:$B$2506,$A19,'Dataset 1'!$J$7:$J$2506,L$5)</f>
        <v>0</v>
      </c>
      <c r="M19" s="83">
        <f>SUMIFS('Dataset 1'!$E$7:$E$2506,'Dataset 1'!$B$7:$B$2506,$A19,'Dataset 1'!$J$7:$J$2506,M$5)</f>
        <v>0</v>
      </c>
      <c r="N19" s="83">
        <f>SUMIFS('Dataset 1'!$E$7:$E$2506,'Dataset 1'!$B$7:$B$2506,$A19,'Dataset 1'!$J$7:$J$2506,N$5)</f>
        <v>0</v>
      </c>
      <c r="O19" s="83">
        <f>SUMIFS('Dataset 1'!$E$7:$E$2506,'Dataset 1'!$B$7:$B$2506,$A19,'Dataset 1'!$J$7:$J$2506,O$5)</f>
        <v>0</v>
      </c>
      <c r="P19" s="83">
        <f>SUMIFS('Dataset 1'!$E$7:$E$2506,'Dataset 1'!$B$7:$B$2506,$A19,'Dataset 1'!$J$7:$J$2506,P$5)</f>
        <v>0</v>
      </c>
      <c r="Q19" s="83">
        <f>SUMIFS('Dataset 1'!$E$7:$E$2506,'Dataset 1'!$B$7:$B$2506,$A19,'Dataset 1'!$J$7:$J$2506,Q$5)</f>
        <v>2280</v>
      </c>
      <c r="R19" s="83">
        <f>SUMIFS('Dataset 1'!$E$7:$E$2506,'Dataset 1'!$B$7:$B$2506,$A19,'Dataset 1'!$J$7:$J$2506,R$5)</f>
        <v>9020</v>
      </c>
      <c r="S19" s="83">
        <f>SUMIFS('Dataset 1'!$E$7:$E$2506,'Dataset 1'!$B$7:$B$2506,$A19,'Dataset 1'!$J$7:$J$2506,S$5)</f>
        <v>0</v>
      </c>
      <c r="T19" s="83">
        <f>SUMIFS('Dataset 1'!$E$7:$E$2506,'Dataset 1'!$B$7:$B$2506,$A19,'Dataset 1'!$J$7:$J$2506,T$5)</f>
        <v>0</v>
      </c>
      <c r="U19" s="83">
        <f>SUMIFS('Dataset 1'!$E$7:$E$2506,'Dataset 1'!$B$7:$B$2506,$A19,'Dataset 1'!$J$7:$J$2506,U$5)</f>
        <v>500</v>
      </c>
      <c r="V19" s="83">
        <f>SUMIFS('Dataset 1'!$E$7:$E$2506,'Dataset 1'!$B$7:$B$2506,$A19,'Dataset 1'!$J$7:$J$2506,V$5)</f>
        <v>0</v>
      </c>
      <c r="W19" s="83">
        <f>SUMIFS('Dataset 1'!$E$7:$E$2506,'Dataset 1'!$B$7:$B$2506,$A19,'Dataset 1'!$J$7:$J$2506,W$5)</f>
        <v>5400</v>
      </c>
      <c r="X19" s="83">
        <f>SUMIFS('Dataset 1'!$E$7:$E$2506,'Dataset 1'!$B$7:$B$2506,$A19,'Dataset 1'!$J$7:$J$2506,X$5)</f>
        <v>0</v>
      </c>
      <c r="Y19" s="83">
        <f>SUMIFS('Dataset 1'!$E$7:$E$2506,'Dataset 1'!$B$7:$B$2506,$A19,'Dataset 1'!$J$7:$J$2506,Y$5)</f>
        <v>6440</v>
      </c>
      <c r="Z19" s="83">
        <f>SUMIFS('Dataset 1'!$E$7:$E$2506,'Dataset 1'!$B$7:$B$2506,$A19,'Dataset 1'!$J$7:$J$2506,Z$5)</f>
        <v>230</v>
      </c>
      <c r="AA19" s="83">
        <f>SUMIFS('Dataset 1'!$E$7:$E$2506,'Dataset 1'!$B$7:$B$2506,$A19,'Dataset 1'!$J$7:$J$2506,AA$5)</f>
        <v>220</v>
      </c>
      <c r="AB19" s="83">
        <f>SUMIFS('Dataset 1'!$E$7:$E$2506,'Dataset 1'!$B$7:$B$2506,$A19,'Dataset 1'!$J$7:$J$2506,AB$5)</f>
        <v>220</v>
      </c>
      <c r="AC19" s="83">
        <f>SUMIFS('Dataset 1'!$E$7:$E$2506,'Dataset 1'!$B$7:$B$2506,$A19,'Dataset 1'!$J$7:$J$2506,AC$5)</f>
        <v>0</v>
      </c>
      <c r="AD19" s="83">
        <f>SUMIFS('Dataset 1'!$E$7:$E$2506,'Dataset 1'!$B$7:$B$2506,$A19,'Dataset 1'!$J$7:$J$2506,AD$5)</f>
        <v>0</v>
      </c>
      <c r="AE19" s="83">
        <f>SUMIFS('Dataset 1'!$E$7:$E$2506,'Dataset 1'!$B$7:$B$2506,$A19,'Dataset 1'!$J$7:$J$2506,AE$5)</f>
        <v>350</v>
      </c>
      <c r="AF19" s="83">
        <f>SUMIFS('Dataset 1'!$E$7:$E$2506,'Dataset 1'!$B$7:$B$2506,$A19,'Dataset 1'!$J$7:$J$2506,AF$5)</f>
        <v>150</v>
      </c>
      <c r="AG19" s="83">
        <f>SUMIFS('Dataset 1'!$E$7:$E$2506,'Dataset 1'!$B$7:$B$2506,$A19,'Dataset 1'!$J$7:$J$2506,AG$5)</f>
        <v>0</v>
      </c>
      <c r="AH19" s="83">
        <f>SUMIFS('Dataset 1'!$E$7:$E$2506,'Dataset 1'!$B$7:$B$2506,$A19,'Dataset 1'!$J$7:$J$2506,AH$5)</f>
        <v>0</v>
      </c>
      <c r="AI19" s="83">
        <f>SUMIFS('Dataset 1'!$E$7:$E$2506,'Dataset 1'!$B$7:$B$2506,$A19,'Dataset 1'!$J$7:$J$2506,AI$5)</f>
        <v>920</v>
      </c>
      <c r="AJ19" s="83">
        <f>SUMIFS('Dataset 1'!$E$7:$E$2506,'Dataset 1'!$B$7:$B$2506,$A19,'Dataset 1'!$J$7:$J$2506,AJ$5)</f>
        <v>180</v>
      </c>
      <c r="AK19" s="83">
        <f>SUMIFS('Dataset 1'!$E$7:$E$2506,'Dataset 1'!$B$7:$B$2506,$A19,'Dataset 1'!$J$7:$J$2506,AK$5)</f>
        <v>0</v>
      </c>
      <c r="AL19" s="83">
        <f>SUMIFS('Dataset 1'!$E$7:$E$2506,'Dataset 1'!$B$7:$B$2506,$A19,'Dataset 1'!$J$7:$J$2506,AL$5)</f>
        <v>360</v>
      </c>
      <c r="AM19" s="83">
        <f>SUMIFS('Dataset 1'!$E$7:$E$2506,'Dataset 1'!$B$7:$B$2506,$A19,'Dataset 1'!$J$7:$J$2506,AM$5)</f>
        <v>610</v>
      </c>
      <c r="AN19" s="83">
        <f>SUMIFS('Dataset 1'!$E$7:$E$2506,'Dataset 1'!$B$7:$B$2506,$A19,'Dataset 1'!$J$7:$J$2506,AN$5)</f>
        <v>4870</v>
      </c>
      <c r="AO19" s="83">
        <f>SUMIFS('Dataset 1'!$E$7:$E$2506,'Dataset 1'!$B$7:$B$2506,$A19,'Dataset 1'!$J$7:$J$2506,AO$5)</f>
        <v>0</v>
      </c>
      <c r="AP19" s="83">
        <f>SUMIFS('Dataset 1'!$E$7:$E$2506,'Dataset 1'!$B$7:$B$2506,$A19,'Dataset 1'!$J$7:$J$2506,AP$5)</f>
        <v>0</v>
      </c>
      <c r="AQ19" s="83">
        <f>SUMIFS('Dataset 1'!$E$7:$E$2506,'Dataset 1'!$B$7:$B$2506,$A19,'Dataset 1'!$J$7:$J$2506,AQ$5)</f>
        <v>12650</v>
      </c>
      <c r="AR19" s="83">
        <f>SUMIFS('Dataset 1'!$E$7:$E$2506,'Dataset 1'!$B$7:$B$2506,$A19,'Dataset 1'!$J$7:$J$2506,AR$5)</f>
        <v>0</v>
      </c>
      <c r="AS19" s="83">
        <f>SUMIFS('Dataset 1'!$E$7:$E$2506,'Dataset 1'!$B$7:$B$2506,$A19,'Dataset 1'!$J$7:$J$2506,AS$5)</f>
        <v>0</v>
      </c>
      <c r="AT19" s="83">
        <f>SUMIFS('Dataset 1'!$E$7:$E$2506,'Dataset 1'!$B$7:$B$2506,$A19,'Dataset 1'!$J$7:$J$2506,AT$5)</f>
        <v>590</v>
      </c>
      <c r="AU19" s="83">
        <f>SUMIFS('Dataset 1'!$E$7:$E$2506,'Dataset 1'!$B$7:$B$2506,$A19,'Dataset 1'!$J$7:$J$2506,AU$5)</f>
        <v>0</v>
      </c>
      <c r="AV19" s="83">
        <f>SUMIFS('Dataset 1'!$E$7:$E$2506,'Dataset 1'!$B$7:$B$2506,$A19,'Dataset 1'!$J$7:$J$2506,AV$5)</f>
        <v>1130</v>
      </c>
      <c r="AW19" s="83">
        <f>SUMIFS('Dataset 1'!$E$7:$E$2506,'Dataset 1'!$B$7:$B$2506,$A19,'Dataset 1'!$J$7:$J$2506,AW$5)</f>
        <v>0</v>
      </c>
      <c r="AX19" s="83">
        <f>SUMIFS('Dataset 1'!$E$7:$E$2506,'Dataset 1'!$B$7:$B$2506,$A19,'Dataset 1'!$J$7:$J$2506,AX$5)</f>
        <v>3790</v>
      </c>
      <c r="AY19" s="83">
        <f>SUMIFS('Dataset 1'!$E$7:$E$2506,'Dataset 1'!$B$7:$B$2506,$A19,'Dataset 1'!$J$7:$J$2506,AY$5)</f>
        <v>4990</v>
      </c>
      <c r="AZ19" s="83">
        <f>SUMIFS('Dataset 1'!$E$7:$E$2506,'Dataset 1'!$B$7:$B$2506,$A19,'Dataset 1'!$J$7:$J$2506,AZ$5)</f>
        <v>0</v>
      </c>
      <c r="BA19" s="83">
        <f>SUMIFS('Dataset 1'!$E$7:$E$2506,'Dataset 1'!$B$7:$B$2506,$A19,'Dataset 1'!$J$7:$J$2506,BA$5)</f>
        <v>220</v>
      </c>
      <c r="BB19" s="83">
        <f>SUMIFS('Dataset 1'!$E$7:$E$2506,'Dataset 1'!$B$7:$B$2506,$A19,'Dataset 1'!$J$7:$J$2506,BB$5)</f>
        <v>390</v>
      </c>
      <c r="BC19" s="83">
        <f>SUMIFS('Dataset 1'!$E$7:$E$2506,'Dataset 1'!$B$7:$B$2506,$A19,'Dataset 1'!$J$7:$J$2506,BC$5)</f>
        <v>100</v>
      </c>
      <c r="BD19" s="83">
        <f>SUMIFS('Dataset 1'!$E$7:$E$2506,'Dataset 1'!$B$7:$B$2506,$A19,'Dataset 1'!$J$7:$J$2506,BD$5)</f>
        <v>910</v>
      </c>
      <c r="BE19" s="83">
        <f>SUMIFS('Dataset 1'!$E$7:$E$2506,'Dataset 1'!$B$7:$B$2506,$A19,'Dataset 1'!$J$7:$J$2506,BE$5)</f>
        <v>0</v>
      </c>
      <c r="BF19" s="83">
        <f>SUMIFS('Dataset 1'!$E$7:$E$2506,'Dataset 1'!$B$7:$B$2506,$A19,'Dataset 1'!$J$7:$J$2506,BF$5)</f>
        <v>0</v>
      </c>
      <c r="BG19" s="83">
        <f>SUMIFS('Dataset 1'!$E$7:$E$2506,'Dataset 1'!$B$7:$B$2506,$A19,'Dataset 1'!$J$7:$J$2506,BG$5)</f>
        <v>1170</v>
      </c>
      <c r="BH19" s="83">
        <f>SUMIFS('Dataset 1'!$E$7:$E$2506,'Dataset 1'!$B$7:$B$2506,$A19,'Dataset 1'!$J$7:$J$2506,BH$5)</f>
        <v>500</v>
      </c>
      <c r="BI19" s="83">
        <f>SUMIFS('Dataset 1'!$E$7:$E$2506,'Dataset 1'!$B$7:$B$2506,$A19,'Dataset 1'!$J$7:$J$2506,BI$5)</f>
        <v>160</v>
      </c>
      <c r="BJ19" s="83">
        <f>SUMIFS('Dataset 1'!$E$7:$E$2506,'Dataset 1'!$B$7:$B$2506,$A19,'Dataset 1'!$J$7:$J$2506,BJ$5)</f>
        <v>0</v>
      </c>
      <c r="BK19" s="83">
        <f>SUMIFS('Dataset 1'!$E$7:$E$2506,'Dataset 1'!$B$7:$B$2506,$A19,'Dataset 1'!$J$7:$J$2506,BK$5)</f>
        <v>650</v>
      </c>
      <c r="BL19" s="83">
        <f>SUMIFS('Dataset 1'!$E$7:$E$2506,'Dataset 1'!$B$7:$B$2506,$A19,'Dataset 1'!$J$7:$J$2506,BL$5)</f>
        <v>0</v>
      </c>
      <c r="BM19" s="83">
        <f>SUMIFS('Dataset 1'!$E$7:$E$2506,'Dataset 1'!$B$7:$B$2506,$A19,'Dataset 1'!$J$7:$J$2506,BM$5)</f>
        <v>6600</v>
      </c>
      <c r="BN19" s="83">
        <f>SUMIFS('Dataset 1'!$E$7:$E$2506,'Dataset 1'!$B$7:$B$2506,$A19,'Dataset 1'!$J$7:$J$2506,BN$5)</f>
        <v>0</v>
      </c>
      <c r="BO19" s="83">
        <f>SUMIFS('Dataset 1'!$E$7:$E$2506,'Dataset 1'!$B$7:$B$2506,$A19,'Dataset 1'!$J$7:$J$2506,BO$5)</f>
        <v>470</v>
      </c>
      <c r="BP19" s="83">
        <f>SUMIFS('Dataset 1'!$E$7:$E$2506,'Dataset 1'!$B$7:$B$2506,$A19,'Dataset 1'!$J$7:$J$2506,BP$5)</f>
        <v>0</v>
      </c>
      <c r="BQ19" s="83">
        <f>SUMIFS('Dataset 1'!$E$7:$E$2506,'Dataset 1'!$B$7:$B$2506,$A19,'Dataset 1'!$J$7:$J$2506,BQ$5)</f>
        <v>0</v>
      </c>
      <c r="BR19" s="83">
        <f>SUMIFS('Dataset 1'!$E$7:$E$2506,'Dataset 1'!$B$7:$B$2506,$A19,'Dataset 1'!$J$7:$J$2506,BR$5)</f>
        <v>1420</v>
      </c>
      <c r="BS19" s="83">
        <f>SUMIFS('Dataset 1'!$E$7:$E$2506,'Dataset 1'!$B$7:$B$2506,$A19,'Dataset 1'!$J$7:$J$2506,BS$5)</f>
        <v>110</v>
      </c>
      <c r="BT19" s="83">
        <f>SUMIFS('Dataset 1'!$E$7:$E$2506,'Dataset 1'!$B$7:$B$2506,$A19,'Dataset 1'!$J$7:$J$2506,BT$5)</f>
        <v>0</v>
      </c>
      <c r="BU19" s="83">
        <f>SUMIFS('Dataset 1'!$E$7:$E$2506,'Dataset 1'!$B$7:$B$2506,$A19,'Dataset 1'!$J$7:$J$2506,BU$5)</f>
        <v>0</v>
      </c>
      <c r="BV19" s="83">
        <f>SUMIFS('Dataset 1'!$E$7:$E$2506,'Dataset 1'!$B$7:$B$2506,$A19,'Dataset 1'!$J$7:$J$2506,BV$5)</f>
        <v>0</v>
      </c>
      <c r="BW19" s="83">
        <f>SUMIFS('Dataset 1'!$E$7:$E$2506,'Dataset 1'!$B$7:$B$2506,$A19,'Dataset 1'!$J$7:$J$2506,BW$5)</f>
        <v>0</v>
      </c>
      <c r="BX19" s="83">
        <f>SUMIFS('Dataset 1'!$E$7:$E$2506,'Dataset 1'!$B$7:$B$2506,$A19,'Dataset 1'!$J$7:$J$2506,BX$5)</f>
        <v>0</v>
      </c>
      <c r="BY19" s="83">
        <f>SUMIFS('Dataset 1'!$E$7:$E$2506,'Dataset 1'!$B$7:$B$2506,$A19,'Dataset 1'!$J$7:$J$2506,BY$5)</f>
        <v>0</v>
      </c>
      <c r="BZ19" s="83">
        <f>SUMIFS('Dataset 1'!$E$7:$E$2506,'Dataset 1'!$B$7:$B$2506,$A19,'Dataset 1'!$J$7:$J$2506,BZ$5)</f>
        <v>0</v>
      </c>
      <c r="CA19" s="83">
        <f>SUMIFS('Dataset 1'!$E$7:$E$2506,'Dataset 1'!$B$7:$B$2506,$A19,'Dataset 1'!$J$7:$J$2506,CA$5)</f>
        <v>0</v>
      </c>
      <c r="CB19" s="83">
        <f>SUMIFS('Dataset 1'!$E$7:$E$2506,'Dataset 1'!$B$7:$B$2506,$A19,'Dataset 1'!$J$7:$J$2506,CB$5)</f>
        <v>0</v>
      </c>
      <c r="CC19" s="83">
        <f>SUMIFS('Dataset 1'!$E$7:$E$2506,'Dataset 1'!$B$7:$B$2506,$A19,'Dataset 1'!$J$7:$J$2506,CC$5)</f>
        <v>150</v>
      </c>
      <c r="CD19" s="83">
        <f>SUMIFS('Dataset 1'!$E$7:$E$2506,'Dataset 1'!$B$7:$B$2506,$A19,'Dataset 1'!$J$7:$J$2506,CD$5)</f>
        <v>140</v>
      </c>
      <c r="CE19" s="83">
        <f>SUMIFS('Dataset 1'!$E$7:$E$2506,'Dataset 1'!$B$7:$B$2506,$A19,'Dataset 1'!$J$7:$J$2506,CE$5)</f>
        <v>2430</v>
      </c>
      <c r="CF19" s="83">
        <f>SUMIFS('Dataset 1'!$E$7:$E$2506,'Dataset 1'!$B$7:$B$2506,$A19,'Dataset 1'!$J$7:$J$2506,CF$5)</f>
        <v>170</v>
      </c>
      <c r="CG19" s="83">
        <f>SUMIFS('Dataset 1'!$E$7:$E$2506,'Dataset 1'!$B$7:$B$2506,$A19,'Dataset 1'!$J$7:$J$2506,CG$5)</f>
        <v>0</v>
      </c>
      <c r="CH19" s="83">
        <f>SUMIFS('Dataset 1'!$E$7:$E$2506,'Dataset 1'!$B$7:$B$2506,$A19,'Dataset 1'!$J$7:$J$2506,CH$5)</f>
        <v>0</v>
      </c>
      <c r="CI19" s="83">
        <f>SUMIFS('Dataset 1'!$E$7:$E$2506,'Dataset 1'!$B$7:$B$2506,$A19,'Dataset 1'!$J$7:$J$2506,CI$5)</f>
        <v>750</v>
      </c>
      <c r="CJ19" s="83">
        <f>SUMIFS('Dataset 1'!$E$7:$E$2506,'Dataset 1'!$B$7:$B$2506,$A19,'Dataset 1'!$J$7:$J$2506,CJ$5)</f>
        <v>0</v>
      </c>
      <c r="CK19" s="83">
        <f>SUMIFS('Dataset 1'!$E$7:$E$2506,'Dataset 1'!$B$7:$B$2506,$A19,'Dataset 1'!$J$7:$J$2506,CK$5)</f>
        <v>630</v>
      </c>
      <c r="CL19" s="83">
        <f>SUMIFS('Dataset 1'!$E$7:$E$2506,'Dataset 1'!$B$7:$B$2506,$A19,'Dataset 1'!$J$7:$J$2506,CL$5)</f>
        <v>0</v>
      </c>
      <c r="CM19" s="83">
        <f>SUMIFS('Dataset 1'!$E$7:$E$2506,'Dataset 1'!$B$7:$B$2506,$A19,'Dataset 1'!$J$7:$J$2506,CM$5)</f>
        <v>1310</v>
      </c>
      <c r="CN19" s="83">
        <f>SUMIFS('Dataset 1'!$E$7:$E$2506,'Dataset 1'!$B$7:$B$2506,$A19,'Dataset 1'!$J$7:$J$2506,CN$5)</f>
        <v>0</v>
      </c>
      <c r="CO19" s="83">
        <f>SUMIFS('Dataset 1'!$E$7:$E$2506,'Dataset 1'!$B$7:$B$2506,$A19,'Dataset 1'!$J$7:$J$2506,CO$5)</f>
        <v>0</v>
      </c>
      <c r="CP19" s="83">
        <f>SUMIFS('Dataset 1'!$E$7:$E$2506,'Dataset 1'!$B$7:$B$2506,$A19,'Dataset 1'!$J$7:$J$2506,CP$5)</f>
        <v>2800</v>
      </c>
      <c r="CQ19" s="83">
        <f>SUMIFS('Dataset 1'!$E$7:$E$2506,'Dataset 1'!$B$7:$B$2506,$A19,'Dataset 1'!$J$7:$J$2506,CQ$5)</f>
        <v>400</v>
      </c>
      <c r="CR19" s="83">
        <f>SUMIFS('Dataset 1'!$E$7:$E$2506,'Dataset 1'!$B$7:$B$2506,$A19,'Dataset 1'!$J$7:$J$2506,CR$5)</f>
        <v>0</v>
      </c>
      <c r="CS19" s="83">
        <f>SUMIFS('Dataset 1'!$E$7:$E$2506,'Dataset 1'!$B$7:$B$2506,$A19,'Dataset 1'!$J$7:$J$2506,CS$5)</f>
        <v>0</v>
      </c>
      <c r="CT19" s="83">
        <f>SUMIFS('Dataset 1'!$E$7:$E$2506,'Dataset 1'!$B$7:$B$2506,$A19,'Dataset 1'!$J$7:$J$2506,CT$5)</f>
        <v>0</v>
      </c>
      <c r="CU19" s="83">
        <f>SUMIFS('Dataset 1'!$E$7:$E$2506,'Dataset 1'!$B$7:$B$2506,$A19,'Dataset 1'!$J$7:$J$2506,CU$5)</f>
        <v>630</v>
      </c>
      <c r="CV19" s="83">
        <f>SUMIFS('Dataset 1'!$E$7:$E$2506,'Dataset 1'!$B$7:$B$2506,$A19,'Dataset 1'!$J$7:$J$2506,CV$5)</f>
        <v>0</v>
      </c>
      <c r="CW19" s="83">
        <f>SUMIFS('Dataset 1'!$E$7:$E$2506,'Dataset 1'!$B$7:$B$2506,$A19,'Dataset 1'!$J$7:$J$2506,CW$5)</f>
        <v>0</v>
      </c>
      <c r="CX19" s="83">
        <f>SUMIFS('Dataset 1'!$E$7:$E$2506,'Dataset 1'!$B$7:$B$2506,$A19,'Dataset 1'!$J$7:$J$2506,CX$5)</f>
        <v>0</v>
      </c>
      <c r="CY19" s="83">
        <f>SUMIFS('Dataset 1'!$E$7:$E$2506,'Dataset 1'!$B$7:$B$2506,$A19,'Dataset 1'!$J$7:$J$2506,CY$5)</f>
        <v>0</v>
      </c>
      <c r="CZ19" s="83">
        <f>SUMIFS('Dataset 1'!$E$7:$E$2506,'Dataset 1'!$B$7:$B$2506,$A19,'Dataset 1'!$J$7:$J$2506,CZ$5)</f>
        <v>950</v>
      </c>
      <c r="DA19" s="83">
        <f>SUMIFS('Dataset 1'!$E$7:$E$2506,'Dataset 1'!$B$7:$B$2506,$A19,'Dataset 1'!$J$7:$J$2506,DA$5)</f>
        <v>0</v>
      </c>
      <c r="DB19" s="83">
        <f>SUMIFS('Dataset 1'!$E$7:$E$2506,'Dataset 1'!$B$7:$B$2506,$A19,'Dataset 1'!$J$7:$J$2506,DB$5)</f>
        <v>3220</v>
      </c>
      <c r="DC19" s="83">
        <f>SUMIFS('Dataset 1'!$E$7:$E$2506,'Dataset 1'!$B$7:$B$2506,$A19,'Dataset 1'!$J$7:$J$2506,DC$5)</f>
        <v>0</v>
      </c>
      <c r="DD19" s="83">
        <f>SUMIFS('Dataset 1'!$E$7:$E$2506,'Dataset 1'!$B$7:$B$2506,$A19,'Dataset 1'!$J$7:$J$2506,DD$5)</f>
        <v>340</v>
      </c>
      <c r="DE19" s="83">
        <f>SUMIFS('Dataset 1'!$E$7:$E$2506,'Dataset 1'!$B$7:$B$2506,$A19,'Dataset 1'!$J$7:$J$2506,DE$5)</f>
        <v>0</v>
      </c>
      <c r="DF19" s="83">
        <f>SUMIFS('Dataset 1'!$E$7:$E$2506,'Dataset 1'!$B$7:$B$2506,$A19,'Dataset 1'!$J$7:$J$2506,DF$5)</f>
        <v>300</v>
      </c>
      <c r="DG19" s="83">
        <f>SUMIFS('Dataset 1'!$E$7:$E$2506,'Dataset 1'!$B$7:$B$2506,$A19,'Dataset 1'!$J$7:$J$2506,DG$5)</f>
        <v>600</v>
      </c>
      <c r="DH19" s="83">
        <f>SUMIFS('Dataset 1'!$E$7:$E$2506,'Dataset 1'!$B$7:$B$2506,$A19,'Dataset 1'!$J$7:$J$2506,DH$5)</f>
        <v>1260</v>
      </c>
      <c r="DI19" s="83">
        <f>SUMIFS('Dataset 1'!$E$7:$E$2506,'Dataset 1'!$B$7:$B$2506,$A19,'Dataset 1'!$J$7:$J$2506,DI$5)</f>
        <v>1120</v>
      </c>
      <c r="DJ19" s="83">
        <f>SUMIFS('Dataset 1'!$E$7:$E$2506,'Dataset 1'!$B$7:$B$2506,$A19,'Dataset 1'!$J$7:$J$2506,DJ$5)</f>
        <v>0</v>
      </c>
      <c r="DK19" s="83">
        <f>SUMIFS('Dataset 1'!$E$7:$E$2506,'Dataset 1'!$B$7:$B$2506,$A19,'Dataset 1'!$J$7:$J$2506,DK$5)</f>
        <v>0</v>
      </c>
      <c r="DL19" s="83">
        <f>SUMIFS('Dataset 1'!$E$7:$E$2506,'Dataset 1'!$B$7:$B$2506,$A19,'Dataset 1'!$J$7:$J$2506,DL$5)</f>
        <v>6170</v>
      </c>
      <c r="DM19" s="83">
        <f>SUMIFS('Dataset 1'!$E$7:$E$2506,'Dataset 1'!$B$7:$B$2506,$A19,'Dataset 1'!$J$7:$J$2506,DM$5)</f>
        <v>190</v>
      </c>
      <c r="DN19" s="83">
        <f>SUMIFS('Dataset 1'!$E$7:$E$2506,'Dataset 1'!$B$7:$B$2506,$A19,'Dataset 1'!$J$7:$J$2506,DN$5)</f>
        <v>0</v>
      </c>
      <c r="DO19" s="83">
        <f>SUMIFS('Dataset 1'!$E$7:$E$2506,'Dataset 1'!$B$7:$B$2506,$A19,'Dataset 1'!$J$7:$J$2506,DO$5)</f>
        <v>240</v>
      </c>
      <c r="DP19" s="83">
        <f>SUMIFS('Dataset 1'!$E$7:$E$2506,'Dataset 1'!$B$7:$B$2506,$A19,'Dataset 1'!$J$7:$J$2506,DP$5)</f>
        <v>0</v>
      </c>
      <c r="DQ19" s="83">
        <f>SUMIFS('Dataset 1'!$E$7:$E$2506,'Dataset 1'!$B$7:$B$2506,$A19,'Dataset 1'!$J$7:$J$2506,DQ$5)</f>
        <v>0</v>
      </c>
      <c r="DR19" s="83">
        <f>SUMIFS('Dataset 1'!$E$7:$E$2506,'Dataset 1'!$B$7:$B$2506,$A19,'Dataset 1'!$J$7:$J$2506,DR$5)</f>
        <v>850</v>
      </c>
      <c r="DS19" s="83">
        <f>SUMIFS('Dataset 1'!$E$7:$E$2506,'Dataset 1'!$B$7:$B$2506,$A19,'Dataset 1'!$J$7:$J$2506,DS$5)</f>
        <v>0</v>
      </c>
      <c r="DT19" s="83">
        <f>SUMIFS('Dataset 1'!$E$7:$E$2506,'Dataset 1'!$B$7:$B$2506,$A19,'Dataset 1'!$J$7:$J$2506,DT$5)</f>
        <v>0</v>
      </c>
      <c r="DU19" s="83">
        <f>SUMIFS('Dataset 1'!$E$7:$E$2506,'Dataset 1'!$B$7:$B$2506,$A19,'Dataset 1'!$J$7:$J$2506,DU$5)</f>
        <v>0</v>
      </c>
      <c r="DV19" s="83">
        <f>SUMIFS('Dataset 1'!$E$7:$E$2506,'Dataset 1'!$B$7:$B$2506,$A19,'Dataset 1'!$J$7:$J$2506,DV$5)</f>
        <v>730</v>
      </c>
      <c r="DW19" s="83">
        <f>SUMIFS('Dataset 1'!$E$7:$E$2506,'Dataset 1'!$B$7:$B$2506,$A19,'Dataset 1'!$J$7:$J$2506,DW$5)</f>
        <v>0</v>
      </c>
      <c r="DX19" s="83">
        <f>SUMIFS('Dataset 1'!$E$7:$E$2506,'Dataset 1'!$B$7:$B$2506,$A19,'Dataset 1'!$J$7:$J$2506,DX$5)</f>
        <v>2330</v>
      </c>
      <c r="DY19" s="83">
        <f>SUMIFS('Dataset 1'!$E$7:$E$2506,'Dataset 1'!$B$7:$B$2506,$A19,'Dataset 1'!$J$7:$J$2506,DY$5)</f>
        <v>8920</v>
      </c>
      <c r="DZ19" s="83">
        <f>SUMIFS('Dataset 1'!$E$7:$E$2506,'Dataset 1'!$B$7:$B$2506,$A19,'Dataset 1'!$J$7:$J$2506,DZ$5)</f>
        <v>1820</v>
      </c>
      <c r="EA19" s="83">
        <f>SUMIFS('Dataset 1'!$E$7:$E$2506,'Dataset 1'!$B$7:$B$2506,$A19,'Dataset 1'!$J$7:$J$2506,EA$5)</f>
        <v>0</v>
      </c>
      <c r="EB19" s="83">
        <f>SUMIFS('Dataset 1'!$E$7:$E$2506,'Dataset 1'!$B$7:$B$2506,$A19,'Dataset 1'!$J$7:$J$2506,EB$5)</f>
        <v>0</v>
      </c>
      <c r="EC19" s="83">
        <f>SUMIFS('Dataset 1'!$E$7:$E$2506,'Dataset 1'!$B$7:$B$2506,$A19,'Dataset 1'!$J$7:$J$2506,EC$5)</f>
        <v>610</v>
      </c>
      <c r="ED19" s="83">
        <f>SUMIFS('Dataset 1'!$E$7:$E$2506,'Dataset 1'!$B$7:$B$2506,$A19,'Dataset 1'!$J$7:$J$2506,ED$5)</f>
        <v>750</v>
      </c>
      <c r="EE19" s="83">
        <f>SUMIFS('Dataset 1'!$E$7:$E$2506,'Dataset 1'!$B$7:$B$2506,$A19,'Dataset 1'!$J$7:$J$2506,EE$5)</f>
        <v>0</v>
      </c>
      <c r="EF19" s="83">
        <f>SUMIFS('Dataset 1'!$E$7:$E$2506,'Dataset 1'!$B$7:$B$2506,$A19,'Dataset 1'!$J$7:$J$2506,EF$5)</f>
        <v>900</v>
      </c>
      <c r="EG19" s="83">
        <f>SUMIFS('Dataset 1'!$E$7:$E$2506,'Dataset 1'!$B$7:$B$2506,$A19,'Dataset 1'!$J$7:$J$2506,EG$5)</f>
        <v>1100</v>
      </c>
    </row>
    <row r="20" spans="1:137" x14ac:dyDescent="0.2">
      <c r="A20">
        <v>2019</v>
      </c>
      <c r="B20" s="83">
        <f>SUMIFS('Dataset 1'!$E$7:$E$2506,'Dataset 1'!$B$7:$B$2506,$A20,'Dataset 1'!$J$7:$J$2506,B$5)</f>
        <v>0</v>
      </c>
      <c r="C20" s="83">
        <f>SUMIFS('Dataset 1'!$E$7:$E$2506,'Dataset 1'!$B$7:$B$2506,$A20,'Dataset 1'!$J$7:$J$2506,C$5)</f>
        <v>0</v>
      </c>
      <c r="D20" s="83">
        <f>SUMIFS('Dataset 1'!$E$7:$E$2506,'Dataset 1'!$B$7:$B$2506,$A20,'Dataset 1'!$J$7:$J$2506,D$5)</f>
        <v>0</v>
      </c>
      <c r="E20" s="83">
        <f>SUMIFS('Dataset 1'!$E$7:$E$2506,'Dataset 1'!$B$7:$B$2506,$A20,'Dataset 1'!$J$7:$J$2506,E$5)</f>
        <v>0</v>
      </c>
      <c r="F20" s="83">
        <f>SUMIFS('Dataset 1'!$E$7:$E$2506,'Dataset 1'!$B$7:$B$2506,$A20,'Dataset 1'!$J$7:$J$2506,F$5)</f>
        <v>870</v>
      </c>
      <c r="G20" s="83">
        <f>SUMIFS('Dataset 1'!$E$7:$E$2506,'Dataset 1'!$B$7:$B$2506,$A20,'Dataset 1'!$J$7:$J$2506,G$5)</f>
        <v>3550</v>
      </c>
      <c r="H20" s="83">
        <f>SUMIFS('Dataset 1'!$E$7:$E$2506,'Dataset 1'!$B$7:$B$2506,$A20,'Dataset 1'!$J$7:$J$2506,H$5)</f>
        <v>0</v>
      </c>
      <c r="I20" s="83">
        <f>SUMIFS('Dataset 1'!$E$7:$E$2506,'Dataset 1'!$B$7:$B$2506,$A20,'Dataset 1'!$J$7:$J$2506,I$5)</f>
        <v>270</v>
      </c>
      <c r="J20" s="83">
        <f>SUMIFS('Dataset 1'!$E$7:$E$2506,'Dataset 1'!$B$7:$B$2506,$A20,'Dataset 1'!$J$7:$J$2506,J$5)</f>
        <v>0</v>
      </c>
      <c r="K20" s="83">
        <f>SUMIFS('Dataset 1'!$E$7:$E$2506,'Dataset 1'!$B$7:$B$2506,$A20,'Dataset 1'!$J$7:$J$2506,K$5)</f>
        <v>970</v>
      </c>
      <c r="L20" s="83">
        <f>SUMIFS('Dataset 1'!$E$7:$E$2506,'Dataset 1'!$B$7:$B$2506,$A20,'Dataset 1'!$J$7:$J$2506,L$5)</f>
        <v>0</v>
      </c>
      <c r="M20" s="83">
        <f>SUMIFS('Dataset 1'!$E$7:$E$2506,'Dataset 1'!$B$7:$B$2506,$A20,'Dataset 1'!$J$7:$J$2506,M$5)</f>
        <v>540</v>
      </c>
      <c r="N20" s="83">
        <f>SUMIFS('Dataset 1'!$E$7:$E$2506,'Dataset 1'!$B$7:$B$2506,$A20,'Dataset 1'!$J$7:$J$2506,N$5)</f>
        <v>0</v>
      </c>
      <c r="O20" s="83">
        <f>SUMIFS('Dataset 1'!$E$7:$E$2506,'Dataset 1'!$B$7:$B$2506,$A20,'Dataset 1'!$J$7:$J$2506,O$5)</f>
        <v>0</v>
      </c>
      <c r="P20" s="83">
        <f>SUMIFS('Dataset 1'!$E$7:$E$2506,'Dataset 1'!$B$7:$B$2506,$A20,'Dataset 1'!$J$7:$J$2506,P$5)</f>
        <v>0</v>
      </c>
      <c r="Q20" s="83">
        <f>SUMIFS('Dataset 1'!$E$7:$E$2506,'Dataset 1'!$B$7:$B$2506,$A20,'Dataset 1'!$J$7:$J$2506,Q$5)</f>
        <v>2030</v>
      </c>
      <c r="R20" s="83">
        <f>SUMIFS('Dataset 1'!$E$7:$E$2506,'Dataset 1'!$B$7:$B$2506,$A20,'Dataset 1'!$J$7:$J$2506,R$5)</f>
        <v>11520</v>
      </c>
      <c r="S20" s="83">
        <f>SUMIFS('Dataset 1'!$E$7:$E$2506,'Dataset 1'!$B$7:$B$2506,$A20,'Dataset 1'!$J$7:$J$2506,S$5)</f>
        <v>0</v>
      </c>
      <c r="T20" s="83">
        <f>SUMIFS('Dataset 1'!$E$7:$E$2506,'Dataset 1'!$B$7:$B$2506,$A20,'Dataset 1'!$J$7:$J$2506,T$5)</f>
        <v>0</v>
      </c>
      <c r="U20" s="83">
        <f>SUMIFS('Dataset 1'!$E$7:$E$2506,'Dataset 1'!$B$7:$B$2506,$A20,'Dataset 1'!$J$7:$J$2506,U$5)</f>
        <v>2340</v>
      </c>
      <c r="V20" s="83">
        <f>SUMIFS('Dataset 1'!$E$7:$E$2506,'Dataset 1'!$B$7:$B$2506,$A20,'Dataset 1'!$J$7:$J$2506,V$5)</f>
        <v>0</v>
      </c>
      <c r="W20" s="83">
        <f>SUMIFS('Dataset 1'!$E$7:$E$2506,'Dataset 1'!$B$7:$B$2506,$A20,'Dataset 1'!$J$7:$J$2506,W$5)</f>
        <v>1860</v>
      </c>
      <c r="X20" s="83">
        <f>SUMIFS('Dataset 1'!$E$7:$E$2506,'Dataset 1'!$B$7:$B$2506,$A20,'Dataset 1'!$J$7:$J$2506,X$5)</f>
        <v>0</v>
      </c>
      <c r="Y20" s="83">
        <f>SUMIFS('Dataset 1'!$E$7:$E$2506,'Dataset 1'!$B$7:$B$2506,$A20,'Dataset 1'!$J$7:$J$2506,Y$5)</f>
        <v>2330</v>
      </c>
      <c r="Z20" s="83">
        <f>SUMIFS('Dataset 1'!$E$7:$E$2506,'Dataset 1'!$B$7:$B$2506,$A20,'Dataset 1'!$J$7:$J$2506,Z$5)</f>
        <v>1440</v>
      </c>
      <c r="AA20" s="83">
        <f>SUMIFS('Dataset 1'!$E$7:$E$2506,'Dataset 1'!$B$7:$B$2506,$A20,'Dataset 1'!$J$7:$J$2506,AA$5)</f>
        <v>0</v>
      </c>
      <c r="AB20" s="83">
        <f>SUMIFS('Dataset 1'!$E$7:$E$2506,'Dataset 1'!$B$7:$B$2506,$A20,'Dataset 1'!$J$7:$J$2506,AB$5)</f>
        <v>0</v>
      </c>
      <c r="AC20" s="83">
        <f>SUMIFS('Dataset 1'!$E$7:$E$2506,'Dataset 1'!$B$7:$B$2506,$A20,'Dataset 1'!$J$7:$J$2506,AC$5)</f>
        <v>0</v>
      </c>
      <c r="AD20" s="83">
        <f>SUMIFS('Dataset 1'!$E$7:$E$2506,'Dataset 1'!$B$7:$B$2506,$A20,'Dataset 1'!$J$7:$J$2506,AD$5)</f>
        <v>0</v>
      </c>
      <c r="AE20" s="83">
        <f>SUMIFS('Dataset 1'!$E$7:$E$2506,'Dataset 1'!$B$7:$B$2506,$A20,'Dataset 1'!$J$7:$J$2506,AE$5)</f>
        <v>0</v>
      </c>
      <c r="AF20" s="83">
        <f>SUMIFS('Dataset 1'!$E$7:$E$2506,'Dataset 1'!$B$7:$B$2506,$A20,'Dataset 1'!$J$7:$J$2506,AF$5)</f>
        <v>210</v>
      </c>
      <c r="AG20" s="83">
        <f>SUMIFS('Dataset 1'!$E$7:$E$2506,'Dataset 1'!$B$7:$B$2506,$A20,'Dataset 1'!$J$7:$J$2506,AG$5)</f>
        <v>0</v>
      </c>
      <c r="AH20" s="83">
        <f>SUMIFS('Dataset 1'!$E$7:$E$2506,'Dataset 1'!$B$7:$B$2506,$A20,'Dataset 1'!$J$7:$J$2506,AH$5)</f>
        <v>0</v>
      </c>
      <c r="AI20" s="83">
        <f>SUMIFS('Dataset 1'!$E$7:$E$2506,'Dataset 1'!$B$7:$B$2506,$A20,'Dataset 1'!$J$7:$J$2506,AI$5)</f>
        <v>0</v>
      </c>
      <c r="AJ20" s="83">
        <f>SUMIFS('Dataset 1'!$E$7:$E$2506,'Dataset 1'!$B$7:$B$2506,$A20,'Dataset 1'!$J$7:$J$2506,AJ$5)</f>
        <v>0</v>
      </c>
      <c r="AK20" s="83">
        <f>SUMIFS('Dataset 1'!$E$7:$E$2506,'Dataset 1'!$B$7:$B$2506,$A20,'Dataset 1'!$J$7:$J$2506,AK$5)</f>
        <v>0</v>
      </c>
      <c r="AL20" s="83">
        <f>SUMIFS('Dataset 1'!$E$7:$E$2506,'Dataset 1'!$B$7:$B$2506,$A20,'Dataset 1'!$J$7:$J$2506,AL$5)</f>
        <v>320</v>
      </c>
      <c r="AM20" s="83">
        <f>SUMIFS('Dataset 1'!$E$7:$E$2506,'Dataset 1'!$B$7:$B$2506,$A20,'Dataset 1'!$J$7:$J$2506,AM$5)</f>
        <v>5420</v>
      </c>
      <c r="AN20" s="83">
        <f>SUMIFS('Dataset 1'!$E$7:$E$2506,'Dataset 1'!$B$7:$B$2506,$A20,'Dataset 1'!$J$7:$J$2506,AN$5)</f>
        <v>4450</v>
      </c>
      <c r="AO20" s="83">
        <f>SUMIFS('Dataset 1'!$E$7:$E$2506,'Dataset 1'!$B$7:$B$2506,$A20,'Dataset 1'!$J$7:$J$2506,AO$5)</f>
        <v>0</v>
      </c>
      <c r="AP20" s="83">
        <f>SUMIFS('Dataset 1'!$E$7:$E$2506,'Dataset 1'!$B$7:$B$2506,$A20,'Dataset 1'!$J$7:$J$2506,AP$5)</f>
        <v>0</v>
      </c>
      <c r="AQ20" s="83">
        <f>SUMIFS('Dataset 1'!$E$7:$E$2506,'Dataset 1'!$B$7:$B$2506,$A20,'Dataset 1'!$J$7:$J$2506,AQ$5)</f>
        <v>6510</v>
      </c>
      <c r="AR20" s="83">
        <f>SUMIFS('Dataset 1'!$E$7:$E$2506,'Dataset 1'!$B$7:$B$2506,$A20,'Dataset 1'!$J$7:$J$2506,AR$5)</f>
        <v>0</v>
      </c>
      <c r="AS20" s="83">
        <f>SUMIFS('Dataset 1'!$E$7:$E$2506,'Dataset 1'!$B$7:$B$2506,$A20,'Dataset 1'!$J$7:$J$2506,AS$5)</f>
        <v>370</v>
      </c>
      <c r="AT20" s="83">
        <f>SUMIFS('Dataset 1'!$E$7:$E$2506,'Dataset 1'!$B$7:$B$2506,$A20,'Dataset 1'!$J$7:$J$2506,AT$5)</f>
        <v>830</v>
      </c>
      <c r="AU20" s="83">
        <f>SUMIFS('Dataset 1'!$E$7:$E$2506,'Dataset 1'!$B$7:$B$2506,$A20,'Dataset 1'!$J$7:$J$2506,AU$5)</f>
        <v>0</v>
      </c>
      <c r="AV20" s="83">
        <f>SUMIFS('Dataset 1'!$E$7:$E$2506,'Dataset 1'!$B$7:$B$2506,$A20,'Dataset 1'!$J$7:$J$2506,AV$5)</f>
        <v>1500</v>
      </c>
      <c r="AW20" s="83">
        <f>SUMIFS('Dataset 1'!$E$7:$E$2506,'Dataset 1'!$B$7:$B$2506,$A20,'Dataset 1'!$J$7:$J$2506,AW$5)</f>
        <v>110</v>
      </c>
      <c r="AX20" s="83">
        <f>SUMIFS('Dataset 1'!$E$7:$E$2506,'Dataset 1'!$B$7:$B$2506,$A20,'Dataset 1'!$J$7:$J$2506,AX$5)</f>
        <v>5090</v>
      </c>
      <c r="AY20" s="83">
        <f>SUMIFS('Dataset 1'!$E$7:$E$2506,'Dataset 1'!$B$7:$B$2506,$A20,'Dataset 1'!$J$7:$J$2506,AY$5)</f>
        <v>5960</v>
      </c>
      <c r="AZ20" s="83">
        <f>SUMIFS('Dataset 1'!$E$7:$E$2506,'Dataset 1'!$B$7:$B$2506,$A20,'Dataset 1'!$J$7:$J$2506,AZ$5)</f>
        <v>0</v>
      </c>
      <c r="BA20" s="83">
        <f>SUMIFS('Dataset 1'!$E$7:$E$2506,'Dataset 1'!$B$7:$B$2506,$A20,'Dataset 1'!$J$7:$J$2506,BA$5)</f>
        <v>2050</v>
      </c>
      <c r="BB20" s="83">
        <f>SUMIFS('Dataset 1'!$E$7:$E$2506,'Dataset 1'!$B$7:$B$2506,$A20,'Dataset 1'!$J$7:$J$2506,BB$5)</f>
        <v>240</v>
      </c>
      <c r="BC20" s="83">
        <f>SUMIFS('Dataset 1'!$E$7:$E$2506,'Dataset 1'!$B$7:$B$2506,$A20,'Dataset 1'!$J$7:$J$2506,BC$5)</f>
        <v>260</v>
      </c>
      <c r="BD20" s="83">
        <f>SUMIFS('Dataset 1'!$E$7:$E$2506,'Dataset 1'!$B$7:$B$2506,$A20,'Dataset 1'!$J$7:$J$2506,BD$5)</f>
        <v>1250</v>
      </c>
      <c r="BE20" s="83">
        <f>SUMIFS('Dataset 1'!$E$7:$E$2506,'Dataset 1'!$B$7:$B$2506,$A20,'Dataset 1'!$J$7:$J$2506,BE$5)</f>
        <v>0</v>
      </c>
      <c r="BF20" s="83">
        <f>SUMIFS('Dataset 1'!$E$7:$E$2506,'Dataset 1'!$B$7:$B$2506,$A20,'Dataset 1'!$J$7:$J$2506,BF$5)</f>
        <v>0</v>
      </c>
      <c r="BG20" s="83">
        <f>SUMIFS('Dataset 1'!$E$7:$E$2506,'Dataset 1'!$B$7:$B$2506,$A20,'Dataset 1'!$J$7:$J$2506,BG$5)</f>
        <v>110</v>
      </c>
      <c r="BH20" s="83">
        <f>SUMIFS('Dataset 1'!$E$7:$E$2506,'Dataset 1'!$B$7:$B$2506,$A20,'Dataset 1'!$J$7:$J$2506,BH$5)</f>
        <v>0</v>
      </c>
      <c r="BI20" s="83">
        <f>SUMIFS('Dataset 1'!$E$7:$E$2506,'Dataset 1'!$B$7:$B$2506,$A20,'Dataset 1'!$J$7:$J$2506,BI$5)</f>
        <v>1020</v>
      </c>
      <c r="BJ20" s="83">
        <f>SUMIFS('Dataset 1'!$E$7:$E$2506,'Dataset 1'!$B$7:$B$2506,$A20,'Dataset 1'!$J$7:$J$2506,BJ$5)</f>
        <v>790</v>
      </c>
      <c r="BK20" s="83">
        <f>SUMIFS('Dataset 1'!$E$7:$E$2506,'Dataset 1'!$B$7:$B$2506,$A20,'Dataset 1'!$J$7:$J$2506,BK$5)</f>
        <v>0</v>
      </c>
      <c r="BL20" s="83">
        <f>SUMIFS('Dataset 1'!$E$7:$E$2506,'Dataset 1'!$B$7:$B$2506,$A20,'Dataset 1'!$J$7:$J$2506,BL$5)</f>
        <v>0</v>
      </c>
      <c r="BM20" s="83">
        <f>SUMIFS('Dataset 1'!$E$7:$E$2506,'Dataset 1'!$B$7:$B$2506,$A20,'Dataset 1'!$J$7:$J$2506,BM$5)</f>
        <v>0</v>
      </c>
      <c r="BN20" s="83">
        <f>SUMIFS('Dataset 1'!$E$7:$E$2506,'Dataset 1'!$B$7:$B$2506,$A20,'Dataset 1'!$J$7:$J$2506,BN$5)</f>
        <v>0</v>
      </c>
      <c r="BO20" s="83">
        <f>SUMIFS('Dataset 1'!$E$7:$E$2506,'Dataset 1'!$B$7:$B$2506,$A20,'Dataset 1'!$J$7:$J$2506,BO$5)</f>
        <v>0</v>
      </c>
      <c r="BP20" s="83">
        <f>SUMIFS('Dataset 1'!$E$7:$E$2506,'Dataset 1'!$B$7:$B$2506,$A20,'Dataset 1'!$J$7:$J$2506,BP$5)</f>
        <v>0</v>
      </c>
      <c r="BQ20" s="83">
        <f>SUMIFS('Dataset 1'!$E$7:$E$2506,'Dataset 1'!$B$7:$B$2506,$A20,'Dataset 1'!$J$7:$J$2506,BQ$5)</f>
        <v>0</v>
      </c>
      <c r="BR20" s="83">
        <f>SUMIFS('Dataset 1'!$E$7:$E$2506,'Dataset 1'!$B$7:$B$2506,$A20,'Dataset 1'!$J$7:$J$2506,BR$5)</f>
        <v>1330</v>
      </c>
      <c r="BS20" s="83">
        <f>SUMIFS('Dataset 1'!$E$7:$E$2506,'Dataset 1'!$B$7:$B$2506,$A20,'Dataset 1'!$J$7:$J$2506,BS$5)</f>
        <v>0</v>
      </c>
      <c r="BT20" s="83">
        <f>SUMIFS('Dataset 1'!$E$7:$E$2506,'Dataset 1'!$B$7:$B$2506,$A20,'Dataset 1'!$J$7:$J$2506,BT$5)</f>
        <v>0</v>
      </c>
      <c r="BU20" s="83">
        <f>SUMIFS('Dataset 1'!$E$7:$E$2506,'Dataset 1'!$B$7:$B$2506,$A20,'Dataset 1'!$J$7:$J$2506,BU$5)</f>
        <v>0</v>
      </c>
      <c r="BV20" s="83">
        <f>SUMIFS('Dataset 1'!$E$7:$E$2506,'Dataset 1'!$B$7:$B$2506,$A20,'Dataset 1'!$J$7:$J$2506,BV$5)</f>
        <v>0</v>
      </c>
      <c r="BW20" s="83">
        <f>SUMIFS('Dataset 1'!$E$7:$E$2506,'Dataset 1'!$B$7:$B$2506,$A20,'Dataset 1'!$J$7:$J$2506,BW$5)</f>
        <v>430</v>
      </c>
      <c r="BX20" s="83">
        <f>SUMIFS('Dataset 1'!$E$7:$E$2506,'Dataset 1'!$B$7:$B$2506,$A20,'Dataset 1'!$J$7:$J$2506,BX$5)</f>
        <v>0</v>
      </c>
      <c r="BY20" s="83">
        <f>SUMIFS('Dataset 1'!$E$7:$E$2506,'Dataset 1'!$B$7:$B$2506,$A20,'Dataset 1'!$J$7:$J$2506,BY$5)</f>
        <v>0</v>
      </c>
      <c r="BZ20" s="83">
        <f>SUMIFS('Dataset 1'!$E$7:$E$2506,'Dataset 1'!$B$7:$B$2506,$A20,'Dataset 1'!$J$7:$J$2506,BZ$5)</f>
        <v>190</v>
      </c>
      <c r="CA20" s="83">
        <f>SUMIFS('Dataset 1'!$E$7:$E$2506,'Dataset 1'!$B$7:$B$2506,$A20,'Dataset 1'!$J$7:$J$2506,CA$5)</f>
        <v>0</v>
      </c>
      <c r="CB20" s="83">
        <f>SUMIFS('Dataset 1'!$E$7:$E$2506,'Dataset 1'!$B$7:$B$2506,$A20,'Dataset 1'!$J$7:$J$2506,CB$5)</f>
        <v>0</v>
      </c>
      <c r="CC20" s="83">
        <f>SUMIFS('Dataset 1'!$E$7:$E$2506,'Dataset 1'!$B$7:$B$2506,$A20,'Dataset 1'!$J$7:$J$2506,CC$5)</f>
        <v>110</v>
      </c>
      <c r="CD20" s="83">
        <f>SUMIFS('Dataset 1'!$E$7:$E$2506,'Dataset 1'!$B$7:$B$2506,$A20,'Dataset 1'!$J$7:$J$2506,CD$5)</f>
        <v>150</v>
      </c>
      <c r="CE20" s="83">
        <f>SUMIFS('Dataset 1'!$E$7:$E$2506,'Dataset 1'!$B$7:$B$2506,$A20,'Dataset 1'!$J$7:$J$2506,CE$5)</f>
        <v>590</v>
      </c>
      <c r="CF20" s="83">
        <f>SUMIFS('Dataset 1'!$E$7:$E$2506,'Dataset 1'!$B$7:$B$2506,$A20,'Dataset 1'!$J$7:$J$2506,CF$5)</f>
        <v>400</v>
      </c>
      <c r="CG20" s="83">
        <f>SUMIFS('Dataset 1'!$E$7:$E$2506,'Dataset 1'!$B$7:$B$2506,$A20,'Dataset 1'!$J$7:$J$2506,CG$5)</f>
        <v>0</v>
      </c>
      <c r="CH20" s="83">
        <f>SUMIFS('Dataset 1'!$E$7:$E$2506,'Dataset 1'!$B$7:$B$2506,$A20,'Dataset 1'!$J$7:$J$2506,CH$5)</f>
        <v>0</v>
      </c>
      <c r="CI20" s="83">
        <f>SUMIFS('Dataset 1'!$E$7:$E$2506,'Dataset 1'!$B$7:$B$2506,$A20,'Dataset 1'!$J$7:$J$2506,CI$5)</f>
        <v>740</v>
      </c>
      <c r="CJ20" s="83">
        <f>SUMIFS('Dataset 1'!$E$7:$E$2506,'Dataset 1'!$B$7:$B$2506,$A20,'Dataset 1'!$J$7:$J$2506,CJ$5)</f>
        <v>0</v>
      </c>
      <c r="CK20" s="83">
        <f>SUMIFS('Dataset 1'!$E$7:$E$2506,'Dataset 1'!$B$7:$B$2506,$A20,'Dataset 1'!$J$7:$J$2506,CK$5)</f>
        <v>0</v>
      </c>
      <c r="CL20" s="83">
        <f>SUMIFS('Dataset 1'!$E$7:$E$2506,'Dataset 1'!$B$7:$B$2506,$A20,'Dataset 1'!$J$7:$J$2506,CL$5)</f>
        <v>970</v>
      </c>
      <c r="CM20" s="83">
        <f>SUMIFS('Dataset 1'!$E$7:$E$2506,'Dataset 1'!$B$7:$B$2506,$A20,'Dataset 1'!$J$7:$J$2506,CM$5)</f>
        <v>120</v>
      </c>
      <c r="CN20" s="83">
        <f>SUMIFS('Dataset 1'!$E$7:$E$2506,'Dataset 1'!$B$7:$B$2506,$A20,'Dataset 1'!$J$7:$J$2506,CN$5)</f>
        <v>0</v>
      </c>
      <c r="CO20" s="83">
        <f>SUMIFS('Dataset 1'!$E$7:$E$2506,'Dataset 1'!$B$7:$B$2506,$A20,'Dataset 1'!$J$7:$J$2506,CO$5)</f>
        <v>0</v>
      </c>
      <c r="CP20" s="83">
        <f>SUMIFS('Dataset 1'!$E$7:$E$2506,'Dataset 1'!$B$7:$B$2506,$A20,'Dataset 1'!$J$7:$J$2506,CP$5)</f>
        <v>3820</v>
      </c>
      <c r="CQ20" s="83">
        <f>SUMIFS('Dataset 1'!$E$7:$E$2506,'Dataset 1'!$B$7:$B$2506,$A20,'Dataset 1'!$J$7:$J$2506,CQ$5)</f>
        <v>1160</v>
      </c>
      <c r="CR20" s="83">
        <f>SUMIFS('Dataset 1'!$E$7:$E$2506,'Dataset 1'!$B$7:$B$2506,$A20,'Dataset 1'!$J$7:$J$2506,CR$5)</f>
        <v>100</v>
      </c>
      <c r="CS20" s="83">
        <f>SUMIFS('Dataset 1'!$E$7:$E$2506,'Dataset 1'!$B$7:$B$2506,$A20,'Dataset 1'!$J$7:$J$2506,CS$5)</f>
        <v>0</v>
      </c>
      <c r="CT20" s="83">
        <f>SUMIFS('Dataset 1'!$E$7:$E$2506,'Dataset 1'!$B$7:$B$2506,$A20,'Dataset 1'!$J$7:$J$2506,CT$5)</f>
        <v>0</v>
      </c>
      <c r="CU20" s="83">
        <f>SUMIFS('Dataset 1'!$E$7:$E$2506,'Dataset 1'!$B$7:$B$2506,$A20,'Dataset 1'!$J$7:$J$2506,CU$5)</f>
        <v>4480</v>
      </c>
      <c r="CV20" s="83">
        <f>SUMIFS('Dataset 1'!$E$7:$E$2506,'Dataset 1'!$B$7:$B$2506,$A20,'Dataset 1'!$J$7:$J$2506,CV$5)</f>
        <v>0</v>
      </c>
      <c r="CW20" s="83">
        <f>SUMIFS('Dataset 1'!$E$7:$E$2506,'Dataset 1'!$B$7:$B$2506,$A20,'Dataset 1'!$J$7:$J$2506,CW$5)</f>
        <v>0</v>
      </c>
      <c r="CX20" s="83">
        <f>SUMIFS('Dataset 1'!$E$7:$E$2506,'Dataset 1'!$B$7:$B$2506,$A20,'Dataset 1'!$J$7:$J$2506,CX$5)</f>
        <v>0</v>
      </c>
      <c r="CY20" s="83">
        <f>SUMIFS('Dataset 1'!$E$7:$E$2506,'Dataset 1'!$B$7:$B$2506,$A20,'Dataset 1'!$J$7:$J$2506,CY$5)</f>
        <v>960</v>
      </c>
      <c r="CZ20" s="83">
        <f>SUMIFS('Dataset 1'!$E$7:$E$2506,'Dataset 1'!$B$7:$B$2506,$A20,'Dataset 1'!$J$7:$J$2506,CZ$5)</f>
        <v>1600</v>
      </c>
      <c r="DA20" s="83">
        <f>SUMIFS('Dataset 1'!$E$7:$E$2506,'Dataset 1'!$B$7:$B$2506,$A20,'Dataset 1'!$J$7:$J$2506,DA$5)</f>
        <v>1040</v>
      </c>
      <c r="DB20" s="83">
        <f>SUMIFS('Dataset 1'!$E$7:$E$2506,'Dataset 1'!$B$7:$B$2506,$A20,'Dataset 1'!$J$7:$J$2506,DB$5)</f>
        <v>2250</v>
      </c>
      <c r="DC20" s="83">
        <f>SUMIFS('Dataset 1'!$E$7:$E$2506,'Dataset 1'!$B$7:$B$2506,$A20,'Dataset 1'!$J$7:$J$2506,DC$5)</f>
        <v>0</v>
      </c>
      <c r="DD20" s="83">
        <f>SUMIFS('Dataset 1'!$E$7:$E$2506,'Dataset 1'!$B$7:$B$2506,$A20,'Dataset 1'!$J$7:$J$2506,DD$5)</f>
        <v>0</v>
      </c>
      <c r="DE20" s="83">
        <f>SUMIFS('Dataset 1'!$E$7:$E$2506,'Dataset 1'!$B$7:$B$2506,$A20,'Dataset 1'!$J$7:$J$2506,DE$5)</f>
        <v>200</v>
      </c>
      <c r="DF20" s="83">
        <f>SUMIFS('Dataset 1'!$E$7:$E$2506,'Dataset 1'!$B$7:$B$2506,$A20,'Dataset 1'!$J$7:$J$2506,DF$5)</f>
        <v>0</v>
      </c>
      <c r="DG20" s="83">
        <f>SUMIFS('Dataset 1'!$E$7:$E$2506,'Dataset 1'!$B$7:$B$2506,$A20,'Dataset 1'!$J$7:$J$2506,DG$5)</f>
        <v>0</v>
      </c>
      <c r="DH20" s="83">
        <f>SUMIFS('Dataset 1'!$E$7:$E$2506,'Dataset 1'!$B$7:$B$2506,$A20,'Dataset 1'!$J$7:$J$2506,DH$5)</f>
        <v>280</v>
      </c>
      <c r="DI20" s="83">
        <f>SUMIFS('Dataset 1'!$E$7:$E$2506,'Dataset 1'!$B$7:$B$2506,$A20,'Dataset 1'!$J$7:$J$2506,DI$5)</f>
        <v>0</v>
      </c>
      <c r="DJ20" s="83">
        <f>SUMIFS('Dataset 1'!$E$7:$E$2506,'Dataset 1'!$B$7:$B$2506,$A20,'Dataset 1'!$J$7:$J$2506,DJ$5)</f>
        <v>0</v>
      </c>
      <c r="DK20" s="83">
        <f>SUMIFS('Dataset 1'!$E$7:$E$2506,'Dataset 1'!$B$7:$B$2506,$A20,'Dataset 1'!$J$7:$J$2506,DK$5)</f>
        <v>0</v>
      </c>
      <c r="DL20" s="83">
        <f>SUMIFS('Dataset 1'!$E$7:$E$2506,'Dataset 1'!$B$7:$B$2506,$A20,'Dataset 1'!$J$7:$J$2506,DL$5)</f>
        <v>1820</v>
      </c>
      <c r="DM20" s="83">
        <f>SUMIFS('Dataset 1'!$E$7:$E$2506,'Dataset 1'!$B$7:$B$2506,$A20,'Dataset 1'!$J$7:$J$2506,DM$5)</f>
        <v>160</v>
      </c>
      <c r="DN20" s="83">
        <f>SUMIFS('Dataset 1'!$E$7:$E$2506,'Dataset 1'!$B$7:$B$2506,$A20,'Dataset 1'!$J$7:$J$2506,DN$5)</f>
        <v>0</v>
      </c>
      <c r="DO20" s="83">
        <f>SUMIFS('Dataset 1'!$E$7:$E$2506,'Dataset 1'!$B$7:$B$2506,$A20,'Dataset 1'!$J$7:$J$2506,DO$5)</f>
        <v>840</v>
      </c>
      <c r="DP20" s="83">
        <f>SUMIFS('Dataset 1'!$E$7:$E$2506,'Dataset 1'!$B$7:$B$2506,$A20,'Dataset 1'!$J$7:$J$2506,DP$5)</f>
        <v>0</v>
      </c>
      <c r="DQ20" s="83">
        <f>SUMIFS('Dataset 1'!$E$7:$E$2506,'Dataset 1'!$B$7:$B$2506,$A20,'Dataset 1'!$J$7:$J$2506,DQ$5)</f>
        <v>1140</v>
      </c>
      <c r="DR20" s="83">
        <f>SUMIFS('Dataset 1'!$E$7:$E$2506,'Dataset 1'!$B$7:$B$2506,$A20,'Dataset 1'!$J$7:$J$2506,DR$5)</f>
        <v>430</v>
      </c>
      <c r="DS20" s="83">
        <f>SUMIFS('Dataset 1'!$E$7:$E$2506,'Dataset 1'!$B$7:$B$2506,$A20,'Dataset 1'!$J$7:$J$2506,DS$5)</f>
        <v>0</v>
      </c>
      <c r="DT20" s="83">
        <f>SUMIFS('Dataset 1'!$E$7:$E$2506,'Dataset 1'!$B$7:$B$2506,$A20,'Dataset 1'!$J$7:$J$2506,DT$5)</f>
        <v>0</v>
      </c>
      <c r="DU20" s="83">
        <f>SUMIFS('Dataset 1'!$E$7:$E$2506,'Dataset 1'!$B$7:$B$2506,$A20,'Dataset 1'!$J$7:$J$2506,DU$5)</f>
        <v>0</v>
      </c>
      <c r="DV20" s="83">
        <f>SUMIFS('Dataset 1'!$E$7:$E$2506,'Dataset 1'!$B$7:$B$2506,$A20,'Dataset 1'!$J$7:$J$2506,DV$5)</f>
        <v>1320</v>
      </c>
      <c r="DW20" s="83">
        <f>SUMIFS('Dataset 1'!$E$7:$E$2506,'Dataset 1'!$B$7:$B$2506,$A20,'Dataset 1'!$J$7:$J$2506,DW$5)</f>
        <v>0</v>
      </c>
      <c r="DX20" s="83">
        <f>SUMIFS('Dataset 1'!$E$7:$E$2506,'Dataset 1'!$B$7:$B$2506,$A20,'Dataset 1'!$J$7:$J$2506,DX$5)</f>
        <v>610</v>
      </c>
      <c r="DY20" s="83">
        <f>SUMIFS('Dataset 1'!$E$7:$E$2506,'Dataset 1'!$B$7:$B$2506,$A20,'Dataset 1'!$J$7:$J$2506,DY$5)</f>
        <v>3640</v>
      </c>
      <c r="DZ20" s="83">
        <f>SUMIFS('Dataset 1'!$E$7:$E$2506,'Dataset 1'!$B$7:$B$2506,$A20,'Dataset 1'!$J$7:$J$2506,DZ$5)</f>
        <v>0</v>
      </c>
      <c r="EA20" s="83">
        <f>SUMIFS('Dataset 1'!$E$7:$E$2506,'Dataset 1'!$B$7:$B$2506,$A20,'Dataset 1'!$J$7:$J$2506,EA$5)</f>
        <v>0</v>
      </c>
      <c r="EB20" s="83">
        <f>SUMIFS('Dataset 1'!$E$7:$E$2506,'Dataset 1'!$B$7:$B$2506,$A20,'Dataset 1'!$J$7:$J$2506,EB$5)</f>
        <v>300</v>
      </c>
      <c r="EC20" s="83">
        <f>SUMIFS('Dataset 1'!$E$7:$E$2506,'Dataset 1'!$B$7:$B$2506,$A20,'Dataset 1'!$J$7:$J$2506,EC$5)</f>
        <v>0</v>
      </c>
      <c r="ED20" s="83">
        <f>SUMIFS('Dataset 1'!$E$7:$E$2506,'Dataset 1'!$B$7:$B$2506,$A20,'Dataset 1'!$J$7:$J$2506,ED$5)</f>
        <v>750</v>
      </c>
      <c r="EE20" s="83">
        <f>SUMIFS('Dataset 1'!$E$7:$E$2506,'Dataset 1'!$B$7:$B$2506,$A20,'Dataset 1'!$J$7:$J$2506,EE$5)</f>
        <v>0</v>
      </c>
      <c r="EF20" s="83">
        <f>SUMIFS('Dataset 1'!$E$7:$E$2506,'Dataset 1'!$B$7:$B$2506,$A20,'Dataset 1'!$J$7:$J$2506,EF$5)</f>
        <v>160</v>
      </c>
      <c r="EG20" s="83">
        <f>SUMIFS('Dataset 1'!$E$7:$E$2506,'Dataset 1'!$B$7:$B$2506,$A20,'Dataset 1'!$J$7:$J$2506,EG$5)</f>
        <v>0</v>
      </c>
    </row>
    <row r="21" spans="1:137" x14ac:dyDescent="0.2">
      <c r="A21">
        <v>2020</v>
      </c>
      <c r="B21" s="83">
        <f>SUMIFS('Dataset 1'!$E$7:$E$2506,'Dataset 1'!$B$7:$B$2506,$A21,'Dataset 1'!$J$7:$J$2506,B$5)</f>
        <v>0</v>
      </c>
      <c r="C21" s="83">
        <f>SUMIFS('Dataset 1'!$E$7:$E$2506,'Dataset 1'!$B$7:$B$2506,$A21,'Dataset 1'!$J$7:$J$2506,C$5)</f>
        <v>0</v>
      </c>
      <c r="D21" s="83">
        <f>SUMIFS('Dataset 1'!$E$7:$E$2506,'Dataset 1'!$B$7:$B$2506,$A21,'Dataset 1'!$J$7:$J$2506,D$5)</f>
        <v>0</v>
      </c>
      <c r="E21" s="83">
        <f>SUMIFS('Dataset 1'!$E$7:$E$2506,'Dataset 1'!$B$7:$B$2506,$A21,'Dataset 1'!$J$7:$J$2506,E$5)</f>
        <v>0</v>
      </c>
      <c r="F21" s="83">
        <f>SUMIFS('Dataset 1'!$E$7:$E$2506,'Dataset 1'!$B$7:$B$2506,$A21,'Dataset 1'!$J$7:$J$2506,F$5)</f>
        <v>180</v>
      </c>
      <c r="G21" s="83">
        <f>SUMIFS('Dataset 1'!$E$7:$E$2506,'Dataset 1'!$B$7:$B$2506,$A21,'Dataset 1'!$J$7:$J$2506,G$5)</f>
        <v>2890</v>
      </c>
      <c r="H21" s="83">
        <f>SUMIFS('Dataset 1'!$E$7:$E$2506,'Dataset 1'!$B$7:$B$2506,$A21,'Dataset 1'!$J$7:$J$2506,H$5)</f>
        <v>0</v>
      </c>
      <c r="I21" s="83">
        <f>SUMIFS('Dataset 1'!$E$7:$E$2506,'Dataset 1'!$B$7:$B$2506,$A21,'Dataset 1'!$J$7:$J$2506,I$5)</f>
        <v>0</v>
      </c>
      <c r="J21" s="83">
        <f>SUMIFS('Dataset 1'!$E$7:$E$2506,'Dataset 1'!$B$7:$B$2506,$A21,'Dataset 1'!$J$7:$J$2506,J$5)</f>
        <v>0</v>
      </c>
      <c r="K21" s="83">
        <f>SUMIFS('Dataset 1'!$E$7:$E$2506,'Dataset 1'!$B$7:$B$2506,$A21,'Dataset 1'!$J$7:$J$2506,K$5)</f>
        <v>1160</v>
      </c>
      <c r="L21" s="83">
        <f>SUMIFS('Dataset 1'!$E$7:$E$2506,'Dataset 1'!$B$7:$B$2506,$A21,'Dataset 1'!$J$7:$J$2506,L$5)</f>
        <v>0</v>
      </c>
      <c r="M21" s="83">
        <f>SUMIFS('Dataset 1'!$E$7:$E$2506,'Dataset 1'!$B$7:$B$2506,$A21,'Dataset 1'!$J$7:$J$2506,M$5)</f>
        <v>120</v>
      </c>
      <c r="N21" s="83">
        <f>SUMIFS('Dataset 1'!$E$7:$E$2506,'Dataset 1'!$B$7:$B$2506,$A21,'Dataset 1'!$J$7:$J$2506,N$5)</f>
        <v>0</v>
      </c>
      <c r="O21" s="83">
        <f>SUMIFS('Dataset 1'!$E$7:$E$2506,'Dataset 1'!$B$7:$B$2506,$A21,'Dataset 1'!$J$7:$J$2506,O$5)</f>
        <v>110</v>
      </c>
      <c r="P21" s="83">
        <f>SUMIFS('Dataset 1'!$E$7:$E$2506,'Dataset 1'!$B$7:$B$2506,$A21,'Dataset 1'!$J$7:$J$2506,P$5)</f>
        <v>0</v>
      </c>
      <c r="Q21" s="83">
        <f>SUMIFS('Dataset 1'!$E$7:$E$2506,'Dataset 1'!$B$7:$B$2506,$A21,'Dataset 1'!$J$7:$J$2506,Q$5)</f>
        <v>260</v>
      </c>
      <c r="R21" s="83">
        <f>SUMIFS('Dataset 1'!$E$7:$E$2506,'Dataset 1'!$B$7:$B$2506,$A21,'Dataset 1'!$J$7:$J$2506,R$5)</f>
        <v>1770</v>
      </c>
      <c r="S21" s="83">
        <f>SUMIFS('Dataset 1'!$E$7:$E$2506,'Dataset 1'!$B$7:$B$2506,$A21,'Dataset 1'!$J$7:$J$2506,S$5)</f>
        <v>0</v>
      </c>
      <c r="T21" s="83">
        <f>SUMIFS('Dataset 1'!$E$7:$E$2506,'Dataset 1'!$B$7:$B$2506,$A21,'Dataset 1'!$J$7:$J$2506,T$5)</f>
        <v>0</v>
      </c>
      <c r="U21" s="83">
        <f>SUMIFS('Dataset 1'!$E$7:$E$2506,'Dataset 1'!$B$7:$B$2506,$A21,'Dataset 1'!$J$7:$J$2506,U$5)</f>
        <v>1860</v>
      </c>
      <c r="V21" s="83">
        <f>SUMIFS('Dataset 1'!$E$7:$E$2506,'Dataset 1'!$B$7:$B$2506,$A21,'Dataset 1'!$J$7:$J$2506,V$5)</f>
        <v>0</v>
      </c>
      <c r="W21" s="83">
        <f>SUMIFS('Dataset 1'!$E$7:$E$2506,'Dataset 1'!$B$7:$B$2506,$A21,'Dataset 1'!$J$7:$J$2506,W$5)</f>
        <v>150</v>
      </c>
      <c r="X21" s="83">
        <f>SUMIFS('Dataset 1'!$E$7:$E$2506,'Dataset 1'!$B$7:$B$2506,$A21,'Dataset 1'!$J$7:$J$2506,X$5)</f>
        <v>0</v>
      </c>
      <c r="Y21" s="83">
        <f>SUMIFS('Dataset 1'!$E$7:$E$2506,'Dataset 1'!$B$7:$B$2506,$A21,'Dataset 1'!$J$7:$J$2506,Y$5)</f>
        <v>3030</v>
      </c>
      <c r="Z21" s="83">
        <f>SUMIFS('Dataset 1'!$E$7:$E$2506,'Dataset 1'!$B$7:$B$2506,$A21,'Dataset 1'!$J$7:$J$2506,Z$5)</f>
        <v>140</v>
      </c>
      <c r="AA21" s="83">
        <f>SUMIFS('Dataset 1'!$E$7:$E$2506,'Dataset 1'!$B$7:$B$2506,$A21,'Dataset 1'!$J$7:$J$2506,AA$5)</f>
        <v>0</v>
      </c>
      <c r="AB21" s="83">
        <f>SUMIFS('Dataset 1'!$E$7:$E$2506,'Dataset 1'!$B$7:$B$2506,$A21,'Dataset 1'!$J$7:$J$2506,AB$5)</f>
        <v>0</v>
      </c>
      <c r="AC21" s="83">
        <f>SUMIFS('Dataset 1'!$E$7:$E$2506,'Dataset 1'!$B$7:$B$2506,$A21,'Dataset 1'!$J$7:$J$2506,AC$5)</f>
        <v>0</v>
      </c>
      <c r="AD21" s="83">
        <f>SUMIFS('Dataset 1'!$E$7:$E$2506,'Dataset 1'!$B$7:$B$2506,$A21,'Dataset 1'!$J$7:$J$2506,AD$5)</f>
        <v>0</v>
      </c>
      <c r="AE21" s="83">
        <f>SUMIFS('Dataset 1'!$E$7:$E$2506,'Dataset 1'!$B$7:$B$2506,$A21,'Dataset 1'!$J$7:$J$2506,AE$5)</f>
        <v>0</v>
      </c>
      <c r="AF21" s="83">
        <f>SUMIFS('Dataset 1'!$E$7:$E$2506,'Dataset 1'!$B$7:$B$2506,$A21,'Dataset 1'!$J$7:$J$2506,AF$5)</f>
        <v>790</v>
      </c>
      <c r="AG21" s="83">
        <f>SUMIFS('Dataset 1'!$E$7:$E$2506,'Dataset 1'!$B$7:$B$2506,$A21,'Dataset 1'!$J$7:$J$2506,AG$5)</f>
        <v>0</v>
      </c>
      <c r="AH21" s="83">
        <f>SUMIFS('Dataset 1'!$E$7:$E$2506,'Dataset 1'!$B$7:$B$2506,$A21,'Dataset 1'!$J$7:$J$2506,AH$5)</f>
        <v>510</v>
      </c>
      <c r="AI21" s="83">
        <f>SUMIFS('Dataset 1'!$E$7:$E$2506,'Dataset 1'!$B$7:$B$2506,$A21,'Dataset 1'!$J$7:$J$2506,AI$5)</f>
        <v>0</v>
      </c>
      <c r="AJ21" s="83">
        <f>SUMIFS('Dataset 1'!$E$7:$E$2506,'Dataset 1'!$B$7:$B$2506,$A21,'Dataset 1'!$J$7:$J$2506,AJ$5)</f>
        <v>0</v>
      </c>
      <c r="AK21" s="83">
        <f>SUMIFS('Dataset 1'!$E$7:$E$2506,'Dataset 1'!$B$7:$B$2506,$A21,'Dataset 1'!$J$7:$J$2506,AK$5)</f>
        <v>0</v>
      </c>
      <c r="AL21" s="83">
        <f>SUMIFS('Dataset 1'!$E$7:$E$2506,'Dataset 1'!$B$7:$B$2506,$A21,'Dataset 1'!$J$7:$J$2506,AL$5)</f>
        <v>0</v>
      </c>
      <c r="AM21" s="83">
        <f>SUMIFS('Dataset 1'!$E$7:$E$2506,'Dataset 1'!$B$7:$B$2506,$A21,'Dataset 1'!$J$7:$J$2506,AM$5)</f>
        <v>0</v>
      </c>
      <c r="AN21" s="83">
        <f>SUMIFS('Dataset 1'!$E$7:$E$2506,'Dataset 1'!$B$7:$B$2506,$A21,'Dataset 1'!$J$7:$J$2506,AN$5)</f>
        <v>4200</v>
      </c>
      <c r="AO21" s="83">
        <f>SUMIFS('Dataset 1'!$E$7:$E$2506,'Dataset 1'!$B$7:$B$2506,$A21,'Dataset 1'!$J$7:$J$2506,AO$5)</f>
        <v>0</v>
      </c>
      <c r="AP21" s="83">
        <f>SUMIFS('Dataset 1'!$E$7:$E$2506,'Dataset 1'!$B$7:$B$2506,$A21,'Dataset 1'!$J$7:$J$2506,AP$5)</f>
        <v>0</v>
      </c>
      <c r="AQ21" s="83">
        <f>SUMIFS('Dataset 1'!$E$7:$E$2506,'Dataset 1'!$B$7:$B$2506,$A21,'Dataset 1'!$J$7:$J$2506,AQ$5)</f>
        <v>420</v>
      </c>
      <c r="AR21" s="83">
        <f>SUMIFS('Dataset 1'!$E$7:$E$2506,'Dataset 1'!$B$7:$B$2506,$A21,'Dataset 1'!$J$7:$J$2506,AR$5)</f>
        <v>430</v>
      </c>
      <c r="AS21" s="83">
        <f>SUMIFS('Dataset 1'!$E$7:$E$2506,'Dataset 1'!$B$7:$B$2506,$A21,'Dataset 1'!$J$7:$J$2506,AS$5)</f>
        <v>0</v>
      </c>
      <c r="AT21" s="83">
        <f>SUMIFS('Dataset 1'!$E$7:$E$2506,'Dataset 1'!$B$7:$B$2506,$A21,'Dataset 1'!$J$7:$J$2506,AT$5)</f>
        <v>0</v>
      </c>
      <c r="AU21" s="83">
        <f>SUMIFS('Dataset 1'!$E$7:$E$2506,'Dataset 1'!$B$7:$B$2506,$A21,'Dataset 1'!$J$7:$J$2506,AU$5)</f>
        <v>0</v>
      </c>
      <c r="AV21" s="83">
        <f>SUMIFS('Dataset 1'!$E$7:$E$2506,'Dataset 1'!$B$7:$B$2506,$A21,'Dataset 1'!$J$7:$J$2506,AV$5)</f>
        <v>2520</v>
      </c>
      <c r="AW21" s="83">
        <f>SUMIFS('Dataset 1'!$E$7:$E$2506,'Dataset 1'!$B$7:$B$2506,$A21,'Dataset 1'!$J$7:$J$2506,AW$5)</f>
        <v>0</v>
      </c>
      <c r="AX21" s="83">
        <f>SUMIFS('Dataset 1'!$E$7:$E$2506,'Dataset 1'!$B$7:$B$2506,$A21,'Dataset 1'!$J$7:$J$2506,AX$5)</f>
        <v>100</v>
      </c>
      <c r="AY21" s="83">
        <f>SUMIFS('Dataset 1'!$E$7:$E$2506,'Dataset 1'!$B$7:$B$2506,$A21,'Dataset 1'!$J$7:$J$2506,AY$5)</f>
        <v>2470</v>
      </c>
      <c r="AZ21" s="83">
        <f>SUMIFS('Dataset 1'!$E$7:$E$2506,'Dataset 1'!$B$7:$B$2506,$A21,'Dataset 1'!$J$7:$J$2506,AZ$5)</f>
        <v>0</v>
      </c>
      <c r="BA21" s="83">
        <f>SUMIFS('Dataset 1'!$E$7:$E$2506,'Dataset 1'!$B$7:$B$2506,$A21,'Dataset 1'!$J$7:$J$2506,BA$5)</f>
        <v>180</v>
      </c>
      <c r="BB21" s="83">
        <f>SUMIFS('Dataset 1'!$E$7:$E$2506,'Dataset 1'!$B$7:$B$2506,$A21,'Dataset 1'!$J$7:$J$2506,BB$5)</f>
        <v>0</v>
      </c>
      <c r="BC21" s="83">
        <f>SUMIFS('Dataset 1'!$E$7:$E$2506,'Dataset 1'!$B$7:$B$2506,$A21,'Dataset 1'!$J$7:$J$2506,BC$5)</f>
        <v>110</v>
      </c>
      <c r="BD21" s="83">
        <f>SUMIFS('Dataset 1'!$E$7:$E$2506,'Dataset 1'!$B$7:$B$2506,$A21,'Dataset 1'!$J$7:$J$2506,BD$5)</f>
        <v>580</v>
      </c>
      <c r="BE21" s="83">
        <f>SUMIFS('Dataset 1'!$E$7:$E$2506,'Dataset 1'!$B$7:$B$2506,$A21,'Dataset 1'!$J$7:$J$2506,BE$5)</f>
        <v>0</v>
      </c>
      <c r="BF21" s="83">
        <f>SUMIFS('Dataset 1'!$E$7:$E$2506,'Dataset 1'!$B$7:$B$2506,$A21,'Dataset 1'!$J$7:$J$2506,BF$5)</f>
        <v>0</v>
      </c>
      <c r="BG21" s="83">
        <f>SUMIFS('Dataset 1'!$E$7:$E$2506,'Dataset 1'!$B$7:$B$2506,$A21,'Dataset 1'!$J$7:$J$2506,BG$5)</f>
        <v>820</v>
      </c>
      <c r="BH21" s="83">
        <f>SUMIFS('Dataset 1'!$E$7:$E$2506,'Dataset 1'!$B$7:$B$2506,$A21,'Dataset 1'!$J$7:$J$2506,BH$5)</f>
        <v>0</v>
      </c>
      <c r="BI21" s="83">
        <f>SUMIFS('Dataset 1'!$E$7:$E$2506,'Dataset 1'!$B$7:$B$2506,$A21,'Dataset 1'!$J$7:$J$2506,BI$5)</f>
        <v>0</v>
      </c>
      <c r="BJ21" s="83">
        <f>SUMIFS('Dataset 1'!$E$7:$E$2506,'Dataset 1'!$B$7:$B$2506,$A21,'Dataset 1'!$J$7:$J$2506,BJ$5)</f>
        <v>0</v>
      </c>
      <c r="BK21" s="83">
        <f>SUMIFS('Dataset 1'!$E$7:$E$2506,'Dataset 1'!$B$7:$B$2506,$A21,'Dataset 1'!$J$7:$J$2506,BK$5)</f>
        <v>0</v>
      </c>
      <c r="BL21" s="83">
        <f>SUMIFS('Dataset 1'!$E$7:$E$2506,'Dataset 1'!$B$7:$B$2506,$A21,'Dataset 1'!$J$7:$J$2506,BL$5)</f>
        <v>0</v>
      </c>
      <c r="BM21" s="83">
        <f>SUMIFS('Dataset 1'!$E$7:$E$2506,'Dataset 1'!$B$7:$B$2506,$A21,'Dataset 1'!$J$7:$J$2506,BM$5)</f>
        <v>2400</v>
      </c>
      <c r="BN21" s="83">
        <f>SUMIFS('Dataset 1'!$E$7:$E$2506,'Dataset 1'!$B$7:$B$2506,$A21,'Dataset 1'!$J$7:$J$2506,BN$5)</f>
        <v>0</v>
      </c>
      <c r="BO21" s="83">
        <f>SUMIFS('Dataset 1'!$E$7:$E$2506,'Dataset 1'!$B$7:$B$2506,$A21,'Dataset 1'!$J$7:$J$2506,BO$5)</f>
        <v>0</v>
      </c>
      <c r="BP21" s="83">
        <f>SUMIFS('Dataset 1'!$E$7:$E$2506,'Dataset 1'!$B$7:$B$2506,$A21,'Dataset 1'!$J$7:$J$2506,BP$5)</f>
        <v>0</v>
      </c>
      <c r="BQ21" s="83">
        <f>SUMIFS('Dataset 1'!$E$7:$E$2506,'Dataset 1'!$B$7:$B$2506,$A21,'Dataset 1'!$J$7:$J$2506,BQ$5)</f>
        <v>0</v>
      </c>
      <c r="BR21" s="83">
        <f>SUMIFS('Dataset 1'!$E$7:$E$2506,'Dataset 1'!$B$7:$B$2506,$A21,'Dataset 1'!$J$7:$J$2506,BR$5)</f>
        <v>770</v>
      </c>
      <c r="BS21" s="83">
        <f>SUMIFS('Dataset 1'!$E$7:$E$2506,'Dataset 1'!$B$7:$B$2506,$A21,'Dataset 1'!$J$7:$J$2506,BS$5)</f>
        <v>0</v>
      </c>
      <c r="BT21" s="83">
        <f>SUMIFS('Dataset 1'!$E$7:$E$2506,'Dataset 1'!$B$7:$B$2506,$A21,'Dataset 1'!$J$7:$J$2506,BT$5)</f>
        <v>0</v>
      </c>
      <c r="BU21" s="83">
        <f>SUMIFS('Dataset 1'!$E$7:$E$2506,'Dataset 1'!$B$7:$B$2506,$A21,'Dataset 1'!$J$7:$J$2506,BU$5)</f>
        <v>0</v>
      </c>
      <c r="BV21" s="83">
        <f>SUMIFS('Dataset 1'!$E$7:$E$2506,'Dataset 1'!$B$7:$B$2506,$A21,'Dataset 1'!$J$7:$J$2506,BV$5)</f>
        <v>0</v>
      </c>
      <c r="BW21" s="83">
        <f>SUMIFS('Dataset 1'!$E$7:$E$2506,'Dataset 1'!$B$7:$B$2506,$A21,'Dataset 1'!$J$7:$J$2506,BW$5)</f>
        <v>790</v>
      </c>
      <c r="BX21" s="83">
        <f>SUMIFS('Dataset 1'!$E$7:$E$2506,'Dataset 1'!$B$7:$B$2506,$A21,'Dataset 1'!$J$7:$J$2506,BX$5)</f>
        <v>0</v>
      </c>
      <c r="BY21" s="83">
        <f>SUMIFS('Dataset 1'!$E$7:$E$2506,'Dataset 1'!$B$7:$B$2506,$A21,'Dataset 1'!$J$7:$J$2506,BY$5)</f>
        <v>0</v>
      </c>
      <c r="BZ21" s="83">
        <f>SUMIFS('Dataset 1'!$E$7:$E$2506,'Dataset 1'!$B$7:$B$2506,$A21,'Dataset 1'!$J$7:$J$2506,BZ$5)</f>
        <v>0</v>
      </c>
      <c r="CA21" s="83">
        <f>SUMIFS('Dataset 1'!$E$7:$E$2506,'Dataset 1'!$B$7:$B$2506,$A21,'Dataset 1'!$J$7:$J$2506,CA$5)</f>
        <v>0</v>
      </c>
      <c r="CB21" s="83">
        <f>SUMIFS('Dataset 1'!$E$7:$E$2506,'Dataset 1'!$B$7:$B$2506,$A21,'Dataset 1'!$J$7:$J$2506,CB$5)</f>
        <v>1190</v>
      </c>
      <c r="CC21" s="83">
        <f>SUMIFS('Dataset 1'!$E$7:$E$2506,'Dataset 1'!$B$7:$B$2506,$A21,'Dataset 1'!$J$7:$J$2506,CC$5)</f>
        <v>100</v>
      </c>
      <c r="CD21" s="83">
        <f>SUMIFS('Dataset 1'!$E$7:$E$2506,'Dataset 1'!$B$7:$B$2506,$A21,'Dataset 1'!$J$7:$J$2506,CD$5)</f>
        <v>0</v>
      </c>
      <c r="CE21" s="83">
        <f>SUMIFS('Dataset 1'!$E$7:$E$2506,'Dataset 1'!$B$7:$B$2506,$A21,'Dataset 1'!$J$7:$J$2506,CE$5)</f>
        <v>890</v>
      </c>
      <c r="CF21" s="83">
        <f>SUMIFS('Dataset 1'!$E$7:$E$2506,'Dataset 1'!$B$7:$B$2506,$A21,'Dataset 1'!$J$7:$J$2506,CF$5)</f>
        <v>0</v>
      </c>
      <c r="CG21" s="83">
        <f>SUMIFS('Dataset 1'!$E$7:$E$2506,'Dataset 1'!$B$7:$B$2506,$A21,'Dataset 1'!$J$7:$J$2506,CG$5)</f>
        <v>0</v>
      </c>
      <c r="CH21" s="83">
        <f>SUMIFS('Dataset 1'!$E$7:$E$2506,'Dataset 1'!$B$7:$B$2506,$A21,'Dataset 1'!$J$7:$J$2506,CH$5)</f>
        <v>0</v>
      </c>
      <c r="CI21" s="83">
        <f>SUMIFS('Dataset 1'!$E$7:$E$2506,'Dataset 1'!$B$7:$B$2506,$A21,'Dataset 1'!$J$7:$J$2506,CI$5)</f>
        <v>540</v>
      </c>
      <c r="CJ21" s="83">
        <f>SUMIFS('Dataset 1'!$E$7:$E$2506,'Dataset 1'!$B$7:$B$2506,$A21,'Dataset 1'!$J$7:$J$2506,CJ$5)</f>
        <v>0</v>
      </c>
      <c r="CK21" s="83">
        <f>SUMIFS('Dataset 1'!$E$7:$E$2506,'Dataset 1'!$B$7:$B$2506,$A21,'Dataset 1'!$J$7:$J$2506,CK$5)</f>
        <v>290</v>
      </c>
      <c r="CL21" s="83">
        <f>SUMIFS('Dataset 1'!$E$7:$E$2506,'Dataset 1'!$B$7:$B$2506,$A21,'Dataset 1'!$J$7:$J$2506,CL$5)</f>
        <v>0</v>
      </c>
      <c r="CM21" s="83">
        <f>SUMIFS('Dataset 1'!$E$7:$E$2506,'Dataset 1'!$B$7:$B$2506,$A21,'Dataset 1'!$J$7:$J$2506,CM$5)</f>
        <v>1340</v>
      </c>
      <c r="CN21" s="83">
        <f>SUMIFS('Dataset 1'!$E$7:$E$2506,'Dataset 1'!$B$7:$B$2506,$A21,'Dataset 1'!$J$7:$J$2506,CN$5)</f>
        <v>0</v>
      </c>
      <c r="CO21" s="83">
        <f>SUMIFS('Dataset 1'!$E$7:$E$2506,'Dataset 1'!$B$7:$B$2506,$A21,'Dataset 1'!$J$7:$J$2506,CO$5)</f>
        <v>0</v>
      </c>
      <c r="CP21" s="83">
        <f>SUMIFS('Dataset 1'!$E$7:$E$2506,'Dataset 1'!$B$7:$B$2506,$A21,'Dataset 1'!$J$7:$J$2506,CP$5)</f>
        <v>780</v>
      </c>
      <c r="CQ21" s="83">
        <f>SUMIFS('Dataset 1'!$E$7:$E$2506,'Dataset 1'!$B$7:$B$2506,$A21,'Dataset 1'!$J$7:$J$2506,CQ$5)</f>
        <v>0</v>
      </c>
      <c r="CR21" s="83">
        <f>SUMIFS('Dataset 1'!$E$7:$E$2506,'Dataset 1'!$B$7:$B$2506,$A21,'Dataset 1'!$J$7:$J$2506,CR$5)</f>
        <v>0</v>
      </c>
      <c r="CS21" s="83">
        <f>SUMIFS('Dataset 1'!$E$7:$E$2506,'Dataset 1'!$B$7:$B$2506,$A21,'Dataset 1'!$J$7:$J$2506,CS$5)</f>
        <v>460</v>
      </c>
      <c r="CT21" s="83">
        <f>SUMIFS('Dataset 1'!$E$7:$E$2506,'Dataset 1'!$B$7:$B$2506,$A21,'Dataset 1'!$J$7:$J$2506,CT$5)</f>
        <v>0</v>
      </c>
      <c r="CU21" s="83">
        <f>SUMIFS('Dataset 1'!$E$7:$E$2506,'Dataset 1'!$B$7:$B$2506,$A21,'Dataset 1'!$J$7:$J$2506,CU$5)</f>
        <v>540</v>
      </c>
      <c r="CV21" s="83">
        <f>SUMIFS('Dataset 1'!$E$7:$E$2506,'Dataset 1'!$B$7:$B$2506,$A21,'Dataset 1'!$J$7:$J$2506,CV$5)</f>
        <v>0</v>
      </c>
      <c r="CW21" s="83">
        <f>SUMIFS('Dataset 1'!$E$7:$E$2506,'Dataset 1'!$B$7:$B$2506,$A21,'Dataset 1'!$J$7:$J$2506,CW$5)</f>
        <v>0</v>
      </c>
      <c r="CX21" s="83">
        <f>SUMIFS('Dataset 1'!$E$7:$E$2506,'Dataset 1'!$B$7:$B$2506,$A21,'Dataset 1'!$J$7:$J$2506,CX$5)</f>
        <v>0</v>
      </c>
      <c r="CY21" s="83">
        <f>SUMIFS('Dataset 1'!$E$7:$E$2506,'Dataset 1'!$B$7:$B$2506,$A21,'Dataset 1'!$J$7:$J$2506,CY$5)</f>
        <v>0</v>
      </c>
      <c r="CZ21" s="83">
        <f>SUMIFS('Dataset 1'!$E$7:$E$2506,'Dataset 1'!$B$7:$B$2506,$A21,'Dataset 1'!$J$7:$J$2506,CZ$5)</f>
        <v>360</v>
      </c>
      <c r="DA21" s="83">
        <f>SUMIFS('Dataset 1'!$E$7:$E$2506,'Dataset 1'!$B$7:$B$2506,$A21,'Dataset 1'!$J$7:$J$2506,DA$5)</f>
        <v>0</v>
      </c>
      <c r="DB21" s="83">
        <f>SUMIFS('Dataset 1'!$E$7:$E$2506,'Dataset 1'!$B$7:$B$2506,$A21,'Dataset 1'!$J$7:$J$2506,DB$5)</f>
        <v>1360</v>
      </c>
      <c r="DC21" s="83">
        <f>SUMIFS('Dataset 1'!$E$7:$E$2506,'Dataset 1'!$B$7:$B$2506,$A21,'Dataset 1'!$J$7:$J$2506,DC$5)</f>
        <v>0</v>
      </c>
      <c r="DD21" s="83">
        <f>SUMIFS('Dataset 1'!$E$7:$E$2506,'Dataset 1'!$B$7:$B$2506,$A21,'Dataset 1'!$J$7:$J$2506,DD$5)</f>
        <v>0</v>
      </c>
      <c r="DE21" s="83">
        <f>SUMIFS('Dataset 1'!$E$7:$E$2506,'Dataset 1'!$B$7:$B$2506,$A21,'Dataset 1'!$J$7:$J$2506,DE$5)</f>
        <v>0</v>
      </c>
      <c r="DF21" s="83">
        <f>SUMIFS('Dataset 1'!$E$7:$E$2506,'Dataset 1'!$B$7:$B$2506,$A21,'Dataset 1'!$J$7:$J$2506,DF$5)</f>
        <v>0</v>
      </c>
      <c r="DG21" s="83">
        <f>SUMIFS('Dataset 1'!$E$7:$E$2506,'Dataset 1'!$B$7:$B$2506,$A21,'Dataset 1'!$J$7:$J$2506,DG$5)</f>
        <v>940</v>
      </c>
      <c r="DH21" s="83">
        <f>SUMIFS('Dataset 1'!$E$7:$E$2506,'Dataset 1'!$B$7:$B$2506,$A21,'Dataset 1'!$J$7:$J$2506,DH$5)</f>
        <v>610</v>
      </c>
      <c r="DI21" s="83">
        <f>SUMIFS('Dataset 1'!$E$7:$E$2506,'Dataset 1'!$B$7:$B$2506,$A21,'Dataset 1'!$J$7:$J$2506,DI$5)</f>
        <v>1730</v>
      </c>
      <c r="DJ21" s="83">
        <f>SUMIFS('Dataset 1'!$E$7:$E$2506,'Dataset 1'!$B$7:$B$2506,$A21,'Dataset 1'!$J$7:$J$2506,DJ$5)</f>
        <v>0</v>
      </c>
      <c r="DK21" s="83">
        <f>SUMIFS('Dataset 1'!$E$7:$E$2506,'Dataset 1'!$B$7:$B$2506,$A21,'Dataset 1'!$J$7:$J$2506,DK$5)</f>
        <v>0</v>
      </c>
      <c r="DL21" s="83">
        <f>SUMIFS('Dataset 1'!$E$7:$E$2506,'Dataset 1'!$B$7:$B$2506,$A21,'Dataset 1'!$J$7:$J$2506,DL$5)</f>
        <v>380</v>
      </c>
      <c r="DM21" s="83">
        <f>SUMIFS('Dataset 1'!$E$7:$E$2506,'Dataset 1'!$B$7:$B$2506,$A21,'Dataset 1'!$J$7:$J$2506,DM$5)</f>
        <v>310</v>
      </c>
      <c r="DN21" s="83">
        <f>SUMIFS('Dataset 1'!$E$7:$E$2506,'Dataset 1'!$B$7:$B$2506,$A21,'Dataset 1'!$J$7:$J$2506,DN$5)</f>
        <v>0</v>
      </c>
      <c r="DO21" s="83">
        <f>SUMIFS('Dataset 1'!$E$7:$E$2506,'Dataset 1'!$B$7:$B$2506,$A21,'Dataset 1'!$J$7:$J$2506,DO$5)</f>
        <v>0</v>
      </c>
      <c r="DP21" s="83">
        <f>SUMIFS('Dataset 1'!$E$7:$E$2506,'Dataset 1'!$B$7:$B$2506,$A21,'Dataset 1'!$J$7:$J$2506,DP$5)</f>
        <v>0</v>
      </c>
      <c r="DQ21" s="83">
        <f>SUMIFS('Dataset 1'!$E$7:$E$2506,'Dataset 1'!$B$7:$B$2506,$A21,'Dataset 1'!$J$7:$J$2506,DQ$5)</f>
        <v>0</v>
      </c>
      <c r="DR21" s="83">
        <f>SUMIFS('Dataset 1'!$E$7:$E$2506,'Dataset 1'!$B$7:$B$2506,$A21,'Dataset 1'!$J$7:$J$2506,DR$5)</f>
        <v>940</v>
      </c>
      <c r="DS21" s="83">
        <f>SUMIFS('Dataset 1'!$E$7:$E$2506,'Dataset 1'!$B$7:$B$2506,$A21,'Dataset 1'!$J$7:$J$2506,DS$5)</f>
        <v>0</v>
      </c>
      <c r="DT21" s="83">
        <f>SUMIFS('Dataset 1'!$E$7:$E$2506,'Dataset 1'!$B$7:$B$2506,$A21,'Dataset 1'!$J$7:$J$2506,DT$5)</f>
        <v>0</v>
      </c>
      <c r="DU21" s="83">
        <f>SUMIFS('Dataset 1'!$E$7:$E$2506,'Dataset 1'!$B$7:$B$2506,$A21,'Dataset 1'!$J$7:$J$2506,DU$5)</f>
        <v>0</v>
      </c>
      <c r="DV21" s="83">
        <f>SUMIFS('Dataset 1'!$E$7:$E$2506,'Dataset 1'!$B$7:$B$2506,$A21,'Dataset 1'!$J$7:$J$2506,DV$5)</f>
        <v>170</v>
      </c>
      <c r="DW21" s="83">
        <f>SUMIFS('Dataset 1'!$E$7:$E$2506,'Dataset 1'!$B$7:$B$2506,$A21,'Dataset 1'!$J$7:$J$2506,DW$5)</f>
        <v>0</v>
      </c>
      <c r="DX21" s="83">
        <f>SUMIFS('Dataset 1'!$E$7:$E$2506,'Dataset 1'!$B$7:$B$2506,$A21,'Dataset 1'!$J$7:$J$2506,DX$5)</f>
        <v>180</v>
      </c>
      <c r="DY21" s="83">
        <f>SUMIFS('Dataset 1'!$E$7:$E$2506,'Dataset 1'!$B$7:$B$2506,$A21,'Dataset 1'!$J$7:$J$2506,DY$5)</f>
        <v>1920</v>
      </c>
      <c r="DZ21" s="83">
        <f>SUMIFS('Dataset 1'!$E$7:$E$2506,'Dataset 1'!$B$7:$B$2506,$A21,'Dataset 1'!$J$7:$J$2506,DZ$5)</f>
        <v>0</v>
      </c>
      <c r="EA21" s="83">
        <f>SUMIFS('Dataset 1'!$E$7:$E$2506,'Dataset 1'!$B$7:$B$2506,$A21,'Dataset 1'!$J$7:$J$2506,EA$5)</f>
        <v>0</v>
      </c>
      <c r="EB21" s="83">
        <f>SUMIFS('Dataset 1'!$E$7:$E$2506,'Dataset 1'!$B$7:$B$2506,$A21,'Dataset 1'!$J$7:$J$2506,EB$5)</f>
        <v>0</v>
      </c>
      <c r="EC21" s="83">
        <f>SUMIFS('Dataset 1'!$E$7:$E$2506,'Dataset 1'!$B$7:$B$2506,$A21,'Dataset 1'!$J$7:$J$2506,EC$5)</f>
        <v>0</v>
      </c>
      <c r="ED21" s="83">
        <f>SUMIFS('Dataset 1'!$E$7:$E$2506,'Dataset 1'!$B$7:$B$2506,$A21,'Dataset 1'!$J$7:$J$2506,ED$5)</f>
        <v>1440</v>
      </c>
      <c r="EE21" s="83">
        <f>SUMIFS('Dataset 1'!$E$7:$E$2506,'Dataset 1'!$B$7:$B$2506,$A21,'Dataset 1'!$J$7:$J$2506,EE$5)</f>
        <v>0</v>
      </c>
      <c r="EF21" s="83">
        <f>SUMIFS('Dataset 1'!$E$7:$E$2506,'Dataset 1'!$B$7:$B$2506,$A21,'Dataset 1'!$J$7:$J$2506,EF$5)</f>
        <v>140</v>
      </c>
      <c r="EG21" s="83">
        <f>SUMIFS('Dataset 1'!$E$7:$E$2506,'Dataset 1'!$B$7:$B$2506,$A21,'Dataset 1'!$J$7:$J$2506,EG$5)</f>
        <v>0</v>
      </c>
    </row>
    <row r="22" spans="1:137" x14ac:dyDescent="0.2">
      <c r="A22">
        <v>2021</v>
      </c>
      <c r="B22" s="83">
        <f>SUMIFS('Dataset 1'!$E$7:$E$2506,'Dataset 1'!$B$7:$B$2506,$A22,'Dataset 1'!$J$7:$J$2506,B$5)</f>
        <v>0</v>
      </c>
      <c r="C22" s="83">
        <f>SUMIFS('Dataset 1'!$E$7:$E$2506,'Dataset 1'!$B$7:$B$2506,$A22,'Dataset 1'!$J$7:$J$2506,C$5)</f>
        <v>0</v>
      </c>
      <c r="D22" s="83">
        <f>SUMIFS('Dataset 1'!$E$7:$E$2506,'Dataset 1'!$B$7:$B$2506,$A22,'Dataset 1'!$J$7:$J$2506,D$5)</f>
        <v>0</v>
      </c>
      <c r="E22" s="83">
        <f>SUMIFS('Dataset 1'!$E$7:$E$2506,'Dataset 1'!$B$7:$B$2506,$A22,'Dataset 1'!$J$7:$J$2506,E$5)</f>
        <v>0</v>
      </c>
      <c r="F22" s="83">
        <f>SUMIFS('Dataset 1'!$E$7:$E$2506,'Dataset 1'!$B$7:$B$2506,$A22,'Dataset 1'!$J$7:$J$2506,F$5)</f>
        <v>1250</v>
      </c>
      <c r="G22" s="83">
        <f>SUMIFS('Dataset 1'!$E$7:$E$2506,'Dataset 1'!$B$7:$B$2506,$A22,'Dataset 1'!$J$7:$J$2506,G$5)</f>
        <v>140</v>
      </c>
      <c r="H22" s="83">
        <f>SUMIFS('Dataset 1'!$E$7:$E$2506,'Dataset 1'!$B$7:$B$2506,$A22,'Dataset 1'!$J$7:$J$2506,H$5)</f>
        <v>0</v>
      </c>
      <c r="I22" s="83">
        <f>SUMIFS('Dataset 1'!$E$7:$E$2506,'Dataset 1'!$B$7:$B$2506,$A22,'Dataset 1'!$J$7:$J$2506,I$5)</f>
        <v>0</v>
      </c>
      <c r="J22" s="83">
        <f>SUMIFS('Dataset 1'!$E$7:$E$2506,'Dataset 1'!$B$7:$B$2506,$A22,'Dataset 1'!$J$7:$J$2506,J$5)</f>
        <v>0</v>
      </c>
      <c r="K22" s="83">
        <f>SUMIFS('Dataset 1'!$E$7:$E$2506,'Dataset 1'!$B$7:$B$2506,$A22,'Dataset 1'!$J$7:$J$2506,K$5)</f>
        <v>480</v>
      </c>
      <c r="L22" s="83">
        <f>SUMIFS('Dataset 1'!$E$7:$E$2506,'Dataset 1'!$B$7:$B$2506,$A22,'Dataset 1'!$J$7:$J$2506,L$5)</f>
        <v>0</v>
      </c>
      <c r="M22" s="83">
        <f>SUMIFS('Dataset 1'!$E$7:$E$2506,'Dataset 1'!$B$7:$B$2506,$A22,'Dataset 1'!$J$7:$J$2506,M$5)</f>
        <v>440</v>
      </c>
      <c r="N22" s="83">
        <f>SUMIFS('Dataset 1'!$E$7:$E$2506,'Dataset 1'!$B$7:$B$2506,$A22,'Dataset 1'!$J$7:$J$2506,N$5)</f>
        <v>0</v>
      </c>
      <c r="O22" s="83">
        <f>SUMIFS('Dataset 1'!$E$7:$E$2506,'Dataset 1'!$B$7:$B$2506,$A22,'Dataset 1'!$J$7:$J$2506,O$5)</f>
        <v>150</v>
      </c>
      <c r="P22" s="83">
        <f>SUMIFS('Dataset 1'!$E$7:$E$2506,'Dataset 1'!$B$7:$B$2506,$A22,'Dataset 1'!$J$7:$J$2506,P$5)</f>
        <v>0</v>
      </c>
      <c r="Q22" s="83">
        <f>SUMIFS('Dataset 1'!$E$7:$E$2506,'Dataset 1'!$B$7:$B$2506,$A22,'Dataset 1'!$J$7:$J$2506,Q$5)</f>
        <v>5680</v>
      </c>
      <c r="R22" s="83">
        <f>SUMIFS('Dataset 1'!$E$7:$E$2506,'Dataset 1'!$B$7:$B$2506,$A22,'Dataset 1'!$J$7:$J$2506,R$5)</f>
        <v>2570</v>
      </c>
      <c r="S22" s="83">
        <f>SUMIFS('Dataset 1'!$E$7:$E$2506,'Dataset 1'!$B$7:$B$2506,$A22,'Dataset 1'!$J$7:$J$2506,S$5)</f>
        <v>0</v>
      </c>
      <c r="T22" s="83">
        <f>SUMIFS('Dataset 1'!$E$7:$E$2506,'Dataset 1'!$B$7:$B$2506,$A22,'Dataset 1'!$J$7:$J$2506,T$5)</f>
        <v>0</v>
      </c>
      <c r="U22" s="83">
        <f>SUMIFS('Dataset 1'!$E$7:$E$2506,'Dataset 1'!$B$7:$B$2506,$A22,'Dataset 1'!$J$7:$J$2506,U$5)</f>
        <v>220</v>
      </c>
      <c r="V22" s="83">
        <f>SUMIFS('Dataset 1'!$E$7:$E$2506,'Dataset 1'!$B$7:$B$2506,$A22,'Dataset 1'!$J$7:$J$2506,V$5)</f>
        <v>0</v>
      </c>
      <c r="W22" s="83">
        <f>SUMIFS('Dataset 1'!$E$7:$E$2506,'Dataset 1'!$B$7:$B$2506,$A22,'Dataset 1'!$J$7:$J$2506,W$5)</f>
        <v>300</v>
      </c>
      <c r="X22" s="83">
        <f>SUMIFS('Dataset 1'!$E$7:$E$2506,'Dataset 1'!$B$7:$B$2506,$A22,'Dataset 1'!$J$7:$J$2506,X$5)</f>
        <v>0</v>
      </c>
      <c r="Y22" s="83">
        <f>SUMIFS('Dataset 1'!$E$7:$E$2506,'Dataset 1'!$B$7:$B$2506,$A22,'Dataset 1'!$J$7:$J$2506,Y$5)</f>
        <v>1100</v>
      </c>
      <c r="Z22" s="83">
        <f>SUMIFS('Dataset 1'!$E$7:$E$2506,'Dataset 1'!$B$7:$B$2506,$A22,'Dataset 1'!$J$7:$J$2506,Z$5)</f>
        <v>4040</v>
      </c>
      <c r="AA22" s="83">
        <f>SUMIFS('Dataset 1'!$E$7:$E$2506,'Dataset 1'!$B$7:$B$2506,$A22,'Dataset 1'!$J$7:$J$2506,AA$5)</f>
        <v>0</v>
      </c>
      <c r="AB22" s="83">
        <f>SUMIFS('Dataset 1'!$E$7:$E$2506,'Dataset 1'!$B$7:$B$2506,$A22,'Dataset 1'!$J$7:$J$2506,AB$5)</f>
        <v>0</v>
      </c>
      <c r="AC22" s="83">
        <f>SUMIFS('Dataset 1'!$E$7:$E$2506,'Dataset 1'!$B$7:$B$2506,$A22,'Dataset 1'!$J$7:$J$2506,AC$5)</f>
        <v>0</v>
      </c>
      <c r="AD22" s="83">
        <f>SUMIFS('Dataset 1'!$E$7:$E$2506,'Dataset 1'!$B$7:$B$2506,$A22,'Dataset 1'!$J$7:$J$2506,AD$5)</f>
        <v>0</v>
      </c>
      <c r="AE22" s="83">
        <f>SUMIFS('Dataset 1'!$E$7:$E$2506,'Dataset 1'!$B$7:$B$2506,$A22,'Dataset 1'!$J$7:$J$2506,AE$5)</f>
        <v>0</v>
      </c>
      <c r="AF22" s="83">
        <f>SUMIFS('Dataset 1'!$E$7:$E$2506,'Dataset 1'!$B$7:$B$2506,$A22,'Dataset 1'!$J$7:$J$2506,AF$5)</f>
        <v>1360</v>
      </c>
      <c r="AG22" s="83">
        <f>SUMIFS('Dataset 1'!$E$7:$E$2506,'Dataset 1'!$B$7:$B$2506,$A22,'Dataset 1'!$J$7:$J$2506,AG$5)</f>
        <v>0</v>
      </c>
      <c r="AH22" s="83">
        <f>SUMIFS('Dataset 1'!$E$7:$E$2506,'Dataset 1'!$B$7:$B$2506,$A22,'Dataset 1'!$J$7:$J$2506,AH$5)</f>
        <v>0</v>
      </c>
      <c r="AI22" s="83">
        <f>SUMIFS('Dataset 1'!$E$7:$E$2506,'Dataset 1'!$B$7:$B$2506,$A22,'Dataset 1'!$J$7:$J$2506,AI$5)</f>
        <v>200</v>
      </c>
      <c r="AJ22" s="83">
        <f>SUMIFS('Dataset 1'!$E$7:$E$2506,'Dataset 1'!$B$7:$B$2506,$A22,'Dataset 1'!$J$7:$J$2506,AJ$5)</f>
        <v>690</v>
      </c>
      <c r="AK22" s="83">
        <f>SUMIFS('Dataset 1'!$E$7:$E$2506,'Dataset 1'!$B$7:$B$2506,$A22,'Dataset 1'!$J$7:$J$2506,AK$5)</f>
        <v>120</v>
      </c>
      <c r="AL22" s="83">
        <f>SUMIFS('Dataset 1'!$E$7:$E$2506,'Dataset 1'!$B$7:$B$2506,$A22,'Dataset 1'!$J$7:$J$2506,AL$5)</f>
        <v>300</v>
      </c>
      <c r="AM22" s="83">
        <f>SUMIFS('Dataset 1'!$E$7:$E$2506,'Dataset 1'!$B$7:$B$2506,$A22,'Dataset 1'!$J$7:$J$2506,AM$5)</f>
        <v>1060</v>
      </c>
      <c r="AN22" s="83">
        <f>SUMIFS('Dataset 1'!$E$7:$E$2506,'Dataset 1'!$B$7:$B$2506,$A22,'Dataset 1'!$J$7:$J$2506,AN$5)</f>
        <v>190</v>
      </c>
      <c r="AO22" s="83">
        <f>SUMIFS('Dataset 1'!$E$7:$E$2506,'Dataset 1'!$B$7:$B$2506,$A22,'Dataset 1'!$J$7:$J$2506,AO$5)</f>
        <v>0</v>
      </c>
      <c r="AP22" s="83">
        <f>SUMIFS('Dataset 1'!$E$7:$E$2506,'Dataset 1'!$B$7:$B$2506,$A22,'Dataset 1'!$J$7:$J$2506,AP$5)</f>
        <v>0</v>
      </c>
      <c r="AQ22" s="83">
        <f>SUMIFS('Dataset 1'!$E$7:$E$2506,'Dataset 1'!$B$7:$B$2506,$A22,'Dataset 1'!$J$7:$J$2506,AQ$5)</f>
        <v>2560</v>
      </c>
      <c r="AR22" s="83">
        <f>SUMIFS('Dataset 1'!$E$7:$E$2506,'Dataset 1'!$B$7:$B$2506,$A22,'Dataset 1'!$J$7:$J$2506,AR$5)</f>
        <v>1220</v>
      </c>
      <c r="AS22" s="83">
        <f>SUMIFS('Dataset 1'!$E$7:$E$2506,'Dataset 1'!$B$7:$B$2506,$A22,'Dataset 1'!$J$7:$J$2506,AS$5)</f>
        <v>110</v>
      </c>
      <c r="AT22" s="83">
        <f>SUMIFS('Dataset 1'!$E$7:$E$2506,'Dataset 1'!$B$7:$B$2506,$A22,'Dataset 1'!$J$7:$J$2506,AT$5)</f>
        <v>2210</v>
      </c>
      <c r="AU22" s="83">
        <f>SUMIFS('Dataset 1'!$E$7:$E$2506,'Dataset 1'!$B$7:$B$2506,$A22,'Dataset 1'!$J$7:$J$2506,AU$5)</f>
        <v>0</v>
      </c>
      <c r="AV22" s="83">
        <f>SUMIFS('Dataset 1'!$E$7:$E$2506,'Dataset 1'!$B$7:$B$2506,$A22,'Dataset 1'!$J$7:$J$2506,AV$5)</f>
        <v>0</v>
      </c>
      <c r="AW22" s="83">
        <f>SUMIFS('Dataset 1'!$E$7:$E$2506,'Dataset 1'!$B$7:$B$2506,$A22,'Dataset 1'!$J$7:$J$2506,AW$5)</f>
        <v>480</v>
      </c>
      <c r="AX22" s="83">
        <f>SUMIFS('Dataset 1'!$E$7:$E$2506,'Dataset 1'!$B$7:$B$2506,$A22,'Dataset 1'!$J$7:$J$2506,AX$5)</f>
        <v>0</v>
      </c>
      <c r="AY22" s="83">
        <f>SUMIFS('Dataset 1'!$E$7:$E$2506,'Dataset 1'!$B$7:$B$2506,$A22,'Dataset 1'!$J$7:$J$2506,AY$5)</f>
        <v>3020</v>
      </c>
      <c r="AZ22" s="83">
        <f>SUMIFS('Dataset 1'!$E$7:$E$2506,'Dataset 1'!$B$7:$B$2506,$A22,'Dataset 1'!$J$7:$J$2506,AZ$5)</f>
        <v>0</v>
      </c>
      <c r="BA22" s="83">
        <f>SUMIFS('Dataset 1'!$E$7:$E$2506,'Dataset 1'!$B$7:$B$2506,$A22,'Dataset 1'!$J$7:$J$2506,BA$5)</f>
        <v>0</v>
      </c>
      <c r="BB22" s="83">
        <f>SUMIFS('Dataset 1'!$E$7:$E$2506,'Dataset 1'!$B$7:$B$2506,$A22,'Dataset 1'!$J$7:$J$2506,BB$5)</f>
        <v>540</v>
      </c>
      <c r="BC22" s="83">
        <f>SUMIFS('Dataset 1'!$E$7:$E$2506,'Dataset 1'!$B$7:$B$2506,$A22,'Dataset 1'!$J$7:$J$2506,BC$5)</f>
        <v>2000</v>
      </c>
      <c r="BD22" s="83">
        <f>SUMIFS('Dataset 1'!$E$7:$E$2506,'Dataset 1'!$B$7:$B$2506,$A22,'Dataset 1'!$J$7:$J$2506,BD$5)</f>
        <v>0</v>
      </c>
      <c r="BE22" s="83">
        <f>SUMIFS('Dataset 1'!$E$7:$E$2506,'Dataset 1'!$B$7:$B$2506,$A22,'Dataset 1'!$J$7:$J$2506,BE$5)</f>
        <v>0</v>
      </c>
      <c r="BF22" s="83">
        <f>SUMIFS('Dataset 1'!$E$7:$E$2506,'Dataset 1'!$B$7:$B$2506,$A22,'Dataset 1'!$J$7:$J$2506,BF$5)</f>
        <v>0</v>
      </c>
      <c r="BG22" s="83">
        <f>SUMIFS('Dataset 1'!$E$7:$E$2506,'Dataset 1'!$B$7:$B$2506,$A22,'Dataset 1'!$J$7:$J$2506,BG$5)</f>
        <v>1570</v>
      </c>
      <c r="BH22" s="83">
        <f>SUMIFS('Dataset 1'!$E$7:$E$2506,'Dataset 1'!$B$7:$B$2506,$A22,'Dataset 1'!$J$7:$J$2506,BH$5)</f>
        <v>160</v>
      </c>
      <c r="BI22" s="83">
        <f>SUMIFS('Dataset 1'!$E$7:$E$2506,'Dataset 1'!$B$7:$B$2506,$A22,'Dataset 1'!$J$7:$J$2506,BI$5)</f>
        <v>440</v>
      </c>
      <c r="BJ22" s="83">
        <f>SUMIFS('Dataset 1'!$E$7:$E$2506,'Dataset 1'!$B$7:$B$2506,$A22,'Dataset 1'!$J$7:$J$2506,BJ$5)</f>
        <v>0</v>
      </c>
      <c r="BK22" s="83">
        <f>SUMIFS('Dataset 1'!$E$7:$E$2506,'Dataset 1'!$B$7:$B$2506,$A22,'Dataset 1'!$J$7:$J$2506,BK$5)</f>
        <v>0</v>
      </c>
      <c r="BL22" s="83">
        <f>SUMIFS('Dataset 1'!$E$7:$E$2506,'Dataset 1'!$B$7:$B$2506,$A22,'Dataset 1'!$J$7:$J$2506,BL$5)</f>
        <v>0</v>
      </c>
      <c r="BM22" s="83">
        <f>SUMIFS('Dataset 1'!$E$7:$E$2506,'Dataset 1'!$B$7:$B$2506,$A22,'Dataset 1'!$J$7:$J$2506,BM$5)</f>
        <v>410</v>
      </c>
      <c r="BN22" s="83">
        <f>SUMIFS('Dataset 1'!$E$7:$E$2506,'Dataset 1'!$B$7:$B$2506,$A22,'Dataset 1'!$J$7:$J$2506,BN$5)</f>
        <v>0</v>
      </c>
      <c r="BO22" s="83">
        <f>SUMIFS('Dataset 1'!$E$7:$E$2506,'Dataset 1'!$B$7:$B$2506,$A22,'Dataset 1'!$J$7:$J$2506,BO$5)</f>
        <v>0</v>
      </c>
      <c r="BP22" s="83">
        <f>SUMIFS('Dataset 1'!$E$7:$E$2506,'Dataset 1'!$B$7:$B$2506,$A22,'Dataset 1'!$J$7:$J$2506,BP$5)</f>
        <v>0</v>
      </c>
      <c r="BQ22" s="83">
        <f>SUMIFS('Dataset 1'!$E$7:$E$2506,'Dataset 1'!$B$7:$B$2506,$A22,'Dataset 1'!$J$7:$J$2506,BQ$5)</f>
        <v>0</v>
      </c>
      <c r="BR22" s="83">
        <f>SUMIFS('Dataset 1'!$E$7:$E$2506,'Dataset 1'!$B$7:$B$2506,$A22,'Dataset 1'!$J$7:$J$2506,BR$5)</f>
        <v>300</v>
      </c>
      <c r="BS22" s="83">
        <f>SUMIFS('Dataset 1'!$E$7:$E$2506,'Dataset 1'!$B$7:$B$2506,$A22,'Dataset 1'!$J$7:$J$2506,BS$5)</f>
        <v>0</v>
      </c>
      <c r="BT22" s="83">
        <f>SUMIFS('Dataset 1'!$E$7:$E$2506,'Dataset 1'!$B$7:$B$2506,$A22,'Dataset 1'!$J$7:$J$2506,BT$5)</f>
        <v>0</v>
      </c>
      <c r="BU22" s="83">
        <f>SUMIFS('Dataset 1'!$E$7:$E$2506,'Dataset 1'!$B$7:$B$2506,$A22,'Dataset 1'!$J$7:$J$2506,BU$5)</f>
        <v>0</v>
      </c>
      <c r="BV22" s="83">
        <f>SUMIFS('Dataset 1'!$E$7:$E$2506,'Dataset 1'!$B$7:$B$2506,$A22,'Dataset 1'!$J$7:$J$2506,BV$5)</f>
        <v>0</v>
      </c>
      <c r="BW22" s="83">
        <f>SUMIFS('Dataset 1'!$E$7:$E$2506,'Dataset 1'!$B$7:$B$2506,$A22,'Dataset 1'!$J$7:$J$2506,BW$5)</f>
        <v>470</v>
      </c>
      <c r="BX22" s="83">
        <f>SUMIFS('Dataset 1'!$E$7:$E$2506,'Dataset 1'!$B$7:$B$2506,$A22,'Dataset 1'!$J$7:$J$2506,BX$5)</f>
        <v>0</v>
      </c>
      <c r="BY22" s="83">
        <f>SUMIFS('Dataset 1'!$E$7:$E$2506,'Dataset 1'!$B$7:$B$2506,$A22,'Dataset 1'!$J$7:$J$2506,BY$5)</f>
        <v>0</v>
      </c>
      <c r="BZ22" s="83">
        <f>SUMIFS('Dataset 1'!$E$7:$E$2506,'Dataset 1'!$B$7:$B$2506,$A22,'Dataset 1'!$J$7:$J$2506,BZ$5)</f>
        <v>0</v>
      </c>
      <c r="CA22" s="83">
        <f>SUMIFS('Dataset 1'!$E$7:$E$2506,'Dataset 1'!$B$7:$B$2506,$A22,'Dataset 1'!$J$7:$J$2506,CA$5)</f>
        <v>0</v>
      </c>
      <c r="CB22" s="83">
        <f>SUMIFS('Dataset 1'!$E$7:$E$2506,'Dataset 1'!$B$7:$B$2506,$A22,'Dataset 1'!$J$7:$J$2506,CB$5)</f>
        <v>170</v>
      </c>
      <c r="CC22" s="83">
        <f>SUMIFS('Dataset 1'!$E$7:$E$2506,'Dataset 1'!$B$7:$B$2506,$A22,'Dataset 1'!$J$7:$J$2506,CC$5)</f>
        <v>0</v>
      </c>
      <c r="CD22" s="83">
        <f>SUMIFS('Dataset 1'!$E$7:$E$2506,'Dataset 1'!$B$7:$B$2506,$A22,'Dataset 1'!$J$7:$J$2506,CD$5)</f>
        <v>0</v>
      </c>
      <c r="CE22" s="83">
        <f>SUMIFS('Dataset 1'!$E$7:$E$2506,'Dataset 1'!$B$7:$B$2506,$A22,'Dataset 1'!$J$7:$J$2506,CE$5)</f>
        <v>4380</v>
      </c>
      <c r="CF22" s="83">
        <f>SUMIFS('Dataset 1'!$E$7:$E$2506,'Dataset 1'!$B$7:$B$2506,$A22,'Dataset 1'!$J$7:$J$2506,CF$5)</f>
        <v>0</v>
      </c>
      <c r="CG22" s="83">
        <f>SUMIFS('Dataset 1'!$E$7:$E$2506,'Dataset 1'!$B$7:$B$2506,$A22,'Dataset 1'!$J$7:$J$2506,CG$5)</f>
        <v>0</v>
      </c>
      <c r="CH22" s="83">
        <f>SUMIFS('Dataset 1'!$E$7:$E$2506,'Dataset 1'!$B$7:$B$2506,$A22,'Dataset 1'!$J$7:$J$2506,CH$5)</f>
        <v>700</v>
      </c>
      <c r="CI22" s="83">
        <f>SUMIFS('Dataset 1'!$E$7:$E$2506,'Dataset 1'!$B$7:$B$2506,$A22,'Dataset 1'!$J$7:$J$2506,CI$5)</f>
        <v>0</v>
      </c>
      <c r="CJ22" s="83">
        <f>SUMIFS('Dataset 1'!$E$7:$E$2506,'Dataset 1'!$B$7:$B$2506,$A22,'Dataset 1'!$J$7:$J$2506,CJ$5)</f>
        <v>0</v>
      </c>
      <c r="CK22" s="83">
        <f>SUMIFS('Dataset 1'!$E$7:$E$2506,'Dataset 1'!$B$7:$B$2506,$A22,'Dataset 1'!$J$7:$J$2506,CK$5)</f>
        <v>0</v>
      </c>
      <c r="CL22" s="83">
        <f>SUMIFS('Dataset 1'!$E$7:$E$2506,'Dataset 1'!$B$7:$B$2506,$A22,'Dataset 1'!$J$7:$J$2506,CL$5)</f>
        <v>0</v>
      </c>
      <c r="CM22" s="83">
        <f>SUMIFS('Dataset 1'!$E$7:$E$2506,'Dataset 1'!$B$7:$B$2506,$A22,'Dataset 1'!$J$7:$J$2506,CM$5)</f>
        <v>0</v>
      </c>
      <c r="CN22" s="83">
        <f>SUMIFS('Dataset 1'!$E$7:$E$2506,'Dataset 1'!$B$7:$B$2506,$A22,'Dataset 1'!$J$7:$J$2506,CN$5)</f>
        <v>0</v>
      </c>
      <c r="CO22" s="83">
        <f>SUMIFS('Dataset 1'!$E$7:$E$2506,'Dataset 1'!$B$7:$B$2506,$A22,'Dataset 1'!$J$7:$J$2506,CO$5)</f>
        <v>0</v>
      </c>
      <c r="CP22" s="83">
        <f>SUMIFS('Dataset 1'!$E$7:$E$2506,'Dataset 1'!$B$7:$B$2506,$A22,'Dataset 1'!$J$7:$J$2506,CP$5)</f>
        <v>560</v>
      </c>
      <c r="CQ22" s="83">
        <f>SUMIFS('Dataset 1'!$E$7:$E$2506,'Dataset 1'!$B$7:$B$2506,$A22,'Dataset 1'!$J$7:$J$2506,CQ$5)</f>
        <v>0</v>
      </c>
      <c r="CR22" s="83">
        <f>SUMIFS('Dataset 1'!$E$7:$E$2506,'Dataset 1'!$B$7:$B$2506,$A22,'Dataset 1'!$J$7:$J$2506,CR$5)</f>
        <v>0</v>
      </c>
      <c r="CS22" s="83">
        <f>SUMIFS('Dataset 1'!$E$7:$E$2506,'Dataset 1'!$B$7:$B$2506,$A22,'Dataset 1'!$J$7:$J$2506,CS$5)</f>
        <v>0</v>
      </c>
      <c r="CT22" s="83">
        <f>SUMIFS('Dataset 1'!$E$7:$E$2506,'Dataset 1'!$B$7:$B$2506,$A22,'Dataset 1'!$J$7:$J$2506,CT$5)</f>
        <v>0</v>
      </c>
      <c r="CU22" s="83">
        <f>SUMIFS('Dataset 1'!$E$7:$E$2506,'Dataset 1'!$B$7:$B$2506,$A22,'Dataset 1'!$J$7:$J$2506,CU$5)</f>
        <v>360</v>
      </c>
      <c r="CV22" s="83">
        <f>SUMIFS('Dataset 1'!$E$7:$E$2506,'Dataset 1'!$B$7:$B$2506,$A22,'Dataset 1'!$J$7:$J$2506,CV$5)</f>
        <v>0</v>
      </c>
      <c r="CW22" s="83">
        <f>SUMIFS('Dataset 1'!$E$7:$E$2506,'Dataset 1'!$B$7:$B$2506,$A22,'Dataset 1'!$J$7:$J$2506,CW$5)</f>
        <v>0</v>
      </c>
      <c r="CX22" s="83">
        <f>SUMIFS('Dataset 1'!$E$7:$E$2506,'Dataset 1'!$B$7:$B$2506,$A22,'Dataset 1'!$J$7:$J$2506,CX$5)</f>
        <v>0</v>
      </c>
      <c r="CY22" s="83">
        <f>SUMIFS('Dataset 1'!$E$7:$E$2506,'Dataset 1'!$B$7:$B$2506,$A22,'Dataset 1'!$J$7:$J$2506,CY$5)</f>
        <v>1360</v>
      </c>
      <c r="CZ22" s="83">
        <f>SUMIFS('Dataset 1'!$E$7:$E$2506,'Dataset 1'!$B$7:$B$2506,$A22,'Dataset 1'!$J$7:$J$2506,CZ$5)</f>
        <v>410</v>
      </c>
      <c r="DA22" s="83">
        <f>SUMIFS('Dataset 1'!$E$7:$E$2506,'Dataset 1'!$B$7:$B$2506,$A22,'Dataset 1'!$J$7:$J$2506,DA$5)</f>
        <v>0</v>
      </c>
      <c r="DB22" s="83">
        <f>SUMIFS('Dataset 1'!$E$7:$E$2506,'Dataset 1'!$B$7:$B$2506,$A22,'Dataset 1'!$J$7:$J$2506,DB$5)</f>
        <v>340</v>
      </c>
      <c r="DC22" s="83">
        <f>SUMIFS('Dataset 1'!$E$7:$E$2506,'Dataset 1'!$B$7:$B$2506,$A22,'Dataset 1'!$J$7:$J$2506,DC$5)</f>
        <v>130</v>
      </c>
      <c r="DD22" s="83">
        <f>SUMIFS('Dataset 1'!$E$7:$E$2506,'Dataset 1'!$B$7:$B$2506,$A22,'Dataset 1'!$J$7:$J$2506,DD$5)</f>
        <v>0</v>
      </c>
      <c r="DE22" s="83">
        <f>SUMIFS('Dataset 1'!$E$7:$E$2506,'Dataset 1'!$B$7:$B$2506,$A22,'Dataset 1'!$J$7:$J$2506,DE$5)</f>
        <v>0</v>
      </c>
      <c r="DF22" s="83">
        <f>SUMIFS('Dataset 1'!$E$7:$E$2506,'Dataset 1'!$B$7:$B$2506,$A22,'Dataset 1'!$J$7:$J$2506,DF$5)</f>
        <v>700</v>
      </c>
      <c r="DG22" s="83">
        <f>SUMIFS('Dataset 1'!$E$7:$E$2506,'Dataset 1'!$B$7:$B$2506,$A22,'Dataset 1'!$J$7:$J$2506,DG$5)</f>
        <v>0</v>
      </c>
      <c r="DH22" s="83">
        <f>SUMIFS('Dataset 1'!$E$7:$E$2506,'Dataset 1'!$B$7:$B$2506,$A22,'Dataset 1'!$J$7:$J$2506,DH$5)</f>
        <v>940</v>
      </c>
      <c r="DI22" s="83">
        <f>SUMIFS('Dataset 1'!$E$7:$E$2506,'Dataset 1'!$B$7:$B$2506,$A22,'Dataset 1'!$J$7:$J$2506,DI$5)</f>
        <v>0</v>
      </c>
      <c r="DJ22" s="83">
        <f>SUMIFS('Dataset 1'!$E$7:$E$2506,'Dataset 1'!$B$7:$B$2506,$A22,'Dataset 1'!$J$7:$J$2506,DJ$5)</f>
        <v>0</v>
      </c>
      <c r="DK22" s="83">
        <f>SUMIFS('Dataset 1'!$E$7:$E$2506,'Dataset 1'!$B$7:$B$2506,$A22,'Dataset 1'!$J$7:$J$2506,DK$5)</f>
        <v>0</v>
      </c>
      <c r="DL22" s="83">
        <f>SUMIFS('Dataset 1'!$E$7:$E$2506,'Dataset 1'!$B$7:$B$2506,$A22,'Dataset 1'!$J$7:$J$2506,DL$5)</f>
        <v>400</v>
      </c>
      <c r="DM22" s="83">
        <f>SUMIFS('Dataset 1'!$E$7:$E$2506,'Dataset 1'!$B$7:$B$2506,$A22,'Dataset 1'!$J$7:$J$2506,DM$5)</f>
        <v>0</v>
      </c>
      <c r="DN22" s="83">
        <f>SUMIFS('Dataset 1'!$E$7:$E$2506,'Dataset 1'!$B$7:$B$2506,$A22,'Dataset 1'!$J$7:$J$2506,DN$5)</f>
        <v>0</v>
      </c>
      <c r="DO22" s="83">
        <f>SUMIFS('Dataset 1'!$E$7:$E$2506,'Dataset 1'!$B$7:$B$2506,$A22,'Dataset 1'!$J$7:$J$2506,DO$5)</f>
        <v>0</v>
      </c>
      <c r="DP22" s="83">
        <f>SUMIFS('Dataset 1'!$E$7:$E$2506,'Dataset 1'!$B$7:$B$2506,$A22,'Dataset 1'!$J$7:$J$2506,DP$5)</f>
        <v>0</v>
      </c>
      <c r="DQ22" s="83">
        <f>SUMIFS('Dataset 1'!$E$7:$E$2506,'Dataset 1'!$B$7:$B$2506,$A22,'Dataset 1'!$J$7:$J$2506,DQ$5)</f>
        <v>0</v>
      </c>
      <c r="DR22" s="83">
        <f>SUMIFS('Dataset 1'!$E$7:$E$2506,'Dataset 1'!$B$7:$B$2506,$A22,'Dataset 1'!$J$7:$J$2506,DR$5)</f>
        <v>280</v>
      </c>
      <c r="DS22" s="83">
        <f>SUMIFS('Dataset 1'!$E$7:$E$2506,'Dataset 1'!$B$7:$B$2506,$A22,'Dataset 1'!$J$7:$J$2506,DS$5)</f>
        <v>0</v>
      </c>
      <c r="DT22" s="83">
        <f>SUMIFS('Dataset 1'!$E$7:$E$2506,'Dataset 1'!$B$7:$B$2506,$A22,'Dataset 1'!$J$7:$J$2506,DT$5)</f>
        <v>0</v>
      </c>
      <c r="DU22" s="83">
        <f>SUMIFS('Dataset 1'!$E$7:$E$2506,'Dataset 1'!$B$7:$B$2506,$A22,'Dataset 1'!$J$7:$J$2506,DU$5)</f>
        <v>0</v>
      </c>
      <c r="DV22" s="83">
        <f>SUMIFS('Dataset 1'!$E$7:$E$2506,'Dataset 1'!$B$7:$B$2506,$A22,'Dataset 1'!$J$7:$J$2506,DV$5)</f>
        <v>350</v>
      </c>
      <c r="DW22" s="83">
        <f>SUMIFS('Dataset 1'!$E$7:$E$2506,'Dataset 1'!$B$7:$B$2506,$A22,'Dataset 1'!$J$7:$J$2506,DW$5)</f>
        <v>0</v>
      </c>
      <c r="DX22" s="83">
        <f>SUMIFS('Dataset 1'!$E$7:$E$2506,'Dataset 1'!$B$7:$B$2506,$A22,'Dataset 1'!$J$7:$J$2506,DX$5)</f>
        <v>0</v>
      </c>
      <c r="DY22" s="83">
        <f>SUMIFS('Dataset 1'!$E$7:$E$2506,'Dataset 1'!$B$7:$B$2506,$A22,'Dataset 1'!$J$7:$J$2506,DY$5)</f>
        <v>4400</v>
      </c>
      <c r="DZ22" s="83">
        <f>SUMIFS('Dataset 1'!$E$7:$E$2506,'Dataset 1'!$B$7:$B$2506,$A22,'Dataset 1'!$J$7:$J$2506,DZ$5)</f>
        <v>0</v>
      </c>
      <c r="EA22" s="83">
        <f>SUMIFS('Dataset 1'!$E$7:$E$2506,'Dataset 1'!$B$7:$B$2506,$A22,'Dataset 1'!$J$7:$J$2506,EA$5)</f>
        <v>0</v>
      </c>
      <c r="EB22" s="83">
        <f>SUMIFS('Dataset 1'!$E$7:$E$2506,'Dataset 1'!$B$7:$B$2506,$A22,'Dataset 1'!$J$7:$J$2506,EB$5)</f>
        <v>610</v>
      </c>
      <c r="EC22" s="83">
        <f>SUMIFS('Dataset 1'!$E$7:$E$2506,'Dataset 1'!$B$7:$B$2506,$A22,'Dataset 1'!$J$7:$J$2506,EC$5)</f>
        <v>0</v>
      </c>
      <c r="ED22" s="83">
        <f>SUMIFS('Dataset 1'!$E$7:$E$2506,'Dataset 1'!$B$7:$B$2506,$A22,'Dataset 1'!$J$7:$J$2506,ED$5)</f>
        <v>1460</v>
      </c>
      <c r="EE22" s="83">
        <f>SUMIFS('Dataset 1'!$E$7:$E$2506,'Dataset 1'!$B$7:$B$2506,$A22,'Dataset 1'!$J$7:$J$2506,EE$5)</f>
        <v>0</v>
      </c>
      <c r="EF22" s="83">
        <f>SUMIFS('Dataset 1'!$E$7:$E$2506,'Dataset 1'!$B$7:$B$2506,$A22,'Dataset 1'!$J$7:$J$2506,EF$5)</f>
        <v>150</v>
      </c>
      <c r="EG22" s="83">
        <f>SUMIFS('Dataset 1'!$E$7:$E$2506,'Dataset 1'!$B$7:$B$2506,$A22,'Dataset 1'!$J$7:$J$2506,EG$5)</f>
        <v>550</v>
      </c>
    </row>
    <row r="23" spans="1:137" x14ac:dyDescent="0.2">
      <c r="A23">
        <v>2022</v>
      </c>
      <c r="B23" s="83">
        <f>SUMIFS('Dataset 1'!$E$7:$E$2506,'Dataset 1'!$B$7:$B$2506,$A23,'Dataset 1'!$J$7:$J$2506,B$5)</f>
        <v>0</v>
      </c>
      <c r="C23" s="83">
        <f>SUMIFS('Dataset 1'!$E$7:$E$2506,'Dataset 1'!$B$7:$B$2506,$A23,'Dataset 1'!$J$7:$J$2506,C$5)</f>
        <v>430</v>
      </c>
      <c r="D23" s="83">
        <f>SUMIFS('Dataset 1'!$E$7:$E$2506,'Dataset 1'!$B$7:$B$2506,$A23,'Dataset 1'!$J$7:$J$2506,D$5)</f>
        <v>0</v>
      </c>
      <c r="E23" s="83">
        <f>SUMIFS('Dataset 1'!$E$7:$E$2506,'Dataset 1'!$B$7:$B$2506,$A23,'Dataset 1'!$J$7:$J$2506,E$5)</f>
        <v>0</v>
      </c>
      <c r="F23" s="83">
        <f>SUMIFS('Dataset 1'!$E$7:$E$2506,'Dataset 1'!$B$7:$B$2506,$A23,'Dataset 1'!$J$7:$J$2506,F$5)</f>
        <v>1340</v>
      </c>
      <c r="G23" s="83">
        <f>SUMIFS('Dataset 1'!$E$7:$E$2506,'Dataset 1'!$B$7:$B$2506,$A23,'Dataset 1'!$J$7:$J$2506,G$5)</f>
        <v>1260</v>
      </c>
      <c r="H23" s="83">
        <f>SUMIFS('Dataset 1'!$E$7:$E$2506,'Dataset 1'!$B$7:$B$2506,$A23,'Dataset 1'!$J$7:$J$2506,H$5)</f>
        <v>0</v>
      </c>
      <c r="I23" s="83">
        <f>SUMIFS('Dataset 1'!$E$7:$E$2506,'Dataset 1'!$B$7:$B$2506,$A23,'Dataset 1'!$J$7:$J$2506,I$5)</f>
        <v>0</v>
      </c>
      <c r="J23" s="83">
        <f>SUMIFS('Dataset 1'!$E$7:$E$2506,'Dataset 1'!$B$7:$B$2506,$A23,'Dataset 1'!$J$7:$J$2506,J$5)</f>
        <v>0</v>
      </c>
      <c r="K23" s="83">
        <f>SUMIFS('Dataset 1'!$E$7:$E$2506,'Dataset 1'!$B$7:$B$2506,$A23,'Dataset 1'!$J$7:$J$2506,K$5)</f>
        <v>530</v>
      </c>
      <c r="L23" s="83">
        <f>SUMIFS('Dataset 1'!$E$7:$E$2506,'Dataset 1'!$B$7:$B$2506,$A23,'Dataset 1'!$J$7:$J$2506,L$5)</f>
        <v>0</v>
      </c>
      <c r="M23" s="83">
        <f>SUMIFS('Dataset 1'!$E$7:$E$2506,'Dataset 1'!$B$7:$B$2506,$A23,'Dataset 1'!$J$7:$J$2506,M$5)</f>
        <v>0</v>
      </c>
      <c r="N23" s="83">
        <f>SUMIFS('Dataset 1'!$E$7:$E$2506,'Dataset 1'!$B$7:$B$2506,$A23,'Dataset 1'!$J$7:$J$2506,N$5)</f>
        <v>0</v>
      </c>
      <c r="O23" s="83">
        <f>SUMIFS('Dataset 1'!$E$7:$E$2506,'Dataset 1'!$B$7:$B$2506,$A23,'Dataset 1'!$J$7:$J$2506,O$5)</f>
        <v>0</v>
      </c>
      <c r="P23" s="83">
        <f>SUMIFS('Dataset 1'!$E$7:$E$2506,'Dataset 1'!$B$7:$B$2506,$A23,'Dataset 1'!$J$7:$J$2506,P$5)</f>
        <v>0</v>
      </c>
      <c r="Q23" s="83">
        <f>SUMIFS('Dataset 1'!$E$7:$E$2506,'Dataset 1'!$B$7:$B$2506,$A23,'Dataset 1'!$J$7:$J$2506,Q$5)</f>
        <v>2570</v>
      </c>
      <c r="R23" s="83">
        <f>SUMIFS('Dataset 1'!$E$7:$E$2506,'Dataset 1'!$B$7:$B$2506,$A23,'Dataset 1'!$J$7:$J$2506,R$5)</f>
        <v>1410</v>
      </c>
      <c r="S23" s="83">
        <f>SUMIFS('Dataset 1'!$E$7:$E$2506,'Dataset 1'!$B$7:$B$2506,$A23,'Dataset 1'!$J$7:$J$2506,S$5)</f>
        <v>0</v>
      </c>
      <c r="T23" s="83">
        <f>SUMIFS('Dataset 1'!$E$7:$E$2506,'Dataset 1'!$B$7:$B$2506,$A23,'Dataset 1'!$J$7:$J$2506,T$5)</f>
        <v>0</v>
      </c>
      <c r="U23" s="83">
        <f>SUMIFS('Dataset 1'!$E$7:$E$2506,'Dataset 1'!$B$7:$B$2506,$A23,'Dataset 1'!$J$7:$J$2506,U$5)</f>
        <v>1020</v>
      </c>
      <c r="V23" s="83">
        <f>SUMIFS('Dataset 1'!$E$7:$E$2506,'Dataset 1'!$B$7:$B$2506,$A23,'Dataset 1'!$J$7:$J$2506,V$5)</f>
        <v>680</v>
      </c>
      <c r="W23" s="83">
        <f>SUMIFS('Dataset 1'!$E$7:$E$2506,'Dataset 1'!$B$7:$B$2506,$A23,'Dataset 1'!$J$7:$J$2506,W$5)</f>
        <v>320</v>
      </c>
      <c r="X23" s="83">
        <f>SUMIFS('Dataset 1'!$E$7:$E$2506,'Dataset 1'!$B$7:$B$2506,$A23,'Dataset 1'!$J$7:$J$2506,X$5)</f>
        <v>0</v>
      </c>
      <c r="Y23" s="83">
        <f>SUMIFS('Dataset 1'!$E$7:$E$2506,'Dataset 1'!$B$7:$B$2506,$A23,'Dataset 1'!$J$7:$J$2506,Y$5)</f>
        <v>970</v>
      </c>
      <c r="Z23" s="83">
        <f>SUMIFS('Dataset 1'!$E$7:$E$2506,'Dataset 1'!$B$7:$B$2506,$A23,'Dataset 1'!$J$7:$J$2506,Z$5)</f>
        <v>100</v>
      </c>
      <c r="AA23" s="83">
        <f>SUMIFS('Dataset 1'!$E$7:$E$2506,'Dataset 1'!$B$7:$B$2506,$A23,'Dataset 1'!$J$7:$J$2506,AA$5)</f>
        <v>0</v>
      </c>
      <c r="AB23" s="83">
        <f>SUMIFS('Dataset 1'!$E$7:$E$2506,'Dataset 1'!$B$7:$B$2506,$A23,'Dataset 1'!$J$7:$J$2506,AB$5)</f>
        <v>0</v>
      </c>
      <c r="AC23" s="83">
        <f>SUMIFS('Dataset 1'!$E$7:$E$2506,'Dataset 1'!$B$7:$B$2506,$A23,'Dataset 1'!$J$7:$J$2506,AC$5)</f>
        <v>0</v>
      </c>
      <c r="AD23" s="83">
        <f>SUMIFS('Dataset 1'!$E$7:$E$2506,'Dataset 1'!$B$7:$B$2506,$A23,'Dataset 1'!$J$7:$J$2506,AD$5)</f>
        <v>0</v>
      </c>
      <c r="AE23" s="83">
        <f>SUMIFS('Dataset 1'!$E$7:$E$2506,'Dataset 1'!$B$7:$B$2506,$A23,'Dataset 1'!$J$7:$J$2506,AE$5)</f>
        <v>0</v>
      </c>
      <c r="AF23" s="83">
        <f>SUMIFS('Dataset 1'!$E$7:$E$2506,'Dataset 1'!$B$7:$B$2506,$A23,'Dataset 1'!$J$7:$J$2506,AF$5)</f>
        <v>550</v>
      </c>
      <c r="AG23" s="83">
        <f>SUMIFS('Dataset 1'!$E$7:$E$2506,'Dataset 1'!$B$7:$B$2506,$A23,'Dataset 1'!$J$7:$J$2506,AG$5)</f>
        <v>0</v>
      </c>
      <c r="AH23" s="83">
        <f>SUMIFS('Dataset 1'!$E$7:$E$2506,'Dataset 1'!$B$7:$B$2506,$A23,'Dataset 1'!$J$7:$J$2506,AH$5)</f>
        <v>0</v>
      </c>
      <c r="AI23" s="83">
        <f>SUMIFS('Dataset 1'!$E$7:$E$2506,'Dataset 1'!$B$7:$B$2506,$A23,'Dataset 1'!$J$7:$J$2506,AI$5)</f>
        <v>0</v>
      </c>
      <c r="AJ23" s="83">
        <f>SUMIFS('Dataset 1'!$E$7:$E$2506,'Dataset 1'!$B$7:$B$2506,$A23,'Dataset 1'!$J$7:$J$2506,AJ$5)</f>
        <v>0</v>
      </c>
      <c r="AK23" s="83">
        <f>SUMIFS('Dataset 1'!$E$7:$E$2506,'Dataset 1'!$B$7:$B$2506,$A23,'Dataset 1'!$J$7:$J$2506,AK$5)</f>
        <v>170</v>
      </c>
      <c r="AL23" s="83">
        <f>SUMIFS('Dataset 1'!$E$7:$E$2506,'Dataset 1'!$B$7:$B$2506,$A23,'Dataset 1'!$J$7:$J$2506,AL$5)</f>
        <v>0</v>
      </c>
      <c r="AM23" s="83">
        <f>SUMIFS('Dataset 1'!$E$7:$E$2506,'Dataset 1'!$B$7:$B$2506,$A23,'Dataset 1'!$J$7:$J$2506,AM$5)</f>
        <v>560</v>
      </c>
      <c r="AN23" s="83">
        <f>SUMIFS('Dataset 1'!$E$7:$E$2506,'Dataset 1'!$B$7:$B$2506,$A23,'Dataset 1'!$J$7:$J$2506,AN$5)</f>
        <v>2000</v>
      </c>
      <c r="AO23" s="83">
        <f>SUMIFS('Dataset 1'!$E$7:$E$2506,'Dataset 1'!$B$7:$B$2506,$A23,'Dataset 1'!$J$7:$J$2506,AO$5)</f>
        <v>0</v>
      </c>
      <c r="AP23" s="83">
        <f>SUMIFS('Dataset 1'!$E$7:$E$2506,'Dataset 1'!$B$7:$B$2506,$A23,'Dataset 1'!$J$7:$J$2506,AP$5)</f>
        <v>0</v>
      </c>
      <c r="AQ23" s="83">
        <f>SUMIFS('Dataset 1'!$E$7:$E$2506,'Dataset 1'!$B$7:$B$2506,$A23,'Dataset 1'!$J$7:$J$2506,AQ$5)</f>
        <v>1130</v>
      </c>
      <c r="AR23" s="83">
        <f>SUMIFS('Dataset 1'!$E$7:$E$2506,'Dataset 1'!$B$7:$B$2506,$A23,'Dataset 1'!$J$7:$J$2506,AR$5)</f>
        <v>0</v>
      </c>
      <c r="AS23" s="83">
        <f>SUMIFS('Dataset 1'!$E$7:$E$2506,'Dataset 1'!$B$7:$B$2506,$A23,'Dataset 1'!$J$7:$J$2506,AS$5)</f>
        <v>0</v>
      </c>
      <c r="AT23" s="83">
        <f>SUMIFS('Dataset 1'!$E$7:$E$2506,'Dataset 1'!$B$7:$B$2506,$A23,'Dataset 1'!$J$7:$J$2506,AT$5)</f>
        <v>160</v>
      </c>
      <c r="AU23" s="83">
        <f>SUMIFS('Dataset 1'!$E$7:$E$2506,'Dataset 1'!$B$7:$B$2506,$A23,'Dataset 1'!$J$7:$J$2506,AU$5)</f>
        <v>0</v>
      </c>
      <c r="AV23" s="83">
        <f>SUMIFS('Dataset 1'!$E$7:$E$2506,'Dataset 1'!$B$7:$B$2506,$A23,'Dataset 1'!$J$7:$J$2506,AV$5)</f>
        <v>2430</v>
      </c>
      <c r="AW23" s="83">
        <f>SUMIFS('Dataset 1'!$E$7:$E$2506,'Dataset 1'!$B$7:$B$2506,$A23,'Dataset 1'!$J$7:$J$2506,AW$5)</f>
        <v>0</v>
      </c>
      <c r="AX23" s="83">
        <f>SUMIFS('Dataset 1'!$E$7:$E$2506,'Dataset 1'!$B$7:$B$2506,$A23,'Dataset 1'!$J$7:$J$2506,AX$5)</f>
        <v>260</v>
      </c>
      <c r="AY23" s="83">
        <f>SUMIFS('Dataset 1'!$E$7:$E$2506,'Dataset 1'!$B$7:$B$2506,$A23,'Dataset 1'!$J$7:$J$2506,AY$5)</f>
        <v>4140</v>
      </c>
      <c r="AZ23" s="83">
        <f>SUMIFS('Dataset 1'!$E$7:$E$2506,'Dataset 1'!$B$7:$B$2506,$A23,'Dataset 1'!$J$7:$J$2506,AZ$5)</f>
        <v>0</v>
      </c>
      <c r="BA23" s="83">
        <f>SUMIFS('Dataset 1'!$E$7:$E$2506,'Dataset 1'!$B$7:$B$2506,$A23,'Dataset 1'!$J$7:$J$2506,BA$5)</f>
        <v>1030</v>
      </c>
      <c r="BB23" s="83">
        <f>SUMIFS('Dataset 1'!$E$7:$E$2506,'Dataset 1'!$B$7:$B$2506,$A23,'Dataset 1'!$J$7:$J$2506,BB$5)</f>
        <v>150</v>
      </c>
      <c r="BC23" s="83">
        <f>SUMIFS('Dataset 1'!$E$7:$E$2506,'Dataset 1'!$B$7:$B$2506,$A23,'Dataset 1'!$J$7:$J$2506,BC$5)</f>
        <v>0</v>
      </c>
      <c r="BD23" s="83">
        <f>SUMIFS('Dataset 1'!$E$7:$E$2506,'Dataset 1'!$B$7:$B$2506,$A23,'Dataset 1'!$J$7:$J$2506,BD$5)</f>
        <v>0</v>
      </c>
      <c r="BE23" s="83">
        <f>SUMIFS('Dataset 1'!$E$7:$E$2506,'Dataset 1'!$B$7:$B$2506,$A23,'Dataset 1'!$J$7:$J$2506,BE$5)</f>
        <v>0</v>
      </c>
      <c r="BF23" s="83">
        <f>SUMIFS('Dataset 1'!$E$7:$E$2506,'Dataset 1'!$B$7:$B$2506,$A23,'Dataset 1'!$J$7:$J$2506,BF$5)</f>
        <v>0</v>
      </c>
      <c r="BG23" s="83">
        <f>SUMIFS('Dataset 1'!$E$7:$E$2506,'Dataset 1'!$B$7:$B$2506,$A23,'Dataset 1'!$J$7:$J$2506,BG$5)</f>
        <v>140</v>
      </c>
      <c r="BH23" s="83">
        <f>SUMIFS('Dataset 1'!$E$7:$E$2506,'Dataset 1'!$B$7:$B$2506,$A23,'Dataset 1'!$J$7:$J$2506,BH$5)</f>
        <v>0</v>
      </c>
      <c r="BI23" s="83">
        <f>SUMIFS('Dataset 1'!$E$7:$E$2506,'Dataset 1'!$B$7:$B$2506,$A23,'Dataset 1'!$J$7:$J$2506,BI$5)</f>
        <v>120</v>
      </c>
      <c r="BJ23" s="83">
        <f>SUMIFS('Dataset 1'!$E$7:$E$2506,'Dataset 1'!$B$7:$B$2506,$A23,'Dataset 1'!$J$7:$J$2506,BJ$5)</f>
        <v>0</v>
      </c>
      <c r="BK23" s="83">
        <f>SUMIFS('Dataset 1'!$E$7:$E$2506,'Dataset 1'!$B$7:$B$2506,$A23,'Dataset 1'!$J$7:$J$2506,BK$5)</f>
        <v>0</v>
      </c>
      <c r="BL23" s="83">
        <f>SUMIFS('Dataset 1'!$E$7:$E$2506,'Dataset 1'!$B$7:$B$2506,$A23,'Dataset 1'!$J$7:$J$2506,BL$5)</f>
        <v>0</v>
      </c>
      <c r="BM23" s="83">
        <f>SUMIFS('Dataset 1'!$E$7:$E$2506,'Dataset 1'!$B$7:$B$2506,$A23,'Dataset 1'!$J$7:$J$2506,BM$5)</f>
        <v>750</v>
      </c>
      <c r="BN23" s="83">
        <f>SUMIFS('Dataset 1'!$E$7:$E$2506,'Dataset 1'!$B$7:$B$2506,$A23,'Dataset 1'!$J$7:$J$2506,BN$5)</f>
        <v>0</v>
      </c>
      <c r="BO23" s="83">
        <f>SUMIFS('Dataset 1'!$E$7:$E$2506,'Dataset 1'!$B$7:$B$2506,$A23,'Dataset 1'!$J$7:$J$2506,BO$5)</f>
        <v>0</v>
      </c>
      <c r="BP23" s="83">
        <f>SUMIFS('Dataset 1'!$E$7:$E$2506,'Dataset 1'!$B$7:$B$2506,$A23,'Dataset 1'!$J$7:$J$2506,BP$5)</f>
        <v>0</v>
      </c>
      <c r="BQ23" s="83">
        <f>SUMIFS('Dataset 1'!$E$7:$E$2506,'Dataset 1'!$B$7:$B$2506,$A23,'Dataset 1'!$J$7:$J$2506,BQ$5)</f>
        <v>0</v>
      </c>
      <c r="BR23" s="83">
        <f>SUMIFS('Dataset 1'!$E$7:$E$2506,'Dataset 1'!$B$7:$B$2506,$A23,'Dataset 1'!$J$7:$J$2506,BR$5)</f>
        <v>1250</v>
      </c>
      <c r="BS23" s="83">
        <f>SUMIFS('Dataset 1'!$E$7:$E$2506,'Dataset 1'!$B$7:$B$2506,$A23,'Dataset 1'!$J$7:$J$2506,BS$5)</f>
        <v>0</v>
      </c>
      <c r="BT23" s="83">
        <f>SUMIFS('Dataset 1'!$E$7:$E$2506,'Dataset 1'!$B$7:$B$2506,$A23,'Dataset 1'!$J$7:$J$2506,BT$5)</f>
        <v>0</v>
      </c>
      <c r="BU23" s="83">
        <f>SUMIFS('Dataset 1'!$E$7:$E$2506,'Dataset 1'!$B$7:$B$2506,$A23,'Dataset 1'!$J$7:$J$2506,BU$5)</f>
        <v>0</v>
      </c>
      <c r="BV23" s="83">
        <f>SUMIFS('Dataset 1'!$E$7:$E$2506,'Dataset 1'!$B$7:$B$2506,$A23,'Dataset 1'!$J$7:$J$2506,BV$5)</f>
        <v>0</v>
      </c>
      <c r="BW23" s="83">
        <f>SUMIFS('Dataset 1'!$E$7:$E$2506,'Dataset 1'!$B$7:$B$2506,$A23,'Dataset 1'!$J$7:$J$2506,BW$5)</f>
        <v>890</v>
      </c>
      <c r="BX23" s="83">
        <f>SUMIFS('Dataset 1'!$E$7:$E$2506,'Dataset 1'!$B$7:$B$2506,$A23,'Dataset 1'!$J$7:$J$2506,BX$5)</f>
        <v>0</v>
      </c>
      <c r="BY23" s="83">
        <f>SUMIFS('Dataset 1'!$E$7:$E$2506,'Dataset 1'!$B$7:$B$2506,$A23,'Dataset 1'!$J$7:$J$2506,BY$5)</f>
        <v>0</v>
      </c>
      <c r="BZ23" s="83">
        <f>SUMIFS('Dataset 1'!$E$7:$E$2506,'Dataset 1'!$B$7:$B$2506,$A23,'Dataset 1'!$J$7:$J$2506,BZ$5)</f>
        <v>200</v>
      </c>
      <c r="CA23" s="83">
        <f>SUMIFS('Dataset 1'!$E$7:$E$2506,'Dataset 1'!$B$7:$B$2506,$A23,'Dataset 1'!$J$7:$J$2506,CA$5)</f>
        <v>0</v>
      </c>
      <c r="CB23" s="83">
        <f>SUMIFS('Dataset 1'!$E$7:$E$2506,'Dataset 1'!$B$7:$B$2506,$A23,'Dataset 1'!$J$7:$J$2506,CB$5)</f>
        <v>0</v>
      </c>
      <c r="CC23" s="83">
        <f>SUMIFS('Dataset 1'!$E$7:$E$2506,'Dataset 1'!$B$7:$B$2506,$A23,'Dataset 1'!$J$7:$J$2506,CC$5)</f>
        <v>140</v>
      </c>
      <c r="CD23" s="83">
        <f>SUMIFS('Dataset 1'!$E$7:$E$2506,'Dataset 1'!$B$7:$B$2506,$A23,'Dataset 1'!$J$7:$J$2506,CD$5)</f>
        <v>230</v>
      </c>
      <c r="CE23" s="83">
        <f>SUMIFS('Dataset 1'!$E$7:$E$2506,'Dataset 1'!$B$7:$B$2506,$A23,'Dataset 1'!$J$7:$J$2506,CE$5)</f>
        <v>0</v>
      </c>
      <c r="CF23" s="83">
        <f>SUMIFS('Dataset 1'!$E$7:$E$2506,'Dataset 1'!$B$7:$B$2506,$A23,'Dataset 1'!$J$7:$J$2506,CF$5)</f>
        <v>0</v>
      </c>
      <c r="CG23" s="83">
        <f>SUMIFS('Dataset 1'!$E$7:$E$2506,'Dataset 1'!$B$7:$B$2506,$A23,'Dataset 1'!$J$7:$J$2506,CG$5)</f>
        <v>0</v>
      </c>
      <c r="CH23" s="83">
        <f>SUMIFS('Dataset 1'!$E$7:$E$2506,'Dataset 1'!$B$7:$B$2506,$A23,'Dataset 1'!$J$7:$J$2506,CH$5)</f>
        <v>0</v>
      </c>
      <c r="CI23" s="83">
        <f>SUMIFS('Dataset 1'!$E$7:$E$2506,'Dataset 1'!$B$7:$B$2506,$A23,'Dataset 1'!$J$7:$J$2506,CI$5)</f>
        <v>0</v>
      </c>
      <c r="CJ23" s="83">
        <f>SUMIFS('Dataset 1'!$E$7:$E$2506,'Dataset 1'!$B$7:$B$2506,$A23,'Dataset 1'!$J$7:$J$2506,CJ$5)</f>
        <v>0</v>
      </c>
      <c r="CK23" s="83">
        <f>SUMIFS('Dataset 1'!$E$7:$E$2506,'Dataset 1'!$B$7:$B$2506,$A23,'Dataset 1'!$J$7:$J$2506,CK$5)</f>
        <v>0</v>
      </c>
      <c r="CL23" s="83">
        <f>SUMIFS('Dataset 1'!$E$7:$E$2506,'Dataset 1'!$B$7:$B$2506,$A23,'Dataset 1'!$J$7:$J$2506,CL$5)</f>
        <v>0</v>
      </c>
      <c r="CM23" s="83">
        <f>SUMIFS('Dataset 1'!$E$7:$E$2506,'Dataset 1'!$B$7:$B$2506,$A23,'Dataset 1'!$J$7:$J$2506,CM$5)</f>
        <v>1130</v>
      </c>
      <c r="CN23" s="83">
        <f>SUMIFS('Dataset 1'!$E$7:$E$2506,'Dataset 1'!$B$7:$B$2506,$A23,'Dataset 1'!$J$7:$J$2506,CN$5)</f>
        <v>0</v>
      </c>
      <c r="CO23" s="83">
        <f>SUMIFS('Dataset 1'!$E$7:$E$2506,'Dataset 1'!$B$7:$B$2506,$A23,'Dataset 1'!$J$7:$J$2506,CO$5)</f>
        <v>0</v>
      </c>
      <c r="CP23" s="83">
        <f>SUMIFS('Dataset 1'!$E$7:$E$2506,'Dataset 1'!$B$7:$B$2506,$A23,'Dataset 1'!$J$7:$J$2506,CP$5)</f>
        <v>0</v>
      </c>
      <c r="CQ23" s="83">
        <f>SUMIFS('Dataset 1'!$E$7:$E$2506,'Dataset 1'!$B$7:$B$2506,$A23,'Dataset 1'!$J$7:$J$2506,CQ$5)</f>
        <v>0</v>
      </c>
      <c r="CR23" s="83">
        <f>SUMIFS('Dataset 1'!$E$7:$E$2506,'Dataset 1'!$B$7:$B$2506,$A23,'Dataset 1'!$J$7:$J$2506,CR$5)</f>
        <v>0</v>
      </c>
      <c r="CS23" s="83">
        <f>SUMIFS('Dataset 1'!$E$7:$E$2506,'Dataset 1'!$B$7:$B$2506,$A23,'Dataset 1'!$J$7:$J$2506,CS$5)</f>
        <v>0</v>
      </c>
      <c r="CT23" s="83">
        <f>SUMIFS('Dataset 1'!$E$7:$E$2506,'Dataset 1'!$B$7:$B$2506,$A23,'Dataset 1'!$J$7:$J$2506,CT$5)</f>
        <v>0</v>
      </c>
      <c r="CU23" s="83">
        <f>SUMIFS('Dataset 1'!$E$7:$E$2506,'Dataset 1'!$B$7:$B$2506,$A23,'Dataset 1'!$J$7:$J$2506,CU$5)</f>
        <v>0</v>
      </c>
      <c r="CV23" s="83">
        <f>SUMIFS('Dataset 1'!$E$7:$E$2506,'Dataset 1'!$B$7:$B$2506,$A23,'Dataset 1'!$J$7:$J$2506,CV$5)</f>
        <v>0</v>
      </c>
      <c r="CW23" s="83">
        <f>SUMIFS('Dataset 1'!$E$7:$E$2506,'Dataset 1'!$B$7:$B$2506,$A23,'Dataset 1'!$J$7:$J$2506,CW$5)</f>
        <v>0</v>
      </c>
      <c r="CX23" s="83">
        <f>SUMIFS('Dataset 1'!$E$7:$E$2506,'Dataset 1'!$B$7:$B$2506,$A23,'Dataset 1'!$J$7:$J$2506,CX$5)</f>
        <v>0</v>
      </c>
      <c r="CY23" s="83">
        <f>SUMIFS('Dataset 1'!$E$7:$E$2506,'Dataset 1'!$B$7:$B$2506,$A23,'Dataset 1'!$J$7:$J$2506,CY$5)</f>
        <v>5550</v>
      </c>
      <c r="CZ23" s="83">
        <f>SUMIFS('Dataset 1'!$E$7:$E$2506,'Dataset 1'!$B$7:$B$2506,$A23,'Dataset 1'!$J$7:$J$2506,CZ$5)</f>
        <v>0</v>
      </c>
      <c r="DA23" s="83">
        <f>SUMIFS('Dataset 1'!$E$7:$E$2506,'Dataset 1'!$B$7:$B$2506,$A23,'Dataset 1'!$J$7:$J$2506,DA$5)</f>
        <v>0</v>
      </c>
      <c r="DB23" s="83">
        <f>SUMIFS('Dataset 1'!$E$7:$E$2506,'Dataset 1'!$B$7:$B$2506,$A23,'Dataset 1'!$J$7:$J$2506,DB$5)</f>
        <v>2590</v>
      </c>
      <c r="DC23" s="83">
        <f>SUMIFS('Dataset 1'!$E$7:$E$2506,'Dataset 1'!$B$7:$B$2506,$A23,'Dataset 1'!$J$7:$J$2506,DC$5)</f>
        <v>0</v>
      </c>
      <c r="DD23" s="83">
        <f>SUMIFS('Dataset 1'!$E$7:$E$2506,'Dataset 1'!$B$7:$B$2506,$A23,'Dataset 1'!$J$7:$J$2506,DD$5)</f>
        <v>0</v>
      </c>
      <c r="DE23" s="83">
        <f>SUMIFS('Dataset 1'!$E$7:$E$2506,'Dataset 1'!$B$7:$B$2506,$A23,'Dataset 1'!$J$7:$J$2506,DE$5)</f>
        <v>0</v>
      </c>
      <c r="DF23" s="83">
        <f>SUMIFS('Dataset 1'!$E$7:$E$2506,'Dataset 1'!$B$7:$B$2506,$A23,'Dataset 1'!$J$7:$J$2506,DF$5)</f>
        <v>0</v>
      </c>
      <c r="DG23" s="83">
        <f>SUMIFS('Dataset 1'!$E$7:$E$2506,'Dataset 1'!$B$7:$B$2506,$A23,'Dataset 1'!$J$7:$J$2506,DG$5)</f>
        <v>200</v>
      </c>
      <c r="DH23" s="83">
        <f>SUMIFS('Dataset 1'!$E$7:$E$2506,'Dataset 1'!$B$7:$B$2506,$A23,'Dataset 1'!$J$7:$J$2506,DH$5)</f>
        <v>220</v>
      </c>
      <c r="DI23" s="83">
        <f>SUMIFS('Dataset 1'!$E$7:$E$2506,'Dataset 1'!$B$7:$B$2506,$A23,'Dataset 1'!$J$7:$J$2506,DI$5)</f>
        <v>0</v>
      </c>
      <c r="DJ23" s="83">
        <f>SUMIFS('Dataset 1'!$E$7:$E$2506,'Dataset 1'!$B$7:$B$2506,$A23,'Dataset 1'!$J$7:$J$2506,DJ$5)</f>
        <v>0</v>
      </c>
      <c r="DK23" s="83">
        <f>SUMIFS('Dataset 1'!$E$7:$E$2506,'Dataset 1'!$B$7:$B$2506,$A23,'Dataset 1'!$J$7:$J$2506,DK$5)</f>
        <v>360</v>
      </c>
      <c r="DL23" s="83">
        <f>SUMIFS('Dataset 1'!$E$7:$E$2506,'Dataset 1'!$B$7:$B$2506,$A23,'Dataset 1'!$J$7:$J$2506,DL$5)</f>
        <v>210</v>
      </c>
      <c r="DM23" s="83">
        <f>SUMIFS('Dataset 1'!$E$7:$E$2506,'Dataset 1'!$B$7:$B$2506,$A23,'Dataset 1'!$J$7:$J$2506,DM$5)</f>
        <v>590</v>
      </c>
      <c r="DN23" s="83">
        <f>SUMIFS('Dataset 1'!$E$7:$E$2506,'Dataset 1'!$B$7:$B$2506,$A23,'Dataset 1'!$J$7:$J$2506,DN$5)</f>
        <v>0</v>
      </c>
      <c r="DO23" s="83">
        <f>SUMIFS('Dataset 1'!$E$7:$E$2506,'Dataset 1'!$B$7:$B$2506,$A23,'Dataset 1'!$J$7:$J$2506,DO$5)</f>
        <v>0</v>
      </c>
      <c r="DP23" s="83">
        <f>SUMIFS('Dataset 1'!$E$7:$E$2506,'Dataset 1'!$B$7:$B$2506,$A23,'Dataset 1'!$J$7:$J$2506,DP$5)</f>
        <v>480</v>
      </c>
      <c r="DQ23" s="83">
        <f>SUMIFS('Dataset 1'!$E$7:$E$2506,'Dataset 1'!$B$7:$B$2506,$A23,'Dataset 1'!$J$7:$J$2506,DQ$5)</f>
        <v>220</v>
      </c>
      <c r="DR23" s="83">
        <f>SUMIFS('Dataset 1'!$E$7:$E$2506,'Dataset 1'!$B$7:$B$2506,$A23,'Dataset 1'!$J$7:$J$2506,DR$5)</f>
        <v>750</v>
      </c>
      <c r="DS23" s="83">
        <f>SUMIFS('Dataset 1'!$E$7:$E$2506,'Dataset 1'!$B$7:$B$2506,$A23,'Dataset 1'!$J$7:$J$2506,DS$5)</f>
        <v>0</v>
      </c>
      <c r="DT23" s="83">
        <f>SUMIFS('Dataset 1'!$E$7:$E$2506,'Dataset 1'!$B$7:$B$2506,$A23,'Dataset 1'!$J$7:$J$2506,DT$5)</f>
        <v>0</v>
      </c>
      <c r="DU23" s="83">
        <f>SUMIFS('Dataset 1'!$E$7:$E$2506,'Dataset 1'!$B$7:$B$2506,$A23,'Dataset 1'!$J$7:$J$2506,DU$5)</f>
        <v>0</v>
      </c>
      <c r="DV23" s="83">
        <f>SUMIFS('Dataset 1'!$E$7:$E$2506,'Dataset 1'!$B$7:$B$2506,$A23,'Dataset 1'!$J$7:$J$2506,DV$5)</f>
        <v>0</v>
      </c>
      <c r="DW23" s="83">
        <f>SUMIFS('Dataset 1'!$E$7:$E$2506,'Dataset 1'!$B$7:$B$2506,$A23,'Dataset 1'!$J$7:$J$2506,DW$5)</f>
        <v>0</v>
      </c>
      <c r="DX23" s="83">
        <f>SUMIFS('Dataset 1'!$E$7:$E$2506,'Dataset 1'!$B$7:$B$2506,$A23,'Dataset 1'!$J$7:$J$2506,DX$5)</f>
        <v>140</v>
      </c>
      <c r="DY23" s="83">
        <f>SUMIFS('Dataset 1'!$E$7:$E$2506,'Dataset 1'!$B$7:$B$2506,$A23,'Dataset 1'!$J$7:$J$2506,DY$5)</f>
        <v>2590</v>
      </c>
      <c r="DZ23" s="83">
        <f>SUMIFS('Dataset 1'!$E$7:$E$2506,'Dataset 1'!$B$7:$B$2506,$A23,'Dataset 1'!$J$7:$J$2506,DZ$5)</f>
        <v>0</v>
      </c>
      <c r="EA23" s="83">
        <f>SUMIFS('Dataset 1'!$E$7:$E$2506,'Dataset 1'!$B$7:$B$2506,$A23,'Dataset 1'!$J$7:$J$2506,EA$5)</f>
        <v>0</v>
      </c>
      <c r="EB23" s="83">
        <f>SUMIFS('Dataset 1'!$E$7:$E$2506,'Dataset 1'!$B$7:$B$2506,$A23,'Dataset 1'!$J$7:$J$2506,EB$5)</f>
        <v>130</v>
      </c>
      <c r="EC23" s="83">
        <f>SUMIFS('Dataset 1'!$E$7:$E$2506,'Dataset 1'!$B$7:$B$2506,$A23,'Dataset 1'!$J$7:$J$2506,EC$5)</f>
        <v>0</v>
      </c>
      <c r="ED23" s="83">
        <f>SUMIFS('Dataset 1'!$E$7:$E$2506,'Dataset 1'!$B$7:$B$2506,$A23,'Dataset 1'!$J$7:$J$2506,ED$5)</f>
        <v>560</v>
      </c>
      <c r="EE23" s="83">
        <f>SUMIFS('Dataset 1'!$E$7:$E$2506,'Dataset 1'!$B$7:$B$2506,$A23,'Dataset 1'!$J$7:$J$2506,EE$5)</f>
        <v>0</v>
      </c>
      <c r="EF23" s="83">
        <f>SUMIFS('Dataset 1'!$E$7:$E$2506,'Dataset 1'!$B$7:$B$2506,$A23,'Dataset 1'!$J$7:$J$2506,EF$5)</f>
        <v>0</v>
      </c>
      <c r="EG23" s="83">
        <f>SUMIFS('Dataset 1'!$E$7:$E$2506,'Dataset 1'!$B$7:$B$2506,$A23,'Dataset 1'!$J$7:$J$2506,EG$5)</f>
        <v>1670</v>
      </c>
    </row>
    <row r="24" spans="1:137" x14ac:dyDescent="0.2">
      <c r="A24">
        <v>2023</v>
      </c>
      <c r="B24" s="83">
        <f>SUMIFS('Dataset 1'!$E$7:$E$2506,'Dataset 1'!$B$7:$B$2506,$A24,'Dataset 1'!$J$7:$J$2506,B$5)</f>
        <v>150</v>
      </c>
      <c r="C24" s="83">
        <f>SUMIFS('Dataset 1'!$E$7:$E$2506,'Dataset 1'!$B$7:$B$2506,$A24,'Dataset 1'!$J$7:$J$2506,C$5)</f>
        <v>0</v>
      </c>
      <c r="D24" s="83">
        <f>SUMIFS('Dataset 1'!$E$7:$E$2506,'Dataset 1'!$B$7:$B$2506,$A24,'Dataset 1'!$J$7:$J$2506,D$5)</f>
        <v>120</v>
      </c>
      <c r="E24" s="83">
        <f>SUMIFS('Dataset 1'!$E$7:$E$2506,'Dataset 1'!$B$7:$B$2506,$A24,'Dataset 1'!$J$7:$J$2506,E$5)</f>
        <v>0</v>
      </c>
      <c r="F24" s="83">
        <f>SUMIFS('Dataset 1'!$E$7:$E$2506,'Dataset 1'!$B$7:$B$2506,$A24,'Dataset 1'!$J$7:$J$2506,F$5)</f>
        <v>450</v>
      </c>
      <c r="G24" s="83">
        <f>SUMIFS('Dataset 1'!$E$7:$E$2506,'Dataset 1'!$B$7:$B$2506,$A24,'Dataset 1'!$J$7:$J$2506,G$5)</f>
        <v>470</v>
      </c>
      <c r="H24" s="83">
        <f>SUMIFS('Dataset 1'!$E$7:$E$2506,'Dataset 1'!$B$7:$B$2506,$A24,'Dataset 1'!$J$7:$J$2506,H$5)</f>
        <v>600</v>
      </c>
      <c r="I24" s="83">
        <f>SUMIFS('Dataset 1'!$E$7:$E$2506,'Dataset 1'!$B$7:$B$2506,$A24,'Dataset 1'!$J$7:$J$2506,I$5)</f>
        <v>0</v>
      </c>
      <c r="J24" s="83">
        <f>SUMIFS('Dataset 1'!$E$7:$E$2506,'Dataset 1'!$B$7:$B$2506,$A24,'Dataset 1'!$J$7:$J$2506,J$5)</f>
        <v>0</v>
      </c>
      <c r="K24" s="83">
        <f>SUMIFS('Dataset 1'!$E$7:$E$2506,'Dataset 1'!$B$7:$B$2506,$A24,'Dataset 1'!$J$7:$J$2506,K$5)</f>
        <v>100</v>
      </c>
      <c r="L24" s="83">
        <f>SUMIFS('Dataset 1'!$E$7:$E$2506,'Dataset 1'!$B$7:$B$2506,$A24,'Dataset 1'!$J$7:$J$2506,L$5)</f>
        <v>0</v>
      </c>
      <c r="M24" s="83">
        <f>SUMIFS('Dataset 1'!$E$7:$E$2506,'Dataset 1'!$B$7:$B$2506,$A24,'Dataset 1'!$J$7:$J$2506,M$5)</f>
        <v>320</v>
      </c>
      <c r="N24" s="83">
        <f>SUMIFS('Dataset 1'!$E$7:$E$2506,'Dataset 1'!$B$7:$B$2506,$A24,'Dataset 1'!$J$7:$J$2506,N$5)</f>
        <v>400</v>
      </c>
      <c r="O24" s="83">
        <f>SUMIFS('Dataset 1'!$E$7:$E$2506,'Dataset 1'!$B$7:$B$2506,$A24,'Dataset 1'!$J$7:$J$2506,O$5)</f>
        <v>0</v>
      </c>
      <c r="P24" s="83">
        <f>SUMIFS('Dataset 1'!$E$7:$E$2506,'Dataset 1'!$B$7:$B$2506,$A24,'Dataset 1'!$J$7:$J$2506,P$5)</f>
        <v>2040</v>
      </c>
      <c r="Q24" s="83">
        <f>SUMIFS('Dataset 1'!$E$7:$E$2506,'Dataset 1'!$B$7:$B$2506,$A24,'Dataset 1'!$J$7:$J$2506,Q$5)</f>
        <v>2760</v>
      </c>
      <c r="R24" s="83">
        <f>SUMIFS('Dataset 1'!$E$7:$E$2506,'Dataset 1'!$B$7:$B$2506,$A24,'Dataset 1'!$J$7:$J$2506,R$5)</f>
        <v>1150</v>
      </c>
      <c r="S24" s="83">
        <f>SUMIFS('Dataset 1'!$E$7:$E$2506,'Dataset 1'!$B$7:$B$2506,$A24,'Dataset 1'!$J$7:$J$2506,S$5)</f>
        <v>0</v>
      </c>
      <c r="T24" s="83">
        <f>SUMIFS('Dataset 1'!$E$7:$E$2506,'Dataset 1'!$B$7:$B$2506,$A24,'Dataset 1'!$J$7:$J$2506,T$5)</f>
        <v>0</v>
      </c>
      <c r="U24" s="83">
        <f>SUMIFS('Dataset 1'!$E$7:$E$2506,'Dataset 1'!$B$7:$B$2506,$A24,'Dataset 1'!$J$7:$J$2506,U$5)</f>
        <v>1480</v>
      </c>
      <c r="V24" s="83">
        <f>SUMIFS('Dataset 1'!$E$7:$E$2506,'Dataset 1'!$B$7:$B$2506,$A24,'Dataset 1'!$J$7:$J$2506,V$5)</f>
        <v>0</v>
      </c>
      <c r="W24" s="83">
        <f>SUMIFS('Dataset 1'!$E$7:$E$2506,'Dataset 1'!$B$7:$B$2506,$A24,'Dataset 1'!$J$7:$J$2506,W$5)</f>
        <v>130</v>
      </c>
      <c r="X24" s="83">
        <f>SUMIFS('Dataset 1'!$E$7:$E$2506,'Dataset 1'!$B$7:$B$2506,$A24,'Dataset 1'!$J$7:$J$2506,X$5)</f>
        <v>0</v>
      </c>
      <c r="Y24" s="83">
        <f>SUMIFS('Dataset 1'!$E$7:$E$2506,'Dataset 1'!$B$7:$B$2506,$A24,'Dataset 1'!$J$7:$J$2506,Y$5)</f>
        <v>1110</v>
      </c>
      <c r="Z24" s="83">
        <f>SUMIFS('Dataset 1'!$E$7:$E$2506,'Dataset 1'!$B$7:$B$2506,$A24,'Dataset 1'!$J$7:$J$2506,Z$5)</f>
        <v>750</v>
      </c>
      <c r="AA24" s="83">
        <f>SUMIFS('Dataset 1'!$E$7:$E$2506,'Dataset 1'!$B$7:$B$2506,$A24,'Dataset 1'!$J$7:$J$2506,AA$5)</f>
        <v>100</v>
      </c>
      <c r="AB24" s="83">
        <f>SUMIFS('Dataset 1'!$E$7:$E$2506,'Dataset 1'!$B$7:$B$2506,$A24,'Dataset 1'!$J$7:$J$2506,AB$5)</f>
        <v>0</v>
      </c>
      <c r="AC24" s="83">
        <f>SUMIFS('Dataset 1'!$E$7:$E$2506,'Dataset 1'!$B$7:$B$2506,$A24,'Dataset 1'!$J$7:$J$2506,AC$5)</f>
        <v>0</v>
      </c>
      <c r="AD24" s="83">
        <f>SUMIFS('Dataset 1'!$E$7:$E$2506,'Dataset 1'!$B$7:$B$2506,$A24,'Dataset 1'!$J$7:$J$2506,AD$5)</f>
        <v>0</v>
      </c>
      <c r="AE24" s="83">
        <f>SUMIFS('Dataset 1'!$E$7:$E$2506,'Dataset 1'!$B$7:$B$2506,$A24,'Dataset 1'!$J$7:$J$2506,AE$5)</f>
        <v>0</v>
      </c>
      <c r="AF24" s="83">
        <f>SUMIFS('Dataset 1'!$E$7:$E$2506,'Dataset 1'!$B$7:$B$2506,$A24,'Dataset 1'!$J$7:$J$2506,AF$5)</f>
        <v>3860</v>
      </c>
      <c r="AG24" s="83">
        <f>SUMIFS('Dataset 1'!$E$7:$E$2506,'Dataset 1'!$B$7:$B$2506,$A24,'Dataset 1'!$J$7:$J$2506,AG$5)</f>
        <v>0</v>
      </c>
      <c r="AH24" s="83">
        <f>SUMIFS('Dataset 1'!$E$7:$E$2506,'Dataset 1'!$B$7:$B$2506,$A24,'Dataset 1'!$J$7:$J$2506,AH$5)</f>
        <v>0</v>
      </c>
      <c r="AI24" s="83">
        <f>SUMIFS('Dataset 1'!$E$7:$E$2506,'Dataset 1'!$B$7:$B$2506,$A24,'Dataset 1'!$J$7:$J$2506,AI$5)</f>
        <v>0</v>
      </c>
      <c r="AJ24" s="83">
        <f>SUMIFS('Dataset 1'!$E$7:$E$2506,'Dataset 1'!$B$7:$B$2506,$A24,'Dataset 1'!$J$7:$J$2506,AJ$5)</f>
        <v>260</v>
      </c>
      <c r="AK24" s="83">
        <f>SUMIFS('Dataset 1'!$E$7:$E$2506,'Dataset 1'!$B$7:$B$2506,$A24,'Dataset 1'!$J$7:$J$2506,AK$5)</f>
        <v>780</v>
      </c>
      <c r="AL24" s="83">
        <f>SUMIFS('Dataset 1'!$E$7:$E$2506,'Dataset 1'!$B$7:$B$2506,$A24,'Dataset 1'!$J$7:$J$2506,AL$5)</f>
        <v>370</v>
      </c>
      <c r="AM24" s="83">
        <f>SUMIFS('Dataset 1'!$E$7:$E$2506,'Dataset 1'!$B$7:$B$2506,$A24,'Dataset 1'!$J$7:$J$2506,AM$5)</f>
        <v>590</v>
      </c>
      <c r="AN24" s="83">
        <f>SUMIFS('Dataset 1'!$E$7:$E$2506,'Dataset 1'!$B$7:$B$2506,$A24,'Dataset 1'!$J$7:$J$2506,AN$5)</f>
        <v>0</v>
      </c>
      <c r="AO24" s="83">
        <f>SUMIFS('Dataset 1'!$E$7:$E$2506,'Dataset 1'!$B$7:$B$2506,$A24,'Dataset 1'!$J$7:$J$2506,AO$5)</f>
        <v>0</v>
      </c>
      <c r="AP24" s="83">
        <f>SUMIFS('Dataset 1'!$E$7:$E$2506,'Dataset 1'!$B$7:$B$2506,$A24,'Dataset 1'!$J$7:$J$2506,AP$5)</f>
        <v>0</v>
      </c>
      <c r="AQ24" s="83">
        <f>SUMIFS('Dataset 1'!$E$7:$E$2506,'Dataset 1'!$B$7:$B$2506,$A24,'Dataset 1'!$J$7:$J$2506,AQ$5)</f>
        <v>150</v>
      </c>
      <c r="AR24" s="83">
        <f>SUMIFS('Dataset 1'!$E$7:$E$2506,'Dataset 1'!$B$7:$B$2506,$A24,'Dataset 1'!$J$7:$J$2506,AR$5)</f>
        <v>0</v>
      </c>
      <c r="AS24" s="83">
        <f>SUMIFS('Dataset 1'!$E$7:$E$2506,'Dataset 1'!$B$7:$B$2506,$A24,'Dataset 1'!$J$7:$J$2506,AS$5)</f>
        <v>0</v>
      </c>
      <c r="AT24" s="83">
        <f>SUMIFS('Dataset 1'!$E$7:$E$2506,'Dataset 1'!$B$7:$B$2506,$A24,'Dataset 1'!$J$7:$J$2506,AT$5)</f>
        <v>0</v>
      </c>
      <c r="AU24" s="83">
        <f>SUMIFS('Dataset 1'!$E$7:$E$2506,'Dataset 1'!$B$7:$B$2506,$A24,'Dataset 1'!$J$7:$J$2506,AU$5)</f>
        <v>0</v>
      </c>
      <c r="AV24" s="83">
        <f>SUMIFS('Dataset 1'!$E$7:$E$2506,'Dataset 1'!$B$7:$B$2506,$A24,'Dataset 1'!$J$7:$J$2506,AV$5)</f>
        <v>0</v>
      </c>
      <c r="AW24" s="83">
        <f>SUMIFS('Dataset 1'!$E$7:$E$2506,'Dataset 1'!$B$7:$B$2506,$A24,'Dataset 1'!$J$7:$J$2506,AW$5)</f>
        <v>4430</v>
      </c>
      <c r="AX24" s="83">
        <f>SUMIFS('Dataset 1'!$E$7:$E$2506,'Dataset 1'!$B$7:$B$2506,$A24,'Dataset 1'!$J$7:$J$2506,AX$5)</f>
        <v>0</v>
      </c>
      <c r="AY24" s="83">
        <f>SUMIFS('Dataset 1'!$E$7:$E$2506,'Dataset 1'!$B$7:$B$2506,$A24,'Dataset 1'!$J$7:$J$2506,AY$5)</f>
        <v>6230</v>
      </c>
      <c r="AZ24" s="83">
        <f>SUMIFS('Dataset 1'!$E$7:$E$2506,'Dataset 1'!$B$7:$B$2506,$A24,'Dataset 1'!$J$7:$J$2506,AZ$5)</f>
        <v>0</v>
      </c>
      <c r="BA24" s="83">
        <f>SUMIFS('Dataset 1'!$E$7:$E$2506,'Dataset 1'!$B$7:$B$2506,$A24,'Dataset 1'!$J$7:$J$2506,BA$5)</f>
        <v>100</v>
      </c>
      <c r="BB24" s="83">
        <f>SUMIFS('Dataset 1'!$E$7:$E$2506,'Dataset 1'!$B$7:$B$2506,$A24,'Dataset 1'!$J$7:$J$2506,BB$5)</f>
        <v>0</v>
      </c>
      <c r="BC24" s="83">
        <f>SUMIFS('Dataset 1'!$E$7:$E$2506,'Dataset 1'!$B$7:$B$2506,$A24,'Dataset 1'!$J$7:$J$2506,BC$5)</f>
        <v>0</v>
      </c>
      <c r="BD24" s="83">
        <f>SUMIFS('Dataset 1'!$E$7:$E$2506,'Dataset 1'!$B$7:$B$2506,$A24,'Dataset 1'!$J$7:$J$2506,BD$5)</f>
        <v>140</v>
      </c>
      <c r="BE24" s="83">
        <f>SUMIFS('Dataset 1'!$E$7:$E$2506,'Dataset 1'!$B$7:$B$2506,$A24,'Dataset 1'!$J$7:$J$2506,BE$5)</f>
        <v>310</v>
      </c>
      <c r="BF24" s="83">
        <f>SUMIFS('Dataset 1'!$E$7:$E$2506,'Dataset 1'!$B$7:$B$2506,$A24,'Dataset 1'!$J$7:$J$2506,BF$5)</f>
        <v>0</v>
      </c>
      <c r="BG24" s="83">
        <f>SUMIFS('Dataset 1'!$E$7:$E$2506,'Dataset 1'!$B$7:$B$2506,$A24,'Dataset 1'!$J$7:$J$2506,BG$5)</f>
        <v>120</v>
      </c>
      <c r="BH24" s="83">
        <f>SUMIFS('Dataset 1'!$E$7:$E$2506,'Dataset 1'!$B$7:$B$2506,$A24,'Dataset 1'!$J$7:$J$2506,BH$5)</f>
        <v>0</v>
      </c>
      <c r="BI24" s="83">
        <f>SUMIFS('Dataset 1'!$E$7:$E$2506,'Dataset 1'!$B$7:$B$2506,$A24,'Dataset 1'!$J$7:$J$2506,BI$5)</f>
        <v>120</v>
      </c>
      <c r="BJ24" s="83">
        <f>SUMIFS('Dataset 1'!$E$7:$E$2506,'Dataset 1'!$B$7:$B$2506,$A24,'Dataset 1'!$J$7:$J$2506,BJ$5)</f>
        <v>0</v>
      </c>
      <c r="BK24" s="83">
        <f>SUMIFS('Dataset 1'!$E$7:$E$2506,'Dataset 1'!$B$7:$B$2506,$A24,'Dataset 1'!$J$7:$J$2506,BK$5)</f>
        <v>0</v>
      </c>
      <c r="BL24" s="83">
        <f>SUMIFS('Dataset 1'!$E$7:$E$2506,'Dataset 1'!$B$7:$B$2506,$A24,'Dataset 1'!$J$7:$J$2506,BL$5)</f>
        <v>0</v>
      </c>
      <c r="BM24" s="83">
        <f>SUMIFS('Dataset 1'!$E$7:$E$2506,'Dataset 1'!$B$7:$B$2506,$A24,'Dataset 1'!$J$7:$J$2506,BM$5)</f>
        <v>1420</v>
      </c>
      <c r="BN24" s="83">
        <f>SUMIFS('Dataset 1'!$E$7:$E$2506,'Dataset 1'!$B$7:$B$2506,$A24,'Dataset 1'!$J$7:$J$2506,BN$5)</f>
        <v>0</v>
      </c>
      <c r="BO24" s="83">
        <f>SUMIFS('Dataset 1'!$E$7:$E$2506,'Dataset 1'!$B$7:$B$2506,$A24,'Dataset 1'!$J$7:$J$2506,BO$5)</f>
        <v>0</v>
      </c>
      <c r="BP24" s="83">
        <f>SUMIFS('Dataset 1'!$E$7:$E$2506,'Dataset 1'!$B$7:$B$2506,$A24,'Dataset 1'!$J$7:$J$2506,BP$5)</f>
        <v>0</v>
      </c>
      <c r="BQ24" s="83">
        <f>SUMIFS('Dataset 1'!$E$7:$E$2506,'Dataset 1'!$B$7:$B$2506,$A24,'Dataset 1'!$J$7:$J$2506,BQ$5)</f>
        <v>0</v>
      </c>
      <c r="BR24" s="83">
        <f>SUMIFS('Dataset 1'!$E$7:$E$2506,'Dataset 1'!$B$7:$B$2506,$A24,'Dataset 1'!$J$7:$J$2506,BR$5)</f>
        <v>3150</v>
      </c>
      <c r="BS24" s="83">
        <f>SUMIFS('Dataset 1'!$E$7:$E$2506,'Dataset 1'!$B$7:$B$2506,$A24,'Dataset 1'!$J$7:$J$2506,BS$5)</f>
        <v>0</v>
      </c>
      <c r="BT24" s="83">
        <f>SUMIFS('Dataset 1'!$E$7:$E$2506,'Dataset 1'!$B$7:$B$2506,$A24,'Dataset 1'!$J$7:$J$2506,BT$5)</f>
        <v>260</v>
      </c>
      <c r="BU24" s="83">
        <f>SUMIFS('Dataset 1'!$E$7:$E$2506,'Dataset 1'!$B$7:$B$2506,$A24,'Dataset 1'!$J$7:$J$2506,BU$5)</f>
        <v>0</v>
      </c>
      <c r="BV24" s="83">
        <f>SUMIFS('Dataset 1'!$E$7:$E$2506,'Dataset 1'!$B$7:$B$2506,$A24,'Dataset 1'!$J$7:$J$2506,BV$5)</f>
        <v>0</v>
      </c>
      <c r="BW24" s="83">
        <f>SUMIFS('Dataset 1'!$E$7:$E$2506,'Dataset 1'!$B$7:$B$2506,$A24,'Dataset 1'!$J$7:$J$2506,BW$5)</f>
        <v>650</v>
      </c>
      <c r="BX24" s="83">
        <f>SUMIFS('Dataset 1'!$E$7:$E$2506,'Dataset 1'!$B$7:$B$2506,$A24,'Dataset 1'!$J$7:$J$2506,BX$5)</f>
        <v>0</v>
      </c>
      <c r="BY24" s="83">
        <f>SUMIFS('Dataset 1'!$E$7:$E$2506,'Dataset 1'!$B$7:$B$2506,$A24,'Dataset 1'!$J$7:$J$2506,BY$5)</f>
        <v>0</v>
      </c>
      <c r="BZ24" s="83">
        <f>SUMIFS('Dataset 1'!$E$7:$E$2506,'Dataset 1'!$B$7:$B$2506,$A24,'Dataset 1'!$J$7:$J$2506,BZ$5)</f>
        <v>300</v>
      </c>
      <c r="CA24" s="83">
        <f>SUMIFS('Dataset 1'!$E$7:$E$2506,'Dataset 1'!$B$7:$B$2506,$A24,'Dataset 1'!$J$7:$J$2506,CA$5)</f>
        <v>100</v>
      </c>
      <c r="CB24" s="83">
        <f>SUMIFS('Dataset 1'!$E$7:$E$2506,'Dataset 1'!$B$7:$B$2506,$A24,'Dataset 1'!$J$7:$J$2506,CB$5)</f>
        <v>0</v>
      </c>
      <c r="CC24" s="83">
        <f>SUMIFS('Dataset 1'!$E$7:$E$2506,'Dataset 1'!$B$7:$B$2506,$A24,'Dataset 1'!$J$7:$J$2506,CC$5)</f>
        <v>780</v>
      </c>
      <c r="CD24" s="83">
        <f>SUMIFS('Dataset 1'!$E$7:$E$2506,'Dataset 1'!$B$7:$B$2506,$A24,'Dataset 1'!$J$7:$J$2506,CD$5)</f>
        <v>0</v>
      </c>
      <c r="CE24" s="83">
        <f>SUMIFS('Dataset 1'!$E$7:$E$2506,'Dataset 1'!$B$7:$B$2506,$A24,'Dataset 1'!$J$7:$J$2506,CE$5)</f>
        <v>0</v>
      </c>
      <c r="CF24" s="83">
        <f>SUMIFS('Dataset 1'!$E$7:$E$2506,'Dataset 1'!$B$7:$B$2506,$A24,'Dataset 1'!$J$7:$J$2506,CF$5)</f>
        <v>0</v>
      </c>
      <c r="CG24" s="83">
        <f>SUMIFS('Dataset 1'!$E$7:$E$2506,'Dataset 1'!$B$7:$B$2506,$A24,'Dataset 1'!$J$7:$J$2506,CG$5)</f>
        <v>0</v>
      </c>
      <c r="CH24" s="83">
        <f>SUMIFS('Dataset 1'!$E$7:$E$2506,'Dataset 1'!$B$7:$B$2506,$A24,'Dataset 1'!$J$7:$J$2506,CH$5)</f>
        <v>0</v>
      </c>
      <c r="CI24" s="83">
        <f>SUMIFS('Dataset 1'!$E$7:$E$2506,'Dataset 1'!$B$7:$B$2506,$A24,'Dataset 1'!$J$7:$J$2506,CI$5)</f>
        <v>0</v>
      </c>
      <c r="CJ24" s="83">
        <f>SUMIFS('Dataset 1'!$E$7:$E$2506,'Dataset 1'!$B$7:$B$2506,$A24,'Dataset 1'!$J$7:$J$2506,CJ$5)</f>
        <v>0</v>
      </c>
      <c r="CK24" s="83">
        <f>SUMIFS('Dataset 1'!$E$7:$E$2506,'Dataset 1'!$B$7:$B$2506,$A24,'Dataset 1'!$J$7:$J$2506,CK$5)</f>
        <v>810</v>
      </c>
      <c r="CL24" s="83">
        <f>SUMIFS('Dataset 1'!$E$7:$E$2506,'Dataset 1'!$B$7:$B$2506,$A24,'Dataset 1'!$J$7:$J$2506,CL$5)</f>
        <v>190</v>
      </c>
      <c r="CM24" s="83">
        <f>SUMIFS('Dataset 1'!$E$7:$E$2506,'Dataset 1'!$B$7:$B$2506,$A24,'Dataset 1'!$J$7:$J$2506,CM$5)</f>
        <v>0</v>
      </c>
      <c r="CN24" s="83">
        <f>SUMIFS('Dataset 1'!$E$7:$E$2506,'Dataset 1'!$B$7:$B$2506,$A24,'Dataset 1'!$J$7:$J$2506,CN$5)</f>
        <v>0</v>
      </c>
      <c r="CO24" s="83">
        <f>SUMIFS('Dataset 1'!$E$7:$E$2506,'Dataset 1'!$B$7:$B$2506,$A24,'Dataset 1'!$J$7:$J$2506,CO$5)</f>
        <v>0</v>
      </c>
      <c r="CP24" s="83">
        <f>SUMIFS('Dataset 1'!$E$7:$E$2506,'Dataset 1'!$B$7:$B$2506,$A24,'Dataset 1'!$J$7:$J$2506,CP$5)</f>
        <v>4780</v>
      </c>
      <c r="CQ24" s="83">
        <f>SUMIFS('Dataset 1'!$E$7:$E$2506,'Dataset 1'!$B$7:$B$2506,$A24,'Dataset 1'!$J$7:$J$2506,CQ$5)</f>
        <v>0</v>
      </c>
      <c r="CR24" s="83">
        <f>SUMIFS('Dataset 1'!$E$7:$E$2506,'Dataset 1'!$B$7:$B$2506,$A24,'Dataset 1'!$J$7:$J$2506,CR$5)</f>
        <v>1520</v>
      </c>
      <c r="CS24" s="83">
        <f>SUMIFS('Dataset 1'!$E$7:$E$2506,'Dataset 1'!$B$7:$B$2506,$A24,'Dataset 1'!$J$7:$J$2506,CS$5)</f>
        <v>0</v>
      </c>
      <c r="CT24" s="83">
        <f>SUMIFS('Dataset 1'!$E$7:$E$2506,'Dataset 1'!$B$7:$B$2506,$A24,'Dataset 1'!$J$7:$J$2506,CT$5)</f>
        <v>950</v>
      </c>
      <c r="CU24" s="83">
        <f>SUMIFS('Dataset 1'!$E$7:$E$2506,'Dataset 1'!$B$7:$B$2506,$A24,'Dataset 1'!$J$7:$J$2506,CU$5)</f>
        <v>0</v>
      </c>
      <c r="CV24" s="83">
        <f>SUMIFS('Dataset 1'!$E$7:$E$2506,'Dataset 1'!$B$7:$B$2506,$A24,'Dataset 1'!$J$7:$J$2506,CV$5)</f>
        <v>0</v>
      </c>
      <c r="CW24" s="83">
        <f>SUMIFS('Dataset 1'!$E$7:$E$2506,'Dataset 1'!$B$7:$B$2506,$A24,'Dataset 1'!$J$7:$J$2506,CW$5)</f>
        <v>0</v>
      </c>
      <c r="CX24" s="83">
        <f>SUMIFS('Dataset 1'!$E$7:$E$2506,'Dataset 1'!$B$7:$B$2506,$A24,'Dataset 1'!$J$7:$J$2506,CX$5)</f>
        <v>0</v>
      </c>
      <c r="CY24" s="83">
        <f>SUMIFS('Dataset 1'!$E$7:$E$2506,'Dataset 1'!$B$7:$B$2506,$A24,'Dataset 1'!$J$7:$J$2506,CY$5)</f>
        <v>1150</v>
      </c>
      <c r="CZ24" s="83">
        <f>SUMIFS('Dataset 1'!$E$7:$E$2506,'Dataset 1'!$B$7:$B$2506,$A24,'Dataset 1'!$J$7:$J$2506,CZ$5)</f>
        <v>1100</v>
      </c>
      <c r="DA24" s="83">
        <f>SUMIFS('Dataset 1'!$E$7:$E$2506,'Dataset 1'!$B$7:$B$2506,$A24,'Dataset 1'!$J$7:$J$2506,DA$5)</f>
        <v>520</v>
      </c>
      <c r="DB24" s="83">
        <f>SUMIFS('Dataset 1'!$E$7:$E$2506,'Dataset 1'!$B$7:$B$2506,$A24,'Dataset 1'!$J$7:$J$2506,DB$5)</f>
        <v>2550</v>
      </c>
      <c r="DC24" s="83">
        <f>SUMIFS('Dataset 1'!$E$7:$E$2506,'Dataset 1'!$B$7:$B$2506,$A24,'Dataset 1'!$J$7:$J$2506,DC$5)</f>
        <v>0</v>
      </c>
      <c r="DD24" s="83">
        <f>SUMIFS('Dataset 1'!$E$7:$E$2506,'Dataset 1'!$B$7:$B$2506,$A24,'Dataset 1'!$J$7:$J$2506,DD$5)</f>
        <v>0</v>
      </c>
      <c r="DE24" s="83">
        <f>SUMIFS('Dataset 1'!$E$7:$E$2506,'Dataset 1'!$B$7:$B$2506,$A24,'Dataset 1'!$J$7:$J$2506,DE$5)</f>
        <v>0</v>
      </c>
      <c r="DF24" s="83">
        <f>SUMIFS('Dataset 1'!$E$7:$E$2506,'Dataset 1'!$B$7:$B$2506,$A24,'Dataset 1'!$J$7:$J$2506,DF$5)</f>
        <v>0</v>
      </c>
      <c r="DG24" s="83">
        <f>SUMIFS('Dataset 1'!$E$7:$E$2506,'Dataset 1'!$B$7:$B$2506,$A24,'Dataset 1'!$J$7:$J$2506,DG$5)</f>
        <v>3130</v>
      </c>
      <c r="DH24" s="83">
        <f>SUMIFS('Dataset 1'!$E$7:$E$2506,'Dataset 1'!$B$7:$B$2506,$A24,'Dataset 1'!$J$7:$J$2506,DH$5)</f>
        <v>1360</v>
      </c>
      <c r="DI24" s="83">
        <f>SUMIFS('Dataset 1'!$E$7:$E$2506,'Dataset 1'!$B$7:$B$2506,$A24,'Dataset 1'!$J$7:$J$2506,DI$5)</f>
        <v>370</v>
      </c>
      <c r="DJ24" s="83">
        <f>SUMIFS('Dataset 1'!$E$7:$E$2506,'Dataset 1'!$B$7:$B$2506,$A24,'Dataset 1'!$J$7:$J$2506,DJ$5)</f>
        <v>0</v>
      </c>
      <c r="DK24" s="83">
        <f>SUMIFS('Dataset 1'!$E$7:$E$2506,'Dataset 1'!$B$7:$B$2506,$A24,'Dataset 1'!$J$7:$J$2506,DK$5)</f>
        <v>0</v>
      </c>
      <c r="DL24" s="83">
        <f>SUMIFS('Dataset 1'!$E$7:$E$2506,'Dataset 1'!$B$7:$B$2506,$A24,'Dataset 1'!$J$7:$J$2506,DL$5)</f>
        <v>0</v>
      </c>
      <c r="DM24" s="83">
        <f>SUMIFS('Dataset 1'!$E$7:$E$2506,'Dataset 1'!$B$7:$B$2506,$A24,'Dataset 1'!$J$7:$J$2506,DM$5)</f>
        <v>100</v>
      </c>
      <c r="DN24" s="83">
        <f>SUMIFS('Dataset 1'!$E$7:$E$2506,'Dataset 1'!$B$7:$B$2506,$A24,'Dataset 1'!$J$7:$J$2506,DN$5)</f>
        <v>0</v>
      </c>
      <c r="DO24" s="83">
        <f>SUMIFS('Dataset 1'!$E$7:$E$2506,'Dataset 1'!$B$7:$B$2506,$A24,'Dataset 1'!$J$7:$J$2506,DO$5)</f>
        <v>0</v>
      </c>
      <c r="DP24" s="83">
        <f>SUMIFS('Dataset 1'!$E$7:$E$2506,'Dataset 1'!$B$7:$B$2506,$A24,'Dataset 1'!$J$7:$J$2506,DP$5)</f>
        <v>0</v>
      </c>
      <c r="DQ24" s="83">
        <f>SUMIFS('Dataset 1'!$E$7:$E$2506,'Dataset 1'!$B$7:$B$2506,$A24,'Dataset 1'!$J$7:$J$2506,DQ$5)</f>
        <v>110</v>
      </c>
      <c r="DR24" s="83">
        <f>SUMIFS('Dataset 1'!$E$7:$E$2506,'Dataset 1'!$B$7:$B$2506,$A24,'Dataset 1'!$J$7:$J$2506,DR$5)</f>
        <v>1320</v>
      </c>
      <c r="DS24" s="83">
        <f>SUMIFS('Dataset 1'!$E$7:$E$2506,'Dataset 1'!$B$7:$B$2506,$A24,'Dataset 1'!$J$7:$J$2506,DS$5)</f>
        <v>0</v>
      </c>
      <c r="DT24" s="83">
        <f>SUMIFS('Dataset 1'!$E$7:$E$2506,'Dataset 1'!$B$7:$B$2506,$A24,'Dataset 1'!$J$7:$J$2506,DT$5)</f>
        <v>0</v>
      </c>
      <c r="DU24" s="83">
        <f>SUMIFS('Dataset 1'!$E$7:$E$2506,'Dataset 1'!$B$7:$B$2506,$A24,'Dataset 1'!$J$7:$J$2506,DU$5)</f>
        <v>0</v>
      </c>
      <c r="DV24" s="83">
        <f>SUMIFS('Dataset 1'!$E$7:$E$2506,'Dataset 1'!$B$7:$B$2506,$A24,'Dataset 1'!$J$7:$J$2506,DV$5)</f>
        <v>0</v>
      </c>
      <c r="DW24" s="83">
        <f>SUMIFS('Dataset 1'!$E$7:$E$2506,'Dataset 1'!$B$7:$B$2506,$A24,'Dataset 1'!$J$7:$J$2506,DW$5)</f>
        <v>0</v>
      </c>
      <c r="DX24" s="83">
        <f>SUMIFS('Dataset 1'!$E$7:$E$2506,'Dataset 1'!$B$7:$B$2506,$A24,'Dataset 1'!$J$7:$J$2506,DX$5)</f>
        <v>0</v>
      </c>
      <c r="DY24" s="83">
        <f>SUMIFS('Dataset 1'!$E$7:$E$2506,'Dataset 1'!$B$7:$B$2506,$A24,'Dataset 1'!$J$7:$J$2506,DY$5)</f>
        <v>2680</v>
      </c>
      <c r="DZ24" s="83">
        <f>SUMIFS('Dataset 1'!$E$7:$E$2506,'Dataset 1'!$B$7:$B$2506,$A24,'Dataset 1'!$J$7:$J$2506,DZ$5)</f>
        <v>300</v>
      </c>
      <c r="EA24" s="83">
        <f>SUMIFS('Dataset 1'!$E$7:$E$2506,'Dataset 1'!$B$7:$B$2506,$A24,'Dataset 1'!$J$7:$J$2506,EA$5)</f>
        <v>0</v>
      </c>
      <c r="EB24" s="83">
        <f>SUMIFS('Dataset 1'!$E$7:$E$2506,'Dataset 1'!$B$7:$B$2506,$A24,'Dataset 1'!$J$7:$J$2506,EB$5)</f>
        <v>670</v>
      </c>
      <c r="EC24" s="83">
        <f>SUMIFS('Dataset 1'!$E$7:$E$2506,'Dataset 1'!$B$7:$B$2506,$A24,'Dataset 1'!$J$7:$J$2506,EC$5)</f>
        <v>0</v>
      </c>
      <c r="ED24" s="83">
        <f>SUMIFS('Dataset 1'!$E$7:$E$2506,'Dataset 1'!$B$7:$B$2506,$A24,'Dataset 1'!$J$7:$J$2506,ED$5)</f>
        <v>2770</v>
      </c>
      <c r="EE24" s="83">
        <f>SUMIFS('Dataset 1'!$E$7:$E$2506,'Dataset 1'!$B$7:$B$2506,$A24,'Dataset 1'!$J$7:$J$2506,EE$5)</f>
        <v>0</v>
      </c>
      <c r="EF24" s="83">
        <f>SUMIFS('Dataset 1'!$E$7:$E$2506,'Dataset 1'!$B$7:$B$2506,$A24,'Dataset 1'!$J$7:$J$2506,EF$5)</f>
        <v>750</v>
      </c>
      <c r="EG24" s="83">
        <f>SUMIFS('Dataset 1'!$E$7:$E$2506,'Dataset 1'!$B$7:$B$2506,$A24,'Dataset 1'!$J$7:$J$2506,EG$5)</f>
        <v>180</v>
      </c>
    </row>
    <row r="25" spans="1:137" x14ac:dyDescent="0.2">
      <c r="A25">
        <v>2024</v>
      </c>
      <c r="B25" s="83">
        <f>SUMIFS('Dataset 1'!$E$7:$E$2506,'Dataset 1'!$B$7:$B$2506,$A25,'Dataset 1'!$J$7:$J$2506,B$5)</f>
        <v>0</v>
      </c>
      <c r="C25" s="83">
        <f>SUMIFS('Dataset 1'!$E$7:$E$2506,'Dataset 1'!$B$7:$B$2506,$A25,'Dataset 1'!$J$7:$J$2506,C$5)</f>
        <v>0</v>
      </c>
      <c r="D25" s="83">
        <f>SUMIFS('Dataset 1'!$E$7:$E$2506,'Dataset 1'!$B$7:$B$2506,$A25,'Dataset 1'!$J$7:$J$2506,D$5)</f>
        <v>250</v>
      </c>
      <c r="E25" s="83">
        <f>SUMIFS('Dataset 1'!$E$7:$E$2506,'Dataset 1'!$B$7:$B$2506,$A25,'Dataset 1'!$J$7:$J$2506,E$5)</f>
        <v>0</v>
      </c>
      <c r="F25" s="83">
        <f>SUMIFS('Dataset 1'!$E$7:$E$2506,'Dataset 1'!$B$7:$B$2506,$A25,'Dataset 1'!$J$7:$J$2506,F$5)</f>
        <v>220</v>
      </c>
      <c r="G25" s="83">
        <f>SUMIFS('Dataset 1'!$E$7:$E$2506,'Dataset 1'!$B$7:$B$2506,$A25,'Dataset 1'!$J$7:$J$2506,G$5)</f>
        <v>110</v>
      </c>
      <c r="H25" s="83">
        <f>SUMIFS('Dataset 1'!$E$7:$E$2506,'Dataset 1'!$B$7:$B$2506,$A25,'Dataset 1'!$J$7:$J$2506,H$5)</f>
        <v>0</v>
      </c>
      <c r="I25" s="83">
        <f>SUMIFS('Dataset 1'!$E$7:$E$2506,'Dataset 1'!$B$7:$B$2506,$A25,'Dataset 1'!$J$7:$J$2506,I$5)</f>
        <v>0</v>
      </c>
      <c r="J25" s="83">
        <f>SUMIFS('Dataset 1'!$E$7:$E$2506,'Dataset 1'!$B$7:$B$2506,$A25,'Dataset 1'!$J$7:$J$2506,J$5)</f>
        <v>0</v>
      </c>
      <c r="K25" s="83">
        <f>SUMIFS('Dataset 1'!$E$7:$E$2506,'Dataset 1'!$B$7:$B$2506,$A25,'Dataset 1'!$J$7:$J$2506,K$5)</f>
        <v>0</v>
      </c>
      <c r="L25" s="83">
        <f>SUMIFS('Dataset 1'!$E$7:$E$2506,'Dataset 1'!$B$7:$B$2506,$A25,'Dataset 1'!$J$7:$J$2506,L$5)</f>
        <v>0</v>
      </c>
      <c r="M25" s="83">
        <f>SUMIFS('Dataset 1'!$E$7:$E$2506,'Dataset 1'!$B$7:$B$2506,$A25,'Dataset 1'!$J$7:$J$2506,M$5)</f>
        <v>0</v>
      </c>
      <c r="N25" s="83">
        <f>SUMIFS('Dataset 1'!$E$7:$E$2506,'Dataset 1'!$B$7:$B$2506,$A25,'Dataset 1'!$J$7:$J$2506,N$5)</f>
        <v>0</v>
      </c>
      <c r="O25" s="83">
        <f>SUMIFS('Dataset 1'!$E$7:$E$2506,'Dataset 1'!$B$7:$B$2506,$A25,'Dataset 1'!$J$7:$J$2506,O$5)</f>
        <v>350</v>
      </c>
      <c r="P25" s="83">
        <f>SUMIFS('Dataset 1'!$E$7:$E$2506,'Dataset 1'!$B$7:$B$2506,$A25,'Dataset 1'!$J$7:$J$2506,P$5)</f>
        <v>0</v>
      </c>
      <c r="Q25" s="83">
        <f>SUMIFS('Dataset 1'!$E$7:$E$2506,'Dataset 1'!$B$7:$B$2506,$A25,'Dataset 1'!$J$7:$J$2506,Q$5)</f>
        <v>1610</v>
      </c>
      <c r="R25" s="83">
        <f>SUMIFS('Dataset 1'!$E$7:$E$2506,'Dataset 1'!$B$7:$B$2506,$A25,'Dataset 1'!$J$7:$J$2506,R$5)</f>
        <v>5240</v>
      </c>
      <c r="S25" s="83">
        <f>SUMIFS('Dataset 1'!$E$7:$E$2506,'Dataset 1'!$B$7:$B$2506,$A25,'Dataset 1'!$J$7:$J$2506,S$5)</f>
        <v>150</v>
      </c>
      <c r="T25" s="83">
        <f>SUMIFS('Dataset 1'!$E$7:$E$2506,'Dataset 1'!$B$7:$B$2506,$A25,'Dataset 1'!$J$7:$J$2506,T$5)</f>
        <v>320</v>
      </c>
      <c r="U25" s="83">
        <f>SUMIFS('Dataset 1'!$E$7:$E$2506,'Dataset 1'!$B$7:$B$2506,$A25,'Dataset 1'!$J$7:$J$2506,U$5)</f>
        <v>490</v>
      </c>
      <c r="V25" s="83">
        <f>SUMIFS('Dataset 1'!$E$7:$E$2506,'Dataset 1'!$B$7:$B$2506,$A25,'Dataset 1'!$J$7:$J$2506,V$5)</f>
        <v>0</v>
      </c>
      <c r="W25" s="83">
        <f>SUMIFS('Dataset 1'!$E$7:$E$2506,'Dataset 1'!$B$7:$B$2506,$A25,'Dataset 1'!$J$7:$J$2506,W$5)</f>
        <v>210</v>
      </c>
      <c r="X25" s="83">
        <f>SUMIFS('Dataset 1'!$E$7:$E$2506,'Dataset 1'!$B$7:$B$2506,$A25,'Dataset 1'!$J$7:$J$2506,X$5)</f>
        <v>0</v>
      </c>
      <c r="Y25" s="83">
        <f>SUMIFS('Dataset 1'!$E$7:$E$2506,'Dataset 1'!$B$7:$B$2506,$A25,'Dataset 1'!$J$7:$J$2506,Y$5)</f>
        <v>0</v>
      </c>
      <c r="Z25" s="83">
        <f>SUMIFS('Dataset 1'!$E$7:$E$2506,'Dataset 1'!$B$7:$B$2506,$A25,'Dataset 1'!$J$7:$J$2506,Z$5)</f>
        <v>100</v>
      </c>
      <c r="AA25" s="83">
        <f>SUMIFS('Dataset 1'!$E$7:$E$2506,'Dataset 1'!$B$7:$B$2506,$A25,'Dataset 1'!$J$7:$J$2506,AA$5)</f>
        <v>0</v>
      </c>
      <c r="AB25" s="83">
        <f>SUMIFS('Dataset 1'!$E$7:$E$2506,'Dataset 1'!$B$7:$B$2506,$A25,'Dataset 1'!$J$7:$J$2506,AB$5)</f>
        <v>0</v>
      </c>
      <c r="AC25" s="83">
        <f>SUMIFS('Dataset 1'!$E$7:$E$2506,'Dataset 1'!$B$7:$B$2506,$A25,'Dataset 1'!$J$7:$J$2506,AC$5)</f>
        <v>0</v>
      </c>
      <c r="AD25" s="83">
        <f>SUMIFS('Dataset 1'!$E$7:$E$2506,'Dataset 1'!$B$7:$B$2506,$A25,'Dataset 1'!$J$7:$J$2506,AD$5)</f>
        <v>1200</v>
      </c>
      <c r="AE25" s="83">
        <f>SUMIFS('Dataset 1'!$E$7:$E$2506,'Dataset 1'!$B$7:$B$2506,$A25,'Dataset 1'!$J$7:$J$2506,AE$5)</f>
        <v>0</v>
      </c>
      <c r="AF25" s="83">
        <f>SUMIFS('Dataset 1'!$E$7:$E$2506,'Dataset 1'!$B$7:$B$2506,$A25,'Dataset 1'!$J$7:$J$2506,AF$5)</f>
        <v>390</v>
      </c>
      <c r="AG25" s="83">
        <f>SUMIFS('Dataset 1'!$E$7:$E$2506,'Dataset 1'!$B$7:$B$2506,$A25,'Dataset 1'!$J$7:$J$2506,AG$5)</f>
        <v>110</v>
      </c>
      <c r="AH25" s="83">
        <f>SUMIFS('Dataset 1'!$E$7:$E$2506,'Dataset 1'!$B$7:$B$2506,$A25,'Dataset 1'!$J$7:$J$2506,AH$5)</f>
        <v>0</v>
      </c>
      <c r="AI25" s="83">
        <f>SUMIFS('Dataset 1'!$E$7:$E$2506,'Dataset 1'!$B$7:$B$2506,$A25,'Dataset 1'!$J$7:$J$2506,AI$5)</f>
        <v>0</v>
      </c>
      <c r="AJ25" s="83">
        <f>SUMIFS('Dataset 1'!$E$7:$E$2506,'Dataset 1'!$B$7:$B$2506,$A25,'Dataset 1'!$J$7:$J$2506,AJ$5)</f>
        <v>530</v>
      </c>
      <c r="AK25" s="83">
        <f>SUMIFS('Dataset 1'!$E$7:$E$2506,'Dataset 1'!$B$7:$B$2506,$A25,'Dataset 1'!$J$7:$J$2506,AK$5)</f>
        <v>0</v>
      </c>
      <c r="AL25" s="83">
        <f>SUMIFS('Dataset 1'!$E$7:$E$2506,'Dataset 1'!$B$7:$B$2506,$A25,'Dataset 1'!$J$7:$J$2506,AL$5)</f>
        <v>0</v>
      </c>
      <c r="AM25" s="83">
        <f>SUMIFS('Dataset 1'!$E$7:$E$2506,'Dataset 1'!$B$7:$B$2506,$A25,'Dataset 1'!$J$7:$J$2506,AM$5)</f>
        <v>220</v>
      </c>
      <c r="AN25" s="83">
        <f>SUMIFS('Dataset 1'!$E$7:$E$2506,'Dataset 1'!$B$7:$B$2506,$A25,'Dataset 1'!$J$7:$J$2506,AN$5)</f>
        <v>0</v>
      </c>
      <c r="AO25" s="83">
        <f>SUMIFS('Dataset 1'!$E$7:$E$2506,'Dataset 1'!$B$7:$B$2506,$A25,'Dataset 1'!$J$7:$J$2506,AO$5)</f>
        <v>0</v>
      </c>
      <c r="AP25" s="83">
        <f>SUMIFS('Dataset 1'!$E$7:$E$2506,'Dataset 1'!$B$7:$B$2506,$A25,'Dataset 1'!$J$7:$J$2506,AP$5)</f>
        <v>0</v>
      </c>
      <c r="AQ25" s="83">
        <f>SUMIFS('Dataset 1'!$E$7:$E$2506,'Dataset 1'!$B$7:$B$2506,$A25,'Dataset 1'!$J$7:$J$2506,AQ$5)</f>
        <v>1810</v>
      </c>
      <c r="AR25" s="83">
        <f>SUMIFS('Dataset 1'!$E$7:$E$2506,'Dataset 1'!$B$7:$B$2506,$A25,'Dataset 1'!$J$7:$J$2506,AR$5)</f>
        <v>900</v>
      </c>
      <c r="AS25" s="83">
        <f>SUMIFS('Dataset 1'!$E$7:$E$2506,'Dataset 1'!$B$7:$B$2506,$A25,'Dataset 1'!$J$7:$J$2506,AS$5)</f>
        <v>200</v>
      </c>
      <c r="AT25" s="83">
        <f>SUMIFS('Dataset 1'!$E$7:$E$2506,'Dataset 1'!$B$7:$B$2506,$A25,'Dataset 1'!$J$7:$J$2506,AT$5)</f>
        <v>3140</v>
      </c>
      <c r="AU25" s="83">
        <f>SUMIFS('Dataset 1'!$E$7:$E$2506,'Dataset 1'!$B$7:$B$2506,$A25,'Dataset 1'!$J$7:$J$2506,AU$5)</f>
        <v>0</v>
      </c>
      <c r="AV25" s="83">
        <f>SUMIFS('Dataset 1'!$E$7:$E$2506,'Dataset 1'!$B$7:$B$2506,$A25,'Dataset 1'!$J$7:$J$2506,AV$5)</f>
        <v>3180</v>
      </c>
      <c r="AW25" s="83">
        <f>SUMIFS('Dataset 1'!$E$7:$E$2506,'Dataset 1'!$B$7:$B$2506,$A25,'Dataset 1'!$J$7:$J$2506,AW$5)</f>
        <v>4590</v>
      </c>
      <c r="AX25" s="83">
        <f>SUMIFS('Dataset 1'!$E$7:$E$2506,'Dataset 1'!$B$7:$B$2506,$A25,'Dataset 1'!$J$7:$J$2506,AX$5)</f>
        <v>0</v>
      </c>
      <c r="AY25" s="83">
        <f>SUMIFS('Dataset 1'!$E$7:$E$2506,'Dataset 1'!$B$7:$B$2506,$A25,'Dataset 1'!$J$7:$J$2506,AY$5)</f>
        <v>3180</v>
      </c>
      <c r="AZ25" s="83">
        <f>SUMIFS('Dataset 1'!$E$7:$E$2506,'Dataset 1'!$B$7:$B$2506,$A25,'Dataset 1'!$J$7:$J$2506,AZ$5)</f>
        <v>0</v>
      </c>
      <c r="BA25" s="83">
        <f>SUMIFS('Dataset 1'!$E$7:$E$2506,'Dataset 1'!$B$7:$B$2506,$A25,'Dataset 1'!$J$7:$J$2506,BA$5)</f>
        <v>0</v>
      </c>
      <c r="BB25" s="83">
        <f>SUMIFS('Dataset 1'!$E$7:$E$2506,'Dataset 1'!$B$7:$B$2506,$A25,'Dataset 1'!$J$7:$J$2506,BB$5)</f>
        <v>0</v>
      </c>
      <c r="BC25" s="83">
        <f>SUMIFS('Dataset 1'!$E$7:$E$2506,'Dataset 1'!$B$7:$B$2506,$A25,'Dataset 1'!$J$7:$J$2506,BC$5)</f>
        <v>700</v>
      </c>
      <c r="BD25" s="83">
        <f>SUMIFS('Dataset 1'!$E$7:$E$2506,'Dataset 1'!$B$7:$B$2506,$A25,'Dataset 1'!$J$7:$J$2506,BD$5)</f>
        <v>0</v>
      </c>
      <c r="BE25" s="83">
        <f>SUMIFS('Dataset 1'!$E$7:$E$2506,'Dataset 1'!$B$7:$B$2506,$A25,'Dataset 1'!$J$7:$J$2506,BE$5)</f>
        <v>480</v>
      </c>
      <c r="BF25" s="83">
        <f>SUMIFS('Dataset 1'!$E$7:$E$2506,'Dataset 1'!$B$7:$B$2506,$A25,'Dataset 1'!$J$7:$J$2506,BF$5)</f>
        <v>0</v>
      </c>
      <c r="BG25" s="83">
        <f>SUMIFS('Dataset 1'!$E$7:$E$2506,'Dataset 1'!$B$7:$B$2506,$A25,'Dataset 1'!$J$7:$J$2506,BG$5)</f>
        <v>1060</v>
      </c>
      <c r="BH25" s="83">
        <f>SUMIFS('Dataset 1'!$E$7:$E$2506,'Dataset 1'!$B$7:$B$2506,$A25,'Dataset 1'!$J$7:$J$2506,BH$5)</f>
        <v>0</v>
      </c>
      <c r="BI25" s="83">
        <f>SUMIFS('Dataset 1'!$E$7:$E$2506,'Dataset 1'!$B$7:$B$2506,$A25,'Dataset 1'!$J$7:$J$2506,BI$5)</f>
        <v>2410</v>
      </c>
      <c r="BJ25" s="83">
        <f>SUMIFS('Dataset 1'!$E$7:$E$2506,'Dataset 1'!$B$7:$B$2506,$A25,'Dataset 1'!$J$7:$J$2506,BJ$5)</f>
        <v>0</v>
      </c>
      <c r="BK25" s="83">
        <f>SUMIFS('Dataset 1'!$E$7:$E$2506,'Dataset 1'!$B$7:$B$2506,$A25,'Dataset 1'!$J$7:$J$2506,BK$5)</f>
        <v>0</v>
      </c>
      <c r="BL25" s="83">
        <f>SUMIFS('Dataset 1'!$E$7:$E$2506,'Dataset 1'!$B$7:$B$2506,$A25,'Dataset 1'!$J$7:$J$2506,BL$5)</f>
        <v>660</v>
      </c>
      <c r="BM25" s="83">
        <f>SUMIFS('Dataset 1'!$E$7:$E$2506,'Dataset 1'!$B$7:$B$2506,$A25,'Dataset 1'!$J$7:$J$2506,BM$5)</f>
        <v>620</v>
      </c>
      <c r="BN25" s="83">
        <f>SUMIFS('Dataset 1'!$E$7:$E$2506,'Dataset 1'!$B$7:$B$2506,$A25,'Dataset 1'!$J$7:$J$2506,BN$5)</f>
        <v>0</v>
      </c>
      <c r="BO25" s="83">
        <f>SUMIFS('Dataset 1'!$E$7:$E$2506,'Dataset 1'!$B$7:$B$2506,$A25,'Dataset 1'!$J$7:$J$2506,BO$5)</f>
        <v>0</v>
      </c>
      <c r="BP25" s="83">
        <f>SUMIFS('Dataset 1'!$E$7:$E$2506,'Dataset 1'!$B$7:$B$2506,$A25,'Dataset 1'!$J$7:$J$2506,BP$5)</f>
        <v>0</v>
      </c>
      <c r="BQ25" s="83">
        <f>SUMIFS('Dataset 1'!$E$7:$E$2506,'Dataset 1'!$B$7:$B$2506,$A25,'Dataset 1'!$J$7:$J$2506,BQ$5)</f>
        <v>0</v>
      </c>
      <c r="BR25" s="83">
        <f>SUMIFS('Dataset 1'!$E$7:$E$2506,'Dataset 1'!$B$7:$B$2506,$A25,'Dataset 1'!$J$7:$J$2506,BR$5)</f>
        <v>2590</v>
      </c>
      <c r="BS25" s="83">
        <f>SUMIFS('Dataset 1'!$E$7:$E$2506,'Dataset 1'!$B$7:$B$2506,$A25,'Dataset 1'!$J$7:$J$2506,BS$5)</f>
        <v>0</v>
      </c>
      <c r="BT25" s="83">
        <f>SUMIFS('Dataset 1'!$E$7:$E$2506,'Dataset 1'!$B$7:$B$2506,$A25,'Dataset 1'!$J$7:$J$2506,BT$5)</f>
        <v>340</v>
      </c>
      <c r="BU25" s="83">
        <f>SUMIFS('Dataset 1'!$E$7:$E$2506,'Dataset 1'!$B$7:$B$2506,$A25,'Dataset 1'!$J$7:$J$2506,BU$5)</f>
        <v>0</v>
      </c>
      <c r="BV25" s="83">
        <f>SUMIFS('Dataset 1'!$E$7:$E$2506,'Dataset 1'!$B$7:$B$2506,$A25,'Dataset 1'!$J$7:$J$2506,BV$5)</f>
        <v>0</v>
      </c>
      <c r="BW25" s="83">
        <f>SUMIFS('Dataset 1'!$E$7:$E$2506,'Dataset 1'!$B$7:$B$2506,$A25,'Dataset 1'!$J$7:$J$2506,BW$5)</f>
        <v>760</v>
      </c>
      <c r="BX25" s="83">
        <f>SUMIFS('Dataset 1'!$E$7:$E$2506,'Dataset 1'!$B$7:$B$2506,$A25,'Dataset 1'!$J$7:$J$2506,BX$5)</f>
        <v>0</v>
      </c>
      <c r="BY25" s="83">
        <f>SUMIFS('Dataset 1'!$E$7:$E$2506,'Dataset 1'!$B$7:$B$2506,$A25,'Dataset 1'!$J$7:$J$2506,BY$5)</f>
        <v>0</v>
      </c>
      <c r="BZ25" s="83">
        <f>SUMIFS('Dataset 1'!$E$7:$E$2506,'Dataset 1'!$B$7:$B$2506,$A25,'Dataset 1'!$J$7:$J$2506,BZ$5)</f>
        <v>2110</v>
      </c>
      <c r="CA25" s="83">
        <f>SUMIFS('Dataset 1'!$E$7:$E$2506,'Dataset 1'!$B$7:$B$2506,$A25,'Dataset 1'!$J$7:$J$2506,CA$5)</f>
        <v>0</v>
      </c>
      <c r="CB25" s="83">
        <f>SUMIFS('Dataset 1'!$E$7:$E$2506,'Dataset 1'!$B$7:$B$2506,$A25,'Dataset 1'!$J$7:$J$2506,CB$5)</f>
        <v>0</v>
      </c>
      <c r="CC25" s="83">
        <f>SUMIFS('Dataset 1'!$E$7:$E$2506,'Dataset 1'!$B$7:$B$2506,$A25,'Dataset 1'!$J$7:$J$2506,CC$5)</f>
        <v>280</v>
      </c>
      <c r="CD25" s="83">
        <f>SUMIFS('Dataset 1'!$E$7:$E$2506,'Dataset 1'!$B$7:$B$2506,$A25,'Dataset 1'!$J$7:$J$2506,CD$5)</f>
        <v>0</v>
      </c>
      <c r="CE25" s="83">
        <f>SUMIFS('Dataset 1'!$E$7:$E$2506,'Dataset 1'!$B$7:$B$2506,$A25,'Dataset 1'!$J$7:$J$2506,CE$5)</f>
        <v>200</v>
      </c>
      <c r="CF25" s="83">
        <f>SUMIFS('Dataset 1'!$E$7:$E$2506,'Dataset 1'!$B$7:$B$2506,$A25,'Dataset 1'!$J$7:$J$2506,CF$5)</f>
        <v>110</v>
      </c>
      <c r="CG25" s="83">
        <f>SUMIFS('Dataset 1'!$E$7:$E$2506,'Dataset 1'!$B$7:$B$2506,$A25,'Dataset 1'!$J$7:$J$2506,CG$5)</f>
        <v>0</v>
      </c>
      <c r="CH25" s="83">
        <f>SUMIFS('Dataset 1'!$E$7:$E$2506,'Dataset 1'!$B$7:$B$2506,$A25,'Dataset 1'!$J$7:$J$2506,CH$5)</f>
        <v>0</v>
      </c>
      <c r="CI25" s="83">
        <f>SUMIFS('Dataset 1'!$E$7:$E$2506,'Dataset 1'!$B$7:$B$2506,$A25,'Dataset 1'!$J$7:$J$2506,CI$5)</f>
        <v>840</v>
      </c>
      <c r="CJ25" s="83">
        <f>SUMIFS('Dataset 1'!$E$7:$E$2506,'Dataset 1'!$B$7:$B$2506,$A25,'Dataset 1'!$J$7:$J$2506,CJ$5)</f>
        <v>0</v>
      </c>
      <c r="CK25" s="83">
        <f>SUMIFS('Dataset 1'!$E$7:$E$2506,'Dataset 1'!$B$7:$B$2506,$A25,'Dataset 1'!$J$7:$J$2506,CK$5)</f>
        <v>0</v>
      </c>
      <c r="CL25" s="83">
        <f>SUMIFS('Dataset 1'!$E$7:$E$2506,'Dataset 1'!$B$7:$B$2506,$A25,'Dataset 1'!$J$7:$J$2506,CL$5)</f>
        <v>960</v>
      </c>
      <c r="CM25" s="83">
        <f>SUMIFS('Dataset 1'!$E$7:$E$2506,'Dataset 1'!$B$7:$B$2506,$A25,'Dataset 1'!$J$7:$J$2506,CM$5)</f>
        <v>0</v>
      </c>
      <c r="CN25" s="83">
        <f>SUMIFS('Dataset 1'!$E$7:$E$2506,'Dataset 1'!$B$7:$B$2506,$A25,'Dataset 1'!$J$7:$J$2506,CN$5)</f>
        <v>0</v>
      </c>
      <c r="CO25" s="83">
        <f>SUMIFS('Dataset 1'!$E$7:$E$2506,'Dataset 1'!$B$7:$B$2506,$A25,'Dataset 1'!$J$7:$J$2506,CO$5)</f>
        <v>0</v>
      </c>
      <c r="CP25" s="83">
        <f>SUMIFS('Dataset 1'!$E$7:$E$2506,'Dataset 1'!$B$7:$B$2506,$A25,'Dataset 1'!$J$7:$J$2506,CP$5)</f>
        <v>510</v>
      </c>
      <c r="CQ25" s="83">
        <f>SUMIFS('Dataset 1'!$E$7:$E$2506,'Dataset 1'!$B$7:$B$2506,$A25,'Dataset 1'!$J$7:$J$2506,CQ$5)</f>
        <v>1050</v>
      </c>
      <c r="CR25" s="83">
        <f>SUMIFS('Dataset 1'!$E$7:$E$2506,'Dataset 1'!$B$7:$B$2506,$A25,'Dataset 1'!$J$7:$J$2506,CR$5)</f>
        <v>0</v>
      </c>
      <c r="CS25" s="83">
        <f>SUMIFS('Dataset 1'!$E$7:$E$2506,'Dataset 1'!$B$7:$B$2506,$A25,'Dataset 1'!$J$7:$J$2506,CS$5)</f>
        <v>0</v>
      </c>
      <c r="CT25" s="83">
        <f>SUMIFS('Dataset 1'!$E$7:$E$2506,'Dataset 1'!$B$7:$B$2506,$A25,'Dataset 1'!$J$7:$J$2506,CT$5)</f>
        <v>0</v>
      </c>
      <c r="CU25" s="83">
        <f>SUMIFS('Dataset 1'!$E$7:$E$2506,'Dataset 1'!$B$7:$B$2506,$A25,'Dataset 1'!$J$7:$J$2506,CU$5)</f>
        <v>0</v>
      </c>
      <c r="CV25" s="83">
        <f>SUMIFS('Dataset 1'!$E$7:$E$2506,'Dataset 1'!$B$7:$B$2506,$A25,'Dataset 1'!$J$7:$J$2506,CV$5)</f>
        <v>0</v>
      </c>
      <c r="CW25" s="83">
        <f>SUMIFS('Dataset 1'!$E$7:$E$2506,'Dataset 1'!$B$7:$B$2506,$A25,'Dataset 1'!$J$7:$J$2506,CW$5)</f>
        <v>0</v>
      </c>
      <c r="CX25" s="83">
        <f>SUMIFS('Dataset 1'!$E$7:$E$2506,'Dataset 1'!$B$7:$B$2506,$A25,'Dataset 1'!$J$7:$J$2506,CX$5)</f>
        <v>0</v>
      </c>
      <c r="CY25" s="83">
        <f>SUMIFS('Dataset 1'!$E$7:$E$2506,'Dataset 1'!$B$7:$B$2506,$A25,'Dataset 1'!$J$7:$J$2506,CY$5)</f>
        <v>910</v>
      </c>
      <c r="CZ25" s="83">
        <f>SUMIFS('Dataset 1'!$E$7:$E$2506,'Dataset 1'!$B$7:$B$2506,$A25,'Dataset 1'!$J$7:$J$2506,CZ$5)</f>
        <v>310</v>
      </c>
      <c r="DA25" s="83">
        <f>SUMIFS('Dataset 1'!$E$7:$E$2506,'Dataset 1'!$B$7:$B$2506,$A25,'Dataset 1'!$J$7:$J$2506,DA$5)</f>
        <v>0</v>
      </c>
      <c r="DB25" s="83">
        <f>SUMIFS('Dataset 1'!$E$7:$E$2506,'Dataset 1'!$B$7:$B$2506,$A25,'Dataset 1'!$J$7:$J$2506,DB$5)</f>
        <v>1140</v>
      </c>
      <c r="DC25" s="83">
        <f>SUMIFS('Dataset 1'!$E$7:$E$2506,'Dataset 1'!$B$7:$B$2506,$A25,'Dataset 1'!$J$7:$J$2506,DC$5)</f>
        <v>1730</v>
      </c>
      <c r="DD25" s="83">
        <f>SUMIFS('Dataset 1'!$E$7:$E$2506,'Dataset 1'!$B$7:$B$2506,$A25,'Dataset 1'!$J$7:$J$2506,DD$5)</f>
        <v>0</v>
      </c>
      <c r="DE25" s="83">
        <f>SUMIFS('Dataset 1'!$E$7:$E$2506,'Dataset 1'!$B$7:$B$2506,$A25,'Dataset 1'!$J$7:$J$2506,DE$5)</f>
        <v>0</v>
      </c>
      <c r="DF25" s="83">
        <f>SUMIFS('Dataset 1'!$E$7:$E$2506,'Dataset 1'!$B$7:$B$2506,$A25,'Dataset 1'!$J$7:$J$2506,DF$5)</f>
        <v>140</v>
      </c>
      <c r="DG25" s="83">
        <f>SUMIFS('Dataset 1'!$E$7:$E$2506,'Dataset 1'!$B$7:$B$2506,$A25,'Dataset 1'!$J$7:$J$2506,DG$5)</f>
        <v>620</v>
      </c>
      <c r="DH25" s="83">
        <f>SUMIFS('Dataset 1'!$E$7:$E$2506,'Dataset 1'!$B$7:$B$2506,$A25,'Dataset 1'!$J$7:$J$2506,DH$5)</f>
        <v>960</v>
      </c>
      <c r="DI25" s="83">
        <f>SUMIFS('Dataset 1'!$E$7:$E$2506,'Dataset 1'!$B$7:$B$2506,$A25,'Dataset 1'!$J$7:$J$2506,DI$5)</f>
        <v>0</v>
      </c>
      <c r="DJ25" s="83">
        <f>SUMIFS('Dataset 1'!$E$7:$E$2506,'Dataset 1'!$B$7:$B$2506,$A25,'Dataset 1'!$J$7:$J$2506,DJ$5)</f>
        <v>0</v>
      </c>
      <c r="DK25" s="83">
        <f>SUMIFS('Dataset 1'!$E$7:$E$2506,'Dataset 1'!$B$7:$B$2506,$A25,'Dataset 1'!$J$7:$J$2506,DK$5)</f>
        <v>0</v>
      </c>
      <c r="DL25" s="83">
        <f>SUMIFS('Dataset 1'!$E$7:$E$2506,'Dataset 1'!$B$7:$B$2506,$A25,'Dataset 1'!$J$7:$J$2506,DL$5)</f>
        <v>0</v>
      </c>
      <c r="DM25" s="83">
        <f>SUMIFS('Dataset 1'!$E$7:$E$2506,'Dataset 1'!$B$7:$B$2506,$A25,'Dataset 1'!$J$7:$J$2506,DM$5)</f>
        <v>810</v>
      </c>
      <c r="DN25" s="83">
        <f>SUMIFS('Dataset 1'!$E$7:$E$2506,'Dataset 1'!$B$7:$B$2506,$A25,'Dataset 1'!$J$7:$J$2506,DN$5)</f>
        <v>0</v>
      </c>
      <c r="DO25" s="83">
        <f>SUMIFS('Dataset 1'!$E$7:$E$2506,'Dataset 1'!$B$7:$B$2506,$A25,'Dataset 1'!$J$7:$J$2506,DO$5)</f>
        <v>0</v>
      </c>
      <c r="DP25" s="83">
        <f>SUMIFS('Dataset 1'!$E$7:$E$2506,'Dataset 1'!$B$7:$B$2506,$A25,'Dataset 1'!$J$7:$J$2506,DP$5)</f>
        <v>0</v>
      </c>
      <c r="DQ25" s="83">
        <f>SUMIFS('Dataset 1'!$E$7:$E$2506,'Dataset 1'!$B$7:$B$2506,$A25,'Dataset 1'!$J$7:$J$2506,DQ$5)</f>
        <v>0</v>
      </c>
      <c r="DR25" s="83">
        <f>SUMIFS('Dataset 1'!$E$7:$E$2506,'Dataset 1'!$B$7:$B$2506,$A25,'Dataset 1'!$J$7:$J$2506,DR$5)</f>
        <v>2120</v>
      </c>
      <c r="DS25" s="83">
        <f>SUMIFS('Dataset 1'!$E$7:$E$2506,'Dataset 1'!$B$7:$B$2506,$A25,'Dataset 1'!$J$7:$J$2506,DS$5)</f>
        <v>0</v>
      </c>
      <c r="DT25" s="83">
        <f>SUMIFS('Dataset 1'!$E$7:$E$2506,'Dataset 1'!$B$7:$B$2506,$A25,'Dataset 1'!$J$7:$J$2506,DT$5)</f>
        <v>0</v>
      </c>
      <c r="DU25" s="83">
        <f>SUMIFS('Dataset 1'!$E$7:$E$2506,'Dataset 1'!$B$7:$B$2506,$A25,'Dataset 1'!$J$7:$J$2506,DU$5)</f>
        <v>130</v>
      </c>
      <c r="DV25" s="83">
        <f>SUMIFS('Dataset 1'!$E$7:$E$2506,'Dataset 1'!$B$7:$B$2506,$A25,'Dataset 1'!$J$7:$J$2506,DV$5)</f>
        <v>250</v>
      </c>
      <c r="DW25" s="83">
        <f>SUMIFS('Dataset 1'!$E$7:$E$2506,'Dataset 1'!$B$7:$B$2506,$A25,'Dataset 1'!$J$7:$J$2506,DW$5)</f>
        <v>0</v>
      </c>
      <c r="DX25" s="83">
        <f>SUMIFS('Dataset 1'!$E$7:$E$2506,'Dataset 1'!$B$7:$B$2506,$A25,'Dataset 1'!$J$7:$J$2506,DX$5)</f>
        <v>0</v>
      </c>
      <c r="DY25" s="83">
        <f>SUMIFS('Dataset 1'!$E$7:$E$2506,'Dataset 1'!$B$7:$B$2506,$A25,'Dataset 1'!$J$7:$J$2506,DY$5)</f>
        <v>1630</v>
      </c>
      <c r="DZ25" s="83">
        <f>SUMIFS('Dataset 1'!$E$7:$E$2506,'Dataset 1'!$B$7:$B$2506,$A25,'Dataset 1'!$J$7:$J$2506,DZ$5)</f>
        <v>0</v>
      </c>
      <c r="EA25" s="83">
        <f>SUMIFS('Dataset 1'!$E$7:$E$2506,'Dataset 1'!$B$7:$B$2506,$A25,'Dataset 1'!$J$7:$J$2506,EA$5)</f>
        <v>0</v>
      </c>
      <c r="EB25" s="83">
        <f>SUMIFS('Dataset 1'!$E$7:$E$2506,'Dataset 1'!$B$7:$B$2506,$A25,'Dataset 1'!$J$7:$J$2506,EB$5)</f>
        <v>1260</v>
      </c>
      <c r="EC25" s="83">
        <f>SUMIFS('Dataset 1'!$E$7:$E$2506,'Dataset 1'!$B$7:$B$2506,$A25,'Dataset 1'!$J$7:$J$2506,EC$5)</f>
        <v>0</v>
      </c>
      <c r="ED25" s="83">
        <f>SUMIFS('Dataset 1'!$E$7:$E$2506,'Dataset 1'!$B$7:$B$2506,$A25,'Dataset 1'!$J$7:$J$2506,ED$5)</f>
        <v>1940</v>
      </c>
      <c r="EE25" s="83">
        <f>SUMIFS('Dataset 1'!$E$7:$E$2506,'Dataset 1'!$B$7:$B$2506,$A25,'Dataset 1'!$J$7:$J$2506,EE$5)</f>
        <v>0</v>
      </c>
      <c r="EF25" s="83">
        <f>SUMIFS('Dataset 1'!$E$7:$E$2506,'Dataset 1'!$B$7:$B$2506,$A25,'Dataset 1'!$J$7:$J$2506,EF$5)</f>
        <v>1280</v>
      </c>
      <c r="EG25" s="83">
        <f>SUMIFS('Dataset 1'!$E$7:$E$2506,'Dataset 1'!$B$7:$B$2506,$A25,'Dataset 1'!$J$7:$J$2506,EG$5)</f>
        <v>0</v>
      </c>
    </row>
    <row r="26" spans="1:137" x14ac:dyDescent="0.2">
      <c r="A26">
        <v>2025</v>
      </c>
      <c r="B26" s="83">
        <f>SUMIFS('Dataset 1'!$E$7:$E$2506,'Dataset 1'!$B$7:$B$2506,$A26,'Dataset 1'!$J$7:$J$2506,B$5)</f>
        <v>0</v>
      </c>
      <c r="C26" s="83">
        <f>SUMIFS('Dataset 1'!$E$7:$E$2506,'Dataset 1'!$B$7:$B$2506,$A26,'Dataset 1'!$J$7:$J$2506,C$5)</f>
        <v>530</v>
      </c>
      <c r="D26" s="83">
        <f>SUMIFS('Dataset 1'!$E$7:$E$2506,'Dataset 1'!$B$7:$B$2506,$A26,'Dataset 1'!$J$7:$J$2506,D$5)</f>
        <v>0</v>
      </c>
      <c r="E26" s="83">
        <f>SUMIFS('Dataset 1'!$E$7:$E$2506,'Dataset 1'!$B$7:$B$2506,$A26,'Dataset 1'!$J$7:$J$2506,E$5)</f>
        <v>0</v>
      </c>
      <c r="F26" s="83">
        <f>SUMIFS('Dataset 1'!$E$7:$E$2506,'Dataset 1'!$B$7:$B$2506,$A26,'Dataset 1'!$J$7:$J$2506,F$5)</f>
        <v>380</v>
      </c>
      <c r="G26" s="83">
        <f>SUMIFS('Dataset 1'!$E$7:$E$2506,'Dataset 1'!$B$7:$B$2506,$A26,'Dataset 1'!$J$7:$J$2506,G$5)</f>
        <v>680</v>
      </c>
      <c r="H26" s="83">
        <f>SUMIFS('Dataset 1'!$E$7:$E$2506,'Dataset 1'!$B$7:$B$2506,$A26,'Dataset 1'!$J$7:$J$2506,H$5)</f>
        <v>0</v>
      </c>
      <c r="I26" s="83">
        <f>SUMIFS('Dataset 1'!$E$7:$E$2506,'Dataset 1'!$B$7:$B$2506,$A26,'Dataset 1'!$J$7:$J$2506,I$5)</f>
        <v>0</v>
      </c>
      <c r="J26" s="83">
        <f>SUMIFS('Dataset 1'!$E$7:$E$2506,'Dataset 1'!$B$7:$B$2506,$A26,'Dataset 1'!$J$7:$J$2506,J$5)</f>
        <v>0</v>
      </c>
      <c r="K26" s="83">
        <f>SUMIFS('Dataset 1'!$E$7:$E$2506,'Dataset 1'!$B$7:$B$2506,$A26,'Dataset 1'!$J$7:$J$2506,K$5)</f>
        <v>0</v>
      </c>
      <c r="L26" s="83">
        <f>SUMIFS('Dataset 1'!$E$7:$E$2506,'Dataset 1'!$B$7:$B$2506,$A26,'Dataset 1'!$J$7:$J$2506,L$5)</f>
        <v>0</v>
      </c>
      <c r="M26" s="83">
        <f>SUMIFS('Dataset 1'!$E$7:$E$2506,'Dataset 1'!$B$7:$B$2506,$A26,'Dataset 1'!$J$7:$J$2506,M$5)</f>
        <v>0</v>
      </c>
      <c r="N26" s="83">
        <f>SUMIFS('Dataset 1'!$E$7:$E$2506,'Dataset 1'!$B$7:$B$2506,$A26,'Dataset 1'!$J$7:$J$2506,N$5)</f>
        <v>0</v>
      </c>
      <c r="O26" s="83">
        <f>SUMIFS('Dataset 1'!$E$7:$E$2506,'Dataset 1'!$B$7:$B$2506,$A26,'Dataset 1'!$J$7:$J$2506,O$5)</f>
        <v>120</v>
      </c>
      <c r="P26" s="83">
        <f>SUMIFS('Dataset 1'!$E$7:$E$2506,'Dataset 1'!$B$7:$B$2506,$A26,'Dataset 1'!$J$7:$J$2506,P$5)</f>
        <v>810</v>
      </c>
      <c r="Q26" s="83">
        <f>SUMIFS('Dataset 1'!$E$7:$E$2506,'Dataset 1'!$B$7:$B$2506,$A26,'Dataset 1'!$J$7:$J$2506,Q$5)</f>
        <v>8700</v>
      </c>
      <c r="R26" s="83">
        <f>SUMIFS('Dataset 1'!$E$7:$E$2506,'Dataset 1'!$B$7:$B$2506,$A26,'Dataset 1'!$J$7:$J$2506,R$5)</f>
        <v>100</v>
      </c>
      <c r="S26" s="83">
        <f>SUMIFS('Dataset 1'!$E$7:$E$2506,'Dataset 1'!$B$7:$B$2506,$A26,'Dataset 1'!$J$7:$J$2506,S$5)</f>
        <v>0</v>
      </c>
      <c r="T26" s="83">
        <f>SUMIFS('Dataset 1'!$E$7:$E$2506,'Dataset 1'!$B$7:$B$2506,$A26,'Dataset 1'!$J$7:$J$2506,T$5)</f>
        <v>0</v>
      </c>
      <c r="U26" s="83">
        <f>SUMIFS('Dataset 1'!$E$7:$E$2506,'Dataset 1'!$B$7:$B$2506,$A26,'Dataset 1'!$J$7:$J$2506,U$5)</f>
        <v>810</v>
      </c>
      <c r="V26" s="83">
        <f>SUMIFS('Dataset 1'!$E$7:$E$2506,'Dataset 1'!$B$7:$B$2506,$A26,'Dataset 1'!$J$7:$J$2506,V$5)</f>
        <v>0</v>
      </c>
      <c r="W26" s="83">
        <f>SUMIFS('Dataset 1'!$E$7:$E$2506,'Dataset 1'!$B$7:$B$2506,$A26,'Dataset 1'!$J$7:$J$2506,W$5)</f>
        <v>190</v>
      </c>
      <c r="X26" s="83">
        <f>SUMIFS('Dataset 1'!$E$7:$E$2506,'Dataset 1'!$B$7:$B$2506,$A26,'Dataset 1'!$J$7:$J$2506,X$5)</f>
        <v>0</v>
      </c>
      <c r="Y26" s="83">
        <f>SUMIFS('Dataset 1'!$E$7:$E$2506,'Dataset 1'!$B$7:$B$2506,$A26,'Dataset 1'!$J$7:$J$2506,Y$5)</f>
        <v>120</v>
      </c>
      <c r="Z26" s="83">
        <f>SUMIFS('Dataset 1'!$E$7:$E$2506,'Dataset 1'!$B$7:$B$2506,$A26,'Dataset 1'!$J$7:$J$2506,Z$5)</f>
        <v>130</v>
      </c>
      <c r="AA26" s="83">
        <f>SUMIFS('Dataset 1'!$E$7:$E$2506,'Dataset 1'!$B$7:$B$2506,$A26,'Dataset 1'!$J$7:$J$2506,AA$5)</f>
        <v>0</v>
      </c>
      <c r="AB26" s="83">
        <f>SUMIFS('Dataset 1'!$E$7:$E$2506,'Dataset 1'!$B$7:$B$2506,$A26,'Dataset 1'!$J$7:$J$2506,AB$5)</f>
        <v>0</v>
      </c>
      <c r="AC26" s="83">
        <f>SUMIFS('Dataset 1'!$E$7:$E$2506,'Dataset 1'!$B$7:$B$2506,$A26,'Dataset 1'!$J$7:$J$2506,AC$5)</f>
        <v>0</v>
      </c>
      <c r="AD26" s="83">
        <f>SUMIFS('Dataset 1'!$E$7:$E$2506,'Dataset 1'!$B$7:$B$2506,$A26,'Dataset 1'!$J$7:$J$2506,AD$5)</f>
        <v>0</v>
      </c>
      <c r="AE26" s="83">
        <f>SUMIFS('Dataset 1'!$E$7:$E$2506,'Dataset 1'!$B$7:$B$2506,$A26,'Dataset 1'!$J$7:$J$2506,AE$5)</f>
        <v>0</v>
      </c>
      <c r="AF26" s="83">
        <f>SUMIFS('Dataset 1'!$E$7:$E$2506,'Dataset 1'!$B$7:$B$2506,$A26,'Dataset 1'!$J$7:$J$2506,AF$5)</f>
        <v>1940</v>
      </c>
      <c r="AG26" s="83">
        <f>SUMIFS('Dataset 1'!$E$7:$E$2506,'Dataset 1'!$B$7:$B$2506,$A26,'Dataset 1'!$J$7:$J$2506,AG$5)</f>
        <v>0</v>
      </c>
      <c r="AH26" s="83">
        <f>SUMIFS('Dataset 1'!$E$7:$E$2506,'Dataset 1'!$B$7:$B$2506,$A26,'Dataset 1'!$J$7:$J$2506,AH$5)</f>
        <v>0</v>
      </c>
      <c r="AI26" s="83">
        <f>SUMIFS('Dataset 1'!$E$7:$E$2506,'Dataset 1'!$B$7:$B$2506,$A26,'Dataset 1'!$J$7:$J$2506,AI$5)</f>
        <v>420</v>
      </c>
      <c r="AJ26" s="83">
        <f>SUMIFS('Dataset 1'!$E$7:$E$2506,'Dataset 1'!$B$7:$B$2506,$A26,'Dataset 1'!$J$7:$J$2506,AJ$5)</f>
        <v>1930</v>
      </c>
      <c r="AK26" s="83">
        <f>SUMIFS('Dataset 1'!$E$7:$E$2506,'Dataset 1'!$B$7:$B$2506,$A26,'Dataset 1'!$J$7:$J$2506,AK$5)</f>
        <v>0</v>
      </c>
      <c r="AL26" s="83">
        <f>SUMIFS('Dataset 1'!$E$7:$E$2506,'Dataset 1'!$B$7:$B$2506,$A26,'Dataset 1'!$J$7:$J$2506,AL$5)</f>
        <v>630</v>
      </c>
      <c r="AM26" s="83">
        <f>SUMIFS('Dataset 1'!$E$7:$E$2506,'Dataset 1'!$B$7:$B$2506,$A26,'Dataset 1'!$J$7:$J$2506,AM$5)</f>
        <v>1130</v>
      </c>
      <c r="AN26" s="83">
        <f>SUMIFS('Dataset 1'!$E$7:$E$2506,'Dataset 1'!$B$7:$B$2506,$A26,'Dataset 1'!$J$7:$J$2506,AN$5)</f>
        <v>2060</v>
      </c>
      <c r="AO26" s="83">
        <f>SUMIFS('Dataset 1'!$E$7:$E$2506,'Dataset 1'!$B$7:$B$2506,$A26,'Dataset 1'!$J$7:$J$2506,AO$5)</f>
        <v>0</v>
      </c>
      <c r="AP26" s="83">
        <f>SUMIFS('Dataset 1'!$E$7:$E$2506,'Dataset 1'!$B$7:$B$2506,$A26,'Dataset 1'!$J$7:$J$2506,AP$5)</f>
        <v>0</v>
      </c>
      <c r="AQ26" s="83">
        <f>SUMIFS('Dataset 1'!$E$7:$E$2506,'Dataset 1'!$B$7:$B$2506,$A26,'Dataset 1'!$J$7:$J$2506,AQ$5)</f>
        <v>2180</v>
      </c>
      <c r="AR26" s="83">
        <f>SUMIFS('Dataset 1'!$E$7:$E$2506,'Dataset 1'!$B$7:$B$2506,$A26,'Dataset 1'!$J$7:$J$2506,AR$5)</f>
        <v>0</v>
      </c>
      <c r="AS26" s="83">
        <f>SUMIFS('Dataset 1'!$E$7:$E$2506,'Dataset 1'!$B$7:$B$2506,$A26,'Dataset 1'!$J$7:$J$2506,AS$5)</f>
        <v>0</v>
      </c>
      <c r="AT26" s="83">
        <f>SUMIFS('Dataset 1'!$E$7:$E$2506,'Dataset 1'!$B$7:$B$2506,$A26,'Dataset 1'!$J$7:$J$2506,AT$5)</f>
        <v>2620</v>
      </c>
      <c r="AU26" s="83">
        <f>SUMIFS('Dataset 1'!$E$7:$E$2506,'Dataset 1'!$B$7:$B$2506,$A26,'Dataset 1'!$J$7:$J$2506,AU$5)</f>
        <v>0</v>
      </c>
      <c r="AV26" s="83">
        <f>SUMIFS('Dataset 1'!$E$7:$E$2506,'Dataset 1'!$B$7:$B$2506,$A26,'Dataset 1'!$J$7:$J$2506,AV$5)</f>
        <v>3460</v>
      </c>
      <c r="AW26" s="83">
        <f>SUMIFS('Dataset 1'!$E$7:$E$2506,'Dataset 1'!$B$7:$B$2506,$A26,'Dataset 1'!$J$7:$J$2506,AW$5)</f>
        <v>670</v>
      </c>
      <c r="AX26" s="83">
        <f>SUMIFS('Dataset 1'!$E$7:$E$2506,'Dataset 1'!$B$7:$B$2506,$A26,'Dataset 1'!$J$7:$J$2506,AX$5)</f>
        <v>350</v>
      </c>
      <c r="AY26" s="83">
        <f>SUMIFS('Dataset 1'!$E$7:$E$2506,'Dataset 1'!$B$7:$B$2506,$A26,'Dataset 1'!$J$7:$J$2506,AY$5)</f>
        <v>2980</v>
      </c>
      <c r="AZ26" s="83">
        <f>SUMIFS('Dataset 1'!$E$7:$E$2506,'Dataset 1'!$B$7:$B$2506,$A26,'Dataset 1'!$J$7:$J$2506,AZ$5)</f>
        <v>0</v>
      </c>
      <c r="BA26" s="83">
        <f>SUMIFS('Dataset 1'!$E$7:$E$2506,'Dataset 1'!$B$7:$B$2506,$A26,'Dataset 1'!$J$7:$J$2506,BA$5)</f>
        <v>1330</v>
      </c>
      <c r="BB26" s="83">
        <f>SUMIFS('Dataset 1'!$E$7:$E$2506,'Dataset 1'!$B$7:$B$2506,$A26,'Dataset 1'!$J$7:$J$2506,BB$5)</f>
        <v>3330</v>
      </c>
      <c r="BC26" s="83">
        <f>SUMIFS('Dataset 1'!$E$7:$E$2506,'Dataset 1'!$B$7:$B$2506,$A26,'Dataset 1'!$J$7:$J$2506,BC$5)</f>
        <v>0</v>
      </c>
      <c r="BD26" s="83">
        <f>SUMIFS('Dataset 1'!$E$7:$E$2506,'Dataset 1'!$B$7:$B$2506,$A26,'Dataset 1'!$J$7:$J$2506,BD$5)</f>
        <v>1560</v>
      </c>
      <c r="BE26" s="83">
        <f>SUMIFS('Dataset 1'!$E$7:$E$2506,'Dataset 1'!$B$7:$B$2506,$A26,'Dataset 1'!$J$7:$J$2506,BE$5)</f>
        <v>0</v>
      </c>
      <c r="BF26" s="83">
        <f>SUMIFS('Dataset 1'!$E$7:$E$2506,'Dataset 1'!$B$7:$B$2506,$A26,'Dataset 1'!$J$7:$J$2506,BF$5)</f>
        <v>0</v>
      </c>
      <c r="BG26" s="83">
        <f>SUMIFS('Dataset 1'!$E$7:$E$2506,'Dataset 1'!$B$7:$B$2506,$A26,'Dataset 1'!$J$7:$J$2506,BG$5)</f>
        <v>0</v>
      </c>
      <c r="BH26" s="83">
        <f>SUMIFS('Dataset 1'!$E$7:$E$2506,'Dataset 1'!$B$7:$B$2506,$A26,'Dataset 1'!$J$7:$J$2506,BH$5)</f>
        <v>0</v>
      </c>
      <c r="BI26" s="83">
        <f>SUMIFS('Dataset 1'!$E$7:$E$2506,'Dataset 1'!$B$7:$B$2506,$A26,'Dataset 1'!$J$7:$J$2506,BI$5)</f>
        <v>1810</v>
      </c>
      <c r="BJ26" s="83">
        <f>SUMIFS('Dataset 1'!$E$7:$E$2506,'Dataset 1'!$B$7:$B$2506,$A26,'Dataset 1'!$J$7:$J$2506,BJ$5)</f>
        <v>800</v>
      </c>
      <c r="BK26" s="83">
        <f>SUMIFS('Dataset 1'!$E$7:$E$2506,'Dataset 1'!$B$7:$B$2506,$A26,'Dataset 1'!$J$7:$J$2506,BK$5)</f>
        <v>0</v>
      </c>
      <c r="BL26" s="83">
        <f>SUMIFS('Dataset 1'!$E$7:$E$2506,'Dataset 1'!$B$7:$B$2506,$A26,'Dataset 1'!$J$7:$J$2506,BL$5)</f>
        <v>100</v>
      </c>
      <c r="BM26" s="83">
        <f>SUMIFS('Dataset 1'!$E$7:$E$2506,'Dataset 1'!$B$7:$B$2506,$A26,'Dataset 1'!$J$7:$J$2506,BM$5)</f>
        <v>0</v>
      </c>
      <c r="BN26" s="83">
        <f>SUMIFS('Dataset 1'!$E$7:$E$2506,'Dataset 1'!$B$7:$B$2506,$A26,'Dataset 1'!$J$7:$J$2506,BN$5)</f>
        <v>0</v>
      </c>
      <c r="BO26" s="83">
        <f>SUMIFS('Dataset 1'!$E$7:$E$2506,'Dataset 1'!$B$7:$B$2506,$A26,'Dataset 1'!$J$7:$J$2506,BO$5)</f>
        <v>0</v>
      </c>
      <c r="BP26" s="83">
        <f>SUMIFS('Dataset 1'!$E$7:$E$2506,'Dataset 1'!$B$7:$B$2506,$A26,'Dataset 1'!$J$7:$J$2506,BP$5)</f>
        <v>0</v>
      </c>
      <c r="BQ26" s="83">
        <f>SUMIFS('Dataset 1'!$E$7:$E$2506,'Dataset 1'!$B$7:$B$2506,$A26,'Dataset 1'!$J$7:$J$2506,BQ$5)</f>
        <v>100</v>
      </c>
      <c r="BR26" s="83">
        <f>SUMIFS('Dataset 1'!$E$7:$E$2506,'Dataset 1'!$B$7:$B$2506,$A26,'Dataset 1'!$J$7:$J$2506,BR$5)</f>
        <v>2970</v>
      </c>
      <c r="BS26" s="83">
        <f>SUMIFS('Dataset 1'!$E$7:$E$2506,'Dataset 1'!$B$7:$B$2506,$A26,'Dataset 1'!$J$7:$J$2506,BS$5)</f>
        <v>0</v>
      </c>
      <c r="BT26" s="83">
        <f>SUMIFS('Dataset 1'!$E$7:$E$2506,'Dataset 1'!$B$7:$B$2506,$A26,'Dataset 1'!$J$7:$J$2506,BT$5)</f>
        <v>0</v>
      </c>
      <c r="BU26" s="83">
        <f>SUMIFS('Dataset 1'!$E$7:$E$2506,'Dataset 1'!$B$7:$B$2506,$A26,'Dataset 1'!$J$7:$J$2506,BU$5)</f>
        <v>0</v>
      </c>
      <c r="BV26" s="83">
        <f>SUMIFS('Dataset 1'!$E$7:$E$2506,'Dataset 1'!$B$7:$B$2506,$A26,'Dataset 1'!$J$7:$J$2506,BV$5)</f>
        <v>0</v>
      </c>
      <c r="BW26" s="83">
        <f>SUMIFS('Dataset 1'!$E$7:$E$2506,'Dataset 1'!$B$7:$B$2506,$A26,'Dataset 1'!$J$7:$J$2506,BW$5)</f>
        <v>0</v>
      </c>
      <c r="BX26" s="83">
        <f>SUMIFS('Dataset 1'!$E$7:$E$2506,'Dataset 1'!$B$7:$B$2506,$A26,'Dataset 1'!$J$7:$J$2506,BX$5)</f>
        <v>0</v>
      </c>
      <c r="BY26" s="83">
        <f>SUMIFS('Dataset 1'!$E$7:$E$2506,'Dataset 1'!$B$7:$B$2506,$A26,'Dataset 1'!$J$7:$J$2506,BY$5)</f>
        <v>0</v>
      </c>
      <c r="BZ26" s="83">
        <f>SUMIFS('Dataset 1'!$E$7:$E$2506,'Dataset 1'!$B$7:$B$2506,$A26,'Dataset 1'!$J$7:$J$2506,BZ$5)</f>
        <v>1170</v>
      </c>
      <c r="CA26" s="83">
        <f>SUMIFS('Dataset 1'!$E$7:$E$2506,'Dataset 1'!$B$7:$B$2506,$A26,'Dataset 1'!$J$7:$J$2506,CA$5)</f>
        <v>0</v>
      </c>
      <c r="CB26" s="83">
        <f>SUMIFS('Dataset 1'!$E$7:$E$2506,'Dataset 1'!$B$7:$B$2506,$A26,'Dataset 1'!$J$7:$J$2506,CB$5)</f>
        <v>0</v>
      </c>
      <c r="CC26" s="83">
        <f>SUMIFS('Dataset 1'!$E$7:$E$2506,'Dataset 1'!$B$7:$B$2506,$A26,'Dataset 1'!$J$7:$J$2506,CC$5)</f>
        <v>220</v>
      </c>
      <c r="CD26" s="83">
        <f>SUMIFS('Dataset 1'!$E$7:$E$2506,'Dataset 1'!$B$7:$B$2506,$A26,'Dataset 1'!$J$7:$J$2506,CD$5)</f>
        <v>0</v>
      </c>
      <c r="CE26" s="83">
        <f>SUMIFS('Dataset 1'!$E$7:$E$2506,'Dataset 1'!$B$7:$B$2506,$A26,'Dataset 1'!$J$7:$J$2506,CE$5)</f>
        <v>0</v>
      </c>
      <c r="CF26" s="83">
        <f>SUMIFS('Dataset 1'!$E$7:$E$2506,'Dataset 1'!$B$7:$B$2506,$A26,'Dataset 1'!$J$7:$J$2506,CF$5)</f>
        <v>0</v>
      </c>
      <c r="CG26" s="83">
        <f>SUMIFS('Dataset 1'!$E$7:$E$2506,'Dataset 1'!$B$7:$B$2506,$A26,'Dataset 1'!$J$7:$J$2506,CG$5)</f>
        <v>0</v>
      </c>
      <c r="CH26" s="83">
        <f>SUMIFS('Dataset 1'!$E$7:$E$2506,'Dataset 1'!$B$7:$B$2506,$A26,'Dataset 1'!$J$7:$J$2506,CH$5)</f>
        <v>0</v>
      </c>
      <c r="CI26" s="83">
        <f>SUMIFS('Dataset 1'!$E$7:$E$2506,'Dataset 1'!$B$7:$B$2506,$A26,'Dataset 1'!$J$7:$J$2506,CI$5)</f>
        <v>170</v>
      </c>
      <c r="CJ26" s="83">
        <f>SUMIFS('Dataset 1'!$E$7:$E$2506,'Dataset 1'!$B$7:$B$2506,$A26,'Dataset 1'!$J$7:$J$2506,CJ$5)</f>
        <v>0</v>
      </c>
      <c r="CK26" s="83">
        <f>SUMIFS('Dataset 1'!$E$7:$E$2506,'Dataset 1'!$B$7:$B$2506,$A26,'Dataset 1'!$J$7:$J$2506,CK$5)</f>
        <v>0</v>
      </c>
      <c r="CL26" s="83">
        <f>SUMIFS('Dataset 1'!$E$7:$E$2506,'Dataset 1'!$B$7:$B$2506,$A26,'Dataset 1'!$J$7:$J$2506,CL$5)</f>
        <v>570</v>
      </c>
      <c r="CM26" s="83">
        <f>SUMIFS('Dataset 1'!$E$7:$E$2506,'Dataset 1'!$B$7:$B$2506,$A26,'Dataset 1'!$J$7:$J$2506,CM$5)</f>
        <v>0</v>
      </c>
      <c r="CN26" s="83">
        <f>SUMIFS('Dataset 1'!$E$7:$E$2506,'Dataset 1'!$B$7:$B$2506,$A26,'Dataset 1'!$J$7:$J$2506,CN$5)</f>
        <v>0</v>
      </c>
      <c r="CO26" s="83">
        <f>SUMIFS('Dataset 1'!$E$7:$E$2506,'Dataset 1'!$B$7:$B$2506,$A26,'Dataset 1'!$J$7:$J$2506,CO$5)</f>
        <v>240</v>
      </c>
      <c r="CP26" s="83">
        <f>SUMIFS('Dataset 1'!$E$7:$E$2506,'Dataset 1'!$B$7:$B$2506,$A26,'Dataset 1'!$J$7:$J$2506,CP$5)</f>
        <v>610</v>
      </c>
      <c r="CQ26" s="83">
        <f>SUMIFS('Dataset 1'!$E$7:$E$2506,'Dataset 1'!$B$7:$B$2506,$A26,'Dataset 1'!$J$7:$J$2506,CQ$5)</f>
        <v>0</v>
      </c>
      <c r="CR26" s="83">
        <f>SUMIFS('Dataset 1'!$E$7:$E$2506,'Dataset 1'!$B$7:$B$2506,$A26,'Dataset 1'!$J$7:$J$2506,CR$5)</f>
        <v>0</v>
      </c>
      <c r="CS26" s="83">
        <f>SUMIFS('Dataset 1'!$E$7:$E$2506,'Dataset 1'!$B$7:$B$2506,$A26,'Dataset 1'!$J$7:$J$2506,CS$5)</f>
        <v>2220</v>
      </c>
      <c r="CT26" s="83">
        <f>SUMIFS('Dataset 1'!$E$7:$E$2506,'Dataset 1'!$B$7:$B$2506,$A26,'Dataset 1'!$J$7:$J$2506,CT$5)</f>
        <v>0</v>
      </c>
      <c r="CU26" s="83">
        <f>SUMIFS('Dataset 1'!$E$7:$E$2506,'Dataset 1'!$B$7:$B$2506,$A26,'Dataset 1'!$J$7:$J$2506,CU$5)</f>
        <v>0</v>
      </c>
      <c r="CV26" s="83">
        <f>SUMIFS('Dataset 1'!$E$7:$E$2506,'Dataset 1'!$B$7:$B$2506,$A26,'Dataset 1'!$J$7:$J$2506,CV$5)</f>
        <v>0</v>
      </c>
      <c r="CW26" s="83">
        <f>SUMIFS('Dataset 1'!$E$7:$E$2506,'Dataset 1'!$B$7:$B$2506,$A26,'Dataset 1'!$J$7:$J$2506,CW$5)</f>
        <v>0</v>
      </c>
      <c r="CX26" s="83">
        <f>SUMIFS('Dataset 1'!$E$7:$E$2506,'Dataset 1'!$B$7:$B$2506,$A26,'Dataset 1'!$J$7:$J$2506,CX$5)</f>
        <v>0</v>
      </c>
      <c r="CY26" s="83">
        <f>SUMIFS('Dataset 1'!$E$7:$E$2506,'Dataset 1'!$B$7:$B$2506,$A26,'Dataset 1'!$J$7:$J$2506,CY$5)</f>
        <v>860</v>
      </c>
      <c r="CZ26" s="83">
        <f>SUMIFS('Dataset 1'!$E$7:$E$2506,'Dataset 1'!$B$7:$B$2506,$A26,'Dataset 1'!$J$7:$J$2506,CZ$5)</f>
        <v>0</v>
      </c>
      <c r="DA26" s="83">
        <f>SUMIFS('Dataset 1'!$E$7:$E$2506,'Dataset 1'!$B$7:$B$2506,$A26,'Dataset 1'!$J$7:$J$2506,DA$5)</f>
        <v>0</v>
      </c>
      <c r="DB26" s="83">
        <f>SUMIFS('Dataset 1'!$E$7:$E$2506,'Dataset 1'!$B$7:$B$2506,$A26,'Dataset 1'!$J$7:$J$2506,DB$5)</f>
        <v>1380</v>
      </c>
      <c r="DC26" s="83">
        <f>SUMIFS('Dataset 1'!$E$7:$E$2506,'Dataset 1'!$B$7:$B$2506,$A26,'Dataset 1'!$J$7:$J$2506,DC$5)</f>
        <v>0</v>
      </c>
      <c r="DD26" s="83">
        <f>SUMIFS('Dataset 1'!$E$7:$E$2506,'Dataset 1'!$B$7:$B$2506,$A26,'Dataset 1'!$J$7:$J$2506,DD$5)</f>
        <v>0</v>
      </c>
      <c r="DE26" s="83">
        <f>SUMIFS('Dataset 1'!$E$7:$E$2506,'Dataset 1'!$B$7:$B$2506,$A26,'Dataset 1'!$J$7:$J$2506,DE$5)</f>
        <v>0</v>
      </c>
      <c r="DF26" s="83">
        <f>SUMIFS('Dataset 1'!$E$7:$E$2506,'Dataset 1'!$B$7:$B$2506,$A26,'Dataset 1'!$J$7:$J$2506,DF$5)</f>
        <v>0</v>
      </c>
      <c r="DG26" s="83">
        <f>SUMIFS('Dataset 1'!$E$7:$E$2506,'Dataset 1'!$B$7:$B$2506,$A26,'Dataset 1'!$J$7:$J$2506,DG$5)</f>
        <v>180</v>
      </c>
      <c r="DH26" s="83">
        <f>SUMIFS('Dataset 1'!$E$7:$E$2506,'Dataset 1'!$B$7:$B$2506,$A26,'Dataset 1'!$J$7:$J$2506,DH$5)</f>
        <v>2040</v>
      </c>
      <c r="DI26" s="83">
        <f>SUMIFS('Dataset 1'!$E$7:$E$2506,'Dataset 1'!$B$7:$B$2506,$A26,'Dataset 1'!$J$7:$J$2506,DI$5)</f>
        <v>0</v>
      </c>
      <c r="DJ26" s="83">
        <f>SUMIFS('Dataset 1'!$E$7:$E$2506,'Dataset 1'!$B$7:$B$2506,$A26,'Dataset 1'!$J$7:$J$2506,DJ$5)</f>
        <v>0</v>
      </c>
      <c r="DK26" s="83">
        <f>SUMIFS('Dataset 1'!$E$7:$E$2506,'Dataset 1'!$B$7:$B$2506,$A26,'Dataset 1'!$J$7:$J$2506,DK$5)</f>
        <v>350</v>
      </c>
      <c r="DL26" s="83">
        <f>SUMIFS('Dataset 1'!$E$7:$E$2506,'Dataset 1'!$B$7:$B$2506,$A26,'Dataset 1'!$J$7:$J$2506,DL$5)</f>
        <v>1110</v>
      </c>
      <c r="DM26" s="83">
        <f>SUMIFS('Dataset 1'!$E$7:$E$2506,'Dataset 1'!$B$7:$B$2506,$A26,'Dataset 1'!$J$7:$J$2506,DM$5)</f>
        <v>0</v>
      </c>
      <c r="DN26" s="83">
        <f>SUMIFS('Dataset 1'!$E$7:$E$2506,'Dataset 1'!$B$7:$B$2506,$A26,'Dataset 1'!$J$7:$J$2506,DN$5)</f>
        <v>0</v>
      </c>
      <c r="DO26" s="83">
        <f>SUMIFS('Dataset 1'!$E$7:$E$2506,'Dataset 1'!$B$7:$B$2506,$A26,'Dataset 1'!$J$7:$J$2506,DO$5)</f>
        <v>0</v>
      </c>
      <c r="DP26" s="83">
        <f>SUMIFS('Dataset 1'!$E$7:$E$2506,'Dataset 1'!$B$7:$B$2506,$A26,'Dataset 1'!$J$7:$J$2506,DP$5)</f>
        <v>0</v>
      </c>
      <c r="DQ26" s="83">
        <f>SUMIFS('Dataset 1'!$E$7:$E$2506,'Dataset 1'!$B$7:$B$2506,$A26,'Dataset 1'!$J$7:$J$2506,DQ$5)</f>
        <v>1370</v>
      </c>
      <c r="DR26" s="83">
        <f>SUMIFS('Dataset 1'!$E$7:$E$2506,'Dataset 1'!$B$7:$B$2506,$A26,'Dataset 1'!$J$7:$J$2506,DR$5)</f>
        <v>1940</v>
      </c>
      <c r="DS26" s="83">
        <f>SUMIFS('Dataset 1'!$E$7:$E$2506,'Dataset 1'!$B$7:$B$2506,$A26,'Dataset 1'!$J$7:$J$2506,DS$5)</f>
        <v>0</v>
      </c>
      <c r="DT26" s="83">
        <f>SUMIFS('Dataset 1'!$E$7:$E$2506,'Dataset 1'!$B$7:$B$2506,$A26,'Dataset 1'!$J$7:$J$2506,DT$5)</f>
        <v>0</v>
      </c>
      <c r="DU26" s="83">
        <f>SUMIFS('Dataset 1'!$E$7:$E$2506,'Dataset 1'!$B$7:$B$2506,$A26,'Dataset 1'!$J$7:$J$2506,DU$5)</f>
        <v>0</v>
      </c>
      <c r="DV26" s="83">
        <f>SUMIFS('Dataset 1'!$E$7:$E$2506,'Dataset 1'!$B$7:$B$2506,$A26,'Dataset 1'!$J$7:$J$2506,DV$5)</f>
        <v>220</v>
      </c>
      <c r="DW26" s="83">
        <f>SUMIFS('Dataset 1'!$E$7:$E$2506,'Dataset 1'!$B$7:$B$2506,$A26,'Dataset 1'!$J$7:$J$2506,DW$5)</f>
        <v>0</v>
      </c>
      <c r="DX26" s="83">
        <f>SUMIFS('Dataset 1'!$E$7:$E$2506,'Dataset 1'!$B$7:$B$2506,$A26,'Dataset 1'!$J$7:$J$2506,DX$5)</f>
        <v>0</v>
      </c>
      <c r="DY26" s="83">
        <f>SUMIFS('Dataset 1'!$E$7:$E$2506,'Dataset 1'!$B$7:$B$2506,$A26,'Dataset 1'!$J$7:$J$2506,DY$5)</f>
        <v>4080</v>
      </c>
      <c r="DZ26" s="83">
        <f>SUMIFS('Dataset 1'!$E$7:$E$2506,'Dataset 1'!$B$7:$B$2506,$A26,'Dataset 1'!$J$7:$J$2506,DZ$5)</f>
        <v>0</v>
      </c>
      <c r="EA26" s="83">
        <f>SUMIFS('Dataset 1'!$E$7:$E$2506,'Dataset 1'!$B$7:$B$2506,$A26,'Dataset 1'!$J$7:$J$2506,EA$5)</f>
        <v>0</v>
      </c>
      <c r="EB26" s="83">
        <f>SUMIFS('Dataset 1'!$E$7:$E$2506,'Dataset 1'!$B$7:$B$2506,$A26,'Dataset 1'!$J$7:$J$2506,EB$5)</f>
        <v>1520</v>
      </c>
      <c r="EC26" s="83">
        <f>SUMIFS('Dataset 1'!$E$7:$E$2506,'Dataset 1'!$B$7:$B$2506,$A26,'Dataset 1'!$J$7:$J$2506,EC$5)</f>
        <v>0</v>
      </c>
      <c r="ED26" s="83">
        <f>SUMIFS('Dataset 1'!$E$7:$E$2506,'Dataset 1'!$B$7:$B$2506,$A26,'Dataset 1'!$J$7:$J$2506,ED$5)</f>
        <v>320</v>
      </c>
      <c r="EE26" s="83">
        <f>SUMIFS('Dataset 1'!$E$7:$E$2506,'Dataset 1'!$B$7:$B$2506,$A26,'Dataset 1'!$J$7:$J$2506,EE$5)</f>
        <v>0</v>
      </c>
      <c r="EF26" s="83">
        <f>SUMIFS('Dataset 1'!$E$7:$E$2506,'Dataset 1'!$B$7:$B$2506,$A26,'Dataset 1'!$J$7:$J$2506,EF$5)</f>
        <v>1390</v>
      </c>
      <c r="EG26" s="83">
        <f>SUMIFS('Dataset 1'!$E$7:$E$2506,'Dataset 1'!$B$7:$B$2506,$A26,'Dataset 1'!$J$7:$J$2506,EG$5)</f>
        <v>360</v>
      </c>
    </row>
    <row r="27" spans="1:137" x14ac:dyDescent="0.2"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3"/>
      <c r="CW27" s="83"/>
      <c r="CX27" s="83"/>
      <c r="CY27" s="83"/>
      <c r="CZ27" s="83"/>
      <c r="DA27" s="83"/>
      <c r="DB27" s="83"/>
      <c r="DC27" s="83"/>
      <c r="DD27" s="83"/>
      <c r="DE27" s="83"/>
      <c r="DF27" s="83"/>
      <c r="DG27" s="83"/>
      <c r="DH27" s="83"/>
      <c r="DI27" s="83"/>
      <c r="DJ27" s="83"/>
      <c r="DK27" s="83"/>
      <c r="DL27" s="83"/>
      <c r="DM27" s="83"/>
      <c r="DN27" s="83"/>
      <c r="DO27" s="83"/>
      <c r="DP27" s="83"/>
      <c r="DQ27" s="83"/>
      <c r="DR27" s="83"/>
      <c r="DS27" s="83"/>
      <c r="DT27" s="83"/>
      <c r="DU27" s="83"/>
      <c r="DV27" s="83"/>
      <c r="DW27" s="83"/>
      <c r="DX27" s="83"/>
      <c r="DY27" s="83"/>
      <c r="DZ27" s="83"/>
      <c r="EA27" s="83"/>
      <c r="EB27" s="83"/>
      <c r="EC27" s="83"/>
      <c r="ED27" s="83"/>
      <c r="EE27" s="83"/>
      <c r="EF27" s="83"/>
      <c r="EG27" s="83"/>
    </row>
    <row r="28" spans="1:137" x14ac:dyDescent="0.2">
      <c r="A28" s="86" t="s">
        <v>140</v>
      </c>
      <c r="B28" s="83" t="s">
        <v>4</v>
      </c>
      <c r="C28" s="83" t="s">
        <v>5</v>
      </c>
      <c r="D28" s="83" t="s">
        <v>6</v>
      </c>
      <c r="E28" s="83" t="s">
        <v>7</v>
      </c>
      <c r="F28" s="83" t="s">
        <v>8</v>
      </c>
      <c r="G28" s="83" t="s">
        <v>9</v>
      </c>
      <c r="H28" s="83" t="s">
        <v>10</v>
      </c>
      <c r="I28" s="83" t="s">
        <v>11</v>
      </c>
      <c r="J28" s="83" t="s">
        <v>12</v>
      </c>
      <c r="K28" s="83" t="s">
        <v>13</v>
      </c>
      <c r="L28" s="83" t="s">
        <v>14</v>
      </c>
      <c r="M28" s="83" t="s">
        <v>15</v>
      </c>
      <c r="N28" s="83" t="s">
        <v>16</v>
      </c>
      <c r="O28" s="83" t="s">
        <v>17</v>
      </c>
      <c r="P28" s="83" t="s">
        <v>18</v>
      </c>
      <c r="Q28" s="83" t="s">
        <v>19</v>
      </c>
      <c r="R28" s="83" t="s">
        <v>20</v>
      </c>
      <c r="S28" s="83" t="s">
        <v>21</v>
      </c>
      <c r="T28" s="83" t="s">
        <v>22</v>
      </c>
      <c r="U28" s="83" t="s">
        <v>23</v>
      </c>
      <c r="V28" s="83" t="s">
        <v>24</v>
      </c>
      <c r="W28" s="83" t="s">
        <v>25</v>
      </c>
      <c r="X28" s="83" t="s">
        <v>26</v>
      </c>
      <c r="Y28" s="83" t="s">
        <v>27</v>
      </c>
      <c r="Z28" s="83" t="s">
        <v>28</v>
      </c>
      <c r="AA28" s="83" t="s">
        <v>29</v>
      </c>
      <c r="AB28" s="83" t="s">
        <v>30</v>
      </c>
      <c r="AC28" s="83" t="s">
        <v>31</v>
      </c>
      <c r="AD28" s="83" t="s">
        <v>32</v>
      </c>
      <c r="AE28" s="83" t="s">
        <v>33</v>
      </c>
      <c r="AF28" s="83" t="s">
        <v>34</v>
      </c>
      <c r="AG28" s="83" t="s">
        <v>35</v>
      </c>
      <c r="AH28" s="83" t="s">
        <v>36</v>
      </c>
      <c r="AI28" s="83" t="s">
        <v>37</v>
      </c>
      <c r="AJ28" s="83" t="s">
        <v>38</v>
      </c>
      <c r="AK28" s="83" t="s">
        <v>39</v>
      </c>
      <c r="AL28" s="83" t="s">
        <v>40</v>
      </c>
      <c r="AM28" s="83" t="s">
        <v>41</v>
      </c>
      <c r="AN28" s="83" t="s">
        <v>42</v>
      </c>
      <c r="AO28" s="83" t="s">
        <v>43</v>
      </c>
      <c r="AP28" s="83" t="s">
        <v>44</v>
      </c>
      <c r="AQ28" s="83" t="s">
        <v>45</v>
      </c>
      <c r="AR28" s="83" t="s">
        <v>46</v>
      </c>
      <c r="AS28" s="83" t="s">
        <v>47</v>
      </c>
      <c r="AT28" s="83" t="s">
        <v>48</v>
      </c>
      <c r="AU28" s="83" t="s">
        <v>49</v>
      </c>
      <c r="AV28" s="83" t="s">
        <v>50</v>
      </c>
      <c r="AW28" s="83" t="s">
        <v>51</v>
      </c>
      <c r="AX28" s="83" t="s">
        <v>52</v>
      </c>
      <c r="AY28" s="83" t="s">
        <v>53</v>
      </c>
      <c r="AZ28" s="83" t="s">
        <v>54</v>
      </c>
      <c r="BA28" s="83" t="s">
        <v>55</v>
      </c>
      <c r="BB28" s="83" t="s">
        <v>56</v>
      </c>
      <c r="BC28" s="83" t="s">
        <v>57</v>
      </c>
      <c r="BD28" s="83" t="s">
        <v>58</v>
      </c>
      <c r="BE28" s="83" t="s">
        <v>59</v>
      </c>
      <c r="BF28" s="83" t="s">
        <v>60</v>
      </c>
      <c r="BG28" s="83" t="s">
        <v>61</v>
      </c>
      <c r="BH28" s="83" t="s">
        <v>62</v>
      </c>
      <c r="BI28" s="83" t="s">
        <v>63</v>
      </c>
      <c r="BJ28" s="83" t="s">
        <v>64</v>
      </c>
      <c r="BK28" s="83" t="s">
        <v>65</v>
      </c>
      <c r="BL28" s="83" t="s">
        <v>66</v>
      </c>
      <c r="BM28" s="83" t="s">
        <v>67</v>
      </c>
      <c r="BN28" s="83" t="s">
        <v>68</v>
      </c>
      <c r="BO28" s="83" t="s">
        <v>69</v>
      </c>
      <c r="BP28" s="83" t="s">
        <v>70</v>
      </c>
      <c r="BQ28" s="83" t="s">
        <v>71</v>
      </c>
      <c r="BR28" s="83" t="s">
        <v>72</v>
      </c>
      <c r="BS28" s="83" t="s">
        <v>73</v>
      </c>
      <c r="BT28" s="83" t="s">
        <v>74</v>
      </c>
      <c r="BU28" s="83" t="s">
        <v>75</v>
      </c>
      <c r="BV28" s="83" t="s">
        <v>76</v>
      </c>
      <c r="BW28" s="83" t="s">
        <v>77</v>
      </c>
      <c r="BX28" s="83" t="s">
        <v>78</v>
      </c>
      <c r="BY28" s="83" t="s">
        <v>79</v>
      </c>
      <c r="BZ28" s="83" t="s">
        <v>80</v>
      </c>
      <c r="CA28" s="83" t="s">
        <v>81</v>
      </c>
      <c r="CB28" s="83" t="s">
        <v>82</v>
      </c>
      <c r="CC28" s="83" t="s">
        <v>83</v>
      </c>
      <c r="CD28" s="83" t="s">
        <v>84</v>
      </c>
      <c r="CE28" s="83" t="s">
        <v>85</v>
      </c>
      <c r="CF28" s="83" t="s">
        <v>86</v>
      </c>
      <c r="CG28" s="83" t="s">
        <v>87</v>
      </c>
      <c r="CH28" s="83" t="s">
        <v>88</v>
      </c>
      <c r="CI28" s="83" t="s">
        <v>89</v>
      </c>
      <c r="CJ28" s="83" t="s">
        <v>90</v>
      </c>
      <c r="CK28" s="83" t="s">
        <v>91</v>
      </c>
      <c r="CL28" s="83" t="s">
        <v>92</v>
      </c>
      <c r="CM28" s="83" t="s">
        <v>93</v>
      </c>
      <c r="CN28" s="83" t="s">
        <v>94</v>
      </c>
      <c r="CO28" s="83" t="s">
        <v>95</v>
      </c>
      <c r="CP28" s="83" t="s">
        <v>96</v>
      </c>
      <c r="CQ28" s="83" t="s">
        <v>97</v>
      </c>
      <c r="CR28" s="83" t="s">
        <v>98</v>
      </c>
      <c r="CS28" s="83" t="s">
        <v>99</v>
      </c>
      <c r="CT28" s="83" t="s">
        <v>100</v>
      </c>
      <c r="CU28" s="83" t="s">
        <v>101</v>
      </c>
      <c r="CV28" s="83" t="s">
        <v>102</v>
      </c>
      <c r="CW28" s="83" t="s">
        <v>103</v>
      </c>
      <c r="CX28" s="83" t="s">
        <v>104</v>
      </c>
      <c r="CY28" s="83" t="s">
        <v>105</v>
      </c>
      <c r="CZ28" s="83" t="s">
        <v>106</v>
      </c>
      <c r="DA28" s="83" t="s">
        <v>107</v>
      </c>
      <c r="DB28" s="83" t="s">
        <v>108</v>
      </c>
      <c r="DC28" s="83" t="s">
        <v>109</v>
      </c>
      <c r="DD28" s="83" t="s">
        <v>110</v>
      </c>
      <c r="DE28" s="83" t="s">
        <v>111</v>
      </c>
      <c r="DF28" s="83" t="s">
        <v>112</v>
      </c>
      <c r="DG28" s="83" t="s">
        <v>113</v>
      </c>
      <c r="DH28" s="83" t="s">
        <v>114</v>
      </c>
      <c r="DI28" s="83" t="s">
        <v>115</v>
      </c>
      <c r="DJ28" s="83" t="s">
        <v>116</v>
      </c>
      <c r="DK28" s="83" t="s">
        <v>117</v>
      </c>
      <c r="DL28" s="83" t="s">
        <v>118</v>
      </c>
      <c r="DM28" s="83" t="s">
        <v>119</v>
      </c>
      <c r="DN28" s="83" t="s">
        <v>120</v>
      </c>
      <c r="DO28" s="83" t="s">
        <v>121</v>
      </c>
      <c r="DP28" s="83" t="s">
        <v>122</v>
      </c>
      <c r="DQ28" s="83" t="s">
        <v>123</v>
      </c>
      <c r="DR28" s="83" t="s">
        <v>124</v>
      </c>
      <c r="DS28" s="83" t="s">
        <v>125</v>
      </c>
      <c r="DT28" s="83" t="s">
        <v>126</v>
      </c>
      <c r="DU28" s="83" t="s">
        <v>127</v>
      </c>
      <c r="DV28" s="83" t="s">
        <v>128</v>
      </c>
      <c r="DW28" s="83" t="s">
        <v>129</v>
      </c>
      <c r="DX28" s="83" t="s">
        <v>130</v>
      </c>
      <c r="DY28" s="83" t="s">
        <v>131</v>
      </c>
      <c r="DZ28" s="83" t="s">
        <v>132</v>
      </c>
      <c r="EA28" s="83" t="s">
        <v>133</v>
      </c>
      <c r="EB28" s="83" t="s">
        <v>134</v>
      </c>
      <c r="EC28" s="83" t="s">
        <v>135</v>
      </c>
      <c r="ED28" s="83" t="s">
        <v>136</v>
      </c>
      <c r="EE28" s="83" t="s">
        <v>137</v>
      </c>
      <c r="EF28" s="83" t="s">
        <v>138</v>
      </c>
      <c r="EG28" s="83" t="s">
        <v>139</v>
      </c>
    </row>
    <row r="29" spans="1:137" x14ac:dyDescent="0.2">
      <c r="A29">
        <v>2005</v>
      </c>
      <c r="B29" s="83">
        <f>SUMIFS('Dataset 1'!$E$7:$E$2506,'Dataset 1'!$B$7:$B$2506,"&lt;="&amp;$A29,'Dataset 1'!$J$7:$J$2506,B$5)</f>
        <v>0</v>
      </c>
      <c r="C29" s="83">
        <f>SUMIFS('Dataset 1'!$E$7:$E$2506,'Dataset 1'!$B$7:$B$2506,"&lt;="&amp;$A29,'Dataset 1'!$J$7:$J$2506,C$5)</f>
        <v>0</v>
      </c>
      <c r="D29" s="83">
        <f>SUMIFS('Dataset 1'!$E$7:$E$2506,'Dataset 1'!$B$7:$B$2506,"&lt;="&amp;$A29,'Dataset 1'!$J$7:$J$2506,D$5)</f>
        <v>0</v>
      </c>
      <c r="E29" s="83">
        <f>SUMIFS('Dataset 1'!$E$7:$E$2506,'Dataset 1'!$B$7:$B$2506,"&lt;="&amp;$A29,'Dataset 1'!$J$7:$J$2506,E$5)</f>
        <v>0</v>
      </c>
      <c r="F29" s="83">
        <f>SUMIFS('Dataset 1'!$E$7:$E$2506,'Dataset 1'!$B$7:$B$2506,"&lt;="&amp;$A29,'Dataset 1'!$J$7:$J$2506,F$5)</f>
        <v>0</v>
      </c>
      <c r="G29" s="83">
        <f>SUMIFS('Dataset 1'!$E$7:$E$2506,'Dataset 1'!$B$7:$B$2506,"&lt;="&amp;$A29,'Dataset 1'!$J$7:$J$2506,G$5)</f>
        <v>320</v>
      </c>
      <c r="H29" s="83">
        <f>SUMIFS('Dataset 1'!$E$7:$E$2506,'Dataset 1'!$B$7:$B$2506,"&lt;="&amp;$A29,'Dataset 1'!$J$7:$J$2506,H$5)</f>
        <v>0</v>
      </c>
      <c r="I29" s="83">
        <f>SUMIFS('Dataset 1'!$E$7:$E$2506,'Dataset 1'!$B$7:$B$2506,"&lt;="&amp;$A29,'Dataset 1'!$J$7:$J$2506,I$5)</f>
        <v>0</v>
      </c>
      <c r="J29" s="83">
        <f>SUMIFS('Dataset 1'!$E$7:$E$2506,'Dataset 1'!$B$7:$B$2506,"&lt;="&amp;$A29,'Dataset 1'!$J$7:$J$2506,J$5)</f>
        <v>0</v>
      </c>
      <c r="K29" s="83">
        <f>SUMIFS('Dataset 1'!$E$7:$E$2506,'Dataset 1'!$B$7:$B$2506,"&lt;="&amp;$A29,'Dataset 1'!$J$7:$J$2506,K$5)</f>
        <v>0</v>
      </c>
      <c r="L29" s="83">
        <f>SUMIFS('Dataset 1'!$E$7:$E$2506,'Dataset 1'!$B$7:$B$2506,"&lt;="&amp;$A29,'Dataset 1'!$J$7:$J$2506,L$5)</f>
        <v>0</v>
      </c>
      <c r="M29" s="83">
        <f>SUMIFS('Dataset 1'!$E$7:$E$2506,'Dataset 1'!$B$7:$B$2506,"&lt;="&amp;$A29,'Dataset 1'!$J$7:$J$2506,M$5)</f>
        <v>0</v>
      </c>
      <c r="N29" s="83">
        <f>SUMIFS('Dataset 1'!$E$7:$E$2506,'Dataset 1'!$B$7:$B$2506,"&lt;="&amp;$A29,'Dataset 1'!$J$7:$J$2506,N$5)</f>
        <v>0</v>
      </c>
      <c r="O29" s="83">
        <f>SUMIFS('Dataset 1'!$E$7:$E$2506,'Dataset 1'!$B$7:$B$2506,"&lt;="&amp;$A29,'Dataset 1'!$J$7:$J$2506,O$5)</f>
        <v>0</v>
      </c>
      <c r="P29" s="83">
        <f>SUMIFS('Dataset 1'!$E$7:$E$2506,'Dataset 1'!$B$7:$B$2506,"&lt;="&amp;$A29,'Dataset 1'!$J$7:$J$2506,P$5)</f>
        <v>0</v>
      </c>
      <c r="Q29" s="83">
        <f>SUMIFS('Dataset 1'!$E$7:$E$2506,'Dataset 1'!$B$7:$B$2506,"&lt;="&amp;$A29,'Dataset 1'!$J$7:$J$2506,Q$5)</f>
        <v>0</v>
      </c>
      <c r="R29" s="83">
        <f>SUMIFS('Dataset 1'!$E$7:$E$2506,'Dataset 1'!$B$7:$B$2506,"&lt;="&amp;$A29,'Dataset 1'!$J$7:$J$2506,R$5)</f>
        <v>100</v>
      </c>
      <c r="S29" s="83">
        <f>SUMIFS('Dataset 1'!$E$7:$E$2506,'Dataset 1'!$B$7:$B$2506,"&lt;="&amp;$A29,'Dataset 1'!$J$7:$J$2506,S$5)</f>
        <v>0</v>
      </c>
      <c r="T29" s="83">
        <f>SUMIFS('Dataset 1'!$E$7:$E$2506,'Dataset 1'!$B$7:$B$2506,"&lt;="&amp;$A29,'Dataset 1'!$J$7:$J$2506,T$5)</f>
        <v>0</v>
      </c>
      <c r="U29" s="83">
        <f>SUMIFS('Dataset 1'!$E$7:$E$2506,'Dataset 1'!$B$7:$B$2506,"&lt;="&amp;$A29,'Dataset 1'!$J$7:$J$2506,U$5)</f>
        <v>280</v>
      </c>
      <c r="V29" s="83">
        <f>SUMIFS('Dataset 1'!$E$7:$E$2506,'Dataset 1'!$B$7:$B$2506,"&lt;="&amp;$A29,'Dataset 1'!$J$7:$J$2506,V$5)</f>
        <v>0</v>
      </c>
      <c r="W29" s="83">
        <f>SUMIFS('Dataset 1'!$E$7:$E$2506,'Dataset 1'!$B$7:$B$2506,"&lt;="&amp;$A29,'Dataset 1'!$J$7:$J$2506,W$5)</f>
        <v>250</v>
      </c>
      <c r="X29" s="83">
        <f>SUMIFS('Dataset 1'!$E$7:$E$2506,'Dataset 1'!$B$7:$B$2506,"&lt;="&amp;$A29,'Dataset 1'!$J$7:$J$2506,X$5)</f>
        <v>0</v>
      </c>
      <c r="Y29" s="83">
        <f>SUMIFS('Dataset 1'!$E$7:$E$2506,'Dataset 1'!$B$7:$B$2506,"&lt;="&amp;$A29,'Dataset 1'!$J$7:$J$2506,Y$5)</f>
        <v>0</v>
      </c>
      <c r="Z29" s="83">
        <f>SUMIFS('Dataset 1'!$E$7:$E$2506,'Dataset 1'!$B$7:$B$2506,"&lt;="&amp;$A29,'Dataset 1'!$J$7:$J$2506,Z$5)</f>
        <v>0</v>
      </c>
      <c r="AA29" s="83">
        <f>SUMIFS('Dataset 1'!$E$7:$E$2506,'Dataset 1'!$B$7:$B$2506,"&lt;="&amp;$A29,'Dataset 1'!$J$7:$J$2506,AA$5)</f>
        <v>0</v>
      </c>
      <c r="AB29" s="83">
        <f>SUMIFS('Dataset 1'!$E$7:$E$2506,'Dataset 1'!$B$7:$B$2506,"&lt;="&amp;$A29,'Dataset 1'!$J$7:$J$2506,AB$5)</f>
        <v>0</v>
      </c>
      <c r="AC29" s="83">
        <f>SUMIFS('Dataset 1'!$E$7:$E$2506,'Dataset 1'!$B$7:$B$2506,"&lt;="&amp;$A29,'Dataset 1'!$J$7:$J$2506,AC$5)</f>
        <v>500</v>
      </c>
      <c r="AD29" s="83">
        <f>SUMIFS('Dataset 1'!$E$7:$E$2506,'Dataset 1'!$B$7:$B$2506,"&lt;="&amp;$A29,'Dataset 1'!$J$7:$J$2506,AD$5)</f>
        <v>0</v>
      </c>
      <c r="AE29" s="83">
        <f>SUMIFS('Dataset 1'!$E$7:$E$2506,'Dataset 1'!$B$7:$B$2506,"&lt;="&amp;$A29,'Dataset 1'!$J$7:$J$2506,AE$5)</f>
        <v>0</v>
      </c>
      <c r="AF29" s="83">
        <f>SUMIFS('Dataset 1'!$E$7:$E$2506,'Dataset 1'!$B$7:$B$2506,"&lt;="&amp;$A29,'Dataset 1'!$J$7:$J$2506,AF$5)</f>
        <v>0</v>
      </c>
      <c r="AG29" s="83">
        <f>SUMIFS('Dataset 1'!$E$7:$E$2506,'Dataset 1'!$B$7:$B$2506,"&lt;="&amp;$A29,'Dataset 1'!$J$7:$J$2506,AG$5)</f>
        <v>0</v>
      </c>
      <c r="AH29" s="83">
        <f>SUMIFS('Dataset 1'!$E$7:$E$2506,'Dataset 1'!$B$7:$B$2506,"&lt;="&amp;$A29,'Dataset 1'!$J$7:$J$2506,AH$5)</f>
        <v>0</v>
      </c>
      <c r="AI29" s="83">
        <f>SUMIFS('Dataset 1'!$E$7:$E$2506,'Dataset 1'!$B$7:$B$2506,"&lt;="&amp;$A29,'Dataset 1'!$J$7:$J$2506,AI$5)</f>
        <v>1420</v>
      </c>
      <c r="AJ29" s="83">
        <f>SUMIFS('Dataset 1'!$E$7:$E$2506,'Dataset 1'!$B$7:$B$2506,"&lt;="&amp;$A29,'Dataset 1'!$J$7:$J$2506,AJ$5)</f>
        <v>0</v>
      </c>
      <c r="AK29" s="83">
        <f>SUMIFS('Dataset 1'!$E$7:$E$2506,'Dataset 1'!$B$7:$B$2506,"&lt;="&amp;$A29,'Dataset 1'!$J$7:$J$2506,AK$5)</f>
        <v>0</v>
      </c>
      <c r="AL29" s="83">
        <f>SUMIFS('Dataset 1'!$E$7:$E$2506,'Dataset 1'!$B$7:$B$2506,"&lt;="&amp;$A29,'Dataset 1'!$J$7:$J$2506,AL$5)</f>
        <v>0</v>
      </c>
      <c r="AM29" s="83">
        <f>SUMIFS('Dataset 1'!$E$7:$E$2506,'Dataset 1'!$B$7:$B$2506,"&lt;="&amp;$A29,'Dataset 1'!$J$7:$J$2506,AM$5)</f>
        <v>0</v>
      </c>
      <c r="AN29" s="83">
        <f>SUMIFS('Dataset 1'!$E$7:$E$2506,'Dataset 1'!$B$7:$B$2506,"&lt;="&amp;$A29,'Dataset 1'!$J$7:$J$2506,AN$5)</f>
        <v>0</v>
      </c>
      <c r="AO29" s="83">
        <f>SUMIFS('Dataset 1'!$E$7:$E$2506,'Dataset 1'!$B$7:$B$2506,"&lt;="&amp;$A29,'Dataset 1'!$J$7:$J$2506,AO$5)</f>
        <v>0</v>
      </c>
      <c r="AP29" s="83">
        <f>SUMIFS('Dataset 1'!$E$7:$E$2506,'Dataset 1'!$B$7:$B$2506,"&lt;="&amp;$A29,'Dataset 1'!$J$7:$J$2506,AP$5)</f>
        <v>0</v>
      </c>
      <c r="AQ29" s="83">
        <f>SUMIFS('Dataset 1'!$E$7:$E$2506,'Dataset 1'!$B$7:$B$2506,"&lt;="&amp;$A29,'Dataset 1'!$J$7:$J$2506,AQ$5)</f>
        <v>0</v>
      </c>
      <c r="AR29" s="83">
        <f>SUMIFS('Dataset 1'!$E$7:$E$2506,'Dataset 1'!$B$7:$B$2506,"&lt;="&amp;$A29,'Dataset 1'!$J$7:$J$2506,AR$5)</f>
        <v>0</v>
      </c>
      <c r="AS29" s="83">
        <f>SUMIFS('Dataset 1'!$E$7:$E$2506,'Dataset 1'!$B$7:$B$2506,"&lt;="&amp;$A29,'Dataset 1'!$J$7:$J$2506,AS$5)</f>
        <v>0</v>
      </c>
      <c r="AT29" s="83">
        <f>SUMIFS('Dataset 1'!$E$7:$E$2506,'Dataset 1'!$B$7:$B$2506,"&lt;="&amp;$A29,'Dataset 1'!$J$7:$J$2506,AT$5)</f>
        <v>0</v>
      </c>
      <c r="AU29" s="83">
        <f>SUMIFS('Dataset 1'!$E$7:$E$2506,'Dataset 1'!$B$7:$B$2506,"&lt;="&amp;$A29,'Dataset 1'!$J$7:$J$2506,AU$5)</f>
        <v>0</v>
      </c>
      <c r="AV29" s="83">
        <f>SUMIFS('Dataset 1'!$E$7:$E$2506,'Dataset 1'!$B$7:$B$2506,"&lt;="&amp;$A29,'Dataset 1'!$J$7:$J$2506,AV$5)</f>
        <v>0</v>
      </c>
      <c r="AW29" s="83">
        <f>SUMIFS('Dataset 1'!$E$7:$E$2506,'Dataset 1'!$B$7:$B$2506,"&lt;="&amp;$A29,'Dataset 1'!$J$7:$J$2506,AW$5)</f>
        <v>0</v>
      </c>
      <c r="AX29" s="83">
        <f>SUMIFS('Dataset 1'!$E$7:$E$2506,'Dataset 1'!$B$7:$B$2506,"&lt;="&amp;$A29,'Dataset 1'!$J$7:$J$2506,AX$5)</f>
        <v>0</v>
      </c>
      <c r="AY29" s="83">
        <f>SUMIFS('Dataset 1'!$E$7:$E$2506,'Dataset 1'!$B$7:$B$2506,"&lt;="&amp;$A29,'Dataset 1'!$J$7:$J$2506,AY$5)</f>
        <v>0</v>
      </c>
      <c r="AZ29" s="83">
        <f>SUMIFS('Dataset 1'!$E$7:$E$2506,'Dataset 1'!$B$7:$B$2506,"&lt;="&amp;$A29,'Dataset 1'!$J$7:$J$2506,AZ$5)</f>
        <v>0</v>
      </c>
      <c r="BA29" s="83">
        <f>SUMIFS('Dataset 1'!$E$7:$E$2506,'Dataset 1'!$B$7:$B$2506,"&lt;="&amp;$A29,'Dataset 1'!$J$7:$J$2506,BA$5)</f>
        <v>0</v>
      </c>
      <c r="BB29" s="83">
        <f>SUMIFS('Dataset 1'!$E$7:$E$2506,'Dataset 1'!$B$7:$B$2506,"&lt;="&amp;$A29,'Dataset 1'!$J$7:$J$2506,BB$5)</f>
        <v>0</v>
      </c>
      <c r="BC29" s="83">
        <f>SUMIFS('Dataset 1'!$E$7:$E$2506,'Dataset 1'!$B$7:$B$2506,"&lt;="&amp;$A29,'Dataset 1'!$J$7:$J$2506,BC$5)</f>
        <v>0</v>
      </c>
      <c r="BD29" s="83">
        <f>SUMIFS('Dataset 1'!$E$7:$E$2506,'Dataset 1'!$B$7:$B$2506,"&lt;="&amp;$A29,'Dataset 1'!$J$7:$J$2506,BD$5)</f>
        <v>0</v>
      </c>
      <c r="BE29" s="83">
        <f>SUMIFS('Dataset 1'!$E$7:$E$2506,'Dataset 1'!$B$7:$B$2506,"&lt;="&amp;$A29,'Dataset 1'!$J$7:$J$2506,BE$5)</f>
        <v>0</v>
      </c>
      <c r="BF29" s="83">
        <f>SUMIFS('Dataset 1'!$E$7:$E$2506,'Dataset 1'!$B$7:$B$2506,"&lt;="&amp;$A29,'Dataset 1'!$J$7:$J$2506,BF$5)</f>
        <v>0</v>
      </c>
      <c r="BG29" s="83">
        <f>SUMIFS('Dataset 1'!$E$7:$E$2506,'Dataset 1'!$B$7:$B$2506,"&lt;="&amp;$A29,'Dataset 1'!$J$7:$J$2506,BG$5)</f>
        <v>0</v>
      </c>
      <c r="BH29" s="83">
        <f>SUMIFS('Dataset 1'!$E$7:$E$2506,'Dataset 1'!$B$7:$B$2506,"&lt;="&amp;$A29,'Dataset 1'!$J$7:$J$2506,BH$5)</f>
        <v>0</v>
      </c>
      <c r="BI29" s="83">
        <f>SUMIFS('Dataset 1'!$E$7:$E$2506,'Dataset 1'!$B$7:$B$2506,"&lt;="&amp;$A29,'Dataset 1'!$J$7:$J$2506,BI$5)</f>
        <v>4200</v>
      </c>
      <c r="BJ29" s="83">
        <f>SUMIFS('Dataset 1'!$E$7:$E$2506,'Dataset 1'!$B$7:$B$2506,"&lt;="&amp;$A29,'Dataset 1'!$J$7:$J$2506,BJ$5)</f>
        <v>0</v>
      </c>
      <c r="BK29" s="83">
        <f>SUMIFS('Dataset 1'!$E$7:$E$2506,'Dataset 1'!$B$7:$B$2506,"&lt;="&amp;$A29,'Dataset 1'!$J$7:$J$2506,BK$5)</f>
        <v>0</v>
      </c>
      <c r="BL29" s="83">
        <f>SUMIFS('Dataset 1'!$E$7:$E$2506,'Dataset 1'!$B$7:$B$2506,"&lt;="&amp;$A29,'Dataset 1'!$J$7:$J$2506,BL$5)</f>
        <v>0</v>
      </c>
      <c r="BM29" s="83">
        <f>SUMIFS('Dataset 1'!$E$7:$E$2506,'Dataset 1'!$B$7:$B$2506,"&lt;="&amp;$A29,'Dataset 1'!$J$7:$J$2506,BM$5)</f>
        <v>0</v>
      </c>
      <c r="BN29" s="83">
        <f>SUMIFS('Dataset 1'!$E$7:$E$2506,'Dataset 1'!$B$7:$B$2506,"&lt;="&amp;$A29,'Dataset 1'!$J$7:$J$2506,BN$5)</f>
        <v>0</v>
      </c>
      <c r="BO29" s="83">
        <f>SUMIFS('Dataset 1'!$E$7:$E$2506,'Dataset 1'!$B$7:$B$2506,"&lt;="&amp;$A29,'Dataset 1'!$J$7:$J$2506,BO$5)</f>
        <v>0</v>
      </c>
      <c r="BP29" s="83">
        <f>SUMIFS('Dataset 1'!$E$7:$E$2506,'Dataset 1'!$B$7:$B$2506,"&lt;="&amp;$A29,'Dataset 1'!$J$7:$J$2506,BP$5)</f>
        <v>0</v>
      </c>
      <c r="BQ29" s="83">
        <f>SUMIFS('Dataset 1'!$E$7:$E$2506,'Dataset 1'!$B$7:$B$2506,"&lt;="&amp;$A29,'Dataset 1'!$J$7:$J$2506,BQ$5)</f>
        <v>0</v>
      </c>
      <c r="BR29" s="83">
        <f>SUMIFS('Dataset 1'!$E$7:$E$2506,'Dataset 1'!$B$7:$B$2506,"&lt;="&amp;$A29,'Dataset 1'!$J$7:$J$2506,BR$5)</f>
        <v>0</v>
      </c>
      <c r="BS29" s="83">
        <f>SUMIFS('Dataset 1'!$E$7:$E$2506,'Dataset 1'!$B$7:$B$2506,"&lt;="&amp;$A29,'Dataset 1'!$J$7:$J$2506,BS$5)</f>
        <v>0</v>
      </c>
      <c r="BT29" s="83">
        <f>SUMIFS('Dataset 1'!$E$7:$E$2506,'Dataset 1'!$B$7:$B$2506,"&lt;="&amp;$A29,'Dataset 1'!$J$7:$J$2506,BT$5)</f>
        <v>0</v>
      </c>
      <c r="BU29" s="83">
        <f>SUMIFS('Dataset 1'!$E$7:$E$2506,'Dataset 1'!$B$7:$B$2506,"&lt;="&amp;$A29,'Dataset 1'!$J$7:$J$2506,BU$5)</f>
        <v>0</v>
      </c>
      <c r="BV29" s="83">
        <f>SUMIFS('Dataset 1'!$E$7:$E$2506,'Dataset 1'!$B$7:$B$2506,"&lt;="&amp;$A29,'Dataset 1'!$J$7:$J$2506,BV$5)</f>
        <v>0</v>
      </c>
      <c r="BW29" s="83">
        <f>SUMIFS('Dataset 1'!$E$7:$E$2506,'Dataset 1'!$B$7:$B$2506,"&lt;="&amp;$A29,'Dataset 1'!$J$7:$J$2506,BW$5)</f>
        <v>0</v>
      </c>
      <c r="BX29" s="83">
        <f>SUMIFS('Dataset 1'!$E$7:$E$2506,'Dataset 1'!$B$7:$B$2506,"&lt;="&amp;$A29,'Dataset 1'!$J$7:$J$2506,BX$5)</f>
        <v>200</v>
      </c>
      <c r="BY29" s="83">
        <f>SUMIFS('Dataset 1'!$E$7:$E$2506,'Dataset 1'!$B$7:$B$2506,"&lt;="&amp;$A29,'Dataset 1'!$J$7:$J$2506,BY$5)</f>
        <v>0</v>
      </c>
      <c r="BZ29" s="83">
        <f>SUMIFS('Dataset 1'!$E$7:$E$2506,'Dataset 1'!$B$7:$B$2506,"&lt;="&amp;$A29,'Dataset 1'!$J$7:$J$2506,BZ$5)</f>
        <v>0</v>
      </c>
      <c r="CA29" s="83">
        <f>SUMIFS('Dataset 1'!$E$7:$E$2506,'Dataset 1'!$B$7:$B$2506,"&lt;="&amp;$A29,'Dataset 1'!$J$7:$J$2506,CA$5)</f>
        <v>0</v>
      </c>
      <c r="CB29" s="83">
        <f>SUMIFS('Dataset 1'!$E$7:$E$2506,'Dataset 1'!$B$7:$B$2506,"&lt;="&amp;$A29,'Dataset 1'!$J$7:$J$2506,CB$5)</f>
        <v>0</v>
      </c>
      <c r="CC29" s="83">
        <f>SUMIFS('Dataset 1'!$E$7:$E$2506,'Dataset 1'!$B$7:$B$2506,"&lt;="&amp;$A29,'Dataset 1'!$J$7:$J$2506,CC$5)</f>
        <v>0</v>
      </c>
      <c r="CD29" s="83">
        <f>SUMIFS('Dataset 1'!$E$7:$E$2506,'Dataset 1'!$B$7:$B$2506,"&lt;="&amp;$A29,'Dataset 1'!$J$7:$J$2506,CD$5)</f>
        <v>0</v>
      </c>
      <c r="CE29" s="83">
        <f>SUMIFS('Dataset 1'!$E$7:$E$2506,'Dataset 1'!$B$7:$B$2506,"&lt;="&amp;$A29,'Dataset 1'!$J$7:$J$2506,CE$5)</f>
        <v>0</v>
      </c>
      <c r="CF29" s="83">
        <f>SUMIFS('Dataset 1'!$E$7:$E$2506,'Dataset 1'!$B$7:$B$2506,"&lt;="&amp;$A29,'Dataset 1'!$J$7:$J$2506,CF$5)</f>
        <v>0</v>
      </c>
      <c r="CG29" s="83">
        <f>SUMIFS('Dataset 1'!$E$7:$E$2506,'Dataset 1'!$B$7:$B$2506,"&lt;="&amp;$A29,'Dataset 1'!$J$7:$J$2506,CG$5)</f>
        <v>0</v>
      </c>
      <c r="CH29" s="83">
        <f>SUMIFS('Dataset 1'!$E$7:$E$2506,'Dataset 1'!$B$7:$B$2506,"&lt;="&amp;$A29,'Dataset 1'!$J$7:$J$2506,CH$5)</f>
        <v>0</v>
      </c>
      <c r="CI29" s="83">
        <f>SUMIFS('Dataset 1'!$E$7:$E$2506,'Dataset 1'!$B$7:$B$2506,"&lt;="&amp;$A29,'Dataset 1'!$J$7:$J$2506,CI$5)</f>
        <v>0</v>
      </c>
      <c r="CJ29" s="83">
        <f>SUMIFS('Dataset 1'!$E$7:$E$2506,'Dataset 1'!$B$7:$B$2506,"&lt;="&amp;$A29,'Dataset 1'!$J$7:$J$2506,CJ$5)</f>
        <v>0</v>
      </c>
      <c r="CK29" s="83">
        <f>SUMIFS('Dataset 1'!$E$7:$E$2506,'Dataset 1'!$B$7:$B$2506,"&lt;="&amp;$A29,'Dataset 1'!$J$7:$J$2506,CK$5)</f>
        <v>0</v>
      </c>
      <c r="CL29" s="83">
        <f>SUMIFS('Dataset 1'!$E$7:$E$2506,'Dataset 1'!$B$7:$B$2506,"&lt;="&amp;$A29,'Dataset 1'!$J$7:$J$2506,CL$5)</f>
        <v>0</v>
      </c>
      <c r="CM29" s="83">
        <f>SUMIFS('Dataset 1'!$E$7:$E$2506,'Dataset 1'!$B$7:$B$2506,"&lt;="&amp;$A29,'Dataset 1'!$J$7:$J$2506,CM$5)</f>
        <v>0</v>
      </c>
      <c r="CN29" s="83">
        <f>SUMIFS('Dataset 1'!$E$7:$E$2506,'Dataset 1'!$B$7:$B$2506,"&lt;="&amp;$A29,'Dataset 1'!$J$7:$J$2506,CN$5)</f>
        <v>0</v>
      </c>
      <c r="CO29" s="83">
        <f>SUMIFS('Dataset 1'!$E$7:$E$2506,'Dataset 1'!$B$7:$B$2506,"&lt;="&amp;$A29,'Dataset 1'!$J$7:$J$2506,CO$5)</f>
        <v>670</v>
      </c>
      <c r="CP29" s="83">
        <f>SUMIFS('Dataset 1'!$E$7:$E$2506,'Dataset 1'!$B$7:$B$2506,"&lt;="&amp;$A29,'Dataset 1'!$J$7:$J$2506,CP$5)</f>
        <v>0</v>
      </c>
      <c r="CQ29" s="83">
        <f>SUMIFS('Dataset 1'!$E$7:$E$2506,'Dataset 1'!$B$7:$B$2506,"&lt;="&amp;$A29,'Dataset 1'!$J$7:$J$2506,CQ$5)</f>
        <v>0</v>
      </c>
      <c r="CR29" s="83">
        <f>SUMIFS('Dataset 1'!$E$7:$E$2506,'Dataset 1'!$B$7:$B$2506,"&lt;="&amp;$A29,'Dataset 1'!$J$7:$J$2506,CR$5)</f>
        <v>0</v>
      </c>
      <c r="CS29" s="83">
        <f>SUMIFS('Dataset 1'!$E$7:$E$2506,'Dataset 1'!$B$7:$B$2506,"&lt;="&amp;$A29,'Dataset 1'!$J$7:$J$2506,CS$5)</f>
        <v>0</v>
      </c>
      <c r="CT29" s="83">
        <f>SUMIFS('Dataset 1'!$E$7:$E$2506,'Dataset 1'!$B$7:$B$2506,"&lt;="&amp;$A29,'Dataset 1'!$J$7:$J$2506,CT$5)</f>
        <v>0</v>
      </c>
      <c r="CU29" s="83">
        <f>SUMIFS('Dataset 1'!$E$7:$E$2506,'Dataset 1'!$B$7:$B$2506,"&lt;="&amp;$A29,'Dataset 1'!$J$7:$J$2506,CU$5)</f>
        <v>0</v>
      </c>
      <c r="CV29" s="83">
        <f>SUMIFS('Dataset 1'!$E$7:$E$2506,'Dataset 1'!$B$7:$B$2506,"&lt;="&amp;$A29,'Dataset 1'!$J$7:$J$2506,CV$5)</f>
        <v>0</v>
      </c>
      <c r="CW29" s="83">
        <f>SUMIFS('Dataset 1'!$E$7:$E$2506,'Dataset 1'!$B$7:$B$2506,"&lt;="&amp;$A29,'Dataset 1'!$J$7:$J$2506,CW$5)</f>
        <v>0</v>
      </c>
      <c r="CX29" s="83">
        <f>SUMIFS('Dataset 1'!$E$7:$E$2506,'Dataset 1'!$B$7:$B$2506,"&lt;="&amp;$A29,'Dataset 1'!$J$7:$J$2506,CX$5)</f>
        <v>0</v>
      </c>
      <c r="CY29" s="83">
        <f>SUMIFS('Dataset 1'!$E$7:$E$2506,'Dataset 1'!$B$7:$B$2506,"&lt;="&amp;$A29,'Dataset 1'!$J$7:$J$2506,CY$5)</f>
        <v>0</v>
      </c>
      <c r="CZ29" s="83">
        <f>SUMIFS('Dataset 1'!$E$7:$E$2506,'Dataset 1'!$B$7:$B$2506,"&lt;="&amp;$A29,'Dataset 1'!$J$7:$J$2506,CZ$5)</f>
        <v>0</v>
      </c>
      <c r="DA29" s="83">
        <f>SUMIFS('Dataset 1'!$E$7:$E$2506,'Dataset 1'!$B$7:$B$2506,"&lt;="&amp;$A29,'Dataset 1'!$J$7:$J$2506,DA$5)</f>
        <v>0</v>
      </c>
      <c r="DB29" s="83">
        <f>SUMIFS('Dataset 1'!$E$7:$E$2506,'Dataset 1'!$B$7:$B$2506,"&lt;="&amp;$A29,'Dataset 1'!$J$7:$J$2506,DB$5)</f>
        <v>0</v>
      </c>
      <c r="DC29" s="83">
        <f>SUMIFS('Dataset 1'!$E$7:$E$2506,'Dataset 1'!$B$7:$B$2506,"&lt;="&amp;$A29,'Dataset 1'!$J$7:$J$2506,DC$5)</f>
        <v>0</v>
      </c>
      <c r="DD29" s="83">
        <f>SUMIFS('Dataset 1'!$E$7:$E$2506,'Dataset 1'!$B$7:$B$2506,"&lt;="&amp;$A29,'Dataset 1'!$J$7:$J$2506,DD$5)</f>
        <v>0</v>
      </c>
      <c r="DE29" s="83">
        <f>SUMIFS('Dataset 1'!$E$7:$E$2506,'Dataset 1'!$B$7:$B$2506,"&lt;="&amp;$A29,'Dataset 1'!$J$7:$J$2506,DE$5)</f>
        <v>0</v>
      </c>
      <c r="DF29" s="83">
        <f>SUMIFS('Dataset 1'!$E$7:$E$2506,'Dataset 1'!$B$7:$B$2506,"&lt;="&amp;$A29,'Dataset 1'!$J$7:$J$2506,DF$5)</f>
        <v>0</v>
      </c>
      <c r="DG29" s="83">
        <f>SUMIFS('Dataset 1'!$E$7:$E$2506,'Dataset 1'!$B$7:$B$2506,"&lt;="&amp;$A29,'Dataset 1'!$J$7:$J$2506,DG$5)</f>
        <v>0</v>
      </c>
      <c r="DH29" s="83">
        <f>SUMIFS('Dataset 1'!$E$7:$E$2506,'Dataset 1'!$B$7:$B$2506,"&lt;="&amp;$A29,'Dataset 1'!$J$7:$J$2506,DH$5)</f>
        <v>0</v>
      </c>
      <c r="DI29" s="83">
        <f>SUMIFS('Dataset 1'!$E$7:$E$2506,'Dataset 1'!$B$7:$B$2506,"&lt;="&amp;$A29,'Dataset 1'!$J$7:$J$2506,DI$5)</f>
        <v>0</v>
      </c>
      <c r="DJ29" s="83">
        <f>SUMIFS('Dataset 1'!$E$7:$E$2506,'Dataset 1'!$B$7:$B$2506,"&lt;="&amp;$A29,'Dataset 1'!$J$7:$J$2506,DJ$5)</f>
        <v>0</v>
      </c>
      <c r="DK29" s="83">
        <f>SUMIFS('Dataset 1'!$E$7:$E$2506,'Dataset 1'!$B$7:$B$2506,"&lt;="&amp;$A29,'Dataset 1'!$J$7:$J$2506,DK$5)</f>
        <v>0</v>
      </c>
      <c r="DL29" s="83">
        <f>SUMIFS('Dataset 1'!$E$7:$E$2506,'Dataset 1'!$B$7:$B$2506,"&lt;="&amp;$A29,'Dataset 1'!$J$7:$J$2506,DL$5)</f>
        <v>0</v>
      </c>
      <c r="DM29" s="83">
        <f>SUMIFS('Dataset 1'!$E$7:$E$2506,'Dataset 1'!$B$7:$B$2506,"&lt;="&amp;$A29,'Dataset 1'!$J$7:$J$2506,DM$5)</f>
        <v>0</v>
      </c>
      <c r="DN29" s="83">
        <f>SUMIFS('Dataset 1'!$E$7:$E$2506,'Dataset 1'!$B$7:$B$2506,"&lt;="&amp;$A29,'Dataset 1'!$J$7:$J$2506,DN$5)</f>
        <v>290</v>
      </c>
      <c r="DO29" s="83">
        <f>SUMIFS('Dataset 1'!$E$7:$E$2506,'Dataset 1'!$B$7:$B$2506,"&lt;="&amp;$A29,'Dataset 1'!$J$7:$J$2506,DO$5)</f>
        <v>0</v>
      </c>
      <c r="DP29" s="83">
        <f>SUMIFS('Dataset 1'!$E$7:$E$2506,'Dataset 1'!$B$7:$B$2506,"&lt;="&amp;$A29,'Dataset 1'!$J$7:$J$2506,DP$5)</f>
        <v>0</v>
      </c>
      <c r="DQ29" s="83">
        <f>SUMIFS('Dataset 1'!$E$7:$E$2506,'Dataset 1'!$B$7:$B$2506,"&lt;="&amp;$A29,'Dataset 1'!$J$7:$J$2506,DQ$5)</f>
        <v>0</v>
      </c>
      <c r="DR29" s="83">
        <f>SUMIFS('Dataset 1'!$E$7:$E$2506,'Dataset 1'!$B$7:$B$2506,"&lt;="&amp;$A29,'Dataset 1'!$J$7:$J$2506,DR$5)</f>
        <v>150</v>
      </c>
      <c r="DS29" s="83">
        <f>SUMIFS('Dataset 1'!$E$7:$E$2506,'Dataset 1'!$B$7:$B$2506,"&lt;="&amp;$A29,'Dataset 1'!$J$7:$J$2506,DS$5)</f>
        <v>0</v>
      </c>
      <c r="DT29" s="83">
        <f>SUMIFS('Dataset 1'!$E$7:$E$2506,'Dataset 1'!$B$7:$B$2506,"&lt;="&amp;$A29,'Dataset 1'!$J$7:$J$2506,DT$5)</f>
        <v>0</v>
      </c>
      <c r="DU29" s="83">
        <f>SUMIFS('Dataset 1'!$E$7:$E$2506,'Dataset 1'!$B$7:$B$2506,"&lt;="&amp;$A29,'Dataset 1'!$J$7:$J$2506,DU$5)</f>
        <v>0</v>
      </c>
      <c r="DV29" s="83">
        <f>SUMIFS('Dataset 1'!$E$7:$E$2506,'Dataset 1'!$B$7:$B$2506,"&lt;="&amp;$A29,'Dataset 1'!$J$7:$J$2506,DV$5)</f>
        <v>0</v>
      </c>
      <c r="DW29" s="83">
        <f>SUMIFS('Dataset 1'!$E$7:$E$2506,'Dataset 1'!$B$7:$B$2506,"&lt;="&amp;$A29,'Dataset 1'!$J$7:$J$2506,DW$5)</f>
        <v>0</v>
      </c>
      <c r="DX29" s="83">
        <f>SUMIFS('Dataset 1'!$E$7:$E$2506,'Dataset 1'!$B$7:$B$2506,"&lt;="&amp;$A29,'Dataset 1'!$J$7:$J$2506,DX$5)</f>
        <v>0</v>
      </c>
      <c r="DY29" s="83">
        <f>SUMIFS('Dataset 1'!$E$7:$E$2506,'Dataset 1'!$B$7:$B$2506,"&lt;="&amp;$A29,'Dataset 1'!$J$7:$J$2506,DY$5)</f>
        <v>1740</v>
      </c>
      <c r="DZ29" s="83">
        <f>SUMIFS('Dataset 1'!$E$7:$E$2506,'Dataset 1'!$B$7:$B$2506,"&lt;="&amp;$A29,'Dataset 1'!$J$7:$J$2506,DZ$5)</f>
        <v>0</v>
      </c>
      <c r="EA29" s="83">
        <f>SUMIFS('Dataset 1'!$E$7:$E$2506,'Dataset 1'!$B$7:$B$2506,"&lt;="&amp;$A29,'Dataset 1'!$J$7:$J$2506,EA$5)</f>
        <v>0</v>
      </c>
      <c r="EB29" s="83">
        <f>SUMIFS('Dataset 1'!$E$7:$E$2506,'Dataset 1'!$B$7:$B$2506,"&lt;="&amp;$A29,'Dataset 1'!$J$7:$J$2506,EB$5)</f>
        <v>0</v>
      </c>
      <c r="EC29" s="83">
        <f>SUMIFS('Dataset 1'!$E$7:$E$2506,'Dataset 1'!$B$7:$B$2506,"&lt;="&amp;$A29,'Dataset 1'!$J$7:$J$2506,EC$5)</f>
        <v>0</v>
      </c>
      <c r="ED29" s="83">
        <f>SUMIFS('Dataset 1'!$E$7:$E$2506,'Dataset 1'!$B$7:$B$2506,"&lt;="&amp;$A29,'Dataset 1'!$J$7:$J$2506,ED$5)</f>
        <v>0</v>
      </c>
      <c r="EE29" s="83">
        <f>SUMIFS('Dataset 1'!$E$7:$E$2506,'Dataset 1'!$B$7:$B$2506,"&lt;="&amp;$A29,'Dataset 1'!$J$7:$J$2506,EE$5)</f>
        <v>0</v>
      </c>
      <c r="EF29" s="83">
        <f>SUMIFS('Dataset 1'!$E$7:$E$2506,'Dataset 1'!$B$7:$B$2506,"&lt;="&amp;$A29,'Dataset 1'!$J$7:$J$2506,EF$5)</f>
        <v>0</v>
      </c>
      <c r="EG29" s="83">
        <f>SUMIFS('Dataset 1'!$E$7:$E$2506,'Dataset 1'!$B$7:$B$2506,"&lt;="&amp;$A29,'Dataset 1'!$J$7:$J$2506,EG$5)</f>
        <v>0</v>
      </c>
    </row>
    <row r="30" spans="1:137" x14ac:dyDescent="0.2">
      <c r="A30">
        <v>2006</v>
      </c>
      <c r="B30" s="83">
        <f>SUMIFS('Dataset 1'!$E$7:$E$2506,'Dataset 1'!$B$7:$B$2506,"&lt;="&amp;$A30,'Dataset 1'!$J$7:$J$2506,B$5)</f>
        <v>0</v>
      </c>
      <c r="C30" s="83">
        <f>SUMIFS('Dataset 1'!$E$7:$E$2506,'Dataset 1'!$B$7:$B$2506,"&lt;="&amp;$A30,'Dataset 1'!$J$7:$J$2506,C$5)</f>
        <v>0</v>
      </c>
      <c r="D30" s="83">
        <f>SUMIFS('Dataset 1'!$E$7:$E$2506,'Dataset 1'!$B$7:$B$2506,"&lt;="&amp;$A30,'Dataset 1'!$J$7:$J$2506,D$5)</f>
        <v>740</v>
      </c>
      <c r="E30" s="83">
        <f>SUMIFS('Dataset 1'!$E$7:$E$2506,'Dataset 1'!$B$7:$B$2506,"&lt;="&amp;$A30,'Dataset 1'!$J$7:$J$2506,E$5)</f>
        <v>0</v>
      </c>
      <c r="F30" s="83">
        <f>SUMIFS('Dataset 1'!$E$7:$E$2506,'Dataset 1'!$B$7:$B$2506,"&lt;="&amp;$A30,'Dataset 1'!$J$7:$J$2506,F$5)</f>
        <v>0</v>
      </c>
      <c r="G30" s="83">
        <f>SUMIFS('Dataset 1'!$E$7:$E$2506,'Dataset 1'!$B$7:$B$2506,"&lt;="&amp;$A30,'Dataset 1'!$J$7:$J$2506,G$5)</f>
        <v>3240</v>
      </c>
      <c r="H30" s="83">
        <f>SUMIFS('Dataset 1'!$E$7:$E$2506,'Dataset 1'!$B$7:$B$2506,"&lt;="&amp;$A30,'Dataset 1'!$J$7:$J$2506,H$5)</f>
        <v>0</v>
      </c>
      <c r="I30" s="83">
        <f>SUMIFS('Dataset 1'!$E$7:$E$2506,'Dataset 1'!$B$7:$B$2506,"&lt;="&amp;$A30,'Dataset 1'!$J$7:$J$2506,I$5)</f>
        <v>0</v>
      </c>
      <c r="J30" s="83">
        <f>SUMIFS('Dataset 1'!$E$7:$E$2506,'Dataset 1'!$B$7:$B$2506,"&lt;="&amp;$A30,'Dataset 1'!$J$7:$J$2506,J$5)</f>
        <v>0</v>
      </c>
      <c r="K30" s="83">
        <f>SUMIFS('Dataset 1'!$E$7:$E$2506,'Dataset 1'!$B$7:$B$2506,"&lt;="&amp;$A30,'Dataset 1'!$J$7:$J$2506,K$5)</f>
        <v>0</v>
      </c>
      <c r="L30" s="83">
        <f>SUMIFS('Dataset 1'!$E$7:$E$2506,'Dataset 1'!$B$7:$B$2506,"&lt;="&amp;$A30,'Dataset 1'!$J$7:$J$2506,L$5)</f>
        <v>0</v>
      </c>
      <c r="M30" s="83">
        <f>SUMIFS('Dataset 1'!$E$7:$E$2506,'Dataset 1'!$B$7:$B$2506,"&lt;="&amp;$A30,'Dataset 1'!$J$7:$J$2506,M$5)</f>
        <v>0</v>
      </c>
      <c r="N30" s="83">
        <f>SUMIFS('Dataset 1'!$E$7:$E$2506,'Dataset 1'!$B$7:$B$2506,"&lt;="&amp;$A30,'Dataset 1'!$J$7:$J$2506,N$5)</f>
        <v>0</v>
      </c>
      <c r="O30" s="83">
        <f>SUMIFS('Dataset 1'!$E$7:$E$2506,'Dataset 1'!$B$7:$B$2506,"&lt;="&amp;$A30,'Dataset 1'!$J$7:$J$2506,O$5)</f>
        <v>0</v>
      </c>
      <c r="P30" s="83">
        <f>SUMIFS('Dataset 1'!$E$7:$E$2506,'Dataset 1'!$B$7:$B$2506,"&lt;="&amp;$A30,'Dataset 1'!$J$7:$J$2506,P$5)</f>
        <v>0</v>
      </c>
      <c r="Q30" s="83">
        <f>SUMIFS('Dataset 1'!$E$7:$E$2506,'Dataset 1'!$B$7:$B$2506,"&lt;="&amp;$A30,'Dataset 1'!$J$7:$J$2506,Q$5)</f>
        <v>0</v>
      </c>
      <c r="R30" s="83">
        <f>SUMIFS('Dataset 1'!$E$7:$E$2506,'Dataset 1'!$B$7:$B$2506,"&lt;="&amp;$A30,'Dataset 1'!$J$7:$J$2506,R$5)</f>
        <v>900</v>
      </c>
      <c r="S30" s="83">
        <f>SUMIFS('Dataset 1'!$E$7:$E$2506,'Dataset 1'!$B$7:$B$2506,"&lt;="&amp;$A30,'Dataset 1'!$J$7:$J$2506,S$5)</f>
        <v>0</v>
      </c>
      <c r="T30" s="83">
        <f>SUMIFS('Dataset 1'!$E$7:$E$2506,'Dataset 1'!$B$7:$B$2506,"&lt;="&amp;$A30,'Dataset 1'!$J$7:$J$2506,T$5)</f>
        <v>0</v>
      </c>
      <c r="U30" s="83">
        <f>SUMIFS('Dataset 1'!$E$7:$E$2506,'Dataset 1'!$B$7:$B$2506,"&lt;="&amp;$A30,'Dataset 1'!$J$7:$J$2506,U$5)</f>
        <v>280</v>
      </c>
      <c r="V30" s="83">
        <f>SUMIFS('Dataset 1'!$E$7:$E$2506,'Dataset 1'!$B$7:$B$2506,"&lt;="&amp;$A30,'Dataset 1'!$J$7:$J$2506,V$5)</f>
        <v>0</v>
      </c>
      <c r="W30" s="83">
        <f>SUMIFS('Dataset 1'!$E$7:$E$2506,'Dataset 1'!$B$7:$B$2506,"&lt;="&amp;$A30,'Dataset 1'!$J$7:$J$2506,W$5)</f>
        <v>360</v>
      </c>
      <c r="X30" s="83">
        <f>SUMIFS('Dataset 1'!$E$7:$E$2506,'Dataset 1'!$B$7:$B$2506,"&lt;="&amp;$A30,'Dataset 1'!$J$7:$J$2506,X$5)</f>
        <v>480</v>
      </c>
      <c r="Y30" s="83">
        <f>SUMIFS('Dataset 1'!$E$7:$E$2506,'Dataset 1'!$B$7:$B$2506,"&lt;="&amp;$A30,'Dataset 1'!$J$7:$J$2506,Y$5)</f>
        <v>0</v>
      </c>
      <c r="Z30" s="83">
        <f>SUMIFS('Dataset 1'!$E$7:$E$2506,'Dataset 1'!$B$7:$B$2506,"&lt;="&amp;$A30,'Dataset 1'!$J$7:$J$2506,Z$5)</f>
        <v>430</v>
      </c>
      <c r="AA30" s="83">
        <f>SUMIFS('Dataset 1'!$E$7:$E$2506,'Dataset 1'!$B$7:$B$2506,"&lt;="&amp;$A30,'Dataset 1'!$J$7:$J$2506,AA$5)</f>
        <v>0</v>
      </c>
      <c r="AB30" s="83">
        <f>SUMIFS('Dataset 1'!$E$7:$E$2506,'Dataset 1'!$B$7:$B$2506,"&lt;="&amp;$A30,'Dataset 1'!$J$7:$J$2506,AB$5)</f>
        <v>0</v>
      </c>
      <c r="AC30" s="83">
        <f>SUMIFS('Dataset 1'!$E$7:$E$2506,'Dataset 1'!$B$7:$B$2506,"&lt;="&amp;$A30,'Dataset 1'!$J$7:$J$2506,AC$5)</f>
        <v>500</v>
      </c>
      <c r="AD30" s="83">
        <f>SUMIFS('Dataset 1'!$E$7:$E$2506,'Dataset 1'!$B$7:$B$2506,"&lt;="&amp;$A30,'Dataset 1'!$J$7:$J$2506,AD$5)</f>
        <v>0</v>
      </c>
      <c r="AE30" s="83">
        <f>SUMIFS('Dataset 1'!$E$7:$E$2506,'Dataset 1'!$B$7:$B$2506,"&lt;="&amp;$A30,'Dataset 1'!$J$7:$J$2506,AE$5)</f>
        <v>0</v>
      </c>
      <c r="AF30" s="83">
        <f>SUMIFS('Dataset 1'!$E$7:$E$2506,'Dataset 1'!$B$7:$B$2506,"&lt;="&amp;$A30,'Dataset 1'!$J$7:$J$2506,AF$5)</f>
        <v>1160</v>
      </c>
      <c r="AG30" s="83">
        <f>SUMIFS('Dataset 1'!$E$7:$E$2506,'Dataset 1'!$B$7:$B$2506,"&lt;="&amp;$A30,'Dataset 1'!$J$7:$J$2506,AG$5)</f>
        <v>0</v>
      </c>
      <c r="AH30" s="83">
        <f>SUMIFS('Dataset 1'!$E$7:$E$2506,'Dataset 1'!$B$7:$B$2506,"&lt;="&amp;$A30,'Dataset 1'!$J$7:$J$2506,AH$5)</f>
        <v>0</v>
      </c>
      <c r="AI30" s="83">
        <f>SUMIFS('Dataset 1'!$E$7:$E$2506,'Dataset 1'!$B$7:$B$2506,"&lt;="&amp;$A30,'Dataset 1'!$J$7:$J$2506,AI$5)</f>
        <v>1420</v>
      </c>
      <c r="AJ30" s="83">
        <f>SUMIFS('Dataset 1'!$E$7:$E$2506,'Dataset 1'!$B$7:$B$2506,"&lt;="&amp;$A30,'Dataset 1'!$J$7:$J$2506,AJ$5)</f>
        <v>940</v>
      </c>
      <c r="AK30" s="83">
        <f>SUMIFS('Dataset 1'!$E$7:$E$2506,'Dataset 1'!$B$7:$B$2506,"&lt;="&amp;$A30,'Dataset 1'!$J$7:$J$2506,AK$5)</f>
        <v>0</v>
      </c>
      <c r="AL30" s="83">
        <f>SUMIFS('Dataset 1'!$E$7:$E$2506,'Dataset 1'!$B$7:$B$2506,"&lt;="&amp;$A30,'Dataset 1'!$J$7:$J$2506,AL$5)</f>
        <v>0</v>
      </c>
      <c r="AM30" s="83">
        <f>SUMIFS('Dataset 1'!$E$7:$E$2506,'Dataset 1'!$B$7:$B$2506,"&lt;="&amp;$A30,'Dataset 1'!$J$7:$J$2506,AM$5)</f>
        <v>0</v>
      </c>
      <c r="AN30" s="83">
        <f>SUMIFS('Dataset 1'!$E$7:$E$2506,'Dataset 1'!$B$7:$B$2506,"&lt;="&amp;$A30,'Dataset 1'!$J$7:$J$2506,AN$5)</f>
        <v>480</v>
      </c>
      <c r="AO30" s="83">
        <f>SUMIFS('Dataset 1'!$E$7:$E$2506,'Dataset 1'!$B$7:$B$2506,"&lt;="&amp;$A30,'Dataset 1'!$J$7:$J$2506,AO$5)</f>
        <v>0</v>
      </c>
      <c r="AP30" s="83">
        <f>SUMIFS('Dataset 1'!$E$7:$E$2506,'Dataset 1'!$B$7:$B$2506,"&lt;="&amp;$A30,'Dataset 1'!$J$7:$J$2506,AP$5)</f>
        <v>0</v>
      </c>
      <c r="AQ30" s="83">
        <f>SUMIFS('Dataset 1'!$E$7:$E$2506,'Dataset 1'!$B$7:$B$2506,"&lt;="&amp;$A30,'Dataset 1'!$J$7:$J$2506,AQ$5)</f>
        <v>0</v>
      </c>
      <c r="AR30" s="83">
        <f>SUMIFS('Dataset 1'!$E$7:$E$2506,'Dataset 1'!$B$7:$B$2506,"&lt;="&amp;$A30,'Dataset 1'!$J$7:$J$2506,AR$5)</f>
        <v>0</v>
      </c>
      <c r="AS30" s="83">
        <f>SUMIFS('Dataset 1'!$E$7:$E$2506,'Dataset 1'!$B$7:$B$2506,"&lt;="&amp;$A30,'Dataset 1'!$J$7:$J$2506,AS$5)</f>
        <v>0</v>
      </c>
      <c r="AT30" s="83">
        <f>SUMIFS('Dataset 1'!$E$7:$E$2506,'Dataset 1'!$B$7:$B$2506,"&lt;="&amp;$A30,'Dataset 1'!$J$7:$J$2506,AT$5)</f>
        <v>0</v>
      </c>
      <c r="AU30" s="83">
        <f>SUMIFS('Dataset 1'!$E$7:$E$2506,'Dataset 1'!$B$7:$B$2506,"&lt;="&amp;$A30,'Dataset 1'!$J$7:$J$2506,AU$5)</f>
        <v>0</v>
      </c>
      <c r="AV30" s="83">
        <f>SUMIFS('Dataset 1'!$E$7:$E$2506,'Dataset 1'!$B$7:$B$2506,"&lt;="&amp;$A30,'Dataset 1'!$J$7:$J$2506,AV$5)</f>
        <v>0</v>
      </c>
      <c r="AW30" s="83">
        <f>SUMIFS('Dataset 1'!$E$7:$E$2506,'Dataset 1'!$B$7:$B$2506,"&lt;="&amp;$A30,'Dataset 1'!$J$7:$J$2506,AW$5)</f>
        <v>0</v>
      </c>
      <c r="AX30" s="83">
        <f>SUMIFS('Dataset 1'!$E$7:$E$2506,'Dataset 1'!$B$7:$B$2506,"&lt;="&amp;$A30,'Dataset 1'!$J$7:$J$2506,AX$5)</f>
        <v>0</v>
      </c>
      <c r="AY30" s="83">
        <f>SUMIFS('Dataset 1'!$E$7:$E$2506,'Dataset 1'!$B$7:$B$2506,"&lt;="&amp;$A30,'Dataset 1'!$J$7:$J$2506,AY$5)</f>
        <v>100</v>
      </c>
      <c r="AZ30" s="83">
        <f>SUMIFS('Dataset 1'!$E$7:$E$2506,'Dataset 1'!$B$7:$B$2506,"&lt;="&amp;$A30,'Dataset 1'!$J$7:$J$2506,AZ$5)</f>
        <v>0</v>
      </c>
      <c r="BA30" s="83">
        <f>SUMIFS('Dataset 1'!$E$7:$E$2506,'Dataset 1'!$B$7:$B$2506,"&lt;="&amp;$A30,'Dataset 1'!$J$7:$J$2506,BA$5)</f>
        <v>0</v>
      </c>
      <c r="BB30" s="83">
        <f>SUMIFS('Dataset 1'!$E$7:$E$2506,'Dataset 1'!$B$7:$B$2506,"&lt;="&amp;$A30,'Dataset 1'!$J$7:$J$2506,BB$5)</f>
        <v>0</v>
      </c>
      <c r="BC30" s="83">
        <f>SUMIFS('Dataset 1'!$E$7:$E$2506,'Dataset 1'!$B$7:$B$2506,"&lt;="&amp;$A30,'Dataset 1'!$J$7:$J$2506,BC$5)</f>
        <v>0</v>
      </c>
      <c r="BD30" s="83">
        <f>SUMIFS('Dataset 1'!$E$7:$E$2506,'Dataset 1'!$B$7:$B$2506,"&lt;="&amp;$A30,'Dataset 1'!$J$7:$J$2506,BD$5)</f>
        <v>0</v>
      </c>
      <c r="BE30" s="83">
        <f>SUMIFS('Dataset 1'!$E$7:$E$2506,'Dataset 1'!$B$7:$B$2506,"&lt;="&amp;$A30,'Dataset 1'!$J$7:$J$2506,BE$5)</f>
        <v>0</v>
      </c>
      <c r="BF30" s="83">
        <f>SUMIFS('Dataset 1'!$E$7:$E$2506,'Dataset 1'!$B$7:$B$2506,"&lt;="&amp;$A30,'Dataset 1'!$J$7:$J$2506,BF$5)</f>
        <v>0</v>
      </c>
      <c r="BG30" s="83">
        <f>SUMIFS('Dataset 1'!$E$7:$E$2506,'Dataset 1'!$B$7:$B$2506,"&lt;="&amp;$A30,'Dataset 1'!$J$7:$J$2506,BG$5)</f>
        <v>110</v>
      </c>
      <c r="BH30" s="83">
        <f>SUMIFS('Dataset 1'!$E$7:$E$2506,'Dataset 1'!$B$7:$B$2506,"&lt;="&amp;$A30,'Dataset 1'!$J$7:$J$2506,BH$5)</f>
        <v>0</v>
      </c>
      <c r="BI30" s="83">
        <f>SUMIFS('Dataset 1'!$E$7:$E$2506,'Dataset 1'!$B$7:$B$2506,"&lt;="&amp;$A30,'Dataset 1'!$J$7:$J$2506,BI$5)</f>
        <v>6110</v>
      </c>
      <c r="BJ30" s="83">
        <f>SUMIFS('Dataset 1'!$E$7:$E$2506,'Dataset 1'!$B$7:$B$2506,"&lt;="&amp;$A30,'Dataset 1'!$J$7:$J$2506,BJ$5)</f>
        <v>0</v>
      </c>
      <c r="BK30" s="83">
        <f>SUMIFS('Dataset 1'!$E$7:$E$2506,'Dataset 1'!$B$7:$B$2506,"&lt;="&amp;$A30,'Dataset 1'!$J$7:$J$2506,BK$5)</f>
        <v>0</v>
      </c>
      <c r="BL30" s="83">
        <f>SUMIFS('Dataset 1'!$E$7:$E$2506,'Dataset 1'!$B$7:$B$2506,"&lt;="&amp;$A30,'Dataset 1'!$J$7:$J$2506,BL$5)</f>
        <v>0</v>
      </c>
      <c r="BM30" s="83">
        <f>SUMIFS('Dataset 1'!$E$7:$E$2506,'Dataset 1'!$B$7:$B$2506,"&lt;="&amp;$A30,'Dataset 1'!$J$7:$J$2506,BM$5)</f>
        <v>140</v>
      </c>
      <c r="BN30" s="83">
        <f>SUMIFS('Dataset 1'!$E$7:$E$2506,'Dataset 1'!$B$7:$B$2506,"&lt;="&amp;$A30,'Dataset 1'!$J$7:$J$2506,BN$5)</f>
        <v>0</v>
      </c>
      <c r="BO30" s="83">
        <f>SUMIFS('Dataset 1'!$E$7:$E$2506,'Dataset 1'!$B$7:$B$2506,"&lt;="&amp;$A30,'Dataset 1'!$J$7:$J$2506,BO$5)</f>
        <v>0</v>
      </c>
      <c r="BP30" s="83">
        <f>SUMIFS('Dataset 1'!$E$7:$E$2506,'Dataset 1'!$B$7:$B$2506,"&lt;="&amp;$A30,'Dataset 1'!$J$7:$J$2506,BP$5)</f>
        <v>0</v>
      </c>
      <c r="BQ30" s="83">
        <f>SUMIFS('Dataset 1'!$E$7:$E$2506,'Dataset 1'!$B$7:$B$2506,"&lt;="&amp;$A30,'Dataset 1'!$J$7:$J$2506,BQ$5)</f>
        <v>0</v>
      </c>
      <c r="BR30" s="83">
        <f>SUMIFS('Dataset 1'!$E$7:$E$2506,'Dataset 1'!$B$7:$B$2506,"&lt;="&amp;$A30,'Dataset 1'!$J$7:$J$2506,BR$5)</f>
        <v>0</v>
      </c>
      <c r="BS30" s="83">
        <f>SUMIFS('Dataset 1'!$E$7:$E$2506,'Dataset 1'!$B$7:$B$2506,"&lt;="&amp;$A30,'Dataset 1'!$J$7:$J$2506,BS$5)</f>
        <v>0</v>
      </c>
      <c r="BT30" s="83">
        <f>SUMIFS('Dataset 1'!$E$7:$E$2506,'Dataset 1'!$B$7:$B$2506,"&lt;="&amp;$A30,'Dataset 1'!$J$7:$J$2506,BT$5)</f>
        <v>0</v>
      </c>
      <c r="BU30" s="83">
        <f>SUMIFS('Dataset 1'!$E$7:$E$2506,'Dataset 1'!$B$7:$B$2506,"&lt;="&amp;$A30,'Dataset 1'!$J$7:$J$2506,BU$5)</f>
        <v>0</v>
      </c>
      <c r="BV30" s="83">
        <f>SUMIFS('Dataset 1'!$E$7:$E$2506,'Dataset 1'!$B$7:$B$2506,"&lt;="&amp;$A30,'Dataset 1'!$J$7:$J$2506,BV$5)</f>
        <v>0</v>
      </c>
      <c r="BW30" s="83">
        <f>SUMIFS('Dataset 1'!$E$7:$E$2506,'Dataset 1'!$B$7:$B$2506,"&lt;="&amp;$A30,'Dataset 1'!$J$7:$J$2506,BW$5)</f>
        <v>0</v>
      </c>
      <c r="BX30" s="83">
        <f>SUMIFS('Dataset 1'!$E$7:$E$2506,'Dataset 1'!$B$7:$B$2506,"&lt;="&amp;$A30,'Dataset 1'!$J$7:$J$2506,BX$5)</f>
        <v>200</v>
      </c>
      <c r="BY30" s="83">
        <f>SUMIFS('Dataset 1'!$E$7:$E$2506,'Dataset 1'!$B$7:$B$2506,"&lt;="&amp;$A30,'Dataset 1'!$J$7:$J$2506,BY$5)</f>
        <v>0</v>
      </c>
      <c r="BZ30" s="83">
        <f>SUMIFS('Dataset 1'!$E$7:$E$2506,'Dataset 1'!$B$7:$B$2506,"&lt;="&amp;$A30,'Dataset 1'!$J$7:$J$2506,BZ$5)</f>
        <v>0</v>
      </c>
      <c r="CA30" s="83">
        <f>SUMIFS('Dataset 1'!$E$7:$E$2506,'Dataset 1'!$B$7:$B$2506,"&lt;="&amp;$A30,'Dataset 1'!$J$7:$J$2506,CA$5)</f>
        <v>0</v>
      </c>
      <c r="CB30" s="83">
        <f>SUMIFS('Dataset 1'!$E$7:$E$2506,'Dataset 1'!$B$7:$B$2506,"&lt;="&amp;$A30,'Dataset 1'!$J$7:$J$2506,CB$5)</f>
        <v>0</v>
      </c>
      <c r="CC30" s="83">
        <f>SUMIFS('Dataset 1'!$E$7:$E$2506,'Dataset 1'!$B$7:$B$2506,"&lt;="&amp;$A30,'Dataset 1'!$J$7:$J$2506,CC$5)</f>
        <v>0</v>
      </c>
      <c r="CD30" s="83">
        <f>SUMIFS('Dataset 1'!$E$7:$E$2506,'Dataset 1'!$B$7:$B$2506,"&lt;="&amp;$A30,'Dataset 1'!$J$7:$J$2506,CD$5)</f>
        <v>0</v>
      </c>
      <c r="CE30" s="83">
        <f>SUMIFS('Dataset 1'!$E$7:$E$2506,'Dataset 1'!$B$7:$B$2506,"&lt;="&amp;$A30,'Dataset 1'!$J$7:$J$2506,CE$5)</f>
        <v>100</v>
      </c>
      <c r="CF30" s="83">
        <f>SUMIFS('Dataset 1'!$E$7:$E$2506,'Dataset 1'!$B$7:$B$2506,"&lt;="&amp;$A30,'Dataset 1'!$J$7:$J$2506,CF$5)</f>
        <v>0</v>
      </c>
      <c r="CG30" s="83">
        <f>SUMIFS('Dataset 1'!$E$7:$E$2506,'Dataset 1'!$B$7:$B$2506,"&lt;="&amp;$A30,'Dataset 1'!$J$7:$J$2506,CG$5)</f>
        <v>0</v>
      </c>
      <c r="CH30" s="83">
        <f>SUMIFS('Dataset 1'!$E$7:$E$2506,'Dataset 1'!$B$7:$B$2506,"&lt;="&amp;$A30,'Dataset 1'!$J$7:$J$2506,CH$5)</f>
        <v>0</v>
      </c>
      <c r="CI30" s="83">
        <f>SUMIFS('Dataset 1'!$E$7:$E$2506,'Dataset 1'!$B$7:$B$2506,"&lt;="&amp;$A30,'Dataset 1'!$J$7:$J$2506,CI$5)</f>
        <v>2270</v>
      </c>
      <c r="CJ30" s="83">
        <f>SUMIFS('Dataset 1'!$E$7:$E$2506,'Dataset 1'!$B$7:$B$2506,"&lt;="&amp;$A30,'Dataset 1'!$J$7:$J$2506,CJ$5)</f>
        <v>0</v>
      </c>
      <c r="CK30" s="83">
        <f>SUMIFS('Dataset 1'!$E$7:$E$2506,'Dataset 1'!$B$7:$B$2506,"&lt;="&amp;$A30,'Dataset 1'!$J$7:$J$2506,CK$5)</f>
        <v>0</v>
      </c>
      <c r="CL30" s="83">
        <f>SUMIFS('Dataset 1'!$E$7:$E$2506,'Dataset 1'!$B$7:$B$2506,"&lt;="&amp;$A30,'Dataset 1'!$J$7:$J$2506,CL$5)</f>
        <v>0</v>
      </c>
      <c r="CM30" s="83">
        <f>SUMIFS('Dataset 1'!$E$7:$E$2506,'Dataset 1'!$B$7:$B$2506,"&lt;="&amp;$A30,'Dataset 1'!$J$7:$J$2506,CM$5)</f>
        <v>0</v>
      </c>
      <c r="CN30" s="83">
        <f>SUMIFS('Dataset 1'!$E$7:$E$2506,'Dataset 1'!$B$7:$B$2506,"&lt;="&amp;$A30,'Dataset 1'!$J$7:$J$2506,CN$5)</f>
        <v>0</v>
      </c>
      <c r="CO30" s="83">
        <f>SUMIFS('Dataset 1'!$E$7:$E$2506,'Dataset 1'!$B$7:$B$2506,"&lt;="&amp;$A30,'Dataset 1'!$J$7:$J$2506,CO$5)</f>
        <v>670</v>
      </c>
      <c r="CP30" s="83">
        <f>SUMIFS('Dataset 1'!$E$7:$E$2506,'Dataset 1'!$B$7:$B$2506,"&lt;="&amp;$A30,'Dataset 1'!$J$7:$J$2506,CP$5)</f>
        <v>0</v>
      </c>
      <c r="CQ30" s="83">
        <f>SUMIFS('Dataset 1'!$E$7:$E$2506,'Dataset 1'!$B$7:$B$2506,"&lt;="&amp;$A30,'Dataset 1'!$J$7:$J$2506,CQ$5)</f>
        <v>0</v>
      </c>
      <c r="CR30" s="83">
        <f>SUMIFS('Dataset 1'!$E$7:$E$2506,'Dataset 1'!$B$7:$B$2506,"&lt;="&amp;$A30,'Dataset 1'!$J$7:$J$2506,CR$5)</f>
        <v>0</v>
      </c>
      <c r="CS30" s="83">
        <f>SUMIFS('Dataset 1'!$E$7:$E$2506,'Dataset 1'!$B$7:$B$2506,"&lt;="&amp;$A30,'Dataset 1'!$J$7:$J$2506,CS$5)</f>
        <v>0</v>
      </c>
      <c r="CT30" s="83">
        <f>SUMIFS('Dataset 1'!$E$7:$E$2506,'Dataset 1'!$B$7:$B$2506,"&lt;="&amp;$A30,'Dataset 1'!$J$7:$J$2506,CT$5)</f>
        <v>0</v>
      </c>
      <c r="CU30" s="83">
        <f>SUMIFS('Dataset 1'!$E$7:$E$2506,'Dataset 1'!$B$7:$B$2506,"&lt;="&amp;$A30,'Dataset 1'!$J$7:$J$2506,CU$5)</f>
        <v>5410</v>
      </c>
      <c r="CV30" s="83">
        <f>SUMIFS('Dataset 1'!$E$7:$E$2506,'Dataset 1'!$B$7:$B$2506,"&lt;="&amp;$A30,'Dataset 1'!$J$7:$J$2506,CV$5)</f>
        <v>0</v>
      </c>
      <c r="CW30" s="83">
        <f>SUMIFS('Dataset 1'!$E$7:$E$2506,'Dataset 1'!$B$7:$B$2506,"&lt;="&amp;$A30,'Dataset 1'!$J$7:$J$2506,CW$5)</f>
        <v>0</v>
      </c>
      <c r="CX30" s="83">
        <f>SUMIFS('Dataset 1'!$E$7:$E$2506,'Dataset 1'!$B$7:$B$2506,"&lt;="&amp;$A30,'Dataset 1'!$J$7:$J$2506,CX$5)</f>
        <v>0</v>
      </c>
      <c r="CY30" s="83">
        <f>SUMIFS('Dataset 1'!$E$7:$E$2506,'Dataset 1'!$B$7:$B$2506,"&lt;="&amp;$A30,'Dataset 1'!$J$7:$J$2506,CY$5)</f>
        <v>0</v>
      </c>
      <c r="CZ30" s="83">
        <f>SUMIFS('Dataset 1'!$E$7:$E$2506,'Dataset 1'!$B$7:$B$2506,"&lt;="&amp;$A30,'Dataset 1'!$J$7:$J$2506,CZ$5)</f>
        <v>0</v>
      </c>
      <c r="DA30" s="83">
        <f>SUMIFS('Dataset 1'!$E$7:$E$2506,'Dataset 1'!$B$7:$B$2506,"&lt;="&amp;$A30,'Dataset 1'!$J$7:$J$2506,DA$5)</f>
        <v>0</v>
      </c>
      <c r="DB30" s="83">
        <f>SUMIFS('Dataset 1'!$E$7:$E$2506,'Dataset 1'!$B$7:$B$2506,"&lt;="&amp;$A30,'Dataset 1'!$J$7:$J$2506,DB$5)</f>
        <v>970</v>
      </c>
      <c r="DC30" s="83">
        <f>SUMIFS('Dataset 1'!$E$7:$E$2506,'Dataset 1'!$B$7:$B$2506,"&lt;="&amp;$A30,'Dataset 1'!$J$7:$J$2506,DC$5)</f>
        <v>0</v>
      </c>
      <c r="DD30" s="83">
        <f>SUMIFS('Dataset 1'!$E$7:$E$2506,'Dataset 1'!$B$7:$B$2506,"&lt;="&amp;$A30,'Dataset 1'!$J$7:$J$2506,DD$5)</f>
        <v>0</v>
      </c>
      <c r="DE30" s="83">
        <f>SUMIFS('Dataset 1'!$E$7:$E$2506,'Dataset 1'!$B$7:$B$2506,"&lt;="&amp;$A30,'Dataset 1'!$J$7:$J$2506,DE$5)</f>
        <v>0</v>
      </c>
      <c r="DF30" s="83">
        <f>SUMIFS('Dataset 1'!$E$7:$E$2506,'Dataset 1'!$B$7:$B$2506,"&lt;="&amp;$A30,'Dataset 1'!$J$7:$J$2506,DF$5)</f>
        <v>230</v>
      </c>
      <c r="DG30" s="83">
        <f>SUMIFS('Dataset 1'!$E$7:$E$2506,'Dataset 1'!$B$7:$B$2506,"&lt;="&amp;$A30,'Dataset 1'!$J$7:$J$2506,DG$5)</f>
        <v>0</v>
      </c>
      <c r="DH30" s="83">
        <f>SUMIFS('Dataset 1'!$E$7:$E$2506,'Dataset 1'!$B$7:$B$2506,"&lt;="&amp;$A30,'Dataset 1'!$J$7:$J$2506,DH$5)</f>
        <v>0</v>
      </c>
      <c r="DI30" s="83">
        <f>SUMIFS('Dataset 1'!$E$7:$E$2506,'Dataset 1'!$B$7:$B$2506,"&lt;="&amp;$A30,'Dataset 1'!$J$7:$J$2506,DI$5)</f>
        <v>0</v>
      </c>
      <c r="DJ30" s="83">
        <f>SUMIFS('Dataset 1'!$E$7:$E$2506,'Dataset 1'!$B$7:$B$2506,"&lt;="&amp;$A30,'Dataset 1'!$J$7:$J$2506,DJ$5)</f>
        <v>0</v>
      </c>
      <c r="DK30" s="83">
        <f>SUMIFS('Dataset 1'!$E$7:$E$2506,'Dataset 1'!$B$7:$B$2506,"&lt;="&amp;$A30,'Dataset 1'!$J$7:$J$2506,DK$5)</f>
        <v>0</v>
      </c>
      <c r="DL30" s="83">
        <f>SUMIFS('Dataset 1'!$E$7:$E$2506,'Dataset 1'!$B$7:$B$2506,"&lt;="&amp;$A30,'Dataset 1'!$J$7:$J$2506,DL$5)</f>
        <v>0</v>
      </c>
      <c r="DM30" s="83">
        <f>SUMIFS('Dataset 1'!$E$7:$E$2506,'Dataset 1'!$B$7:$B$2506,"&lt;="&amp;$A30,'Dataset 1'!$J$7:$J$2506,DM$5)</f>
        <v>0</v>
      </c>
      <c r="DN30" s="83">
        <f>SUMIFS('Dataset 1'!$E$7:$E$2506,'Dataset 1'!$B$7:$B$2506,"&lt;="&amp;$A30,'Dataset 1'!$J$7:$J$2506,DN$5)</f>
        <v>290</v>
      </c>
      <c r="DO30" s="83">
        <f>SUMIFS('Dataset 1'!$E$7:$E$2506,'Dataset 1'!$B$7:$B$2506,"&lt;="&amp;$A30,'Dataset 1'!$J$7:$J$2506,DO$5)</f>
        <v>0</v>
      </c>
      <c r="DP30" s="83">
        <f>SUMIFS('Dataset 1'!$E$7:$E$2506,'Dataset 1'!$B$7:$B$2506,"&lt;="&amp;$A30,'Dataset 1'!$J$7:$J$2506,DP$5)</f>
        <v>0</v>
      </c>
      <c r="DQ30" s="83">
        <f>SUMIFS('Dataset 1'!$E$7:$E$2506,'Dataset 1'!$B$7:$B$2506,"&lt;="&amp;$A30,'Dataset 1'!$J$7:$J$2506,DQ$5)</f>
        <v>0</v>
      </c>
      <c r="DR30" s="83">
        <f>SUMIFS('Dataset 1'!$E$7:$E$2506,'Dataset 1'!$B$7:$B$2506,"&lt;="&amp;$A30,'Dataset 1'!$J$7:$J$2506,DR$5)</f>
        <v>150</v>
      </c>
      <c r="DS30" s="83">
        <f>SUMIFS('Dataset 1'!$E$7:$E$2506,'Dataset 1'!$B$7:$B$2506,"&lt;="&amp;$A30,'Dataset 1'!$J$7:$J$2506,DS$5)</f>
        <v>0</v>
      </c>
      <c r="DT30" s="83">
        <f>SUMIFS('Dataset 1'!$E$7:$E$2506,'Dataset 1'!$B$7:$B$2506,"&lt;="&amp;$A30,'Dataset 1'!$J$7:$J$2506,DT$5)</f>
        <v>0</v>
      </c>
      <c r="DU30" s="83">
        <f>SUMIFS('Dataset 1'!$E$7:$E$2506,'Dataset 1'!$B$7:$B$2506,"&lt;="&amp;$A30,'Dataset 1'!$J$7:$J$2506,DU$5)</f>
        <v>0</v>
      </c>
      <c r="DV30" s="83">
        <f>SUMIFS('Dataset 1'!$E$7:$E$2506,'Dataset 1'!$B$7:$B$2506,"&lt;="&amp;$A30,'Dataset 1'!$J$7:$J$2506,DV$5)</f>
        <v>0</v>
      </c>
      <c r="DW30" s="83">
        <f>SUMIFS('Dataset 1'!$E$7:$E$2506,'Dataset 1'!$B$7:$B$2506,"&lt;="&amp;$A30,'Dataset 1'!$J$7:$J$2506,DW$5)</f>
        <v>0</v>
      </c>
      <c r="DX30" s="83">
        <f>SUMIFS('Dataset 1'!$E$7:$E$2506,'Dataset 1'!$B$7:$B$2506,"&lt;="&amp;$A30,'Dataset 1'!$J$7:$J$2506,DX$5)</f>
        <v>0</v>
      </c>
      <c r="DY30" s="83">
        <f>SUMIFS('Dataset 1'!$E$7:$E$2506,'Dataset 1'!$B$7:$B$2506,"&lt;="&amp;$A30,'Dataset 1'!$J$7:$J$2506,DY$5)</f>
        <v>1740</v>
      </c>
      <c r="DZ30" s="83">
        <f>SUMIFS('Dataset 1'!$E$7:$E$2506,'Dataset 1'!$B$7:$B$2506,"&lt;="&amp;$A30,'Dataset 1'!$J$7:$J$2506,DZ$5)</f>
        <v>0</v>
      </c>
      <c r="EA30" s="83">
        <f>SUMIFS('Dataset 1'!$E$7:$E$2506,'Dataset 1'!$B$7:$B$2506,"&lt;="&amp;$A30,'Dataset 1'!$J$7:$J$2506,EA$5)</f>
        <v>0</v>
      </c>
      <c r="EB30" s="83">
        <f>SUMIFS('Dataset 1'!$E$7:$E$2506,'Dataset 1'!$B$7:$B$2506,"&lt;="&amp;$A30,'Dataset 1'!$J$7:$J$2506,EB$5)</f>
        <v>0</v>
      </c>
      <c r="EC30" s="83">
        <f>SUMIFS('Dataset 1'!$E$7:$E$2506,'Dataset 1'!$B$7:$B$2506,"&lt;="&amp;$A30,'Dataset 1'!$J$7:$J$2506,EC$5)</f>
        <v>0</v>
      </c>
      <c r="ED30" s="83">
        <f>SUMIFS('Dataset 1'!$E$7:$E$2506,'Dataset 1'!$B$7:$B$2506,"&lt;="&amp;$A30,'Dataset 1'!$J$7:$J$2506,ED$5)</f>
        <v>0</v>
      </c>
      <c r="EE30" s="83">
        <f>SUMIFS('Dataset 1'!$E$7:$E$2506,'Dataset 1'!$B$7:$B$2506,"&lt;="&amp;$A30,'Dataset 1'!$J$7:$J$2506,EE$5)</f>
        <v>0</v>
      </c>
      <c r="EF30" s="83">
        <f>SUMIFS('Dataset 1'!$E$7:$E$2506,'Dataset 1'!$B$7:$B$2506,"&lt;="&amp;$A30,'Dataset 1'!$J$7:$J$2506,EF$5)</f>
        <v>310</v>
      </c>
      <c r="EG30" s="83">
        <f>SUMIFS('Dataset 1'!$E$7:$E$2506,'Dataset 1'!$B$7:$B$2506,"&lt;="&amp;$A30,'Dataset 1'!$J$7:$J$2506,EG$5)</f>
        <v>0</v>
      </c>
    </row>
    <row r="31" spans="1:137" x14ac:dyDescent="0.2">
      <c r="A31">
        <v>2007</v>
      </c>
      <c r="B31" s="83">
        <f>SUMIFS('Dataset 1'!$E$7:$E$2506,'Dataset 1'!$B$7:$B$2506,"&lt;="&amp;$A31,'Dataset 1'!$J$7:$J$2506,B$5)</f>
        <v>2520</v>
      </c>
      <c r="C31" s="83">
        <f>SUMIFS('Dataset 1'!$E$7:$E$2506,'Dataset 1'!$B$7:$B$2506,"&lt;="&amp;$A31,'Dataset 1'!$J$7:$J$2506,C$5)</f>
        <v>0</v>
      </c>
      <c r="D31" s="83">
        <f>SUMIFS('Dataset 1'!$E$7:$E$2506,'Dataset 1'!$B$7:$B$2506,"&lt;="&amp;$A31,'Dataset 1'!$J$7:$J$2506,D$5)</f>
        <v>740</v>
      </c>
      <c r="E31" s="83">
        <f>SUMIFS('Dataset 1'!$E$7:$E$2506,'Dataset 1'!$B$7:$B$2506,"&lt;="&amp;$A31,'Dataset 1'!$J$7:$J$2506,E$5)</f>
        <v>0</v>
      </c>
      <c r="F31" s="83">
        <f>SUMIFS('Dataset 1'!$E$7:$E$2506,'Dataset 1'!$B$7:$B$2506,"&lt;="&amp;$A31,'Dataset 1'!$J$7:$J$2506,F$5)</f>
        <v>0</v>
      </c>
      <c r="G31" s="83">
        <f>SUMIFS('Dataset 1'!$E$7:$E$2506,'Dataset 1'!$B$7:$B$2506,"&lt;="&amp;$A31,'Dataset 1'!$J$7:$J$2506,G$5)</f>
        <v>3670</v>
      </c>
      <c r="H31" s="83">
        <f>SUMIFS('Dataset 1'!$E$7:$E$2506,'Dataset 1'!$B$7:$B$2506,"&lt;="&amp;$A31,'Dataset 1'!$J$7:$J$2506,H$5)</f>
        <v>0</v>
      </c>
      <c r="I31" s="83">
        <f>SUMIFS('Dataset 1'!$E$7:$E$2506,'Dataset 1'!$B$7:$B$2506,"&lt;="&amp;$A31,'Dataset 1'!$J$7:$J$2506,I$5)</f>
        <v>0</v>
      </c>
      <c r="J31" s="83">
        <f>SUMIFS('Dataset 1'!$E$7:$E$2506,'Dataset 1'!$B$7:$B$2506,"&lt;="&amp;$A31,'Dataset 1'!$J$7:$J$2506,J$5)</f>
        <v>0</v>
      </c>
      <c r="K31" s="83">
        <f>SUMIFS('Dataset 1'!$E$7:$E$2506,'Dataset 1'!$B$7:$B$2506,"&lt;="&amp;$A31,'Dataset 1'!$J$7:$J$2506,K$5)</f>
        <v>0</v>
      </c>
      <c r="L31" s="83">
        <f>SUMIFS('Dataset 1'!$E$7:$E$2506,'Dataset 1'!$B$7:$B$2506,"&lt;="&amp;$A31,'Dataset 1'!$J$7:$J$2506,L$5)</f>
        <v>0</v>
      </c>
      <c r="M31" s="83">
        <f>SUMIFS('Dataset 1'!$E$7:$E$2506,'Dataset 1'!$B$7:$B$2506,"&lt;="&amp;$A31,'Dataset 1'!$J$7:$J$2506,M$5)</f>
        <v>2790</v>
      </c>
      <c r="N31" s="83">
        <f>SUMIFS('Dataset 1'!$E$7:$E$2506,'Dataset 1'!$B$7:$B$2506,"&lt;="&amp;$A31,'Dataset 1'!$J$7:$J$2506,N$5)</f>
        <v>0</v>
      </c>
      <c r="O31" s="83">
        <f>SUMIFS('Dataset 1'!$E$7:$E$2506,'Dataset 1'!$B$7:$B$2506,"&lt;="&amp;$A31,'Dataset 1'!$J$7:$J$2506,O$5)</f>
        <v>0</v>
      </c>
      <c r="P31" s="83">
        <f>SUMIFS('Dataset 1'!$E$7:$E$2506,'Dataset 1'!$B$7:$B$2506,"&lt;="&amp;$A31,'Dataset 1'!$J$7:$J$2506,P$5)</f>
        <v>0</v>
      </c>
      <c r="Q31" s="83">
        <f>SUMIFS('Dataset 1'!$E$7:$E$2506,'Dataset 1'!$B$7:$B$2506,"&lt;="&amp;$A31,'Dataset 1'!$J$7:$J$2506,Q$5)</f>
        <v>0</v>
      </c>
      <c r="R31" s="83">
        <f>SUMIFS('Dataset 1'!$E$7:$E$2506,'Dataset 1'!$B$7:$B$2506,"&lt;="&amp;$A31,'Dataset 1'!$J$7:$J$2506,R$5)</f>
        <v>3940</v>
      </c>
      <c r="S31" s="83">
        <f>SUMIFS('Dataset 1'!$E$7:$E$2506,'Dataset 1'!$B$7:$B$2506,"&lt;="&amp;$A31,'Dataset 1'!$J$7:$J$2506,S$5)</f>
        <v>0</v>
      </c>
      <c r="T31" s="83">
        <f>SUMIFS('Dataset 1'!$E$7:$E$2506,'Dataset 1'!$B$7:$B$2506,"&lt;="&amp;$A31,'Dataset 1'!$J$7:$J$2506,T$5)</f>
        <v>0</v>
      </c>
      <c r="U31" s="83">
        <f>SUMIFS('Dataset 1'!$E$7:$E$2506,'Dataset 1'!$B$7:$B$2506,"&lt;="&amp;$A31,'Dataset 1'!$J$7:$J$2506,U$5)</f>
        <v>280</v>
      </c>
      <c r="V31" s="83">
        <f>SUMIFS('Dataset 1'!$E$7:$E$2506,'Dataset 1'!$B$7:$B$2506,"&lt;="&amp;$A31,'Dataset 1'!$J$7:$J$2506,V$5)</f>
        <v>0</v>
      </c>
      <c r="W31" s="83">
        <f>SUMIFS('Dataset 1'!$E$7:$E$2506,'Dataset 1'!$B$7:$B$2506,"&lt;="&amp;$A31,'Dataset 1'!$J$7:$J$2506,W$5)</f>
        <v>360</v>
      </c>
      <c r="X31" s="83">
        <f>SUMIFS('Dataset 1'!$E$7:$E$2506,'Dataset 1'!$B$7:$B$2506,"&lt;="&amp;$A31,'Dataset 1'!$J$7:$J$2506,X$5)</f>
        <v>680</v>
      </c>
      <c r="Y31" s="83">
        <f>SUMIFS('Dataset 1'!$E$7:$E$2506,'Dataset 1'!$B$7:$B$2506,"&lt;="&amp;$A31,'Dataset 1'!$J$7:$J$2506,Y$5)</f>
        <v>0</v>
      </c>
      <c r="Z31" s="83">
        <f>SUMIFS('Dataset 1'!$E$7:$E$2506,'Dataset 1'!$B$7:$B$2506,"&lt;="&amp;$A31,'Dataset 1'!$J$7:$J$2506,Z$5)</f>
        <v>430</v>
      </c>
      <c r="AA31" s="83">
        <f>SUMIFS('Dataset 1'!$E$7:$E$2506,'Dataset 1'!$B$7:$B$2506,"&lt;="&amp;$A31,'Dataset 1'!$J$7:$J$2506,AA$5)</f>
        <v>0</v>
      </c>
      <c r="AB31" s="83">
        <f>SUMIFS('Dataset 1'!$E$7:$E$2506,'Dataset 1'!$B$7:$B$2506,"&lt;="&amp;$A31,'Dataset 1'!$J$7:$J$2506,AB$5)</f>
        <v>0</v>
      </c>
      <c r="AC31" s="83">
        <f>SUMIFS('Dataset 1'!$E$7:$E$2506,'Dataset 1'!$B$7:$B$2506,"&lt;="&amp;$A31,'Dataset 1'!$J$7:$J$2506,AC$5)</f>
        <v>500</v>
      </c>
      <c r="AD31" s="83">
        <f>SUMIFS('Dataset 1'!$E$7:$E$2506,'Dataset 1'!$B$7:$B$2506,"&lt;="&amp;$A31,'Dataset 1'!$J$7:$J$2506,AD$5)</f>
        <v>0</v>
      </c>
      <c r="AE31" s="83">
        <f>SUMIFS('Dataset 1'!$E$7:$E$2506,'Dataset 1'!$B$7:$B$2506,"&lt;="&amp;$A31,'Dataset 1'!$J$7:$J$2506,AE$5)</f>
        <v>0</v>
      </c>
      <c r="AF31" s="83">
        <f>SUMIFS('Dataset 1'!$E$7:$E$2506,'Dataset 1'!$B$7:$B$2506,"&lt;="&amp;$A31,'Dataset 1'!$J$7:$J$2506,AF$5)</f>
        <v>1160</v>
      </c>
      <c r="AG31" s="83">
        <f>SUMIFS('Dataset 1'!$E$7:$E$2506,'Dataset 1'!$B$7:$B$2506,"&lt;="&amp;$A31,'Dataset 1'!$J$7:$J$2506,AG$5)</f>
        <v>0</v>
      </c>
      <c r="AH31" s="83">
        <f>SUMIFS('Dataset 1'!$E$7:$E$2506,'Dataset 1'!$B$7:$B$2506,"&lt;="&amp;$A31,'Dataset 1'!$J$7:$J$2506,AH$5)</f>
        <v>0</v>
      </c>
      <c r="AI31" s="83">
        <f>SUMIFS('Dataset 1'!$E$7:$E$2506,'Dataset 1'!$B$7:$B$2506,"&lt;="&amp;$A31,'Dataset 1'!$J$7:$J$2506,AI$5)</f>
        <v>1420</v>
      </c>
      <c r="AJ31" s="83">
        <f>SUMIFS('Dataset 1'!$E$7:$E$2506,'Dataset 1'!$B$7:$B$2506,"&lt;="&amp;$A31,'Dataset 1'!$J$7:$J$2506,AJ$5)</f>
        <v>1090</v>
      </c>
      <c r="AK31" s="83">
        <f>SUMIFS('Dataset 1'!$E$7:$E$2506,'Dataset 1'!$B$7:$B$2506,"&lt;="&amp;$A31,'Dataset 1'!$J$7:$J$2506,AK$5)</f>
        <v>0</v>
      </c>
      <c r="AL31" s="83">
        <f>SUMIFS('Dataset 1'!$E$7:$E$2506,'Dataset 1'!$B$7:$B$2506,"&lt;="&amp;$A31,'Dataset 1'!$J$7:$J$2506,AL$5)</f>
        <v>0</v>
      </c>
      <c r="AM31" s="83">
        <f>SUMIFS('Dataset 1'!$E$7:$E$2506,'Dataset 1'!$B$7:$B$2506,"&lt;="&amp;$A31,'Dataset 1'!$J$7:$J$2506,AM$5)</f>
        <v>0</v>
      </c>
      <c r="AN31" s="83">
        <f>SUMIFS('Dataset 1'!$E$7:$E$2506,'Dataset 1'!$B$7:$B$2506,"&lt;="&amp;$A31,'Dataset 1'!$J$7:$J$2506,AN$5)</f>
        <v>1180</v>
      </c>
      <c r="AO31" s="83">
        <f>SUMIFS('Dataset 1'!$E$7:$E$2506,'Dataset 1'!$B$7:$B$2506,"&lt;="&amp;$A31,'Dataset 1'!$J$7:$J$2506,AO$5)</f>
        <v>0</v>
      </c>
      <c r="AP31" s="83">
        <f>SUMIFS('Dataset 1'!$E$7:$E$2506,'Dataset 1'!$B$7:$B$2506,"&lt;="&amp;$A31,'Dataset 1'!$J$7:$J$2506,AP$5)</f>
        <v>0</v>
      </c>
      <c r="AQ31" s="83">
        <f>SUMIFS('Dataset 1'!$E$7:$E$2506,'Dataset 1'!$B$7:$B$2506,"&lt;="&amp;$A31,'Dataset 1'!$J$7:$J$2506,AQ$5)</f>
        <v>130</v>
      </c>
      <c r="AR31" s="83">
        <f>SUMIFS('Dataset 1'!$E$7:$E$2506,'Dataset 1'!$B$7:$B$2506,"&lt;="&amp;$A31,'Dataset 1'!$J$7:$J$2506,AR$5)</f>
        <v>200</v>
      </c>
      <c r="AS31" s="83">
        <f>SUMIFS('Dataset 1'!$E$7:$E$2506,'Dataset 1'!$B$7:$B$2506,"&lt;="&amp;$A31,'Dataset 1'!$J$7:$J$2506,AS$5)</f>
        <v>0</v>
      </c>
      <c r="AT31" s="83">
        <f>SUMIFS('Dataset 1'!$E$7:$E$2506,'Dataset 1'!$B$7:$B$2506,"&lt;="&amp;$A31,'Dataset 1'!$J$7:$J$2506,AT$5)</f>
        <v>0</v>
      </c>
      <c r="AU31" s="83">
        <f>SUMIFS('Dataset 1'!$E$7:$E$2506,'Dataset 1'!$B$7:$B$2506,"&lt;="&amp;$A31,'Dataset 1'!$J$7:$J$2506,AU$5)</f>
        <v>0</v>
      </c>
      <c r="AV31" s="83">
        <f>SUMIFS('Dataset 1'!$E$7:$E$2506,'Dataset 1'!$B$7:$B$2506,"&lt;="&amp;$A31,'Dataset 1'!$J$7:$J$2506,AV$5)</f>
        <v>0</v>
      </c>
      <c r="AW31" s="83">
        <f>SUMIFS('Dataset 1'!$E$7:$E$2506,'Dataset 1'!$B$7:$B$2506,"&lt;="&amp;$A31,'Dataset 1'!$J$7:$J$2506,AW$5)</f>
        <v>0</v>
      </c>
      <c r="AX31" s="83">
        <f>SUMIFS('Dataset 1'!$E$7:$E$2506,'Dataset 1'!$B$7:$B$2506,"&lt;="&amp;$A31,'Dataset 1'!$J$7:$J$2506,AX$5)</f>
        <v>250</v>
      </c>
      <c r="AY31" s="83">
        <f>SUMIFS('Dataset 1'!$E$7:$E$2506,'Dataset 1'!$B$7:$B$2506,"&lt;="&amp;$A31,'Dataset 1'!$J$7:$J$2506,AY$5)</f>
        <v>100</v>
      </c>
      <c r="AZ31" s="83">
        <f>SUMIFS('Dataset 1'!$E$7:$E$2506,'Dataset 1'!$B$7:$B$2506,"&lt;="&amp;$A31,'Dataset 1'!$J$7:$J$2506,AZ$5)</f>
        <v>2010</v>
      </c>
      <c r="BA31" s="83">
        <f>SUMIFS('Dataset 1'!$E$7:$E$2506,'Dataset 1'!$B$7:$B$2506,"&lt;="&amp;$A31,'Dataset 1'!$J$7:$J$2506,BA$5)</f>
        <v>0</v>
      </c>
      <c r="BB31" s="83">
        <f>SUMIFS('Dataset 1'!$E$7:$E$2506,'Dataset 1'!$B$7:$B$2506,"&lt;="&amp;$A31,'Dataset 1'!$J$7:$J$2506,BB$5)</f>
        <v>0</v>
      </c>
      <c r="BC31" s="83">
        <f>SUMIFS('Dataset 1'!$E$7:$E$2506,'Dataset 1'!$B$7:$B$2506,"&lt;="&amp;$A31,'Dataset 1'!$J$7:$J$2506,BC$5)</f>
        <v>0</v>
      </c>
      <c r="BD31" s="83">
        <f>SUMIFS('Dataset 1'!$E$7:$E$2506,'Dataset 1'!$B$7:$B$2506,"&lt;="&amp;$A31,'Dataset 1'!$J$7:$J$2506,BD$5)</f>
        <v>0</v>
      </c>
      <c r="BE31" s="83">
        <f>SUMIFS('Dataset 1'!$E$7:$E$2506,'Dataset 1'!$B$7:$B$2506,"&lt;="&amp;$A31,'Dataset 1'!$J$7:$J$2506,BE$5)</f>
        <v>0</v>
      </c>
      <c r="BF31" s="83">
        <f>SUMIFS('Dataset 1'!$E$7:$E$2506,'Dataset 1'!$B$7:$B$2506,"&lt;="&amp;$A31,'Dataset 1'!$J$7:$J$2506,BF$5)</f>
        <v>0</v>
      </c>
      <c r="BG31" s="83">
        <f>SUMIFS('Dataset 1'!$E$7:$E$2506,'Dataset 1'!$B$7:$B$2506,"&lt;="&amp;$A31,'Dataset 1'!$J$7:$J$2506,BG$5)</f>
        <v>110</v>
      </c>
      <c r="BH31" s="83">
        <f>SUMIFS('Dataset 1'!$E$7:$E$2506,'Dataset 1'!$B$7:$B$2506,"&lt;="&amp;$A31,'Dataset 1'!$J$7:$J$2506,BH$5)</f>
        <v>0</v>
      </c>
      <c r="BI31" s="83">
        <f>SUMIFS('Dataset 1'!$E$7:$E$2506,'Dataset 1'!$B$7:$B$2506,"&lt;="&amp;$A31,'Dataset 1'!$J$7:$J$2506,BI$5)</f>
        <v>6110</v>
      </c>
      <c r="BJ31" s="83">
        <f>SUMIFS('Dataset 1'!$E$7:$E$2506,'Dataset 1'!$B$7:$B$2506,"&lt;="&amp;$A31,'Dataset 1'!$J$7:$J$2506,BJ$5)</f>
        <v>0</v>
      </c>
      <c r="BK31" s="83">
        <f>SUMIFS('Dataset 1'!$E$7:$E$2506,'Dataset 1'!$B$7:$B$2506,"&lt;="&amp;$A31,'Dataset 1'!$J$7:$J$2506,BK$5)</f>
        <v>0</v>
      </c>
      <c r="BL31" s="83">
        <f>SUMIFS('Dataset 1'!$E$7:$E$2506,'Dataset 1'!$B$7:$B$2506,"&lt;="&amp;$A31,'Dataset 1'!$J$7:$J$2506,BL$5)</f>
        <v>0</v>
      </c>
      <c r="BM31" s="83">
        <f>SUMIFS('Dataset 1'!$E$7:$E$2506,'Dataset 1'!$B$7:$B$2506,"&lt;="&amp;$A31,'Dataset 1'!$J$7:$J$2506,BM$5)</f>
        <v>510</v>
      </c>
      <c r="BN31" s="83">
        <f>SUMIFS('Dataset 1'!$E$7:$E$2506,'Dataset 1'!$B$7:$B$2506,"&lt;="&amp;$A31,'Dataset 1'!$J$7:$J$2506,BN$5)</f>
        <v>0</v>
      </c>
      <c r="BO31" s="83">
        <f>SUMIFS('Dataset 1'!$E$7:$E$2506,'Dataset 1'!$B$7:$B$2506,"&lt;="&amp;$A31,'Dataset 1'!$J$7:$J$2506,BO$5)</f>
        <v>0</v>
      </c>
      <c r="BP31" s="83">
        <f>SUMIFS('Dataset 1'!$E$7:$E$2506,'Dataset 1'!$B$7:$B$2506,"&lt;="&amp;$A31,'Dataset 1'!$J$7:$J$2506,BP$5)</f>
        <v>0</v>
      </c>
      <c r="BQ31" s="83">
        <f>SUMIFS('Dataset 1'!$E$7:$E$2506,'Dataset 1'!$B$7:$B$2506,"&lt;="&amp;$A31,'Dataset 1'!$J$7:$J$2506,BQ$5)</f>
        <v>0</v>
      </c>
      <c r="BR31" s="83">
        <f>SUMIFS('Dataset 1'!$E$7:$E$2506,'Dataset 1'!$B$7:$B$2506,"&lt;="&amp;$A31,'Dataset 1'!$J$7:$J$2506,BR$5)</f>
        <v>0</v>
      </c>
      <c r="BS31" s="83">
        <f>SUMIFS('Dataset 1'!$E$7:$E$2506,'Dataset 1'!$B$7:$B$2506,"&lt;="&amp;$A31,'Dataset 1'!$J$7:$J$2506,BS$5)</f>
        <v>0</v>
      </c>
      <c r="BT31" s="83">
        <f>SUMIFS('Dataset 1'!$E$7:$E$2506,'Dataset 1'!$B$7:$B$2506,"&lt;="&amp;$A31,'Dataset 1'!$J$7:$J$2506,BT$5)</f>
        <v>0</v>
      </c>
      <c r="BU31" s="83">
        <f>SUMIFS('Dataset 1'!$E$7:$E$2506,'Dataset 1'!$B$7:$B$2506,"&lt;="&amp;$A31,'Dataset 1'!$J$7:$J$2506,BU$5)</f>
        <v>0</v>
      </c>
      <c r="BV31" s="83">
        <f>SUMIFS('Dataset 1'!$E$7:$E$2506,'Dataset 1'!$B$7:$B$2506,"&lt;="&amp;$A31,'Dataset 1'!$J$7:$J$2506,BV$5)</f>
        <v>0</v>
      </c>
      <c r="BW31" s="83">
        <f>SUMIFS('Dataset 1'!$E$7:$E$2506,'Dataset 1'!$B$7:$B$2506,"&lt;="&amp;$A31,'Dataset 1'!$J$7:$J$2506,BW$5)</f>
        <v>100</v>
      </c>
      <c r="BX31" s="83">
        <f>SUMIFS('Dataset 1'!$E$7:$E$2506,'Dataset 1'!$B$7:$B$2506,"&lt;="&amp;$A31,'Dataset 1'!$J$7:$J$2506,BX$5)</f>
        <v>200</v>
      </c>
      <c r="BY31" s="83">
        <f>SUMIFS('Dataset 1'!$E$7:$E$2506,'Dataset 1'!$B$7:$B$2506,"&lt;="&amp;$A31,'Dataset 1'!$J$7:$J$2506,BY$5)</f>
        <v>0</v>
      </c>
      <c r="BZ31" s="83">
        <f>SUMIFS('Dataset 1'!$E$7:$E$2506,'Dataset 1'!$B$7:$B$2506,"&lt;="&amp;$A31,'Dataset 1'!$J$7:$J$2506,BZ$5)</f>
        <v>0</v>
      </c>
      <c r="CA31" s="83">
        <f>SUMIFS('Dataset 1'!$E$7:$E$2506,'Dataset 1'!$B$7:$B$2506,"&lt;="&amp;$A31,'Dataset 1'!$J$7:$J$2506,CA$5)</f>
        <v>0</v>
      </c>
      <c r="CB31" s="83">
        <f>SUMIFS('Dataset 1'!$E$7:$E$2506,'Dataset 1'!$B$7:$B$2506,"&lt;="&amp;$A31,'Dataset 1'!$J$7:$J$2506,CB$5)</f>
        <v>220</v>
      </c>
      <c r="CC31" s="83">
        <f>SUMIFS('Dataset 1'!$E$7:$E$2506,'Dataset 1'!$B$7:$B$2506,"&lt;="&amp;$A31,'Dataset 1'!$J$7:$J$2506,CC$5)</f>
        <v>0</v>
      </c>
      <c r="CD31" s="83">
        <f>SUMIFS('Dataset 1'!$E$7:$E$2506,'Dataset 1'!$B$7:$B$2506,"&lt;="&amp;$A31,'Dataset 1'!$J$7:$J$2506,CD$5)</f>
        <v>0</v>
      </c>
      <c r="CE31" s="83">
        <f>SUMIFS('Dataset 1'!$E$7:$E$2506,'Dataset 1'!$B$7:$B$2506,"&lt;="&amp;$A31,'Dataset 1'!$J$7:$J$2506,CE$5)</f>
        <v>240</v>
      </c>
      <c r="CF31" s="83">
        <f>SUMIFS('Dataset 1'!$E$7:$E$2506,'Dataset 1'!$B$7:$B$2506,"&lt;="&amp;$A31,'Dataset 1'!$J$7:$J$2506,CF$5)</f>
        <v>0</v>
      </c>
      <c r="CG31" s="83">
        <f>SUMIFS('Dataset 1'!$E$7:$E$2506,'Dataset 1'!$B$7:$B$2506,"&lt;="&amp;$A31,'Dataset 1'!$J$7:$J$2506,CG$5)</f>
        <v>0</v>
      </c>
      <c r="CH31" s="83">
        <f>SUMIFS('Dataset 1'!$E$7:$E$2506,'Dataset 1'!$B$7:$B$2506,"&lt;="&amp;$A31,'Dataset 1'!$J$7:$J$2506,CH$5)</f>
        <v>0</v>
      </c>
      <c r="CI31" s="83">
        <f>SUMIFS('Dataset 1'!$E$7:$E$2506,'Dataset 1'!$B$7:$B$2506,"&lt;="&amp;$A31,'Dataset 1'!$J$7:$J$2506,CI$5)</f>
        <v>2270</v>
      </c>
      <c r="CJ31" s="83">
        <f>SUMIFS('Dataset 1'!$E$7:$E$2506,'Dataset 1'!$B$7:$B$2506,"&lt;="&amp;$A31,'Dataset 1'!$J$7:$J$2506,CJ$5)</f>
        <v>0</v>
      </c>
      <c r="CK31" s="83">
        <f>SUMIFS('Dataset 1'!$E$7:$E$2506,'Dataset 1'!$B$7:$B$2506,"&lt;="&amp;$A31,'Dataset 1'!$J$7:$J$2506,CK$5)</f>
        <v>0</v>
      </c>
      <c r="CL31" s="83">
        <f>SUMIFS('Dataset 1'!$E$7:$E$2506,'Dataset 1'!$B$7:$B$2506,"&lt;="&amp;$A31,'Dataset 1'!$J$7:$J$2506,CL$5)</f>
        <v>0</v>
      </c>
      <c r="CM31" s="83">
        <f>SUMIFS('Dataset 1'!$E$7:$E$2506,'Dataset 1'!$B$7:$B$2506,"&lt;="&amp;$A31,'Dataset 1'!$J$7:$J$2506,CM$5)</f>
        <v>460</v>
      </c>
      <c r="CN31" s="83">
        <f>SUMIFS('Dataset 1'!$E$7:$E$2506,'Dataset 1'!$B$7:$B$2506,"&lt;="&amp;$A31,'Dataset 1'!$J$7:$J$2506,CN$5)</f>
        <v>0</v>
      </c>
      <c r="CO31" s="83">
        <f>SUMIFS('Dataset 1'!$E$7:$E$2506,'Dataset 1'!$B$7:$B$2506,"&lt;="&amp;$A31,'Dataset 1'!$J$7:$J$2506,CO$5)</f>
        <v>670</v>
      </c>
      <c r="CP31" s="83">
        <f>SUMIFS('Dataset 1'!$E$7:$E$2506,'Dataset 1'!$B$7:$B$2506,"&lt;="&amp;$A31,'Dataset 1'!$J$7:$J$2506,CP$5)</f>
        <v>1430</v>
      </c>
      <c r="CQ31" s="83">
        <f>SUMIFS('Dataset 1'!$E$7:$E$2506,'Dataset 1'!$B$7:$B$2506,"&lt;="&amp;$A31,'Dataset 1'!$J$7:$J$2506,CQ$5)</f>
        <v>0</v>
      </c>
      <c r="CR31" s="83">
        <f>SUMIFS('Dataset 1'!$E$7:$E$2506,'Dataset 1'!$B$7:$B$2506,"&lt;="&amp;$A31,'Dataset 1'!$J$7:$J$2506,CR$5)</f>
        <v>0</v>
      </c>
      <c r="CS31" s="83">
        <f>SUMIFS('Dataset 1'!$E$7:$E$2506,'Dataset 1'!$B$7:$B$2506,"&lt;="&amp;$A31,'Dataset 1'!$J$7:$J$2506,CS$5)</f>
        <v>0</v>
      </c>
      <c r="CT31" s="83">
        <f>SUMIFS('Dataset 1'!$E$7:$E$2506,'Dataset 1'!$B$7:$B$2506,"&lt;="&amp;$A31,'Dataset 1'!$J$7:$J$2506,CT$5)</f>
        <v>0</v>
      </c>
      <c r="CU31" s="83">
        <f>SUMIFS('Dataset 1'!$E$7:$E$2506,'Dataset 1'!$B$7:$B$2506,"&lt;="&amp;$A31,'Dataset 1'!$J$7:$J$2506,CU$5)</f>
        <v>5410</v>
      </c>
      <c r="CV31" s="83">
        <f>SUMIFS('Dataset 1'!$E$7:$E$2506,'Dataset 1'!$B$7:$B$2506,"&lt;="&amp;$A31,'Dataset 1'!$J$7:$J$2506,CV$5)</f>
        <v>0</v>
      </c>
      <c r="CW31" s="83">
        <f>SUMIFS('Dataset 1'!$E$7:$E$2506,'Dataset 1'!$B$7:$B$2506,"&lt;="&amp;$A31,'Dataset 1'!$J$7:$J$2506,CW$5)</f>
        <v>0</v>
      </c>
      <c r="CX31" s="83">
        <f>SUMIFS('Dataset 1'!$E$7:$E$2506,'Dataset 1'!$B$7:$B$2506,"&lt;="&amp;$A31,'Dataset 1'!$J$7:$J$2506,CX$5)</f>
        <v>0</v>
      </c>
      <c r="CY31" s="83">
        <f>SUMIFS('Dataset 1'!$E$7:$E$2506,'Dataset 1'!$B$7:$B$2506,"&lt;="&amp;$A31,'Dataset 1'!$J$7:$J$2506,CY$5)</f>
        <v>1200</v>
      </c>
      <c r="CZ31" s="83">
        <f>SUMIFS('Dataset 1'!$E$7:$E$2506,'Dataset 1'!$B$7:$B$2506,"&lt;="&amp;$A31,'Dataset 1'!$J$7:$J$2506,CZ$5)</f>
        <v>0</v>
      </c>
      <c r="DA31" s="83">
        <f>SUMIFS('Dataset 1'!$E$7:$E$2506,'Dataset 1'!$B$7:$B$2506,"&lt;="&amp;$A31,'Dataset 1'!$J$7:$J$2506,DA$5)</f>
        <v>0</v>
      </c>
      <c r="DB31" s="83">
        <f>SUMIFS('Dataset 1'!$E$7:$E$2506,'Dataset 1'!$B$7:$B$2506,"&lt;="&amp;$A31,'Dataset 1'!$J$7:$J$2506,DB$5)</f>
        <v>970</v>
      </c>
      <c r="DC31" s="83">
        <f>SUMIFS('Dataset 1'!$E$7:$E$2506,'Dataset 1'!$B$7:$B$2506,"&lt;="&amp;$A31,'Dataset 1'!$J$7:$J$2506,DC$5)</f>
        <v>0</v>
      </c>
      <c r="DD31" s="83">
        <f>SUMIFS('Dataset 1'!$E$7:$E$2506,'Dataset 1'!$B$7:$B$2506,"&lt;="&amp;$A31,'Dataset 1'!$J$7:$J$2506,DD$5)</f>
        <v>0</v>
      </c>
      <c r="DE31" s="83">
        <f>SUMIFS('Dataset 1'!$E$7:$E$2506,'Dataset 1'!$B$7:$B$2506,"&lt;="&amp;$A31,'Dataset 1'!$J$7:$J$2506,DE$5)</f>
        <v>0</v>
      </c>
      <c r="DF31" s="83">
        <f>SUMIFS('Dataset 1'!$E$7:$E$2506,'Dataset 1'!$B$7:$B$2506,"&lt;="&amp;$A31,'Dataset 1'!$J$7:$J$2506,DF$5)</f>
        <v>5830</v>
      </c>
      <c r="DG31" s="83">
        <f>SUMIFS('Dataset 1'!$E$7:$E$2506,'Dataset 1'!$B$7:$B$2506,"&lt;="&amp;$A31,'Dataset 1'!$J$7:$J$2506,DG$5)</f>
        <v>0</v>
      </c>
      <c r="DH31" s="83">
        <f>SUMIFS('Dataset 1'!$E$7:$E$2506,'Dataset 1'!$B$7:$B$2506,"&lt;="&amp;$A31,'Dataset 1'!$J$7:$J$2506,DH$5)</f>
        <v>0</v>
      </c>
      <c r="DI31" s="83">
        <f>SUMIFS('Dataset 1'!$E$7:$E$2506,'Dataset 1'!$B$7:$B$2506,"&lt;="&amp;$A31,'Dataset 1'!$J$7:$J$2506,DI$5)</f>
        <v>0</v>
      </c>
      <c r="DJ31" s="83">
        <f>SUMIFS('Dataset 1'!$E$7:$E$2506,'Dataset 1'!$B$7:$B$2506,"&lt;="&amp;$A31,'Dataset 1'!$J$7:$J$2506,DJ$5)</f>
        <v>0</v>
      </c>
      <c r="DK31" s="83">
        <f>SUMIFS('Dataset 1'!$E$7:$E$2506,'Dataset 1'!$B$7:$B$2506,"&lt;="&amp;$A31,'Dataset 1'!$J$7:$J$2506,DK$5)</f>
        <v>0</v>
      </c>
      <c r="DL31" s="83">
        <f>SUMIFS('Dataset 1'!$E$7:$E$2506,'Dataset 1'!$B$7:$B$2506,"&lt;="&amp;$A31,'Dataset 1'!$J$7:$J$2506,DL$5)</f>
        <v>0</v>
      </c>
      <c r="DM31" s="83">
        <f>SUMIFS('Dataset 1'!$E$7:$E$2506,'Dataset 1'!$B$7:$B$2506,"&lt;="&amp;$A31,'Dataset 1'!$J$7:$J$2506,DM$5)</f>
        <v>0</v>
      </c>
      <c r="DN31" s="83">
        <f>SUMIFS('Dataset 1'!$E$7:$E$2506,'Dataset 1'!$B$7:$B$2506,"&lt;="&amp;$A31,'Dataset 1'!$J$7:$J$2506,DN$5)</f>
        <v>290</v>
      </c>
      <c r="DO31" s="83">
        <f>SUMIFS('Dataset 1'!$E$7:$E$2506,'Dataset 1'!$B$7:$B$2506,"&lt;="&amp;$A31,'Dataset 1'!$J$7:$J$2506,DO$5)</f>
        <v>0</v>
      </c>
      <c r="DP31" s="83">
        <f>SUMIFS('Dataset 1'!$E$7:$E$2506,'Dataset 1'!$B$7:$B$2506,"&lt;="&amp;$A31,'Dataset 1'!$J$7:$J$2506,DP$5)</f>
        <v>0</v>
      </c>
      <c r="DQ31" s="83">
        <f>SUMIFS('Dataset 1'!$E$7:$E$2506,'Dataset 1'!$B$7:$B$2506,"&lt;="&amp;$A31,'Dataset 1'!$J$7:$J$2506,DQ$5)</f>
        <v>0</v>
      </c>
      <c r="DR31" s="83">
        <f>SUMIFS('Dataset 1'!$E$7:$E$2506,'Dataset 1'!$B$7:$B$2506,"&lt;="&amp;$A31,'Dataset 1'!$J$7:$J$2506,DR$5)</f>
        <v>150</v>
      </c>
      <c r="DS31" s="83">
        <f>SUMIFS('Dataset 1'!$E$7:$E$2506,'Dataset 1'!$B$7:$B$2506,"&lt;="&amp;$A31,'Dataset 1'!$J$7:$J$2506,DS$5)</f>
        <v>0</v>
      </c>
      <c r="DT31" s="83">
        <f>SUMIFS('Dataset 1'!$E$7:$E$2506,'Dataset 1'!$B$7:$B$2506,"&lt;="&amp;$A31,'Dataset 1'!$J$7:$J$2506,DT$5)</f>
        <v>0</v>
      </c>
      <c r="DU31" s="83">
        <f>SUMIFS('Dataset 1'!$E$7:$E$2506,'Dataset 1'!$B$7:$B$2506,"&lt;="&amp;$A31,'Dataset 1'!$J$7:$J$2506,DU$5)</f>
        <v>0</v>
      </c>
      <c r="DV31" s="83">
        <f>SUMIFS('Dataset 1'!$E$7:$E$2506,'Dataset 1'!$B$7:$B$2506,"&lt;="&amp;$A31,'Dataset 1'!$J$7:$J$2506,DV$5)</f>
        <v>0</v>
      </c>
      <c r="DW31" s="83">
        <f>SUMIFS('Dataset 1'!$E$7:$E$2506,'Dataset 1'!$B$7:$B$2506,"&lt;="&amp;$A31,'Dataset 1'!$J$7:$J$2506,DW$5)</f>
        <v>0</v>
      </c>
      <c r="DX31" s="83">
        <f>SUMIFS('Dataset 1'!$E$7:$E$2506,'Dataset 1'!$B$7:$B$2506,"&lt;="&amp;$A31,'Dataset 1'!$J$7:$J$2506,DX$5)</f>
        <v>0</v>
      </c>
      <c r="DY31" s="83">
        <f>SUMIFS('Dataset 1'!$E$7:$E$2506,'Dataset 1'!$B$7:$B$2506,"&lt;="&amp;$A31,'Dataset 1'!$J$7:$J$2506,DY$5)</f>
        <v>10140</v>
      </c>
      <c r="DZ31" s="83">
        <f>SUMIFS('Dataset 1'!$E$7:$E$2506,'Dataset 1'!$B$7:$B$2506,"&lt;="&amp;$A31,'Dataset 1'!$J$7:$J$2506,DZ$5)</f>
        <v>0</v>
      </c>
      <c r="EA31" s="83">
        <f>SUMIFS('Dataset 1'!$E$7:$E$2506,'Dataset 1'!$B$7:$B$2506,"&lt;="&amp;$A31,'Dataset 1'!$J$7:$J$2506,EA$5)</f>
        <v>0</v>
      </c>
      <c r="EB31" s="83">
        <f>SUMIFS('Dataset 1'!$E$7:$E$2506,'Dataset 1'!$B$7:$B$2506,"&lt;="&amp;$A31,'Dataset 1'!$J$7:$J$2506,EB$5)</f>
        <v>0</v>
      </c>
      <c r="EC31" s="83">
        <f>SUMIFS('Dataset 1'!$E$7:$E$2506,'Dataset 1'!$B$7:$B$2506,"&lt;="&amp;$A31,'Dataset 1'!$J$7:$J$2506,EC$5)</f>
        <v>0</v>
      </c>
      <c r="ED31" s="83">
        <f>SUMIFS('Dataset 1'!$E$7:$E$2506,'Dataset 1'!$B$7:$B$2506,"&lt;="&amp;$A31,'Dataset 1'!$J$7:$J$2506,ED$5)</f>
        <v>0</v>
      </c>
      <c r="EE31" s="83">
        <f>SUMIFS('Dataset 1'!$E$7:$E$2506,'Dataset 1'!$B$7:$B$2506,"&lt;="&amp;$A31,'Dataset 1'!$J$7:$J$2506,EE$5)</f>
        <v>0</v>
      </c>
      <c r="EF31" s="83">
        <f>SUMIFS('Dataset 1'!$E$7:$E$2506,'Dataset 1'!$B$7:$B$2506,"&lt;="&amp;$A31,'Dataset 1'!$J$7:$J$2506,EF$5)</f>
        <v>310</v>
      </c>
      <c r="EG31" s="83">
        <f>SUMIFS('Dataset 1'!$E$7:$E$2506,'Dataset 1'!$B$7:$B$2506,"&lt;="&amp;$A31,'Dataset 1'!$J$7:$J$2506,EG$5)</f>
        <v>100</v>
      </c>
    </row>
    <row r="32" spans="1:137" x14ac:dyDescent="0.2">
      <c r="A32">
        <v>2008</v>
      </c>
      <c r="B32" s="83">
        <f>SUMIFS('Dataset 1'!$E$7:$E$2506,'Dataset 1'!$B$7:$B$2506,"&lt;="&amp;$A32,'Dataset 1'!$J$7:$J$2506,B$5)</f>
        <v>2520</v>
      </c>
      <c r="C32" s="83">
        <f>SUMIFS('Dataset 1'!$E$7:$E$2506,'Dataset 1'!$B$7:$B$2506,"&lt;="&amp;$A32,'Dataset 1'!$J$7:$J$2506,C$5)</f>
        <v>0</v>
      </c>
      <c r="D32" s="83">
        <f>SUMIFS('Dataset 1'!$E$7:$E$2506,'Dataset 1'!$B$7:$B$2506,"&lt;="&amp;$A32,'Dataset 1'!$J$7:$J$2506,D$5)</f>
        <v>740</v>
      </c>
      <c r="E32" s="83">
        <f>SUMIFS('Dataset 1'!$E$7:$E$2506,'Dataset 1'!$B$7:$B$2506,"&lt;="&amp;$A32,'Dataset 1'!$J$7:$J$2506,E$5)</f>
        <v>0</v>
      </c>
      <c r="F32" s="83">
        <f>SUMIFS('Dataset 1'!$E$7:$E$2506,'Dataset 1'!$B$7:$B$2506,"&lt;="&amp;$A32,'Dataset 1'!$J$7:$J$2506,F$5)</f>
        <v>0</v>
      </c>
      <c r="G32" s="83">
        <f>SUMIFS('Dataset 1'!$E$7:$E$2506,'Dataset 1'!$B$7:$B$2506,"&lt;="&amp;$A32,'Dataset 1'!$J$7:$J$2506,G$5)</f>
        <v>19920</v>
      </c>
      <c r="H32" s="83">
        <f>SUMIFS('Dataset 1'!$E$7:$E$2506,'Dataset 1'!$B$7:$B$2506,"&lt;="&amp;$A32,'Dataset 1'!$J$7:$J$2506,H$5)</f>
        <v>0</v>
      </c>
      <c r="I32" s="83">
        <f>SUMIFS('Dataset 1'!$E$7:$E$2506,'Dataset 1'!$B$7:$B$2506,"&lt;="&amp;$A32,'Dataset 1'!$J$7:$J$2506,I$5)</f>
        <v>0</v>
      </c>
      <c r="J32" s="83">
        <f>SUMIFS('Dataset 1'!$E$7:$E$2506,'Dataset 1'!$B$7:$B$2506,"&lt;="&amp;$A32,'Dataset 1'!$J$7:$J$2506,J$5)</f>
        <v>0</v>
      </c>
      <c r="K32" s="83">
        <f>SUMIFS('Dataset 1'!$E$7:$E$2506,'Dataset 1'!$B$7:$B$2506,"&lt;="&amp;$A32,'Dataset 1'!$J$7:$J$2506,K$5)</f>
        <v>0</v>
      </c>
      <c r="L32" s="83">
        <f>SUMIFS('Dataset 1'!$E$7:$E$2506,'Dataset 1'!$B$7:$B$2506,"&lt;="&amp;$A32,'Dataset 1'!$J$7:$J$2506,L$5)</f>
        <v>0</v>
      </c>
      <c r="M32" s="83">
        <f>SUMIFS('Dataset 1'!$E$7:$E$2506,'Dataset 1'!$B$7:$B$2506,"&lt;="&amp;$A32,'Dataset 1'!$J$7:$J$2506,M$5)</f>
        <v>2790</v>
      </c>
      <c r="N32" s="83">
        <f>SUMIFS('Dataset 1'!$E$7:$E$2506,'Dataset 1'!$B$7:$B$2506,"&lt;="&amp;$A32,'Dataset 1'!$J$7:$J$2506,N$5)</f>
        <v>0</v>
      </c>
      <c r="O32" s="83">
        <f>SUMIFS('Dataset 1'!$E$7:$E$2506,'Dataset 1'!$B$7:$B$2506,"&lt;="&amp;$A32,'Dataset 1'!$J$7:$J$2506,O$5)</f>
        <v>0</v>
      </c>
      <c r="P32" s="83">
        <f>SUMIFS('Dataset 1'!$E$7:$E$2506,'Dataset 1'!$B$7:$B$2506,"&lt;="&amp;$A32,'Dataset 1'!$J$7:$J$2506,P$5)</f>
        <v>0</v>
      </c>
      <c r="Q32" s="83">
        <f>SUMIFS('Dataset 1'!$E$7:$E$2506,'Dataset 1'!$B$7:$B$2506,"&lt;="&amp;$A32,'Dataset 1'!$J$7:$J$2506,Q$5)</f>
        <v>110</v>
      </c>
      <c r="R32" s="83">
        <f>SUMIFS('Dataset 1'!$E$7:$E$2506,'Dataset 1'!$B$7:$B$2506,"&lt;="&amp;$A32,'Dataset 1'!$J$7:$J$2506,R$5)</f>
        <v>5950</v>
      </c>
      <c r="S32" s="83">
        <f>SUMIFS('Dataset 1'!$E$7:$E$2506,'Dataset 1'!$B$7:$B$2506,"&lt;="&amp;$A32,'Dataset 1'!$J$7:$J$2506,S$5)</f>
        <v>0</v>
      </c>
      <c r="T32" s="83">
        <f>SUMIFS('Dataset 1'!$E$7:$E$2506,'Dataset 1'!$B$7:$B$2506,"&lt;="&amp;$A32,'Dataset 1'!$J$7:$J$2506,T$5)</f>
        <v>0</v>
      </c>
      <c r="U32" s="83">
        <f>SUMIFS('Dataset 1'!$E$7:$E$2506,'Dataset 1'!$B$7:$B$2506,"&lt;="&amp;$A32,'Dataset 1'!$J$7:$J$2506,U$5)</f>
        <v>2780</v>
      </c>
      <c r="V32" s="83">
        <f>SUMIFS('Dataset 1'!$E$7:$E$2506,'Dataset 1'!$B$7:$B$2506,"&lt;="&amp;$A32,'Dataset 1'!$J$7:$J$2506,V$5)</f>
        <v>0</v>
      </c>
      <c r="W32" s="83">
        <f>SUMIFS('Dataset 1'!$E$7:$E$2506,'Dataset 1'!$B$7:$B$2506,"&lt;="&amp;$A32,'Dataset 1'!$J$7:$J$2506,W$5)</f>
        <v>360</v>
      </c>
      <c r="X32" s="83">
        <f>SUMIFS('Dataset 1'!$E$7:$E$2506,'Dataset 1'!$B$7:$B$2506,"&lt;="&amp;$A32,'Dataset 1'!$J$7:$J$2506,X$5)</f>
        <v>680</v>
      </c>
      <c r="Y32" s="83">
        <f>SUMIFS('Dataset 1'!$E$7:$E$2506,'Dataset 1'!$B$7:$B$2506,"&lt;="&amp;$A32,'Dataset 1'!$J$7:$J$2506,Y$5)</f>
        <v>0</v>
      </c>
      <c r="Z32" s="83">
        <f>SUMIFS('Dataset 1'!$E$7:$E$2506,'Dataset 1'!$B$7:$B$2506,"&lt;="&amp;$A32,'Dataset 1'!$J$7:$J$2506,Z$5)</f>
        <v>430</v>
      </c>
      <c r="AA32" s="83">
        <f>SUMIFS('Dataset 1'!$E$7:$E$2506,'Dataset 1'!$B$7:$B$2506,"&lt;="&amp;$A32,'Dataset 1'!$J$7:$J$2506,AA$5)</f>
        <v>0</v>
      </c>
      <c r="AB32" s="83">
        <f>SUMIFS('Dataset 1'!$E$7:$E$2506,'Dataset 1'!$B$7:$B$2506,"&lt;="&amp;$A32,'Dataset 1'!$J$7:$J$2506,AB$5)</f>
        <v>0</v>
      </c>
      <c r="AC32" s="83">
        <f>SUMIFS('Dataset 1'!$E$7:$E$2506,'Dataset 1'!$B$7:$B$2506,"&lt;="&amp;$A32,'Dataset 1'!$J$7:$J$2506,AC$5)</f>
        <v>500</v>
      </c>
      <c r="AD32" s="83">
        <f>SUMIFS('Dataset 1'!$E$7:$E$2506,'Dataset 1'!$B$7:$B$2506,"&lt;="&amp;$A32,'Dataset 1'!$J$7:$J$2506,AD$5)</f>
        <v>0</v>
      </c>
      <c r="AE32" s="83">
        <f>SUMIFS('Dataset 1'!$E$7:$E$2506,'Dataset 1'!$B$7:$B$2506,"&lt;="&amp;$A32,'Dataset 1'!$J$7:$J$2506,AE$5)</f>
        <v>0</v>
      </c>
      <c r="AF32" s="83">
        <f>SUMIFS('Dataset 1'!$E$7:$E$2506,'Dataset 1'!$B$7:$B$2506,"&lt;="&amp;$A32,'Dataset 1'!$J$7:$J$2506,AF$5)</f>
        <v>3700</v>
      </c>
      <c r="AG32" s="83">
        <f>SUMIFS('Dataset 1'!$E$7:$E$2506,'Dataset 1'!$B$7:$B$2506,"&lt;="&amp;$A32,'Dataset 1'!$J$7:$J$2506,AG$5)</f>
        <v>0</v>
      </c>
      <c r="AH32" s="83">
        <f>SUMIFS('Dataset 1'!$E$7:$E$2506,'Dataset 1'!$B$7:$B$2506,"&lt;="&amp;$A32,'Dataset 1'!$J$7:$J$2506,AH$5)</f>
        <v>0</v>
      </c>
      <c r="AI32" s="83">
        <f>SUMIFS('Dataset 1'!$E$7:$E$2506,'Dataset 1'!$B$7:$B$2506,"&lt;="&amp;$A32,'Dataset 1'!$J$7:$J$2506,AI$5)</f>
        <v>1420</v>
      </c>
      <c r="AJ32" s="83">
        <f>SUMIFS('Dataset 1'!$E$7:$E$2506,'Dataset 1'!$B$7:$B$2506,"&lt;="&amp;$A32,'Dataset 1'!$J$7:$J$2506,AJ$5)</f>
        <v>1090</v>
      </c>
      <c r="AK32" s="83">
        <f>SUMIFS('Dataset 1'!$E$7:$E$2506,'Dataset 1'!$B$7:$B$2506,"&lt;="&amp;$A32,'Dataset 1'!$J$7:$J$2506,AK$5)</f>
        <v>0</v>
      </c>
      <c r="AL32" s="83">
        <f>SUMIFS('Dataset 1'!$E$7:$E$2506,'Dataset 1'!$B$7:$B$2506,"&lt;="&amp;$A32,'Dataset 1'!$J$7:$J$2506,AL$5)</f>
        <v>0</v>
      </c>
      <c r="AM32" s="83">
        <f>SUMIFS('Dataset 1'!$E$7:$E$2506,'Dataset 1'!$B$7:$B$2506,"&lt;="&amp;$A32,'Dataset 1'!$J$7:$J$2506,AM$5)</f>
        <v>0</v>
      </c>
      <c r="AN32" s="83">
        <f>SUMIFS('Dataset 1'!$E$7:$E$2506,'Dataset 1'!$B$7:$B$2506,"&lt;="&amp;$A32,'Dataset 1'!$J$7:$J$2506,AN$5)</f>
        <v>3980</v>
      </c>
      <c r="AO32" s="83">
        <f>SUMIFS('Dataset 1'!$E$7:$E$2506,'Dataset 1'!$B$7:$B$2506,"&lt;="&amp;$A32,'Dataset 1'!$J$7:$J$2506,AO$5)</f>
        <v>0</v>
      </c>
      <c r="AP32" s="83">
        <f>SUMIFS('Dataset 1'!$E$7:$E$2506,'Dataset 1'!$B$7:$B$2506,"&lt;="&amp;$A32,'Dataset 1'!$J$7:$J$2506,AP$5)</f>
        <v>0</v>
      </c>
      <c r="AQ32" s="83">
        <f>SUMIFS('Dataset 1'!$E$7:$E$2506,'Dataset 1'!$B$7:$B$2506,"&lt;="&amp;$A32,'Dataset 1'!$J$7:$J$2506,AQ$5)</f>
        <v>270</v>
      </c>
      <c r="AR32" s="83">
        <f>SUMIFS('Dataset 1'!$E$7:$E$2506,'Dataset 1'!$B$7:$B$2506,"&lt;="&amp;$A32,'Dataset 1'!$J$7:$J$2506,AR$5)</f>
        <v>200</v>
      </c>
      <c r="AS32" s="83">
        <f>SUMIFS('Dataset 1'!$E$7:$E$2506,'Dataset 1'!$B$7:$B$2506,"&lt;="&amp;$A32,'Dataset 1'!$J$7:$J$2506,AS$5)</f>
        <v>5790</v>
      </c>
      <c r="AT32" s="83">
        <f>SUMIFS('Dataset 1'!$E$7:$E$2506,'Dataset 1'!$B$7:$B$2506,"&lt;="&amp;$A32,'Dataset 1'!$J$7:$J$2506,AT$5)</f>
        <v>0</v>
      </c>
      <c r="AU32" s="83">
        <f>SUMIFS('Dataset 1'!$E$7:$E$2506,'Dataset 1'!$B$7:$B$2506,"&lt;="&amp;$A32,'Dataset 1'!$J$7:$J$2506,AU$5)</f>
        <v>0</v>
      </c>
      <c r="AV32" s="83">
        <f>SUMIFS('Dataset 1'!$E$7:$E$2506,'Dataset 1'!$B$7:$B$2506,"&lt;="&amp;$A32,'Dataset 1'!$J$7:$J$2506,AV$5)</f>
        <v>0</v>
      </c>
      <c r="AW32" s="83">
        <f>SUMIFS('Dataset 1'!$E$7:$E$2506,'Dataset 1'!$B$7:$B$2506,"&lt;="&amp;$A32,'Dataset 1'!$J$7:$J$2506,AW$5)</f>
        <v>0</v>
      </c>
      <c r="AX32" s="83">
        <f>SUMIFS('Dataset 1'!$E$7:$E$2506,'Dataset 1'!$B$7:$B$2506,"&lt;="&amp;$A32,'Dataset 1'!$J$7:$J$2506,AX$5)</f>
        <v>1450</v>
      </c>
      <c r="AY32" s="83">
        <f>SUMIFS('Dataset 1'!$E$7:$E$2506,'Dataset 1'!$B$7:$B$2506,"&lt;="&amp;$A32,'Dataset 1'!$J$7:$J$2506,AY$5)</f>
        <v>230</v>
      </c>
      <c r="AZ32" s="83">
        <f>SUMIFS('Dataset 1'!$E$7:$E$2506,'Dataset 1'!$B$7:$B$2506,"&lt;="&amp;$A32,'Dataset 1'!$J$7:$J$2506,AZ$5)</f>
        <v>2010</v>
      </c>
      <c r="BA32" s="83">
        <f>SUMIFS('Dataset 1'!$E$7:$E$2506,'Dataset 1'!$B$7:$B$2506,"&lt;="&amp;$A32,'Dataset 1'!$J$7:$J$2506,BA$5)</f>
        <v>0</v>
      </c>
      <c r="BB32" s="83">
        <f>SUMIFS('Dataset 1'!$E$7:$E$2506,'Dataset 1'!$B$7:$B$2506,"&lt;="&amp;$A32,'Dataset 1'!$J$7:$J$2506,BB$5)</f>
        <v>0</v>
      </c>
      <c r="BC32" s="83">
        <f>SUMIFS('Dataset 1'!$E$7:$E$2506,'Dataset 1'!$B$7:$B$2506,"&lt;="&amp;$A32,'Dataset 1'!$J$7:$J$2506,BC$5)</f>
        <v>0</v>
      </c>
      <c r="BD32" s="83">
        <f>SUMIFS('Dataset 1'!$E$7:$E$2506,'Dataset 1'!$B$7:$B$2506,"&lt;="&amp;$A32,'Dataset 1'!$J$7:$J$2506,BD$5)</f>
        <v>250</v>
      </c>
      <c r="BE32" s="83">
        <f>SUMIFS('Dataset 1'!$E$7:$E$2506,'Dataset 1'!$B$7:$B$2506,"&lt;="&amp;$A32,'Dataset 1'!$J$7:$J$2506,BE$5)</f>
        <v>0</v>
      </c>
      <c r="BF32" s="83">
        <f>SUMIFS('Dataset 1'!$E$7:$E$2506,'Dataset 1'!$B$7:$B$2506,"&lt;="&amp;$A32,'Dataset 1'!$J$7:$J$2506,BF$5)</f>
        <v>0</v>
      </c>
      <c r="BG32" s="83">
        <f>SUMIFS('Dataset 1'!$E$7:$E$2506,'Dataset 1'!$B$7:$B$2506,"&lt;="&amp;$A32,'Dataset 1'!$J$7:$J$2506,BG$5)</f>
        <v>110</v>
      </c>
      <c r="BH32" s="83">
        <f>SUMIFS('Dataset 1'!$E$7:$E$2506,'Dataset 1'!$B$7:$B$2506,"&lt;="&amp;$A32,'Dataset 1'!$J$7:$J$2506,BH$5)</f>
        <v>0</v>
      </c>
      <c r="BI32" s="83">
        <f>SUMIFS('Dataset 1'!$E$7:$E$2506,'Dataset 1'!$B$7:$B$2506,"&lt;="&amp;$A32,'Dataset 1'!$J$7:$J$2506,BI$5)</f>
        <v>6360</v>
      </c>
      <c r="BJ32" s="83">
        <f>SUMIFS('Dataset 1'!$E$7:$E$2506,'Dataset 1'!$B$7:$B$2506,"&lt;="&amp;$A32,'Dataset 1'!$J$7:$J$2506,BJ$5)</f>
        <v>0</v>
      </c>
      <c r="BK32" s="83">
        <f>SUMIFS('Dataset 1'!$E$7:$E$2506,'Dataset 1'!$B$7:$B$2506,"&lt;="&amp;$A32,'Dataset 1'!$J$7:$J$2506,BK$5)</f>
        <v>0</v>
      </c>
      <c r="BL32" s="83">
        <f>SUMIFS('Dataset 1'!$E$7:$E$2506,'Dataset 1'!$B$7:$B$2506,"&lt;="&amp;$A32,'Dataset 1'!$J$7:$J$2506,BL$5)</f>
        <v>0</v>
      </c>
      <c r="BM32" s="83">
        <f>SUMIFS('Dataset 1'!$E$7:$E$2506,'Dataset 1'!$B$7:$B$2506,"&lt;="&amp;$A32,'Dataset 1'!$J$7:$J$2506,BM$5)</f>
        <v>510</v>
      </c>
      <c r="BN32" s="83">
        <f>SUMIFS('Dataset 1'!$E$7:$E$2506,'Dataset 1'!$B$7:$B$2506,"&lt;="&amp;$A32,'Dataset 1'!$J$7:$J$2506,BN$5)</f>
        <v>110</v>
      </c>
      <c r="BO32" s="83">
        <f>SUMIFS('Dataset 1'!$E$7:$E$2506,'Dataset 1'!$B$7:$B$2506,"&lt;="&amp;$A32,'Dataset 1'!$J$7:$J$2506,BO$5)</f>
        <v>0</v>
      </c>
      <c r="BP32" s="83">
        <f>SUMIFS('Dataset 1'!$E$7:$E$2506,'Dataset 1'!$B$7:$B$2506,"&lt;="&amp;$A32,'Dataset 1'!$J$7:$J$2506,BP$5)</f>
        <v>0</v>
      </c>
      <c r="BQ32" s="83">
        <f>SUMIFS('Dataset 1'!$E$7:$E$2506,'Dataset 1'!$B$7:$B$2506,"&lt;="&amp;$A32,'Dataset 1'!$J$7:$J$2506,BQ$5)</f>
        <v>0</v>
      </c>
      <c r="BR32" s="83">
        <f>SUMIFS('Dataset 1'!$E$7:$E$2506,'Dataset 1'!$B$7:$B$2506,"&lt;="&amp;$A32,'Dataset 1'!$J$7:$J$2506,BR$5)</f>
        <v>0</v>
      </c>
      <c r="BS32" s="83">
        <f>SUMIFS('Dataset 1'!$E$7:$E$2506,'Dataset 1'!$B$7:$B$2506,"&lt;="&amp;$A32,'Dataset 1'!$J$7:$J$2506,BS$5)</f>
        <v>0</v>
      </c>
      <c r="BT32" s="83">
        <f>SUMIFS('Dataset 1'!$E$7:$E$2506,'Dataset 1'!$B$7:$B$2506,"&lt;="&amp;$A32,'Dataset 1'!$J$7:$J$2506,BT$5)</f>
        <v>0</v>
      </c>
      <c r="BU32" s="83">
        <f>SUMIFS('Dataset 1'!$E$7:$E$2506,'Dataset 1'!$B$7:$B$2506,"&lt;="&amp;$A32,'Dataset 1'!$J$7:$J$2506,BU$5)</f>
        <v>0</v>
      </c>
      <c r="BV32" s="83">
        <f>SUMIFS('Dataset 1'!$E$7:$E$2506,'Dataset 1'!$B$7:$B$2506,"&lt;="&amp;$A32,'Dataset 1'!$J$7:$J$2506,BV$5)</f>
        <v>0</v>
      </c>
      <c r="BW32" s="83">
        <f>SUMIFS('Dataset 1'!$E$7:$E$2506,'Dataset 1'!$B$7:$B$2506,"&lt;="&amp;$A32,'Dataset 1'!$J$7:$J$2506,BW$5)</f>
        <v>310</v>
      </c>
      <c r="BX32" s="83">
        <f>SUMIFS('Dataset 1'!$E$7:$E$2506,'Dataset 1'!$B$7:$B$2506,"&lt;="&amp;$A32,'Dataset 1'!$J$7:$J$2506,BX$5)</f>
        <v>350</v>
      </c>
      <c r="BY32" s="83">
        <f>SUMIFS('Dataset 1'!$E$7:$E$2506,'Dataset 1'!$B$7:$B$2506,"&lt;="&amp;$A32,'Dataset 1'!$J$7:$J$2506,BY$5)</f>
        <v>0</v>
      </c>
      <c r="BZ32" s="83">
        <f>SUMIFS('Dataset 1'!$E$7:$E$2506,'Dataset 1'!$B$7:$B$2506,"&lt;="&amp;$A32,'Dataset 1'!$J$7:$J$2506,BZ$5)</f>
        <v>0</v>
      </c>
      <c r="CA32" s="83">
        <f>SUMIFS('Dataset 1'!$E$7:$E$2506,'Dataset 1'!$B$7:$B$2506,"&lt;="&amp;$A32,'Dataset 1'!$J$7:$J$2506,CA$5)</f>
        <v>0</v>
      </c>
      <c r="CB32" s="83">
        <f>SUMIFS('Dataset 1'!$E$7:$E$2506,'Dataset 1'!$B$7:$B$2506,"&lt;="&amp;$A32,'Dataset 1'!$J$7:$J$2506,CB$5)</f>
        <v>1030</v>
      </c>
      <c r="CC32" s="83">
        <f>SUMIFS('Dataset 1'!$E$7:$E$2506,'Dataset 1'!$B$7:$B$2506,"&lt;="&amp;$A32,'Dataset 1'!$J$7:$J$2506,CC$5)</f>
        <v>0</v>
      </c>
      <c r="CD32" s="83">
        <f>SUMIFS('Dataset 1'!$E$7:$E$2506,'Dataset 1'!$B$7:$B$2506,"&lt;="&amp;$A32,'Dataset 1'!$J$7:$J$2506,CD$5)</f>
        <v>0</v>
      </c>
      <c r="CE32" s="83">
        <f>SUMIFS('Dataset 1'!$E$7:$E$2506,'Dataset 1'!$B$7:$B$2506,"&lt;="&amp;$A32,'Dataset 1'!$J$7:$J$2506,CE$5)</f>
        <v>1480</v>
      </c>
      <c r="CF32" s="83">
        <f>SUMIFS('Dataset 1'!$E$7:$E$2506,'Dataset 1'!$B$7:$B$2506,"&lt;="&amp;$A32,'Dataset 1'!$J$7:$J$2506,CF$5)</f>
        <v>0</v>
      </c>
      <c r="CG32" s="83">
        <f>SUMIFS('Dataset 1'!$E$7:$E$2506,'Dataset 1'!$B$7:$B$2506,"&lt;="&amp;$A32,'Dataset 1'!$J$7:$J$2506,CG$5)</f>
        <v>0</v>
      </c>
      <c r="CH32" s="83">
        <f>SUMIFS('Dataset 1'!$E$7:$E$2506,'Dataset 1'!$B$7:$B$2506,"&lt;="&amp;$A32,'Dataset 1'!$J$7:$J$2506,CH$5)</f>
        <v>190</v>
      </c>
      <c r="CI32" s="83">
        <f>SUMIFS('Dataset 1'!$E$7:$E$2506,'Dataset 1'!$B$7:$B$2506,"&lt;="&amp;$A32,'Dataset 1'!$J$7:$J$2506,CI$5)</f>
        <v>2270</v>
      </c>
      <c r="CJ32" s="83">
        <f>SUMIFS('Dataset 1'!$E$7:$E$2506,'Dataset 1'!$B$7:$B$2506,"&lt;="&amp;$A32,'Dataset 1'!$J$7:$J$2506,CJ$5)</f>
        <v>0</v>
      </c>
      <c r="CK32" s="83">
        <f>SUMIFS('Dataset 1'!$E$7:$E$2506,'Dataset 1'!$B$7:$B$2506,"&lt;="&amp;$A32,'Dataset 1'!$J$7:$J$2506,CK$5)</f>
        <v>2490</v>
      </c>
      <c r="CL32" s="83">
        <f>SUMIFS('Dataset 1'!$E$7:$E$2506,'Dataset 1'!$B$7:$B$2506,"&lt;="&amp;$A32,'Dataset 1'!$J$7:$J$2506,CL$5)</f>
        <v>0</v>
      </c>
      <c r="CM32" s="83">
        <f>SUMIFS('Dataset 1'!$E$7:$E$2506,'Dataset 1'!$B$7:$B$2506,"&lt;="&amp;$A32,'Dataset 1'!$J$7:$J$2506,CM$5)</f>
        <v>570</v>
      </c>
      <c r="CN32" s="83">
        <f>SUMIFS('Dataset 1'!$E$7:$E$2506,'Dataset 1'!$B$7:$B$2506,"&lt;="&amp;$A32,'Dataset 1'!$J$7:$J$2506,CN$5)</f>
        <v>0</v>
      </c>
      <c r="CO32" s="83">
        <f>SUMIFS('Dataset 1'!$E$7:$E$2506,'Dataset 1'!$B$7:$B$2506,"&lt;="&amp;$A32,'Dataset 1'!$J$7:$J$2506,CO$5)</f>
        <v>670</v>
      </c>
      <c r="CP32" s="83">
        <f>SUMIFS('Dataset 1'!$E$7:$E$2506,'Dataset 1'!$B$7:$B$2506,"&lt;="&amp;$A32,'Dataset 1'!$J$7:$J$2506,CP$5)</f>
        <v>3590</v>
      </c>
      <c r="CQ32" s="83">
        <f>SUMIFS('Dataset 1'!$E$7:$E$2506,'Dataset 1'!$B$7:$B$2506,"&lt;="&amp;$A32,'Dataset 1'!$J$7:$J$2506,CQ$5)</f>
        <v>1580</v>
      </c>
      <c r="CR32" s="83">
        <f>SUMIFS('Dataset 1'!$E$7:$E$2506,'Dataset 1'!$B$7:$B$2506,"&lt;="&amp;$A32,'Dataset 1'!$J$7:$J$2506,CR$5)</f>
        <v>0</v>
      </c>
      <c r="CS32" s="83">
        <f>SUMIFS('Dataset 1'!$E$7:$E$2506,'Dataset 1'!$B$7:$B$2506,"&lt;="&amp;$A32,'Dataset 1'!$J$7:$J$2506,CS$5)</f>
        <v>0</v>
      </c>
      <c r="CT32" s="83">
        <f>SUMIFS('Dataset 1'!$E$7:$E$2506,'Dataset 1'!$B$7:$B$2506,"&lt;="&amp;$A32,'Dataset 1'!$J$7:$J$2506,CT$5)</f>
        <v>0</v>
      </c>
      <c r="CU32" s="83">
        <f>SUMIFS('Dataset 1'!$E$7:$E$2506,'Dataset 1'!$B$7:$B$2506,"&lt;="&amp;$A32,'Dataset 1'!$J$7:$J$2506,CU$5)</f>
        <v>5410</v>
      </c>
      <c r="CV32" s="83">
        <f>SUMIFS('Dataset 1'!$E$7:$E$2506,'Dataset 1'!$B$7:$B$2506,"&lt;="&amp;$A32,'Dataset 1'!$J$7:$J$2506,CV$5)</f>
        <v>0</v>
      </c>
      <c r="CW32" s="83">
        <f>SUMIFS('Dataset 1'!$E$7:$E$2506,'Dataset 1'!$B$7:$B$2506,"&lt;="&amp;$A32,'Dataset 1'!$J$7:$J$2506,CW$5)</f>
        <v>0</v>
      </c>
      <c r="CX32" s="83">
        <f>SUMIFS('Dataset 1'!$E$7:$E$2506,'Dataset 1'!$B$7:$B$2506,"&lt;="&amp;$A32,'Dataset 1'!$J$7:$J$2506,CX$5)</f>
        <v>0</v>
      </c>
      <c r="CY32" s="83">
        <f>SUMIFS('Dataset 1'!$E$7:$E$2506,'Dataset 1'!$B$7:$B$2506,"&lt;="&amp;$A32,'Dataset 1'!$J$7:$J$2506,CY$5)</f>
        <v>1200</v>
      </c>
      <c r="CZ32" s="83">
        <f>SUMIFS('Dataset 1'!$E$7:$E$2506,'Dataset 1'!$B$7:$B$2506,"&lt;="&amp;$A32,'Dataset 1'!$J$7:$J$2506,CZ$5)</f>
        <v>0</v>
      </c>
      <c r="DA32" s="83">
        <f>SUMIFS('Dataset 1'!$E$7:$E$2506,'Dataset 1'!$B$7:$B$2506,"&lt;="&amp;$A32,'Dataset 1'!$J$7:$J$2506,DA$5)</f>
        <v>0</v>
      </c>
      <c r="DB32" s="83">
        <f>SUMIFS('Dataset 1'!$E$7:$E$2506,'Dataset 1'!$B$7:$B$2506,"&lt;="&amp;$A32,'Dataset 1'!$J$7:$J$2506,DB$5)</f>
        <v>4540</v>
      </c>
      <c r="DC32" s="83">
        <f>SUMIFS('Dataset 1'!$E$7:$E$2506,'Dataset 1'!$B$7:$B$2506,"&lt;="&amp;$A32,'Dataset 1'!$J$7:$J$2506,DC$5)</f>
        <v>0</v>
      </c>
      <c r="DD32" s="83">
        <f>SUMIFS('Dataset 1'!$E$7:$E$2506,'Dataset 1'!$B$7:$B$2506,"&lt;="&amp;$A32,'Dataset 1'!$J$7:$J$2506,DD$5)</f>
        <v>0</v>
      </c>
      <c r="DE32" s="83">
        <f>SUMIFS('Dataset 1'!$E$7:$E$2506,'Dataset 1'!$B$7:$B$2506,"&lt;="&amp;$A32,'Dataset 1'!$J$7:$J$2506,DE$5)</f>
        <v>0</v>
      </c>
      <c r="DF32" s="83">
        <f>SUMIFS('Dataset 1'!$E$7:$E$2506,'Dataset 1'!$B$7:$B$2506,"&lt;="&amp;$A32,'Dataset 1'!$J$7:$J$2506,DF$5)</f>
        <v>5830</v>
      </c>
      <c r="DG32" s="83">
        <f>SUMIFS('Dataset 1'!$E$7:$E$2506,'Dataset 1'!$B$7:$B$2506,"&lt;="&amp;$A32,'Dataset 1'!$J$7:$J$2506,DG$5)</f>
        <v>0</v>
      </c>
      <c r="DH32" s="83">
        <f>SUMIFS('Dataset 1'!$E$7:$E$2506,'Dataset 1'!$B$7:$B$2506,"&lt;="&amp;$A32,'Dataset 1'!$J$7:$J$2506,DH$5)</f>
        <v>0</v>
      </c>
      <c r="DI32" s="83">
        <f>SUMIFS('Dataset 1'!$E$7:$E$2506,'Dataset 1'!$B$7:$B$2506,"&lt;="&amp;$A32,'Dataset 1'!$J$7:$J$2506,DI$5)</f>
        <v>0</v>
      </c>
      <c r="DJ32" s="83">
        <f>SUMIFS('Dataset 1'!$E$7:$E$2506,'Dataset 1'!$B$7:$B$2506,"&lt;="&amp;$A32,'Dataset 1'!$J$7:$J$2506,DJ$5)</f>
        <v>0</v>
      </c>
      <c r="DK32" s="83">
        <f>SUMIFS('Dataset 1'!$E$7:$E$2506,'Dataset 1'!$B$7:$B$2506,"&lt;="&amp;$A32,'Dataset 1'!$J$7:$J$2506,DK$5)</f>
        <v>0</v>
      </c>
      <c r="DL32" s="83">
        <f>SUMIFS('Dataset 1'!$E$7:$E$2506,'Dataset 1'!$B$7:$B$2506,"&lt;="&amp;$A32,'Dataset 1'!$J$7:$J$2506,DL$5)</f>
        <v>0</v>
      </c>
      <c r="DM32" s="83">
        <f>SUMIFS('Dataset 1'!$E$7:$E$2506,'Dataset 1'!$B$7:$B$2506,"&lt;="&amp;$A32,'Dataset 1'!$J$7:$J$2506,DM$5)</f>
        <v>0</v>
      </c>
      <c r="DN32" s="83">
        <f>SUMIFS('Dataset 1'!$E$7:$E$2506,'Dataset 1'!$B$7:$B$2506,"&lt;="&amp;$A32,'Dataset 1'!$J$7:$J$2506,DN$5)</f>
        <v>2280</v>
      </c>
      <c r="DO32" s="83">
        <f>SUMIFS('Dataset 1'!$E$7:$E$2506,'Dataset 1'!$B$7:$B$2506,"&lt;="&amp;$A32,'Dataset 1'!$J$7:$J$2506,DO$5)</f>
        <v>0</v>
      </c>
      <c r="DP32" s="83">
        <f>SUMIFS('Dataset 1'!$E$7:$E$2506,'Dataset 1'!$B$7:$B$2506,"&lt;="&amp;$A32,'Dataset 1'!$J$7:$J$2506,DP$5)</f>
        <v>0</v>
      </c>
      <c r="DQ32" s="83">
        <f>SUMIFS('Dataset 1'!$E$7:$E$2506,'Dataset 1'!$B$7:$B$2506,"&lt;="&amp;$A32,'Dataset 1'!$J$7:$J$2506,DQ$5)</f>
        <v>0</v>
      </c>
      <c r="DR32" s="83">
        <f>SUMIFS('Dataset 1'!$E$7:$E$2506,'Dataset 1'!$B$7:$B$2506,"&lt;="&amp;$A32,'Dataset 1'!$J$7:$J$2506,DR$5)</f>
        <v>150</v>
      </c>
      <c r="DS32" s="83">
        <f>SUMIFS('Dataset 1'!$E$7:$E$2506,'Dataset 1'!$B$7:$B$2506,"&lt;="&amp;$A32,'Dataset 1'!$J$7:$J$2506,DS$5)</f>
        <v>0</v>
      </c>
      <c r="DT32" s="83">
        <f>SUMIFS('Dataset 1'!$E$7:$E$2506,'Dataset 1'!$B$7:$B$2506,"&lt;="&amp;$A32,'Dataset 1'!$J$7:$J$2506,DT$5)</f>
        <v>0</v>
      </c>
      <c r="DU32" s="83">
        <f>SUMIFS('Dataset 1'!$E$7:$E$2506,'Dataset 1'!$B$7:$B$2506,"&lt;="&amp;$A32,'Dataset 1'!$J$7:$J$2506,DU$5)</f>
        <v>0</v>
      </c>
      <c r="DV32" s="83">
        <f>SUMIFS('Dataset 1'!$E$7:$E$2506,'Dataset 1'!$B$7:$B$2506,"&lt;="&amp;$A32,'Dataset 1'!$J$7:$J$2506,DV$5)</f>
        <v>760</v>
      </c>
      <c r="DW32" s="83">
        <f>SUMIFS('Dataset 1'!$E$7:$E$2506,'Dataset 1'!$B$7:$B$2506,"&lt;="&amp;$A32,'Dataset 1'!$J$7:$J$2506,DW$5)</f>
        <v>0</v>
      </c>
      <c r="DX32" s="83">
        <f>SUMIFS('Dataset 1'!$E$7:$E$2506,'Dataset 1'!$B$7:$B$2506,"&lt;="&amp;$A32,'Dataset 1'!$J$7:$J$2506,DX$5)</f>
        <v>0</v>
      </c>
      <c r="DY32" s="83">
        <f>SUMIFS('Dataset 1'!$E$7:$E$2506,'Dataset 1'!$B$7:$B$2506,"&lt;="&amp;$A32,'Dataset 1'!$J$7:$J$2506,DY$5)</f>
        <v>15110</v>
      </c>
      <c r="DZ32" s="83">
        <f>SUMIFS('Dataset 1'!$E$7:$E$2506,'Dataset 1'!$B$7:$B$2506,"&lt;="&amp;$A32,'Dataset 1'!$J$7:$J$2506,DZ$5)</f>
        <v>0</v>
      </c>
      <c r="EA32" s="83">
        <f>SUMIFS('Dataset 1'!$E$7:$E$2506,'Dataset 1'!$B$7:$B$2506,"&lt;="&amp;$A32,'Dataset 1'!$J$7:$J$2506,EA$5)</f>
        <v>0</v>
      </c>
      <c r="EB32" s="83">
        <f>SUMIFS('Dataset 1'!$E$7:$E$2506,'Dataset 1'!$B$7:$B$2506,"&lt;="&amp;$A32,'Dataset 1'!$J$7:$J$2506,EB$5)</f>
        <v>0</v>
      </c>
      <c r="EC32" s="83">
        <f>SUMIFS('Dataset 1'!$E$7:$E$2506,'Dataset 1'!$B$7:$B$2506,"&lt;="&amp;$A32,'Dataset 1'!$J$7:$J$2506,EC$5)</f>
        <v>0</v>
      </c>
      <c r="ED32" s="83">
        <f>SUMIFS('Dataset 1'!$E$7:$E$2506,'Dataset 1'!$B$7:$B$2506,"&lt;="&amp;$A32,'Dataset 1'!$J$7:$J$2506,ED$5)</f>
        <v>0</v>
      </c>
      <c r="EE32" s="83">
        <f>SUMIFS('Dataset 1'!$E$7:$E$2506,'Dataset 1'!$B$7:$B$2506,"&lt;="&amp;$A32,'Dataset 1'!$J$7:$J$2506,EE$5)</f>
        <v>470</v>
      </c>
      <c r="EF32" s="83">
        <f>SUMIFS('Dataset 1'!$E$7:$E$2506,'Dataset 1'!$B$7:$B$2506,"&lt;="&amp;$A32,'Dataset 1'!$J$7:$J$2506,EF$5)</f>
        <v>310</v>
      </c>
      <c r="EG32" s="83">
        <f>SUMIFS('Dataset 1'!$E$7:$E$2506,'Dataset 1'!$B$7:$B$2506,"&lt;="&amp;$A32,'Dataset 1'!$J$7:$J$2506,EG$5)</f>
        <v>100</v>
      </c>
    </row>
    <row r="33" spans="1:137" x14ac:dyDescent="0.2">
      <c r="A33">
        <v>2009</v>
      </c>
      <c r="B33" s="83">
        <f>SUMIFS('Dataset 1'!$E$7:$E$2506,'Dataset 1'!$B$7:$B$2506,"&lt;="&amp;$A33,'Dataset 1'!$J$7:$J$2506,B$5)</f>
        <v>2520</v>
      </c>
      <c r="C33" s="83">
        <f>SUMIFS('Dataset 1'!$E$7:$E$2506,'Dataset 1'!$B$7:$B$2506,"&lt;="&amp;$A33,'Dataset 1'!$J$7:$J$2506,C$5)</f>
        <v>0</v>
      </c>
      <c r="D33" s="83">
        <f>SUMIFS('Dataset 1'!$E$7:$E$2506,'Dataset 1'!$B$7:$B$2506,"&lt;="&amp;$A33,'Dataset 1'!$J$7:$J$2506,D$5)</f>
        <v>740</v>
      </c>
      <c r="E33" s="83">
        <f>SUMIFS('Dataset 1'!$E$7:$E$2506,'Dataset 1'!$B$7:$B$2506,"&lt;="&amp;$A33,'Dataset 1'!$J$7:$J$2506,E$5)</f>
        <v>0</v>
      </c>
      <c r="F33" s="83">
        <f>SUMIFS('Dataset 1'!$E$7:$E$2506,'Dataset 1'!$B$7:$B$2506,"&lt;="&amp;$A33,'Dataset 1'!$J$7:$J$2506,F$5)</f>
        <v>0</v>
      </c>
      <c r="G33" s="83">
        <f>SUMIFS('Dataset 1'!$E$7:$E$2506,'Dataset 1'!$B$7:$B$2506,"&lt;="&amp;$A33,'Dataset 1'!$J$7:$J$2506,G$5)</f>
        <v>29050</v>
      </c>
      <c r="H33" s="83">
        <f>SUMIFS('Dataset 1'!$E$7:$E$2506,'Dataset 1'!$B$7:$B$2506,"&lt;="&amp;$A33,'Dataset 1'!$J$7:$J$2506,H$5)</f>
        <v>140</v>
      </c>
      <c r="I33" s="83">
        <f>SUMIFS('Dataset 1'!$E$7:$E$2506,'Dataset 1'!$B$7:$B$2506,"&lt;="&amp;$A33,'Dataset 1'!$J$7:$J$2506,I$5)</f>
        <v>0</v>
      </c>
      <c r="J33" s="83">
        <f>SUMIFS('Dataset 1'!$E$7:$E$2506,'Dataset 1'!$B$7:$B$2506,"&lt;="&amp;$A33,'Dataset 1'!$J$7:$J$2506,J$5)</f>
        <v>100</v>
      </c>
      <c r="K33" s="83">
        <f>SUMIFS('Dataset 1'!$E$7:$E$2506,'Dataset 1'!$B$7:$B$2506,"&lt;="&amp;$A33,'Dataset 1'!$J$7:$J$2506,K$5)</f>
        <v>0</v>
      </c>
      <c r="L33" s="83">
        <f>SUMIFS('Dataset 1'!$E$7:$E$2506,'Dataset 1'!$B$7:$B$2506,"&lt;="&amp;$A33,'Dataset 1'!$J$7:$J$2506,L$5)</f>
        <v>0</v>
      </c>
      <c r="M33" s="83">
        <f>SUMIFS('Dataset 1'!$E$7:$E$2506,'Dataset 1'!$B$7:$B$2506,"&lt;="&amp;$A33,'Dataset 1'!$J$7:$J$2506,M$5)</f>
        <v>2790</v>
      </c>
      <c r="N33" s="83">
        <f>SUMIFS('Dataset 1'!$E$7:$E$2506,'Dataset 1'!$B$7:$B$2506,"&lt;="&amp;$A33,'Dataset 1'!$J$7:$J$2506,N$5)</f>
        <v>0</v>
      </c>
      <c r="O33" s="83">
        <f>SUMIFS('Dataset 1'!$E$7:$E$2506,'Dataset 1'!$B$7:$B$2506,"&lt;="&amp;$A33,'Dataset 1'!$J$7:$J$2506,O$5)</f>
        <v>0</v>
      </c>
      <c r="P33" s="83">
        <f>SUMIFS('Dataset 1'!$E$7:$E$2506,'Dataset 1'!$B$7:$B$2506,"&lt;="&amp;$A33,'Dataset 1'!$J$7:$J$2506,P$5)</f>
        <v>0</v>
      </c>
      <c r="Q33" s="83">
        <f>SUMIFS('Dataset 1'!$E$7:$E$2506,'Dataset 1'!$B$7:$B$2506,"&lt;="&amp;$A33,'Dataset 1'!$J$7:$J$2506,Q$5)</f>
        <v>1010</v>
      </c>
      <c r="R33" s="83">
        <f>SUMIFS('Dataset 1'!$E$7:$E$2506,'Dataset 1'!$B$7:$B$2506,"&lt;="&amp;$A33,'Dataset 1'!$J$7:$J$2506,R$5)</f>
        <v>7650</v>
      </c>
      <c r="S33" s="83">
        <f>SUMIFS('Dataset 1'!$E$7:$E$2506,'Dataset 1'!$B$7:$B$2506,"&lt;="&amp;$A33,'Dataset 1'!$J$7:$J$2506,S$5)</f>
        <v>0</v>
      </c>
      <c r="T33" s="83">
        <f>SUMIFS('Dataset 1'!$E$7:$E$2506,'Dataset 1'!$B$7:$B$2506,"&lt;="&amp;$A33,'Dataset 1'!$J$7:$J$2506,T$5)</f>
        <v>120</v>
      </c>
      <c r="U33" s="83">
        <f>SUMIFS('Dataset 1'!$E$7:$E$2506,'Dataset 1'!$B$7:$B$2506,"&lt;="&amp;$A33,'Dataset 1'!$J$7:$J$2506,U$5)</f>
        <v>3100</v>
      </c>
      <c r="V33" s="83">
        <f>SUMIFS('Dataset 1'!$E$7:$E$2506,'Dataset 1'!$B$7:$B$2506,"&lt;="&amp;$A33,'Dataset 1'!$J$7:$J$2506,V$5)</f>
        <v>0</v>
      </c>
      <c r="W33" s="83">
        <f>SUMIFS('Dataset 1'!$E$7:$E$2506,'Dataset 1'!$B$7:$B$2506,"&lt;="&amp;$A33,'Dataset 1'!$J$7:$J$2506,W$5)</f>
        <v>3840</v>
      </c>
      <c r="X33" s="83">
        <f>SUMIFS('Dataset 1'!$E$7:$E$2506,'Dataset 1'!$B$7:$B$2506,"&lt;="&amp;$A33,'Dataset 1'!$J$7:$J$2506,X$5)</f>
        <v>1150</v>
      </c>
      <c r="Y33" s="83">
        <f>SUMIFS('Dataset 1'!$E$7:$E$2506,'Dataset 1'!$B$7:$B$2506,"&lt;="&amp;$A33,'Dataset 1'!$J$7:$J$2506,Y$5)</f>
        <v>0</v>
      </c>
      <c r="Z33" s="83">
        <f>SUMIFS('Dataset 1'!$E$7:$E$2506,'Dataset 1'!$B$7:$B$2506,"&lt;="&amp;$A33,'Dataset 1'!$J$7:$J$2506,Z$5)</f>
        <v>430</v>
      </c>
      <c r="AA33" s="83">
        <f>SUMIFS('Dataset 1'!$E$7:$E$2506,'Dataset 1'!$B$7:$B$2506,"&lt;="&amp;$A33,'Dataset 1'!$J$7:$J$2506,AA$5)</f>
        <v>0</v>
      </c>
      <c r="AB33" s="83">
        <f>SUMIFS('Dataset 1'!$E$7:$E$2506,'Dataset 1'!$B$7:$B$2506,"&lt;="&amp;$A33,'Dataset 1'!$J$7:$J$2506,AB$5)</f>
        <v>0</v>
      </c>
      <c r="AC33" s="83">
        <f>SUMIFS('Dataset 1'!$E$7:$E$2506,'Dataset 1'!$B$7:$B$2506,"&lt;="&amp;$A33,'Dataset 1'!$J$7:$J$2506,AC$5)</f>
        <v>500</v>
      </c>
      <c r="AD33" s="83">
        <f>SUMIFS('Dataset 1'!$E$7:$E$2506,'Dataset 1'!$B$7:$B$2506,"&lt;="&amp;$A33,'Dataset 1'!$J$7:$J$2506,AD$5)</f>
        <v>0</v>
      </c>
      <c r="AE33" s="83">
        <f>SUMIFS('Dataset 1'!$E$7:$E$2506,'Dataset 1'!$B$7:$B$2506,"&lt;="&amp;$A33,'Dataset 1'!$J$7:$J$2506,AE$5)</f>
        <v>0</v>
      </c>
      <c r="AF33" s="83">
        <f>SUMIFS('Dataset 1'!$E$7:$E$2506,'Dataset 1'!$B$7:$B$2506,"&lt;="&amp;$A33,'Dataset 1'!$J$7:$J$2506,AF$5)</f>
        <v>3700</v>
      </c>
      <c r="AG33" s="83">
        <f>SUMIFS('Dataset 1'!$E$7:$E$2506,'Dataset 1'!$B$7:$B$2506,"&lt;="&amp;$A33,'Dataset 1'!$J$7:$J$2506,AG$5)</f>
        <v>0</v>
      </c>
      <c r="AH33" s="83">
        <f>SUMIFS('Dataset 1'!$E$7:$E$2506,'Dataset 1'!$B$7:$B$2506,"&lt;="&amp;$A33,'Dataset 1'!$J$7:$J$2506,AH$5)</f>
        <v>0</v>
      </c>
      <c r="AI33" s="83">
        <f>SUMIFS('Dataset 1'!$E$7:$E$2506,'Dataset 1'!$B$7:$B$2506,"&lt;="&amp;$A33,'Dataset 1'!$J$7:$J$2506,AI$5)</f>
        <v>1420</v>
      </c>
      <c r="AJ33" s="83">
        <f>SUMIFS('Dataset 1'!$E$7:$E$2506,'Dataset 1'!$B$7:$B$2506,"&lt;="&amp;$A33,'Dataset 1'!$J$7:$J$2506,AJ$5)</f>
        <v>1640</v>
      </c>
      <c r="AK33" s="83">
        <f>SUMIFS('Dataset 1'!$E$7:$E$2506,'Dataset 1'!$B$7:$B$2506,"&lt;="&amp;$A33,'Dataset 1'!$J$7:$J$2506,AK$5)</f>
        <v>0</v>
      </c>
      <c r="AL33" s="83">
        <f>SUMIFS('Dataset 1'!$E$7:$E$2506,'Dataset 1'!$B$7:$B$2506,"&lt;="&amp;$A33,'Dataset 1'!$J$7:$J$2506,AL$5)</f>
        <v>0</v>
      </c>
      <c r="AM33" s="83">
        <f>SUMIFS('Dataset 1'!$E$7:$E$2506,'Dataset 1'!$B$7:$B$2506,"&lt;="&amp;$A33,'Dataset 1'!$J$7:$J$2506,AM$5)</f>
        <v>0</v>
      </c>
      <c r="AN33" s="83">
        <f>SUMIFS('Dataset 1'!$E$7:$E$2506,'Dataset 1'!$B$7:$B$2506,"&lt;="&amp;$A33,'Dataset 1'!$J$7:$J$2506,AN$5)</f>
        <v>3980</v>
      </c>
      <c r="AO33" s="83">
        <f>SUMIFS('Dataset 1'!$E$7:$E$2506,'Dataset 1'!$B$7:$B$2506,"&lt;="&amp;$A33,'Dataset 1'!$J$7:$J$2506,AO$5)</f>
        <v>0</v>
      </c>
      <c r="AP33" s="83">
        <f>SUMIFS('Dataset 1'!$E$7:$E$2506,'Dataset 1'!$B$7:$B$2506,"&lt;="&amp;$A33,'Dataset 1'!$J$7:$J$2506,AP$5)</f>
        <v>0</v>
      </c>
      <c r="AQ33" s="83">
        <f>SUMIFS('Dataset 1'!$E$7:$E$2506,'Dataset 1'!$B$7:$B$2506,"&lt;="&amp;$A33,'Dataset 1'!$J$7:$J$2506,AQ$5)</f>
        <v>270</v>
      </c>
      <c r="AR33" s="83">
        <f>SUMIFS('Dataset 1'!$E$7:$E$2506,'Dataset 1'!$B$7:$B$2506,"&lt;="&amp;$A33,'Dataset 1'!$J$7:$J$2506,AR$5)</f>
        <v>200</v>
      </c>
      <c r="AS33" s="83">
        <f>SUMIFS('Dataset 1'!$E$7:$E$2506,'Dataset 1'!$B$7:$B$2506,"&lt;="&amp;$A33,'Dataset 1'!$J$7:$J$2506,AS$5)</f>
        <v>5790</v>
      </c>
      <c r="AT33" s="83">
        <f>SUMIFS('Dataset 1'!$E$7:$E$2506,'Dataset 1'!$B$7:$B$2506,"&lt;="&amp;$A33,'Dataset 1'!$J$7:$J$2506,AT$5)</f>
        <v>0</v>
      </c>
      <c r="AU33" s="83">
        <f>SUMIFS('Dataset 1'!$E$7:$E$2506,'Dataset 1'!$B$7:$B$2506,"&lt;="&amp;$A33,'Dataset 1'!$J$7:$J$2506,AU$5)</f>
        <v>0</v>
      </c>
      <c r="AV33" s="83">
        <f>SUMIFS('Dataset 1'!$E$7:$E$2506,'Dataset 1'!$B$7:$B$2506,"&lt;="&amp;$A33,'Dataset 1'!$J$7:$J$2506,AV$5)</f>
        <v>0</v>
      </c>
      <c r="AW33" s="83">
        <f>SUMIFS('Dataset 1'!$E$7:$E$2506,'Dataset 1'!$B$7:$B$2506,"&lt;="&amp;$A33,'Dataset 1'!$J$7:$J$2506,AW$5)</f>
        <v>0</v>
      </c>
      <c r="AX33" s="83">
        <f>SUMIFS('Dataset 1'!$E$7:$E$2506,'Dataset 1'!$B$7:$B$2506,"&lt;="&amp;$A33,'Dataset 1'!$J$7:$J$2506,AX$5)</f>
        <v>1800</v>
      </c>
      <c r="AY33" s="83">
        <f>SUMIFS('Dataset 1'!$E$7:$E$2506,'Dataset 1'!$B$7:$B$2506,"&lt;="&amp;$A33,'Dataset 1'!$J$7:$J$2506,AY$5)</f>
        <v>460</v>
      </c>
      <c r="AZ33" s="83">
        <f>SUMIFS('Dataset 1'!$E$7:$E$2506,'Dataset 1'!$B$7:$B$2506,"&lt;="&amp;$A33,'Dataset 1'!$J$7:$J$2506,AZ$5)</f>
        <v>3770</v>
      </c>
      <c r="BA33" s="83">
        <f>SUMIFS('Dataset 1'!$E$7:$E$2506,'Dataset 1'!$B$7:$B$2506,"&lt;="&amp;$A33,'Dataset 1'!$J$7:$J$2506,BA$5)</f>
        <v>8580</v>
      </c>
      <c r="BB33" s="83">
        <f>SUMIFS('Dataset 1'!$E$7:$E$2506,'Dataset 1'!$B$7:$B$2506,"&lt;="&amp;$A33,'Dataset 1'!$J$7:$J$2506,BB$5)</f>
        <v>0</v>
      </c>
      <c r="BC33" s="83">
        <f>SUMIFS('Dataset 1'!$E$7:$E$2506,'Dataset 1'!$B$7:$B$2506,"&lt;="&amp;$A33,'Dataset 1'!$J$7:$J$2506,BC$5)</f>
        <v>0</v>
      </c>
      <c r="BD33" s="83">
        <f>SUMIFS('Dataset 1'!$E$7:$E$2506,'Dataset 1'!$B$7:$B$2506,"&lt;="&amp;$A33,'Dataset 1'!$J$7:$J$2506,BD$5)</f>
        <v>250</v>
      </c>
      <c r="BE33" s="83">
        <f>SUMIFS('Dataset 1'!$E$7:$E$2506,'Dataset 1'!$B$7:$B$2506,"&lt;="&amp;$A33,'Dataset 1'!$J$7:$J$2506,BE$5)</f>
        <v>0</v>
      </c>
      <c r="BF33" s="83">
        <f>SUMIFS('Dataset 1'!$E$7:$E$2506,'Dataset 1'!$B$7:$B$2506,"&lt;="&amp;$A33,'Dataset 1'!$J$7:$J$2506,BF$5)</f>
        <v>0</v>
      </c>
      <c r="BG33" s="83">
        <f>SUMIFS('Dataset 1'!$E$7:$E$2506,'Dataset 1'!$B$7:$B$2506,"&lt;="&amp;$A33,'Dataset 1'!$J$7:$J$2506,BG$5)</f>
        <v>110</v>
      </c>
      <c r="BH33" s="83">
        <f>SUMIFS('Dataset 1'!$E$7:$E$2506,'Dataset 1'!$B$7:$B$2506,"&lt;="&amp;$A33,'Dataset 1'!$J$7:$J$2506,BH$5)</f>
        <v>0</v>
      </c>
      <c r="BI33" s="83">
        <f>SUMIFS('Dataset 1'!$E$7:$E$2506,'Dataset 1'!$B$7:$B$2506,"&lt;="&amp;$A33,'Dataset 1'!$J$7:$J$2506,BI$5)</f>
        <v>9900</v>
      </c>
      <c r="BJ33" s="83">
        <f>SUMIFS('Dataset 1'!$E$7:$E$2506,'Dataset 1'!$B$7:$B$2506,"&lt;="&amp;$A33,'Dataset 1'!$J$7:$J$2506,BJ$5)</f>
        <v>0</v>
      </c>
      <c r="BK33" s="83">
        <f>SUMIFS('Dataset 1'!$E$7:$E$2506,'Dataset 1'!$B$7:$B$2506,"&lt;="&amp;$A33,'Dataset 1'!$J$7:$J$2506,BK$5)</f>
        <v>0</v>
      </c>
      <c r="BL33" s="83">
        <f>SUMIFS('Dataset 1'!$E$7:$E$2506,'Dataset 1'!$B$7:$B$2506,"&lt;="&amp;$A33,'Dataset 1'!$J$7:$J$2506,BL$5)</f>
        <v>0</v>
      </c>
      <c r="BM33" s="83">
        <f>SUMIFS('Dataset 1'!$E$7:$E$2506,'Dataset 1'!$B$7:$B$2506,"&lt;="&amp;$A33,'Dataset 1'!$J$7:$J$2506,BM$5)</f>
        <v>510</v>
      </c>
      <c r="BN33" s="83">
        <f>SUMIFS('Dataset 1'!$E$7:$E$2506,'Dataset 1'!$B$7:$B$2506,"&lt;="&amp;$A33,'Dataset 1'!$J$7:$J$2506,BN$5)</f>
        <v>110</v>
      </c>
      <c r="BO33" s="83">
        <f>SUMIFS('Dataset 1'!$E$7:$E$2506,'Dataset 1'!$B$7:$B$2506,"&lt;="&amp;$A33,'Dataset 1'!$J$7:$J$2506,BO$5)</f>
        <v>0</v>
      </c>
      <c r="BP33" s="83">
        <f>SUMIFS('Dataset 1'!$E$7:$E$2506,'Dataset 1'!$B$7:$B$2506,"&lt;="&amp;$A33,'Dataset 1'!$J$7:$J$2506,BP$5)</f>
        <v>0</v>
      </c>
      <c r="BQ33" s="83">
        <f>SUMIFS('Dataset 1'!$E$7:$E$2506,'Dataset 1'!$B$7:$B$2506,"&lt;="&amp;$A33,'Dataset 1'!$J$7:$J$2506,BQ$5)</f>
        <v>0</v>
      </c>
      <c r="BR33" s="83">
        <f>SUMIFS('Dataset 1'!$E$7:$E$2506,'Dataset 1'!$B$7:$B$2506,"&lt;="&amp;$A33,'Dataset 1'!$J$7:$J$2506,BR$5)</f>
        <v>0</v>
      </c>
      <c r="BS33" s="83">
        <f>SUMIFS('Dataset 1'!$E$7:$E$2506,'Dataset 1'!$B$7:$B$2506,"&lt;="&amp;$A33,'Dataset 1'!$J$7:$J$2506,BS$5)</f>
        <v>0</v>
      </c>
      <c r="BT33" s="83">
        <f>SUMIFS('Dataset 1'!$E$7:$E$2506,'Dataset 1'!$B$7:$B$2506,"&lt;="&amp;$A33,'Dataset 1'!$J$7:$J$2506,BT$5)</f>
        <v>0</v>
      </c>
      <c r="BU33" s="83">
        <f>SUMIFS('Dataset 1'!$E$7:$E$2506,'Dataset 1'!$B$7:$B$2506,"&lt;="&amp;$A33,'Dataset 1'!$J$7:$J$2506,BU$5)</f>
        <v>0</v>
      </c>
      <c r="BV33" s="83">
        <f>SUMIFS('Dataset 1'!$E$7:$E$2506,'Dataset 1'!$B$7:$B$2506,"&lt;="&amp;$A33,'Dataset 1'!$J$7:$J$2506,BV$5)</f>
        <v>740</v>
      </c>
      <c r="BW33" s="83">
        <f>SUMIFS('Dataset 1'!$E$7:$E$2506,'Dataset 1'!$B$7:$B$2506,"&lt;="&amp;$A33,'Dataset 1'!$J$7:$J$2506,BW$5)</f>
        <v>310</v>
      </c>
      <c r="BX33" s="83">
        <f>SUMIFS('Dataset 1'!$E$7:$E$2506,'Dataset 1'!$B$7:$B$2506,"&lt;="&amp;$A33,'Dataset 1'!$J$7:$J$2506,BX$5)</f>
        <v>1100</v>
      </c>
      <c r="BY33" s="83">
        <f>SUMIFS('Dataset 1'!$E$7:$E$2506,'Dataset 1'!$B$7:$B$2506,"&lt;="&amp;$A33,'Dataset 1'!$J$7:$J$2506,BY$5)</f>
        <v>0</v>
      </c>
      <c r="BZ33" s="83">
        <f>SUMIFS('Dataset 1'!$E$7:$E$2506,'Dataset 1'!$B$7:$B$2506,"&lt;="&amp;$A33,'Dataset 1'!$J$7:$J$2506,BZ$5)</f>
        <v>0</v>
      </c>
      <c r="CA33" s="83">
        <f>SUMIFS('Dataset 1'!$E$7:$E$2506,'Dataset 1'!$B$7:$B$2506,"&lt;="&amp;$A33,'Dataset 1'!$J$7:$J$2506,CA$5)</f>
        <v>0</v>
      </c>
      <c r="CB33" s="83">
        <f>SUMIFS('Dataset 1'!$E$7:$E$2506,'Dataset 1'!$B$7:$B$2506,"&lt;="&amp;$A33,'Dataset 1'!$J$7:$J$2506,CB$5)</f>
        <v>2050</v>
      </c>
      <c r="CC33" s="83">
        <f>SUMIFS('Dataset 1'!$E$7:$E$2506,'Dataset 1'!$B$7:$B$2506,"&lt;="&amp;$A33,'Dataset 1'!$J$7:$J$2506,CC$5)</f>
        <v>0</v>
      </c>
      <c r="CD33" s="83">
        <f>SUMIFS('Dataset 1'!$E$7:$E$2506,'Dataset 1'!$B$7:$B$2506,"&lt;="&amp;$A33,'Dataset 1'!$J$7:$J$2506,CD$5)</f>
        <v>0</v>
      </c>
      <c r="CE33" s="83">
        <f>SUMIFS('Dataset 1'!$E$7:$E$2506,'Dataset 1'!$B$7:$B$2506,"&lt;="&amp;$A33,'Dataset 1'!$J$7:$J$2506,CE$5)</f>
        <v>1480</v>
      </c>
      <c r="CF33" s="83">
        <f>SUMIFS('Dataset 1'!$E$7:$E$2506,'Dataset 1'!$B$7:$B$2506,"&lt;="&amp;$A33,'Dataset 1'!$J$7:$J$2506,CF$5)</f>
        <v>0</v>
      </c>
      <c r="CG33" s="83">
        <f>SUMIFS('Dataset 1'!$E$7:$E$2506,'Dataset 1'!$B$7:$B$2506,"&lt;="&amp;$A33,'Dataset 1'!$J$7:$J$2506,CG$5)</f>
        <v>0</v>
      </c>
      <c r="CH33" s="83">
        <f>SUMIFS('Dataset 1'!$E$7:$E$2506,'Dataset 1'!$B$7:$B$2506,"&lt;="&amp;$A33,'Dataset 1'!$J$7:$J$2506,CH$5)</f>
        <v>190</v>
      </c>
      <c r="CI33" s="83">
        <f>SUMIFS('Dataset 1'!$E$7:$E$2506,'Dataset 1'!$B$7:$B$2506,"&lt;="&amp;$A33,'Dataset 1'!$J$7:$J$2506,CI$5)</f>
        <v>2270</v>
      </c>
      <c r="CJ33" s="83">
        <f>SUMIFS('Dataset 1'!$E$7:$E$2506,'Dataset 1'!$B$7:$B$2506,"&lt;="&amp;$A33,'Dataset 1'!$J$7:$J$2506,CJ$5)</f>
        <v>0</v>
      </c>
      <c r="CK33" s="83">
        <f>SUMIFS('Dataset 1'!$E$7:$E$2506,'Dataset 1'!$B$7:$B$2506,"&lt;="&amp;$A33,'Dataset 1'!$J$7:$J$2506,CK$5)</f>
        <v>2490</v>
      </c>
      <c r="CL33" s="83">
        <f>SUMIFS('Dataset 1'!$E$7:$E$2506,'Dataset 1'!$B$7:$B$2506,"&lt;="&amp;$A33,'Dataset 1'!$J$7:$J$2506,CL$5)</f>
        <v>0</v>
      </c>
      <c r="CM33" s="83">
        <f>SUMIFS('Dataset 1'!$E$7:$E$2506,'Dataset 1'!$B$7:$B$2506,"&lt;="&amp;$A33,'Dataset 1'!$J$7:$J$2506,CM$5)</f>
        <v>1070</v>
      </c>
      <c r="CN33" s="83">
        <f>SUMIFS('Dataset 1'!$E$7:$E$2506,'Dataset 1'!$B$7:$B$2506,"&lt;="&amp;$A33,'Dataset 1'!$J$7:$J$2506,CN$5)</f>
        <v>0</v>
      </c>
      <c r="CO33" s="83">
        <f>SUMIFS('Dataset 1'!$E$7:$E$2506,'Dataset 1'!$B$7:$B$2506,"&lt;="&amp;$A33,'Dataset 1'!$J$7:$J$2506,CO$5)</f>
        <v>670</v>
      </c>
      <c r="CP33" s="83">
        <f>SUMIFS('Dataset 1'!$E$7:$E$2506,'Dataset 1'!$B$7:$B$2506,"&lt;="&amp;$A33,'Dataset 1'!$J$7:$J$2506,CP$5)</f>
        <v>4680</v>
      </c>
      <c r="CQ33" s="83">
        <f>SUMIFS('Dataset 1'!$E$7:$E$2506,'Dataset 1'!$B$7:$B$2506,"&lt;="&amp;$A33,'Dataset 1'!$J$7:$J$2506,CQ$5)</f>
        <v>1580</v>
      </c>
      <c r="CR33" s="83">
        <f>SUMIFS('Dataset 1'!$E$7:$E$2506,'Dataset 1'!$B$7:$B$2506,"&lt;="&amp;$A33,'Dataset 1'!$J$7:$J$2506,CR$5)</f>
        <v>0</v>
      </c>
      <c r="CS33" s="83">
        <f>SUMIFS('Dataset 1'!$E$7:$E$2506,'Dataset 1'!$B$7:$B$2506,"&lt;="&amp;$A33,'Dataset 1'!$J$7:$J$2506,CS$5)</f>
        <v>0</v>
      </c>
      <c r="CT33" s="83">
        <f>SUMIFS('Dataset 1'!$E$7:$E$2506,'Dataset 1'!$B$7:$B$2506,"&lt;="&amp;$A33,'Dataset 1'!$J$7:$J$2506,CT$5)</f>
        <v>100</v>
      </c>
      <c r="CU33" s="83">
        <f>SUMIFS('Dataset 1'!$E$7:$E$2506,'Dataset 1'!$B$7:$B$2506,"&lt;="&amp;$A33,'Dataset 1'!$J$7:$J$2506,CU$5)</f>
        <v>6190</v>
      </c>
      <c r="CV33" s="83">
        <f>SUMIFS('Dataset 1'!$E$7:$E$2506,'Dataset 1'!$B$7:$B$2506,"&lt;="&amp;$A33,'Dataset 1'!$J$7:$J$2506,CV$5)</f>
        <v>0</v>
      </c>
      <c r="CW33" s="83">
        <f>SUMIFS('Dataset 1'!$E$7:$E$2506,'Dataset 1'!$B$7:$B$2506,"&lt;="&amp;$A33,'Dataset 1'!$J$7:$J$2506,CW$5)</f>
        <v>0</v>
      </c>
      <c r="CX33" s="83">
        <f>SUMIFS('Dataset 1'!$E$7:$E$2506,'Dataset 1'!$B$7:$B$2506,"&lt;="&amp;$A33,'Dataset 1'!$J$7:$J$2506,CX$5)</f>
        <v>0</v>
      </c>
      <c r="CY33" s="83">
        <f>SUMIFS('Dataset 1'!$E$7:$E$2506,'Dataset 1'!$B$7:$B$2506,"&lt;="&amp;$A33,'Dataset 1'!$J$7:$J$2506,CY$5)</f>
        <v>1200</v>
      </c>
      <c r="CZ33" s="83">
        <f>SUMIFS('Dataset 1'!$E$7:$E$2506,'Dataset 1'!$B$7:$B$2506,"&lt;="&amp;$A33,'Dataset 1'!$J$7:$J$2506,CZ$5)</f>
        <v>0</v>
      </c>
      <c r="DA33" s="83">
        <f>SUMIFS('Dataset 1'!$E$7:$E$2506,'Dataset 1'!$B$7:$B$2506,"&lt;="&amp;$A33,'Dataset 1'!$J$7:$J$2506,DA$5)</f>
        <v>0</v>
      </c>
      <c r="DB33" s="83">
        <f>SUMIFS('Dataset 1'!$E$7:$E$2506,'Dataset 1'!$B$7:$B$2506,"&lt;="&amp;$A33,'Dataset 1'!$J$7:$J$2506,DB$5)</f>
        <v>6720</v>
      </c>
      <c r="DC33" s="83">
        <f>SUMIFS('Dataset 1'!$E$7:$E$2506,'Dataset 1'!$B$7:$B$2506,"&lt;="&amp;$A33,'Dataset 1'!$J$7:$J$2506,DC$5)</f>
        <v>0</v>
      </c>
      <c r="DD33" s="83">
        <f>SUMIFS('Dataset 1'!$E$7:$E$2506,'Dataset 1'!$B$7:$B$2506,"&lt;="&amp;$A33,'Dataset 1'!$J$7:$J$2506,DD$5)</f>
        <v>0</v>
      </c>
      <c r="DE33" s="83">
        <f>SUMIFS('Dataset 1'!$E$7:$E$2506,'Dataset 1'!$B$7:$B$2506,"&lt;="&amp;$A33,'Dataset 1'!$J$7:$J$2506,DE$5)</f>
        <v>0</v>
      </c>
      <c r="DF33" s="83">
        <f>SUMIFS('Dataset 1'!$E$7:$E$2506,'Dataset 1'!$B$7:$B$2506,"&lt;="&amp;$A33,'Dataset 1'!$J$7:$J$2506,DF$5)</f>
        <v>5830</v>
      </c>
      <c r="DG33" s="83">
        <f>SUMIFS('Dataset 1'!$E$7:$E$2506,'Dataset 1'!$B$7:$B$2506,"&lt;="&amp;$A33,'Dataset 1'!$J$7:$J$2506,DG$5)</f>
        <v>0</v>
      </c>
      <c r="DH33" s="83">
        <f>SUMIFS('Dataset 1'!$E$7:$E$2506,'Dataset 1'!$B$7:$B$2506,"&lt;="&amp;$A33,'Dataset 1'!$J$7:$J$2506,DH$5)</f>
        <v>1000</v>
      </c>
      <c r="DI33" s="83">
        <f>SUMIFS('Dataset 1'!$E$7:$E$2506,'Dataset 1'!$B$7:$B$2506,"&lt;="&amp;$A33,'Dataset 1'!$J$7:$J$2506,DI$5)</f>
        <v>0</v>
      </c>
      <c r="DJ33" s="83">
        <f>SUMIFS('Dataset 1'!$E$7:$E$2506,'Dataset 1'!$B$7:$B$2506,"&lt;="&amp;$A33,'Dataset 1'!$J$7:$J$2506,DJ$5)</f>
        <v>260</v>
      </c>
      <c r="DK33" s="83">
        <f>SUMIFS('Dataset 1'!$E$7:$E$2506,'Dataset 1'!$B$7:$B$2506,"&lt;="&amp;$A33,'Dataset 1'!$J$7:$J$2506,DK$5)</f>
        <v>0</v>
      </c>
      <c r="DL33" s="83">
        <f>SUMIFS('Dataset 1'!$E$7:$E$2506,'Dataset 1'!$B$7:$B$2506,"&lt;="&amp;$A33,'Dataset 1'!$J$7:$J$2506,DL$5)</f>
        <v>0</v>
      </c>
      <c r="DM33" s="83">
        <f>SUMIFS('Dataset 1'!$E$7:$E$2506,'Dataset 1'!$B$7:$B$2506,"&lt;="&amp;$A33,'Dataset 1'!$J$7:$J$2506,DM$5)</f>
        <v>7200</v>
      </c>
      <c r="DN33" s="83">
        <f>SUMIFS('Dataset 1'!$E$7:$E$2506,'Dataset 1'!$B$7:$B$2506,"&lt;="&amp;$A33,'Dataset 1'!$J$7:$J$2506,DN$5)</f>
        <v>2280</v>
      </c>
      <c r="DO33" s="83">
        <f>SUMIFS('Dataset 1'!$E$7:$E$2506,'Dataset 1'!$B$7:$B$2506,"&lt;="&amp;$A33,'Dataset 1'!$J$7:$J$2506,DO$5)</f>
        <v>0</v>
      </c>
      <c r="DP33" s="83">
        <f>SUMIFS('Dataset 1'!$E$7:$E$2506,'Dataset 1'!$B$7:$B$2506,"&lt;="&amp;$A33,'Dataset 1'!$J$7:$J$2506,DP$5)</f>
        <v>0</v>
      </c>
      <c r="DQ33" s="83">
        <f>SUMIFS('Dataset 1'!$E$7:$E$2506,'Dataset 1'!$B$7:$B$2506,"&lt;="&amp;$A33,'Dataset 1'!$J$7:$J$2506,DQ$5)</f>
        <v>0</v>
      </c>
      <c r="DR33" s="83">
        <f>SUMIFS('Dataset 1'!$E$7:$E$2506,'Dataset 1'!$B$7:$B$2506,"&lt;="&amp;$A33,'Dataset 1'!$J$7:$J$2506,DR$5)</f>
        <v>680</v>
      </c>
      <c r="DS33" s="83">
        <f>SUMIFS('Dataset 1'!$E$7:$E$2506,'Dataset 1'!$B$7:$B$2506,"&lt;="&amp;$A33,'Dataset 1'!$J$7:$J$2506,DS$5)</f>
        <v>0</v>
      </c>
      <c r="DT33" s="83">
        <f>SUMIFS('Dataset 1'!$E$7:$E$2506,'Dataset 1'!$B$7:$B$2506,"&lt;="&amp;$A33,'Dataset 1'!$J$7:$J$2506,DT$5)</f>
        <v>320</v>
      </c>
      <c r="DU33" s="83">
        <f>SUMIFS('Dataset 1'!$E$7:$E$2506,'Dataset 1'!$B$7:$B$2506,"&lt;="&amp;$A33,'Dataset 1'!$J$7:$J$2506,DU$5)</f>
        <v>0</v>
      </c>
      <c r="DV33" s="83">
        <f>SUMIFS('Dataset 1'!$E$7:$E$2506,'Dataset 1'!$B$7:$B$2506,"&lt;="&amp;$A33,'Dataset 1'!$J$7:$J$2506,DV$5)</f>
        <v>760</v>
      </c>
      <c r="DW33" s="83">
        <f>SUMIFS('Dataset 1'!$E$7:$E$2506,'Dataset 1'!$B$7:$B$2506,"&lt;="&amp;$A33,'Dataset 1'!$J$7:$J$2506,DW$5)</f>
        <v>1190</v>
      </c>
      <c r="DX33" s="83">
        <f>SUMIFS('Dataset 1'!$E$7:$E$2506,'Dataset 1'!$B$7:$B$2506,"&lt;="&amp;$A33,'Dataset 1'!$J$7:$J$2506,DX$5)</f>
        <v>0</v>
      </c>
      <c r="DY33" s="83">
        <f>SUMIFS('Dataset 1'!$E$7:$E$2506,'Dataset 1'!$B$7:$B$2506,"&lt;="&amp;$A33,'Dataset 1'!$J$7:$J$2506,DY$5)</f>
        <v>23310</v>
      </c>
      <c r="DZ33" s="83">
        <f>SUMIFS('Dataset 1'!$E$7:$E$2506,'Dataset 1'!$B$7:$B$2506,"&lt;="&amp;$A33,'Dataset 1'!$J$7:$J$2506,DZ$5)</f>
        <v>0</v>
      </c>
      <c r="EA33" s="83">
        <f>SUMIFS('Dataset 1'!$E$7:$E$2506,'Dataset 1'!$B$7:$B$2506,"&lt;="&amp;$A33,'Dataset 1'!$J$7:$J$2506,EA$5)</f>
        <v>0</v>
      </c>
      <c r="EB33" s="83">
        <f>SUMIFS('Dataset 1'!$E$7:$E$2506,'Dataset 1'!$B$7:$B$2506,"&lt;="&amp;$A33,'Dataset 1'!$J$7:$J$2506,EB$5)</f>
        <v>0</v>
      </c>
      <c r="EC33" s="83">
        <f>SUMIFS('Dataset 1'!$E$7:$E$2506,'Dataset 1'!$B$7:$B$2506,"&lt;="&amp;$A33,'Dataset 1'!$J$7:$J$2506,EC$5)</f>
        <v>0</v>
      </c>
      <c r="ED33" s="83">
        <f>SUMIFS('Dataset 1'!$E$7:$E$2506,'Dataset 1'!$B$7:$B$2506,"&lt;="&amp;$A33,'Dataset 1'!$J$7:$J$2506,ED$5)</f>
        <v>0</v>
      </c>
      <c r="EE33" s="83">
        <f>SUMIFS('Dataset 1'!$E$7:$E$2506,'Dataset 1'!$B$7:$B$2506,"&lt;="&amp;$A33,'Dataset 1'!$J$7:$J$2506,EE$5)</f>
        <v>470</v>
      </c>
      <c r="EF33" s="83">
        <f>SUMIFS('Dataset 1'!$E$7:$E$2506,'Dataset 1'!$B$7:$B$2506,"&lt;="&amp;$A33,'Dataset 1'!$J$7:$J$2506,EF$5)</f>
        <v>680</v>
      </c>
      <c r="EG33" s="83">
        <f>SUMIFS('Dataset 1'!$E$7:$E$2506,'Dataset 1'!$B$7:$B$2506,"&lt;="&amp;$A33,'Dataset 1'!$J$7:$J$2506,EG$5)</f>
        <v>100</v>
      </c>
    </row>
    <row r="34" spans="1:137" x14ac:dyDescent="0.2">
      <c r="A34">
        <v>2010</v>
      </c>
      <c r="B34" s="83">
        <f>SUMIFS('Dataset 1'!$E$7:$E$2506,'Dataset 1'!$B$7:$B$2506,"&lt;="&amp;$A34,'Dataset 1'!$J$7:$J$2506,B$5)</f>
        <v>2520</v>
      </c>
      <c r="C34" s="83">
        <f>SUMIFS('Dataset 1'!$E$7:$E$2506,'Dataset 1'!$B$7:$B$2506,"&lt;="&amp;$A34,'Dataset 1'!$J$7:$J$2506,C$5)</f>
        <v>0</v>
      </c>
      <c r="D34" s="83">
        <f>SUMIFS('Dataset 1'!$E$7:$E$2506,'Dataset 1'!$B$7:$B$2506,"&lt;="&amp;$A34,'Dataset 1'!$J$7:$J$2506,D$5)</f>
        <v>740</v>
      </c>
      <c r="E34" s="83">
        <f>SUMIFS('Dataset 1'!$E$7:$E$2506,'Dataset 1'!$B$7:$B$2506,"&lt;="&amp;$A34,'Dataset 1'!$J$7:$J$2506,E$5)</f>
        <v>0</v>
      </c>
      <c r="F34" s="83">
        <f>SUMIFS('Dataset 1'!$E$7:$E$2506,'Dataset 1'!$B$7:$B$2506,"&lt;="&amp;$A34,'Dataset 1'!$J$7:$J$2506,F$5)</f>
        <v>5680</v>
      </c>
      <c r="G34" s="83">
        <f>SUMIFS('Dataset 1'!$E$7:$E$2506,'Dataset 1'!$B$7:$B$2506,"&lt;="&amp;$A34,'Dataset 1'!$J$7:$J$2506,G$5)</f>
        <v>32390</v>
      </c>
      <c r="H34" s="83">
        <f>SUMIFS('Dataset 1'!$E$7:$E$2506,'Dataset 1'!$B$7:$B$2506,"&lt;="&amp;$A34,'Dataset 1'!$J$7:$J$2506,H$5)</f>
        <v>140</v>
      </c>
      <c r="I34" s="83">
        <f>SUMIFS('Dataset 1'!$E$7:$E$2506,'Dataset 1'!$B$7:$B$2506,"&lt;="&amp;$A34,'Dataset 1'!$J$7:$J$2506,I$5)</f>
        <v>0</v>
      </c>
      <c r="J34" s="83">
        <f>SUMIFS('Dataset 1'!$E$7:$E$2506,'Dataset 1'!$B$7:$B$2506,"&lt;="&amp;$A34,'Dataset 1'!$J$7:$J$2506,J$5)</f>
        <v>100</v>
      </c>
      <c r="K34" s="83">
        <f>SUMIFS('Dataset 1'!$E$7:$E$2506,'Dataset 1'!$B$7:$B$2506,"&lt;="&amp;$A34,'Dataset 1'!$J$7:$J$2506,K$5)</f>
        <v>0</v>
      </c>
      <c r="L34" s="83">
        <f>SUMIFS('Dataset 1'!$E$7:$E$2506,'Dataset 1'!$B$7:$B$2506,"&lt;="&amp;$A34,'Dataset 1'!$J$7:$J$2506,L$5)</f>
        <v>100</v>
      </c>
      <c r="M34" s="83">
        <f>SUMIFS('Dataset 1'!$E$7:$E$2506,'Dataset 1'!$B$7:$B$2506,"&lt;="&amp;$A34,'Dataset 1'!$J$7:$J$2506,M$5)</f>
        <v>2790</v>
      </c>
      <c r="N34" s="83">
        <f>SUMIFS('Dataset 1'!$E$7:$E$2506,'Dataset 1'!$B$7:$B$2506,"&lt;="&amp;$A34,'Dataset 1'!$J$7:$J$2506,N$5)</f>
        <v>0</v>
      </c>
      <c r="O34" s="83">
        <f>SUMIFS('Dataset 1'!$E$7:$E$2506,'Dataset 1'!$B$7:$B$2506,"&lt;="&amp;$A34,'Dataset 1'!$J$7:$J$2506,O$5)</f>
        <v>0</v>
      </c>
      <c r="P34" s="83">
        <f>SUMIFS('Dataset 1'!$E$7:$E$2506,'Dataset 1'!$B$7:$B$2506,"&lt;="&amp;$A34,'Dataset 1'!$J$7:$J$2506,P$5)</f>
        <v>0</v>
      </c>
      <c r="Q34" s="83">
        <f>SUMIFS('Dataset 1'!$E$7:$E$2506,'Dataset 1'!$B$7:$B$2506,"&lt;="&amp;$A34,'Dataset 1'!$J$7:$J$2506,Q$5)</f>
        <v>14890</v>
      </c>
      <c r="R34" s="83">
        <f>SUMIFS('Dataset 1'!$E$7:$E$2506,'Dataset 1'!$B$7:$B$2506,"&lt;="&amp;$A34,'Dataset 1'!$J$7:$J$2506,R$5)</f>
        <v>8780</v>
      </c>
      <c r="S34" s="83">
        <f>SUMIFS('Dataset 1'!$E$7:$E$2506,'Dataset 1'!$B$7:$B$2506,"&lt;="&amp;$A34,'Dataset 1'!$J$7:$J$2506,S$5)</f>
        <v>0</v>
      </c>
      <c r="T34" s="83">
        <f>SUMIFS('Dataset 1'!$E$7:$E$2506,'Dataset 1'!$B$7:$B$2506,"&lt;="&amp;$A34,'Dataset 1'!$J$7:$J$2506,T$5)</f>
        <v>120</v>
      </c>
      <c r="U34" s="83">
        <f>SUMIFS('Dataset 1'!$E$7:$E$2506,'Dataset 1'!$B$7:$B$2506,"&lt;="&amp;$A34,'Dataset 1'!$J$7:$J$2506,U$5)</f>
        <v>3990</v>
      </c>
      <c r="V34" s="83">
        <f>SUMIFS('Dataset 1'!$E$7:$E$2506,'Dataset 1'!$B$7:$B$2506,"&lt;="&amp;$A34,'Dataset 1'!$J$7:$J$2506,V$5)</f>
        <v>500</v>
      </c>
      <c r="W34" s="83">
        <f>SUMIFS('Dataset 1'!$E$7:$E$2506,'Dataset 1'!$B$7:$B$2506,"&lt;="&amp;$A34,'Dataset 1'!$J$7:$J$2506,W$5)</f>
        <v>10920</v>
      </c>
      <c r="X34" s="83">
        <f>SUMIFS('Dataset 1'!$E$7:$E$2506,'Dataset 1'!$B$7:$B$2506,"&lt;="&amp;$A34,'Dataset 1'!$J$7:$J$2506,X$5)</f>
        <v>1150</v>
      </c>
      <c r="Y34" s="83">
        <f>SUMIFS('Dataset 1'!$E$7:$E$2506,'Dataset 1'!$B$7:$B$2506,"&lt;="&amp;$A34,'Dataset 1'!$J$7:$J$2506,Y$5)</f>
        <v>1910</v>
      </c>
      <c r="Z34" s="83">
        <f>SUMIFS('Dataset 1'!$E$7:$E$2506,'Dataset 1'!$B$7:$B$2506,"&lt;="&amp;$A34,'Dataset 1'!$J$7:$J$2506,Z$5)</f>
        <v>430</v>
      </c>
      <c r="AA34" s="83">
        <f>SUMIFS('Dataset 1'!$E$7:$E$2506,'Dataset 1'!$B$7:$B$2506,"&lt;="&amp;$A34,'Dataset 1'!$J$7:$J$2506,AA$5)</f>
        <v>0</v>
      </c>
      <c r="AB34" s="83">
        <f>SUMIFS('Dataset 1'!$E$7:$E$2506,'Dataset 1'!$B$7:$B$2506,"&lt;="&amp;$A34,'Dataset 1'!$J$7:$J$2506,AB$5)</f>
        <v>0</v>
      </c>
      <c r="AC34" s="83">
        <f>SUMIFS('Dataset 1'!$E$7:$E$2506,'Dataset 1'!$B$7:$B$2506,"&lt;="&amp;$A34,'Dataset 1'!$J$7:$J$2506,AC$5)</f>
        <v>500</v>
      </c>
      <c r="AD34" s="83">
        <f>SUMIFS('Dataset 1'!$E$7:$E$2506,'Dataset 1'!$B$7:$B$2506,"&lt;="&amp;$A34,'Dataset 1'!$J$7:$J$2506,AD$5)</f>
        <v>0</v>
      </c>
      <c r="AE34" s="83">
        <f>SUMIFS('Dataset 1'!$E$7:$E$2506,'Dataset 1'!$B$7:$B$2506,"&lt;="&amp;$A34,'Dataset 1'!$J$7:$J$2506,AE$5)</f>
        <v>0</v>
      </c>
      <c r="AF34" s="83">
        <f>SUMIFS('Dataset 1'!$E$7:$E$2506,'Dataset 1'!$B$7:$B$2506,"&lt;="&amp;$A34,'Dataset 1'!$J$7:$J$2506,AF$5)</f>
        <v>3700</v>
      </c>
      <c r="AG34" s="83">
        <f>SUMIFS('Dataset 1'!$E$7:$E$2506,'Dataset 1'!$B$7:$B$2506,"&lt;="&amp;$A34,'Dataset 1'!$J$7:$J$2506,AG$5)</f>
        <v>0</v>
      </c>
      <c r="AH34" s="83">
        <f>SUMIFS('Dataset 1'!$E$7:$E$2506,'Dataset 1'!$B$7:$B$2506,"&lt;="&amp;$A34,'Dataset 1'!$J$7:$J$2506,AH$5)</f>
        <v>0</v>
      </c>
      <c r="AI34" s="83">
        <f>SUMIFS('Dataset 1'!$E$7:$E$2506,'Dataset 1'!$B$7:$B$2506,"&lt;="&amp;$A34,'Dataset 1'!$J$7:$J$2506,AI$5)</f>
        <v>2680</v>
      </c>
      <c r="AJ34" s="83">
        <f>SUMIFS('Dataset 1'!$E$7:$E$2506,'Dataset 1'!$B$7:$B$2506,"&lt;="&amp;$A34,'Dataset 1'!$J$7:$J$2506,AJ$5)</f>
        <v>1640</v>
      </c>
      <c r="AK34" s="83">
        <f>SUMIFS('Dataset 1'!$E$7:$E$2506,'Dataset 1'!$B$7:$B$2506,"&lt;="&amp;$A34,'Dataset 1'!$J$7:$J$2506,AK$5)</f>
        <v>0</v>
      </c>
      <c r="AL34" s="83">
        <f>SUMIFS('Dataset 1'!$E$7:$E$2506,'Dataset 1'!$B$7:$B$2506,"&lt;="&amp;$A34,'Dataset 1'!$J$7:$J$2506,AL$5)</f>
        <v>140</v>
      </c>
      <c r="AM34" s="83">
        <f>SUMIFS('Dataset 1'!$E$7:$E$2506,'Dataset 1'!$B$7:$B$2506,"&lt;="&amp;$A34,'Dataset 1'!$J$7:$J$2506,AM$5)</f>
        <v>0</v>
      </c>
      <c r="AN34" s="83">
        <f>SUMIFS('Dataset 1'!$E$7:$E$2506,'Dataset 1'!$B$7:$B$2506,"&lt;="&amp;$A34,'Dataset 1'!$J$7:$J$2506,AN$5)</f>
        <v>3980</v>
      </c>
      <c r="AO34" s="83">
        <f>SUMIFS('Dataset 1'!$E$7:$E$2506,'Dataset 1'!$B$7:$B$2506,"&lt;="&amp;$A34,'Dataset 1'!$J$7:$J$2506,AO$5)</f>
        <v>0</v>
      </c>
      <c r="AP34" s="83">
        <f>SUMIFS('Dataset 1'!$E$7:$E$2506,'Dataset 1'!$B$7:$B$2506,"&lt;="&amp;$A34,'Dataset 1'!$J$7:$J$2506,AP$5)</f>
        <v>100</v>
      </c>
      <c r="AQ34" s="83">
        <f>SUMIFS('Dataset 1'!$E$7:$E$2506,'Dataset 1'!$B$7:$B$2506,"&lt;="&amp;$A34,'Dataset 1'!$J$7:$J$2506,AQ$5)</f>
        <v>270</v>
      </c>
      <c r="AR34" s="83">
        <f>SUMIFS('Dataset 1'!$E$7:$E$2506,'Dataset 1'!$B$7:$B$2506,"&lt;="&amp;$A34,'Dataset 1'!$J$7:$J$2506,AR$5)</f>
        <v>1400</v>
      </c>
      <c r="AS34" s="83">
        <f>SUMIFS('Dataset 1'!$E$7:$E$2506,'Dataset 1'!$B$7:$B$2506,"&lt;="&amp;$A34,'Dataset 1'!$J$7:$J$2506,AS$5)</f>
        <v>5790</v>
      </c>
      <c r="AT34" s="83">
        <f>SUMIFS('Dataset 1'!$E$7:$E$2506,'Dataset 1'!$B$7:$B$2506,"&lt;="&amp;$A34,'Dataset 1'!$J$7:$J$2506,AT$5)</f>
        <v>0</v>
      </c>
      <c r="AU34" s="83">
        <f>SUMIFS('Dataset 1'!$E$7:$E$2506,'Dataset 1'!$B$7:$B$2506,"&lt;="&amp;$A34,'Dataset 1'!$J$7:$J$2506,AU$5)</f>
        <v>0</v>
      </c>
      <c r="AV34" s="83">
        <f>SUMIFS('Dataset 1'!$E$7:$E$2506,'Dataset 1'!$B$7:$B$2506,"&lt;="&amp;$A34,'Dataset 1'!$J$7:$J$2506,AV$5)</f>
        <v>0</v>
      </c>
      <c r="AW34" s="83">
        <f>SUMIFS('Dataset 1'!$E$7:$E$2506,'Dataset 1'!$B$7:$B$2506,"&lt;="&amp;$A34,'Dataset 1'!$J$7:$J$2506,AW$5)</f>
        <v>190</v>
      </c>
      <c r="AX34" s="83">
        <f>SUMIFS('Dataset 1'!$E$7:$E$2506,'Dataset 1'!$B$7:$B$2506,"&lt;="&amp;$A34,'Dataset 1'!$J$7:$J$2506,AX$5)</f>
        <v>1800</v>
      </c>
      <c r="AY34" s="83">
        <f>SUMIFS('Dataset 1'!$E$7:$E$2506,'Dataset 1'!$B$7:$B$2506,"&lt;="&amp;$A34,'Dataset 1'!$J$7:$J$2506,AY$5)</f>
        <v>1290</v>
      </c>
      <c r="AZ34" s="83">
        <f>SUMIFS('Dataset 1'!$E$7:$E$2506,'Dataset 1'!$B$7:$B$2506,"&lt;="&amp;$A34,'Dataset 1'!$J$7:$J$2506,AZ$5)</f>
        <v>3770</v>
      </c>
      <c r="BA34" s="83">
        <f>SUMIFS('Dataset 1'!$E$7:$E$2506,'Dataset 1'!$B$7:$B$2506,"&lt;="&amp;$A34,'Dataset 1'!$J$7:$J$2506,BA$5)</f>
        <v>8580</v>
      </c>
      <c r="BB34" s="83">
        <f>SUMIFS('Dataset 1'!$E$7:$E$2506,'Dataset 1'!$B$7:$B$2506,"&lt;="&amp;$A34,'Dataset 1'!$J$7:$J$2506,BB$5)</f>
        <v>0</v>
      </c>
      <c r="BC34" s="83">
        <f>SUMIFS('Dataset 1'!$E$7:$E$2506,'Dataset 1'!$B$7:$B$2506,"&lt;="&amp;$A34,'Dataset 1'!$J$7:$J$2506,BC$5)</f>
        <v>1440</v>
      </c>
      <c r="BD34" s="83">
        <f>SUMIFS('Dataset 1'!$E$7:$E$2506,'Dataset 1'!$B$7:$B$2506,"&lt;="&amp;$A34,'Dataset 1'!$J$7:$J$2506,BD$5)</f>
        <v>450</v>
      </c>
      <c r="BE34" s="83">
        <f>SUMIFS('Dataset 1'!$E$7:$E$2506,'Dataset 1'!$B$7:$B$2506,"&lt;="&amp;$A34,'Dataset 1'!$J$7:$J$2506,BE$5)</f>
        <v>0</v>
      </c>
      <c r="BF34" s="83">
        <f>SUMIFS('Dataset 1'!$E$7:$E$2506,'Dataset 1'!$B$7:$B$2506,"&lt;="&amp;$A34,'Dataset 1'!$J$7:$J$2506,BF$5)</f>
        <v>140</v>
      </c>
      <c r="BG34" s="83">
        <f>SUMIFS('Dataset 1'!$E$7:$E$2506,'Dataset 1'!$B$7:$B$2506,"&lt;="&amp;$A34,'Dataset 1'!$J$7:$J$2506,BG$5)</f>
        <v>110</v>
      </c>
      <c r="BH34" s="83">
        <f>SUMIFS('Dataset 1'!$E$7:$E$2506,'Dataset 1'!$B$7:$B$2506,"&lt;="&amp;$A34,'Dataset 1'!$J$7:$J$2506,BH$5)</f>
        <v>0</v>
      </c>
      <c r="BI34" s="83">
        <f>SUMIFS('Dataset 1'!$E$7:$E$2506,'Dataset 1'!$B$7:$B$2506,"&lt;="&amp;$A34,'Dataset 1'!$J$7:$J$2506,BI$5)</f>
        <v>10170</v>
      </c>
      <c r="BJ34" s="83">
        <f>SUMIFS('Dataset 1'!$E$7:$E$2506,'Dataset 1'!$B$7:$B$2506,"&lt;="&amp;$A34,'Dataset 1'!$J$7:$J$2506,BJ$5)</f>
        <v>0</v>
      </c>
      <c r="BK34" s="83">
        <f>SUMIFS('Dataset 1'!$E$7:$E$2506,'Dataset 1'!$B$7:$B$2506,"&lt;="&amp;$A34,'Dataset 1'!$J$7:$J$2506,BK$5)</f>
        <v>0</v>
      </c>
      <c r="BL34" s="83">
        <f>SUMIFS('Dataset 1'!$E$7:$E$2506,'Dataset 1'!$B$7:$B$2506,"&lt;="&amp;$A34,'Dataset 1'!$J$7:$J$2506,BL$5)</f>
        <v>0</v>
      </c>
      <c r="BM34" s="83">
        <f>SUMIFS('Dataset 1'!$E$7:$E$2506,'Dataset 1'!$B$7:$B$2506,"&lt;="&amp;$A34,'Dataset 1'!$J$7:$J$2506,BM$5)</f>
        <v>1740</v>
      </c>
      <c r="BN34" s="83">
        <f>SUMIFS('Dataset 1'!$E$7:$E$2506,'Dataset 1'!$B$7:$B$2506,"&lt;="&amp;$A34,'Dataset 1'!$J$7:$J$2506,BN$5)</f>
        <v>110</v>
      </c>
      <c r="BO34" s="83">
        <f>SUMIFS('Dataset 1'!$E$7:$E$2506,'Dataset 1'!$B$7:$B$2506,"&lt;="&amp;$A34,'Dataset 1'!$J$7:$J$2506,BO$5)</f>
        <v>0</v>
      </c>
      <c r="BP34" s="83">
        <f>SUMIFS('Dataset 1'!$E$7:$E$2506,'Dataset 1'!$B$7:$B$2506,"&lt;="&amp;$A34,'Dataset 1'!$J$7:$J$2506,BP$5)</f>
        <v>0</v>
      </c>
      <c r="BQ34" s="83">
        <f>SUMIFS('Dataset 1'!$E$7:$E$2506,'Dataset 1'!$B$7:$B$2506,"&lt;="&amp;$A34,'Dataset 1'!$J$7:$J$2506,BQ$5)</f>
        <v>0</v>
      </c>
      <c r="BR34" s="83">
        <f>SUMIFS('Dataset 1'!$E$7:$E$2506,'Dataset 1'!$B$7:$B$2506,"&lt;="&amp;$A34,'Dataset 1'!$J$7:$J$2506,BR$5)</f>
        <v>350</v>
      </c>
      <c r="BS34" s="83">
        <f>SUMIFS('Dataset 1'!$E$7:$E$2506,'Dataset 1'!$B$7:$B$2506,"&lt;="&amp;$A34,'Dataset 1'!$J$7:$J$2506,BS$5)</f>
        <v>0</v>
      </c>
      <c r="BT34" s="83">
        <f>SUMIFS('Dataset 1'!$E$7:$E$2506,'Dataset 1'!$B$7:$B$2506,"&lt;="&amp;$A34,'Dataset 1'!$J$7:$J$2506,BT$5)</f>
        <v>0</v>
      </c>
      <c r="BU34" s="83">
        <f>SUMIFS('Dataset 1'!$E$7:$E$2506,'Dataset 1'!$B$7:$B$2506,"&lt;="&amp;$A34,'Dataset 1'!$J$7:$J$2506,BU$5)</f>
        <v>0</v>
      </c>
      <c r="BV34" s="83">
        <f>SUMIFS('Dataset 1'!$E$7:$E$2506,'Dataset 1'!$B$7:$B$2506,"&lt;="&amp;$A34,'Dataset 1'!$J$7:$J$2506,BV$5)</f>
        <v>740</v>
      </c>
      <c r="BW34" s="83">
        <f>SUMIFS('Dataset 1'!$E$7:$E$2506,'Dataset 1'!$B$7:$B$2506,"&lt;="&amp;$A34,'Dataset 1'!$J$7:$J$2506,BW$5)</f>
        <v>310</v>
      </c>
      <c r="BX34" s="83">
        <f>SUMIFS('Dataset 1'!$E$7:$E$2506,'Dataset 1'!$B$7:$B$2506,"&lt;="&amp;$A34,'Dataset 1'!$J$7:$J$2506,BX$5)</f>
        <v>1100</v>
      </c>
      <c r="BY34" s="83">
        <f>SUMIFS('Dataset 1'!$E$7:$E$2506,'Dataset 1'!$B$7:$B$2506,"&lt;="&amp;$A34,'Dataset 1'!$J$7:$J$2506,BY$5)</f>
        <v>0</v>
      </c>
      <c r="BZ34" s="83">
        <f>SUMIFS('Dataset 1'!$E$7:$E$2506,'Dataset 1'!$B$7:$B$2506,"&lt;="&amp;$A34,'Dataset 1'!$J$7:$J$2506,BZ$5)</f>
        <v>0</v>
      </c>
      <c r="CA34" s="83">
        <f>SUMIFS('Dataset 1'!$E$7:$E$2506,'Dataset 1'!$B$7:$B$2506,"&lt;="&amp;$A34,'Dataset 1'!$J$7:$J$2506,CA$5)</f>
        <v>0</v>
      </c>
      <c r="CB34" s="83">
        <f>SUMIFS('Dataset 1'!$E$7:$E$2506,'Dataset 1'!$B$7:$B$2506,"&lt;="&amp;$A34,'Dataset 1'!$J$7:$J$2506,CB$5)</f>
        <v>3530</v>
      </c>
      <c r="CC34" s="83">
        <f>SUMIFS('Dataset 1'!$E$7:$E$2506,'Dataset 1'!$B$7:$B$2506,"&lt;="&amp;$A34,'Dataset 1'!$J$7:$J$2506,CC$5)</f>
        <v>0</v>
      </c>
      <c r="CD34" s="83">
        <f>SUMIFS('Dataset 1'!$E$7:$E$2506,'Dataset 1'!$B$7:$B$2506,"&lt;="&amp;$A34,'Dataset 1'!$J$7:$J$2506,CD$5)</f>
        <v>0</v>
      </c>
      <c r="CE34" s="83">
        <f>SUMIFS('Dataset 1'!$E$7:$E$2506,'Dataset 1'!$B$7:$B$2506,"&lt;="&amp;$A34,'Dataset 1'!$J$7:$J$2506,CE$5)</f>
        <v>1750</v>
      </c>
      <c r="CF34" s="83">
        <f>SUMIFS('Dataset 1'!$E$7:$E$2506,'Dataset 1'!$B$7:$B$2506,"&lt;="&amp;$A34,'Dataset 1'!$J$7:$J$2506,CF$5)</f>
        <v>0</v>
      </c>
      <c r="CG34" s="83">
        <f>SUMIFS('Dataset 1'!$E$7:$E$2506,'Dataset 1'!$B$7:$B$2506,"&lt;="&amp;$A34,'Dataset 1'!$J$7:$J$2506,CG$5)</f>
        <v>0</v>
      </c>
      <c r="CH34" s="83">
        <f>SUMIFS('Dataset 1'!$E$7:$E$2506,'Dataset 1'!$B$7:$B$2506,"&lt;="&amp;$A34,'Dataset 1'!$J$7:$J$2506,CH$5)</f>
        <v>4870</v>
      </c>
      <c r="CI34" s="83">
        <f>SUMIFS('Dataset 1'!$E$7:$E$2506,'Dataset 1'!$B$7:$B$2506,"&lt;="&amp;$A34,'Dataset 1'!$J$7:$J$2506,CI$5)</f>
        <v>2610</v>
      </c>
      <c r="CJ34" s="83">
        <f>SUMIFS('Dataset 1'!$E$7:$E$2506,'Dataset 1'!$B$7:$B$2506,"&lt;="&amp;$A34,'Dataset 1'!$J$7:$J$2506,CJ$5)</f>
        <v>0</v>
      </c>
      <c r="CK34" s="83">
        <f>SUMIFS('Dataset 1'!$E$7:$E$2506,'Dataset 1'!$B$7:$B$2506,"&lt;="&amp;$A34,'Dataset 1'!$J$7:$J$2506,CK$5)</f>
        <v>2870</v>
      </c>
      <c r="CL34" s="83">
        <f>SUMIFS('Dataset 1'!$E$7:$E$2506,'Dataset 1'!$B$7:$B$2506,"&lt;="&amp;$A34,'Dataset 1'!$J$7:$J$2506,CL$5)</f>
        <v>0</v>
      </c>
      <c r="CM34" s="83">
        <f>SUMIFS('Dataset 1'!$E$7:$E$2506,'Dataset 1'!$B$7:$B$2506,"&lt;="&amp;$A34,'Dataset 1'!$J$7:$J$2506,CM$5)</f>
        <v>1070</v>
      </c>
      <c r="CN34" s="83">
        <f>SUMIFS('Dataset 1'!$E$7:$E$2506,'Dataset 1'!$B$7:$B$2506,"&lt;="&amp;$A34,'Dataset 1'!$J$7:$J$2506,CN$5)</f>
        <v>0</v>
      </c>
      <c r="CO34" s="83">
        <f>SUMIFS('Dataset 1'!$E$7:$E$2506,'Dataset 1'!$B$7:$B$2506,"&lt;="&amp;$A34,'Dataset 1'!$J$7:$J$2506,CO$5)</f>
        <v>670</v>
      </c>
      <c r="CP34" s="83">
        <f>SUMIFS('Dataset 1'!$E$7:$E$2506,'Dataset 1'!$B$7:$B$2506,"&lt;="&amp;$A34,'Dataset 1'!$J$7:$J$2506,CP$5)</f>
        <v>4680</v>
      </c>
      <c r="CQ34" s="83">
        <f>SUMIFS('Dataset 1'!$E$7:$E$2506,'Dataset 1'!$B$7:$B$2506,"&lt;="&amp;$A34,'Dataset 1'!$J$7:$J$2506,CQ$5)</f>
        <v>1580</v>
      </c>
      <c r="CR34" s="83">
        <f>SUMIFS('Dataset 1'!$E$7:$E$2506,'Dataset 1'!$B$7:$B$2506,"&lt;="&amp;$A34,'Dataset 1'!$J$7:$J$2506,CR$5)</f>
        <v>0</v>
      </c>
      <c r="CS34" s="83">
        <f>SUMIFS('Dataset 1'!$E$7:$E$2506,'Dataset 1'!$B$7:$B$2506,"&lt;="&amp;$A34,'Dataset 1'!$J$7:$J$2506,CS$5)</f>
        <v>0</v>
      </c>
      <c r="CT34" s="83">
        <f>SUMIFS('Dataset 1'!$E$7:$E$2506,'Dataset 1'!$B$7:$B$2506,"&lt;="&amp;$A34,'Dataset 1'!$J$7:$J$2506,CT$5)</f>
        <v>100</v>
      </c>
      <c r="CU34" s="83">
        <f>SUMIFS('Dataset 1'!$E$7:$E$2506,'Dataset 1'!$B$7:$B$2506,"&lt;="&amp;$A34,'Dataset 1'!$J$7:$J$2506,CU$5)</f>
        <v>7020</v>
      </c>
      <c r="CV34" s="83">
        <f>SUMIFS('Dataset 1'!$E$7:$E$2506,'Dataset 1'!$B$7:$B$2506,"&lt;="&amp;$A34,'Dataset 1'!$J$7:$J$2506,CV$5)</f>
        <v>0</v>
      </c>
      <c r="CW34" s="83">
        <f>SUMIFS('Dataset 1'!$E$7:$E$2506,'Dataset 1'!$B$7:$B$2506,"&lt;="&amp;$A34,'Dataset 1'!$J$7:$J$2506,CW$5)</f>
        <v>0</v>
      </c>
      <c r="CX34" s="83">
        <f>SUMIFS('Dataset 1'!$E$7:$E$2506,'Dataset 1'!$B$7:$B$2506,"&lt;="&amp;$A34,'Dataset 1'!$J$7:$J$2506,CX$5)</f>
        <v>0</v>
      </c>
      <c r="CY34" s="83">
        <f>SUMIFS('Dataset 1'!$E$7:$E$2506,'Dataset 1'!$B$7:$B$2506,"&lt;="&amp;$A34,'Dataset 1'!$J$7:$J$2506,CY$5)</f>
        <v>1200</v>
      </c>
      <c r="CZ34" s="83">
        <f>SUMIFS('Dataset 1'!$E$7:$E$2506,'Dataset 1'!$B$7:$B$2506,"&lt;="&amp;$A34,'Dataset 1'!$J$7:$J$2506,CZ$5)</f>
        <v>0</v>
      </c>
      <c r="DA34" s="83">
        <f>SUMIFS('Dataset 1'!$E$7:$E$2506,'Dataset 1'!$B$7:$B$2506,"&lt;="&amp;$A34,'Dataset 1'!$J$7:$J$2506,DA$5)</f>
        <v>260</v>
      </c>
      <c r="DB34" s="83">
        <f>SUMIFS('Dataset 1'!$E$7:$E$2506,'Dataset 1'!$B$7:$B$2506,"&lt;="&amp;$A34,'Dataset 1'!$J$7:$J$2506,DB$5)</f>
        <v>6720</v>
      </c>
      <c r="DC34" s="83">
        <f>SUMIFS('Dataset 1'!$E$7:$E$2506,'Dataset 1'!$B$7:$B$2506,"&lt;="&amp;$A34,'Dataset 1'!$J$7:$J$2506,DC$5)</f>
        <v>0</v>
      </c>
      <c r="DD34" s="83">
        <f>SUMIFS('Dataset 1'!$E$7:$E$2506,'Dataset 1'!$B$7:$B$2506,"&lt;="&amp;$A34,'Dataset 1'!$J$7:$J$2506,DD$5)</f>
        <v>0</v>
      </c>
      <c r="DE34" s="83">
        <f>SUMIFS('Dataset 1'!$E$7:$E$2506,'Dataset 1'!$B$7:$B$2506,"&lt;="&amp;$A34,'Dataset 1'!$J$7:$J$2506,DE$5)</f>
        <v>0</v>
      </c>
      <c r="DF34" s="83">
        <f>SUMIFS('Dataset 1'!$E$7:$E$2506,'Dataset 1'!$B$7:$B$2506,"&lt;="&amp;$A34,'Dataset 1'!$J$7:$J$2506,DF$5)</f>
        <v>6280</v>
      </c>
      <c r="DG34" s="83">
        <f>SUMIFS('Dataset 1'!$E$7:$E$2506,'Dataset 1'!$B$7:$B$2506,"&lt;="&amp;$A34,'Dataset 1'!$J$7:$J$2506,DG$5)</f>
        <v>1090</v>
      </c>
      <c r="DH34" s="83">
        <f>SUMIFS('Dataset 1'!$E$7:$E$2506,'Dataset 1'!$B$7:$B$2506,"&lt;="&amp;$A34,'Dataset 1'!$J$7:$J$2506,DH$5)</f>
        <v>1000</v>
      </c>
      <c r="DI34" s="83">
        <f>SUMIFS('Dataset 1'!$E$7:$E$2506,'Dataset 1'!$B$7:$B$2506,"&lt;="&amp;$A34,'Dataset 1'!$J$7:$J$2506,DI$5)</f>
        <v>0</v>
      </c>
      <c r="DJ34" s="83">
        <f>SUMIFS('Dataset 1'!$E$7:$E$2506,'Dataset 1'!$B$7:$B$2506,"&lt;="&amp;$A34,'Dataset 1'!$J$7:$J$2506,DJ$5)</f>
        <v>260</v>
      </c>
      <c r="DK34" s="83">
        <f>SUMIFS('Dataset 1'!$E$7:$E$2506,'Dataset 1'!$B$7:$B$2506,"&lt;="&amp;$A34,'Dataset 1'!$J$7:$J$2506,DK$5)</f>
        <v>0</v>
      </c>
      <c r="DL34" s="83">
        <f>SUMIFS('Dataset 1'!$E$7:$E$2506,'Dataset 1'!$B$7:$B$2506,"&lt;="&amp;$A34,'Dataset 1'!$J$7:$J$2506,DL$5)</f>
        <v>2700</v>
      </c>
      <c r="DM34" s="83">
        <f>SUMIFS('Dataset 1'!$E$7:$E$2506,'Dataset 1'!$B$7:$B$2506,"&lt;="&amp;$A34,'Dataset 1'!$J$7:$J$2506,DM$5)</f>
        <v>7200</v>
      </c>
      <c r="DN34" s="83">
        <f>SUMIFS('Dataset 1'!$E$7:$E$2506,'Dataset 1'!$B$7:$B$2506,"&lt;="&amp;$A34,'Dataset 1'!$J$7:$J$2506,DN$5)</f>
        <v>3760</v>
      </c>
      <c r="DO34" s="83">
        <f>SUMIFS('Dataset 1'!$E$7:$E$2506,'Dataset 1'!$B$7:$B$2506,"&lt;="&amp;$A34,'Dataset 1'!$J$7:$J$2506,DO$5)</f>
        <v>0</v>
      </c>
      <c r="DP34" s="83">
        <f>SUMIFS('Dataset 1'!$E$7:$E$2506,'Dataset 1'!$B$7:$B$2506,"&lt;="&amp;$A34,'Dataset 1'!$J$7:$J$2506,DP$5)</f>
        <v>0</v>
      </c>
      <c r="DQ34" s="83">
        <f>SUMIFS('Dataset 1'!$E$7:$E$2506,'Dataset 1'!$B$7:$B$2506,"&lt;="&amp;$A34,'Dataset 1'!$J$7:$J$2506,DQ$5)</f>
        <v>0</v>
      </c>
      <c r="DR34" s="83">
        <f>SUMIFS('Dataset 1'!$E$7:$E$2506,'Dataset 1'!$B$7:$B$2506,"&lt;="&amp;$A34,'Dataset 1'!$J$7:$J$2506,DR$5)</f>
        <v>1180</v>
      </c>
      <c r="DS34" s="83">
        <f>SUMIFS('Dataset 1'!$E$7:$E$2506,'Dataset 1'!$B$7:$B$2506,"&lt;="&amp;$A34,'Dataset 1'!$J$7:$J$2506,DS$5)</f>
        <v>0</v>
      </c>
      <c r="DT34" s="83">
        <f>SUMIFS('Dataset 1'!$E$7:$E$2506,'Dataset 1'!$B$7:$B$2506,"&lt;="&amp;$A34,'Dataset 1'!$J$7:$J$2506,DT$5)</f>
        <v>320</v>
      </c>
      <c r="DU34" s="83">
        <f>SUMIFS('Dataset 1'!$E$7:$E$2506,'Dataset 1'!$B$7:$B$2506,"&lt;="&amp;$A34,'Dataset 1'!$J$7:$J$2506,DU$5)</f>
        <v>0</v>
      </c>
      <c r="DV34" s="83">
        <f>SUMIFS('Dataset 1'!$E$7:$E$2506,'Dataset 1'!$B$7:$B$2506,"&lt;="&amp;$A34,'Dataset 1'!$J$7:$J$2506,DV$5)</f>
        <v>760</v>
      </c>
      <c r="DW34" s="83">
        <f>SUMIFS('Dataset 1'!$E$7:$E$2506,'Dataset 1'!$B$7:$B$2506,"&lt;="&amp;$A34,'Dataset 1'!$J$7:$J$2506,DW$5)</f>
        <v>1190</v>
      </c>
      <c r="DX34" s="83">
        <f>SUMIFS('Dataset 1'!$E$7:$E$2506,'Dataset 1'!$B$7:$B$2506,"&lt;="&amp;$A34,'Dataset 1'!$J$7:$J$2506,DX$5)</f>
        <v>0</v>
      </c>
      <c r="DY34" s="83">
        <f>SUMIFS('Dataset 1'!$E$7:$E$2506,'Dataset 1'!$B$7:$B$2506,"&lt;="&amp;$A34,'Dataset 1'!$J$7:$J$2506,DY$5)</f>
        <v>32130</v>
      </c>
      <c r="DZ34" s="83">
        <f>SUMIFS('Dataset 1'!$E$7:$E$2506,'Dataset 1'!$B$7:$B$2506,"&lt;="&amp;$A34,'Dataset 1'!$J$7:$J$2506,DZ$5)</f>
        <v>0</v>
      </c>
      <c r="EA34" s="83">
        <f>SUMIFS('Dataset 1'!$E$7:$E$2506,'Dataset 1'!$B$7:$B$2506,"&lt;="&amp;$A34,'Dataset 1'!$J$7:$J$2506,EA$5)</f>
        <v>0</v>
      </c>
      <c r="EB34" s="83">
        <f>SUMIFS('Dataset 1'!$E$7:$E$2506,'Dataset 1'!$B$7:$B$2506,"&lt;="&amp;$A34,'Dataset 1'!$J$7:$J$2506,EB$5)</f>
        <v>300</v>
      </c>
      <c r="EC34" s="83">
        <f>SUMIFS('Dataset 1'!$E$7:$E$2506,'Dataset 1'!$B$7:$B$2506,"&lt;="&amp;$A34,'Dataset 1'!$J$7:$J$2506,EC$5)</f>
        <v>900</v>
      </c>
      <c r="ED34" s="83">
        <f>SUMIFS('Dataset 1'!$E$7:$E$2506,'Dataset 1'!$B$7:$B$2506,"&lt;="&amp;$A34,'Dataset 1'!$J$7:$J$2506,ED$5)</f>
        <v>0</v>
      </c>
      <c r="EE34" s="83">
        <f>SUMIFS('Dataset 1'!$E$7:$E$2506,'Dataset 1'!$B$7:$B$2506,"&lt;="&amp;$A34,'Dataset 1'!$J$7:$J$2506,EE$5)</f>
        <v>470</v>
      </c>
      <c r="EF34" s="83">
        <f>SUMIFS('Dataset 1'!$E$7:$E$2506,'Dataset 1'!$B$7:$B$2506,"&lt;="&amp;$A34,'Dataset 1'!$J$7:$J$2506,EF$5)</f>
        <v>680</v>
      </c>
      <c r="EG34" s="83">
        <f>SUMIFS('Dataset 1'!$E$7:$E$2506,'Dataset 1'!$B$7:$B$2506,"&lt;="&amp;$A34,'Dataset 1'!$J$7:$J$2506,EG$5)</f>
        <v>100</v>
      </c>
    </row>
    <row r="35" spans="1:137" x14ac:dyDescent="0.2">
      <c r="A35">
        <v>2011</v>
      </c>
      <c r="B35" s="83">
        <f>SUMIFS('Dataset 1'!$E$7:$E$2506,'Dataset 1'!$B$7:$B$2506,"&lt;="&amp;$A35,'Dataset 1'!$J$7:$J$2506,B$5)</f>
        <v>2920</v>
      </c>
      <c r="C35" s="83">
        <f>SUMIFS('Dataset 1'!$E$7:$E$2506,'Dataset 1'!$B$7:$B$2506,"&lt;="&amp;$A35,'Dataset 1'!$J$7:$J$2506,C$5)</f>
        <v>0</v>
      </c>
      <c r="D35" s="83">
        <f>SUMIFS('Dataset 1'!$E$7:$E$2506,'Dataset 1'!$B$7:$B$2506,"&lt;="&amp;$A35,'Dataset 1'!$J$7:$J$2506,D$5)</f>
        <v>2910</v>
      </c>
      <c r="E35" s="83">
        <f>SUMIFS('Dataset 1'!$E$7:$E$2506,'Dataset 1'!$B$7:$B$2506,"&lt;="&amp;$A35,'Dataset 1'!$J$7:$J$2506,E$5)</f>
        <v>0</v>
      </c>
      <c r="F35" s="83">
        <f>SUMIFS('Dataset 1'!$E$7:$E$2506,'Dataset 1'!$B$7:$B$2506,"&lt;="&amp;$A35,'Dataset 1'!$J$7:$J$2506,F$5)</f>
        <v>6960</v>
      </c>
      <c r="G35" s="83">
        <f>SUMIFS('Dataset 1'!$E$7:$E$2506,'Dataset 1'!$B$7:$B$2506,"&lt;="&amp;$A35,'Dataset 1'!$J$7:$J$2506,G$5)</f>
        <v>42270</v>
      </c>
      <c r="H35" s="83">
        <f>SUMIFS('Dataset 1'!$E$7:$E$2506,'Dataset 1'!$B$7:$B$2506,"&lt;="&amp;$A35,'Dataset 1'!$J$7:$J$2506,H$5)</f>
        <v>280</v>
      </c>
      <c r="I35" s="83">
        <f>SUMIFS('Dataset 1'!$E$7:$E$2506,'Dataset 1'!$B$7:$B$2506,"&lt;="&amp;$A35,'Dataset 1'!$J$7:$J$2506,I$5)</f>
        <v>0</v>
      </c>
      <c r="J35" s="83">
        <f>SUMIFS('Dataset 1'!$E$7:$E$2506,'Dataset 1'!$B$7:$B$2506,"&lt;="&amp;$A35,'Dataset 1'!$J$7:$J$2506,J$5)</f>
        <v>100</v>
      </c>
      <c r="K35" s="83">
        <f>SUMIFS('Dataset 1'!$E$7:$E$2506,'Dataset 1'!$B$7:$B$2506,"&lt;="&amp;$A35,'Dataset 1'!$J$7:$J$2506,K$5)</f>
        <v>0</v>
      </c>
      <c r="L35" s="83">
        <f>SUMIFS('Dataset 1'!$E$7:$E$2506,'Dataset 1'!$B$7:$B$2506,"&lt;="&amp;$A35,'Dataset 1'!$J$7:$J$2506,L$5)</f>
        <v>100</v>
      </c>
      <c r="M35" s="83">
        <f>SUMIFS('Dataset 1'!$E$7:$E$2506,'Dataset 1'!$B$7:$B$2506,"&lt;="&amp;$A35,'Dataset 1'!$J$7:$J$2506,M$5)</f>
        <v>2790</v>
      </c>
      <c r="N35" s="83">
        <f>SUMIFS('Dataset 1'!$E$7:$E$2506,'Dataset 1'!$B$7:$B$2506,"&lt;="&amp;$A35,'Dataset 1'!$J$7:$J$2506,N$5)</f>
        <v>0</v>
      </c>
      <c r="O35" s="83">
        <f>SUMIFS('Dataset 1'!$E$7:$E$2506,'Dataset 1'!$B$7:$B$2506,"&lt;="&amp;$A35,'Dataset 1'!$J$7:$J$2506,O$5)</f>
        <v>0</v>
      </c>
      <c r="P35" s="83">
        <f>SUMIFS('Dataset 1'!$E$7:$E$2506,'Dataset 1'!$B$7:$B$2506,"&lt;="&amp;$A35,'Dataset 1'!$J$7:$J$2506,P$5)</f>
        <v>0</v>
      </c>
      <c r="Q35" s="83">
        <f>SUMIFS('Dataset 1'!$E$7:$E$2506,'Dataset 1'!$B$7:$B$2506,"&lt;="&amp;$A35,'Dataset 1'!$J$7:$J$2506,Q$5)</f>
        <v>23110</v>
      </c>
      <c r="R35" s="83">
        <f>SUMIFS('Dataset 1'!$E$7:$E$2506,'Dataset 1'!$B$7:$B$2506,"&lt;="&amp;$A35,'Dataset 1'!$J$7:$J$2506,R$5)</f>
        <v>9290</v>
      </c>
      <c r="S35" s="83">
        <f>SUMIFS('Dataset 1'!$E$7:$E$2506,'Dataset 1'!$B$7:$B$2506,"&lt;="&amp;$A35,'Dataset 1'!$J$7:$J$2506,S$5)</f>
        <v>0</v>
      </c>
      <c r="T35" s="83">
        <f>SUMIFS('Dataset 1'!$E$7:$E$2506,'Dataset 1'!$B$7:$B$2506,"&lt;="&amp;$A35,'Dataset 1'!$J$7:$J$2506,T$5)</f>
        <v>120</v>
      </c>
      <c r="U35" s="83">
        <f>SUMIFS('Dataset 1'!$E$7:$E$2506,'Dataset 1'!$B$7:$B$2506,"&lt;="&amp;$A35,'Dataset 1'!$J$7:$J$2506,U$5)</f>
        <v>4490</v>
      </c>
      <c r="V35" s="83">
        <f>SUMIFS('Dataset 1'!$E$7:$E$2506,'Dataset 1'!$B$7:$B$2506,"&lt;="&amp;$A35,'Dataset 1'!$J$7:$J$2506,V$5)</f>
        <v>1040</v>
      </c>
      <c r="W35" s="83">
        <f>SUMIFS('Dataset 1'!$E$7:$E$2506,'Dataset 1'!$B$7:$B$2506,"&lt;="&amp;$A35,'Dataset 1'!$J$7:$J$2506,W$5)</f>
        <v>16380</v>
      </c>
      <c r="X35" s="83">
        <f>SUMIFS('Dataset 1'!$E$7:$E$2506,'Dataset 1'!$B$7:$B$2506,"&lt;="&amp;$A35,'Dataset 1'!$J$7:$J$2506,X$5)</f>
        <v>1150</v>
      </c>
      <c r="Y35" s="83">
        <f>SUMIFS('Dataset 1'!$E$7:$E$2506,'Dataset 1'!$B$7:$B$2506,"&lt;="&amp;$A35,'Dataset 1'!$J$7:$J$2506,Y$5)</f>
        <v>1910</v>
      </c>
      <c r="Z35" s="83">
        <f>SUMIFS('Dataset 1'!$E$7:$E$2506,'Dataset 1'!$B$7:$B$2506,"&lt;="&amp;$A35,'Dataset 1'!$J$7:$J$2506,Z$5)</f>
        <v>430</v>
      </c>
      <c r="AA35" s="83">
        <f>SUMIFS('Dataset 1'!$E$7:$E$2506,'Dataset 1'!$B$7:$B$2506,"&lt;="&amp;$A35,'Dataset 1'!$J$7:$J$2506,AA$5)</f>
        <v>120</v>
      </c>
      <c r="AB35" s="83">
        <f>SUMIFS('Dataset 1'!$E$7:$E$2506,'Dataset 1'!$B$7:$B$2506,"&lt;="&amp;$A35,'Dataset 1'!$J$7:$J$2506,AB$5)</f>
        <v>0</v>
      </c>
      <c r="AC35" s="83">
        <f>SUMIFS('Dataset 1'!$E$7:$E$2506,'Dataset 1'!$B$7:$B$2506,"&lt;="&amp;$A35,'Dataset 1'!$J$7:$J$2506,AC$5)</f>
        <v>500</v>
      </c>
      <c r="AD35" s="83">
        <f>SUMIFS('Dataset 1'!$E$7:$E$2506,'Dataset 1'!$B$7:$B$2506,"&lt;="&amp;$A35,'Dataset 1'!$J$7:$J$2506,AD$5)</f>
        <v>0</v>
      </c>
      <c r="AE35" s="83">
        <f>SUMIFS('Dataset 1'!$E$7:$E$2506,'Dataset 1'!$B$7:$B$2506,"&lt;="&amp;$A35,'Dataset 1'!$J$7:$J$2506,AE$5)</f>
        <v>0</v>
      </c>
      <c r="AF35" s="83">
        <f>SUMIFS('Dataset 1'!$E$7:$E$2506,'Dataset 1'!$B$7:$B$2506,"&lt;="&amp;$A35,'Dataset 1'!$J$7:$J$2506,AF$5)</f>
        <v>4980</v>
      </c>
      <c r="AG35" s="83">
        <f>SUMIFS('Dataset 1'!$E$7:$E$2506,'Dataset 1'!$B$7:$B$2506,"&lt;="&amp;$A35,'Dataset 1'!$J$7:$J$2506,AG$5)</f>
        <v>0</v>
      </c>
      <c r="AH35" s="83">
        <f>SUMIFS('Dataset 1'!$E$7:$E$2506,'Dataset 1'!$B$7:$B$2506,"&lt;="&amp;$A35,'Dataset 1'!$J$7:$J$2506,AH$5)</f>
        <v>0</v>
      </c>
      <c r="AI35" s="83">
        <f>SUMIFS('Dataset 1'!$E$7:$E$2506,'Dataset 1'!$B$7:$B$2506,"&lt;="&amp;$A35,'Dataset 1'!$J$7:$J$2506,AI$5)</f>
        <v>2680</v>
      </c>
      <c r="AJ35" s="83">
        <f>SUMIFS('Dataset 1'!$E$7:$E$2506,'Dataset 1'!$B$7:$B$2506,"&lt;="&amp;$A35,'Dataset 1'!$J$7:$J$2506,AJ$5)</f>
        <v>1640</v>
      </c>
      <c r="AK35" s="83">
        <f>SUMIFS('Dataset 1'!$E$7:$E$2506,'Dataset 1'!$B$7:$B$2506,"&lt;="&amp;$A35,'Dataset 1'!$J$7:$J$2506,AK$5)</f>
        <v>0</v>
      </c>
      <c r="AL35" s="83">
        <f>SUMIFS('Dataset 1'!$E$7:$E$2506,'Dataset 1'!$B$7:$B$2506,"&lt;="&amp;$A35,'Dataset 1'!$J$7:$J$2506,AL$5)</f>
        <v>140</v>
      </c>
      <c r="AM35" s="83">
        <f>SUMIFS('Dataset 1'!$E$7:$E$2506,'Dataset 1'!$B$7:$B$2506,"&lt;="&amp;$A35,'Dataset 1'!$J$7:$J$2506,AM$5)</f>
        <v>0</v>
      </c>
      <c r="AN35" s="83">
        <f>SUMIFS('Dataset 1'!$E$7:$E$2506,'Dataset 1'!$B$7:$B$2506,"&lt;="&amp;$A35,'Dataset 1'!$J$7:$J$2506,AN$5)</f>
        <v>7730</v>
      </c>
      <c r="AO35" s="83">
        <f>SUMIFS('Dataset 1'!$E$7:$E$2506,'Dataset 1'!$B$7:$B$2506,"&lt;="&amp;$A35,'Dataset 1'!$J$7:$J$2506,AO$5)</f>
        <v>0</v>
      </c>
      <c r="AP35" s="83">
        <f>SUMIFS('Dataset 1'!$E$7:$E$2506,'Dataset 1'!$B$7:$B$2506,"&lt;="&amp;$A35,'Dataset 1'!$J$7:$J$2506,AP$5)</f>
        <v>100</v>
      </c>
      <c r="AQ35" s="83">
        <f>SUMIFS('Dataset 1'!$E$7:$E$2506,'Dataset 1'!$B$7:$B$2506,"&lt;="&amp;$A35,'Dataset 1'!$J$7:$J$2506,AQ$5)</f>
        <v>2310</v>
      </c>
      <c r="AR35" s="83">
        <f>SUMIFS('Dataset 1'!$E$7:$E$2506,'Dataset 1'!$B$7:$B$2506,"&lt;="&amp;$A35,'Dataset 1'!$J$7:$J$2506,AR$5)</f>
        <v>1400</v>
      </c>
      <c r="AS35" s="83">
        <f>SUMIFS('Dataset 1'!$E$7:$E$2506,'Dataset 1'!$B$7:$B$2506,"&lt;="&amp;$A35,'Dataset 1'!$J$7:$J$2506,AS$5)</f>
        <v>5910</v>
      </c>
      <c r="AT35" s="83">
        <f>SUMIFS('Dataset 1'!$E$7:$E$2506,'Dataset 1'!$B$7:$B$2506,"&lt;="&amp;$A35,'Dataset 1'!$J$7:$J$2506,AT$5)</f>
        <v>0</v>
      </c>
      <c r="AU35" s="83">
        <f>SUMIFS('Dataset 1'!$E$7:$E$2506,'Dataset 1'!$B$7:$B$2506,"&lt;="&amp;$A35,'Dataset 1'!$J$7:$J$2506,AU$5)</f>
        <v>0</v>
      </c>
      <c r="AV35" s="83">
        <f>SUMIFS('Dataset 1'!$E$7:$E$2506,'Dataset 1'!$B$7:$B$2506,"&lt;="&amp;$A35,'Dataset 1'!$J$7:$J$2506,AV$5)</f>
        <v>0</v>
      </c>
      <c r="AW35" s="83">
        <f>SUMIFS('Dataset 1'!$E$7:$E$2506,'Dataset 1'!$B$7:$B$2506,"&lt;="&amp;$A35,'Dataset 1'!$J$7:$J$2506,AW$5)</f>
        <v>2110</v>
      </c>
      <c r="AX35" s="83">
        <f>SUMIFS('Dataset 1'!$E$7:$E$2506,'Dataset 1'!$B$7:$B$2506,"&lt;="&amp;$A35,'Dataset 1'!$J$7:$J$2506,AX$5)</f>
        <v>1800</v>
      </c>
      <c r="AY35" s="83">
        <f>SUMIFS('Dataset 1'!$E$7:$E$2506,'Dataset 1'!$B$7:$B$2506,"&lt;="&amp;$A35,'Dataset 1'!$J$7:$J$2506,AY$5)</f>
        <v>3160</v>
      </c>
      <c r="AZ35" s="83">
        <f>SUMIFS('Dataset 1'!$E$7:$E$2506,'Dataset 1'!$B$7:$B$2506,"&lt;="&amp;$A35,'Dataset 1'!$J$7:$J$2506,AZ$5)</f>
        <v>3770</v>
      </c>
      <c r="BA35" s="83">
        <f>SUMIFS('Dataset 1'!$E$7:$E$2506,'Dataset 1'!$B$7:$B$2506,"&lt;="&amp;$A35,'Dataset 1'!$J$7:$J$2506,BA$5)</f>
        <v>8580</v>
      </c>
      <c r="BB35" s="83">
        <f>SUMIFS('Dataset 1'!$E$7:$E$2506,'Dataset 1'!$B$7:$B$2506,"&lt;="&amp;$A35,'Dataset 1'!$J$7:$J$2506,BB$5)</f>
        <v>0</v>
      </c>
      <c r="BC35" s="83">
        <f>SUMIFS('Dataset 1'!$E$7:$E$2506,'Dataset 1'!$B$7:$B$2506,"&lt;="&amp;$A35,'Dataset 1'!$J$7:$J$2506,BC$5)</f>
        <v>1440</v>
      </c>
      <c r="BD35" s="83">
        <f>SUMIFS('Dataset 1'!$E$7:$E$2506,'Dataset 1'!$B$7:$B$2506,"&lt;="&amp;$A35,'Dataset 1'!$J$7:$J$2506,BD$5)</f>
        <v>580</v>
      </c>
      <c r="BE35" s="83">
        <f>SUMIFS('Dataset 1'!$E$7:$E$2506,'Dataset 1'!$B$7:$B$2506,"&lt;="&amp;$A35,'Dataset 1'!$J$7:$J$2506,BE$5)</f>
        <v>0</v>
      </c>
      <c r="BF35" s="83">
        <f>SUMIFS('Dataset 1'!$E$7:$E$2506,'Dataset 1'!$B$7:$B$2506,"&lt;="&amp;$A35,'Dataset 1'!$J$7:$J$2506,BF$5)</f>
        <v>140</v>
      </c>
      <c r="BG35" s="83">
        <f>SUMIFS('Dataset 1'!$E$7:$E$2506,'Dataset 1'!$B$7:$B$2506,"&lt;="&amp;$A35,'Dataset 1'!$J$7:$J$2506,BG$5)</f>
        <v>1520</v>
      </c>
      <c r="BH35" s="83">
        <f>SUMIFS('Dataset 1'!$E$7:$E$2506,'Dataset 1'!$B$7:$B$2506,"&lt;="&amp;$A35,'Dataset 1'!$J$7:$J$2506,BH$5)</f>
        <v>0</v>
      </c>
      <c r="BI35" s="83">
        <f>SUMIFS('Dataset 1'!$E$7:$E$2506,'Dataset 1'!$B$7:$B$2506,"&lt;="&amp;$A35,'Dataset 1'!$J$7:$J$2506,BI$5)</f>
        <v>10170</v>
      </c>
      <c r="BJ35" s="83">
        <f>SUMIFS('Dataset 1'!$E$7:$E$2506,'Dataset 1'!$B$7:$B$2506,"&lt;="&amp;$A35,'Dataset 1'!$J$7:$J$2506,BJ$5)</f>
        <v>0</v>
      </c>
      <c r="BK35" s="83">
        <f>SUMIFS('Dataset 1'!$E$7:$E$2506,'Dataset 1'!$B$7:$B$2506,"&lt;="&amp;$A35,'Dataset 1'!$J$7:$J$2506,BK$5)</f>
        <v>0</v>
      </c>
      <c r="BL35" s="83">
        <f>SUMIFS('Dataset 1'!$E$7:$E$2506,'Dataset 1'!$B$7:$B$2506,"&lt;="&amp;$A35,'Dataset 1'!$J$7:$J$2506,BL$5)</f>
        <v>0</v>
      </c>
      <c r="BM35" s="83">
        <f>SUMIFS('Dataset 1'!$E$7:$E$2506,'Dataset 1'!$B$7:$B$2506,"&lt;="&amp;$A35,'Dataset 1'!$J$7:$J$2506,BM$5)</f>
        <v>1740</v>
      </c>
      <c r="BN35" s="83">
        <f>SUMIFS('Dataset 1'!$E$7:$E$2506,'Dataset 1'!$B$7:$B$2506,"&lt;="&amp;$A35,'Dataset 1'!$J$7:$J$2506,BN$5)</f>
        <v>110</v>
      </c>
      <c r="BO35" s="83">
        <f>SUMIFS('Dataset 1'!$E$7:$E$2506,'Dataset 1'!$B$7:$B$2506,"&lt;="&amp;$A35,'Dataset 1'!$J$7:$J$2506,BO$5)</f>
        <v>0</v>
      </c>
      <c r="BP35" s="83">
        <f>SUMIFS('Dataset 1'!$E$7:$E$2506,'Dataset 1'!$B$7:$B$2506,"&lt;="&amp;$A35,'Dataset 1'!$J$7:$J$2506,BP$5)</f>
        <v>150</v>
      </c>
      <c r="BQ35" s="83">
        <f>SUMIFS('Dataset 1'!$E$7:$E$2506,'Dataset 1'!$B$7:$B$2506,"&lt;="&amp;$A35,'Dataset 1'!$J$7:$J$2506,BQ$5)</f>
        <v>0</v>
      </c>
      <c r="BR35" s="83">
        <f>SUMIFS('Dataset 1'!$E$7:$E$2506,'Dataset 1'!$B$7:$B$2506,"&lt;="&amp;$A35,'Dataset 1'!$J$7:$J$2506,BR$5)</f>
        <v>2180</v>
      </c>
      <c r="BS35" s="83">
        <f>SUMIFS('Dataset 1'!$E$7:$E$2506,'Dataset 1'!$B$7:$B$2506,"&lt;="&amp;$A35,'Dataset 1'!$J$7:$J$2506,BS$5)</f>
        <v>0</v>
      </c>
      <c r="BT35" s="83">
        <f>SUMIFS('Dataset 1'!$E$7:$E$2506,'Dataset 1'!$B$7:$B$2506,"&lt;="&amp;$A35,'Dataset 1'!$J$7:$J$2506,BT$5)</f>
        <v>0</v>
      </c>
      <c r="BU35" s="83">
        <f>SUMIFS('Dataset 1'!$E$7:$E$2506,'Dataset 1'!$B$7:$B$2506,"&lt;="&amp;$A35,'Dataset 1'!$J$7:$J$2506,BU$5)</f>
        <v>0</v>
      </c>
      <c r="BV35" s="83">
        <f>SUMIFS('Dataset 1'!$E$7:$E$2506,'Dataset 1'!$B$7:$B$2506,"&lt;="&amp;$A35,'Dataset 1'!$J$7:$J$2506,BV$5)</f>
        <v>740</v>
      </c>
      <c r="BW35" s="83">
        <f>SUMIFS('Dataset 1'!$E$7:$E$2506,'Dataset 1'!$B$7:$B$2506,"&lt;="&amp;$A35,'Dataset 1'!$J$7:$J$2506,BW$5)</f>
        <v>310</v>
      </c>
      <c r="BX35" s="83">
        <f>SUMIFS('Dataset 1'!$E$7:$E$2506,'Dataset 1'!$B$7:$B$2506,"&lt;="&amp;$A35,'Dataset 1'!$J$7:$J$2506,BX$5)</f>
        <v>2110</v>
      </c>
      <c r="BY35" s="83">
        <f>SUMIFS('Dataset 1'!$E$7:$E$2506,'Dataset 1'!$B$7:$B$2506,"&lt;="&amp;$A35,'Dataset 1'!$J$7:$J$2506,BY$5)</f>
        <v>0</v>
      </c>
      <c r="BZ35" s="83">
        <f>SUMIFS('Dataset 1'!$E$7:$E$2506,'Dataset 1'!$B$7:$B$2506,"&lt;="&amp;$A35,'Dataset 1'!$J$7:$J$2506,BZ$5)</f>
        <v>0</v>
      </c>
      <c r="CA35" s="83">
        <f>SUMIFS('Dataset 1'!$E$7:$E$2506,'Dataset 1'!$B$7:$B$2506,"&lt;="&amp;$A35,'Dataset 1'!$J$7:$J$2506,CA$5)</f>
        <v>0</v>
      </c>
      <c r="CB35" s="83">
        <f>SUMIFS('Dataset 1'!$E$7:$E$2506,'Dataset 1'!$B$7:$B$2506,"&lt;="&amp;$A35,'Dataset 1'!$J$7:$J$2506,CB$5)</f>
        <v>3530</v>
      </c>
      <c r="CC35" s="83">
        <f>SUMIFS('Dataset 1'!$E$7:$E$2506,'Dataset 1'!$B$7:$B$2506,"&lt;="&amp;$A35,'Dataset 1'!$J$7:$J$2506,CC$5)</f>
        <v>0</v>
      </c>
      <c r="CD35" s="83">
        <f>SUMIFS('Dataset 1'!$E$7:$E$2506,'Dataset 1'!$B$7:$B$2506,"&lt;="&amp;$A35,'Dataset 1'!$J$7:$J$2506,CD$5)</f>
        <v>140</v>
      </c>
      <c r="CE35" s="83">
        <f>SUMIFS('Dataset 1'!$E$7:$E$2506,'Dataset 1'!$B$7:$B$2506,"&lt;="&amp;$A35,'Dataset 1'!$J$7:$J$2506,CE$5)</f>
        <v>2020</v>
      </c>
      <c r="CF35" s="83">
        <f>SUMIFS('Dataset 1'!$E$7:$E$2506,'Dataset 1'!$B$7:$B$2506,"&lt;="&amp;$A35,'Dataset 1'!$J$7:$J$2506,CF$5)</f>
        <v>0</v>
      </c>
      <c r="CG35" s="83">
        <f>SUMIFS('Dataset 1'!$E$7:$E$2506,'Dataset 1'!$B$7:$B$2506,"&lt;="&amp;$A35,'Dataset 1'!$J$7:$J$2506,CG$5)</f>
        <v>0</v>
      </c>
      <c r="CH35" s="83">
        <f>SUMIFS('Dataset 1'!$E$7:$E$2506,'Dataset 1'!$B$7:$B$2506,"&lt;="&amp;$A35,'Dataset 1'!$J$7:$J$2506,CH$5)</f>
        <v>4870</v>
      </c>
      <c r="CI35" s="83">
        <f>SUMIFS('Dataset 1'!$E$7:$E$2506,'Dataset 1'!$B$7:$B$2506,"&lt;="&amp;$A35,'Dataset 1'!$J$7:$J$2506,CI$5)</f>
        <v>2610</v>
      </c>
      <c r="CJ35" s="83">
        <f>SUMIFS('Dataset 1'!$E$7:$E$2506,'Dataset 1'!$B$7:$B$2506,"&lt;="&amp;$A35,'Dataset 1'!$J$7:$J$2506,CJ$5)</f>
        <v>2000</v>
      </c>
      <c r="CK35" s="83">
        <f>SUMIFS('Dataset 1'!$E$7:$E$2506,'Dataset 1'!$B$7:$B$2506,"&lt;="&amp;$A35,'Dataset 1'!$J$7:$J$2506,CK$5)</f>
        <v>4960</v>
      </c>
      <c r="CL35" s="83">
        <f>SUMIFS('Dataset 1'!$E$7:$E$2506,'Dataset 1'!$B$7:$B$2506,"&lt;="&amp;$A35,'Dataset 1'!$J$7:$J$2506,CL$5)</f>
        <v>0</v>
      </c>
      <c r="CM35" s="83">
        <f>SUMIFS('Dataset 1'!$E$7:$E$2506,'Dataset 1'!$B$7:$B$2506,"&lt;="&amp;$A35,'Dataset 1'!$J$7:$J$2506,CM$5)</f>
        <v>1950</v>
      </c>
      <c r="CN35" s="83">
        <f>SUMIFS('Dataset 1'!$E$7:$E$2506,'Dataset 1'!$B$7:$B$2506,"&lt;="&amp;$A35,'Dataset 1'!$J$7:$J$2506,CN$5)</f>
        <v>0</v>
      </c>
      <c r="CO35" s="83">
        <f>SUMIFS('Dataset 1'!$E$7:$E$2506,'Dataset 1'!$B$7:$B$2506,"&lt;="&amp;$A35,'Dataset 1'!$J$7:$J$2506,CO$5)</f>
        <v>670</v>
      </c>
      <c r="CP35" s="83">
        <f>SUMIFS('Dataset 1'!$E$7:$E$2506,'Dataset 1'!$B$7:$B$2506,"&lt;="&amp;$A35,'Dataset 1'!$J$7:$J$2506,CP$5)</f>
        <v>4680</v>
      </c>
      <c r="CQ35" s="83">
        <f>SUMIFS('Dataset 1'!$E$7:$E$2506,'Dataset 1'!$B$7:$B$2506,"&lt;="&amp;$A35,'Dataset 1'!$J$7:$J$2506,CQ$5)</f>
        <v>1580</v>
      </c>
      <c r="CR35" s="83">
        <f>SUMIFS('Dataset 1'!$E$7:$E$2506,'Dataset 1'!$B$7:$B$2506,"&lt;="&amp;$A35,'Dataset 1'!$J$7:$J$2506,CR$5)</f>
        <v>0</v>
      </c>
      <c r="CS35" s="83">
        <f>SUMIFS('Dataset 1'!$E$7:$E$2506,'Dataset 1'!$B$7:$B$2506,"&lt;="&amp;$A35,'Dataset 1'!$J$7:$J$2506,CS$5)</f>
        <v>3510</v>
      </c>
      <c r="CT35" s="83">
        <f>SUMIFS('Dataset 1'!$E$7:$E$2506,'Dataset 1'!$B$7:$B$2506,"&lt;="&amp;$A35,'Dataset 1'!$J$7:$J$2506,CT$5)</f>
        <v>100</v>
      </c>
      <c r="CU35" s="83">
        <f>SUMIFS('Dataset 1'!$E$7:$E$2506,'Dataset 1'!$B$7:$B$2506,"&lt;="&amp;$A35,'Dataset 1'!$J$7:$J$2506,CU$5)</f>
        <v>9960</v>
      </c>
      <c r="CV35" s="83">
        <f>SUMIFS('Dataset 1'!$E$7:$E$2506,'Dataset 1'!$B$7:$B$2506,"&lt;="&amp;$A35,'Dataset 1'!$J$7:$J$2506,CV$5)</f>
        <v>0</v>
      </c>
      <c r="CW35" s="83">
        <f>SUMIFS('Dataset 1'!$E$7:$E$2506,'Dataset 1'!$B$7:$B$2506,"&lt;="&amp;$A35,'Dataset 1'!$J$7:$J$2506,CW$5)</f>
        <v>0</v>
      </c>
      <c r="CX35" s="83">
        <f>SUMIFS('Dataset 1'!$E$7:$E$2506,'Dataset 1'!$B$7:$B$2506,"&lt;="&amp;$A35,'Dataset 1'!$J$7:$J$2506,CX$5)</f>
        <v>0</v>
      </c>
      <c r="CY35" s="83">
        <f>SUMIFS('Dataset 1'!$E$7:$E$2506,'Dataset 1'!$B$7:$B$2506,"&lt;="&amp;$A35,'Dataset 1'!$J$7:$J$2506,CY$5)</f>
        <v>4910</v>
      </c>
      <c r="CZ35" s="83">
        <f>SUMIFS('Dataset 1'!$E$7:$E$2506,'Dataset 1'!$B$7:$B$2506,"&lt;="&amp;$A35,'Dataset 1'!$J$7:$J$2506,CZ$5)</f>
        <v>0</v>
      </c>
      <c r="DA35" s="83">
        <f>SUMIFS('Dataset 1'!$E$7:$E$2506,'Dataset 1'!$B$7:$B$2506,"&lt;="&amp;$A35,'Dataset 1'!$J$7:$J$2506,DA$5)</f>
        <v>1750</v>
      </c>
      <c r="DB35" s="83">
        <f>SUMIFS('Dataset 1'!$E$7:$E$2506,'Dataset 1'!$B$7:$B$2506,"&lt;="&amp;$A35,'Dataset 1'!$J$7:$J$2506,DB$5)</f>
        <v>7980</v>
      </c>
      <c r="DC35" s="83">
        <f>SUMIFS('Dataset 1'!$E$7:$E$2506,'Dataset 1'!$B$7:$B$2506,"&lt;="&amp;$A35,'Dataset 1'!$J$7:$J$2506,DC$5)</f>
        <v>0</v>
      </c>
      <c r="DD35" s="83">
        <f>SUMIFS('Dataset 1'!$E$7:$E$2506,'Dataset 1'!$B$7:$B$2506,"&lt;="&amp;$A35,'Dataset 1'!$J$7:$J$2506,DD$5)</f>
        <v>0</v>
      </c>
      <c r="DE35" s="83">
        <f>SUMIFS('Dataset 1'!$E$7:$E$2506,'Dataset 1'!$B$7:$B$2506,"&lt;="&amp;$A35,'Dataset 1'!$J$7:$J$2506,DE$5)</f>
        <v>0</v>
      </c>
      <c r="DF35" s="83">
        <f>SUMIFS('Dataset 1'!$E$7:$E$2506,'Dataset 1'!$B$7:$B$2506,"&lt;="&amp;$A35,'Dataset 1'!$J$7:$J$2506,DF$5)</f>
        <v>8610</v>
      </c>
      <c r="DG35" s="83">
        <f>SUMIFS('Dataset 1'!$E$7:$E$2506,'Dataset 1'!$B$7:$B$2506,"&lt;="&amp;$A35,'Dataset 1'!$J$7:$J$2506,DG$5)</f>
        <v>1090</v>
      </c>
      <c r="DH35" s="83">
        <f>SUMIFS('Dataset 1'!$E$7:$E$2506,'Dataset 1'!$B$7:$B$2506,"&lt;="&amp;$A35,'Dataset 1'!$J$7:$J$2506,DH$5)</f>
        <v>1500</v>
      </c>
      <c r="DI35" s="83">
        <f>SUMIFS('Dataset 1'!$E$7:$E$2506,'Dataset 1'!$B$7:$B$2506,"&lt;="&amp;$A35,'Dataset 1'!$J$7:$J$2506,DI$5)</f>
        <v>280</v>
      </c>
      <c r="DJ35" s="83">
        <f>SUMIFS('Dataset 1'!$E$7:$E$2506,'Dataset 1'!$B$7:$B$2506,"&lt;="&amp;$A35,'Dataset 1'!$J$7:$J$2506,DJ$5)</f>
        <v>260</v>
      </c>
      <c r="DK35" s="83">
        <f>SUMIFS('Dataset 1'!$E$7:$E$2506,'Dataset 1'!$B$7:$B$2506,"&lt;="&amp;$A35,'Dataset 1'!$J$7:$J$2506,DK$5)</f>
        <v>0</v>
      </c>
      <c r="DL35" s="83">
        <f>SUMIFS('Dataset 1'!$E$7:$E$2506,'Dataset 1'!$B$7:$B$2506,"&lt;="&amp;$A35,'Dataset 1'!$J$7:$J$2506,DL$5)</f>
        <v>2700</v>
      </c>
      <c r="DM35" s="83">
        <f>SUMIFS('Dataset 1'!$E$7:$E$2506,'Dataset 1'!$B$7:$B$2506,"&lt;="&amp;$A35,'Dataset 1'!$J$7:$J$2506,DM$5)</f>
        <v>7300</v>
      </c>
      <c r="DN35" s="83">
        <f>SUMIFS('Dataset 1'!$E$7:$E$2506,'Dataset 1'!$B$7:$B$2506,"&lt;="&amp;$A35,'Dataset 1'!$J$7:$J$2506,DN$5)</f>
        <v>3760</v>
      </c>
      <c r="DO35" s="83">
        <f>SUMIFS('Dataset 1'!$E$7:$E$2506,'Dataset 1'!$B$7:$B$2506,"&lt;="&amp;$A35,'Dataset 1'!$J$7:$J$2506,DO$5)</f>
        <v>0</v>
      </c>
      <c r="DP35" s="83">
        <f>SUMIFS('Dataset 1'!$E$7:$E$2506,'Dataset 1'!$B$7:$B$2506,"&lt;="&amp;$A35,'Dataset 1'!$J$7:$J$2506,DP$5)</f>
        <v>0</v>
      </c>
      <c r="DQ35" s="83">
        <f>SUMIFS('Dataset 1'!$E$7:$E$2506,'Dataset 1'!$B$7:$B$2506,"&lt;="&amp;$A35,'Dataset 1'!$J$7:$J$2506,DQ$5)</f>
        <v>0</v>
      </c>
      <c r="DR35" s="83">
        <f>SUMIFS('Dataset 1'!$E$7:$E$2506,'Dataset 1'!$B$7:$B$2506,"&lt;="&amp;$A35,'Dataset 1'!$J$7:$J$2506,DR$5)</f>
        <v>1280</v>
      </c>
      <c r="DS35" s="83">
        <f>SUMIFS('Dataset 1'!$E$7:$E$2506,'Dataset 1'!$B$7:$B$2506,"&lt;="&amp;$A35,'Dataset 1'!$J$7:$J$2506,DS$5)</f>
        <v>0</v>
      </c>
      <c r="DT35" s="83">
        <f>SUMIFS('Dataset 1'!$E$7:$E$2506,'Dataset 1'!$B$7:$B$2506,"&lt;="&amp;$A35,'Dataset 1'!$J$7:$J$2506,DT$5)</f>
        <v>1170</v>
      </c>
      <c r="DU35" s="83">
        <f>SUMIFS('Dataset 1'!$E$7:$E$2506,'Dataset 1'!$B$7:$B$2506,"&lt;="&amp;$A35,'Dataset 1'!$J$7:$J$2506,DU$5)</f>
        <v>0</v>
      </c>
      <c r="DV35" s="83">
        <f>SUMIFS('Dataset 1'!$E$7:$E$2506,'Dataset 1'!$B$7:$B$2506,"&lt;="&amp;$A35,'Dataset 1'!$J$7:$J$2506,DV$5)</f>
        <v>760</v>
      </c>
      <c r="DW35" s="83">
        <f>SUMIFS('Dataset 1'!$E$7:$E$2506,'Dataset 1'!$B$7:$B$2506,"&lt;="&amp;$A35,'Dataset 1'!$J$7:$J$2506,DW$5)</f>
        <v>1190</v>
      </c>
      <c r="DX35" s="83">
        <f>SUMIFS('Dataset 1'!$E$7:$E$2506,'Dataset 1'!$B$7:$B$2506,"&lt;="&amp;$A35,'Dataset 1'!$J$7:$J$2506,DX$5)</f>
        <v>0</v>
      </c>
      <c r="DY35" s="83">
        <f>SUMIFS('Dataset 1'!$E$7:$E$2506,'Dataset 1'!$B$7:$B$2506,"&lt;="&amp;$A35,'Dataset 1'!$J$7:$J$2506,DY$5)</f>
        <v>34300</v>
      </c>
      <c r="DZ35" s="83">
        <f>SUMIFS('Dataset 1'!$E$7:$E$2506,'Dataset 1'!$B$7:$B$2506,"&lt;="&amp;$A35,'Dataset 1'!$J$7:$J$2506,DZ$5)</f>
        <v>0</v>
      </c>
      <c r="EA35" s="83">
        <f>SUMIFS('Dataset 1'!$E$7:$E$2506,'Dataset 1'!$B$7:$B$2506,"&lt;="&amp;$A35,'Dataset 1'!$J$7:$J$2506,EA$5)</f>
        <v>0</v>
      </c>
      <c r="EB35" s="83">
        <f>SUMIFS('Dataset 1'!$E$7:$E$2506,'Dataset 1'!$B$7:$B$2506,"&lt;="&amp;$A35,'Dataset 1'!$J$7:$J$2506,EB$5)</f>
        <v>300</v>
      </c>
      <c r="EC35" s="83">
        <f>SUMIFS('Dataset 1'!$E$7:$E$2506,'Dataset 1'!$B$7:$B$2506,"&lt;="&amp;$A35,'Dataset 1'!$J$7:$J$2506,EC$5)</f>
        <v>1100</v>
      </c>
      <c r="ED35" s="83">
        <f>SUMIFS('Dataset 1'!$E$7:$E$2506,'Dataset 1'!$B$7:$B$2506,"&lt;="&amp;$A35,'Dataset 1'!$J$7:$J$2506,ED$5)</f>
        <v>460</v>
      </c>
      <c r="EE35" s="83">
        <f>SUMIFS('Dataset 1'!$E$7:$E$2506,'Dataset 1'!$B$7:$B$2506,"&lt;="&amp;$A35,'Dataset 1'!$J$7:$J$2506,EE$5)</f>
        <v>470</v>
      </c>
      <c r="EF35" s="83">
        <f>SUMIFS('Dataset 1'!$E$7:$E$2506,'Dataset 1'!$B$7:$B$2506,"&lt;="&amp;$A35,'Dataset 1'!$J$7:$J$2506,EF$5)</f>
        <v>680</v>
      </c>
      <c r="EG35" s="83">
        <f>SUMIFS('Dataset 1'!$E$7:$E$2506,'Dataset 1'!$B$7:$B$2506,"&lt;="&amp;$A35,'Dataset 1'!$J$7:$J$2506,EG$5)</f>
        <v>600</v>
      </c>
    </row>
    <row r="36" spans="1:137" x14ac:dyDescent="0.2">
      <c r="A36">
        <v>2012</v>
      </c>
      <c r="B36" s="83">
        <f>SUMIFS('Dataset 1'!$E$7:$E$2506,'Dataset 1'!$B$7:$B$2506,"&lt;="&amp;$A36,'Dataset 1'!$J$7:$J$2506,B$5)</f>
        <v>2920</v>
      </c>
      <c r="C36" s="83">
        <f>SUMIFS('Dataset 1'!$E$7:$E$2506,'Dataset 1'!$B$7:$B$2506,"&lt;="&amp;$A36,'Dataset 1'!$J$7:$J$2506,C$5)</f>
        <v>0</v>
      </c>
      <c r="D36" s="83">
        <f>SUMIFS('Dataset 1'!$E$7:$E$2506,'Dataset 1'!$B$7:$B$2506,"&lt;="&amp;$A36,'Dataset 1'!$J$7:$J$2506,D$5)</f>
        <v>2910</v>
      </c>
      <c r="E36" s="83">
        <f>SUMIFS('Dataset 1'!$E$7:$E$2506,'Dataset 1'!$B$7:$B$2506,"&lt;="&amp;$A36,'Dataset 1'!$J$7:$J$2506,E$5)</f>
        <v>0</v>
      </c>
      <c r="F36" s="83">
        <f>SUMIFS('Dataset 1'!$E$7:$E$2506,'Dataset 1'!$B$7:$B$2506,"&lt;="&amp;$A36,'Dataset 1'!$J$7:$J$2506,F$5)</f>
        <v>6960</v>
      </c>
      <c r="G36" s="83">
        <f>SUMIFS('Dataset 1'!$E$7:$E$2506,'Dataset 1'!$B$7:$B$2506,"&lt;="&amp;$A36,'Dataset 1'!$J$7:$J$2506,G$5)</f>
        <v>51350</v>
      </c>
      <c r="H36" s="83">
        <f>SUMIFS('Dataset 1'!$E$7:$E$2506,'Dataset 1'!$B$7:$B$2506,"&lt;="&amp;$A36,'Dataset 1'!$J$7:$J$2506,H$5)</f>
        <v>280</v>
      </c>
      <c r="I36" s="83">
        <f>SUMIFS('Dataset 1'!$E$7:$E$2506,'Dataset 1'!$B$7:$B$2506,"&lt;="&amp;$A36,'Dataset 1'!$J$7:$J$2506,I$5)</f>
        <v>0</v>
      </c>
      <c r="J36" s="83">
        <f>SUMIFS('Dataset 1'!$E$7:$E$2506,'Dataset 1'!$B$7:$B$2506,"&lt;="&amp;$A36,'Dataset 1'!$J$7:$J$2506,J$5)</f>
        <v>100</v>
      </c>
      <c r="K36" s="83">
        <f>SUMIFS('Dataset 1'!$E$7:$E$2506,'Dataset 1'!$B$7:$B$2506,"&lt;="&amp;$A36,'Dataset 1'!$J$7:$J$2506,K$5)</f>
        <v>0</v>
      </c>
      <c r="L36" s="83">
        <f>SUMIFS('Dataset 1'!$E$7:$E$2506,'Dataset 1'!$B$7:$B$2506,"&lt;="&amp;$A36,'Dataset 1'!$J$7:$J$2506,L$5)</f>
        <v>100</v>
      </c>
      <c r="M36" s="83">
        <f>SUMIFS('Dataset 1'!$E$7:$E$2506,'Dataset 1'!$B$7:$B$2506,"&lt;="&amp;$A36,'Dataset 1'!$J$7:$J$2506,M$5)</f>
        <v>3050</v>
      </c>
      <c r="N36" s="83">
        <f>SUMIFS('Dataset 1'!$E$7:$E$2506,'Dataset 1'!$B$7:$B$2506,"&lt;="&amp;$A36,'Dataset 1'!$J$7:$J$2506,N$5)</f>
        <v>0</v>
      </c>
      <c r="O36" s="83">
        <f>SUMIFS('Dataset 1'!$E$7:$E$2506,'Dataset 1'!$B$7:$B$2506,"&lt;="&amp;$A36,'Dataset 1'!$J$7:$J$2506,O$5)</f>
        <v>0</v>
      </c>
      <c r="P36" s="83">
        <f>SUMIFS('Dataset 1'!$E$7:$E$2506,'Dataset 1'!$B$7:$B$2506,"&lt;="&amp;$A36,'Dataset 1'!$J$7:$J$2506,P$5)</f>
        <v>0</v>
      </c>
      <c r="Q36" s="83">
        <f>SUMIFS('Dataset 1'!$E$7:$E$2506,'Dataset 1'!$B$7:$B$2506,"&lt;="&amp;$A36,'Dataset 1'!$J$7:$J$2506,Q$5)</f>
        <v>24860</v>
      </c>
      <c r="R36" s="83">
        <f>SUMIFS('Dataset 1'!$E$7:$E$2506,'Dataset 1'!$B$7:$B$2506,"&lt;="&amp;$A36,'Dataset 1'!$J$7:$J$2506,R$5)</f>
        <v>16410</v>
      </c>
      <c r="S36" s="83">
        <f>SUMIFS('Dataset 1'!$E$7:$E$2506,'Dataset 1'!$B$7:$B$2506,"&lt;="&amp;$A36,'Dataset 1'!$J$7:$J$2506,S$5)</f>
        <v>0</v>
      </c>
      <c r="T36" s="83">
        <f>SUMIFS('Dataset 1'!$E$7:$E$2506,'Dataset 1'!$B$7:$B$2506,"&lt;="&amp;$A36,'Dataset 1'!$J$7:$J$2506,T$5)</f>
        <v>120</v>
      </c>
      <c r="U36" s="83">
        <f>SUMIFS('Dataset 1'!$E$7:$E$2506,'Dataset 1'!$B$7:$B$2506,"&lt;="&amp;$A36,'Dataset 1'!$J$7:$J$2506,U$5)</f>
        <v>4730</v>
      </c>
      <c r="V36" s="83">
        <f>SUMIFS('Dataset 1'!$E$7:$E$2506,'Dataset 1'!$B$7:$B$2506,"&lt;="&amp;$A36,'Dataset 1'!$J$7:$J$2506,V$5)</f>
        <v>1700</v>
      </c>
      <c r="W36" s="83">
        <f>SUMIFS('Dataset 1'!$E$7:$E$2506,'Dataset 1'!$B$7:$B$2506,"&lt;="&amp;$A36,'Dataset 1'!$J$7:$J$2506,W$5)</f>
        <v>37950</v>
      </c>
      <c r="X36" s="83">
        <f>SUMIFS('Dataset 1'!$E$7:$E$2506,'Dataset 1'!$B$7:$B$2506,"&lt;="&amp;$A36,'Dataset 1'!$J$7:$J$2506,X$5)</f>
        <v>1150</v>
      </c>
      <c r="Y36" s="83">
        <f>SUMIFS('Dataset 1'!$E$7:$E$2506,'Dataset 1'!$B$7:$B$2506,"&lt;="&amp;$A36,'Dataset 1'!$J$7:$J$2506,Y$5)</f>
        <v>2100</v>
      </c>
      <c r="Z36" s="83">
        <f>SUMIFS('Dataset 1'!$E$7:$E$2506,'Dataset 1'!$B$7:$B$2506,"&lt;="&amp;$A36,'Dataset 1'!$J$7:$J$2506,Z$5)</f>
        <v>1410</v>
      </c>
      <c r="AA36" s="83">
        <f>SUMIFS('Dataset 1'!$E$7:$E$2506,'Dataset 1'!$B$7:$B$2506,"&lt;="&amp;$A36,'Dataset 1'!$J$7:$J$2506,AA$5)</f>
        <v>120</v>
      </c>
      <c r="AB36" s="83">
        <f>SUMIFS('Dataset 1'!$E$7:$E$2506,'Dataset 1'!$B$7:$B$2506,"&lt;="&amp;$A36,'Dataset 1'!$J$7:$J$2506,AB$5)</f>
        <v>0</v>
      </c>
      <c r="AC36" s="83">
        <f>SUMIFS('Dataset 1'!$E$7:$E$2506,'Dataset 1'!$B$7:$B$2506,"&lt;="&amp;$A36,'Dataset 1'!$J$7:$J$2506,AC$5)</f>
        <v>500</v>
      </c>
      <c r="AD36" s="83">
        <f>SUMIFS('Dataset 1'!$E$7:$E$2506,'Dataset 1'!$B$7:$B$2506,"&lt;="&amp;$A36,'Dataset 1'!$J$7:$J$2506,AD$5)</f>
        <v>0</v>
      </c>
      <c r="AE36" s="83">
        <f>SUMIFS('Dataset 1'!$E$7:$E$2506,'Dataset 1'!$B$7:$B$2506,"&lt;="&amp;$A36,'Dataset 1'!$J$7:$J$2506,AE$5)</f>
        <v>0</v>
      </c>
      <c r="AF36" s="83">
        <f>SUMIFS('Dataset 1'!$E$7:$E$2506,'Dataset 1'!$B$7:$B$2506,"&lt;="&amp;$A36,'Dataset 1'!$J$7:$J$2506,AF$5)</f>
        <v>4980</v>
      </c>
      <c r="AG36" s="83">
        <f>SUMIFS('Dataset 1'!$E$7:$E$2506,'Dataset 1'!$B$7:$B$2506,"&lt;="&amp;$A36,'Dataset 1'!$J$7:$J$2506,AG$5)</f>
        <v>0</v>
      </c>
      <c r="AH36" s="83">
        <f>SUMIFS('Dataset 1'!$E$7:$E$2506,'Dataset 1'!$B$7:$B$2506,"&lt;="&amp;$A36,'Dataset 1'!$J$7:$J$2506,AH$5)</f>
        <v>190</v>
      </c>
      <c r="AI36" s="83">
        <f>SUMIFS('Dataset 1'!$E$7:$E$2506,'Dataset 1'!$B$7:$B$2506,"&lt;="&amp;$A36,'Dataset 1'!$J$7:$J$2506,AI$5)</f>
        <v>2680</v>
      </c>
      <c r="AJ36" s="83">
        <f>SUMIFS('Dataset 1'!$E$7:$E$2506,'Dataset 1'!$B$7:$B$2506,"&lt;="&amp;$A36,'Dataset 1'!$J$7:$J$2506,AJ$5)</f>
        <v>1870</v>
      </c>
      <c r="AK36" s="83">
        <f>SUMIFS('Dataset 1'!$E$7:$E$2506,'Dataset 1'!$B$7:$B$2506,"&lt;="&amp;$A36,'Dataset 1'!$J$7:$J$2506,AK$5)</f>
        <v>0</v>
      </c>
      <c r="AL36" s="83">
        <f>SUMIFS('Dataset 1'!$E$7:$E$2506,'Dataset 1'!$B$7:$B$2506,"&lt;="&amp;$A36,'Dataset 1'!$J$7:$J$2506,AL$5)</f>
        <v>140</v>
      </c>
      <c r="AM36" s="83">
        <f>SUMIFS('Dataset 1'!$E$7:$E$2506,'Dataset 1'!$B$7:$B$2506,"&lt;="&amp;$A36,'Dataset 1'!$J$7:$J$2506,AM$5)</f>
        <v>0</v>
      </c>
      <c r="AN36" s="83">
        <f>SUMIFS('Dataset 1'!$E$7:$E$2506,'Dataset 1'!$B$7:$B$2506,"&lt;="&amp;$A36,'Dataset 1'!$J$7:$J$2506,AN$5)</f>
        <v>8340</v>
      </c>
      <c r="AO36" s="83">
        <f>SUMIFS('Dataset 1'!$E$7:$E$2506,'Dataset 1'!$B$7:$B$2506,"&lt;="&amp;$A36,'Dataset 1'!$J$7:$J$2506,AO$5)</f>
        <v>0</v>
      </c>
      <c r="AP36" s="83">
        <f>SUMIFS('Dataset 1'!$E$7:$E$2506,'Dataset 1'!$B$7:$B$2506,"&lt;="&amp;$A36,'Dataset 1'!$J$7:$J$2506,AP$5)</f>
        <v>370</v>
      </c>
      <c r="AQ36" s="83">
        <f>SUMIFS('Dataset 1'!$E$7:$E$2506,'Dataset 1'!$B$7:$B$2506,"&lt;="&amp;$A36,'Dataset 1'!$J$7:$J$2506,AQ$5)</f>
        <v>5010</v>
      </c>
      <c r="AR36" s="83">
        <f>SUMIFS('Dataset 1'!$E$7:$E$2506,'Dataset 1'!$B$7:$B$2506,"&lt;="&amp;$A36,'Dataset 1'!$J$7:$J$2506,AR$5)</f>
        <v>1400</v>
      </c>
      <c r="AS36" s="83">
        <f>SUMIFS('Dataset 1'!$E$7:$E$2506,'Dataset 1'!$B$7:$B$2506,"&lt;="&amp;$A36,'Dataset 1'!$J$7:$J$2506,AS$5)</f>
        <v>5910</v>
      </c>
      <c r="AT36" s="83">
        <f>SUMIFS('Dataset 1'!$E$7:$E$2506,'Dataset 1'!$B$7:$B$2506,"&lt;="&amp;$A36,'Dataset 1'!$J$7:$J$2506,AT$5)</f>
        <v>1350</v>
      </c>
      <c r="AU36" s="83">
        <f>SUMIFS('Dataset 1'!$E$7:$E$2506,'Dataset 1'!$B$7:$B$2506,"&lt;="&amp;$A36,'Dataset 1'!$J$7:$J$2506,AU$5)</f>
        <v>0</v>
      </c>
      <c r="AV36" s="83">
        <f>SUMIFS('Dataset 1'!$E$7:$E$2506,'Dataset 1'!$B$7:$B$2506,"&lt;="&amp;$A36,'Dataset 1'!$J$7:$J$2506,AV$5)</f>
        <v>100</v>
      </c>
      <c r="AW36" s="83">
        <f>SUMIFS('Dataset 1'!$E$7:$E$2506,'Dataset 1'!$B$7:$B$2506,"&lt;="&amp;$A36,'Dataset 1'!$J$7:$J$2506,AW$5)</f>
        <v>3310</v>
      </c>
      <c r="AX36" s="83">
        <f>SUMIFS('Dataset 1'!$E$7:$E$2506,'Dataset 1'!$B$7:$B$2506,"&lt;="&amp;$A36,'Dataset 1'!$J$7:$J$2506,AX$5)</f>
        <v>2000</v>
      </c>
      <c r="AY36" s="83">
        <f>SUMIFS('Dataset 1'!$E$7:$E$2506,'Dataset 1'!$B$7:$B$2506,"&lt;="&amp;$A36,'Dataset 1'!$J$7:$J$2506,AY$5)</f>
        <v>5260</v>
      </c>
      <c r="AZ36" s="83">
        <f>SUMIFS('Dataset 1'!$E$7:$E$2506,'Dataset 1'!$B$7:$B$2506,"&lt;="&amp;$A36,'Dataset 1'!$J$7:$J$2506,AZ$5)</f>
        <v>3770</v>
      </c>
      <c r="BA36" s="83">
        <f>SUMIFS('Dataset 1'!$E$7:$E$2506,'Dataset 1'!$B$7:$B$2506,"&lt;="&amp;$A36,'Dataset 1'!$J$7:$J$2506,BA$5)</f>
        <v>9400</v>
      </c>
      <c r="BB36" s="83">
        <f>SUMIFS('Dataset 1'!$E$7:$E$2506,'Dataset 1'!$B$7:$B$2506,"&lt;="&amp;$A36,'Dataset 1'!$J$7:$J$2506,BB$5)</f>
        <v>0</v>
      </c>
      <c r="BC36" s="83">
        <f>SUMIFS('Dataset 1'!$E$7:$E$2506,'Dataset 1'!$B$7:$B$2506,"&lt;="&amp;$A36,'Dataset 1'!$J$7:$J$2506,BC$5)</f>
        <v>1440</v>
      </c>
      <c r="BD36" s="83">
        <f>SUMIFS('Dataset 1'!$E$7:$E$2506,'Dataset 1'!$B$7:$B$2506,"&lt;="&amp;$A36,'Dataset 1'!$J$7:$J$2506,BD$5)</f>
        <v>1280</v>
      </c>
      <c r="BE36" s="83">
        <f>SUMIFS('Dataset 1'!$E$7:$E$2506,'Dataset 1'!$B$7:$B$2506,"&lt;="&amp;$A36,'Dataset 1'!$J$7:$J$2506,BE$5)</f>
        <v>0</v>
      </c>
      <c r="BF36" s="83">
        <f>SUMIFS('Dataset 1'!$E$7:$E$2506,'Dataset 1'!$B$7:$B$2506,"&lt;="&amp;$A36,'Dataset 1'!$J$7:$J$2506,BF$5)</f>
        <v>140</v>
      </c>
      <c r="BG36" s="83">
        <f>SUMIFS('Dataset 1'!$E$7:$E$2506,'Dataset 1'!$B$7:$B$2506,"&lt;="&amp;$A36,'Dataset 1'!$J$7:$J$2506,BG$5)</f>
        <v>1520</v>
      </c>
      <c r="BH36" s="83">
        <f>SUMIFS('Dataset 1'!$E$7:$E$2506,'Dataset 1'!$B$7:$B$2506,"&lt;="&amp;$A36,'Dataset 1'!$J$7:$J$2506,BH$5)</f>
        <v>0</v>
      </c>
      <c r="BI36" s="83">
        <f>SUMIFS('Dataset 1'!$E$7:$E$2506,'Dataset 1'!$B$7:$B$2506,"&lt;="&amp;$A36,'Dataset 1'!$J$7:$J$2506,BI$5)</f>
        <v>10670</v>
      </c>
      <c r="BJ36" s="83">
        <f>SUMIFS('Dataset 1'!$E$7:$E$2506,'Dataset 1'!$B$7:$B$2506,"&lt;="&amp;$A36,'Dataset 1'!$J$7:$J$2506,BJ$5)</f>
        <v>0</v>
      </c>
      <c r="BK36" s="83">
        <f>SUMIFS('Dataset 1'!$E$7:$E$2506,'Dataset 1'!$B$7:$B$2506,"&lt;="&amp;$A36,'Dataset 1'!$J$7:$J$2506,BK$5)</f>
        <v>0</v>
      </c>
      <c r="BL36" s="83">
        <f>SUMIFS('Dataset 1'!$E$7:$E$2506,'Dataset 1'!$B$7:$B$2506,"&lt;="&amp;$A36,'Dataset 1'!$J$7:$J$2506,BL$5)</f>
        <v>0</v>
      </c>
      <c r="BM36" s="83">
        <f>SUMIFS('Dataset 1'!$E$7:$E$2506,'Dataset 1'!$B$7:$B$2506,"&lt;="&amp;$A36,'Dataset 1'!$J$7:$J$2506,BM$5)</f>
        <v>2260</v>
      </c>
      <c r="BN36" s="83">
        <f>SUMIFS('Dataset 1'!$E$7:$E$2506,'Dataset 1'!$B$7:$B$2506,"&lt;="&amp;$A36,'Dataset 1'!$J$7:$J$2506,BN$5)</f>
        <v>110</v>
      </c>
      <c r="BO36" s="83">
        <f>SUMIFS('Dataset 1'!$E$7:$E$2506,'Dataset 1'!$B$7:$B$2506,"&lt;="&amp;$A36,'Dataset 1'!$J$7:$J$2506,BO$5)</f>
        <v>0</v>
      </c>
      <c r="BP36" s="83">
        <f>SUMIFS('Dataset 1'!$E$7:$E$2506,'Dataset 1'!$B$7:$B$2506,"&lt;="&amp;$A36,'Dataset 1'!$J$7:$J$2506,BP$5)</f>
        <v>150</v>
      </c>
      <c r="BQ36" s="83">
        <f>SUMIFS('Dataset 1'!$E$7:$E$2506,'Dataset 1'!$B$7:$B$2506,"&lt;="&amp;$A36,'Dataset 1'!$J$7:$J$2506,BQ$5)</f>
        <v>0</v>
      </c>
      <c r="BR36" s="83">
        <f>SUMIFS('Dataset 1'!$E$7:$E$2506,'Dataset 1'!$B$7:$B$2506,"&lt;="&amp;$A36,'Dataset 1'!$J$7:$J$2506,BR$5)</f>
        <v>2640</v>
      </c>
      <c r="BS36" s="83">
        <f>SUMIFS('Dataset 1'!$E$7:$E$2506,'Dataset 1'!$B$7:$B$2506,"&lt;="&amp;$A36,'Dataset 1'!$J$7:$J$2506,BS$5)</f>
        <v>0</v>
      </c>
      <c r="BT36" s="83">
        <f>SUMIFS('Dataset 1'!$E$7:$E$2506,'Dataset 1'!$B$7:$B$2506,"&lt;="&amp;$A36,'Dataset 1'!$J$7:$J$2506,BT$5)</f>
        <v>0</v>
      </c>
      <c r="BU36" s="83">
        <f>SUMIFS('Dataset 1'!$E$7:$E$2506,'Dataset 1'!$B$7:$B$2506,"&lt;="&amp;$A36,'Dataset 1'!$J$7:$J$2506,BU$5)</f>
        <v>0</v>
      </c>
      <c r="BV36" s="83">
        <f>SUMIFS('Dataset 1'!$E$7:$E$2506,'Dataset 1'!$B$7:$B$2506,"&lt;="&amp;$A36,'Dataset 1'!$J$7:$J$2506,BV$5)</f>
        <v>740</v>
      </c>
      <c r="BW36" s="83">
        <f>SUMIFS('Dataset 1'!$E$7:$E$2506,'Dataset 1'!$B$7:$B$2506,"&lt;="&amp;$A36,'Dataset 1'!$J$7:$J$2506,BW$5)</f>
        <v>310</v>
      </c>
      <c r="BX36" s="83">
        <f>SUMIFS('Dataset 1'!$E$7:$E$2506,'Dataset 1'!$B$7:$B$2506,"&lt;="&amp;$A36,'Dataset 1'!$J$7:$J$2506,BX$5)</f>
        <v>2110</v>
      </c>
      <c r="BY36" s="83">
        <f>SUMIFS('Dataset 1'!$E$7:$E$2506,'Dataset 1'!$B$7:$B$2506,"&lt;="&amp;$A36,'Dataset 1'!$J$7:$J$2506,BY$5)</f>
        <v>0</v>
      </c>
      <c r="BZ36" s="83">
        <f>SUMIFS('Dataset 1'!$E$7:$E$2506,'Dataset 1'!$B$7:$B$2506,"&lt;="&amp;$A36,'Dataset 1'!$J$7:$J$2506,BZ$5)</f>
        <v>0</v>
      </c>
      <c r="CA36" s="83">
        <f>SUMIFS('Dataset 1'!$E$7:$E$2506,'Dataset 1'!$B$7:$B$2506,"&lt;="&amp;$A36,'Dataset 1'!$J$7:$J$2506,CA$5)</f>
        <v>210</v>
      </c>
      <c r="CB36" s="83">
        <f>SUMIFS('Dataset 1'!$E$7:$E$2506,'Dataset 1'!$B$7:$B$2506,"&lt;="&amp;$A36,'Dataset 1'!$J$7:$J$2506,CB$5)</f>
        <v>3530</v>
      </c>
      <c r="CC36" s="83">
        <f>SUMIFS('Dataset 1'!$E$7:$E$2506,'Dataset 1'!$B$7:$B$2506,"&lt;="&amp;$A36,'Dataset 1'!$J$7:$J$2506,CC$5)</f>
        <v>0</v>
      </c>
      <c r="CD36" s="83">
        <f>SUMIFS('Dataset 1'!$E$7:$E$2506,'Dataset 1'!$B$7:$B$2506,"&lt;="&amp;$A36,'Dataset 1'!$J$7:$J$2506,CD$5)</f>
        <v>140</v>
      </c>
      <c r="CE36" s="83">
        <f>SUMIFS('Dataset 1'!$E$7:$E$2506,'Dataset 1'!$B$7:$B$2506,"&lt;="&amp;$A36,'Dataset 1'!$J$7:$J$2506,CE$5)</f>
        <v>2020</v>
      </c>
      <c r="CF36" s="83">
        <f>SUMIFS('Dataset 1'!$E$7:$E$2506,'Dataset 1'!$B$7:$B$2506,"&lt;="&amp;$A36,'Dataset 1'!$J$7:$J$2506,CF$5)</f>
        <v>1170</v>
      </c>
      <c r="CG36" s="83">
        <f>SUMIFS('Dataset 1'!$E$7:$E$2506,'Dataset 1'!$B$7:$B$2506,"&lt;="&amp;$A36,'Dataset 1'!$J$7:$J$2506,CG$5)</f>
        <v>300</v>
      </c>
      <c r="CH36" s="83">
        <f>SUMIFS('Dataset 1'!$E$7:$E$2506,'Dataset 1'!$B$7:$B$2506,"&lt;="&amp;$A36,'Dataset 1'!$J$7:$J$2506,CH$5)</f>
        <v>4870</v>
      </c>
      <c r="CI36" s="83">
        <f>SUMIFS('Dataset 1'!$E$7:$E$2506,'Dataset 1'!$B$7:$B$2506,"&lt;="&amp;$A36,'Dataset 1'!$J$7:$J$2506,CI$5)</f>
        <v>5240</v>
      </c>
      <c r="CJ36" s="83">
        <f>SUMIFS('Dataset 1'!$E$7:$E$2506,'Dataset 1'!$B$7:$B$2506,"&lt;="&amp;$A36,'Dataset 1'!$J$7:$J$2506,CJ$5)</f>
        <v>2000</v>
      </c>
      <c r="CK36" s="83">
        <f>SUMIFS('Dataset 1'!$E$7:$E$2506,'Dataset 1'!$B$7:$B$2506,"&lt;="&amp;$A36,'Dataset 1'!$J$7:$J$2506,CK$5)</f>
        <v>4960</v>
      </c>
      <c r="CL36" s="83">
        <f>SUMIFS('Dataset 1'!$E$7:$E$2506,'Dataset 1'!$B$7:$B$2506,"&lt;="&amp;$A36,'Dataset 1'!$J$7:$J$2506,CL$5)</f>
        <v>0</v>
      </c>
      <c r="CM36" s="83">
        <f>SUMIFS('Dataset 1'!$E$7:$E$2506,'Dataset 1'!$B$7:$B$2506,"&lt;="&amp;$A36,'Dataset 1'!$J$7:$J$2506,CM$5)</f>
        <v>2150</v>
      </c>
      <c r="CN36" s="83">
        <f>SUMIFS('Dataset 1'!$E$7:$E$2506,'Dataset 1'!$B$7:$B$2506,"&lt;="&amp;$A36,'Dataset 1'!$J$7:$J$2506,CN$5)</f>
        <v>0</v>
      </c>
      <c r="CO36" s="83">
        <f>SUMIFS('Dataset 1'!$E$7:$E$2506,'Dataset 1'!$B$7:$B$2506,"&lt;="&amp;$A36,'Dataset 1'!$J$7:$J$2506,CO$5)</f>
        <v>1760</v>
      </c>
      <c r="CP36" s="83">
        <f>SUMIFS('Dataset 1'!$E$7:$E$2506,'Dataset 1'!$B$7:$B$2506,"&lt;="&amp;$A36,'Dataset 1'!$J$7:$J$2506,CP$5)</f>
        <v>4680</v>
      </c>
      <c r="CQ36" s="83">
        <f>SUMIFS('Dataset 1'!$E$7:$E$2506,'Dataset 1'!$B$7:$B$2506,"&lt;="&amp;$A36,'Dataset 1'!$J$7:$J$2506,CQ$5)</f>
        <v>1580</v>
      </c>
      <c r="CR36" s="83">
        <f>SUMIFS('Dataset 1'!$E$7:$E$2506,'Dataset 1'!$B$7:$B$2506,"&lt;="&amp;$A36,'Dataset 1'!$J$7:$J$2506,CR$5)</f>
        <v>100</v>
      </c>
      <c r="CS36" s="83">
        <f>SUMIFS('Dataset 1'!$E$7:$E$2506,'Dataset 1'!$B$7:$B$2506,"&lt;="&amp;$A36,'Dataset 1'!$J$7:$J$2506,CS$5)</f>
        <v>4490</v>
      </c>
      <c r="CT36" s="83">
        <f>SUMIFS('Dataset 1'!$E$7:$E$2506,'Dataset 1'!$B$7:$B$2506,"&lt;="&amp;$A36,'Dataset 1'!$J$7:$J$2506,CT$5)</f>
        <v>100</v>
      </c>
      <c r="CU36" s="83">
        <f>SUMIFS('Dataset 1'!$E$7:$E$2506,'Dataset 1'!$B$7:$B$2506,"&lt;="&amp;$A36,'Dataset 1'!$J$7:$J$2506,CU$5)</f>
        <v>12470</v>
      </c>
      <c r="CV36" s="83">
        <f>SUMIFS('Dataset 1'!$E$7:$E$2506,'Dataset 1'!$B$7:$B$2506,"&lt;="&amp;$A36,'Dataset 1'!$J$7:$J$2506,CV$5)</f>
        <v>0</v>
      </c>
      <c r="CW36" s="83">
        <f>SUMIFS('Dataset 1'!$E$7:$E$2506,'Dataset 1'!$B$7:$B$2506,"&lt;="&amp;$A36,'Dataset 1'!$J$7:$J$2506,CW$5)</f>
        <v>0</v>
      </c>
      <c r="CX36" s="83">
        <f>SUMIFS('Dataset 1'!$E$7:$E$2506,'Dataset 1'!$B$7:$B$2506,"&lt;="&amp;$A36,'Dataset 1'!$J$7:$J$2506,CX$5)</f>
        <v>0</v>
      </c>
      <c r="CY36" s="83">
        <f>SUMIFS('Dataset 1'!$E$7:$E$2506,'Dataset 1'!$B$7:$B$2506,"&lt;="&amp;$A36,'Dataset 1'!$J$7:$J$2506,CY$5)</f>
        <v>4910</v>
      </c>
      <c r="CZ36" s="83">
        <f>SUMIFS('Dataset 1'!$E$7:$E$2506,'Dataset 1'!$B$7:$B$2506,"&lt;="&amp;$A36,'Dataset 1'!$J$7:$J$2506,CZ$5)</f>
        <v>0</v>
      </c>
      <c r="DA36" s="83">
        <f>SUMIFS('Dataset 1'!$E$7:$E$2506,'Dataset 1'!$B$7:$B$2506,"&lt;="&amp;$A36,'Dataset 1'!$J$7:$J$2506,DA$5)</f>
        <v>1750</v>
      </c>
      <c r="DB36" s="83">
        <f>SUMIFS('Dataset 1'!$E$7:$E$2506,'Dataset 1'!$B$7:$B$2506,"&lt;="&amp;$A36,'Dataset 1'!$J$7:$J$2506,DB$5)</f>
        <v>8130</v>
      </c>
      <c r="DC36" s="83">
        <f>SUMIFS('Dataset 1'!$E$7:$E$2506,'Dataset 1'!$B$7:$B$2506,"&lt;="&amp;$A36,'Dataset 1'!$J$7:$J$2506,DC$5)</f>
        <v>0</v>
      </c>
      <c r="DD36" s="83">
        <f>SUMIFS('Dataset 1'!$E$7:$E$2506,'Dataset 1'!$B$7:$B$2506,"&lt;="&amp;$A36,'Dataset 1'!$J$7:$J$2506,DD$5)</f>
        <v>0</v>
      </c>
      <c r="DE36" s="83">
        <f>SUMIFS('Dataset 1'!$E$7:$E$2506,'Dataset 1'!$B$7:$B$2506,"&lt;="&amp;$A36,'Dataset 1'!$J$7:$J$2506,DE$5)</f>
        <v>0</v>
      </c>
      <c r="DF36" s="83">
        <f>SUMIFS('Dataset 1'!$E$7:$E$2506,'Dataset 1'!$B$7:$B$2506,"&lt;="&amp;$A36,'Dataset 1'!$J$7:$J$2506,DF$5)</f>
        <v>9090</v>
      </c>
      <c r="DG36" s="83">
        <f>SUMIFS('Dataset 1'!$E$7:$E$2506,'Dataset 1'!$B$7:$B$2506,"&lt;="&amp;$A36,'Dataset 1'!$J$7:$J$2506,DG$5)</f>
        <v>1990</v>
      </c>
      <c r="DH36" s="83">
        <f>SUMIFS('Dataset 1'!$E$7:$E$2506,'Dataset 1'!$B$7:$B$2506,"&lt;="&amp;$A36,'Dataset 1'!$J$7:$J$2506,DH$5)</f>
        <v>1500</v>
      </c>
      <c r="DI36" s="83">
        <f>SUMIFS('Dataset 1'!$E$7:$E$2506,'Dataset 1'!$B$7:$B$2506,"&lt;="&amp;$A36,'Dataset 1'!$J$7:$J$2506,DI$5)</f>
        <v>430</v>
      </c>
      <c r="DJ36" s="83">
        <f>SUMIFS('Dataset 1'!$E$7:$E$2506,'Dataset 1'!$B$7:$B$2506,"&lt;="&amp;$A36,'Dataset 1'!$J$7:$J$2506,DJ$5)</f>
        <v>260</v>
      </c>
      <c r="DK36" s="83">
        <f>SUMIFS('Dataset 1'!$E$7:$E$2506,'Dataset 1'!$B$7:$B$2506,"&lt;="&amp;$A36,'Dataset 1'!$J$7:$J$2506,DK$5)</f>
        <v>0</v>
      </c>
      <c r="DL36" s="83">
        <f>SUMIFS('Dataset 1'!$E$7:$E$2506,'Dataset 1'!$B$7:$B$2506,"&lt;="&amp;$A36,'Dataset 1'!$J$7:$J$2506,DL$5)</f>
        <v>2700</v>
      </c>
      <c r="DM36" s="83">
        <f>SUMIFS('Dataset 1'!$E$7:$E$2506,'Dataset 1'!$B$7:$B$2506,"&lt;="&amp;$A36,'Dataset 1'!$J$7:$J$2506,DM$5)</f>
        <v>8170</v>
      </c>
      <c r="DN36" s="83">
        <f>SUMIFS('Dataset 1'!$E$7:$E$2506,'Dataset 1'!$B$7:$B$2506,"&lt;="&amp;$A36,'Dataset 1'!$J$7:$J$2506,DN$5)</f>
        <v>3760</v>
      </c>
      <c r="DO36" s="83">
        <f>SUMIFS('Dataset 1'!$E$7:$E$2506,'Dataset 1'!$B$7:$B$2506,"&lt;="&amp;$A36,'Dataset 1'!$J$7:$J$2506,DO$5)</f>
        <v>140</v>
      </c>
      <c r="DP36" s="83">
        <f>SUMIFS('Dataset 1'!$E$7:$E$2506,'Dataset 1'!$B$7:$B$2506,"&lt;="&amp;$A36,'Dataset 1'!$J$7:$J$2506,DP$5)</f>
        <v>520</v>
      </c>
      <c r="DQ36" s="83">
        <f>SUMIFS('Dataset 1'!$E$7:$E$2506,'Dataset 1'!$B$7:$B$2506,"&lt;="&amp;$A36,'Dataset 1'!$J$7:$J$2506,DQ$5)</f>
        <v>0</v>
      </c>
      <c r="DR36" s="83">
        <f>SUMIFS('Dataset 1'!$E$7:$E$2506,'Dataset 1'!$B$7:$B$2506,"&lt;="&amp;$A36,'Dataset 1'!$J$7:$J$2506,DR$5)</f>
        <v>1550</v>
      </c>
      <c r="DS36" s="83">
        <f>SUMIFS('Dataset 1'!$E$7:$E$2506,'Dataset 1'!$B$7:$B$2506,"&lt;="&amp;$A36,'Dataset 1'!$J$7:$J$2506,DS$5)</f>
        <v>190</v>
      </c>
      <c r="DT36" s="83">
        <f>SUMIFS('Dataset 1'!$E$7:$E$2506,'Dataset 1'!$B$7:$B$2506,"&lt;="&amp;$A36,'Dataset 1'!$J$7:$J$2506,DT$5)</f>
        <v>1170</v>
      </c>
      <c r="DU36" s="83">
        <f>SUMIFS('Dataset 1'!$E$7:$E$2506,'Dataset 1'!$B$7:$B$2506,"&lt;="&amp;$A36,'Dataset 1'!$J$7:$J$2506,DU$5)</f>
        <v>0</v>
      </c>
      <c r="DV36" s="83">
        <f>SUMIFS('Dataset 1'!$E$7:$E$2506,'Dataset 1'!$B$7:$B$2506,"&lt;="&amp;$A36,'Dataset 1'!$J$7:$J$2506,DV$5)</f>
        <v>1610</v>
      </c>
      <c r="DW36" s="83">
        <f>SUMIFS('Dataset 1'!$E$7:$E$2506,'Dataset 1'!$B$7:$B$2506,"&lt;="&amp;$A36,'Dataset 1'!$J$7:$J$2506,DW$5)</f>
        <v>1190</v>
      </c>
      <c r="DX36" s="83">
        <f>SUMIFS('Dataset 1'!$E$7:$E$2506,'Dataset 1'!$B$7:$B$2506,"&lt;="&amp;$A36,'Dataset 1'!$J$7:$J$2506,DX$5)</f>
        <v>0</v>
      </c>
      <c r="DY36" s="83">
        <f>SUMIFS('Dataset 1'!$E$7:$E$2506,'Dataset 1'!$B$7:$B$2506,"&lt;="&amp;$A36,'Dataset 1'!$J$7:$J$2506,DY$5)</f>
        <v>43280</v>
      </c>
      <c r="DZ36" s="83">
        <f>SUMIFS('Dataset 1'!$E$7:$E$2506,'Dataset 1'!$B$7:$B$2506,"&lt;="&amp;$A36,'Dataset 1'!$J$7:$J$2506,DZ$5)</f>
        <v>100</v>
      </c>
      <c r="EA36" s="83">
        <f>SUMIFS('Dataset 1'!$E$7:$E$2506,'Dataset 1'!$B$7:$B$2506,"&lt;="&amp;$A36,'Dataset 1'!$J$7:$J$2506,EA$5)</f>
        <v>0</v>
      </c>
      <c r="EB36" s="83">
        <f>SUMIFS('Dataset 1'!$E$7:$E$2506,'Dataset 1'!$B$7:$B$2506,"&lt;="&amp;$A36,'Dataset 1'!$J$7:$J$2506,EB$5)</f>
        <v>300</v>
      </c>
      <c r="EC36" s="83">
        <f>SUMIFS('Dataset 1'!$E$7:$E$2506,'Dataset 1'!$B$7:$B$2506,"&lt;="&amp;$A36,'Dataset 1'!$J$7:$J$2506,EC$5)</f>
        <v>1100</v>
      </c>
      <c r="ED36" s="83">
        <f>SUMIFS('Dataset 1'!$E$7:$E$2506,'Dataset 1'!$B$7:$B$2506,"&lt;="&amp;$A36,'Dataset 1'!$J$7:$J$2506,ED$5)</f>
        <v>560</v>
      </c>
      <c r="EE36" s="83">
        <f>SUMIFS('Dataset 1'!$E$7:$E$2506,'Dataset 1'!$B$7:$B$2506,"&lt;="&amp;$A36,'Dataset 1'!$J$7:$J$2506,EE$5)</f>
        <v>470</v>
      </c>
      <c r="EF36" s="83">
        <f>SUMIFS('Dataset 1'!$E$7:$E$2506,'Dataset 1'!$B$7:$B$2506,"&lt;="&amp;$A36,'Dataset 1'!$J$7:$J$2506,EF$5)</f>
        <v>1510</v>
      </c>
      <c r="EG36" s="83">
        <f>SUMIFS('Dataset 1'!$E$7:$E$2506,'Dataset 1'!$B$7:$B$2506,"&lt;="&amp;$A36,'Dataset 1'!$J$7:$J$2506,EG$5)</f>
        <v>600</v>
      </c>
    </row>
    <row r="37" spans="1:137" x14ac:dyDescent="0.2">
      <c r="A37">
        <v>2013</v>
      </c>
      <c r="B37" s="83">
        <f>SUMIFS('Dataset 1'!$E$7:$E$2506,'Dataset 1'!$B$7:$B$2506,"&lt;="&amp;$A37,'Dataset 1'!$J$7:$J$2506,B$5)</f>
        <v>2920</v>
      </c>
      <c r="C37" s="83">
        <f>SUMIFS('Dataset 1'!$E$7:$E$2506,'Dataset 1'!$B$7:$B$2506,"&lt;="&amp;$A37,'Dataset 1'!$J$7:$J$2506,C$5)</f>
        <v>0</v>
      </c>
      <c r="D37" s="83">
        <f>SUMIFS('Dataset 1'!$E$7:$E$2506,'Dataset 1'!$B$7:$B$2506,"&lt;="&amp;$A37,'Dataset 1'!$J$7:$J$2506,D$5)</f>
        <v>5030</v>
      </c>
      <c r="E37" s="83">
        <f>SUMIFS('Dataset 1'!$E$7:$E$2506,'Dataset 1'!$B$7:$B$2506,"&lt;="&amp;$A37,'Dataset 1'!$J$7:$J$2506,E$5)</f>
        <v>0</v>
      </c>
      <c r="F37" s="83">
        <f>SUMIFS('Dataset 1'!$E$7:$E$2506,'Dataset 1'!$B$7:$B$2506,"&lt;="&amp;$A37,'Dataset 1'!$J$7:$J$2506,F$5)</f>
        <v>7080</v>
      </c>
      <c r="G37" s="83">
        <f>SUMIFS('Dataset 1'!$E$7:$E$2506,'Dataset 1'!$B$7:$B$2506,"&lt;="&amp;$A37,'Dataset 1'!$J$7:$J$2506,G$5)</f>
        <v>60410</v>
      </c>
      <c r="H37" s="83">
        <f>SUMIFS('Dataset 1'!$E$7:$E$2506,'Dataset 1'!$B$7:$B$2506,"&lt;="&amp;$A37,'Dataset 1'!$J$7:$J$2506,H$5)</f>
        <v>280</v>
      </c>
      <c r="I37" s="83">
        <f>SUMIFS('Dataset 1'!$E$7:$E$2506,'Dataset 1'!$B$7:$B$2506,"&lt;="&amp;$A37,'Dataset 1'!$J$7:$J$2506,I$5)</f>
        <v>0</v>
      </c>
      <c r="J37" s="83">
        <f>SUMIFS('Dataset 1'!$E$7:$E$2506,'Dataset 1'!$B$7:$B$2506,"&lt;="&amp;$A37,'Dataset 1'!$J$7:$J$2506,J$5)</f>
        <v>100</v>
      </c>
      <c r="K37" s="83">
        <f>SUMIFS('Dataset 1'!$E$7:$E$2506,'Dataset 1'!$B$7:$B$2506,"&lt;="&amp;$A37,'Dataset 1'!$J$7:$J$2506,K$5)</f>
        <v>0</v>
      </c>
      <c r="L37" s="83">
        <f>SUMIFS('Dataset 1'!$E$7:$E$2506,'Dataset 1'!$B$7:$B$2506,"&lt;="&amp;$A37,'Dataset 1'!$J$7:$J$2506,L$5)</f>
        <v>100</v>
      </c>
      <c r="M37" s="83">
        <f>SUMIFS('Dataset 1'!$E$7:$E$2506,'Dataset 1'!$B$7:$B$2506,"&lt;="&amp;$A37,'Dataset 1'!$J$7:$J$2506,M$5)</f>
        <v>3050</v>
      </c>
      <c r="N37" s="83">
        <f>SUMIFS('Dataset 1'!$E$7:$E$2506,'Dataset 1'!$B$7:$B$2506,"&lt;="&amp;$A37,'Dataset 1'!$J$7:$J$2506,N$5)</f>
        <v>0</v>
      </c>
      <c r="O37" s="83">
        <f>SUMIFS('Dataset 1'!$E$7:$E$2506,'Dataset 1'!$B$7:$B$2506,"&lt;="&amp;$A37,'Dataset 1'!$J$7:$J$2506,O$5)</f>
        <v>0</v>
      </c>
      <c r="P37" s="83">
        <f>SUMIFS('Dataset 1'!$E$7:$E$2506,'Dataset 1'!$B$7:$B$2506,"&lt;="&amp;$A37,'Dataset 1'!$J$7:$J$2506,P$5)</f>
        <v>0</v>
      </c>
      <c r="Q37" s="83">
        <f>SUMIFS('Dataset 1'!$E$7:$E$2506,'Dataset 1'!$B$7:$B$2506,"&lt;="&amp;$A37,'Dataset 1'!$J$7:$J$2506,Q$5)</f>
        <v>27880</v>
      </c>
      <c r="R37" s="83">
        <f>SUMIFS('Dataset 1'!$E$7:$E$2506,'Dataset 1'!$B$7:$B$2506,"&lt;="&amp;$A37,'Dataset 1'!$J$7:$J$2506,R$5)</f>
        <v>22740</v>
      </c>
      <c r="S37" s="83">
        <f>SUMIFS('Dataset 1'!$E$7:$E$2506,'Dataset 1'!$B$7:$B$2506,"&lt;="&amp;$A37,'Dataset 1'!$J$7:$J$2506,S$5)</f>
        <v>0</v>
      </c>
      <c r="T37" s="83">
        <f>SUMIFS('Dataset 1'!$E$7:$E$2506,'Dataset 1'!$B$7:$B$2506,"&lt;="&amp;$A37,'Dataset 1'!$J$7:$J$2506,T$5)</f>
        <v>120</v>
      </c>
      <c r="U37" s="83">
        <f>SUMIFS('Dataset 1'!$E$7:$E$2506,'Dataset 1'!$B$7:$B$2506,"&lt;="&amp;$A37,'Dataset 1'!$J$7:$J$2506,U$5)</f>
        <v>5140</v>
      </c>
      <c r="V37" s="83">
        <f>SUMIFS('Dataset 1'!$E$7:$E$2506,'Dataset 1'!$B$7:$B$2506,"&lt;="&amp;$A37,'Dataset 1'!$J$7:$J$2506,V$5)</f>
        <v>1700</v>
      </c>
      <c r="W37" s="83">
        <f>SUMIFS('Dataset 1'!$E$7:$E$2506,'Dataset 1'!$B$7:$B$2506,"&lt;="&amp;$A37,'Dataset 1'!$J$7:$J$2506,W$5)</f>
        <v>38420</v>
      </c>
      <c r="X37" s="83">
        <f>SUMIFS('Dataset 1'!$E$7:$E$2506,'Dataset 1'!$B$7:$B$2506,"&lt;="&amp;$A37,'Dataset 1'!$J$7:$J$2506,X$5)</f>
        <v>1150</v>
      </c>
      <c r="Y37" s="83">
        <f>SUMIFS('Dataset 1'!$E$7:$E$2506,'Dataset 1'!$B$7:$B$2506,"&lt;="&amp;$A37,'Dataset 1'!$J$7:$J$2506,Y$5)</f>
        <v>2100</v>
      </c>
      <c r="Z37" s="83">
        <f>SUMIFS('Dataset 1'!$E$7:$E$2506,'Dataset 1'!$B$7:$B$2506,"&lt;="&amp;$A37,'Dataset 1'!$J$7:$J$2506,Z$5)</f>
        <v>1410</v>
      </c>
      <c r="AA37" s="83">
        <f>SUMIFS('Dataset 1'!$E$7:$E$2506,'Dataset 1'!$B$7:$B$2506,"&lt;="&amp;$A37,'Dataset 1'!$J$7:$J$2506,AA$5)</f>
        <v>2140</v>
      </c>
      <c r="AB37" s="83">
        <f>SUMIFS('Dataset 1'!$E$7:$E$2506,'Dataset 1'!$B$7:$B$2506,"&lt;="&amp;$A37,'Dataset 1'!$J$7:$J$2506,AB$5)</f>
        <v>0</v>
      </c>
      <c r="AC37" s="83">
        <f>SUMIFS('Dataset 1'!$E$7:$E$2506,'Dataset 1'!$B$7:$B$2506,"&lt;="&amp;$A37,'Dataset 1'!$J$7:$J$2506,AC$5)</f>
        <v>500</v>
      </c>
      <c r="AD37" s="83">
        <f>SUMIFS('Dataset 1'!$E$7:$E$2506,'Dataset 1'!$B$7:$B$2506,"&lt;="&amp;$A37,'Dataset 1'!$J$7:$J$2506,AD$5)</f>
        <v>0</v>
      </c>
      <c r="AE37" s="83">
        <f>SUMIFS('Dataset 1'!$E$7:$E$2506,'Dataset 1'!$B$7:$B$2506,"&lt;="&amp;$A37,'Dataset 1'!$J$7:$J$2506,AE$5)</f>
        <v>0</v>
      </c>
      <c r="AF37" s="83">
        <f>SUMIFS('Dataset 1'!$E$7:$E$2506,'Dataset 1'!$B$7:$B$2506,"&lt;="&amp;$A37,'Dataset 1'!$J$7:$J$2506,AF$5)</f>
        <v>5150</v>
      </c>
      <c r="AG37" s="83">
        <f>SUMIFS('Dataset 1'!$E$7:$E$2506,'Dataset 1'!$B$7:$B$2506,"&lt;="&amp;$A37,'Dataset 1'!$J$7:$J$2506,AG$5)</f>
        <v>0</v>
      </c>
      <c r="AH37" s="83">
        <f>SUMIFS('Dataset 1'!$E$7:$E$2506,'Dataset 1'!$B$7:$B$2506,"&lt;="&amp;$A37,'Dataset 1'!$J$7:$J$2506,AH$5)</f>
        <v>190</v>
      </c>
      <c r="AI37" s="83">
        <f>SUMIFS('Dataset 1'!$E$7:$E$2506,'Dataset 1'!$B$7:$B$2506,"&lt;="&amp;$A37,'Dataset 1'!$J$7:$J$2506,AI$5)</f>
        <v>2680</v>
      </c>
      <c r="AJ37" s="83">
        <f>SUMIFS('Dataset 1'!$E$7:$E$2506,'Dataset 1'!$B$7:$B$2506,"&lt;="&amp;$A37,'Dataset 1'!$J$7:$J$2506,AJ$5)</f>
        <v>4970</v>
      </c>
      <c r="AK37" s="83">
        <f>SUMIFS('Dataset 1'!$E$7:$E$2506,'Dataset 1'!$B$7:$B$2506,"&lt;="&amp;$A37,'Dataset 1'!$J$7:$J$2506,AK$5)</f>
        <v>0</v>
      </c>
      <c r="AL37" s="83">
        <f>SUMIFS('Dataset 1'!$E$7:$E$2506,'Dataset 1'!$B$7:$B$2506,"&lt;="&amp;$A37,'Dataset 1'!$J$7:$J$2506,AL$5)</f>
        <v>140</v>
      </c>
      <c r="AM37" s="83">
        <f>SUMIFS('Dataset 1'!$E$7:$E$2506,'Dataset 1'!$B$7:$B$2506,"&lt;="&amp;$A37,'Dataset 1'!$J$7:$J$2506,AM$5)</f>
        <v>0</v>
      </c>
      <c r="AN37" s="83">
        <f>SUMIFS('Dataset 1'!$E$7:$E$2506,'Dataset 1'!$B$7:$B$2506,"&lt;="&amp;$A37,'Dataset 1'!$J$7:$J$2506,AN$5)</f>
        <v>9230</v>
      </c>
      <c r="AO37" s="83">
        <f>SUMIFS('Dataset 1'!$E$7:$E$2506,'Dataset 1'!$B$7:$B$2506,"&lt;="&amp;$A37,'Dataset 1'!$J$7:$J$2506,AO$5)</f>
        <v>0</v>
      </c>
      <c r="AP37" s="83">
        <f>SUMIFS('Dataset 1'!$E$7:$E$2506,'Dataset 1'!$B$7:$B$2506,"&lt;="&amp;$A37,'Dataset 1'!$J$7:$J$2506,AP$5)</f>
        <v>370</v>
      </c>
      <c r="AQ37" s="83">
        <f>SUMIFS('Dataset 1'!$E$7:$E$2506,'Dataset 1'!$B$7:$B$2506,"&lt;="&amp;$A37,'Dataset 1'!$J$7:$J$2506,AQ$5)</f>
        <v>5810</v>
      </c>
      <c r="AR37" s="83">
        <f>SUMIFS('Dataset 1'!$E$7:$E$2506,'Dataset 1'!$B$7:$B$2506,"&lt;="&amp;$A37,'Dataset 1'!$J$7:$J$2506,AR$5)</f>
        <v>1400</v>
      </c>
      <c r="AS37" s="83">
        <f>SUMIFS('Dataset 1'!$E$7:$E$2506,'Dataset 1'!$B$7:$B$2506,"&lt;="&amp;$A37,'Dataset 1'!$J$7:$J$2506,AS$5)</f>
        <v>5910</v>
      </c>
      <c r="AT37" s="83">
        <f>SUMIFS('Dataset 1'!$E$7:$E$2506,'Dataset 1'!$B$7:$B$2506,"&lt;="&amp;$A37,'Dataset 1'!$J$7:$J$2506,AT$5)</f>
        <v>1350</v>
      </c>
      <c r="AU37" s="83">
        <f>SUMIFS('Dataset 1'!$E$7:$E$2506,'Dataset 1'!$B$7:$B$2506,"&lt;="&amp;$A37,'Dataset 1'!$J$7:$J$2506,AU$5)</f>
        <v>0</v>
      </c>
      <c r="AV37" s="83">
        <f>SUMIFS('Dataset 1'!$E$7:$E$2506,'Dataset 1'!$B$7:$B$2506,"&lt;="&amp;$A37,'Dataset 1'!$J$7:$J$2506,AV$5)</f>
        <v>100</v>
      </c>
      <c r="AW37" s="83">
        <f>SUMIFS('Dataset 1'!$E$7:$E$2506,'Dataset 1'!$B$7:$B$2506,"&lt;="&amp;$A37,'Dataset 1'!$J$7:$J$2506,AW$5)</f>
        <v>3310</v>
      </c>
      <c r="AX37" s="83">
        <f>SUMIFS('Dataset 1'!$E$7:$E$2506,'Dataset 1'!$B$7:$B$2506,"&lt;="&amp;$A37,'Dataset 1'!$J$7:$J$2506,AX$5)</f>
        <v>2000</v>
      </c>
      <c r="AY37" s="83">
        <f>SUMIFS('Dataset 1'!$E$7:$E$2506,'Dataset 1'!$B$7:$B$2506,"&lt;="&amp;$A37,'Dataset 1'!$J$7:$J$2506,AY$5)</f>
        <v>5780</v>
      </c>
      <c r="AZ37" s="83">
        <f>SUMIFS('Dataset 1'!$E$7:$E$2506,'Dataset 1'!$B$7:$B$2506,"&lt;="&amp;$A37,'Dataset 1'!$J$7:$J$2506,AZ$5)</f>
        <v>3770</v>
      </c>
      <c r="BA37" s="83">
        <f>SUMIFS('Dataset 1'!$E$7:$E$2506,'Dataset 1'!$B$7:$B$2506,"&lt;="&amp;$A37,'Dataset 1'!$J$7:$J$2506,BA$5)</f>
        <v>10650</v>
      </c>
      <c r="BB37" s="83">
        <f>SUMIFS('Dataset 1'!$E$7:$E$2506,'Dataset 1'!$B$7:$B$2506,"&lt;="&amp;$A37,'Dataset 1'!$J$7:$J$2506,BB$5)</f>
        <v>0</v>
      </c>
      <c r="BC37" s="83">
        <f>SUMIFS('Dataset 1'!$E$7:$E$2506,'Dataset 1'!$B$7:$B$2506,"&lt;="&amp;$A37,'Dataset 1'!$J$7:$J$2506,BC$5)</f>
        <v>1680</v>
      </c>
      <c r="BD37" s="83">
        <f>SUMIFS('Dataset 1'!$E$7:$E$2506,'Dataset 1'!$B$7:$B$2506,"&lt;="&amp;$A37,'Dataset 1'!$J$7:$J$2506,BD$5)</f>
        <v>1280</v>
      </c>
      <c r="BE37" s="83">
        <f>SUMIFS('Dataset 1'!$E$7:$E$2506,'Dataset 1'!$B$7:$B$2506,"&lt;="&amp;$A37,'Dataset 1'!$J$7:$J$2506,BE$5)</f>
        <v>0</v>
      </c>
      <c r="BF37" s="83">
        <f>SUMIFS('Dataset 1'!$E$7:$E$2506,'Dataset 1'!$B$7:$B$2506,"&lt;="&amp;$A37,'Dataset 1'!$J$7:$J$2506,BF$5)</f>
        <v>140</v>
      </c>
      <c r="BG37" s="83">
        <f>SUMIFS('Dataset 1'!$E$7:$E$2506,'Dataset 1'!$B$7:$B$2506,"&lt;="&amp;$A37,'Dataset 1'!$J$7:$J$2506,BG$5)</f>
        <v>1680</v>
      </c>
      <c r="BH37" s="83">
        <f>SUMIFS('Dataset 1'!$E$7:$E$2506,'Dataset 1'!$B$7:$B$2506,"&lt;="&amp;$A37,'Dataset 1'!$J$7:$J$2506,BH$5)</f>
        <v>0</v>
      </c>
      <c r="BI37" s="83">
        <f>SUMIFS('Dataset 1'!$E$7:$E$2506,'Dataset 1'!$B$7:$B$2506,"&lt;="&amp;$A37,'Dataset 1'!$J$7:$J$2506,BI$5)</f>
        <v>15970</v>
      </c>
      <c r="BJ37" s="83">
        <f>SUMIFS('Dataset 1'!$E$7:$E$2506,'Dataset 1'!$B$7:$B$2506,"&lt;="&amp;$A37,'Dataset 1'!$J$7:$J$2506,BJ$5)</f>
        <v>0</v>
      </c>
      <c r="BK37" s="83">
        <f>SUMIFS('Dataset 1'!$E$7:$E$2506,'Dataset 1'!$B$7:$B$2506,"&lt;="&amp;$A37,'Dataset 1'!$J$7:$J$2506,BK$5)</f>
        <v>0</v>
      </c>
      <c r="BL37" s="83">
        <f>SUMIFS('Dataset 1'!$E$7:$E$2506,'Dataset 1'!$B$7:$B$2506,"&lt;="&amp;$A37,'Dataset 1'!$J$7:$J$2506,BL$5)</f>
        <v>0</v>
      </c>
      <c r="BM37" s="83">
        <f>SUMIFS('Dataset 1'!$E$7:$E$2506,'Dataset 1'!$B$7:$B$2506,"&lt;="&amp;$A37,'Dataset 1'!$J$7:$J$2506,BM$5)</f>
        <v>2440</v>
      </c>
      <c r="BN37" s="83">
        <f>SUMIFS('Dataset 1'!$E$7:$E$2506,'Dataset 1'!$B$7:$B$2506,"&lt;="&amp;$A37,'Dataset 1'!$J$7:$J$2506,BN$5)</f>
        <v>110</v>
      </c>
      <c r="BO37" s="83">
        <f>SUMIFS('Dataset 1'!$E$7:$E$2506,'Dataset 1'!$B$7:$B$2506,"&lt;="&amp;$A37,'Dataset 1'!$J$7:$J$2506,BO$5)</f>
        <v>220</v>
      </c>
      <c r="BP37" s="83">
        <f>SUMIFS('Dataset 1'!$E$7:$E$2506,'Dataset 1'!$B$7:$B$2506,"&lt;="&amp;$A37,'Dataset 1'!$J$7:$J$2506,BP$5)</f>
        <v>150</v>
      </c>
      <c r="BQ37" s="83">
        <f>SUMIFS('Dataset 1'!$E$7:$E$2506,'Dataset 1'!$B$7:$B$2506,"&lt;="&amp;$A37,'Dataset 1'!$J$7:$J$2506,BQ$5)</f>
        <v>0</v>
      </c>
      <c r="BR37" s="83">
        <f>SUMIFS('Dataset 1'!$E$7:$E$2506,'Dataset 1'!$B$7:$B$2506,"&lt;="&amp;$A37,'Dataset 1'!$J$7:$J$2506,BR$5)</f>
        <v>5870</v>
      </c>
      <c r="BS37" s="83">
        <f>SUMIFS('Dataset 1'!$E$7:$E$2506,'Dataset 1'!$B$7:$B$2506,"&lt;="&amp;$A37,'Dataset 1'!$J$7:$J$2506,BS$5)</f>
        <v>0</v>
      </c>
      <c r="BT37" s="83">
        <f>SUMIFS('Dataset 1'!$E$7:$E$2506,'Dataset 1'!$B$7:$B$2506,"&lt;="&amp;$A37,'Dataset 1'!$J$7:$J$2506,BT$5)</f>
        <v>0</v>
      </c>
      <c r="BU37" s="83">
        <f>SUMIFS('Dataset 1'!$E$7:$E$2506,'Dataset 1'!$B$7:$B$2506,"&lt;="&amp;$A37,'Dataset 1'!$J$7:$J$2506,BU$5)</f>
        <v>0</v>
      </c>
      <c r="BV37" s="83">
        <f>SUMIFS('Dataset 1'!$E$7:$E$2506,'Dataset 1'!$B$7:$B$2506,"&lt;="&amp;$A37,'Dataset 1'!$J$7:$J$2506,BV$5)</f>
        <v>740</v>
      </c>
      <c r="BW37" s="83">
        <f>SUMIFS('Dataset 1'!$E$7:$E$2506,'Dataset 1'!$B$7:$B$2506,"&lt;="&amp;$A37,'Dataset 1'!$J$7:$J$2506,BW$5)</f>
        <v>590</v>
      </c>
      <c r="BX37" s="83">
        <f>SUMIFS('Dataset 1'!$E$7:$E$2506,'Dataset 1'!$B$7:$B$2506,"&lt;="&amp;$A37,'Dataset 1'!$J$7:$J$2506,BX$5)</f>
        <v>2110</v>
      </c>
      <c r="BY37" s="83">
        <f>SUMIFS('Dataset 1'!$E$7:$E$2506,'Dataset 1'!$B$7:$B$2506,"&lt;="&amp;$A37,'Dataset 1'!$J$7:$J$2506,BY$5)</f>
        <v>0</v>
      </c>
      <c r="BZ37" s="83">
        <f>SUMIFS('Dataset 1'!$E$7:$E$2506,'Dataset 1'!$B$7:$B$2506,"&lt;="&amp;$A37,'Dataset 1'!$J$7:$J$2506,BZ$5)</f>
        <v>0</v>
      </c>
      <c r="CA37" s="83">
        <f>SUMIFS('Dataset 1'!$E$7:$E$2506,'Dataset 1'!$B$7:$B$2506,"&lt;="&amp;$A37,'Dataset 1'!$J$7:$J$2506,CA$5)</f>
        <v>4820</v>
      </c>
      <c r="CB37" s="83">
        <f>SUMIFS('Dataset 1'!$E$7:$E$2506,'Dataset 1'!$B$7:$B$2506,"&lt;="&amp;$A37,'Dataset 1'!$J$7:$J$2506,CB$5)</f>
        <v>3630</v>
      </c>
      <c r="CC37" s="83">
        <f>SUMIFS('Dataset 1'!$E$7:$E$2506,'Dataset 1'!$B$7:$B$2506,"&lt;="&amp;$A37,'Dataset 1'!$J$7:$J$2506,CC$5)</f>
        <v>0</v>
      </c>
      <c r="CD37" s="83">
        <f>SUMIFS('Dataset 1'!$E$7:$E$2506,'Dataset 1'!$B$7:$B$2506,"&lt;="&amp;$A37,'Dataset 1'!$J$7:$J$2506,CD$5)</f>
        <v>140</v>
      </c>
      <c r="CE37" s="83">
        <f>SUMIFS('Dataset 1'!$E$7:$E$2506,'Dataset 1'!$B$7:$B$2506,"&lt;="&amp;$A37,'Dataset 1'!$J$7:$J$2506,CE$5)</f>
        <v>2490</v>
      </c>
      <c r="CF37" s="83">
        <f>SUMIFS('Dataset 1'!$E$7:$E$2506,'Dataset 1'!$B$7:$B$2506,"&lt;="&amp;$A37,'Dataset 1'!$J$7:$J$2506,CF$5)</f>
        <v>1350</v>
      </c>
      <c r="CG37" s="83">
        <f>SUMIFS('Dataset 1'!$E$7:$E$2506,'Dataset 1'!$B$7:$B$2506,"&lt;="&amp;$A37,'Dataset 1'!$J$7:$J$2506,CG$5)</f>
        <v>300</v>
      </c>
      <c r="CH37" s="83">
        <f>SUMIFS('Dataset 1'!$E$7:$E$2506,'Dataset 1'!$B$7:$B$2506,"&lt;="&amp;$A37,'Dataset 1'!$J$7:$J$2506,CH$5)</f>
        <v>4870</v>
      </c>
      <c r="CI37" s="83">
        <f>SUMIFS('Dataset 1'!$E$7:$E$2506,'Dataset 1'!$B$7:$B$2506,"&lt;="&amp;$A37,'Dataset 1'!$J$7:$J$2506,CI$5)</f>
        <v>5240</v>
      </c>
      <c r="CJ37" s="83">
        <f>SUMIFS('Dataset 1'!$E$7:$E$2506,'Dataset 1'!$B$7:$B$2506,"&lt;="&amp;$A37,'Dataset 1'!$J$7:$J$2506,CJ$5)</f>
        <v>2000</v>
      </c>
      <c r="CK37" s="83">
        <f>SUMIFS('Dataset 1'!$E$7:$E$2506,'Dataset 1'!$B$7:$B$2506,"&lt;="&amp;$A37,'Dataset 1'!$J$7:$J$2506,CK$5)</f>
        <v>4960</v>
      </c>
      <c r="CL37" s="83">
        <f>SUMIFS('Dataset 1'!$E$7:$E$2506,'Dataset 1'!$B$7:$B$2506,"&lt;="&amp;$A37,'Dataset 1'!$J$7:$J$2506,CL$5)</f>
        <v>0</v>
      </c>
      <c r="CM37" s="83">
        <f>SUMIFS('Dataset 1'!$E$7:$E$2506,'Dataset 1'!$B$7:$B$2506,"&lt;="&amp;$A37,'Dataset 1'!$J$7:$J$2506,CM$5)</f>
        <v>2150</v>
      </c>
      <c r="CN37" s="83">
        <f>SUMIFS('Dataset 1'!$E$7:$E$2506,'Dataset 1'!$B$7:$B$2506,"&lt;="&amp;$A37,'Dataset 1'!$J$7:$J$2506,CN$5)</f>
        <v>0</v>
      </c>
      <c r="CO37" s="83">
        <f>SUMIFS('Dataset 1'!$E$7:$E$2506,'Dataset 1'!$B$7:$B$2506,"&lt;="&amp;$A37,'Dataset 1'!$J$7:$J$2506,CO$5)</f>
        <v>1760</v>
      </c>
      <c r="CP37" s="83">
        <f>SUMIFS('Dataset 1'!$E$7:$E$2506,'Dataset 1'!$B$7:$B$2506,"&lt;="&amp;$A37,'Dataset 1'!$J$7:$J$2506,CP$5)</f>
        <v>7570</v>
      </c>
      <c r="CQ37" s="83">
        <f>SUMIFS('Dataset 1'!$E$7:$E$2506,'Dataset 1'!$B$7:$B$2506,"&lt;="&amp;$A37,'Dataset 1'!$J$7:$J$2506,CQ$5)</f>
        <v>1580</v>
      </c>
      <c r="CR37" s="83">
        <f>SUMIFS('Dataset 1'!$E$7:$E$2506,'Dataset 1'!$B$7:$B$2506,"&lt;="&amp;$A37,'Dataset 1'!$J$7:$J$2506,CR$5)</f>
        <v>100</v>
      </c>
      <c r="CS37" s="83">
        <f>SUMIFS('Dataset 1'!$E$7:$E$2506,'Dataset 1'!$B$7:$B$2506,"&lt;="&amp;$A37,'Dataset 1'!$J$7:$J$2506,CS$5)</f>
        <v>4590</v>
      </c>
      <c r="CT37" s="83">
        <f>SUMIFS('Dataset 1'!$E$7:$E$2506,'Dataset 1'!$B$7:$B$2506,"&lt;="&amp;$A37,'Dataset 1'!$J$7:$J$2506,CT$5)</f>
        <v>100</v>
      </c>
      <c r="CU37" s="83">
        <f>SUMIFS('Dataset 1'!$E$7:$E$2506,'Dataset 1'!$B$7:$B$2506,"&lt;="&amp;$A37,'Dataset 1'!$J$7:$J$2506,CU$5)</f>
        <v>17780</v>
      </c>
      <c r="CV37" s="83">
        <f>SUMIFS('Dataset 1'!$E$7:$E$2506,'Dataset 1'!$B$7:$B$2506,"&lt;="&amp;$A37,'Dataset 1'!$J$7:$J$2506,CV$5)</f>
        <v>0</v>
      </c>
      <c r="CW37" s="83">
        <f>SUMIFS('Dataset 1'!$E$7:$E$2506,'Dataset 1'!$B$7:$B$2506,"&lt;="&amp;$A37,'Dataset 1'!$J$7:$J$2506,CW$5)</f>
        <v>0</v>
      </c>
      <c r="CX37" s="83">
        <f>SUMIFS('Dataset 1'!$E$7:$E$2506,'Dataset 1'!$B$7:$B$2506,"&lt;="&amp;$A37,'Dataset 1'!$J$7:$J$2506,CX$5)</f>
        <v>150</v>
      </c>
      <c r="CY37" s="83">
        <f>SUMIFS('Dataset 1'!$E$7:$E$2506,'Dataset 1'!$B$7:$B$2506,"&lt;="&amp;$A37,'Dataset 1'!$J$7:$J$2506,CY$5)</f>
        <v>4910</v>
      </c>
      <c r="CZ37" s="83">
        <f>SUMIFS('Dataset 1'!$E$7:$E$2506,'Dataset 1'!$B$7:$B$2506,"&lt;="&amp;$A37,'Dataset 1'!$J$7:$J$2506,CZ$5)</f>
        <v>0</v>
      </c>
      <c r="DA37" s="83">
        <f>SUMIFS('Dataset 1'!$E$7:$E$2506,'Dataset 1'!$B$7:$B$2506,"&lt;="&amp;$A37,'Dataset 1'!$J$7:$J$2506,DA$5)</f>
        <v>1750</v>
      </c>
      <c r="DB37" s="83">
        <f>SUMIFS('Dataset 1'!$E$7:$E$2506,'Dataset 1'!$B$7:$B$2506,"&lt;="&amp;$A37,'Dataset 1'!$J$7:$J$2506,DB$5)</f>
        <v>9500</v>
      </c>
      <c r="DC37" s="83">
        <f>SUMIFS('Dataset 1'!$E$7:$E$2506,'Dataset 1'!$B$7:$B$2506,"&lt;="&amp;$A37,'Dataset 1'!$J$7:$J$2506,DC$5)</f>
        <v>0</v>
      </c>
      <c r="DD37" s="83">
        <f>SUMIFS('Dataset 1'!$E$7:$E$2506,'Dataset 1'!$B$7:$B$2506,"&lt;="&amp;$A37,'Dataset 1'!$J$7:$J$2506,DD$5)</f>
        <v>0</v>
      </c>
      <c r="DE37" s="83">
        <f>SUMIFS('Dataset 1'!$E$7:$E$2506,'Dataset 1'!$B$7:$B$2506,"&lt;="&amp;$A37,'Dataset 1'!$J$7:$J$2506,DE$5)</f>
        <v>0</v>
      </c>
      <c r="DF37" s="83">
        <f>SUMIFS('Dataset 1'!$E$7:$E$2506,'Dataset 1'!$B$7:$B$2506,"&lt;="&amp;$A37,'Dataset 1'!$J$7:$J$2506,DF$5)</f>
        <v>9350</v>
      </c>
      <c r="DG37" s="83">
        <f>SUMIFS('Dataset 1'!$E$7:$E$2506,'Dataset 1'!$B$7:$B$2506,"&lt;="&amp;$A37,'Dataset 1'!$J$7:$J$2506,DG$5)</f>
        <v>3100</v>
      </c>
      <c r="DH37" s="83">
        <f>SUMIFS('Dataset 1'!$E$7:$E$2506,'Dataset 1'!$B$7:$B$2506,"&lt;="&amp;$A37,'Dataset 1'!$J$7:$J$2506,DH$5)</f>
        <v>2050</v>
      </c>
      <c r="DI37" s="83">
        <f>SUMIFS('Dataset 1'!$E$7:$E$2506,'Dataset 1'!$B$7:$B$2506,"&lt;="&amp;$A37,'Dataset 1'!$J$7:$J$2506,DI$5)</f>
        <v>690</v>
      </c>
      <c r="DJ37" s="83">
        <f>SUMIFS('Dataset 1'!$E$7:$E$2506,'Dataset 1'!$B$7:$B$2506,"&lt;="&amp;$A37,'Dataset 1'!$J$7:$J$2506,DJ$5)</f>
        <v>260</v>
      </c>
      <c r="DK37" s="83">
        <f>SUMIFS('Dataset 1'!$E$7:$E$2506,'Dataset 1'!$B$7:$B$2506,"&lt;="&amp;$A37,'Dataset 1'!$J$7:$J$2506,DK$5)</f>
        <v>0</v>
      </c>
      <c r="DL37" s="83">
        <f>SUMIFS('Dataset 1'!$E$7:$E$2506,'Dataset 1'!$B$7:$B$2506,"&lt;="&amp;$A37,'Dataset 1'!$J$7:$J$2506,DL$5)</f>
        <v>2700</v>
      </c>
      <c r="DM37" s="83">
        <f>SUMIFS('Dataset 1'!$E$7:$E$2506,'Dataset 1'!$B$7:$B$2506,"&lt;="&amp;$A37,'Dataset 1'!$J$7:$J$2506,DM$5)</f>
        <v>8170</v>
      </c>
      <c r="DN37" s="83">
        <f>SUMIFS('Dataset 1'!$E$7:$E$2506,'Dataset 1'!$B$7:$B$2506,"&lt;="&amp;$A37,'Dataset 1'!$J$7:$J$2506,DN$5)</f>
        <v>3760</v>
      </c>
      <c r="DO37" s="83">
        <f>SUMIFS('Dataset 1'!$E$7:$E$2506,'Dataset 1'!$B$7:$B$2506,"&lt;="&amp;$A37,'Dataset 1'!$J$7:$J$2506,DO$5)</f>
        <v>140</v>
      </c>
      <c r="DP37" s="83">
        <f>SUMIFS('Dataset 1'!$E$7:$E$2506,'Dataset 1'!$B$7:$B$2506,"&lt;="&amp;$A37,'Dataset 1'!$J$7:$J$2506,DP$5)</f>
        <v>520</v>
      </c>
      <c r="DQ37" s="83">
        <f>SUMIFS('Dataset 1'!$E$7:$E$2506,'Dataset 1'!$B$7:$B$2506,"&lt;="&amp;$A37,'Dataset 1'!$J$7:$J$2506,DQ$5)</f>
        <v>0</v>
      </c>
      <c r="DR37" s="83">
        <f>SUMIFS('Dataset 1'!$E$7:$E$2506,'Dataset 1'!$B$7:$B$2506,"&lt;="&amp;$A37,'Dataset 1'!$J$7:$J$2506,DR$5)</f>
        <v>1550</v>
      </c>
      <c r="DS37" s="83">
        <f>SUMIFS('Dataset 1'!$E$7:$E$2506,'Dataset 1'!$B$7:$B$2506,"&lt;="&amp;$A37,'Dataset 1'!$J$7:$J$2506,DS$5)</f>
        <v>190</v>
      </c>
      <c r="DT37" s="83">
        <f>SUMIFS('Dataset 1'!$E$7:$E$2506,'Dataset 1'!$B$7:$B$2506,"&lt;="&amp;$A37,'Dataset 1'!$J$7:$J$2506,DT$5)</f>
        <v>1170</v>
      </c>
      <c r="DU37" s="83">
        <f>SUMIFS('Dataset 1'!$E$7:$E$2506,'Dataset 1'!$B$7:$B$2506,"&lt;="&amp;$A37,'Dataset 1'!$J$7:$J$2506,DU$5)</f>
        <v>0</v>
      </c>
      <c r="DV37" s="83">
        <f>SUMIFS('Dataset 1'!$E$7:$E$2506,'Dataset 1'!$B$7:$B$2506,"&lt;="&amp;$A37,'Dataset 1'!$J$7:$J$2506,DV$5)</f>
        <v>1960</v>
      </c>
      <c r="DW37" s="83">
        <f>SUMIFS('Dataset 1'!$E$7:$E$2506,'Dataset 1'!$B$7:$B$2506,"&lt;="&amp;$A37,'Dataset 1'!$J$7:$J$2506,DW$5)</f>
        <v>1190</v>
      </c>
      <c r="DX37" s="83">
        <f>SUMIFS('Dataset 1'!$E$7:$E$2506,'Dataset 1'!$B$7:$B$2506,"&lt;="&amp;$A37,'Dataset 1'!$J$7:$J$2506,DX$5)</f>
        <v>450</v>
      </c>
      <c r="DY37" s="83">
        <f>SUMIFS('Dataset 1'!$E$7:$E$2506,'Dataset 1'!$B$7:$B$2506,"&lt;="&amp;$A37,'Dataset 1'!$J$7:$J$2506,DY$5)</f>
        <v>59400</v>
      </c>
      <c r="DZ37" s="83">
        <f>SUMIFS('Dataset 1'!$E$7:$E$2506,'Dataset 1'!$B$7:$B$2506,"&lt;="&amp;$A37,'Dataset 1'!$J$7:$J$2506,DZ$5)</f>
        <v>280</v>
      </c>
      <c r="EA37" s="83">
        <f>SUMIFS('Dataset 1'!$E$7:$E$2506,'Dataset 1'!$B$7:$B$2506,"&lt;="&amp;$A37,'Dataset 1'!$J$7:$J$2506,EA$5)</f>
        <v>0</v>
      </c>
      <c r="EB37" s="83">
        <f>SUMIFS('Dataset 1'!$E$7:$E$2506,'Dataset 1'!$B$7:$B$2506,"&lt;="&amp;$A37,'Dataset 1'!$J$7:$J$2506,EB$5)</f>
        <v>300</v>
      </c>
      <c r="EC37" s="83">
        <f>SUMIFS('Dataset 1'!$E$7:$E$2506,'Dataset 1'!$B$7:$B$2506,"&lt;="&amp;$A37,'Dataset 1'!$J$7:$J$2506,EC$5)</f>
        <v>2500</v>
      </c>
      <c r="ED37" s="83">
        <f>SUMIFS('Dataset 1'!$E$7:$E$2506,'Dataset 1'!$B$7:$B$2506,"&lt;="&amp;$A37,'Dataset 1'!$J$7:$J$2506,ED$5)</f>
        <v>790</v>
      </c>
      <c r="EE37" s="83">
        <f>SUMIFS('Dataset 1'!$E$7:$E$2506,'Dataset 1'!$B$7:$B$2506,"&lt;="&amp;$A37,'Dataset 1'!$J$7:$J$2506,EE$5)</f>
        <v>470</v>
      </c>
      <c r="EF37" s="83">
        <f>SUMIFS('Dataset 1'!$E$7:$E$2506,'Dataset 1'!$B$7:$B$2506,"&lt;="&amp;$A37,'Dataset 1'!$J$7:$J$2506,EF$5)</f>
        <v>1510</v>
      </c>
      <c r="EG37" s="83">
        <f>SUMIFS('Dataset 1'!$E$7:$E$2506,'Dataset 1'!$B$7:$B$2506,"&lt;="&amp;$A37,'Dataset 1'!$J$7:$J$2506,EG$5)</f>
        <v>600</v>
      </c>
    </row>
    <row r="38" spans="1:137" x14ac:dyDescent="0.2">
      <c r="A38">
        <v>2014</v>
      </c>
      <c r="B38" s="83">
        <f>SUMIFS('Dataset 1'!$E$7:$E$2506,'Dataset 1'!$B$7:$B$2506,"&lt;="&amp;$A38,'Dataset 1'!$J$7:$J$2506,B$5)</f>
        <v>2920</v>
      </c>
      <c r="C38" s="83">
        <f>SUMIFS('Dataset 1'!$E$7:$E$2506,'Dataset 1'!$B$7:$B$2506,"&lt;="&amp;$A38,'Dataset 1'!$J$7:$J$2506,C$5)</f>
        <v>0</v>
      </c>
      <c r="D38" s="83">
        <f>SUMIFS('Dataset 1'!$E$7:$E$2506,'Dataset 1'!$B$7:$B$2506,"&lt;="&amp;$A38,'Dataset 1'!$J$7:$J$2506,D$5)</f>
        <v>5150</v>
      </c>
      <c r="E38" s="83">
        <f>SUMIFS('Dataset 1'!$E$7:$E$2506,'Dataset 1'!$B$7:$B$2506,"&lt;="&amp;$A38,'Dataset 1'!$J$7:$J$2506,E$5)</f>
        <v>740</v>
      </c>
      <c r="F38" s="83">
        <f>SUMIFS('Dataset 1'!$E$7:$E$2506,'Dataset 1'!$B$7:$B$2506,"&lt;="&amp;$A38,'Dataset 1'!$J$7:$J$2506,F$5)</f>
        <v>7080</v>
      </c>
      <c r="G38" s="83">
        <f>SUMIFS('Dataset 1'!$E$7:$E$2506,'Dataset 1'!$B$7:$B$2506,"&lt;="&amp;$A38,'Dataset 1'!$J$7:$J$2506,G$5)</f>
        <v>70470</v>
      </c>
      <c r="H38" s="83">
        <f>SUMIFS('Dataset 1'!$E$7:$E$2506,'Dataset 1'!$B$7:$B$2506,"&lt;="&amp;$A38,'Dataset 1'!$J$7:$J$2506,H$5)</f>
        <v>280</v>
      </c>
      <c r="I38" s="83">
        <f>SUMIFS('Dataset 1'!$E$7:$E$2506,'Dataset 1'!$B$7:$B$2506,"&lt;="&amp;$A38,'Dataset 1'!$J$7:$J$2506,I$5)</f>
        <v>0</v>
      </c>
      <c r="J38" s="83">
        <f>SUMIFS('Dataset 1'!$E$7:$E$2506,'Dataset 1'!$B$7:$B$2506,"&lt;="&amp;$A38,'Dataset 1'!$J$7:$J$2506,J$5)</f>
        <v>100</v>
      </c>
      <c r="K38" s="83">
        <f>SUMIFS('Dataset 1'!$E$7:$E$2506,'Dataset 1'!$B$7:$B$2506,"&lt;="&amp;$A38,'Dataset 1'!$J$7:$J$2506,K$5)</f>
        <v>0</v>
      </c>
      <c r="L38" s="83">
        <f>SUMIFS('Dataset 1'!$E$7:$E$2506,'Dataset 1'!$B$7:$B$2506,"&lt;="&amp;$A38,'Dataset 1'!$J$7:$J$2506,L$5)</f>
        <v>100</v>
      </c>
      <c r="M38" s="83">
        <f>SUMIFS('Dataset 1'!$E$7:$E$2506,'Dataset 1'!$B$7:$B$2506,"&lt;="&amp;$A38,'Dataset 1'!$J$7:$J$2506,M$5)</f>
        <v>3760</v>
      </c>
      <c r="N38" s="83">
        <f>SUMIFS('Dataset 1'!$E$7:$E$2506,'Dataset 1'!$B$7:$B$2506,"&lt;="&amp;$A38,'Dataset 1'!$J$7:$J$2506,N$5)</f>
        <v>0</v>
      </c>
      <c r="O38" s="83">
        <f>SUMIFS('Dataset 1'!$E$7:$E$2506,'Dataset 1'!$B$7:$B$2506,"&lt;="&amp;$A38,'Dataset 1'!$J$7:$J$2506,O$5)</f>
        <v>0</v>
      </c>
      <c r="P38" s="83">
        <f>SUMIFS('Dataset 1'!$E$7:$E$2506,'Dataset 1'!$B$7:$B$2506,"&lt;="&amp;$A38,'Dataset 1'!$J$7:$J$2506,P$5)</f>
        <v>0</v>
      </c>
      <c r="Q38" s="83">
        <f>SUMIFS('Dataset 1'!$E$7:$E$2506,'Dataset 1'!$B$7:$B$2506,"&lt;="&amp;$A38,'Dataset 1'!$J$7:$J$2506,Q$5)</f>
        <v>29460</v>
      </c>
      <c r="R38" s="83">
        <f>SUMIFS('Dataset 1'!$E$7:$E$2506,'Dataset 1'!$B$7:$B$2506,"&lt;="&amp;$A38,'Dataset 1'!$J$7:$J$2506,R$5)</f>
        <v>29660</v>
      </c>
      <c r="S38" s="83">
        <f>SUMIFS('Dataset 1'!$E$7:$E$2506,'Dataset 1'!$B$7:$B$2506,"&lt;="&amp;$A38,'Dataset 1'!$J$7:$J$2506,S$5)</f>
        <v>3440</v>
      </c>
      <c r="T38" s="83">
        <f>SUMIFS('Dataset 1'!$E$7:$E$2506,'Dataset 1'!$B$7:$B$2506,"&lt;="&amp;$A38,'Dataset 1'!$J$7:$J$2506,T$5)</f>
        <v>120</v>
      </c>
      <c r="U38" s="83">
        <f>SUMIFS('Dataset 1'!$E$7:$E$2506,'Dataset 1'!$B$7:$B$2506,"&lt;="&amp;$A38,'Dataset 1'!$J$7:$J$2506,U$5)</f>
        <v>5140</v>
      </c>
      <c r="V38" s="83">
        <f>SUMIFS('Dataset 1'!$E$7:$E$2506,'Dataset 1'!$B$7:$B$2506,"&lt;="&amp;$A38,'Dataset 1'!$J$7:$J$2506,V$5)</f>
        <v>1700</v>
      </c>
      <c r="W38" s="83">
        <f>SUMIFS('Dataset 1'!$E$7:$E$2506,'Dataset 1'!$B$7:$B$2506,"&lt;="&amp;$A38,'Dataset 1'!$J$7:$J$2506,W$5)</f>
        <v>42020</v>
      </c>
      <c r="X38" s="83">
        <f>SUMIFS('Dataset 1'!$E$7:$E$2506,'Dataset 1'!$B$7:$B$2506,"&lt;="&amp;$A38,'Dataset 1'!$J$7:$J$2506,X$5)</f>
        <v>1520</v>
      </c>
      <c r="Y38" s="83">
        <f>SUMIFS('Dataset 1'!$E$7:$E$2506,'Dataset 1'!$B$7:$B$2506,"&lt;="&amp;$A38,'Dataset 1'!$J$7:$J$2506,Y$5)</f>
        <v>2100</v>
      </c>
      <c r="Z38" s="83">
        <f>SUMIFS('Dataset 1'!$E$7:$E$2506,'Dataset 1'!$B$7:$B$2506,"&lt;="&amp;$A38,'Dataset 1'!$J$7:$J$2506,Z$5)</f>
        <v>1410</v>
      </c>
      <c r="AA38" s="83">
        <f>SUMIFS('Dataset 1'!$E$7:$E$2506,'Dataset 1'!$B$7:$B$2506,"&lt;="&amp;$A38,'Dataset 1'!$J$7:$J$2506,AA$5)</f>
        <v>2290</v>
      </c>
      <c r="AB38" s="83">
        <f>SUMIFS('Dataset 1'!$E$7:$E$2506,'Dataset 1'!$B$7:$B$2506,"&lt;="&amp;$A38,'Dataset 1'!$J$7:$J$2506,AB$5)</f>
        <v>0</v>
      </c>
      <c r="AC38" s="83">
        <f>SUMIFS('Dataset 1'!$E$7:$E$2506,'Dataset 1'!$B$7:$B$2506,"&lt;="&amp;$A38,'Dataset 1'!$J$7:$J$2506,AC$5)</f>
        <v>500</v>
      </c>
      <c r="AD38" s="83">
        <f>SUMIFS('Dataset 1'!$E$7:$E$2506,'Dataset 1'!$B$7:$B$2506,"&lt;="&amp;$A38,'Dataset 1'!$J$7:$J$2506,AD$5)</f>
        <v>0</v>
      </c>
      <c r="AE38" s="83">
        <f>SUMIFS('Dataset 1'!$E$7:$E$2506,'Dataset 1'!$B$7:$B$2506,"&lt;="&amp;$A38,'Dataset 1'!$J$7:$J$2506,AE$5)</f>
        <v>0</v>
      </c>
      <c r="AF38" s="83">
        <f>SUMIFS('Dataset 1'!$E$7:$E$2506,'Dataset 1'!$B$7:$B$2506,"&lt;="&amp;$A38,'Dataset 1'!$J$7:$J$2506,AF$5)</f>
        <v>5150</v>
      </c>
      <c r="AG38" s="83">
        <f>SUMIFS('Dataset 1'!$E$7:$E$2506,'Dataset 1'!$B$7:$B$2506,"&lt;="&amp;$A38,'Dataset 1'!$J$7:$J$2506,AG$5)</f>
        <v>0</v>
      </c>
      <c r="AH38" s="83">
        <f>SUMIFS('Dataset 1'!$E$7:$E$2506,'Dataset 1'!$B$7:$B$2506,"&lt;="&amp;$A38,'Dataset 1'!$J$7:$J$2506,AH$5)</f>
        <v>190</v>
      </c>
      <c r="AI38" s="83">
        <f>SUMIFS('Dataset 1'!$E$7:$E$2506,'Dataset 1'!$B$7:$B$2506,"&lt;="&amp;$A38,'Dataset 1'!$J$7:$J$2506,AI$5)</f>
        <v>4720</v>
      </c>
      <c r="AJ38" s="83">
        <f>SUMIFS('Dataset 1'!$E$7:$E$2506,'Dataset 1'!$B$7:$B$2506,"&lt;="&amp;$A38,'Dataset 1'!$J$7:$J$2506,AJ$5)</f>
        <v>4970</v>
      </c>
      <c r="AK38" s="83">
        <f>SUMIFS('Dataset 1'!$E$7:$E$2506,'Dataset 1'!$B$7:$B$2506,"&lt;="&amp;$A38,'Dataset 1'!$J$7:$J$2506,AK$5)</f>
        <v>0</v>
      </c>
      <c r="AL38" s="83">
        <f>SUMIFS('Dataset 1'!$E$7:$E$2506,'Dataset 1'!$B$7:$B$2506,"&lt;="&amp;$A38,'Dataset 1'!$J$7:$J$2506,AL$5)</f>
        <v>440</v>
      </c>
      <c r="AM38" s="83">
        <f>SUMIFS('Dataset 1'!$E$7:$E$2506,'Dataset 1'!$B$7:$B$2506,"&lt;="&amp;$A38,'Dataset 1'!$J$7:$J$2506,AM$5)</f>
        <v>0</v>
      </c>
      <c r="AN38" s="83">
        <f>SUMIFS('Dataset 1'!$E$7:$E$2506,'Dataset 1'!$B$7:$B$2506,"&lt;="&amp;$A38,'Dataset 1'!$J$7:$J$2506,AN$5)</f>
        <v>12320</v>
      </c>
      <c r="AO38" s="83">
        <f>SUMIFS('Dataset 1'!$E$7:$E$2506,'Dataset 1'!$B$7:$B$2506,"&lt;="&amp;$A38,'Dataset 1'!$J$7:$J$2506,AO$5)</f>
        <v>400</v>
      </c>
      <c r="AP38" s="83">
        <f>SUMIFS('Dataset 1'!$E$7:$E$2506,'Dataset 1'!$B$7:$B$2506,"&lt;="&amp;$A38,'Dataset 1'!$J$7:$J$2506,AP$5)</f>
        <v>370</v>
      </c>
      <c r="AQ38" s="83">
        <f>SUMIFS('Dataset 1'!$E$7:$E$2506,'Dataset 1'!$B$7:$B$2506,"&lt;="&amp;$A38,'Dataset 1'!$J$7:$J$2506,AQ$5)</f>
        <v>7430</v>
      </c>
      <c r="AR38" s="83">
        <f>SUMIFS('Dataset 1'!$E$7:$E$2506,'Dataset 1'!$B$7:$B$2506,"&lt;="&amp;$A38,'Dataset 1'!$J$7:$J$2506,AR$5)</f>
        <v>1510</v>
      </c>
      <c r="AS38" s="83">
        <f>SUMIFS('Dataset 1'!$E$7:$E$2506,'Dataset 1'!$B$7:$B$2506,"&lt;="&amp;$A38,'Dataset 1'!$J$7:$J$2506,AS$5)</f>
        <v>5910</v>
      </c>
      <c r="AT38" s="83">
        <f>SUMIFS('Dataset 1'!$E$7:$E$2506,'Dataset 1'!$B$7:$B$2506,"&lt;="&amp;$A38,'Dataset 1'!$J$7:$J$2506,AT$5)</f>
        <v>3860</v>
      </c>
      <c r="AU38" s="83">
        <f>SUMIFS('Dataset 1'!$E$7:$E$2506,'Dataset 1'!$B$7:$B$2506,"&lt;="&amp;$A38,'Dataset 1'!$J$7:$J$2506,AU$5)</f>
        <v>0</v>
      </c>
      <c r="AV38" s="83">
        <f>SUMIFS('Dataset 1'!$E$7:$E$2506,'Dataset 1'!$B$7:$B$2506,"&lt;="&amp;$A38,'Dataset 1'!$J$7:$J$2506,AV$5)</f>
        <v>100</v>
      </c>
      <c r="AW38" s="83">
        <f>SUMIFS('Dataset 1'!$E$7:$E$2506,'Dataset 1'!$B$7:$B$2506,"&lt;="&amp;$A38,'Dataset 1'!$J$7:$J$2506,AW$5)</f>
        <v>3310</v>
      </c>
      <c r="AX38" s="83">
        <f>SUMIFS('Dataset 1'!$E$7:$E$2506,'Dataset 1'!$B$7:$B$2506,"&lt;="&amp;$A38,'Dataset 1'!$J$7:$J$2506,AX$5)</f>
        <v>2300</v>
      </c>
      <c r="AY38" s="83">
        <f>SUMIFS('Dataset 1'!$E$7:$E$2506,'Dataset 1'!$B$7:$B$2506,"&lt;="&amp;$A38,'Dataset 1'!$J$7:$J$2506,AY$5)</f>
        <v>8370</v>
      </c>
      <c r="AZ38" s="83">
        <f>SUMIFS('Dataset 1'!$E$7:$E$2506,'Dataset 1'!$B$7:$B$2506,"&lt;="&amp;$A38,'Dataset 1'!$J$7:$J$2506,AZ$5)</f>
        <v>4120</v>
      </c>
      <c r="BA38" s="83">
        <f>SUMIFS('Dataset 1'!$E$7:$E$2506,'Dataset 1'!$B$7:$B$2506,"&lt;="&amp;$A38,'Dataset 1'!$J$7:$J$2506,BA$5)</f>
        <v>10650</v>
      </c>
      <c r="BB38" s="83">
        <f>SUMIFS('Dataset 1'!$E$7:$E$2506,'Dataset 1'!$B$7:$B$2506,"&lt;="&amp;$A38,'Dataset 1'!$J$7:$J$2506,BB$5)</f>
        <v>0</v>
      </c>
      <c r="BC38" s="83">
        <f>SUMIFS('Dataset 1'!$E$7:$E$2506,'Dataset 1'!$B$7:$B$2506,"&lt;="&amp;$A38,'Dataset 1'!$J$7:$J$2506,BC$5)</f>
        <v>3340</v>
      </c>
      <c r="BD38" s="83">
        <f>SUMIFS('Dataset 1'!$E$7:$E$2506,'Dataset 1'!$B$7:$B$2506,"&lt;="&amp;$A38,'Dataset 1'!$J$7:$J$2506,BD$5)</f>
        <v>9140</v>
      </c>
      <c r="BE38" s="83">
        <f>SUMIFS('Dataset 1'!$E$7:$E$2506,'Dataset 1'!$B$7:$B$2506,"&lt;="&amp;$A38,'Dataset 1'!$J$7:$J$2506,BE$5)</f>
        <v>0</v>
      </c>
      <c r="BF38" s="83">
        <f>SUMIFS('Dataset 1'!$E$7:$E$2506,'Dataset 1'!$B$7:$B$2506,"&lt;="&amp;$A38,'Dataset 1'!$J$7:$J$2506,BF$5)</f>
        <v>870</v>
      </c>
      <c r="BG38" s="83">
        <f>SUMIFS('Dataset 1'!$E$7:$E$2506,'Dataset 1'!$B$7:$B$2506,"&lt;="&amp;$A38,'Dataset 1'!$J$7:$J$2506,BG$5)</f>
        <v>1680</v>
      </c>
      <c r="BH38" s="83">
        <f>SUMIFS('Dataset 1'!$E$7:$E$2506,'Dataset 1'!$B$7:$B$2506,"&lt;="&amp;$A38,'Dataset 1'!$J$7:$J$2506,BH$5)</f>
        <v>0</v>
      </c>
      <c r="BI38" s="83">
        <f>SUMIFS('Dataset 1'!$E$7:$E$2506,'Dataset 1'!$B$7:$B$2506,"&lt;="&amp;$A38,'Dataset 1'!$J$7:$J$2506,BI$5)</f>
        <v>17590</v>
      </c>
      <c r="BJ38" s="83">
        <f>SUMIFS('Dataset 1'!$E$7:$E$2506,'Dataset 1'!$B$7:$B$2506,"&lt;="&amp;$A38,'Dataset 1'!$J$7:$J$2506,BJ$5)</f>
        <v>0</v>
      </c>
      <c r="BK38" s="83">
        <f>SUMIFS('Dataset 1'!$E$7:$E$2506,'Dataset 1'!$B$7:$B$2506,"&lt;="&amp;$A38,'Dataset 1'!$J$7:$J$2506,BK$5)</f>
        <v>0</v>
      </c>
      <c r="BL38" s="83">
        <f>SUMIFS('Dataset 1'!$E$7:$E$2506,'Dataset 1'!$B$7:$B$2506,"&lt;="&amp;$A38,'Dataset 1'!$J$7:$J$2506,BL$5)</f>
        <v>520</v>
      </c>
      <c r="BM38" s="83">
        <f>SUMIFS('Dataset 1'!$E$7:$E$2506,'Dataset 1'!$B$7:$B$2506,"&lt;="&amp;$A38,'Dataset 1'!$J$7:$J$2506,BM$5)</f>
        <v>2440</v>
      </c>
      <c r="BN38" s="83">
        <f>SUMIFS('Dataset 1'!$E$7:$E$2506,'Dataset 1'!$B$7:$B$2506,"&lt;="&amp;$A38,'Dataset 1'!$J$7:$J$2506,BN$5)</f>
        <v>270</v>
      </c>
      <c r="BO38" s="83">
        <f>SUMIFS('Dataset 1'!$E$7:$E$2506,'Dataset 1'!$B$7:$B$2506,"&lt;="&amp;$A38,'Dataset 1'!$J$7:$J$2506,BO$5)</f>
        <v>430</v>
      </c>
      <c r="BP38" s="83">
        <f>SUMIFS('Dataset 1'!$E$7:$E$2506,'Dataset 1'!$B$7:$B$2506,"&lt;="&amp;$A38,'Dataset 1'!$J$7:$J$2506,BP$5)</f>
        <v>150</v>
      </c>
      <c r="BQ38" s="83">
        <f>SUMIFS('Dataset 1'!$E$7:$E$2506,'Dataset 1'!$B$7:$B$2506,"&lt;="&amp;$A38,'Dataset 1'!$J$7:$J$2506,BQ$5)</f>
        <v>0</v>
      </c>
      <c r="BR38" s="83">
        <f>SUMIFS('Dataset 1'!$E$7:$E$2506,'Dataset 1'!$B$7:$B$2506,"&lt;="&amp;$A38,'Dataset 1'!$J$7:$J$2506,BR$5)</f>
        <v>6270</v>
      </c>
      <c r="BS38" s="83">
        <f>SUMIFS('Dataset 1'!$E$7:$E$2506,'Dataset 1'!$B$7:$B$2506,"&lt;="&amp;$A38,'Dataset 1'!$J$7:$J$2506,BS$5)</f>
        <v>0</v>
      </c>
      <c r="BT38" s="83">
        <f>SUMIFS('Dataset 1'!$E$7:$E$2506,'Dataset 1'!$B$7:$B$2506,"&lt;="&amp;$A38,'Dataset 1'!$J$7:$J$2506,BT$5)</f>
        <v>0</v>
      </c>
      <c r="BU38" s="83">
        <f>SUMIFS('Dataset 1'!$E$7:$E$2506,'Dataset 1'!$B$7:$B$2506,"&lt;="&amp;$A38,'Dataset 1'!$J$7:$J$2506,BU$5)</f>
        <v>440</v>
      </c>
      <c r="BV38" s="83">
        <f>SUMIFS('Dataset 1'!$E$7:$E$2506,'Dataset 1'!$B$7:$B$2506,"&lt;="&amp;$A38,'Dataset 1'!$J$7:$J$2506,BV$5)</f>
        <v>740</v>
      </c>
      <c r="BW38" s="83">
        <f>SUMIFS('Dataset 1'!$E$7:$E$2506,'Dataset 1'!$B$7:$B$2506,"&lt;="&amp;$A38,'Dataset 1'!$J$7:$J$2506,BW$5)</f>
        <v>590</v>
      </c>
      <c r="BX38" s="83">
        <f>SUMIFS('Dataset 1'!$E$7:$E$2506,'Dataset 1'!$B$7:$B$2506,"&lt;="&amp;$A38,'Dataset 1'!$J$7:$J$2506,BX$5)</f>
        <v>2110</v>
      </c>
      <c r="BY38" s="83">
        <f>SUMIFS('Dataset 1'!$E$7:$E$2506,'Dataset 1'!$B$7:$B$2506,"&lt;="&amp;$A38,'Dataset 1'!$J$7:$J$2506,BY$5)</f>
        <v>0</v>
      </c>
      <c r="BZ38" s="83">
        <f>SUMIFS('Dataset 1'!$E$7:$E$2506,'Dataset 1'!$B$7:$B$2506,"&lt;="&amp;$A38,'Dataset 1'!$J$7:$J$2506,BZ$5)</f>
        <v>0</v>
      </c>
      <c r="CA38" s="83">
        <f>SUMIFS('Dataset 1'!$E$7:$E$2506,'Dataset 1'!$B$7:$B$2506,"&lt;="&amp;$A38,'Dataset 1'!$J$7:$J$2506,CA$5)</f>
        <v>4820</v>
      </c>
      <c r="CB38" s="83">
        <f>SUMIFS('Dataset 1'!$E$7:$E$2506,'Dataset 1'!$B$7:$B$2506,"&lt;="&amp;$A38,'Dataset 1'!$J$7:$J$2506,CB$5)</f>
        <v>3630</v>
      </c>
      <c r="CC38" s="83">
        <f>SUMIFS('Dataset 1'!$E$7:$E$2506,'Dataset 1'!$B$7:$B$2506,"&lt;="&amp;$A38,'Dataset 1'!$J$7:$J$2506,CC$5)</f>
        <v>2160</v>
      </c>
      <c r="CD38" s="83">
        <f>SUMIFS('Dataset 1'!$E$7:$E$2506,'Dataset 1'!$B$7:$B$2506,"&lt;="&amp;$A38,'Dataset 1'!$J$7:$J$2506,CD$5)</f>
        <v>140</v>
      </c>
      <c r="CE38" s="83">
        <f>SUMIFS('Dataset 1'!$E$7:$E$2506,'Dataset 1'!$B$7:$B$2506,"&lt;="&amp;$A38,'Dataset 1'!$J$7:$J$2506,CE$5)</f>
        <v>4530</v>
      </c>
      <c r="CF38" s="83">
        <f>SUMIFS('Dataset 1'!$E$7:$E$2506,'Dataset 1'!$B$7:$B$2506,"&lt;="&amp;$A38,'Dataset 1'!$J$7:$J$2506,CF$5)</f>
        <v>2460</v>
      </c>
      <c r="CG38" s="83">
        <f>SUMIFS('Dataset 1'!$E$7:$E$2506,'Dataset 1'!$B$7:$B$2506,"&lt;="&amp;$A38,'Dataset 1'!$J$7:$J$2506,CG$5)</f>
        <v>300</v>
      </c>
      <c r="CH38" s="83">
        <f>SUMIFS('Dataset 1'!$E$7:$E$2506,'Dataset 1'!$B$7:$B$2506,"&lt;="&amp;$A38,'Dataset 1'!$J$7:$J$2506,CH$5)</f>
        <v>4870</v>
      </c>
      <c r="CI38" s="83">
        <f>SUMIFS('Dataset 1'!$E$7:$E$2506,'Dataset 1'!$B$7:$B$2506,"&lt;="&amp;$A38,'Dataset 1'!$J$7:$J$2506,CI$5)</f>
        <v>5240</v>
      </c>
      <c r="CJ38" s="83">
        <f>SUMIFS('Dataset 1'!$E$7:$E$2506,'Dataset 1'!$B$7:$B$2506,"&lt;="&amp;$A38,'Dataset 1'!$J$7:$J$2506,CJ$5)</f>
        <v>2000</v>
      </c>
      <c r="CK38" s="83">
        <f>SUMIFS('Dataset 1'!$E$7:$E$2506,'Dataset 1'!$B$7:$B$2506,"&lt;="&amp;$A38,'Dataset 1'!$J$7:$J$2506,CK$5)</f>
        <v>5600</v>
      </c>
      <c r="CL38" s="83">
        <f>SUMIFS('Dataset 1'!$E$7:$E$2506,'Dataset 1'!$B$7:$B$2506,"&lt;="&amp;$A38,'Dataset 1'!$J$7:$J$2506,CL$5)</f>
        <v>0</v>
      </c>
      <c r="CM38" s="83">
        <f>SUMIFS('Dataset 1'!$E$7:$E$2506,'Dataset 1'!$B$7:$B$2506,"&lt;="&amp;$A38,'Dataset 1'!$J$7:$J$2506,CM$5)</f>
        <v>3040</v>
      </c>
      <c r="CN38" s="83">
        <f>SUMIFS('Dataset 1'!$E$7:$E$2506,'Dataset 1'!$B$7:$B$2506,"&lt;="&amp;$A38,'Dataset 1'!$J$7:$J$2506,CN$5)</f>
        <v>0</v>
      </c>
      <c r="CO38" s="83">
        <f>SUMIFS('Dataset 1'!$E$7:$E$2506,'Dataset 1'!$B$7:$B$2506,"&lt;="&amp;$A38,'Dataset 1'!$J$7:$J$2506,CO$5)</f>
        <v>1760</v>
      </c>
      <c r="CP38" s="83">
        <f>SUMIFS('Dataset 1'!$E$7:$E$2506,'Dataset 1'!$B$7:$B$2506,"&lt;="&amp;$A38,'Dataset 1'!$J$7:$J$2506,CP$5)</f>
        <v>14520</v>
      </c>
      <c r="CQ38" s="83">
        <f>SUMIFS('Dataset 1'!$E$7:$E$2506,'Dataset 1'!$B$7:$B$2506,"&lt;="&amp;$A38,'Dataset 1'!$J$7:$J$2506,CQ$5)</f>
        <v>1580</v>
      </c>
      <c r="CR38" s="83">
        <f>SUMIFS('Dataset 1'!$E$7:$E$2506,'Dataset 1'!$B$7:$B$2506,"&lt;="&amp;$A38,'Dataset 1'!$J$7:$J$2506,CR$5)</f>
        <v>300</v>
      </c>
      <c r="CS38" s="83">
        <f>SUMIFS('Dataset 1'!$E$7:$E$2506,'Dataset 1'!$B$7:$B$2506,"&lt;="&amp;$A38,'Dataset 1'!$J$7:$J$2506,CS$5)</f>
        <v>7680</v>
      </c>
      <c r="CT38" s="83">
        <f>SUMIFS('Dataset 1'!$E$7:$E$2506,'Dataset 1'!$B$7:$B$2506,"&lt;="&amp;$A38,'Dataset 1'!$J$7:$J$2506,CT$5)</f>
        <v>100</v>
      </c>
      <c r="CU38" s="83">
        <f>SUMIFS('Dataset 1'!$E$7:$E$2506,'Dataset 1'!$B$7:$B$2506,"&lt;="&amp;$A38,'Dataset 1'!$J$7:$J$2506,CU$5)</f>
        <v>21160</v>
      </c>
      <c r="CV38" s="83">
        <f>SUMIFS('Dataset 1'!$E$7:$E$2506,'Dataset 1'!$B$7:$B$2506,"&lt;="&amp;$A38,'Dataset 1'!$J$7:$J$2506,CV$5)</f>
        <v>0</v>
      </c>
      <c r="CW38" s="83">
        <f>SUMIFS('Dataset 1'!$E$7:$E$2506,'Dataset 1'!$B$7:$B$2506,"&lt;="&amp;$A38,'Dataset 1'!$J$7:$J$2506,CW$5)</f>
        <v>0</v>
      </c>
      <c r="CX38" s="83">
        <f>SUMIFS('Dataset 1'!$E$7:$E$2506,'Dataset 1'!$B$7:$B$2506,"&lt;="&amp;$A38,'Dataset 1'!$J$7:$J$2506,CX$5)</f>
        <v>150</v>
      </c>
      <c r="CY38" s="83">
        <f>SUMIFS('Dataset 1'!$E$7:$E$2506,'Dataset 1'!$B$7:$B$2506,"&lt;="&amp;$A38,'Dataset 1'!$J$7:$J$2506,CY$5)</f>
        <v>4910</v>
      </c>
      <c r="CZ38" s="83">
        <f>SUMIFS('Dataset 1'!$E$7:$E$2506,'Dataset 1'!$B$7:$B$2506,"&lt;="&amp;$A38,'Dataset 1'!$J$7:$J$2506,CZ$5)</f>
        <v>970</v>
      </c>
      <c r="DA38" s="83">
        <f>SUMIFS('Dataset 1'!$E$7:$E$2506,'Dataset 1'!$B$7:$B$2506,"&lt;="&amp;$A38,'Dataset 1'!$J$7:$J$2506,DA$5)</f>
        <v>1750</v>
      </c>
      <c r="DB38" s="83">
        <f>SUMIFS('Dataset 1'!$E$7:$E$2506,'Dataset 1'!$B$7:$B$2506,"&lt;="&amp;$A38,'Dataset 1'!$J$7:$J$2506,DB$5)</f>
        <v>10250</v>
      </c>
      <c r="DC38" s="83">
        <f>SUMIFS('Dataset 1'!$E$7:$E$2506,'Dataset 1'!$B$7:$B$2506,"&lt;="&amp;$A38,'Dataset 1'!$J$7:$J$2506,DC$5)</f>
        <v>0</v>
      </c>
      <c r="DD38" s="83">
        <f>SUMIFS('Dataset 1'!$E$7:$E$2506,'Dataset 1'!$B$7:$B$2506,"&lt;="&amp;$A38,'Dataset 1'!$J$7:$J$2506,DD$5)</f>
        <v>0</v>
      </c>
      <c r="DE38" s="83">
        <f>SUMIFS('Dataset 1'!$E$7:$E$2506,'Dataset 1'!$B$7:$B$2506,"&lt;="&amp;$A38,'Dataset 1'!$J$7:$J$2506,DE$5)</f>
        <v>0</v>
      </c>
      <c r="DF38" s="83">
        <f>SUMIFS('Dataset 1'!$E$7:$E$2506,'Dataset 1'!$B$7:$B$2506,"&lt;="&amp;$A38,'Dataset 1'!$J$7:$J$2506,DF$5)</f>
        <v>9580</v>
      </c>
      <c r="DG38" s="83">
        <f>SUMIFS('Dataset 1'!$E$7:$E$2506,'Dataset 1'!$B$7:$B$2506,"&lt;="&amp;$A38,'Dataset 1'!$J$7:$J$2506,DG$5)</f>
        <v>4700</v>
      </c>
      <c r="DH38" s="83">
        <f>SUMIFS('Dataset 1'!$E$7:$E$2506,'Dataset 1'!$B$7:$B$2506,"&lt;="&amp;$A38,'Dataset 1'!$J$7:$J$2506,DH$5)</f>
        <v>2590</v>
      </c>
      <c r="DI38" s="83">
        <f>SUMIFS('Dataset 1'!$E$7:$E$2506,'Dataset 1'!$B$7:$B$2506,"&lt;="&amp;$A38,'Dataset 1'!$J$7:$J$2506,DI$5)</f>
        <v>1080</v>
      </c>
      <c r="DJ38" s="83">
        <f>SUMIFS('Dataset 1'!$E$7:$E$2506,'Dataset 1'!$B$7:$B$2506,"&lt;="&amp;$A38,'Dataset 1'!$J$7:$J$2506,DJ$5)</f>
        <v>260</v>
      </c>
      <c r="DK38" s="83">
        <f>SUMIFS('Dataset 1'!$E$7:$E$2506,'Dataset 1'!$B$7:$B$2506,"&lt;="&amp;$A38,'Dataset 1'!$J$7:$J$2506,DK$5)</f>
        <v>0</v>
      </c>
      <c r="DL38" s="83">
        <f>SUMIFS('Dataset 1'!$E$7:$E$2506,'Dataset 1'!$B$7:$B$2506,"&lt;="&amp;$A38,'Dataset 1'!$J$7:$J$2506,DL$5)</f>
        <v>2700</v>
      </c>
      <c r="DM38" s="83">
        <f>SUMIFS('Dataset 1'!$E$7:$E$2506,'Dataset 1'!$B$7:$B$2506,"&lt;="&amp;$A38,'Dataset 1'!$J$7:$J$2506,DM$5)</f>
        <v>8570</v>
      </c>
      <c r="DN38" s="83">
        <f>SUMIFS('Dataset 1'!$E$7:$E$2506,'Dataset 1'!$B$7:$B$2506,"&lt;="&amp;$A38,'Dataset 1'!$J$7:$J$2506,DN$5)</f>
        <v>3760</v>
      </c>
      <c r="DO38" s="83">
        <f>SUMIFS('Dataset 1'!$E$7:$E$2506,'Dataset 1'!$B$7:$B$2506,"&lt;="&amp;$A38,'Dataset 1'!$J$7:$J$2506,DO$5)</f>
        <v>140</v>
      </c>
      <c r="DP38" s="83">
        <f>SUMIFS('Dataset 1'!$E$7:$E$2506,'Dataset 1'!$B$7:$B$2506,"&lt;="&amp;$A38,'Dataset 1'!$J$7:$J$2506,DP$5)</f>
        <v>520</v>
      </c>
      <c r="DQ38" s="83">
        <f>SUMIFS('Dataset 1'!$E$7:$E$2506,'Dataset 1'!$B$7:$B$2506,"&lt;="&amp;$A38,'Dataset 1'!$J$7:$J$2506,DQ$5)</f>
        <v>0</v>
      </c>
      <c r="DR38" s="83">
        <f>SUMIFS('Dataset 1'!$E$7:$E$2506,'Dataset 1'!$B$7:$B$2506,"&lt;="&amp;$A38,'Dataset 1'!$J$7:$J$2506,DR$5)</f>
        <v>2430</v>
      </c>
      <c r="DS38" s="83">
        <f>SUMIFS('Dataset 1'!$E$7:$E$2506,'Dataset 1'!$B$7:$B$2506,"&lt;="&amp;$A38,'Dataset 1'!$J$7:$J$2506,DS$5)</f>
        <v>190</v>
      </c>
      <c r="DT38" s="83">
        <f>SUMIFS('Dataset 1'!$E$7:$E$2506,'Dataset 1'!$B$7:$B$2506,"&lt;="&amp;$A38,'Dataset 1'!$J$7:$J$2506,DT$5)</f>
        <v>1170</v>
      </c>
      <c r="DU38" s="83">
        <f>SUMIFS('Dataset 1'!$E$7:$E$2506,'Dataset 1'!$B$7:$B$2506,"&lt;="&amp;$A38,'Dataset 1'!$J$7:$J$2506,DU$5)</f>
        <v>0</v>
      </c>
      <c r="DV38" s="83">
        <f>SUMIFS('Dataset 1'!$E$7:$E$2506,'Dataset 1'!$B$7:$B$2506,"&lt;="&amp;$A38,'Dataset 1'!$J$7:$J$2506,DV$5)</f>
        <v>2280</v>
      </c>
      <c r="DW38" s="83">
        <f>SUMIFS('Dataset 1'!$E$7:$E$2506,'Dataset 1'!$B$7:$B$2506,"&lt;="&amp;$A38,'Dataset 1'!$J$7:$J$2506,DW$5)</f>
        <v>1790</v>
      </c>
      <c r="DX38" s="83">
        <f>SUMIFS('Dataset 1'!$E$7:$E$2506,'Dataset 1'!$B$7:$B$2506,"&lt;="&amp;$A38,'Dataset 1'!$J$7:$J$2506,DX$5)</f>
        <v>450</v>
      </c>
      <c r="DY38" s="83">
        <f>SUMIFS('Dataset 1'!$E$7:$E$2506,'Dataset 1'!$B$7:$B$2506,"&lt;="&amp;$A38,'Dataset 1'!$J$7:$J$2506,DY$5)</f>
        <v>77020</v>
      </c>
      <c r="DZ38" s="83">
        <f>SUMIFS('Dataset 1'!$E$7:$E$2506,'Dataset 1'!$B$7:$B$2506,"&lt;="&amp;$A38,'Dataset 1'!$J$7:$J$2506,DZ$5)</f>
        <v>1200</v>
      </c>
      <c r="EA38" s="83">
        <f>SUMIFS('Dataset 1'!$E$7:$E$2506,'Dataset 1'!$B$7:$B$2506,"&lt;="&amp;$A38,'Dataset 1'!$J$7:$J$2506,EA$5)</f>
        <v>0</v>
      </c>
      <c r="EB38" s="83">
        <f>SUMIFS('Dataset 1'!$E$7:$E$2506,'Dataset 1'!$B$7:$B$2506,"&lt;="&amp;$A38,'Dataset 1'!$J$7:$J$2506,EB$5)</f>
        <v>300</v>
      </c>
      <c r="EC38" s="83">
        <f>SUMIFS('Dataset 1'!$E$7:$E$2506,'Dataset 1'!$B$7:$B$2506,"&lt;="&amp;$A38,'Dataset 1'!$J$7:$J$2506,EC$5)</f>
        <v>2500</v>
      </c>
      <c r="ED38" s="83">
        <f>SUMIFS('Dataset 1'!$E$7:$E$2506,'Dataset 1'!$B$7:$B$2506,"&lt;="&amp;$A38,'Dataset 1'!$J$7:$J$2506,ED$5)</f>
        <v>1000</v>
      </c>
      <c r="EE38" s="83">
        <f>SUMIFS('Dataset 1'!$E$7:$E$2506,'Dataset 1'!$B$7:$B$2506,"&lt;="&amp;$A38,'Dataset 1'!$J$7:$J$2506,EE$5)</f>
        <v>470</v>
      </c>
      <c r="EF38" s="83">
        <f>SUMIFS('Dataset 1'!$E$7:$E$2506,'Dataset 1'!$B$7:$B$2506,"&lt;="&amp;$A38,'Dataset 1'!$J$7:$J$2506,EF$5)</f>
        <v>1510</v>
      </c>
      <c r="EG38" s="83">
        <f>SUMIFS('Dataset 1'!$E$7:$E$2506,'Dataset 1'!$B$7:$B$2506,"&lt;="&amp;$A38,'Dataset 1'!$J$7:$J$2506,EG$5)</f>
        <v>850</v>
      </c>
    </row>
    <row r="39" spans="1:137" x14ac:dyDescent="0.2">
      <c r="A39">
        <v>2015</v>
      </c>
      <c r="B39" s="83">
        <f>SUMIFS('Dataset 1'!$E$7:$E$2506,'Dataset 1'!$B$7:$B$2506,"&lt;="&amp;$A39,'Dataset 1'!$J$7:$J$2506,B$5)</f>
        <v>2920</v>
      </c>
      <c r="C39" s="83">
        <f>SUMIFS('Dataset 1'!$E$7:$E$2506,'Dataset 1'!$B$7:$B$2506,"&lt;="&amp;$A39,'Dataset 1'!$J$7:$J$2506,C$5)</f>
        <v>0</v>
      </c>
      <c r="D39" s="83">
        <f>SUMIFS('Dataset 1'!$E$7:$E$2506,'Dataset 1'!$B$7:$B$2506,"&lt;="&amp;$A39,'Dataset 1'!$J$7:$J$2506,D$5)</f>
        <v>5150</v>
      </c>
      <c r="E39" s="83">
        <f>SUMIFS('Dataset 1'!$E$7:$E$2506,'Dataset 1'!$B$7:$B$2506,"&lt;="&amp;$A39,'Dataset 1'!$J$7:$J$2506,E$5)</f>
        <v>740</v>
      </c>
      <c r="F39" s="83">
        <f>SUMIFS('Dataset 1'!$E$7:$E$2506,'Dataset 1'!$B$7:$B$2506,"&lt;="&amp;$A39,'Dataset 1'!$J$7:$J$2506,F$5)</f>
        <v>7380</v>
      </c>
      <c r="G39" s="83">
        <f>SUMIFS('Dataset 1'!$E$7:$E$2506,'Dataset 1'!$B$7:$B$2506,"&lt;="&amp;$A39,'Dataset 1'!$J$7:$J$2506,G$5)</f>
        <v>81460</v>
      </c>
      <c r="H39" s="83">
        <f>SUMIFS('Dataset 1'!$E$7:$E$2506,'Dataset 1'!$B$7:$B$2506,"&lt;="&amp;$A39,'Dataset 1'!$J$7:$J$2506,H$5)</f>
        <v>280</v>
      </c>
      <c r="I39" s="83">
        <f>SUMIFS('Dataset 1'!$E$7:$E$2506,'Dataset 1'!$B$7:$B$2506,"&lt;="&amp;$A39,'Dataset 1'!$J$7:$J$2506,I$5)</f>
        <v>0</v>
      </c>
      <c r="J39" s="83">
        <f>SUMIFS('Dataset 1'!$E$7:$E$2506,'Dataset 1'!$B$7:$B$2506,"&lt;="&amp;$A39,'Dataset 1'!$J$7:$J$2506,J$5)</f>
        <v>350</v>
      </c>
      <c r="K39" s="83">
        <f>SUMIFS('Dataset 1'!$E$7:$E$2506,'Dataset 1'!$B$7:$B$2506,"&lt;="&amp;$A39,'Dataset 1'!$J$7:$J$2506,K$5)</f>
        <v>750</v>
      </c>
      <c r="L39" s="83">
        <f>SUMIFS('Dataset 1'!$E$7:$E$2506,'Dataset 1'!$B$7:$B$2506,"&lt;="&amp;$A39,'Dataset 1'!$J$7:$J$2506,L$5)</f>
        <v>400</v>
      </c>
      <c r="M39" s="83">
        <f>SUMIFS('Dataset 1'!$E$7:$E$2506,'Dataset 1'!$B$7:$B$2506,"&lt;="&amp;$A39,'Dataset 1'!$J$7:$J$2506,M$5)</f>
        <v>4050</v>
      </c>
      <c r="N39" s="83">
        <f>SUMIFS('Dataset 1'!$E$7:$E$2506,'Dataset 1'!$B$7:$B$2506,"&lt;="&amp;$A39,'Dataset 1'!$J$7:$J$2506,N$5)</f>
        <v>0</v>
      </c>
      <c r="O39" s="83">
        <f>SUMIFS('Dataset 1'!$E$7:$E$2506,'Dataset 1'!$B$7:$B$2506,"&lt;="&amp;$A39,'Dataset 1'!$J$7:$J$2506,O$5)</f>
        <v>0</v>
      </c>
      <c r="P39" s="83">
        <f>SUMIFS('Dataset 1'!$E$7:$E$2506,'Dataset 1'!$B$7:$B$2506,"&lt;="&amp;$A39,'Dataset 1'!$J$7:$J$2506,P$5)</f>
        <v>0</v>
      </c>
      <c r="Q39" s="83">
        <f>SUMIFS('Dataset 1'!$E$7:$E$2506,'Dataset 1'!$B$7:$B$2506,"&lt;="&amp;$A39,'Dataset 1'!$J$7:$J$2506,Q$5)</f>
        <v>32680</v>
      </c>
      <c r="R39" s="83">
        <f>SUMIFS('Dataset 1'!$E$7:$E$2506,'Dataset 1'!$B$7:$B$2506,"&lt;="&amp;$A39,'Dataset 1'!$J$7:$J$2506,R$5)</f>
        <v>33490</v>
      </c>
      <c r="S39" s="83">
        <f>SUMIFS('Dataset 1'!$E$7:$E$2506,'Dataset 1'!$B$7:$B$2506,"&lt;="&amp;$A39,'Dataset 1'!$J$7:$J$2506,S$5)</f>
        <v>3440</v>
      </c>
      <c r="T39" s="83">
        <f>SUMIFS('Dataset 1'!$E$7:$E$2506,'Dataset 1'!$B$7:$B$2506,"&lt;="&amp;$A39,'Dataset 1'!$J$7:$J$2506,T$5)</f>
        <v>120</v>
      </c>
      <c r="U39" s="83">
        <f>SUMIFS('Dataset 1'!$E$7:$E$2506,'Dataset 1'!$B$7:$B$2506,"&lt;="&amp;$A39,'Dataset 1'!$J$7:$J$2506,U$5)</f>
        <v>5140</v>
      </c>
      <c r="V39" s="83">
        <f>SUMIFS('Dataset 1'!$E$7:$E$2506,'Dataset 1'!$B$7:$B$2506,"&lt;="&amp;$A39,'Dataset 1'!$J$7:$J$2506,V$5)</f>
        <v>1900</v>
      </c>
      <c r="W39" s="83">
        <f>SUMIFS('Dataset 1'!$E$7:$E$2506,'Dataset 1'!$B$7:$B$2506,"&lt;="&amp;$A39,'Dataset 1'!$J$7:$J$2506,W$5)</f>
        <v>43360</v>
      </c>
      <c r="X39" s="83">
        <f>SUMIFS('Dataset 1'!$E$7:$E$2506,'Dataset 1'!$B$7:$B$2506,"&lt;="&amp;$A39,'Dataset 1'!$J$7:$J$2506,X$5)</f>
        <v>1520</v>
      </c>
      <c r="Y39" s="83">
        <f>SUMIFS('Dataset 1'!$E$7:$E$2506,'Dataset 1'!$B$7:$B$2506,"&lt;="&amp;$A39,'Dataset 1'!$J$7:$J$2506,Y$5)</f>
        <v>2100</v>
      </c>
      <c r="Z39" s="83">
        <f>SUMIFS('Dataset 1'!$E$7:$E$2506,'Dataset 1'!$B$7:$B$2506,"&lt;="&amp;$A39,'Dataset 1'!$J$7:$J$2506,Z$5)</f>
        <v>1410</v>
      </c>
      <c r="AA39" s="83">
        <f>SUMIFS('Dataset 1'!$E$7:$E$2506,'Dataset 1'!$B$7:$B$2506,"&lt;="&amp;$A39,'Dataset 1'!$J$7:$J$2506,AA$5)</f>
        <v>2290</v>
      </c>
      <c r="AB39" s="83">
        <f>SUMIFS('Dataset 1'!$E$7:$E$2506,'Dataset 1'!$B$7:$B$2506,"&lt;="&amp;$A39,'Dataset 1'!$J$7:$J$2506,AB$5)</f>
        <v>0</v>
      </c>
      <c r="AC39" s="83">
        <f>SUMIFS('Dataset 1'!$E$7:$E$2506,'Dataset 1'!$B$7:$B$2506,"&lt;="&amp;$A39,'Dataset 1'!$J$7:$J$2506,AC$5)</f>
        <v>500</v>
      </c>
      <c r="AD39" s="83">
        <f>SUMIFS('Dataset 1'!$E$7:$E$2506,'Dataset 1'!$B$7:$B$2506,"&lt;="&amp;$A39,'Dataset 1'!$J$7:$J$2506,AD$5)</f>
        <v>0</v>
      </c>
      <c r="AE39" s="83">
        <f>SUMIFS('Dataset 1'!$E$7:$E$2506,'Dataset 1'!$B$7:$B$2506,"&lt;="&amp;$A39,'Dataset 1'!$J$7:$J$2506,AE$5)</f>
        <v>200</v>
      </c>
      <c r="AF39" s="83">
        <f>SUMIFS('Dataset 1'!$E$7:$E$2506,'Dataset 1'!$B$7:$B$2506,"&lt;="&amp;$A39,'Dataset 1'!$J$7:$J$2506,AF$5)</f>
        <v>6130</v>
      </c>
      <c r="AG39" s="83">
        <f>SUMIFS('Dataset 1'!$E$7:$E$2506,'Dataset 1'!$B$7:$B$2506,"&lt;="&amp;$A39,'Dataset 1'!$J$7:$J$2506,AG$5)</f>
        <v>0</v>
      </c>
      <c r="AH39" s="83">
        <f>SUMIFS('Dataset 1'!$E$7:$E$2506,'Dataset 1'!$B$7:$B$2506,"&lt;="&amp;$A39,'Dataset 1'!$J$7:$J$2506,AH$5)</f>
        <v>190</v>
      </c>
      <c r="AI39" s="83">
        <f>SUMIFS('Dataset 1'!$E$7:$E$2506,'Dataset 1'!$B$7:$B$2506,"&lt;="&amp;$A39,'Dataset 1'!$J$7:$J$2506,AI$5)</f>
        <v>5250</v>
      </c>
      <c r="AJ39" s="83">
        <f>SUMIFS('Dataset 1'!$E$7:$E$2506,'Dataset 1'!$B$7:$B$2506,"&lt;="&amp;$A39,'Dataset 1'!$J$7:$J$2506,AJ$5)</f>
        <v>5160</v>
      </c>
      <c r="AK39" s="83">
        <f>SUMIFS('Dataset 1'!$E$7:$E$2506,'Dataset 1'!$B$7:$B$2506,"&lt;="&amp;$A39,'Dataset 1'!$J$7:$J$2506,AK$5)</f>
        <v>0</v>
      </c>
      <c r="AL39" s="83">
        <f>SUMIFS('Dataset 1'!$E$7:$E$2506,'Dataset 1'!$B$7:$B$2506,"&lt;="&amp;$A39,'Dataset 1'!$J$7:$J$2506,AL$5)</f>
        <v>440</v>
      </c>
      <c r="AM39" s="83">
        <f>SUMIFS('Dataset 1'!$E$7:$E$2506,'Dataset 1'!$B$7:$B$2506,"&lt;="&amp;$A39,'Dataset 1'!$J$7:$J$2506,AM$5)</f>
        <v>0</v>
      </c>
      <c r="AN39" s="83">
        <f>SUMIFS('Dataset 1'!$E$7:$E$2506,'Dataset 1'!$B$7:$B$2506,"&lt;="&amp;$A39,'Dataset 1'!$J$7:$J$2506,AN$5)</f>
        <v>15310</v>
      </c>
      <c r="AO39" s="83">
        <f>SUMIFS('Dataset 1'!$E$7:$E$2506,'Dataset 1'!$B$7:$B$2506,"&lt;="&amp;$A39,'Dataset 1'!$J$7:$J$2506,AO$5)</f>
        <v>400</v>
      </c>
      <c r="AP39" s="83">
        <f>SUMIFS('Dataset 1'!$E$7:$E$2506,'Dataset 1'!$B$7:$B$2506,"&lt;="&amp;$A39,'Dataset 1'!$J$7:$J$2506,AP$5)</f>
        <v>370</v>
      </c>
      <c r="AQ39" s="83">
        <f>SUMIFS('Dataset 1'!$E$7:$E$2506,'Dataset 1'!$B$7:$B$2506,"&lt;="&amp;$A39,'Dataset 1'!$J$7:$J$2506,AQ$5)</f>
        <v>9120</v>
      </c>
      <c r="AR39" s="83">
        <f>SUMIFS('Dataset 1'!$E$7:$E$2506,'Dataset 1'!$B$7:$B$2506,"&lt;="&amp;$A39,'Dataset 1'!$J$7:$J$2506,AR$5)</f>
        <v>2100</v>
      </c>
      <c r="AS39" s="83">
        <f>SUMIFS('Dataset 1'!$E$7:$E$2506,'Dataset 1'!$B$7:$B$2506,"&lt;="&amp;$A39,'Dataset 1'!$J$7:$J$2506,AS$5)</f>
        <v>5910</v>
      </c>
      <c r="AT39" s="83">
        <f>SUMIFS('Dataset 1'!$E$7:$E$2506,'Dataset 1'!$B$7:$B$2506,"&lt;="&amp;$A39,'Dataset 1'!$J$7:$J$2506,AT$5)</f>
        <v>3860</v>
      </c>
      <c r="AU39" s="83">
        <f>SUMIFS('Dataset 1'!$E$7:$E$2506,'Dataset 1'!$B$7:$B$2506,"&lt;="&amp;$A39,'Dataset 1'!$J$7:$J$2506,AU$5)</f>
        <v>0</v>
      </c>
      <c r="AV39" s="83">
        <f>SUMIFS('Dataset 1'!$E$7:$E$2506,'Dataset 1'!$B$7:$B$2506,"&lt;="&amp;$A39,'Dataset 1'!$J$7:$J$2506,AV$5)</f>
        <v>100</v>
      </c>
      <c r="AW39" s="83">
        <f>SUMIFS('Dataset 1'!$E$7:$E$2506,'Dataset 1'!$B$7:$B$2506,"&lt;="&amp;$A39,'Dataset 1'!$J$7:$J$2506,AW$5)</f>
        <v>3310</v>
      </c>
      <c r="AX39" s="83">
        <f>SUMIFS('Dataset 1'!$E$7:$E$2506,'Dataset 1'!$B$7:$B$2506,"&lt;="&amp;$A39,'Dataset 1'!$J$7:$J$2506,AX$5)</f>
        <v>3930</v>
      </c>
      <c r="AY39" s="83">
        <f>SUMIFS('Dataset 1'!$E$7:$E$2506,'Dataset 1'!$B$7:$B$2506,"&lt;="&amp;$A39,'Dataset 1'!$J$7:$J$2506,AY$5)</f>
        <v>11560</v>
      </c>
      <c r="AZ39" s="83">
        <f>SUMIFS('Dataset 1'!$E$7:$E$2506,'Dataset 1'!$B$7:$B$2506,"&lt;="&amp;$A39,'Dataset 1'!$J$7:$J$2506,AZ$5)</f>
        <v>4120</v>
      </c>
      <c r="BA39" s="83">
        <f>SUMIFS('Dataset 1'!$E$7:$E$2506,'Dataset 1'!$B$7:$B$2506,"&lt;="&amp;$A39,'Dataset 1'!$J$7:$J$2506,BA$5)</f>
        <v>10650</v>
      </c>
      <c r="BB39" s="83">
        <f>SUMIFS('Dataset 1'!$E$7:$E$2506,'Dataset 1'!$B$7:$B$2506,"&lt;="&amp;$A39,'Dataset 1'!$J$7:$J$2506,BB$5)</f>
        <v>5170</v>
      </c>
      <c r="BC39" s="83">
        <f>SUMIFS('Dataset 1'!$E$7:$E$2506,'Dataset 1'!$B$7:$B$2506,"&lt;="&amp;$A39,'Dataset 1'!$J$7:$J$2506,BC$5)</f>
        <v>3440</v>
      </c>
      <c r="BD39" s="83">
        <f>SUMIFS('Dataset 1'!$E$7:$E$2506,'Dataset 1'!$B$7:$B$2506,"&lt;="&amp;$A39,'Dataset 1'!$J$7:$J$2506,BD$5)</f>
        <v>19720</v>
      </c>
      <c r="BE39" s="83">
        <f>SUMIFS('Dataset 1'!$E$7:$E$2506,'Dataset 1'!$B$7:$B$2506,"&lt;="&amp;$A39,'Dataset 1'!$J$7:$J$2506,BE$5)</f>
        <v>0</v>
      </c>
      <c r="BF39" s="83">
        <f>SUMIFS('Dataset 1'!$E$7:$E$2506,'Dataset 1'!$B$7:$B$2506,"&lt;="&amp;$A39,'Dataset 1'!$J$7:$J$2506,BF$5)</f>
        <v>870</v>
      </c>
      <c r="BG39" s="83">
        <f>SUMIFS('Dataset 1'!$E$7:$E$2506,'Dataset 1'!$B$7:$B$2506,"&lt;="&amp;$A39,'Dataset 1'!$J$7:$J$2506,BG$5)</f>
        <v>3020</v>
      </c>
      <c r="BH39" s="83">
        <f>SUMIFS('Dataset 1'!$E$7:$E$2506,'Dataset 1'!$B$7:$B$2506,"&lt;="&amp;$A39,'Dataset 1'!$J$7:$J$2506,BH$5)</f>
        <v>350</v>
      </c>
      <c r="BI39" s="83">
        <f>SUMIFS('Dataset 1'!$E$7:$E$2506,'Dataset 1'!$B$7:$B$2506,"&lt;="&amp;$A39,'Dataset 1'!$J$7:$J$2506,BI$5)</f>
        <v>18190</v>
      </c>
      <c r="BJ39" s="83">
        <f>SUMIFS('Dataset 1'!$E$7:$E$2506,'Dataset 1'!$B$7:$B$2506,"&lt;="&amp;$A39,'Dataset 1'!$J$7:$J$2506,BJ$5)</f>
        <v>120</v>
      </c>
      <c r="BK39" s="83">
        <f>SUMIFS('Dataset 1'!$E$7:$E$2506,'Dataset 1'!$B$7:$B$2506,"&lt;="&amp;$A39,'Dataset 1'!$J$7:$J$2506,BK$5)</f>
        <v>0</v>
      </c>
      <c r="BL39" s="83">
        <f>SUMIFS('Dataset 1'!$E$7:$E$2506,'Dataset 1'!$B$7:$B$2506,"&lt;="&amp;$A39,'Dataset 1'!$J$7:$J$2506,BL$5)</f>
        <v>670</v>
      </c>
      <c r="BM39" s="83">
        <f>SUMIFS('Dataset 1'!$E$7:$E$2506,'Dataset 1'!$B$7:$B$2506,"&lt;="&amp;$A39,'Dataset 1'!$J$7:$J$2506,BM$5)</f>
        <v>2540</v>
      </c>
      <c r="BN39" s="83">
        <f>SUMIFS('Dataset 1'!$E$7:$E$2506,'Dataset 1'!$B$7:$B$2506,"&lt;="&amp;$A39,'Dataset 1'!$J$7:$J$2506,BN$5)</f>
        <v>270</v>
      </c>
      <c r="BO39" s="83">
        <f>SUMIFS('Dataset 1'!$E$7:$E$2506,'Dataset 1'!$B$7:$B$2506,"&lt;="&amp;$A39,'Dataset 1'!$J$7:$J$2506,BO$5)</f>
        <v>560</v>
      </c>
      <c r="BP39" s="83">
        <f>SUMIFS('Dataset 1'!$E$7:$E$2506,'Dataset 1'!$B$7:$B$2506,"&lt;="&amp;$A39,'Dataset 1'!$J$7:$J$2506,BP$5)</f>
        <v>150</v>
      </c>
      <c r="BQ39" s="83">
        <f>SUMIFS('Dataset 1'!$E$7:$E$2506,'Dataset 1'!$B$7:$B$2506,"&lt;="&amp;$A39,'Dataset 1'!$J$7:$J$2506,BQ$5)</f>
        <v>0</v>
      </c>
      <c r="BR39" s="83">
        <f>SUMIFS('Dataset 1'!$E$7:$E$2506,'Dataset 1'!$B$7:$B$2506,"&lt;="&amp;$A39,'Dataset 1'!$J$7:$J$2506,BR$5)</f>
        <v>12940</v>
      </c>
      <c r="BS39" s="83">
        <f>SUMIFS('Dataset 1'!$E$7:$E$2506,'Dataset 1'!$B$7:$B$2506,"&lt;="&amp;$A39,'Dataset 1'!$J$7:$J$2506,BS$5)</f>
        <v>0</v>
      </c>
      <c r="BT39" s="83">
        <f>SUMIFS('Dataset 1'!$E$7:$E$2506,'Dataset 1'!$B$7:$B$2506,"&lt;="&amp;$A39,'Dataset 1'!$J$7:$J$2506,BT$5)</f>
        <v>0</v>
      </c>
      <c r="BU39" s="83">
        <f>SUMIFS('Dataset 1'!$E$7:$E$2506,'Dataset 1'!$B$7:$B$2506,"&lt;="&amp;$A39,'Dataset 1'!$J$7:$J$2506,BU$5)</f>
        <v>440</v>
      </c>
      <c r="BV39" s="83">
        <f>SUMIFS('Dataset 1'!$E$7:$E$2506,'Dataset 1'!$B$7:$B$2506,"&lt;="&amp;$A39,'Dataset 1'!$J$7:$J$2506,BV$5)</f>
        <v>740</v>
      </c>
      <c r="BW39" s="83">
        <f>SUMIFS('Dataset 1'!$E$7:$E$2506,'Dataset 1'!$B$7:$B$2506,"&lt;="&amp;$A39,'Dataset 1'!$J$7:$J$2506,BW$5)</f>
        <v>990</v>
      </c>
      <c r="BX39" s="83">
        <f>SUMIFS('Dataset 1'!$E$7:$E$2506,'Dataset 1'!$B$7:$B$2506,"&lt;="&amp;$A39,'Dataset 1'!$J$7:$J$2506,BX$5)</f>
        <v>4560</v>
      </c>
      <c r="BY39" s="83">
        <f>SUMIFS('Dataset 1'!$E$7:$E$2506,'Dataset 1'!$B$7:$B$2506,"&lt;="&amp;$A39,'Dataset 1'!$J$7:$J$2506,BY$5)</f>
        <v>0</v>
      </c>
      <c r="BZ39" s="83">
        <f>SUMIFS('Dataset 1'!$E$7:$E$2506,'Dataset 1'!$B$7:$B$2506,"&lt;="&amp;$A39,'Dataset 1'!$J$7:$J$2506,BZ$5)</f>
        <v>0</v>
      </c>
      <c r="CA39" s="83">
        <f>SUMIFS('Dataset 1'!$E$7:$E$2506,'Dataset 1'!$B$7:$B$2506,"&lt;="&amp;$A39,'Dataset 1'!$J$7:$J$2506,CA$5)</f>
        <v>4820</v>
      </c>
      <c r="CB39" s="83">
        <f>SUMIFS('Dataset 1'!$E$7:$E$2506,'Dataset 1'!$B$7:$B$2506,"&lt;="&amp;$A39,'Dataset 1'!$J$7:$J$2506,CB$5)</f>
        <v>3630</v>
      </c>
      <c r="CC39" s="83">
        <f>SUMIFS('Dataset 1'!$E$7:$E$2506,'Dataset 1'!$B$7:$B$2506,"&lt;="&amp;$A39,'Dataset 1'!$J$7:$J$2506,CC$5)</f>
        <v>2430</v>
      </c>
      <c r="CD39" s="83">
        <f>SUMIFS('Dataset 1'!$E$7:$E$2506,'Dataset 1'!$B$7:$B$2506,"&lt;="&amp;$A39,'Dataset 1'!$J$7:$J$2506,CD$5)</f>
        <v>390</v>
      </c>
      <c r="CE39" s="83">
        <f>SUMIFS('Dataset 1'!$E$7:$E$2506,'Dataset 1'!$B$7:$B$2506,"&lt;="&amp;$A39,'Dataset 1'!$J$7:$J$2506,CE$5)</f>
        <v>8000</v>
      </c>
      <c r="CF39" s="83">
        <f>SUMIFS('Dataset 1'!$E$7:$E$2506,'Dataset 1'!$B$7:$B$2506,"&lt;="&amp;$A39,'Dataset 1'!$J$7:$J$2506,CF$5)</f>
        <v>2660</v>
      </c>
      <c r="CG39" s="83">
        <f>SUMIFS('Dataset 1'!$E$7:$E$2506,'Dataset 1'!$B$7:$B$2506,"&lt;="&amp;$A39,'Dataset 1'!$J$7:$J$2506,CG$5)</f>
        <v>300</v>
      </c>
      <c r="CH39" s="83">
        <f>SUMIFS('Dataset 1'!$E$7:$E$2506,'Dataset 1'!$B$7:$B$2506,"&lt;="&amp;$A39,'Dataset 1'!$J$7:$J$2506,CH$5)</f>
        <v>4870</v>
      </c>
      <c r="CI39" s="83">
        <f>SUMIFS('Dataset 1'!$E$7:$E$2506,'Dataset 1'!$B$7:$B$2506,"&lt;="&amp;$A39,'Dataset 1'!$J$7:$J$2506,CI$5)</f>
        <v>5240</v>
      </c>
      <c r="CJ39" s="83">
        <f>SUMIFS('Dataset 1'!$E$7:$E$2506,'Dataset 1'!$B$7:$B$2506,"&lt;="&amp;$A39,'Dataset 1'!$J$7:$J$2506,CJ$5)</f>
        <v>2000</v>
      </c>
      <c r="CK39" s="83">
        <f>SUMIFS('Dataset 1'!$E$7:$E$2506,'Dataset 1'!$B$7:$B$2506,"&lt;="&amp;$A39,'Dataset 1'!$J$7:$J$2506,CK$5)</f>
        <v>5600</v>
      </c>
      <c r="CL39" s="83">
        <f>SUMIFS('Dataset 1'!$E$7:$E$2506,'Dataset 1'!$B$7:$B$2506,"&lt;="&amp;$A39,'Dataset 1'!$J$7:$J$2506,CL$5)</f>
        <v>0</v>
      </c>
      <c r="CM39" s="83">
        <f>SUMIFS('Dataset 1'!$E$7:$E$2506,'Dataset 1'!$B$7:$B$2506,"&lt;="&amp;$A39,'Dataset 1'!$J$7:$J$2506,CM$5)</f>
        <v>7270</v>
      </c>
      <c r="CN39" s="83">
        <f>SUMIFS('Dataset 1'!$E$7:$E$2506,'Dataset 1'!$B$7:$B$2506,"&lt;="&amp;$A39,'Dataset 1'!$J$7:$J$2506,CN$5)</f>
        <v>0</v>
      </c>
      <c r="CO39" s="83">
        <f>SUMIFS('Dataset 1'!$E$7:$E$2506,'Dataset 1'!$B$7:$B$2506,"&lt;="&amp;$A39,'Dataset 1'!$J$7:$J$2506,CO$5)</f>
        <v>2060</v>
      </c>
      <c r="CP39" s="83">
        <f>SUMIFS('Dataset 1'!$E$7:$E$2506,'Dataset 1'!$B$7:$B$2506,"&lt;="&amp;$A39,'Dataset 1'!$J$7:$J$2506,CP$5)</f>
        <v>14520</v>
      </c>
      <c r="CQ39" s="83">
        <f>SUMIFS('Dataset 1'!$E$7:$E$2506,'Dataset 1'!$B$7:$B$2506,"&lt;="&amp;$A39,'Dataset 1'!$J$7:$J$2506,CQ$5)</f>
        <v>1580</v>
      </c>
      <c r="CR39" s="83">
        <f>SUMIFS('Dataset 1'!$E$7:$E$2506,'Dataset 1'!$B$7:$B$2506,"&lt;="&amp;$A39,'Dataset 1'!$J$7:$J$2506,CR$5)</f>
        <v>640</v>
      </c>
      <c r="CS39" s="83">
        <f>SUMIFS('Dataset 1'!$E$7:$E$2506,'Dataset 1'!$B$7:$B$2506,"&lt;="&amp;$A39,'Dataset 1'!$J$7:$J$2506,CS$5)</f>
        <v>8270</v>
      </c>
      <c r="CT39" s="83">
        <f>SUMIFS('Dataset 1'!$E$7:$E$2506,'Dataset 1'!$B$7:$B$2506,"&lt;="&amp;$A39,'Dataset 1'!$J$7:$J$2506,CT$5)</f>
        <v>100</v>
      </c>
      <c r="CU39" s="83">
        <f>SUMIFS('Dataset 1'!$E$7:$E$2506,'Dataset 1'!$B$7:$B$2506,"&lt;="&amp;$A39,'Dataset 1'!$J$7:$J$2506,CU$5)</f>
        <v>25270</v>
      </c>
      <c r="CV39" s="83">
        <f>SUMIFS('Dataset 1'!$E$7:$E$2506,'Dataset 1'!$B$7:$B$2506,"&lt;="&amp;$A39,'Dataset 1'!$J$7:$J$2506,CV$5)</f>
        <v>120</v>
      </c>
      <c r="CW39" s="83">
        <f>SUMIFS('Dataset 1'!$E$7:$E$2506,'Dataset 1'!$B$7:$B$2506,"&lt;="&amp;$A39,'Dataset 1'!$J$7:$J$2506,CW$5)</f>
        <v>0</v>
      </c>
      <c r="CX39" s="83">
        <f>SUMIFS('Dataset 1'!$E$7:$E$2506,'Dataset 1'!$B$7:$B$2506,"&lt;="&amp;$A39,'Dataset 1'!$J$7:$J$2506,CX$5)</f>
        <v>270</v>
      </c>
      <c r="CY39" s="83">
        <f>SUMIFS('Dataset 1'!$E$7:$E$2506,'Dataset 1'!$B$7:$B$2506,"&lt;="&amp;$A39,'Dataset 1'!$J$7:$J$2506,CY$5)</f>
        <v>4910</v>
      </c>
      <c r="CZ39" s="83">
        <f>SUMIFS('Dataset 1'!$E$7:$E$2506,'Dataset 1'!$B$7:$B$2506,"&lt;="&amp;$A39,'Dataset 1'!$J$7:$J$2506,CZ$5)</f>
        <v>970</v>
      </c>
      <c r="DA39" s="83">
        <f>SUMIFS('Dataset 1'!$E$7:$E$2506,'Dataset 1'!$B$7:$B$2506,"&lt;="&amp;$A39,'Dataset 1'!$J$7:$J$2506,DA$5)</f>
        <v>2290</v>
      </c>
      <c r="DB39" s="83">
        <f>SUMIFS('Dataset 1'!$E$7:$E$2506,'Dataset 1'!$B$7:$B$2506,"&lt;="&amp;$A39,'Dataset 1'!$J$7:$J$2506,DB$5)</f>
        <v>14720</v>
      </c>
      <c r="DC39" s="83">
        <f>SUMIFS('Dataset 1'!$E$7:$E$2506,'Dataset 1'!$B$7:$B$2506,"&lt;="&amp;$A39,'Dataset 1'!$J$7:$J$2506,DC$5)</f>
        <v>0</v>
      </c>
      <c r="DD39" s="83">
        <f>SUMIFS('Dataset 1'!$E$7:$E$2506,'Dataset 1'!$B$7:$B$2506,"&lt;="&amp;$A39,'Dataset 1'!$J$7:$J$2506,DD$5)</f>
        <v>0</v>
      </c>
      <c r="DE39" s="83">
        <f>SUMIFS('Dataset 1'!$E$7:$E$2506,'Dataset 1'!$B$7:$B$2506,"&lt;="&amp;$A39,'Dataset 1'!$J$7:$J$2506,DE$5)</f>
        <v>0</v>
      </c>
      <c r="DF39" s="83">
        <f>SUMIFS('Dataset 1'!$E$7:$E$2506,'Dataset 1'!$B$7:$B$2506,"&lt;="&amp;$A39,'Dataset 1'!$J$7:$J$2506,DF$5)</f>
        <v>10070</v>
      </c>
      <c r="DG39" s="83">
        <f>SUMIFS('Dataset 1'!$E$7:$E$2506,'Dataset 1'!$B$7:$B$2506,"&lt;="&amp;$A39,'Dataset 1'!$J$7:$J$2506,DG$5)</f>
        <v>6140</v>
      </c>
      <c r="DH39" s="83">
        <f>SUMIFS('Dataset 1'!$E$7:$E$2506,'Dataset 1'!$B$7:$B$2506,"&lt;="&amp;$A39,'Dataset 1'!$J$7:$J$2506,DH$5)</f>
        <v>3440</v>
      </c>
      <c r="DI39" s="83">
        <f>SUMIFS('Dataset 1'!$E$7:$E$2506,'Dataset 1'!$B$7:$B$2506,"&lt;="&amp;$A39,'Dataset 1'!$J$7:$J$2506,DI$5)</f>
        <v>1080</v>
      </c>
      <c r="DJ39" s="83">
        <f>SUMIFS('Dataset 1'!$E$7:$E$2506,'Dataset 1'!$B$7:$B$2506,"&lt;="&amp;$A39,'Dataset 1'!$J$7:$J$2506,DJ$5)</f>
        <v>260</v>
      </c>
      <c r="DK39" s="83">
        <f>SUMIFS('Dataset 1'!$E$7:$E$2506,'Dataset 1'!$B$7:$B$2506,"&lt;="&amp;$A39,'Dataset 1'!$J$7:$J$2506,DK$5)</f>
        <v>0</v>
      </c>
      <c r="DL39" s="83">
        <f>SUMIFS('Dataset 1'!$E$7:$E$2506,'Dataset 1'!$B$7:$B$2506,"&lt;="&amp;$A39,'Dataset 1'!$J$7:$J$2506,DL$5)</f>
        <v>5290</v>
      </c>
      <c r="DM39" s="83">
        <f>SUMIFS('Dataset 1'!$E$7:$E$2506,'Dataset 1'!$B$7:$B$2506,"&lt;="&amp;$A39,'Dataset 1'!$J$7:$J$2506,DM$5)</f>
        <v>12930</v>
      </c>
      <c r="DN39" s="83">
        <f>SUMIFS('Dataset 1'!$E$7:$E$2506,'Dataset 1'!$B$7:$B$2506,"&lt;="&amp;$A39,'Dataset 1'!$J$7:$J$2506,DN$5)</f>
        <v>3760</v>
      </c>
      <c r="DO39" s="83">
        <f>SUMIFS('Dataset 1'!$E$7:$E$2506,'Dataset 1'!$B$7:$B$2506,"&lt;="&amp;$A39,'Dataset 1'!$J$7:$J$2506,DO$5)</f>
        <v>140</v>
      </c>
      <c r="DP39" s="83">
        <f>SUMIFS('Dataset 1'!$E$7:$E$2506,'Dataset 1'!$B$7:$B$2506,"&lt;="&amp;$A39,'Dataset 1'!$J$7:$J$2506,DP$5)</f>
        <v>520</v>
      </c>
      <c r="DQ39" s="83">
        <f>SUMIFS('Dataset 1'!$E$7:$E$2506,'Dataset 1'!$B$7:$B$2506,"&lt;="&amp;$A39,'Dataset 1'!$J$7:$J$2506,DQ$5)</f>
        <v>0</v>
      </c>
      <c r="DR39" s="83">
        <f>SUMIFS('Dataset 1'!$E$7:$E$2506,'Dataset 1'!$B$7:$B$2506,"&lt;="&amp;$A39,'Dataset 1'!$J$7:$J$2506,DR$5)</f>
        <v>3290</v>
      </c>
      <c r="DS39" s="83">
        <f>SUMIFS('Dataset 1'!$E$7:$E$2506,'Dataset 1'!$B$7:$B$2506,"&lt;="&amp;$A39,'Dataset 1'!$J$7:$J$2506,DS$5)</f>
        <v>190</v>
      </c>
      <c r="DT39" s="83">
        <f>SUMIFS('Dataset 1'!$E$7:$E$2506,'Dataset 1'!$B$7:$B$2506,"&lt;="&amp;$A39,'Dataset 1'!$J$7:$J$2506,DT$5)</f>
        <v>1170</v>
      </c>
      <c r="DU39" s="83">
        <f>SUMIFS('Dataset 1'!$E$7:$E$2506,'Dataset 1'!$B$7:$B$2506,"&lt;="&amp;$A39,'Dataset 1'!$J$7:$J$2506,DU$5)</f>
        <v>0</v>
      </c>
      <c r="DV39" s="83">
        <f>SUMIFS('Dataset 1'!$E$7:$E$2506,'Dataset 1'!$B$7:$B$2506,"&lt;="&amp;$A39,'Dataset 1'!$J$7:$J$2506,DV$5)</f>
        <v>3580</v>
      </c>
      <c r="DW39" s="83">
        <f>SUMIFS('Dataset 1'!$E$7:$E$2506,'Dataset 1'!$B$7:$B$2506,"&lt;="&amp;$A39,'Dataset 1'!$J$7:$J$2506,DW$5)</f>
        <v>1790</v>
      </c>
      <c r="DX39" s="83">
        <f>SUMIFS('Dataset 1'!$E$7:$E$2506,'Dataset 1'!$B$7:$B$2506,"&lt;="&amp;$A39,'Dataset 1'!$J$7:$J$2506,DX$5)</f>
        <v>450</v>
      </c>
      <c r="DY39" s="83">
        <f>SUMIFS('Dataset 1'!$E$7:$E$2506,'Dataset 1'!$B$7:$B$2506,"&lt;="&amp;$A39,'Dataset 1'!$J$7:$J$2506,DY$5)</f>
        <v>96050</v>
      </c>
      <c r="DZ39" s="83">
        <f>SUMIFS('Dataset 1'!$E$7:$E$2506,'Dataset 1'!$B$7:$B$2506,"&lt;="&amp;$A39,'Dataset 1'!$J$7:$J$2506,DZ$5)</f>
        <v>1200</v>
      </c>
      <c r="EA39" s="83">
        <f>SUMIFS('Dataset 1'!$E$7:$E$2506,'Dataset 1'!$B$7:$B$2506,"&lt;="&amp;$A39,'Dataset 1'!$J$7:$J$2506,EA$5)</f>
        <v>0</v>
      </c>
      <c r="EB39" s="83">
        <f>SUMIFS('Dataset 1'!$E$7:$E$2506,'Dataset 1'!$B$7:$B$2506,"&lt;="&amp;$A39,'Dataset 1'!$J$7:$J$2506,EB$5)</f>
        <v>300</v>
      </c>
      <c r="EC39" s="83">
        <f>SUMIFS('Dataset 1'!$E$7:$E$2506,'Dataset 1'!$B$7:$B$2506,"&lt;="&amp;$A39,'Dataset 1'!$J$7:$J$2506,EC$5)</f>
        <v>2500</v>
      </c>
      <c r="ED39" s="83">
        <f>SUMIFS('Dataset 1'!$E$7:$E$2506,'Dataset 1'!$B$7:$B$2506,"&lt;="&amp;$A39,'Dataset 1'!$J$7:$J$2506,ED$5)</f>
        <v>4260</v>
      </c>
      <c r="EE39" s="83">
        <f>SUMIFS('Dataset 1'!$E$7:$E$2506,'Dataset 1'!$B$7:$B$2506,"&lt;="&amp;$A39,'Dataset 1'!$J$7:$J$2506,EE$5)</f>
        <v>470</v>
      </c>
      <c r="EF39" s="83">
        <f>SUMIFS('Dataset 1'!$E$7:$E$2506,'Dataset 1'!$B$7:$B$2506,"&lt;="&amp;$A39,'Dataset 1'!$J$7:$J$2506,EF$5)</f>
        <v>2010</v>
      </c>
      <c r="EG39" s="83">
        <f>SUMIFS('Dataset 1'!$E$7:$E$2506,'Dataset 1'!$B$7:$B$2506,"&lt;="&amp;$A39,'Dataset 1'!$J$7:$J$2506,EG$5)</f>
        <v>850</v>
      </c>
    </row>
    <row r="40" spans="1:137" x14ac:dyDescent="0.2">
      <c r="A40">
        <v>2016</v>
      </c>
      <c r="B40" s="83">
        <f>SUMIFS('Dataset 1'!$E$7:$E$2506,'Dataset 1'!$B$7:$B$2506,"&lt;="&amp;$A40,'Dataset 1'!$J$7:$J$2506,B$5)</f>
        <v>2920</v>
      </c>
      <c r="C40" s="83">
        <f>SUMIFS('Dataset 1'!$E$7:$E$2506,'Dataset 1'!$B$7:$B$2506,"&lt;="&amp;$A40,'Dataset 1'!$J$7:$J$2506,C$5)</f>
        <v>0</v>
      </c>
      <c r="D40" s="83">
        <f>SUMIFS('Dataset 1'!$E$7:$E$2506,'Dataset 1'!$B$7:$B$2506,"&lt;="&amp;$A40,'Dataset 1'!$J$7:$J$2506,D$5)</f>
        <v>5150</v>
      </c>
      <c r="E40" s="83">
        <f>SUMIFS('Dataset 1'!$E$7:$E$2506,'Dataset 1'!$B$7:$B$2506,"&lt;="&amp;$A40,'Dataset 1'!$J$7:$J$2506,E$5)</f>
        <v>740</v>
      </c>
      <c r="F40" s="83">
        <f>SUMIFS('Dataset 1'!$E$7:$E$2506,'Dataset 1'!$B$7:$B$2506,"&lt;="&amp;$A40,'Dataset 1'!$J$7:$J$2506,F$5)</f>
        <v>7670</v>
      </c>
      <c r="G40" s="83">
        <f>SUMIFS('Dataset 1'!$E$7:$E$2506,'Dataset 1'!$B$7:$B$2506,"&lt;="&amp;$A40,'Dataset 1'!$J$7:$J$2506,G$5)</f>
        <v>88300</v>
      </c>
      <c r="H40" s="83">
        <f>SUMIFS('Dataset 1'!$E$7:$E$2506,'Dataset 1'!$B$7:$B$2506,"&lt;="&amp;$A40,'Dataset 1'!$J$7:$J$2506,H$5)</f>
        <v>280</v>
      </c>
      <c r="I40" s="83">
        <f>SUMIFS('Dataset 1'!$E$7:$E$2506,'Dataset 1'!$B$7:$B$2506,"&lt;="&amp;$A40,'Dataset 1'!$J$7:$J$2506,I$5)</f>
        <v>0</v>
      </c>
      <c r="J40" s="83">
        <f>SUMIFS('Dataset 1'!$E$7:$E$2506,'Dataset 1'!$B$7:$B$2506,"&lt;="&amp;$A40,'Dataset 1'!$J$7:$J$2506,J$5)</f>
        <v>350</v>
      </c>
      <c r="K40" s="83">
        <f>SUMIFS('Dataset 1'!$E$7:$E$2506,'Dataset 1'!$B$7:$B$2506,"&lt;="&amp;$A40,'Dataset 1'!$J$7:$J$2506,K$5)</f>
        <v>1740</v>
      </c>
      <c r="L40" s="83">
        <f>SUMIFS('Dataset 1'!$E$7:$E$2506,'Dataset 1'!$B$7:$B$2506,"&lt;="&amp;$A40,'Dataset 1'!$J$7:$J$2506,L$5)</f>
        <v>400</v>
      </c>
      <c r="M40" s="83">
        <f>SUMIFS('Dataset 1'!$E$7:$E$2506,'Dataset 1'!$B$7:$B$2506,"&lt;="&amp;$A40,'Dataset 1'!$J$7:$J$2506,M$5)</f>
        <v>4050</v>
      </c>
      <c r="N40" s="83">
        <f>SUMIFS('Dataset 1'!$E$7:$E$2506,'Dataset 1'!$B$7:$B$2506,"&lt;="&amp;$A40,'Dataset 1'!$J$7:$J$2506,N$5)</f>
        <v>0</v>
      </c>
      <c r="O40" s="83">
        <f>SUMIFS('Dataset 1'!$E$7:$E$2506,'Dataset 1'!$B$7:$B$2506,"&lt;="&amp;$A40,'Dataset 1'!$J$7:$J$2506,O$5)</f>
        <v>0</v>
      </c>
      <c r="P40" s="83">
        <f>SUMIFS('Dataset 1'!$E$7:$E$2506,'Dataset 1'!$B$7:$B$2506,"&lt;="&amp;$A40,'Dataset 1'!$J$7:$J$2506,P$5)</f>
        <v>0</v>
      </c>
      <c r="Q40" s="83">
        <f>SUMIFS('Dataset 1'!$E$7:$E$2506,'Dataset 1'!$B$7:$B$2506,"&lt;="&amp;$A40,'Dataset 1'!$J$7:$J$2506,Q$5)</f>
        <v>46090</v>
      </c>
      <c r="R40" s="83">
        <f>SUMIFS('Dataset 1'!$E$7:$E$2506,'Dataset 1'!$B$7:$B$2506,"&lt;="&amp;$A40,'Dataset 1'!$J$7:$J$2506,R$5)</f>
        <v>44790</v>
      </c>
      <c r="S40" s="83">
        <f>SUMIFS('Dataset 1'!$E$7:$E$2506,'Dataset 1'!$B$7:$B$2506,"&lt;="&amp;$A40,'Dataset 1'!$J$7:$J$2506,S$5)</f>
        <v>3440</v>
      </c>
      <c r="T40" s="83">
        <f>SUMIFS('Dataset 1'!$E$7:$E$2506,'Dataset 1'!$B$7:$B$2506,"&lt;="&amp;$A40,'Dataset 1'!$J$7:$J$2506,T$5)</f>
        <v>120</v>
      </c>
      <c r="U40" s="83">
        <f>SUMIFS('Dataset 1'!$E$7:$E$2506,'Dataset 1'!$B$7:$B$2506,"&lt;="&amp;$A40,'Dataset 1'!$J$7:$J$2506,U$5)</f>
        <v>5620</v>
      </c>
      <c r="V40" s="83">
        <f>SUMIFS('Dataset 1'!$E$7:$E$2506,'Dataset 1'!$B$7:$B$2506,"&lt;="&amp;$A40,'Dataset 1'!$J$7:$J$2506,V$5)</f>
        <v>1900</v>
      </c>
      <c r="W40" s="83">
        <f>SUMIFS('Dataset 1'!$E$7:$E$2506,'Dataset 1'!$B$7:$B$2506,"&lt;="&amp;$A40,'Dataset 1'!$J$7:$J$2506,W$5)</f>
        <v>46110</v>
      </c>
      <c r="X40" s="83">
        <f>SUMIFS('Dataset 1'!$E$7:$E$2506,'Dataset 1'!$B$7:$B$2506,"&lt;="&amp;$A40,'Dataset 1'!$J$7:$J$2506,X$5)</f>
        <v>1630</v>
      </c>
      <c r="Y40" s="83">
        <f>SUMIFS('Dataset 1'!$E$7:$E$2506,'Dataset 1'!$B$7:$B$2506,"&lt;="&amp;$A40,'Dataset 1'!$J$7:$J$2506,Y$5)</f>
        <v>2450</v>
      </c>
      <c r="Z40" s="83">
        <f>SUMIFS('Dataset 1'!$E$7:$E$2506,'Dataset 1'!$B$7:$B$2506,"&lt;="&amp;$A40,'Dataset 1'!$J$7:$J$2506,Z$5)</f>
        <v>1410</v>
      </c>
      <c r="AA40" s="83">
        <f>SUMIFS('Dataset 1'!$E$7:$E$2506,'Dataset 1'!$B$7:$B$2506,"&lt;="&amp;$A40,'Dataset 1'!$J$7:$J$2506,AA$5)</f>
        <v>2290</v>
      </c>
      <c r="AB40" s="83">
        <f>SUMIFS('Dataset 1'!$E$7:$E$2506,'Dataset 1'!$B$7:$B$2506,"&lt;="&amp;$A40,'Dataset 1'!$J$7:$J$2506,AB$5)</f>
        <v>0</v>
      </c>
      <c r="AC40" s="83">
        <f>SUMIFS('Dataset 1'!$E$7:$E$2506,'Dataset 1'!$B$7:$B$2506,"&lt;="&amp;$A40,'Dataset 1'!$J$7:$J$2506,AC$5)</f>
        <v>500</v>
      </c>
      <c r="AD40" s="83">
        <f>SUMIFS('Dataset 1'!$E$7:$E$2506,'Dataset 1'!$B$7:$B$2506,"&lt;="&amp;$A40,'Dataset 1'!$J$7:$J$2506,AD$5)</f>
        <v>0</v>
      </c>
      <c r="AE40" s="83">
        <f>SUMIFS('Dataset 1'!$E$7:$E$2506,'Dataset 1'!$B$7:$B$2506,"&lt;="&amp;$A40,'Dataset 1'!$J$7:$J$2506,AE$5)</f>
        <v>510</v>
      </c>
      <c r="AF40" s="83">
        <f>SUMIFS('Dataset 1'!$E$7:$E$2506,'Dataset 1'!$B$7:$B$2506,"&lt;="&amp;$A40,'Dataset 1'!$J$7:$J$2506,AF$5)</f>
        <v>9340</v>
      </c>
      <c r="AG40" s="83">
        <f>SUMIFS('Dataset 1'!$E$7:$E$2506,'Dataset 1'!$B$7:$B$2506,"&lt;="&amp;$A40,'Dataset 1'!$J$7:$J$2506,AG$5)</f>
        <v>0</v>
      </c>
      <c r="AH40" s="83">
        <f>SUMIFS('Dataset 1'!$E$7:$E$2506,'Dataset 1'!$B$7:$B$2506,"&lt;="&amp;$A40,'Dataset 1'!$J$7:$J$2506,AH$5)</f>
        <v>190</v>
      </c>
      <c r="AI40" s="83">
        <f>SUMIFS('Dataset 1'!$E$7:$E$2506,'Dataset 1'!$B$7:$B$2506,"&lt;="&amp;$A40,'Dataset 1'!$J$7:$J$2506,AI$5)</f>
        <v>5250</v>
      </c>
      <c r="AJ40" s="83">
        <f>SUMIFS('Dataset 1'!$E$7:$E$2506,'Dataset 1'!$B$7:$B$2506,"&lt;="&amp;$A40,'Dataset 1'!$J$7:$J$2506,AJ$5)</f>
        <v>5160</v>
      </c>
      <c r="AK40" s="83">
        <f>SUMIFS('Dataset 1'!$E$7:$E$2506,'Dataset 1'!$B$7:$B$2506,"&lt;="&amp;$A40,'Dataset 1'!$J$7:$J$2506,AK$5)</f>
        <v>0</v>
      </c>
      <c r="AL40" s="83">
        <f>SUMIFS('Dataset 1'!$E$7:$E$2506,'Dataset 1'!$B$7:$B$2506,"&lt;="&amp;$A40,'Dataset 1'!$J$7:$J$2506,AL$5)</f>
        <v>790</v>
      </c>
      <c r="AM40" s="83">
        <f>SUMIFS('Dataset 1'!$E$7:$E$2506,'Dataset 1'!$B$7:$B$2506,"&lt;="&amp;$A40,'Dataset 1'!$J$7:$J$2506,AM$5)</f>
        <v>8890</v>
      </c>
      <c r="AN40" s="83">
        <f>SUMIFS('Dataset 1'!$E$7:$E$2506,'Dataset 1'!$B$7:$B$2506,"&lt;="&amp;$A40,'Dataset 1'!$J$7:$J$2506,AN$5)</f>
        <v>18010</v>
      </c>
      <c r="AO40" s="83">
        <f>SUMIFS('Dataset 1'!$E$7:$E$2506,'Dataset 1'!$B$7:$B$2506,"&lt;="&amp;$A40,'Dataset 1'!$J$7:$J$2506,AO$5)</f>
        <v>400</v>
      </c>
      <c r="AP40" s="83">
        <f>SUMIFS('Dataset 1'!$E$7:$E$2506,'Dataset 1'!$B$7:$B$2506,"&lt;="&amp;$A40,'Dataset 1'!$J$7:$J$2506,AP$5)</f>
        <v>370</v>
      </c>
      <c r="AQ40" s="83">
        <f>SUMIFS('Dataset 1'!$E$7:$E$2506,'Dataset 1'!$B$7:$B$2506,"&lt;="&amp;$A40,'Dataset 1'!$J$7:$J$2506,AQ$5)</f>
        <v>21700</v>
      </c>
      <c r="AR40" s="83">
        <f>SUMIFS('Dataset 1'!$E$7:$E$2506,'Dataset 1'!$B$7:$B$2506,"&lt;="&amp;$A40,'Dataset 1'!$J$7:$J$2506,AR$5)</f>
        <v>2100</v>
      </c>
      <c r="AS40" s="83">
        <f>SUMIFS('Dataset 1'!$E$7:$E$2506,'Dataset 1'!$B$7:$B$2506,"&lt;="&amp;$A40,'Dataset 1'!$J$7:$J$2506,AS$5)</f>
        <v>6780</v>
      </c>
      <c r="AT40" s="83">
        <f>SUMIFS('Dataset 1'!$E$7:$E$2506,'Dataset 1'!$B$7:$B$2506,"&lt;="&amp;$A40,'Dataset 1'!$J$7:$J$2506,AT$5)</f>
        <v>3860</v>
      </c>
      <c r="AU40" s="83">
        <f>SUMIFS('Dataset 1'!$E$7:$E$2506,'Dataset 1'!$B$7:$B$2506,"&lt;="&amp;$A40,'Dataset 1'!$J$7:$J$2506,AU$5)</f>
        <v>0</v>
      </c>
      <c r="AV40" s="83">
        <f>SUMIFS('Dataset 1'!$E$7:$E$2506,'Dataset 1'!$B$7:$B$2506,"&lt;="&amp;$A40,'Dataset 1'!$J$7:$J$2506,AV$5)</f>
        <v>100</v>
      </c>
      <c r="AW40" s="83">
        <f>SUMIFS('Dataset 1'!$E$7:$E$2506,'Dataset 1'!$B$7:$B$2506,"&lt;="&amp;$A40,'Dataset 1'!$J$7:$J$2506,AW$5)</f>
        <v>3310</v>
      </c>
      <c r="AX40" s="83">
        <f>SUMIFS('Dataset 1'!$E$7:$E$2506,'Dataset 1'!$B$7:$B$2506,"&lt;="&amp;$A40,'Dataset 1'!$J$7:$J$2506,AX$5)</f>
        <v>5140</v>
      </c>
      <c r="AY40" s="83">
        <f>SUMIFS('Dataset 1'!$E$7:$E$2506,'Dataset 1'!$B$7:$B$2506,"&lt;="&amp;$A40,'Dataset 1'!$J$7:$J$2506,AY$5)</f>
        <v>13980</v>
      </c>
      <c r="AZ40" s="83">
        <f>SUMIFS('Dataset 1'!$E$7:$E$2506,'Dataset 1'!$B$7:$B$2506,"&lt;="&amp;$A40,'Dataset 1'!$J$7:$J$2506,AZ$5)</f>
        <v>4720</v>
      </c>
      <c r="BA40" s="83">
        <f>SUMIFS('Dataset 1'!$E$7:$E$2506,'Dataset 1'!$B$7:$B$2506,"&lt;="&amp;$A40,'Dataset 1'!$J$7:$J$2506,BA$5)</f>
        <v>10650</v>
      </c>
      <c r="BB40" s="83">
        <f>SUMIFS('Dataset 1'!$E$7:$E$2506,'Dataset 1'!$B$7:$B$2506,"&lt;="&amp;$A40,'Dataset 1'!$J$7:$J$2506,BB$5)</f>
        <v>6800</v>
      </c>
      <c r="BC40" s="83">
        <f>SUMIFS('Dataset 1'!$E$7:$E$2506,'Dataset 1'!$B$7:$B$2506,"&lt;="&amp;$A40,'Dataset 1'!$J$7:$J$2506,BC$5)</f>
        <v>9390</v>
      </c>
      <c r="BD40" s="83">
        <f>SUMIFS('Dataset 1'!$E$7:$E$2506,'Dataset 1'!$B$7:$B$2506,"&lt;="&amp;$A40,'Dataset 1'!$J$7:$J$2506,BD$5)</f>
        <v>20420</v>
      </c>
      <c r="BE40" s="83">
        <f>SUMIFS('Dataset 1'!$E$7:$E$2506,'Dataset 1'!$B$7:$B$2506,"&lt;="&amp;$A40,'Dataset 1'!$J$7:$J$2506,BE$5)</f>
        <v>0</v>
      </c>
      <c r="BF40" s="83">
        <f>SUMIFS('Dataset 1'!$E$7:$E$2506,'Dataset 1'!$B$7:$B$2506,"&lt;="&amp;$A40,'Dataset 1'!$J$7:$J$2506,BF$5)</f>
        <v>1170</v>
      </c>
      <c r="BG40" s="83">
        <f>SUMIFS('Dataset 1'!$E$7:$E$2506,'Dataset 1'!$B$7:$B$2506,"&lt;="&amp;$A40,'Dataset 1'!$J$7:$J$2506,BG$5)</f>
        <v>4190</v>
      </c>
      <c r="BH40" s="83">
        <f>SUMIFS('Dataset 1'!$E$7:$E$2506,'Dataset 1'!$B$7:$B$2506,"&lt;="&amp;$A40,'Dataset 1'!$J$7:$J$2506,BH$5)</f>
        <v>1300</v>
      </c>
      <c r="BI40" s="83">
        <f>SUMIFS('Dataset 1'!$E$7:$E$2506,'Dataset 1'!$B$7:$B$2506,"&lt;="&amp;$A40,'Dataset 1'!$J$7:$J$2506,BI$5)</f>
        <v>18370</v>
      </c>
      <c r="BJ40" s="83">
        <f>SUMIFS('Dataset 1'!$E$7:$E$2506,'Dataset 1'!$B$7:$B$2506,"&lt;="&amp;$A40,'Dataset 1'!$J$7:$J$2506,BJ$5)</f>
        <v>220</v>
      </c>
      <c r="BK40" s="83">
        <f>SUMIFS('Dataset 1'!$E$7:$E$2506,'Dataset 1'!$B$7:$B$2506,"&lt;="&amp;$A40,'Dataset 1'!$J$7:$J$2506,BK$5)</f>
        <v>0</v>
      </c>
      <c r="BL40" s="83">
        <f>SUMIFS('Dataset 1'!$E$7:$E$2506,'Dataset 1'!$B$7:$B$2506,"&lt;="&amp;$A40,'Dataset 1'!$J$7:$J$2506,BL$5)</f>
        <v>670</v>
      </c>
      <c r="BM40" s="83">
        <f>SUMIFS('Dataset 1'!$E$7:$E$2506,'Dataset 1'!$B$7:$B$2506,"&lt;="&amp;$A40,'Dataset 1'!$J$7:$J$2506,BM$5)</f>
        <v>4570</v>
      </c>
      <c r="BN40" s="83">
        <f>SUMIFS('Dataset 1'!$E$7:$E$2506,'Dataset 1'!$B$7:$B$2506,"&lt;="&amp;$A40,'Dataset 1'!$J$7:$J$2506,BN$5)</f>
        <v>270</v>
      </c>
      <c r="BO40" s="83">
        <f>SUMIFS('Dataset 1'!$E$7:$E$2506,'Dataset 1'!$B$7:$B$2506,"&lt;="&amp;$A40,'Dataset 1'!$J$7:$J$2506,BO$5)</f>
        <v>560</v>
      </c>
      <c r="BP40" s="83">
        <f>SUMIFS('Dataset 1'!$E$7:$E$2506,'Dataset 1'!$B$7:$B$2506,"&lt;="&amp;$A40,'Dataset 1'!$J$7:$J$2506,BP$5)</f>
        <v>150</v>
      </c>
      <c r="BQ40" s="83">
        <f>SUMIFS('Dataset 1'!$E$7:$E$2506,'Dataset 1'!$B$7:$B$2506,"&lt;="&amp;$A40,'Dataset 1'!$J$7:$J$2506,BQ$5)</f>
        <v>100</v>
      </c>
      <c r="BR40" s="83">
        <f>SUMIFS('Dataset 1'!$E$7:$E$2506,'Dataset 1'!$B$7:$B$2506,"&lt;="&amp;$A40,'Dataset 1'!$J$7:$J$2506,BR$5)</f>
        <v>15460</v>
      </c>
      <c r="BS40" s="83">
        <f>SUMIFS('Dataset 1'!$E$7:$E$2506,'Dataset 1'!$B$7:$B$2506,"&lt;="&amp;$A40,'Dataset 1'!$J$7:$J$2506,BS$5)</f>
        <v>0</v>
      </c>
      <c r="BT40" s="83">
        <f>SUMIFS('Dataset 1'!$E$7:$E$2506,'Dataset 1'!$B$7:$B$2506,"&lt;="&amp;$A40,'Dataset 1'!$J$7:$J$2506,BT$5)</f>
        <v>0</v>
      </c>
      <c r="BU40" s="83">
        <f>SUMIFS('Dataset 1'!$E$7:$E$2506,'Dataset 1'!$B$7:$B$2506,"&lt;="&amp;$A40,'Dataset 1'!$J$7:$J$2506,BU$5)</f>
        <v>440</v>
      </c>
      <c r="BV40" s="83">
        <f>SUMIFS('Dataset 1'!$E$7:$E$2506,'Dataset 1'!$B$7:$B$2506,"&lt;="&amp;$A40,'Dataset 1'!$J$7:$J$2506,BV$5)</f>
        <v>740</v>
      </c>
      <c r="BW40" s="83">
        <f>SUMIFS('Dataset 1'!$E$7:$E$2506,'Dataset 1'!$B$7:$B$2506,"&lt;="&amp;$A40,'Dataset 1'!$J$7:$J$2506,BW$5)</f>
        <v>2400</v>
      </c>
      <c r="BX40" s="83">
        <f>SUMIFS('Dataset 1'!$E$7:$E$2506,'Dataset 1'!$B$7:$B$2506,"&lt;="&amp;$A40,'Dataset 1'!$J$7:$J$2506,BX$5)</f>
        <v>4660</v>
      </c>
      <c r="BY40" s="83">
        <f>SUMIFS('Dataset 1'!$E$7:$E$2506,'Dataset 1'!$B$7:$B$2506,"&lt;="&amp;$A40,'Dataset 1'!$J$7:$J$2506,BY$5)</f>
        <v>0</v>
      </c>
      <c r="BZ40" s="83">
        <f>SUMIFS('Dataset 1'!$E$7:$E$2506,'Dataset 1'!$B$7:$B$2506,"&lt;="&amp;$A40,'Dataset 1'!$J$7:$J$2506,BZ$5)</f>
        <v>0</v>
      </c>
      <c r="CA40" s="83">
        <f>SUMIFS('Dataset 1'!$E$7:$E$2506,'Dataset 1'!$B$7:$B$2506,"&lt;="&amp;$A40,'Dataset 1'!$J$7:$J$2506,CA$5)</f>
        <v>4820</v>
      </c>
      <c r="CB40" s="83">
        <f>SUMIFS('Dataset 1'!$E$7:$E$2506,'Dataset 1'!$B$7:$B$2506,"&lt;="&amp;$A40,'Dataset 1'!$J$7:$J$2506,CB$5)</f>
        <v>5730</v>
      </c>
      <c r="CC40" s="83">
        <f>SUMIFS('Dataset 1'!$E$7:$E$2506,'Dataset 1'!$B$7:$B$2506,"&lt;="&amp;$A40,'Dataset 1'!$J$7:$J$2506,CC$5)</f>
        <v>2430</v>
      </c>
      <c r="CD40" s="83">
        <f>SUMIFS('Dataset 1'!$E$7:$E$2506,'Dataset 1'!$B$7:$B$2506,"&lt;="&amp;$A40,'Dataset 1'!$J$7:$J$2506,CD$5)</f>
        <v>390</v>
      </c>
      <c r="CE40" s="83">
        <f>SUMIFS('Dataset 1'!$E$7:$E$2506,'Dataset 1'!$B$7:$B$2506,"&lt;="&amp;$A40,'Dataset 1'!$J$7:$J$2506,CE$5)</f>
        <v>12890</v>
      </c>
      <c r="CF40" s="83">
        <f>SUMIFS('Dataset 1'!$E$7:$E$2506,'Dataset 1'!$B$7:$B$2506,"&lt;="&amp;$A40,'Dataset 1'!$J$7:$J$2506,CF$5)</f>
        <v>2840</v>
      </c>
      <c r="CG40" s="83">
        <f>SUMIFS('Dataset 1'!$E$7:$E$2506,'Dataset 1'!$B$7:$B$2506,"&lt;="&amp;$A40,'Dataset 1'!$J$7:$J$2506,CG$5)</f>
        <v>300</v>
      </c>
      <c r="CH40" s="83">
        <f>SUMIFS('Dataset 1'!$E$7:$E$2506,'Dataset 1'!$B$7:$B$2506,"&lt;="&amp;$A40,'Dataset 1'!$J$7:$J$2506,CH$5)</f>
        <v>4870</v>
      </c>
      <c r="CI40" s="83">
        <f>SUMIFS('Dataset 1'!$E$7:$E$2506,'Dataset 1'!$B$7:$B$2506,"&lt;="&amp;$A40,'Dataset 1'!$J$7:$J$2506,CI$5)</f>
        <v>5240</v>
      </c>
      <c r="CJ40" s="83">
        <f>SUMIFS('Dataset 1'!$E$7:$E$2506,'Dataset 1'!$B$7:$B$2506,"&lt;="&amp;$A40,'Dataset 1'!$J$7:$J$2506,CJ$5)</f>
        <v>2000</v>
      </c>
      <c r="CK40" s="83">
        <f>SUMIFS('Dataset 1'!$E$7:$E$2506,'Dataset 1'!$B$7:$B$2506,"&lt;="&amp;$A40,'Dataset 1'!$J$7:$J$2506,CK$5)</f>
        <v>6320</v>
      </c>
      <c r="CL40" s="83">
        <f>SUMIFS('Dataset 1'!$E$7:$E$2506,'Dataset 1'!$B$7:$B$2506,"&lt;="&amp;$A40,'Dataset 1'!$J$7:$J$2506,CL$5)</f>
        <v>0</v>
      </c>
      <c r="CM40" s="83">
        <f>SUMIFS('Dataset 1'!$E$7:$E$2506,'Dataset 1'!$B$7:$B$2506,"&lt;="&amp;$A40,'Dataset 1'!$J$7:$J$2506,CM$5)</f>
        <v>10340</v>
      </c>
      <c r="CN40" s="83">
        <f>SUMIFS('Dataset 1'!$E$7:$E$2506,'Dataset 1'!$B$7:$B$2506,"&lt;="&amp;$A40,'Dataset 1'!$J$7:$J$2506,CN$5)</f>
        <v>310</v>
      </c>
      <c r="CO40" s="83">
        <f>SUMIFS('Dataset 1'!$E$7:$E$2506,'Dataset 1'!$B$7:$B$2506,"&lt;="&amp;$A40,'Dataset 1'!$J$7:$J$2506,CO$5)</f>
        <v>2060</v>
      </c>
      <c r="CP40" s="83">
        <f>SUMIFS('Dataset 1'!$E$7:$E$2506,'Dataset 1'!$B$7:$B$2506,"&lt;="&amp;$A40,'Dataset 1'!$J$7:$J$2506,CP$5)</f>
        <v>14520</v>
      </c>
      <c r="CQ40" s="83">
        <f>SUMIFS('Dataset 1'!$E$7:$E$2506,'Dataset 1'!$B$7:$B$2506,"&lt;="&amp;$A40,'Dataset 1'!$J$7:$J$2506,CQ$5)</f>
        <v>1580</v>
      </c>
      <c r="CR40" s="83">
        <f>SUMIFS('Dataset 1'!$E$7:$E$2506,'Dataset 1'!$B$7:$B$2506,"&lt;="&amp;$A40,'Dataset 1'!$J$7:$J$2506,CR$5)</f>
        <v>780</v>
      </c>
      <c r="CS40" s="83">
        <f>SUMIFS('Dataset 1'!$E$7:$E$2506,'Dataset 1'!$B$7:$B$2506,"&lt;="&amp;$A40,'Dataset 1'!$J$7:$J$2506,CS$5)</f>
        <v>8450</v>
      </c>
      <c r="CT40" s="83">
        <f>SUMIFS('Dataset 1'!$E$7:$E$2506,'Dataset 1'!$B$7:$B$2506,"&lt;="&amp;$A40,'Dataset 1'!$J$7:$J$2506,CT$5)</f>
        <v>100</v>
      </c>
      <c r="CU40" s="83">
        <f>SUMIFS('Dataset 1'!$E$7:$E$2506,'Dataset 1'!$B$7:$B$2506,"&lt;="&amp;$A40,'Dataset 1'!$J$7:$J$2506,CU$5)</f>
        <v>27640</v>
      </c>
      <c r="CV40" s="83">
        <f>SUMIFS('Dataset 1'!$E$7:$E$2506,'Dataset 1'!$B$7:$B$2506,"&lt;="&amp;$A40,'Dataset 1'!$J$7:$J$2506,CV$5)</f>
        <v>120</v>
      </c>
      <c r="CW40" s="83">
        <f>SUMIFS('Dataset 1'!$E$7:$E$2506,'Dataset 1'!$B$7:$B$2506,"&lt;="&amp;$A40,'Dataset 1'!$J$7:$J$2506,CW$5)</f>
        <v>0</v>
      </c>
      <c r="CX40" s="83">
        <f>SUMIFS('Dataset 1'!$E$7:$E$2506,'Dataset 1'!$B$7:$B$2506,"&lt;="&amp;$A40,'Dataset 1'!$J$7:$J$2506,CX$5)</f>
        <v>270</v>
      </c>
      <c r="CY40" s="83">
        <f>SUMIFS('Dataset 1'!$E$7:$E$2506,'Dataset 1'!$B$7:$B$2506,"&lt;="&amp;$A40,'Dataset 1'!$J$7:$J$2506,CY$5)</f>
        <v>4910</v>
      </c>
      <c r="CZ40" s="83">
        <f>SUMIFS('Dataset 1'!$E$7:$E$2506,'Dataset 1'!$B$7:$B$2506,"&lt;="&amp;$A40,'Dataset 1'!$J$7:$J$2506,CZ$5)</f>
        <v>1090</v>
      </c>
      <c r="DA40" s="83">
        <f>SUMIFS('Dataset 1'!$E$7:$E$2506,'Dataset 1'!$B$7:$B$2506,"&lt;="&amp;$A40,'Dataset 1'!$J$7:$J$2506,DA$5)</f>
        <v>2290</v>
      </c>
      <c r="DB40" s="83">
        <f>SUMIFS('Dataset 1'!$E$7:$E$2506,'Dataset 1'!$B$7:$B$2506,"&lt;="&amp;$A40,'Dataset 1'!$J$7:$J$2506,DB$5)</f>
        <v>17760</v>
      </c>
      <c r="DC40" s="83">
        <f>SUMIFS('Dataset 1'!$E$7:$E$2506,'Dataset 1'!$B$7:$B$2506,"&lt;="&amp;$A40,'Dataset 1'!$J$7:$J$2506,DC$5)</f>
        <v>0</v>
      </c>
      <c r="DD40" s="83">
        <f>SUMIFS('Dataset 1'!$E$7:$E$2506,'Dataset 1'!$B$7:$B$2506,"&lt;="&amp;$A40,'Dataset 1'!$J$7:$J$2506,DD$5)</f>
        <v>0</v>
      </c>
      <c r="DE40" s="83">
        <f>SUMIFS('Dataset 1'!$E$7:$E$2506,'Dataset 1'!$B$7:$B$2506,"&lt;="&amp;$A40,'Dataset 1'!$J$7:$J$2506,DE$5)</f>
        <v>0</v>
      </c>
      <c r="DF40" s="83">
        <f>SUMIFS('Dataset 1'!$E$7:$E$2506,'Dataset 1'!$B$7:$B$2506,"&lt;="&amp;$A40,'Dataset 1'!$J$7:$J$2506,DF$5)</f>
        <v>10590</v>
      </c>
      <c r="DG40" s="83">
        <f>SUMIFS('Dataset 1'!$E$7:$E$2506,'Dataset 1'!$B$7:$B$2506,"&lt;="&amp;$A40,'Dataset 1'!$J$7:$J$2506,DG$5)</f>
        <v>6820</v>
      </c>
      <c r="DH40" s="83">
        <f>SUMIFS('Dataset 1'!$E$7:$E$2506,'Dataset 1'!$B$7:$B$2506,"&lt;="&amp;$A40,'Dataset 1'!$J$7:$J$2506,DH$5)</f>
        <v>5480</v>
      </c>
      <c r="DI40" s="83">
        <f>SUMIFS('Dataset 1'!$E$7:$E$2506,'Dataset 1'!$B$7:$B$2506,"&lt;="&amp;$A40,'Dataset 1'!$J$7:$J$2506,DI$5)</f>
        <v>1080</v>
      </c>
      <c r="DJ40" s="83">
        <f>SUMIFS('Dataset 1'!$E$7:$E$2506,'Dataset 1'!$B$7:$B$2506,"&lt;="&amp;$A40,'Dataset 1'!$J$7:$J$2506,DJ$5)</f>
        <v>260</v>
      </c>
      <c r="DK40" s="83">
        <f>SUMIFS('Dataset 1'!$E$7:$E$2506,'Dataset 1'!$B$7:$B$2506,"&lt;="&amp;$A40,'Dataset 1'!$J$7:$J$2506,DK$5)</f>
        <v>0</v>
      </c>
      <c r="DL40" s="83">
        <f>SUMIFS('Dataset 1'!$E$7:$E$2506,'Dataset 1'!$B$7:$B$2506,"&lt;="&amp;$A40,'Dataset 1'!$J$7:$J$2506,DL$5)</f>
        <v>5770</v>
      </c>
      <c r="DM40" s="83">
        <f>SUMIFS('Dataset 1'!$E$7:$E$2506,'Dataset 1'!$B$7:$B$2506,"&lt;="&amp;$A40,'Dataset 1'!$J$7:$J$2506,DM$5)</f>
        <v>15340</v>
      </c>
      <c r="DN40" s="83">
        <f>SUMIFS('Dataset 1'!$E$7:$E$2506,'Dataset 1'!$B$7:$B$2506,"&lt;="&amp;$A40,'Dataset 1'!$J$7:$J$2506,DN$5)</f>
        <v>3760</v>
      </c>
      <c r="DO40" s="83">
        <f>SUMIFS('Dataset 1'!$E$7:$E$2506,'Dataset 1'!$B$7:$B$2506,"&lt;="&amp;$A40,'Dataset 1'!$J$7:$J$2506,DO$5)</f>
        <v>140</v>
      </c>
      <c r="DP40" s="83">
        <f>SUMIFS('Dataset 1'!$E$7:$E$2506,'Dataset 1'!$B$7:$B$2506,"&lt;="&amp;$A40,'Dataset 1'!$J$7:$J$2506,DP$5)</f>
        <v>520</v>
      </c>
      <c r="DQ40" s="83">
        <f>SUMIFS('Dataset 1'!$E$7:$E$2506,'Dataset 1'!$B$7:$B$2506,"&lt;="&amp;$A40,'Dataset 1'!$J$7:$J$2506,DQ$5)</f>
        <v>0</v>
      </c>
      <c r="DR40" s="83">
        <f>SUMIFS('Dataset 1'!$E$7:$E$2506,'Dataset 1'!$B$7:$B$2506,"&lt;="&amp;$A40,'Dataset 1'!$J$7:$J$2506,DR$5)</f>
        <v>3290</v>
      </c>
      <c r="DS40" s="83">
        <f>SUMIFS('Dataset 1'!$E$7:$E$2506,'Dataset 1'!$B$7:$B$2506,"&lt;="&amp;$A40,'Dataset 1'!$J$7:$J$2506,DS$5)</f>
        <v>190</v>
      </c>
      <c r="DT40" s="83">
        <f>SUMIFS('Dataset 1'!$E$7:$E$2506,'Dataset 1'!$B$7:$B$2506,"&lt;="&amp;$A40,'Dataset 1'!$J$7:$J$2506,DT$5)</f>
        <v>1170</v>
      </c>
      <c r="DU40" s="83">
        <f>SUMIFS('Dataset 1'!$E$7:$E$2506,'Dataset 1'!$B$7:$B$2506,"&lt;="&amp;$A40,'Dataset 1'!$J$7:$J$2506,DU$5)</f>
        <v>0</v>
      </c>
      <c r="DV40" s="83">
        <f>SUMIFS('Dataset 1'!$E$7:$E$2506,'Dataset 1'!$B$7:$B$2506,"&lt;="&amp;$A40,'Dataset 1'!$J$7:$J$2506,DV$5)</f>
        <v>3790</v>
      </c>
      <c r="DW40" s="83">
        <f>SUMIFS('Dataset 1'!$E$7:$E$2506,'Dataset 1'!$B$7:$B$2506,"&lt;="&amp;$A40,'Dataset 1'!$J$7:$J$2506,DW$5)</f>
        <v>1790</v>
      </c>
      <c r="DX40" s="83">
        <f>SUMIFS('Dataset 1'!$E$7:$E$2506,'Dataset 1'!$B$7:$B$2506,"&lt;="&amp;$A40,'Dataset 1'!$J$7:$J$2506,DX$5)</f>
        <v>1940</v>
      </c>
      <c r="DY40" s="83">
        <f>SUMIFS('Dataset 1'!$E$7:$E$2506,'Dataset 1'!$B$7:$B$2506,"&lt;="&amp;$A40,'Dataset 1'!$J$7:$J$2506,DY$5)</f>
        <v>151620</v>
      </c>
      <c r="DZ40" s="83">
        <f>SUMIFS('Dataset 1'!$E$7:$E$2506,'Dataset 1'!$B$7:$B$2506,"&lt;="&amp;$A40,'Dataset 1'!$J$7:$J$2506,DZ$5)</f>
        <v>1200</v>
      </c>
      <c r="EA40" s="83">
        <f>SUMIFS('Dataset 1'!$E$7:$E$2506,'Dataset 1'!$B$7:$B$2506,"&lt;="&amp;$A40,'Dataset 1'!$J$7:$J$2506,EA$5)</f>
        <v>180</v>
      </c>
      <c r="EB40" s="83">
        <f>SUMIFS('Dataset 1'!$E$7:$E$2506,'Dataset 1'!$B$7:$B$2506,"&lt;="&amp;$A40,'Dataset 1'!$J$7:$J$2506,EB$5)</f>
        <v>300</v>
      </c>
      <c r="EC40" s="83">
        <f>SUMIFS('Dataset 1'!$E$7:$E$2506,'Dataset 1'!$B$7:$B$2506,"&lt;="&amp;$A40,'Dataset 1'!$J$7:$J$2506,EC$5)</f>
        <v>3960</v>
      </c>
      <c r="ED40" s="83">
        <f>SUMIFS('Dataset 1'!$E$7:$E$2506,'Dataset 1'!$B$7:$B$2506,"&lt;="&amp;$A40,'Dataset 1'!$J$7:$J$2506,ED$5)</f>
        <v>4430</v>
      </c>
      <c r="EE40" s="83">
        <f>SUMIFS('Dataset 1'!$E$7:$E$2506,'Dataset 1'!$B$7:$B$2506,"&lt;="&amp;$A40,'Dataset 1'!$J$7:$J$2506,EE$5)</f>
        <v>470</v>
      </c>
      <c r="EF40" s="83">
        <f>SUMIFS('Dataset 1'!$E$7:$E$2506,'Dataset 1'!$B$7:$B$2506,"&lt;="&amp;$A40,'Dataset 1'!$J$7:$J$2506,EF$5)</f>
        <v>2010</v>
      </c>
      <c r="EG40" s="83">
        <f>SUMIFS('Dataset 1'!$E$7:$E$2506,'Dataset 1'!$B$7:$B$2506,"&lt;="&amp;$A40,'Dataset 1'!$J$7:$J$2506,EG$5)</f>
        <v>850</v>
      </c>
    </row>
    <row r="41" spans="1:137" x14ac:dyDescent="0.2">
      <c r="A41">
        <v>2017</v>
      </c>
      <c r="B41" s="83">
        <f>SUMIFS('Dataset 1'!$E$7:$E$2506,'Dataset 1'!$B$7:$B$2506,"&lt;="&amp;$A41,'Dataset 1'!$J$7:$J$2506,B$5)</f>
        <v>2920</v>
      </c>
      <c r="C41" s="83">
        <f>SUMIFS('Dataset 1'!$E$7:$E$2506,'Dataset 1'!$B$7:$B$2506,"&lt;="&amp;$A41,'Dataset 1'!$J$7:$J$2506,C$5)</f>
        <v>0</v>
      </c>
      <c r="D41" s="83">
        <f>SUMIFS('Dataset 1'!$E$7:$E$2506,'Dataset 1'!$B$7:$B$2506,"&lt;="&amp;$A41,'Dataset 1'!$J$7:$J$2506,D$5)</f>
        <v>5150</v>
      </c>
      <c r="E41" s="83">
        <f>SUMIFS('Dataset 1'!$E$7:$E$2506,'Dataset 1'!$B$7:$B$2506,"&lt;="&amp;$A41,'Dataset 1'!$J$7:$J$2506,E$5)</f>
        <v>740</v>
      </c>
      <c r="F41" s="83">
        <f>SUMIFS('Dataset 1'!$E$7:$E$2506,'Dataset 1'!$B$7:$B$2506,"&lt;="&amp;$A41,'Dataset 1'!$J$7:$J$2506,F$5)</f>
        <v>8630</v>
      </c>
      <c r="G41" s="83">
        <f>SUMIFS('Dataset 1'!$E$7:$E$2506,'Dataset 1'!$B$7:$B$2506,"&lt;="&amp;$A41,'Dataset 1'!$J$7:$J$2506,G$5)</f>
        <v>93340</v>
      </c>
      <c r="H41" s="83">
        <f>SUMIFS('Dataset 1'!$E$7:$E$2506,'Dataset 1'!$B$7:$B$2506,"&lt;="&amp;$A41,'Dataset 1'!$J$7:$J$2506,H$5)</f>
        <v>510</v>
      </c>
      <c r="I41" s="83">
        <f>SUMIFS('Dataset 1'!$E$7:$E$2506,'Dataset 1'!$B$7:$B$2506,"&lt;="&amp;$A41,'Dataset 1'!$J$7:$J$2506,I$5)</f>
        <v>0</v>
      </c>
      <c r="J41" s="83">
        <f>SUMIFS('Dataset 1'!$E$7:$E$2506,'Dataset 1'!$B$7:$B$2506,"&lt;="&amp;$A41,'Dataset 1'!$J$7:$J$2506,J$5)</f>
        <v>350</v>
      </c>
      <c r="K41" s="83">
        <f>SUMIFS('Dataset 1'!$E$7:$E$2506,'Dataset 1'!$B$7:$B$2506,"&lt;="&amp;$A41,'Dataset 1'!$J$7:$J$2506,K$5)</f>
        <v>1850</v>
      </c>
      <c r="L41" s="83">
        <f>SUMIFS('Dataset 1'!$E$7:$E$2506,'Dataset 1'!$B$7:$B$2506,"&lt;="&amp;$A41,'Dataset 1'!$J$7:$J$2506,L$5)</f>
        <v>400</v>
      </c>
      <c r="M41" s="83">
        <f>SUMIFS('Dataset 1'!$E$7:$E$2506,'Dataset 1'!$B$7:$B$2506,"&lt;="&amp;$A41,'Dataset 1'!$J$7:$J$2506,M$5)</f>
        <v>4410</v>
      </c>
      <c r="N41" s="83">
        <f>SUMIFS('Dataset 1'!$E$7:$E$2506,'Dataset 1'!$B$7:$B$2506,"&lt;="&amp;$A41,'Dataset 1'!$J$7:$J$2506,N$5)</f>
        <v>0</v>
      </c>
      <c r="O41" s="83">
        <f>SUMIFS('Dataset 1'!$E$7:$E$2506,'Dataset 1'!$B$7:$B$2506,"&lt;="&amp;$A41,'Dataset 1'!$J$7:$J$2506,O$5)</f>
        <v>0</v>
      </c>
      <c r="P41" s="83">
        <f>SUMIFS('Dataset 1'!$E$7:$E$2506,'Dataset 1'!$B$7:$B$2506,"&lt;="&amp;$A41,'Dataset 1'!$J$7:$J$2506,P$5)</f>
        <v>0</v>
      </c>
      <c r="Q41" s="83">
        <f>SUMIFS('Dataset 1'!$E$7:$E$2506,'Dataset 1'!$B$7:$B$2506,"&lt;="&amp;$A41,'Dataset 1'!$J$7:$J$2506,Q$5)</f>
        <v>54660</v>
      </c>
      <c r="R41" s="83">
        <f>SUMIFS('Dataset 1'!$E$7:$E$2506,'Dataset 1'!$B$7:$B$2506,"&lt;="&amp;$A41,'Dataset 1'!$J$7:$J$2506,R$5)</f>
        <v>74270</v>
      </c>
      <c r="S41" s="83">
        <f>SUMIFS('Dataset 1'!$E$7:$E$2506,'Dataset 1'!$B$7:$B$2506,"&lt;="&amp;$A41,'Dataset 1'!$J$7:$J$2506,S$5)</f>
        <v>3440</v>
      </c>
      <c r="T41" s="83">
        <f>SUMIFS('Dataset 1'!$E$7:$E$2506,'Dataset 1'!$B$7:$B$2506,"&lt;="&amp;$A41,'Dataset 1'!$J$7:$J$2506,T$5)</f>
        <v>120</v>
      </c>
      <c r="U41" s="83">
        <f>SUMIFS('Dataset 1'!$E$7:$E$2506,'Dataset 1'!$B$7:$B$2506,"&lt;="&amp;$A41,'Dataset 1'!$J$7:$J$2506,U$5)</f>
        <v>5870</v>
      </c>
      <c r="V41" s="83">
        <f>SUMIFS('Dataset 1'!$E$7:$E$2506,'Dataset 1'!$B$7:$B$2506,"&lt;="&amp;$A41,'Dataset 1'!$J$7:$J$2506,V$5)</f>
        <v>1900</v>
      </c>
      <c r="W41" s="83">
        <f>SUMIFS('Dataset 1'!$E$7:$E$2506,'Dataset 1'!$B$7:$B$2506,"&lt;="&amp;$A41,'Dataset 1'!$J$7:$J$2506,W$5)</f>
        <v>48720</v>
      </c>
      <c r="X41" s="83">
        <f>SUMIFS('Dataset 1'!$E$7:$E$2506,'Dataset 1'!$B$7:$B$2506,"&lt;="&amp;$A41,'Dataset 1'!$J$7:$J$2506,X$5)</f>
        <v>1630</v>
      </c>
      <c r="Y41" s="83">
        <f>SUMIFS('Dataset 1'!$E$7:$E$2506,'Dataset 1'!$B$7:$B$2506,"&lt;="&amp;$A41,'Dataset 1'!$J$7:$J$2506,Y$5)</f>
        <v>2450</v>
      </c>
      <c r="Z41" s="83">
        <f>SUMIFS('Dataset 1'!$E$7:$E$2506,'Dataset 1'!$B$7:$B$2506,"&lt;="&amp;$A41,'Dataset 1'!$J$7:$J$2506,Z$5)</f>
        <v>1410</v>
      </c>
      <c r="AA41" s="83">
        <f>SUMIFS('Dataset 1'!$E$7:$E$2506,'Dataset 1'!$B$7:$B$2506,"&lt;="&amp;$A41,'Dataset 1'!$J$7:$J$2506,AA$5)</f>
        <v>2290</v>
      </c>
      <c r="AB41" s="83">
        <f>SUMIFS('Dataset 1'!$E$7:$E$2506,'Dataset 1'!$B$7:$B$2506,"&lt;="&amp;$A41,'Dataset 1'!$J$7:$J$2506,AB$5)</f>
        <v>0</v>
      </c>
      <c r="AC41" s="83">
        <f>SUMIFS('Dataset 1'!$E$7:$E$2506,'Dataset 1'!$B$7:$B$2506,"&lt;="&amp;$A41,'Dataset 1'!$J$7:$J$2506,AC$5)</f>
        <v>500</v>
      </c>
      <c r="AD41" s="83">
        <f>SUMIFS('Dataset 1'!$E$7:$E$2506,'Dataset 1'!$B$7:$B$2506,"&lt;="&amp;$A41,'Dataset 1'!$J$7:$J$2506,AD$5)</f>
        <v>0</v>
      </c>
      <c r="AE41" s="83">
        <f>SUMIFS('Dataset 1'!$E$7:$E$2506,'Dataset 1'!$B$7:$B$2506,"&lt;="&amp;$A41,'Dataset 1'!$J$7:$J$2506,AE$5)</f>
        <v>510</v>
      </c>
      <c r="AF41" s="83">
        <f>SUMIFS('Dataset 1'!$E$7:$E$2506,'Dataset 1'!$B$7:$B$2506,"&lt;="&amp;$A41,'Dataset 1'!$J$7:$J$2506,AF$5)</f>
        <v>10900</v>
      </c>
      <c r="AG41" s="83">
        <f>SUMIFS('Dataset 1'!$E$7:$E$2506,'Dataset 1'!$B$7:$B$2506,"&lt;="&amp;$A41,'Dataset 1'!$J$7:$J$2506,AG$5)</f>
        <v>730</v>
      </c>
      <c r="AH41" s="83">
        <f>SUMIFS('Dataset 1'!$E$7:$E$2506,'Dataset 1'!$B$7:$B$2506,"&lt;="&amp;$A41,'Dataset 1'!$J$7:$J$2506,AH$5)</f>
        <v>190</v>
      </c>
      <c r="AI41" s="83">
        <f>SUMIFS('Dataset 1'!$E$7:$E$2506,'Dataset 1'!$B$7:$B$2506,"&lt;="&amp;$A41,'Dataset 1'!$J$7:$J$2506,AI$5)</f>
        <v>5250</v>
      </c>
      <c r="AJ41" s="83">
        <f>SUMIFS('Dataset 1'!$E$7:$E$2506,'Dataset 1'!$B$7:$B$2506,"&lt;="&amp;$A41,'Dataset 1'!$J$7:$J$2506,AJ$5)</f>
        <v>5160</v>
      </c>
      <c r="AK41" s="83">
        <f>SUMIFS('Dataset 1'!$E$7:$E$2506,'Dataset 1'!$B$7:$B$2506,"&lt;="&amp;$A41,'Dataset 1'!$J$7:$J$2506,AK$5)</f>
        <v>0</v>
      </c>
      <c r="AL41" s="83">
        <f>SUMIFS('Dataset 1'!$E$7:$E$2506,'Dataset 1'!$B$7:$B$2506,"&lt;="&amp;$A41,'Dataset 1'!$J$7:$J$2506,AL$5)</f>
        <v>790</v>
      </c>
      <c r="AM41" s="83">
        <f>SUMIFS('Dataset 1'!$E$7:$E$2506,'Dataset 1'!$B$7:$B$2506,"&lt;="&amp;$A41,'Dataset 1'!$J$7:$J$2506,AM$5)</f>
        <v>8890</v>
      </c>
      <c r="AN41" s="83">
        <f>SUMIFS('Dataset 1'!$E$7:$E$2506,'Dataset 1'!$B$7:$B$2506,"&lt;="&amp;$A41,'Dataset 1'!$J$7:$J$2506,AN$5)</f>
        <v>19360</v>
      </c>
      <c r="AO41" s="83">
        <f>SUMIFS('Dataset 1'!$E$7:$E$2506,'Dataset 1'!$B$7:$B$2506,"&lt;="&amp;$A41,'Dataset 1'!$J$7:$J$2506,AO$5)</f>
        <v>400</v>
      </c>
      <c r="AP41" s="83">
        <f>SUMIFS('Dataset 1'!$E$7:$E$2506,'Dataset 1'!$B$7:$B$2506,"&lt;="&amp;$A41,'Dataset 1'!$J$7:$J$2506,AP$5)</f>
        <v>370</v>
      </c>
      <c r="AQ41" s="83">
        <f>SUMIFS('Dataset 1'!$E$7:$E$2506,'Dataset 1'!$B$7:$B$2506,"&lt;="&amp;$A41,'Dataset 1'!$J$7:$J$2506,AQ$5)</f>
        <v>28930</v>
      </c>
      <c r="AR41" s="83">
        <f>SUMIFS('Dataset 1'!$E$7:$E$2506,'Dataset 1'!$B$7:$B$2506,"&lt;="&amp;$A41,'Dataset 1'!$J$7:$J$2506,AR$5)</f>
        <v>2100</v>
      </c>
      <c r="AS41" s="83">
        <f>SUMIFS('Dataset 1'!$E$7:$E$2506,'Dataset 1'!$B$7:$B$2506,"&lt;="&amp;$A41,'Dataset 1'!$J$7:$J$2506,AS$5)</f>
        <v>8980</v>
      </c>
      <c r="AT41" s="83">
        <f>SUMIFS('Dataset 1'!$E$7:$E$2506,'Dataset 1'!$B$7:$B$2506,"&lt;="&amp;$A41,'Dataset 1'!$J$7:$J$2506,AT$5)</f>
        <v>3860</v>
      </c>
      <c r="AU41" s="83">
        <f>SUMIFS('Dataset 1'!$E$7:$E$2506,'Dataset 1'!$B$7:$B$2506,"&lt;="&amp;$A41,'Dataset 1'!$J$7:$J$2506,AU$5)</f>
        <v>170</v>
      </c>
      <c r="AV41" s="83">
        <f>SUMIFS('Dataset 1'!$E$7:$E$2506,'Dataset 1'!$B$7:$B$2506,"&lt;="&amp;$A41,'Dataset 1'!$J$7:$J$2506,AV$5)</f>
        <v>100</v>
      </c>
      <c r="AW41" s="83">
        <f>SUMIFS('Dataset 1'!$E$7:$E$2506,'Dataset 1'!$B$7:$B$2506,"&lt;="&amp;$A41,'Dataset 1'!$J$7:$J$2506,AW$5)</f>
        <v>3520</v>
      </c>
      <c r="AX41" s="83">
        <f>SUMIFS('Dataset 1'!$E$7:$E$2506,'Dataset 1'!$B$7:$B$2506,"&lt;="&amp;$A41,'Dataset 1'!$J$7:$J$2506,AX$5)</f>
        <v>7690</v>
      </c>
      <c r="AY41" s="83">
        <f>SUMIFS('Dataset 1'!$E$7:$E$2506,'Dataset 1'!$B$7:$B$2506,"&lt;="&amp;$A41,'Dataset 1'!$J$7:$J$2506,AY$5)</f>
        <v>16380</v>
      </c>
      <c r="AZ41" s="83">
        <f>SUMIFS('Dataset 1'!$E$7:$E$2506,'Dataset 1'!$B$7:$B$2506,"&lt;="&amp;$A41,'Dataset 1'!$J$7:$J$2506,AZ$5)</f>
        <v>4720</v>
      </c>
      <c r="BA41" s="83">
        <f>SUMIFS('Dataset 1'!$E$7:$E$2506,'Dataset 1'!$B$7:$B$2506,"&lt;="&amp;$A41,'Dataset 1'!$J$7:$J$2506,BA$5)</f>
        <v>10650</v>
      </c>
      <c r="BB41" s="83">
        <f>SUMIFS('Dataset 1'!$E$7:$E$2506,'Dataset 1'!$B$7:$B$2506,"&lt;="&amp;$A41,'Dataset 1'!$J$7:$J$2506,BB$5)</f>
        <v>6800</v>
      </c>
      <c r="BC41" s="83">
        <f>SUMIFS('Dataset 1'!$E$7:$E$2506,'Dataset 1'!$B$7:$B$2506,"&lt;="&amp;$A41,'Dataset 1'!$J$7:$J$2506,BC$5)</f>
        <v>9560</v>
      </c>
      <c r="BD41" s="83">
        <f>SUMIFS('Dataset 1'!$E$7:$E$2506,'Dataset 1'!$B$7:$B$2506,"&lt;="&amp;$A41,'Dataset 1'!$J$7:$J$2506,BD$5)</f>
        <v>21310</v>
      </c>
      <c r="BE41" s="83">
        <f>SUMIFS('Dataset 1'!$E$7:$E$2506,'Dataset 1'!$B$7:$B$2506,"&lt;="&amp;$A41,'Dataset 1'!$J$7:$J$2506,BE$5)</f>
        <v>0</v>
      </c>
      <c r="BF41" s="83">
        <f>SUMIFS('Dataset 1'!$E$7:$E$2506,'Dataset 1'!$B$7:$B$2506,"&lt;="&amp;$A41,'Dataset 1'!$J$7:$J$2506,BF$5)</f>
        <v>1170</v>
      </c>
      <c r="BG41" s="83">
        <f>SUMIFS('Dataset 1'!$E$7:$E$2506,'Dataset 1'!$B$7:$B$2506,"&lt;="&amp;$A41,'Dataset 1'!$J$7:$J$2506,BG$5)</f>
        <v>8850</v>
      </c>
      <c r="BH41" s="83">
        <f>SUMIFS('Dataset 1'!$E$7:$E$2506,'Dataset 1'!$B$7:$B$2506,"&lt;="&amp;$A41,'Dataset 1'!$J$7:$J$2506,BH$5)</f>
        <v>1300</v>
      </c>
      <c r="BI41" s="83">
        <f>SUMIFS('Dataset 1'!$E$7:$E$2506,'Dataset 1'!$B$7:$B$2506,"&lt;="&amp;$A41,'Dataset 1'!$J$7:$J$2506,BI$5)</f>
        <v>18480</v>
      </c>
      <c r="BJ41" s="83">
        <f>SUMIFS('Dataset 1'!$E$7:$E$2506,'Dataset 1'!$B$7:$B$2506,"&lt;="&amp;$A41,'Dataset 1'!$J$7:$J$2506,BJ$5)</f>
        <v>730</v>
      </c>
      <c r="BK41" s="83">
        <f>SUMIFS('Dataset 1'!$E$7:$E$2506,'Dataset 1'!$B$7:$B$2506,"&lt;="&amp;$A41,'Dataset 1'!$J$7:$J$2506,BK$5)</f>
        <v>0</v>
      </c>
      <c r="BL41" s="83">
        <f>SUMIFS('Dataset 1'!$E$7:$E$2506,'Dataset 1'!$B$7:$B$2506,"&lt;="&amp;$A41,'Dataset 1'!$J$7:$J$2506,BL$5)</f>
        <v>670</v>
      </c>
      <c r="BM41" s="83">
        <f>SUMIFS('Dataset 1'!$E$7:$E$2506,'Dataset 1'!$B$7:$B$2506,"&lt;="&amp;$A41,'Dataset 1'!$J$7:$J$2506,BM$5)</f>
        <v>5580</v>
      </c>
      <c r="BN41" s="83">
        <f>SUMIFS('Dataset 1'!$E$7:$E$2506,'Dataset 1'!$B$7:$B$2506,"&lt;="&amp;$A41,'Dataset 1'!$J$7:$J$2506,BN$5)</f>
        <v>520</v>
      </c>
      <c r="BO41" s="83">
        <f>SUMIFS('Dataset 1'!$E$7:$E$2506,'Dataset 1'!$B$7:$B$2506,"&lt;="&amp;$A41,'Dataset 1'!$J$7:$J$2506,BO$5)</f>
        <v>2320</v>
      </c>
      <c r="BP41" s="83">
        <f>SUMIFS('Dataset 1'!$E$7:$E$2506,'Dataset 1'!$B$7:$B$2506,"&lt;="&amp;$A41,'Dataset 1'!$J$7:$J$2506,BP$5)</f>
        <v>150</v>
      </c>
      <c r="BQ41" s="83">
        <f>SUMIFS('Dataset 1'!$E$7:$E$2506,'Dataset 1'!$B$7:$B$2506,"&lt;="&amp;$A41,'Dataset 1'!$J$7:$J$2506,BQ$5)</f>
        <v>100</v>
      </c>
      <c r="BR41" s="83">
        <f>SUMIFS('Dataset 1'!$E$7:$E$2506,'Dataset 1'!$B$7:$B$2506,"&lt;="&amp;$A41,'Dataset 1'!$J$7:$J$2506,BR$5)</f>
        <v>16250</v>
      </c>
      <c r="BS41" s="83">
        <f>SUMIFS('Dataset 1'!$E$7:$E$2506,'Dataset 1'!$B$7:$B$2506,"&lt;="&amp;$A41,'Dataset 1'!$J$7:$J$2506,BS$5)</f>
        <v>0</v>
      </c>
      <c r="BT41" s="83">
        <f>SUMIFS('Dataset 1'!$E$7:$E$2506,'Dataset 1'!$B$7:$B$2506,"&lt;="&amp;$A41,'Dataset 1'!$J$7:$J$2506,BT$5)</f>
        <v>0</v>
      </c>
      <c r="BU41" s="83">
        <f>SUMIFS('Dataset 1'!$E$7:$E$2506,'Dataset 1'!$B$7:$B$2506,"&lt;="&amp;$A41,'Dataset 1'!$J$7:$J$2506,BU$5)</f>
        <v>440</v>
      </c>
      <c r="BV41" s="83">
        <f>SUMIFS('Dataset 1'!$E$7:$E$2506,'Dataset 1'!$B$7:$B$2506,"&lt;="&amp;$A41,'Dataset 1'!$J$7:$J$2506,BV$5)</f>
        <v>740</v>
      </c>
      <c r="BW41" s="83">
        <f>SUMIFS('Dataset 1'!$E$7:$E$2506,'Dataset 1'!$B$7:$B$2506,"&lt;="&amp;$A41,'Dataset 1'!$J$7:$J$2506,BW$5)</f>
        <v>2510</v>
      </c>
      <c r="BX41" s="83">
        <f>SUMIFS('Dataset 1'!$E$7:$E$2506,'Dataset 1'!$B$7:$B$2506,"&lt;="&amp;$A41,'Dataset 1'!$J$7:$J$2506,BX$5)</f>
        <v>4660</v>
      </c>
      <c r="BY41" s="83">
        <f>SUMIFS('Dataset 1'!$E$7:$E$2506,'Dataset 1'!$B$7:$B$2506,"&lt;="&amp;$A41,'Dataset 1'!$J$7:$J$2506,BY$5)</f>
        <v>100</v>
      </c>
      <c r="BZ41" s="83">
        <f>SUMIFS('Dataset 1'!$E$7:$E$2506,'Dataset 1'!$B$7:$B$2506,"&lt;="&amp;$A41,'Dataset 1'!$J$7:$J$2506,BZ$5)</f>
        <v>0</v>
      </c>
      <c r="CA41" s="83">
        <f>SUMIFS('Dataset 1'!$E$7:$E$2506,'Dataset 1'!$B$7:$B$2506,"&lt;="&amp;$A41,'Dataset 1'!$J$7:$J$2506,CA$5)</f>
        <v>4820</v>
      </c>
      <c r="CB41" s="83">
        <f>SUMIFS('Dataset 1'!$E$7:$E$2506,'Dataset 1'!$B$7:$B$2506,"&lt;="&amp;$A41,'Dataset 1'!$J$7:$J$2506,CB$5)</f>
        <v>5730</v>
      </c>
      <c r="CC41" s="83">
        <f>SUMIFS('Dataset 1'!$E$7:$E$2506,'Dataset 1'!$B$7:$B$2506,"&lt;="&amp;$A41,'Dataset 1'!$J$7:$J$2506,CC$5)</f>
        <v>2430</v>
      </c>
      <c r="CD41" s="83">
        <f>SUMIFS('Dataset 1'!$E$7:$E$2506,'Dataset 1'!$B$7:$B$2506,"&lt;="&amp;$A41,'Dataset 1'!$J$7:$J$2506,CD$5)</f>
        <v>600</v>
      </c>
      <c r="CE41" s="83">
        <f>SUMIFS('Dataset 1'!$E$7:$E$2506,'Dataset 1'!$B$7:$B$2506,"&lt;="&amp;$A41,'Dataset 1'!$J$7:$J$2506,CE$5)</f>
        <v>13280</v>
      </c>
      <c r="CF41" s="83">
        <f>SUMIFS('Dataset 1'!$E$7:$E$2506,'Dataset 1'!$B$7:$B$2506,"&lt;="&amp;$A41,'Dataset 1'!$J$7:$J$2506,CF$5)</f>
        <v>3120</v>
      </c>
      <c r="CG41" s="83">
        <f>SUMIFS('Dataset 1'!$E$7:$E$2506,'Dataset 1'!$B$7:$B$2506,"&lt;="&amp;$A41,'Dataset 1'!$J$7:$J$2506,CG$5)</f>
        <v>300</v>
      </c>
      <c r="CH41" s="83">
        <f>SUMIFS('Dataset 1'!$E$7:$E$2506,'Dataset 1'!$B$7:$B$2506,"&lt;="&amp;$A41,'Dataset 1'!$J$7:$J$2506,CH$5)</f>
        <v>4870</v>
      </c>
      <c r="CI41" s="83">
        <f>SUMIFS('Dataset 1'!$E$7:$E$2506,'Dataset 1'!$B$7:$B$2506,"&lt;="&amp;$A41,'Dataset 1'!$J$7:$J$2506,CI$5)</f>
        <v>5240</v>
      </c>
      <c r="CJ41" s="83">
        <f>SUMIFS('Dataset 1'!$E$7:$E$2506,'Dataset 1'!$B$7:$B$2506,"&lt;="&amp;$A41,'Dataset 1'!$J$7:$J$2506,CJ$5)</f>
        <v>2000</v>
      </c>
      <c r="CK41" s="83">
        <f>SUMIFS('Dataset 1'!$E$7:$E$2506,'Dataset 1'!$B$7:$B$2506,"&lt;="&amp;$A41,'Dataset 1'!$J$7:$J$2506,CK$5)</f>
        <v>6320</v>
      </c>
      <c r="CL41" s="83">
        <f>SUMIFS('Dataset 1'!$E$7:$E$2506,'Dataset 1'!$B$7:$B$2506,"&lt;="&amp;$A41,'Dataset 1'!$J$7:$J$2506,CL$5)</f>
        <v>1040</v>
      </c>
      <c r="CM41" s="83">
        <f>SUMIFS('Dataset 1'!$E$7:$E$2506,'Dataset 1'!$B$7:$B$2506,"&lt;="&amp;$A41,'Dataset 1'!$J$7:$J$2506,CM$5)</f>
        <v>12660</v>
      </c>
      <c r="CN41" s="83">
        <f>SUMIFS('Dataset 1'!$E$7:$E$2506,'Dataset 1'!$B$7:$B$2506,"&lt;="&amp;$A41,'Dataset 1'!$J$7:$J$2506,CN$5)</f>
        <v>310</v>
      </c>
      <c r="CO41" s="83">
        <f>SUMIFS('Dataset 1'!$E$7:$E$2506,'Dataset 1'!$B$7:$B$2506,"&lt;="&amp;$A41,'Dataset 1'!$J$7:$J$2506,CO$5)</f>
        <v>2060</v>
      </c>
      <c r="CP41" s="83">
        <f>SUMIFS('Dataset 1'!$E$7:$E$2506,'Dataset 1'!$B$7:$B$2506,"&lt;="&amp;$A41,'Dataset 1'!$J$7:$J$2506,CP$5)</f>
        <v>15240</v>
      </c>
      <c r="CQ41" s="83">
        <f>SUMIFS('Dataset 1'!$E$7:$E$2506,'Dataset 1'!$B$7:$B$2506,"&lt;="&amp;$A41,'Dataset 1'!$J$7:$J$2506,CQ$5)</f>
        <v>1770</v>
      </c>
      <c r="CR41" s="83">
        <f>SUMIFS('Dataset 1'!$E$7:$E$2506,'Dataset 1'!$B$7:$B$2506,"&lt;="&amp;$A41,'Dataset 1'!$J$7:$J$2506,CR$5)</f>
        <v>990</v>
      </c>
      <c r="CS41" s="83">
        <f>SUMIFS('Dataset 1'!$E$7:$E$2506,'Dataset 1'!$B$7:$B$2506,"&lt;="&amp;$A41,'Dataset 1'!$J$7:$J$2506,CS$5)</f>
        <v>9120</v>
      </c>
      <c r="CT41" s="83">
        <f>SUMIFS('Dataset 1'!$E$7:$E$2506,'Dataset 1'!$B$7:$B$2506,"&lt;="&amp;$A41,'Dataset 1'!$J$7:$J$2506,CT$5)</f>
        <v>100</v>
      </c>
      <c r="CU41" s="83">
        <f>SUMIFS('Dataset 1'!$E$7:$E$2506,'Dataset 1'!$B$7:$B$2506,"&lt;="&amp;$A41,'Dataset 1'!$J$7:$J$2506,CU$5)</f>
        <v>28240</v>
      </c>
      <c r="CV41" s="83">
        <f>SUMIFS('Dataset 1'!$E$7:$E$2506,'Dataset 1'!$B$7:$B$2506,"&lt;="&amp;$A41,'Dataset 1'!$J$7:$J$2506,CV$5)</f>
        <v>120</v>
      </c>
      <c r="CW41" s="83">
        <f>SUMIFS('Dataset 1'!$E$7:$E$2506,'Dataset 1'!$B$7:$B$2506,"&lt;="&amp;$A41,'Dataset 1'!$J$7:$J$2506,CW$5)</f>
        <v>110</v>
      </c>
      <c r="CX41" s="83">
        <f>SUMIFS('Dataset 1'!$E$7:$E$2506,'Dataset 1'!$B$7:$B$2506,"&lt;="&amp;$A41,'Dataset 1'!$J$7:$J$2506,CX$5)</f>
        <v>270</v>
      </c>
      <c r="CY41" s="83">
        <f>SUMIFS('Dataset 1'!$E$7:$E$2506,'Dataset 1'!$B$7:$B$2506,"&lt;="&amp;$A41,'Dataset 1'!$J$7:$J$2506,CY$5)</f>
        <v>4910</v>
      </c>
      <c r="CZ41" s="83">
        <f>SUMIFS('Dataset 1'!$E$7:$E$2506,'Dataset 1'!$B$7:$B$2506,"&lt;="&amp;$A41,'Dataset 1'!$J$7:$J$2506,CZ$5)</f>
        <v>1090</v>
      </c>
      <c r="DA41" s="83">
        <f>SUMIFS('Dataset 1'!$E$7:$E$2506,'Dataset 1'!$B$7:$B$2506,"&lt;="&amp;$A41,'Dataset 1'!$J$7:$J$2506,DA$5)</f>
        <v>2290</v>
      </c>
      <c r="DB41" s="83">
        <f>SUMIFS('Dataset 1'!$E$7:$E$2506,'Dataset 1'!$B$7:$B$2506,"&lt;="&amp;$A41,'Dataset 1'!$J$7:$J$2506,DB$5)</f>
        <v>32000</v>
      </c>
      <c r="DC41" s="83">
        <f>SUMIFS('Dataset 1'!$E$7:$E$2506,'Dataset 1'!$B$7:$B$2506,"&lt;="&amp;$A41,'Dataset 1'!$J$7:$J$2506,DC$5)</f>
        <v>0</v>
      </c>
      <c r="DD41" s="83">
        <f>SUMIFS('Dataset 1'!$E$7:$E$2506,'Dataset 1'!$B$7:$B$2506,"&lt;="&amp;$A41,'Dataset 1'!$J$7:$J$2506,DD$5)</f>
        <v>1050</v>
      </c>
      <c r="DE41" s="83">
        <f>SUMIFS('Dataset 1'!$E$7:$E$2506,'Dataset 1'!$B$7:$B$2506,"&lt;="&amp;$A41,'Dataset 1'!$J$7:$J$2506,DE$5)</f>
        <v>0</v>
      </c>
      <c r="DF41" s="83">
        <f>SUMIFS('Dataset 1'!$E$7:$E$2506,'Dataset 1'!$B$7:$B$2506,"&lt;="&amp;$A41,'Dataset 1'!$J$7:$J$2506,DF$5)</f>
        <v>10590</v>
      </c>
      <c r="DG41" s="83">
        <f>SUMIFS('Dataset 1'!$E$7:$E$2506,'Dataset 1'!$B$7:$B$2506,"&lt;="&amp;$A41,'Dataset 1'!$J$7:$J$2506,DG$5)</f>
        <v>9220</v>
      </c>
      <c r="DH41" s="83">
        <f>SUMIFS('Dataset 1'!$E$7:$E$2506,'Dataset 1'!$B$7:$B$2506,"&lt;="&amp;$A41,'Dataset 1'!$J$7:$J$2506,DH$5)</f>
        <v>5870</v>
      </c>
      <c r="DI41" s="83">
        <f>SUMIFS('Dataset 1'!$E$7:$E$2506,'Dataset 1'!$B$7:$B$2506,"&lt;="&amp;$A41,'Dataset 1'!$J$7:$J$2506,DI$5)</f>
        <v>1080</v>
      </c>
      <c r="DJ41" s="83">
        <f>SUMIFS('Dataset 1'!$E$7:$E$2506,'Dataset 1'!$B$7:$B$2506,"&lt;="&amp;$A41,'Dataset 1'!$J$7:$J$2506,DJ$5)</f>
        <v>260</v>
      </c>
      <c r="DK41" s="83">
        <f>SUMIFS('Dataset 1'!$E$7:$E$2506,'Dataset 1'!$B$7:$B$2506,"&lt;="&amp;$A41,'Dataset 1'!$J$7:$J$2506,DK$5)</f>
        <v>0</v>
      </c>
      <c r="DL41" s="83">
        <f>SUMIFS('Dataset 1'!$E$7:$E$2506,'Dataset 1'!$B$7:$B$2506,"&lt;="&amp;$A41,'Dataset 1'!$J$7:$J$2506,DL$5)</f>
        <v>7160</v>
      </c>
      <c r="DM41" s="83">
        <f>SUMIFS('Dataset 1'!$E$7:$E$2506,'Dataset 1'!$B$7:$B$2506,"&lt;="&amp;$A41,'Dataset 1'!$J$7:$J$2506,DM$5)</f>
        <v>60710</v>
      </c>
      <c r="DN41" s="83">
        <f>SUMIFS('Dataset 1'!$E$7:$E$2506,'Dataset 1'!$B$7:$B$2506,"&lt;="&amp;$A41,'Dataset 1'!$J$7:$J$2506,DN$5)</f>
        <v>3760</v>
      </c>
      <c r="DO41" s="83">
        <f>SUMIFS('Dataset 1'!$E$7:$E$2506,'Dataset 1'!$B$7:$B$2506,"&lt;="&amp;$A41,'Dataset 1'!$J$7:$J$2506,DO$5)</f>
        <v>140</v>
      </c>
      <c r="DP41" s="83">
        <f>SUMIFS('Dataset 1'!$E$7:$E$2506,'Dataset 1'!$B$7:$B$2506,"&lt;="&amp;$A41,'Dataset 1'!$J$7:$J$2506,DP$5)</f>
        <v>520</v>
      </c>
      <c r="DQ41" s="83">
        <f>SUMIFS('Dataset 1'!$E$7:$E$2506,'Dataset 1'!$B$7:$B$2506,"&lt;="&amp;$A41,'Dataset 1'!$J$7:$J$2506,DQ$5)</f>
        <v>0</v>
      </c>
      <c r="DR41" s="83">
        <f>SUMIFS('Dataset 1'!$E$7:$E$2506,'Dataset 1'!$B$7:$B$2506,"&lt;="&amp;$A41,'Dataset 1'!$J$7:$J$2506,DR$5)</f>
        <v>3520</v>
      </c>
      <c r="DS41" s="83">
        <f>SUMIFS('Dataset 1'!$E$7:$E$2506,'Dataset 1'!$B$7:$B$2506,"&lt;="&amp;$A41,'Dataset 1'!$J$7:$J$2506,DS$5)</f>
        <v>190</v>
      </c>
      <c r="DT41" s="83">
        <f>SUMIFS('Dataset 1'!$E$7:$E$2506,'Dataset 1'!$B$7:$B$2506,"&lt;="&amp;$A41,'Dataset 1'!$J$7:$J$2506,DT$5)</f>
        <v>1170</v>
      </c>
      <c r="DU41" s="83">
        <f>SUMIFS('Dataset 1'!$E$7:$E$2506,'Dataset 1'!$B$7:$B$2506,"&lt;="&amp;$A41,'Dataset 1'!$J$7:$J$2506,DU$5)</f>
        <v>0</v>
      </c>
      <c r="DV41" s="83">
        <f>SUMIFS('Dataset 1'!$E$7:$E$2506,'Dataset 1'!$B$7:$B$2506,"&lt;="&amp;$A41,'Dataset 1'!$J$7:$J$2506,DV$5)</f>
        <v>3790</v>
      </c>
      <c r="DW41" s="83">
        <f>SUMIFS('Dataset 1'!$E$7:$E$2506,'Dataset 1'!$B$7:$B$2506,"&lt;="&amp;$A41,'Dataset 1'!$J$7:$J$2506,DW$5)</f>
        <v>1790</v>
      </c>
      <c r="DX41" s="83">
        <f>SUMIFS('Dataset 1'!$E$7:$E$2506,'Dataset 1'!$B$7:$B$2506,"&lt;="&amp;$A41,'Dataset 1'!$J$7:$J$2506,DX$5)</f>
        <v>4900</v>
      </c>
      <c r="DY41" s="83">
        <f>SUMIFS('Dataset 1'!$E$7:$E$2506,'Dataset 1'!$B$7:$B$2506,"&lt;="&amp;$A41,'Dataset 1'!$J$7:$J$2506,DY$5)</f>
        <v>175020</v>
      </c>
      <c r="DZ41" s="83">
        <f>SUMIFS('Dataset 1'!$E$7:$E$2506,'Dataset 1'!$B$7:$B$2506,"&lt;="&amp;$A41,'Dataset 1'!$J$7:$J$2506,DZ$5)</f>
        <v>1200</v>
      </c>
      <c r="EA41" s="83">
        <f>SUMIFS('Dataset 1'!$E$7:$E$2506,'Dataset 1'!$B$7:$B$2506,"&lt;="&amp;$A41,'Dataset 1'!$J$7:$J$2506,EA$5)</f>
        <v>180</v>
      </c>
      <c r="EB41" s="83">
        <f>SUMIFS('Dataset 1'!$E$7:$E$2506,'Dataset 1'!$B$7:$B$2506,"&lt;="&amp;$A41,'Dataset 1'!$J$7:$J$2506,EB$5)</f>
        <v>750</v>
      </c>
      <c r="EC41" s="83">
        <f>SUMIFS('Dataset 1'!$E$7:$E$2506,'Dataset 1'!$B$7:$B$2506,"&lt;="&amp;$A41,'Dataset 1'!$J$7:$J$2506,EC$5)</f>
        <v>3960</v>
      </c>
      <c r="ED41" s="83">
        <f>SUMIFS('Dataset 1'!$E$7:$E$2506,'Dataset 1'!$B$7:$B$2506,"&lt;="&amp;$A41,'Dataset 1'!$J$7:$J$2506,ED$5)</f>
        <v>4530</v>
      </c>
      <c r="EE41" s="83">
        <f>SUMIFS('Dataset 1'!$E$7:$E$2506,'Dataset 1'!$B$7:$B$2506,"&lt;="&amp;$A41,'Dataset 1'!$J$7:$J$2506,EE$5)</f>
        <v>470</v>
      </c>
      <c r="EF41" s="83">
        <f>SUMIFS('Dataset 1'!$E$7:$E$2506,'Dataset 1'!$B$7:$B$2506,"&lt;="&amp;$A41,'Dataset 1'!$J$7:$J$2506,EF$5)</f>
        <v>2010</v>
      </c>
      <c r="EG41" s="83">
        <f>SUMIFS('Dataset 1'!$E$7:$E$2506,'Dataset 1'!$B$7:$B$2506,"&lt;="&amp;$A41,'Dataset 1'!$J$7:$J$2506,EG$5)</f>
        <v>850</v>
      </c>
    </row>
    <row r="42" spans="1:137" x14ac:dyDescent="0.2">
      <c r="A42">
        <v>2018</v>
      </c>
      <c r="B42" s="83">
        <f>SUMIFS('Dataset 1'!$E$7:$E$2506,'Dataset 1'!$B$7:$B$2506,"&lt;="&amp;$A42,'Dataset 1'!$J$7:$J$2506,B$5)</f>
        <v>2920</v>
      </c>
      <c r="C42" s="83">
        <f>SUMIFS('Dataset 1'!$E$7:$E$2506,'Dataset 1'!$B$7:$B$2506,"&lt;="&amp;$A42,'Dataset 1'!$J$7:$J$2506,C$5)</f>
        <v>0</v>
      </c>
      <c r="D42" s="83">
        <f>SUMIFS('Dataset 1'!$E$7:$E$2506,'Dataset 1'!$B$7:$B$2506,"&lt;="&amp;$A42,'Dataset 1'!$J$7:$J$2506,D$5)</f>
        <v>5150</v>
      </c>
      <c r="E42" s="83">
        <f>SUMIFS('Dataset 1'!$E$7:$E$2506,'Dataset 1'!$B$7:$B$2506,"&lt;="&amp;$A42,'Dataset 1'!$J$7:$J$2506,E$5)</f>
        <v>740</v>
      </c>
      <c r="F42" s="83">
        <f>SUMIFS('Dataset 1'!$E$7:$E$2506,'Dataset 1'!$B$7:$B$2506,"&lt;="&amp;$A42,'Dataset 1'!$J$7:$J$2506,F$5)</f>
        <v>8840</v>
      </c>
      <c r="G42" s="83">
        <f>SUMIFS('Dataset 1'!$E$7:$E$2506,'Dataset 1'!$B$7:$B$2506,"&lt;="&amp;$A42,'Dataset 1'!$J$7:$J$2506,G$5)</f>
        <v>99080</v>
      </c>
      <c r="H42" s="83">
        <f>SUMIFS('Dataset 1'!$E$7:$E$2506,'Dataset 1'!$B$7:$B$2506,"&lt;="&amp;$A42,'Dataset 1'!$J$7:$J$2506,H$5)</f>
        <v>510</v>
      </c>
      <c r="I42" s="83">
        <f>SUMIFS('Dataset 1'!$E$7:$E$2506,'Dataset 1'!$B$7:$B$2506,"&lt;="&amp;$A42,'Dataset 1'!$J$7:$J$2506,I$5)</f>
        <v>0</v>
      </c>
      <c r="J42" s="83">
        <f>SUMIFS('Dataset 1'!$E$7:$E$2506,'Dataset 1'!$B$7:$B$2506,"&lt;="&amp;$A42,'Dataset 1'!$J$7:$J$2506,J$5)</f>
        <v>350</v>
      </c>
      <c r="K42" s="83">
        <f>SUMIFS('Dataset 1'!$E$7:$E$2506,'Dataset 1'!$B$7:$B$2506,"&lt;="&amp;$A42,'Dataset 1'!$J$7:$J$2506,K$5)</f>
        <v>4500</v>
      </c>
      <c r="L42" s="83">
        <f>SUMIFS('Dataset 1'!$E$7:$E$2506,'Dataset 1'!$B$7:$B$2506,"&lt;="&amp;$A42,'Dataset 1'!$J$7:$J$2506,L$5)</f>
        <v>400</v>
      </c>
      <c r="M42" s="83">
        <f>SUMIFS('Dataset 1'!$E$7:$E$2506,'Dataset 1'!$B$7:$B$2506,"&lt;="&amp;$A42,'Dataset 1'!$J$7:$J$2506,M$5)</f>
        <v>4410</v>
      </c>
      <c r="N42" s="83">
        <f>SUMIFS('Dataset 1'!$E$7:$E$2506,'Dataset 1'!$B$7:$B$2506,"&lt;="&amp;$A42,'Dataset 1'!$J$7:$J$2506,N$5)</f>
        <v>0</v>
      </c>
      <c r="O42" s="83">
        <f>SUMIFS('Dataset 1'!$E$7:$E$2506,'Dataset 1'!$B$7:$B$2506,"&lt;="&amp;$A42,'Dataset 1'!$J$7:$J$2506,O$5)</f>
        <v>0</v>
      </c>
      <c r="P42" s="83">
        <f>SUMIFS('Dataset 1'!$E$7:$E$2506,'Dataset 1'!$B$7:$B$2506,"&lt;="&amp;$A42,'Dataset 1'!$J$7:$J$2506,P$5)</f>
        <v>0</v>
      </c>
      <c r="Q42" s="83">
        <f>SUMIFS('Dataset 1'!$E$7:$E$2506,'Dataset 1'!$B$7:$B$2506,"&lt;="&amp;$A42,'Dataset 1'!$J$7:$J$2506,Q$5)</f>
        <v>56940</v>
      </c>
      <c r="R42" s="83">
        <f>SUMIFS('Dataset 1'!$E$7:$E$2506,'Dataset 1'!$B$7:$B$2506,"&lt;="&amp;$A42,'Dataset 1'!$J$7:$J$2506,R$5)</f>
        <v>83290</v>
      </c>
      <c r="S42" s="83">
        <f>SUMIFS('Dataset 1'!$E$7:$E$2506,'Dataset 1'!$B$7:$B$2506,"&lt;="&amp;$A42,'Dataset 1'!$J$7:$J$2506,S$5)</f>
        <v>3440</v>
      </c>
      <c r="T42" s="83">
        <f>SUMIFS('Dataset 1'!$E$7:$E$2506,'Dataset 1'!$B$7:$B$2506,"&lt;="&amp;$A42,'Dataset 1'!$J$7:$J$2506,T$5)</f>
        <v>120</v>
      </c>
      <c r="U42" s="83">
        <f>SUMIFS('Dataset 1'!$E$7:$E$2506,'Dataset 1'!$B$7:$B$2506,"&lt;="&amp;$A42,'Dataset 1'!$J$7:$J$2506,U$5)</f>
        <v>6370</v>
      </c>
      <c r="V42" s="83">
        <f>SUMIFS('Dataset 1'!$E$7:$E$2506,'Dataset 1'!$B$7:$B$2506,"&lt;="&amp;$A42,'Dataset 1'!$J$7:$J$2506,V$5)</f>
        <v>1900</v>
      </c>
      <c r="W42" s="83">
        <f>SUMIFS('Dataset 1'!$E$7:$E$2506,'Dataset 1'!$B$7:$B$2506,"&lt;="&amp;$A42,'Dataset 1'!$J$7:$J$2506,W$5)</f>
        <v>54120</v>
      </c>
      <c r="X42" s="83">
        <f>SUMIFS('Dataset 1'!$E$7:$E$2506,'Dataset 1'!$B$7:$B$2506,"&lt;="&amp;$A42,'Dataset 1'!$J$7:$J$2506,X$5)</f>
        <v>1630</v>
      </c>
      <c r="Y42" s="83">
        <f>SUMIFS('Dataset 1'!$E$7:$E$2506,'Dataset 1'!$B$7:$B$2506,"&lt;="&amp;$A42,'Dataset 1'!$J$7:$J$2506,Y$5)</f>
        <v>8890</v>
      </c>
      <c r="Z42" s="83">
        <f>SUMIFS('Dataset 1'!$E$7:$E$2506,'Dataset 1'!$B$7:$B$2506,"&lt;="&amp;$A42,'Dataset 1'!$J$7:$J$2506,Z$5)</f>
        <v>1640</v>
      </c>
      <c r="AA42" s="83">
        <f>SUMIFS('Dataset 1'!$E$7:$E$2506,'Dataset 1'!$B$7:$B$2506,"&lt;="&amp;$A42,'Dataset 1'!$J$7:$J$2506,AA$5)</f>
        <v>2510</v>
      </c>
      <c r="AB42" s="83">
        <f>SUMIFS('Dataset 1'!$E$7:$E$2506,'Dataset 1'!$B$7:$B$2506,"&lt;="&amp;$A42,'Dataset 1'!$J$7:$J$2506,AB$5)</f>
        <v>220</v>
      </c>
      <c r="AC42" s="83">
        <f>SUMIFS('Dataset 1'!$E$7:$E$2506,'Dataset 1'!$B$7:$B$2506,"&lt;="&amp;$A42,'Dataset 1'!$J$7:$J$2506,AC$5)</f>
        <v>500</v>
      </c>
      <c r="AD42" s="83">
        <f>SUMIFS('Dataset 1'!$E$7:$E$2506,'Dataset 1'!$B$7:$B$2506,"&lt;="&amp;$A42,'Dataset 1'!$J$7:$J$2506,AD$5)</f>
        <v>0</v>
      </c>
      <c r="AE42" s="83">
        <f>SUMIFS('Dataset 1'!$E$7:$E$2506,'Dataset 1'!$B$7:$B$2506,"&lt;="&amp;$A42,'Dataset 1'!$J$7:$J$2506,AE$5)</f>
        <v>860</v>
      </c>
      <c r="AF42" s="83">
        <f>SUMIFS('Dataset 1'!$E$7:$E$2506,'Dataset 1'!$B$7:$B$2506,"&lt;="&amp;$A42,'Dataset 1'!$J$7:$J$2506,AF$5)</f>
        <v>11050</v>
      </c>
      <c r="AG42" s="83">
        <f>SUMIFS('Dataset 1'!$E$7:$E$2506,'Dataset 1'!$B$7:$B$2506,"&lt;="&amp;$A42,'Dataset 1'!$J$7:$J$2506,AG$5)</f>
        <v>730</v>
      </c>
      <c r="AH42" s="83">
        <f>SUMIFS('Dataset 1'!$E$7:$E$2506,'Dataset 1'!$B$7:$B$2506,"&lt;="&amp;$A42,'Dataset 1'!$J$7:$J$2506,AH$5)</f>
        <v>190</v>
      </c>
      <c r="AI42" s="83">
        <f>SUMIFS('Dataset 1'!$E$7:$E$2506,'Dataset 1'!$B$7:$B$2506,"&lt;="&amp;$A42,'Dataset 1'!$J$7:$J$2506,AI$5)</f>
        <v>6170</v>
      </c>
      <c r="AJ42" s="83">
        <f>SUMIFS('Dataset 1'!$E$7:$E$2506,'Dataset 1'!$B$7:$B$2506,"&lt;="&amp;$A42,'Dataset 1'!$J$7:$J$2506,AJ$5)</f>
        <v>5340</v>
      </c>
      <c r="AK42" s="83">
        <f>SUMIFS('Dataset 1'!$E$7:$E$2506,'Dataset 1'!$B$7:$B$2506,"&lt;="&amp;$A42,'Dataset 1'!$J$7:$J$2506,AK$5)</f>
        <v>0</v>
      </c>
      <c r="AL42" s="83">
        <f>SUMIFS('Dataset 1'!$E$7:$E$2506,'Dataset 1'!$B$7:$B$2506,"&lt;="&amp;$A42,'Dataset 1'!$J$7:$J$2506,AL$5)</f>
        <v>1150</v>
      </c>
      <c r="AM42" s="83">
        <f>SUMIFS('Dataset 1'!$E$7:$E$2506,'Dataset 1'!$B$7:$B$2506,"&lt;="&amp;$A42,'Dataset 1'!$J$7:$J$2506,AM$5)</f>
        <v>9500</v>
      </c>
      <c r="AN42" s="83">
        <f>SUMIFS('Dataset 1'!$E$7:$E$2506,'Dataset 1'!$B$7:$B$2506,"&lt;="&amp;$A42,'Dataset 1'!$J$7:$J$2506,AN$5)</f>
        <v>24230</v>
      </c>
      <c r="AO42" s="83">
        <f>SUMIFS('Dataset 1'!$E$7:$E$2506,'Dataset 1'!$B$7:$B$2506,"&lt;="&amp;$A42,'Dataset 1'!$J$7:$J$2506,AO$5)</f>
        <v>400</v>
      </c>
      <c r="AP42" s="83">
        <f>SUMIFS('Dataset 1'!$E$7:$E$2506,'Dataset 1'!$B$7:$B$2506,"&lt;="&amp;$A42,'Dataset 1'!$J$7:$J$2506,AP$5)</f>
        <v>370</v>
      </c>
      <c r="AQ42" s="83">
        <f>SUMIFS('Dataset 1'!$E$7:$E$2506,'Dataset 1'!$B$7:$B$2506,"&lt;="&amp;$A42,'Dataset 1'!$J$7:$J$2506,AQ$5)</f>
        <v>41580</v>
      </c>
      <c r="AR42" s="83">
        <f>SUMIFS('Dataset 1'!$E$7:$E$2506,'Dataset 1'!$B$7:$B$2506,"&lt;="&amp;$A42,'Dataset 1'!$J$7:$J$2506,AR$5)</f>
        <v>2100</v>
      </c>
      <c r="AS42" s="83">
        <f>SUMIFS('Dataset 1'!$E$7:$E$2506,'Dataset 1'!$B$7:$B$2506,"&lt;="&amp;$A42,'Dataset 1'!$J$7:$J$2506,AS$5)</f>
        <v>8980</v>
      </c>
      <c r="AT42" s="83">
        <f>SUMIFS('Dataset 1'!$E$7:$E$2506,'Dataset 1'!$B$7:$B$2506,"&lt;="&amp;$A42,'Dataset 1'!$J$7:$J$2506,AT$5)</f>
        <v>4450</v>
      </c>
      <c r="AU42" s="83">
        <f>SUMIFS('Dataset 1'!$E$7:$E$2506,'Dataset 1'!$B$7:$B$2506,"&lt;="&amp;$A42,'Dataset 1'!$J$7:$J$2506,AU$5)</f>
        <v>170</v>
      </c>
      <c r="AV42" s="83">
        <f>SUMIFS('Dataset 1'!$E$7:$E$2506,'Dataset 1'!$B$7:$B$2506,"&lt;="&amp;$A42,'Dataset 1'!$J$7:$J$2506,AV$5)</f>
        <v>1230</v>
      </c>
      <c r="AW42" s="83">
        <f>SUMIFS('Dataset 1'!$E$7:$E$2506,'Dataset 1'!$B$7:$B$2506,"&lt;="&amp;$A42,'Dataset 1'!$J$7:$J$2506,AW$5)</f>
        <v>3520</v>
      </c>
      <c r="AX42" s="83">
        <f>SUMIFS('Dataset 1'!$E$7:$E$2506,'Dataset 1'!$B$7:$B$2506,"&lt;="&amp;$A42,'Dataset 1'!$J$7:$J$2506,AX$5)</f>
        <v>11480</v>
      </c>
      <c r="AY42" s="83">
        <f>SUMIFS('Dataset 1'!$E$7:$E$2506,'Dataset 1'!$B$7:$B$2506,"&lt;="&amp;$A42,'Dataset 1'!$J$7:$J$2506,AY$5)</f>
        <v>21370</v>
      </c>
      <c r="AZ42" s="83">
        <f>SUMIFS('Dataset 1'!$E$7:$E$2506,'Dataset 1'!$B$7:$B$2506,"&lt;="&amp;$A42,'Dataset 1'!$J$7:$J$2506,AZ$5)</f>
        <v>4720</v>
      </c>
      <c r="BA42" s="83">
        <f>SUMIFS('Dataset 1'!$E$7:$E$2506,'Dataset 1'!$B$7:$B$2506,"&lt;="&amp;$A42,'Dataset 1'!$J$7:$J$2506,BA$5)</f>
        <v>10870</v>
      </c>
      <c r="BB42" s="83">
        <f>SUMIFS('Dataset 1'!$E$7:$E$2506,'Dataset 1'!$B$7:$B$2506,"&lt;="&amp;$A42,'Dataset 1'!$J$7:$J$2506,BB$5)</f>
        <v>7190</v>
      </c>
      <c r="BC42" s="83">
        <f>SUMIFS('Dataset 1'!$E$7:$E$2506,'Dataset 1'!$B$7:$B$2506,"&lt;="&amp;$A42,'Dataset 1'!$J$7:$J$2506,BC$5)</f>
        <v>9660</v>
      </c>
      <c r="BD42" s="83">
        <f>SUMIFS('Dataset 1'!$E$7:$E$2506,'Dataset 1'!$B$7:$B$2506,"&lt;="&amp;$A42,'Dataset 1'!$J$7:$J$2506,BD$5)</f>
        <v>22220</v>
      </c>
      <c r="BE42" s="83">
        <f>SUMIFS('Dataset 1'!$E$7:$E$2506,'Dataset 1'!$B$7:$B$2506,"&lt;="&amp;$A42,'Dataset 1'!$J$7:$J$2506,BE$5)</f>
        <v>0</v>
      </c>
      <c r="BF42" s="83">
        <f>SUMIFS('Dataset 1'!$E$7:$E$2506,'Dataset 1'!$B$7:$B$2506,"&lt;="&amp;$A42,'Dataset 1'!$J$7:$J$2506,BF$5)</f>
        <v>1170</v>
      </c>
      <c r="BG42" s="83">
        <f>SUMIFS('Dataset 1'!$E$7:$E$2506,'Dataset 1'!$B$7:$B$2506,"&lt;="&amp;$A42,'Dataset 1'!$J$7:$J$2506,BG$5)</f>
        <v>10020</v>
      </c>
      <c r="BH42" s="83">
        <f>SUMIFS('Dataset 1'!$E$7:$E$2506,'Dataset 1'!$B$7:$B$2506,"&lt;="&amp;$A42,'Dataset 1'!$J$7:$J$2506,BH$5)</f>
        <v>1800</v>
      </c>
      <c r="BI42" s="83">
        <f>SUMIFS('Dataset 1'!$E$7:$E$2506,'Dataset 1'!$B$7:$B$2506,"&lt;="&amp;$A42,'Dataset 1'!$J$7:$J$2506,BI$5)</f>
        <v>18640</v>
      </c>
      <c r="BJ42" s="83">
        <f>SUMIFS('Dataset 1'!$E$7:$E$2506,'Dataset 1'!$B$7:$B$2506,"&lt;="&amp;$A42,'Dataset 1'!$J$7:$J$2506,BJ$5)</f>
        <v>730</v>
      </c>
      <c r="BK42" s="83">
        <f>SUMIFS('Dataset 1'!$E$7:$E$2506,'Dataset 1'!$B$7:$B$2506,"&lt;="&amp;$A42,'Dataset 1'!$J$7:$J$2506,BK$5)</f>
        <v>650</v>
      </c>
      <c r="BL42" s="83">
        <f>SUMIFS('Dataset 1'!$E$7:$E$2506,'Dataset 1'!$B$7:$B$2506,"&lt;="&amp;$A42,'Dataset 1'!$J$7:$J$2506,BL$5)</f>
        <v>670</v>
      </c>
      <c r="BM42" s="83">
        <f>SUMIFS('Dataset 1'!$E$7:$E$2506,'Dataset 1'!$B$7:$B$2506,"&lt;="&amp;$A42,'Dataset 1'!$J$7:$J$2506,BM$5)</f>
        <v>12180</v>
      </c>
      <c r="BN42" s="83">
        <f>SUMIFS('Dataset 1'!$E$7:$E$2506,'Dataset 1'!$B$7:$B$2506,"&lt;="&amp;$A42,'Dataset 1'!$J$7:$J$2506,BN$5)</f>
        <v>520</v>
      </c>
      <c r="BO42" s="83">
        <f>SUMIFS('Dataset 1'!$E$7:$E$2506,'Dataset 1'!$B$7:$B$2506,"&lt;="&amp;$A42,'Dataset 1'!$J$7:$J$2506,BO$5)</f>
        <v>2790</v>
      </c>
      <c r="BP42" s="83">
        <f>SUMIFS('Dataset 1'!$E$7:$E$2506,'Dataset 1'!$B$7:$B$2506,"&lt;="&amp;$A42,'Dataset 1'!$J$7:$J$2506,BP$5)</f>
        <v>150</v>
      </c>
      <c r="BQ42" s="83">
        <f>SUMIFS('Dataset 1'!$E$7:$E$2506,'Dataset 1'!$B$7:$B$2506,"&lt;="&amp;$A42,'Dataset 1'!$J$7:$J$2506,BQ$5)</f>
        <v>100</v>
      </c>
      <c r="BR42" s="83">
        <f>SUMIFS('Dataset 1'!$E$7:$E$2506,'Dataset 1'!$B$7:$B$2506,"&lt;="&amp;$A42,'Dataset 1'!$J$7:$J$2506,BR$5)</f>
        <v>17670</v>
      </c>
      <c r="BS42" s="83">
        <f>SUMIFS('Dataset 1'!$E$7:$E$2506,'Dataset 1'!$B$7:$B$2506,"&lt;="&amp;$A42,'Dataset 1'!$J$7:$J$2506,BS$5)</f>
        <v>110</v>
      </c>
      <c r="BT42" s="83">
        <f>SUMIFS('Dataset 1'!$E$7:$E$2506,'Dataset 1'!$B$7:$B$2506,"&lt;="&amp;$A42,'Dataset 1'!$J$7:$J$2506,BT$5)</f>
        <v>0</v>
      </c>
      <c r="BU42" s="83">
        <f>SUMIFS('Dataset 1'!$E$7:$E$2506,'Dataset 1'!$B$7:$B$2506,"&lt;="&amp;$A42,'Dataset 1'!$J$7:$J$2506,BU$5)</f>
        <v>440</v>
      </c>
      <c r="BV42" s="83">
        <f>SUMIFS('Dataset 1'!$E$7:$E$2506,'Dataset 1'!$B$7:$B$2506,"&lt;="&amp;$A42,'Dataset 1'!$J$7:$J$2506,BV$5)</f>
        <v>740</v>
      </c>
      <c r="BW42" s="83">
        <f>SUMIFS('Dataset 1'!$E$7:$E$2506,'Dataset 1'!$B$7:$B$2506,"&lt;="&amp;$A42,'Dataset 1'!$J$7:$J$2506,BW$5)</f>
        <v>2510</v>
      </c>
      <c r="BX42" s="83">
        <f>SUMIFS('Dataset 1'!$E$7:$E$2506,'Dataset 1'!$B$7:$B$2506,"&lt;="&amp;$A42,'Dataset 1'!$J$7:$J$2506,BX$5)</f>
        <v>4660</v>
      </c>
      <c r="BY42" s="83">
        <f>SUMIFS('Dataset 1'!$E$7:$E$2506,'Dataset 1'!$B$7:$B$2506,"&lt;="&amp;$A42,'Dataset 1'!$J$7:$J$2506,BY$5)</f>
        <v>100</v>
      </c>
      <c r="BZ42" s="83">
        <f>SUMIFS('Dataset 1'!$E$7:$E$2506,'Dataset 1'!$B$7:$B$2506,"&lt;="&amp;$A42,'Dataset 1'!$J$7:$J$2506,BZ$5)</f>
        <v>0</v>
      </c>
      <c r="CA42" s="83">
        <f>SUMIFS('Dataset 1'!$E$7:$E$2506,'Dataset 1'!$B$7:$B$2506,"&lt;="&amp;$A42,'Dataset 1'!$J$7:$J$2506,CA$5)</f>
        <v>4820</v>
      </c>
      <c r="CB42" s="83">
        <f>SUMIFS('Dataset 1'!$E$7:$E$2506,'Dataset 1'!$B$7:$B$2506,"&lt;="&amp;$A42,'Dataset 1'!$J$7:$J$2506,CB$5)</f>
        <v>5730</v>
      </c>
      <c r="CC42" s="83">
        <f>SUMIFS('Dataset 1'!$E$7:$E$2506,'Dataset 1'!$B$7:$B$2506,"&lt;="&amp;$A42,'Dataset 1'!$J$7:$J$2506,CC$5)</f>
        <v>2580</v>
      </c>
      <c r="CD42" s="83">
        <f>SUMIFS('Dataset 1'!$E$7:$E$2506,'Dataset 1'!$B$7:$B$2506,"&lt;="&amp;$A42,'Dataset 1'!$J$7:$J$2506,CD$5)</f>
        <v>740</v>
      </c>
      <c r="CE42" s="83">
        <f>SUMIFS('Dataset 1'!$E$7:$E$2506,'Dataset 1'!$B$7:$B$2506,"&lt;="&amp;$A42,'Dataset 1'!$J$7:$J$2506,CE$5)</f>
        <v>15710</v>
      </c>
      <c r="CF42" s="83">
        <f>SUMIFS('Dataset 1'!$E$7:$E$2506,'Dataset 1'!$B$7:$B$2506,"&lt;="&amp;$A42,'Dataset 1'!$J$7:$J$2506,CF$5)</f>
        <v>3290</v>
      </c>
      <c r="CG42" s="83">
        <f>SUMIFS('Dataset 1'!$E$7:$E$2506,'Dataset 1'!$B$7:$B$2506,"&lt;="&amp;$A42,'Dataset 1'!$J$7:$J$2506,CG$5)</f>
        <v>300</v>
      </c>
      <c r="CH42" s="83">
        <f>SUMIFS('Dataset 1'!$E$7:$E$2506,'Dataset 1'!$B$7:$B$2506,"&lt;="&amp;$A42,'Dataset 1'!$J$7:$J$2506,CH$5)</f>
        <v>4870</v>
      </c>
      <c r="CI42" s="83">
        <f>SUMIFS('Dataset 1'!$E$7:$E$2506,'Dataset 1'!$B$7:$B$2506,"&lt;="&amp;$A42,'Dataset 1'!$J$7:$J$2506,CI$5)</f>
        <v>5990</v>
      </c>
      <c r="CJ42" s="83">
        <f>SUMIFS('Dataset 1'!$E$7:$E$2506,'Dataset 1'!$B$7:$B$2506,"&lt;="&amp;$A42,'Dataset 1'!$J$7:$J$2506,CJ$5)</f>
        <v>2000</v>
      </c>
      <c r="CK42" s="83">
        <f>SUMIFS('Dataset 1'!$E$7:$E$2506,'Dataset 1'!$B$7:$B$2506,"&lt;="&amp;$A42,'Dataset 1'!$J$7:$J$2506,CK$5)</f>
        <v>6950</v>
      </c>
      <c r="CL42" s="83">
        <f>SUMIFS('Dataset 1'!$E$7:$E$2506,'Dataset 1'!$B$7:$B$2506,"&lt;="&amp;$A42,'Dataset 1'!$J$7:$J$2506,CL$5)</f>
        <v>1040</v>
      </c>
      <c r="CM42" s="83">
        <f>SUMIFS('Dataset 1'!$E$7:$E$2506,'Dataset 1'!$B$7:$B$2506,"&lt;="&amp;$A42,'Dataset 1'!$J$7:$J$2506,CM$5)</f>
        <v>13970</v>
      </c>
      <c r="CN42" s="83">
        <f>SUMIFS('Dataset 1'!$E$7:$E$2506,'Dataset 1'!$B$7:$B$2506,"&lt;="&amp;$A42,'Dataset 1'!$J$7:$J$2506,CN$5)</f>
        <v>310</v>
      </c>
      <c r="CO42" s="83">
        <f>SUMIFS('Dataset 1'!$E$7:$E$2506,'Dataset 1'!$B$7:$B$2506,"&lt;="&amp;$A42,'Dataset 1'!$J$7:$J$2506,CO$5)</f>
        <v>2060</v>
      </c>
      <c r="CP42" s="83">
        <f>SUMIFS('Dataset 1'!$E$7:$E$2506,'Dataset 1'!$B$7:$B$2506,"&lt;="&amp;$A42,'Dataset 1'!$J$7:$J$2506,CP$5)</f>
        <v>18040</v>
      </c>
      <c r="CQ42" s="83">
        <f>SUMIFS('Dataset 1'!$E$7:$E$2506,'Dataset 1'!$B$7:$B$2506,"&lt;="&amp;$A42,'Dataset 1'!$J$7:$J$2506,CQ$5)</f>
        <v>2170</v>
      </c>
      <c r="CR42" s="83">
        <f>SUMIFS('Dataset 1'!$E$7:$E$2506,'Dataset 1'!$B$7:$B$2506,"&lt;="&amp;$A42,'Dataset 1'!$J$7:$J$2506,CR$5)</f>
        <v>990</v>
      </c>
      <c r="CS42" s="83">
        <f>SUMIFS('Dataset 1'!$E$7:$E$2506,'Dataset 1'!$B$7:$B$2506,"&lt;="&amp;$A42,'Dataset 1'!$J$7:$J$2506,CS$5)</f>
        <v>9120</v>
      </c>
      <c r="CT42" s="83">
        <f>SUMIFS('Dataset 1'!$E$7:$E$2506,'Dataset 1'!$B$7:$B$2506,"&lt;="&amp;$A42,'Dataset 1'!$J$7:$J$2506,CT$5)</f>
        <v>100</v>
      </c>
      <c r="CU42" s="83">
        <f>SUMIFS('Dataset 1'!$E$7:$E$2506,'Dataset 1'!$B$7:$B$2506,"&lt;="&amp;$A42,'Dataset 1'!$J$7:$J$2506,CU$5)</f>
        <v>28870</v>
      </c>
      <c r="CV42" s="83">
        <f>SUMIFS('Dataset 1'!$E$7:$E$2506,'Dataset 1'!$B$7:$B$2506,"&lt;="&amp;$A42,'Dataset 1'!$J$7:$J$2506,CV$5)</f>
        <v>120</v>
      </c>
      <c r="CW42" s="83">
        <f>SUMIFS('Dataset 1'!$E$7:$E$2506,'Dataset 1'!$B$7:$B$2506,"&lt;="&amp;$A42,'Dataset 1'!$J$7:$J$2506,CW$5)</f>
        <v>110</v>
      </c>
      <c r="CX42" s="83">
        <f>SUMIFS('Dataset 1'!$E$7:$E$2506,'Dataset 1'!$B$7:$B$2506,"&lt;="&amp;$A42,'Dataset 1'!$J$7:$J$2506,CX$5)</f>
        <v>270</v>
      </c>
      <c r="CY42" s="83">
        <f>SUMIFS('Dataset 1'!$E$7:$E$2506,'Dataset 1'!$B$7:$B$2506,"&lt;="&amp;$A42,'Dataset 1'!$J$7:$J$2506,CY$5)</f>
        <v>4910</v>
      </c>
      <c r="CZ42" s="83">
        <f>SUMIFS('Dataset 1'!$E$7:$E$2506,'Dataset 1'!$B$7:$B$2506,"&lt;="&amp;$A42,'Dataset 1'!$J$7:$J$2506,CZ$5)</f>
        <v>2040</v>
      </c>
      <c r="DA42" s="83">
        <f>SUMIFS('Dataset 1'!$E$7:$E$2506,'Dataset 1'!$B$7:$B$2506,"&lt;="&amp;$A42,'Dataset 1'!$J$7:$J$2506,DA$5)</f>
        <v>2290</v>
      </c>
      <c r="DB42" s="83">
        <f>SUMIFS('Dataset 1'!$E$7:$E$2506,'Dataset 1'!$B$7:$B$2506,"&lt;="&amp;$A42,'Dataset 1'!$J$7:$J$2506,DB$5)</f>
        <v>35220</v>
      </c>
      <c r="DC42" s="83">
        <f>SUMIFS('Dataset 1'!$E$7:$E$2506,'Dataset 1'!$B$7:$B$2506,"&lt;="&amp;$A42,'Dataset 1'!$J$7:$J$2506,DC$5)</f>
        <v>0</v>
      </c>
      <c r="DD42" s="83">
        <f>SUMIFS('Dataset 1'!$E$7:$E$2506,'Dataset 1'!$B$7:$B$2506,"&lt;="&amp;$A42,'Dataset 1'!$J$7:$J$2506,DD$5)</f>
        <v>1390</v>
      </c>
      <c r="DE42" s="83">
        <f>SUMIFS('Dataset 1'!$E$7:$E$2506,'Dataset 1'!$B$7:$B$2506,"&lt;="&amp;$A42,'Dataset 1'!$J$7:$J$2506,DE$5)</f>
        <v>0</v>
      </c>
      <c r="DF42" s="83">
        <f>SUMIFS('Dataset 1'!$E$7:$E$2506,'Dataset 1'!$B$7:$B$2506,"&lt;="&amp;$A42,'Dataset 1'!$J$7:$J$2506,DF$5)</f>
        <v>10890</v>
      </c>
      <c r="DG42" s="83">
        <f>SUMIFS('Dataset 1'!$E$7:$E$2506,'Dataset 1'!$B$7:$B$2506,"&lt;="&amp;$A42,'Dataset 1'!$J$7:$J$2506,DG$5)</f>
        <v>9820</v>
      </c>
      <c r="DH42" s="83">
        <f>SUMIFS('Dataset 1'!$E$7:$E$2506,'Dataset 1'!$B$7:$B$2506,"&lt;="&amp;$A42,'Dataset 1'!$J$7:$J$2506,DH$5)</f>
        <v>7130</v>
      </c>
      <c r="DI42" s="83">
        <f>SUMIFS('Dataset 1'!$E$7:$E$2506,'Dataset 1'!$B$7:$B$2506,"&lt;="&amp;$A42,'Dataset 1'!$J$7:$J$2506,DI$5)</f>
        <v>2200</v>
      </c>
      <c r="DJ42" s="83">
        <f>SUMIFS('Dataset 1'!$E$7:$E$2506,'Dataset 1'!$B$7:$B$2506,"&lt;="&amp;$A42,'Dataset 1'!$J$7:$J$2506,DJ$5)</f>
        <v>260</v>
      </c>
      <c r="DK42" s="83">
        <f>SUMIFS('Dataset 1'!$E$7:$E$2506,'Dataset 1'!$B$7:$B$2506,"&lt;="&amp;$A42,'Dataset 1'!$J$7:$J$2506,DK$5)</f>
        <v>0</v>
      </c>
      <c r="DL42" s="83">
        <f>SUMIFS('Dataset 1'!$E$7:$E$2506,'Dataset 1'!$B$7:$B$2506,"&lt;="&amp;$A42,'Dataset 1'!$J$7:$J$2506,DL$5)</f>
        <v>13330</v>
      </c>
      <c r="DM42" s="83">
        <f>SUMIFS('Dataset 1'!$E$7:$E$2506,'Dataset 1'!$B$7:$B$2506,"&lt;="&amp;$A42,'Dataset 1'!$J$7:$J$2506,DM$5)</f>
        <v>60900</v>
      </c>
      <c r="DN42" s="83">
        <f>SUMIFS('Dataset 1'!$E$7:$E$2506,'Dataset 1'!$B$7:$B$2506,"&lt;="&amp;$A42,'Dataset 1'!$J$7:$J$2506,DN$5)</f>
        <v>3760</v>
      </c>
      <c r="DO42" s="83">
        <f>SUMIFS('Dataset 1'!$E$7:$E$2506,'Dataset 1'!$B$7:$B$2506,"&lt;="&amp;$A42,'Dataset 1'!$J$7:$J$2506,DO$5)</f>
        <v>380</v>
      </c>
      <c r="DP42" s="83">
        <f>SUMIFS('Dataset 1'!$E$7:$E$2506,'Dataset 1'!$B$7:$B$2506,"&lt;="&amp;$A42,'Dataset 1'!$J$7:$J$2506,DP$5)</f>
        <v>520</v>
      </c>
      <c r="DQ42" s="83">
        <f>SUMIFS('Dataset 1'!$E$7:$E$2506,'Dataset 1'!$B$7:$B$2506,"&lt;="&amp;$A42,'Dataset 1'!$J$7:$J$2506,DQ$5)</f>
        <v>0</v>
      </c>
      <c r="DR42" s="83">
        <f>SUMIFS('Dataset 1'!$E$7:$E$2506,'Dataset 1'!$B$7:$B$2506,"&lt;="&amp;$A42,'Dataset 1'!$J$7:$J$2506,DR$5)</f>
        <v>4370</v>
      </c>
      <c r="DS42" s="83">
        <f>SUMIFS('Dataset 1'!$E$7:$E$2506,'Dataset 1'!$B$7:$B$2506,"&lt;="&amp;$A42,'Dataset 1'!$J$7:$J$2506,DS$5)</f>
        <v>190</v>
      </c>
      <c r="DT42" s="83">
        <f>SUMIFS('Dataset 1'!$E$7:$E$2506,'Dataset 1'!$B$7:$B$2506,"&lt;="&amp;$A42,'Dataset 1'!$J$7:$J$2506,DT$5)</f>
        <v>1170</v>
      </c>
      <c r="DU42" s="83">
        <f>SUMIFS('Dataset 1'!$E$7:$E$2506,'Dataset 1'!$B$7:$B$2506,"&lt;="&amp;$A42,'Dataset 1'!$J$7:$J$2506,DU$5)</f>
        <v>0</v>
      </c>
      <c r="DV42" s="83">
        <f>SUMIFS('Dataset 1'!$E$7:$E$2506,'Dataset 1'!$B$7:$B$2506,"&lt;="&amp;$A42,'Dataset 1'!$J$7:$J$2506,DV$5)</f>
        <v>4520</v>
      </c>
      <c r="DW42" s="83">
        <f>SUMIFS('Dataset 1'!$E$7:$E$2506,'Dataset 1'!$B$7:$B$2506,"&lt;="&amp;$A42,'Dataset 1'!$J$7:$J$2506,DW$5)</f>
        <v>1790</v>
      </c>
      <c r="DX42" s="83">
        <f>SUMIFS('Dataset 1'!$E$7:$E$2506,'Dataset 1'!$B$7:$B$2506,"&lt;="&amp;$A42,'Dataset 1'!$J$7:$J$2506,DX$5)</f>
        <v>7230</v>
      </c>
      <c r="DY42" s="83">
        <f>SUMIFS('Dataset 1'!$E$7:$E$2506,'Dataset 1'!$B$7:$B$2506,"&lt;="&amp;$A42,'Dataset 1'!$J$7:$J$2506,DY$5)</f>
        <v>183940</v>
      </c>
      <c r="DZ42" s="83">
        <f>SUMIFS('Dataset 1'!$E$7:$E$2506,'Dataset 1'!$B$7:$B$2506,"&lt;="&amp;$A42,'Dataset 1'!$J$7:$J$2506,DZ$5)</f>
        <v>3020</v>
      </c>
      <c r="EA42" s="83">
        <f>SUMIFS('Dataset 1'!$E$7:$E$2506,'Dataset 1'!$B$7:$B$2506,"&lt;="&amp;$A42,'Dataset 1'!$J$7:$J$2506,EA$5)</f>
        <v>180</v>
      </c>
      <c r="EB42" s="83">
        <f>SUMIFS('Dataset 1'!$E$7:$E$2506,'Dataset 1'!$B$7:$B$2506,"&lt;="&amp;$A42,'Dataset 1'!$J$7:$J$2506,EB$5)</f>
        <v>750</v>
      </c>
      <c r="EC42" s="83">
        <f>SUMIFS('Dataset 1'!$E$7:$E$2506,'Dataset 1'!$B$7:$B$2506,"&lt;="&amp;$A42,'Dataset 1'!$J$7:$J$2506,EC$5)</f>
        <v>4570</v>
      </c>
      <c r="ED42" s="83">
        <f>SUMIFS('Dataset 1'!$E$7:$E$2506,'Dataset 1'!$B$7:$B$2506,"&lt;="&amp;$A42,'Dataset 1'!$J$7:$J$2506,ED$5)</f>
        <v>5280</v>
      </c>
      <c r="EE42" s="83">
        <f>SUMIFS('Dataset 1'!$E$7:$E$2506,'Dataset 1'!$B$7:$B$2506,"&lt;="&amp;$A42,'Dataset 1'!$J$7:$J$2506,EE$5)</f>
        <v>470</v>
      </c>
      <c r="EF42" s="83">
        <f>SUMIFS('Dataset 1'!$E$7:$E$2506,'Dataset 1'!$B$7:$B$2506,"&lt;="&amp;$A42,'Dataset 1'!$J$7:$J$2506,EF$5)</f>
        <v>2910</v>
      </c>
      <c r="EG42" s="83">
        <f>SUMIFS('Dataset 1'!$E$7:$E$2506,'Dataset 1'!$B$7:$B$2506,"&lt;="&amp;$A42,'Dataset 1'!$J$7:$J$2506,EG$5)</f>
        <v>1950</v>
      </c>
    </row>
    <row r="43" spans="1:137" x14ac:dyDescent="0.2">
      <c r="A43">
        <v>2019</v>
      </c>
      <c r="B43" s="83">
        <f>SUMIFS('Dataset 1'!$E$7:$E$2506,'Dataset 1'!$B$7:$B$2506,"&lt;="&amp;$A43,'Dataset 1'!$J$7:$J$2506,B$5)</f>
        <v>2920</v>
      </c>
      <c r="C43" s="83">
        <f>SUMIFS('Dataset 1'!$E$7:$E$2506,'Dataset 1'!$B$7:$B$2506,"&lt;="&amp;$A43,'Dataset 1'!$J$7:$J$2506,C$5)</f>
        <v>0</v>
      </c>
      <c r="D43" s="83">
        <f>SUMIFS('Dataset 1'!$E$7:$E$2506,'Dataset 1'!$B$7:$B$2506,"&lt;="&amp;$A43,'Dataset 1'!$J$7:$J$2506,D$5)</f>
        <v>5150</v>
      </c>
      <c r="E43" s="83">
        <f>SUMIFS('Dataset 1'!$E$7:$E$2506,'Dataset 1'!$B$7:$B$2506,"&lt;="&amp;$A43,'Dataset 1'!$J$7:$J$2506,E$5)</f>
        <v>740</v>
      </c>
      <c r="F43" s="83">
        <f>SUMIFS('Dataset 1'!$E$7:$E$2506,'Dataset 1'!$B$7:$B$2506,"&lt;="&amp;$A43,'Dataset 1'!$J$7:$J$2506,F$5)</f>
        <v>9710</v>
      </c>
      <c r="G43" s="83">
        <f>SUMIFS('Dataset 1'!$E$7:$E$2506,'Dataset 1'!$B$7:$B$2506,"&lt;="&amp;$A43,'Dataset 1'!$J$7:$J$2506,G$5)</f>
        <v>102630</v>
      </c>
      <c r="H43" s="83">
        <f>SUMIFS('Dataset 1'!$E$7:$E$2506,'Dataset 1'!$B$7:$B$2506,"&lt;="&amp;$A43,'Dataset 1'!$J$7:$J$2506,H$5)</f>
        <v>510</v>
      </c>
      <c r="I43" s="83">
        <f>SUMIFS('Dataset 1'!$E$7:$E$2506,'Dataset 1'!$B$7:$B$2506,"&lt;="&amp;$A43,'Dataset 1'!$J$7:$J$2506,I$5)</f>
        <v>270</v>
      </c>
      <c r="J43" s="83">
        <f>SUMIFS('Dataset 1'!$E$7:$E$2506,'Dataset 1'!$B$7:$B$2506,"&lt;="&amp;$A43,'Dataset 1'!$J$7:$J$2506,J$5)</f>
        <v>350</v>
      </c>
      <c r="K43" s="83">
        <f>SUMIFS('Dataset 1'!$E$7:$E$2506,'Dataset 1'!$B$7:$B$2506,"&lt;="&amp;$A43,'Dataset 1'!$J$7:$J$2506,K$5)</f>
        <v>5470</v>
      </c>
      <c r="L43" s="83">
        <f>SUMIFS('Dataset 1'!$E$7:$E$2506,'Dataset 1'!$B$7:$B$2506,"&lt;="&amp;$A43,'Dataset 1'!$J$7:$J$2506,L$5)</f>
        <v>400</v>
      </c>
      <c r="M43" s="83">
        <f>SUMIFS('Dataset 1'!$E$7:$E$2506,'Dataset 1'!$B$7:$B$2506,"&lt;="&amp;$A43,'Dataset 1'!$J$7:$J$2506,M$5)</f>
        <v>4950</v>
      </c>
      <c r="N43" s="83">
        <f>SUMIFS('Dataset 1'!$E$7:$E$2506,'Dataset 1'!$B$7:$B$2506,"&lt;="&amp;$A43,'Dataset 1'!$J$7:$J$2506,N$5)</f>
        <v>0</v>
      </c>
      <c r="O43" s="83">
        <f>SUMIFS('Dataset 1'!$E$7:$E$2506,'Dataset 1'!$B$7:$B$2506,"&lt;="&amp;$A43,'Dataset 1'!$J$7:$J$2506,O$5)</f>
        <v>0</v>
      </c>
      <c r="P43" s="83">
        <f>SUMIFS('Dataset 1'!$E$7:$E$2506,'Dataset 1'!$B$7:$B$2506,"&lt;="&amp;$A43,'Dataset 1'!$J$7:$J$2506,P$5)</f>
        <v>0</v>
      </c>
      <c r="Q43" s="83">
        <f>SUMIFS('Dataset 1'!$E$7:$E$2506,'Dataset 1'!$B$7:$B$2506,"&lt;="&amp;$A43,'Dataset 1'!$J$7:$J$2506,Q$5)</f>
        <v>58970</v>
      </c>
      <c r="R43" s="83">
        <f>SUMIFS('Dataset 1'!$E$7:$E$2506,'Dataset 1'!$B$7:$B$2506,"&lt;="&amp;$A43,'Dataset 1'!$J$7:$J$2506,R$5)</f>
        <v>94810</v>
      </c>
      <c r="S43" s="83">
        <f>SUMIFS('Dataset 1'!$E$7:$E$2506,'Dataset 1'!$B$7:$B$2506,"&lt;="&amp;$A43,'Dataset 1'!$J$7:$J$2506,S$5)</f>
        <v>3440</v>
      </c>
      <c r="T43" s="83">
        <f>SUMIFS('Dataset 1'!$E$7:$E$2506,'Dataset 1'!$B$7:$B$2506,"&lt;="&amp;$A43,'Dataset 1'!$J$7:$J$2506,T$5)</f>
        <v>120</v>
      </c>
      <c r="U43" s="83">
        <f>SUMIFS('Dataset 1'!$E$7:$E$2506,'Dataset 1'!$B$7:$B$2506,"&lt;="&amp;$A43,'Dataset 1'!$J$7:$J$2506,U$5)</f>
        <v>8710</v>
      </c>
      <c r="V43" s="83">
        <f>SUMIFS('Dataset 1'!$E$7:$E$2506,'Dataset 1'!$B$7:$B$2506,"&lt;="&amp;$A43,'Dataset 1'!$J$7:$J$2506,V$5)</f>
        <v>1900</v>
      </c>
      <c r="W43" s="83">
        <f>SUMIFS('Dataset 1'!$E$7:$E$2506,'Dataset 1'!$B$7:$B$2506,"&lt;="&amp;$A43,'Dataset 1'!$J$7:$J$2506,W$5)</f>
        <v>55980</v>
      </c>
      <c r="X43" s="83">
        <f>SUMIFS('Dataset 1'!$E$7:$E$2506,'Dataset 1'!$B$7:$B$2506,"&lt;="&amp;$A43,'Dataset 1'!$J$7:$J$2506,X$5)</f>
        <v>1630</v>
      </c>
      <c r="Y43" s="83">
        <f>SUMIFS('Dataset 1'!$E$7:$E$2506,'Dataset 1'!$B$7:$B$2506,"&lt;="&amp;$A43,'Dataset 1'!$J$7:$J$2506,Y$5)</f>
        <v>11220</v>
      </c>
      <c r="Z43" s="83">
        <f>SUMIFS('Dataset 1'!$E$7:$E$2506,'Dataset 1'!$B$7:$B$2506,"&lt;="&amp;$A43,'Dataset 1'!$J$7:$J$2506,Z$5)</f>
        <v>3080</v>
      </c>
      <c r="AA43" s="83">
        <f>SUMIFS('Dataset 1'!$E$7:$E$2506,'Dataset 1'!$B$7:$B$2506,"&lt;="&amp;$A43,'Dataset 1'!$J$7:$J$2506,AA$5)</f>
        <v>2510</v>
      </c>
      <c r="AB43" s="83">
        <f>SUMIFS('Dataset 1'!$E$7:$E$2506,'Dataset 1'!$B$7:$B$2506,"&lt;="&amp;$A43,'Dataset 1'!$J$7:$J$2506,AB$5)</f>
        <v>220</v>
      </c>
      <c r="AC43" s="83">
        <f>SUMIFS('Dataset 1'!$E$7:$E$2506,'Dataset 1'!$B$7:$B$2506,"&lt;="&amp;$A43,'Dataset 1'!$J$7:$J$2506,AC$5)</f>
        <v>500</v>
      </c>
      <c r="AD43" s="83">
        <f>SUMIFS('Dataset 1'!$E$7:$E$2506,'Dataset 1'!$B$7:$B$2506,"&lt;="&amp;$A43,'Dataset 1'!$J$7:$J$2506,AD$5)</f>
        <v>0</v>
      </c>
      <c r="AE43" s="83">
        <f>SUMIFS('Dataset 1'!$E$7:$E$2506,'Dataset 1'!$B$7:$B$2506,"&lt;="&amp;$A43,'Dataset 1'!$J$7:$J$2506,AE$5)</f>
        <v>860</v>
      </c>
      <c r="AF43" s="83">
        <f>SUMIFS('Dataset 1'!$E$7:$E$2506,'Dataset 1'!$B$7:$B$2506,"&lt;="&amp;$A43,'Dataset 1'!$J$7:$J$2506,AF$5)</f>
        <v>11260</v>
      </c>
      <c r="AG43" s="83">
        <f>SUMIFS('Dataset 1'!$E$7:$E$2506,'Dataset 1'!$B$7:$B$2506,"&lt;="&amp;$A43,'Dataset 1'!$J$7:$J$2506,AG$5)</f>
        <v>730</v>
      </c>
      <c r="AH43" s="83">
        <f>SUMIFS('Dataset 1'!$E$7:$E$2506,'Dataset 1'!$B$7:$B$2506,"&lt;="&amp;$A43,'Dataset 1'!$J$7:$J$2506,AH$5)</f>
        <v>190</v>
      </c>
      <c r="AI43" s="83">
        <f>SUMIFS('Dataset 1'!$E$7:$E$2506,'Dataset 1'!$B$7:$B$2506,"&lt;="&amp;$A43,'Dataset 1'!$J$7:$J$2506,AI$5)</f>
        <v>6170</v>
      </c>
      <c r="AJ43" s="83">
        <f>SUMIFS('Dataset 1'!$E$7:$E$2506,'Dataset 1'!$B$7:$B$2506,"&lt;="&amp;$A43,'Dataset 1'!$J$7:$J$2506,AJ$5)</f>
        <v>5340</v>
      </c>
      <c r="AK43" s="83">
        <f>SUMIFS('Dataset 1'!$E$7:$E$2506,'Dataset 1'!$B$7:$B$2506,"&lt;="&amp;$A43,'Dataset 1'!$J$7:$J$2506,AK$5)</f>
        <v>0</v>
      </c>
      <c r="AL43" s="83">
        <f>SUMIFS('Dataset 1'!$E$7:$E$2506,'Dataset 1'!$B$7:$B$2506,"&lt;="&amp;$A43,'Dataset 1'!$J$7:$J$2506,AL$5)</f>
        <v>1470</v>
      </c>
      <c r="AM43" s="83">
        <f>SUMIFS('Dataset 1'!$E$7:$E$2506,'Dataset 1'!$B$7:$B$2506,"&lt;="&amp;$A43,'Dataset 1'!$J$7:$J$2506,AM$5)</f>
        <v>14920</v>
      </c>
      <c r="AN43" s="83">
        <f>SUMIFS('Dataset 1'!$E$7:$E$2506,'Dataset 1'!$B$7:$B$2506,"&lt;="&amp;$A43,'Dataset 1'!$J$7:$J$2506,AN$5)</f>
        <v>28680</v>
      </c>
      <c r="AO43" s="83">
        <f>SUMIFS('Dataset 1'!$E$7:$E$2506,'Dataset 1'!$B$7:$B$2506,"&lt;="&amp;$A43,'Dataset 1'!$J$7:$J$2506,AO$5)</f>
        <v>400</v>
      </c>
      <c r="AP43" s="83">
        <f>SUMIFS('Dataset 1'!$E$7:$E$2506,'Dataset 1'!$B$7:$B$2506,"&lt;="&amp;$A43,'Dataset 1'!$J$7:$J$2506,AP$5)</f>
        <v>370</v>
      </c>
      <c r="AQ43" s="83">
        <f>SUMIFS('Dataset 1'!$E$7:$E$2506,'Dataset 1'!$B$7:$B$2506,"&lt;="&amp;$A43,'Dataset 1'!$J$7:$J$2506,AQ$5)</f>
        <v>48090</v>
      </c>
      <c r="AR43" s="83">
        <f>SUMIFS('Dataset 1'!$E$7:$E$2506,'Dataset 1'!$B$7:$B$2506,"&lt;="&amp;$A43,'Dataset 1'!$J$7:$J$2506,AR$5)</f>
        <v>2100</v>
      </c>
      <c r="AS43" s="83">
        <f>SUMIFS('Dataset 1'!$E$7:$E$2506,'Dataset 1'!$B$7:$B$2506,"&lt;="&amp;$A43,'Dataset 1'!$J$7:$J$2506,AS$5)</f>
        <v>9350</v>
      </c>
      <c r="AT43" s="83">
        <f>SUMIFS('Dataset 1'!$E$7:$E$2506,'Dataset 1'!$B$7:$B$2506,"&lt;="&amp;$A43,'Dataset 1'!$J$7:$J$2506,AT$5)</f>
        <v>5280</v>
      </c>
      <c r="AU43" s="83">
        <f>SUMIFS('Dataset 1'!$E$7:$E$2506,'Dataset 1'!$B$7:$B$2506,"&lt;="&amp;$A43,'Dataset 1'!$J$7:$J$2506,AU$5)</f>
        <v>170</v>
      </c>
      <c r="AV43" s="83">
        <f>SUMIFS('Dataset 1'!$E$7:$E$2506,'Dataset 1'!$B$7:$B$2506,"&lt;="&amp;$A43,'Dataset 1'!$J$7:$J$2506,AV$5)</f>
        <v>2730</v>
      </c>
      <c r="AW43" s="83">
        <f>SUMIFS('Dataset 1'!$E$7:$E$2506,'Dataset 1'!$B$7:$B$2506,"&lt;="&amp;$A43,'Dataset 1'!$J$7:$J$2506,AW$5)</f>
        <v>3630</v>
      </c>
      <c r="AX43" s="83">
        <f>SUMIFS('Dataset 1'!$E$7:$E$2506,'Dataset 1'!$B$7:$B$2506,"&lt;="&amp;$A43,'Dataset 1'!$J$7:$J$2506,AX$5)</f>
        <v>16570</v>
      </c>
      <c r="AY43" s="83">
        <f>SUMIFS('Dataset 1'!$E$7:$E$2506,'Dataset 1'!$B$7:$B$2506,"&lt;="&amp;$A43,'Dataset 1'!$J$7:$J$2506,AY$5)</f>
        <v>27330</v>
      </c>
      <c r="AZ43" s="83">
        <f>SUMIFS('Dataset 1'!$E$7:$E$2506,'Dataset 1'!$B$7:$B$2506,"&lt;="&amp;$A43,'Dataset 1'!$J$7:$J$2506,AZ$5)</f>
        <v>4720</v>
      </c>
      <c r="BA43" s="83">
        <f>SUMIFS('Dataset 1'!$E$7:$E$2506,'Dataset 1'!$B$7:$B$2506,"&lt;="&amp;$A43,'Dataset 1'!$J$7:$J$2506,BA$5)</f>
        <v>12920</v>
      </c>
      <c r="BB43" s="83">
        <f>SUMIFS('Dataset 1'!$E$7:$E$2506,'Dataset 1'!$B$7:$B$2506,"&lt;="&amp;$A43,'Dataset 1'!$J$7:$J$2506,BB$5)</f>
        <v>7430</v>
      </c>
      <c r="BC43" s="83">
        <f>SUMIFS('Dataset 1'!$E$7:$E$2506,'Dataset 1'!$B$7:$B$2506,"&lt;="&amp;$A43,'Dataset 1'!$J$7:$J$2506,BC$5)</f>
        <v>9920</v>
      </c>
      <c r="BD43" s="83">
        <f>SUMIFS('Dataset 1'!$E$7:$E$2506,'Dataset 1'!$B$7:$B$2506,"&lt;="&amp;$A43,'Dataset 1'!$J$7:$J$2506,BD$5)</f>
        <v>23470</v>
      </c>
      <c r="BE43" s="83">
        <f>SUMIFS('Dataset 1'!$E$7:$E$2506,'Dataset 1'!$B$7:$B$2506,"&lt;="&amp;$A43,'Dataset 1'!$J$7:$J$2506,BE$5)</f>
        <v>0</v>
      </c>
      <c r="BF43" s="83">
        <f>SUMIFS('Dataset 1'!$E$7:$E$2506,'Dataset 1'!$B$7:$B$2506,"&lt;="&amp;$A43,'Dataset 1'!$J$7:$J$2506,BF$5)</f>
        <v>1170</v>
      </c>
      <c r="BG43" s="83">
        <f>SUMIFS('Dataset 1'!$E$7:$E$2506,'Dataset 1'!$B$7:$B$2506,"&lt;="&amp;$A43,'Dataset 1'!$J$7:$J$2506,BG$5)</f>
        <v>10130</v>
      </c>
      <c r="BH43" s="83">
        <f>SUMIFS('Dataset 1'!$E$7:$E$2506,'Dataset 1'!$B$7:$B$2506,"&lt;="&amp;$A43,'Dataset 1'!$J$7:$J$2506,BH$5)</f>
        <v>1800</v>
      </c>
      <c r="BI43" s="83">
        <f>SUMIFS('Dataset 1'!$E$7:$E$2506,'Dataset 1'!$B$7:$B$2506,"&lt;="&amp;$A43,'Dataset 1'!$J$7:$J$2506,BI$5)</f>
        <v>19660</v>
      </c>
      <c r="BJ43" s="83">
        <f>SUMIFS('Dataset 1'!$E$7:$E$2506,'Dataset 1'!$B$7:$B$2506,"&lt;="&amp;$A43,'Dataset 1'!$J$7:$J$2506,BJ$5)</f>
        <v>1520</v>
      </c>
      <c r="BK43" s="83">
        <f>SUMIFS('Dataset 1'!$E$7:$E$2506,'Dataset 1'!$B$7:$B$2506,"&lt;="&amp;$A43,'Dataset 1'!$J$7:$J$2506,BK$5)</f>
        <v>650</v>
      </c>
      <c r="BL43" s="83">
        <f>SUMIFS('Dataset 1'!$E$7:$E$2506,'Dataset 1'!$B$7:$B$2506,"&lt;="&amp;$A43,'Dataset 1'!$J$7:$J$2506,BL$5)</f>
        <v>670</v>
      </c>
      <c r="BM43" s="83">
        <f>SUMIFS('Dataset 1'!$E$7:$E$2506,'Dataset 1'!$B$7:$B$2506,"&lt;="&amp;$A43,'Dataset 1'!$J$7:$J$2506,BM$5)</f>
        <v>12180</v>
      </c>
      <c r="BN43" s="83">
        <f>SUMIFS('Dataset 1'!$E$7:$E$2506,'Dataset 1'!$B$7:$B$2506,"&lt;="&amp;$A43,'Dataset 1'!$J$7:$J$2506,BN$5)</f>
        <v>520</v>
      </c>
      <c r="BO43" s="83">
        <f>SUMIFS('Dataset 1'!$E$7:$E$2506,'Dataset 1'!$B$7:$B$2506,"&lt;="&amp;$A43,'Dataset 1'!$J$7:$J$2506,BO$5)</f>
        <v>2790</v>
      </c>
      <c r="BP43" s="83">
        <f>SUMIFS('Dataset 1'!$E$7:$E$2506,'Dataset 1'!$B$7:$B$2506,"&lt;="&amp;$A43,'Dataset 1'!$J$7:$J$2506,BP$5)</f>
        <v>150</v>
      </c>
      <c r="BQ43" s="83">
        <f>SUMIFS('Dataset 1'!$E$7:$E$2506,'Dataset 1'!$B$7:$B$2506,"&lt;="&amp;$A43,'Dataset 1'!$J$7:$J$2506,BQ$5)</f>
        <v>100</v>
      </c>
      <c r="BR43" s="83">
        <f>SUMIFS('Dataset 1'!$E$7:$E$2506,'Dataset 1'!$B$7:$B$2506,"&lt;="&amp;$A43,'Dataset 1'!$J$7:$J$2506,BR$5)</f>
        <v>19000</v>
      </c>
      <c r="BS43" s="83">
        <f>SUMIFS('Dataset 1'!$E$7:$E$2506,'Dataset 1'!$B$7:$B$2506,"&lt;="&amp;$A43,'Dataset 1'!$J$7:$J$2506,BS$5)</f>
        <v>110</v>
      </c>
      <c r="BT43" s="83">
        <f>SUMIFS('Dataset 1'!$E$7:$E$2506,'Dataset 1'!$B$7:$B$2506,"&lt;="&amp;$A43,'Dataset 1'!$J$7:$J$2506,BT$5)</f>
        <v>0</v>
      </c>
      <c r="BU43" s="83">
        <f>SUMIFS('Dataset 1'!$E$7:$E$2506,'Dataset 1'!$B$7:$B$2506,"&lt;="&amp;$A43,'Dataset 1'!$J$7:$J$2506,BU$5)</f>
        <v>440</v>
      </c>
      <c r="BV43" s="83">
        <f>SUMIFS('Dataset 1'!$E$7:$E$2506,'Dataset 1'!$B$7:$B$2506,"&lt;="&amp;$A43,'Dataset 1'!$J$7:$J$2506,BV$5)</f>
        <v>740</v>
      </c>
      <c r="BW43" s="83">
        <f>SUMIFS('Dataset 1'!$E$7:$E$2506,'Dataset 1'!$B$7:$B$2506,"&lt;="&amp;$A43,'Dataset 1'!$J$7:$J$2506,BW$5)</f>
        <v>2940</v>
      </c>
      <c r="BX43" s="83">
        <f>SUMIFS('Dataset 1'!$E$7:$E$2506,'Dataset 1'!$B$7:$B$2506,"&lt;="&amp;$A43,'Dataset 1'!$J$7:$J$2506,BX$5)</f>
        <v>4660</v>
      </c>
      <c r="BY43" s="83">
        <f>SUMIFS('Dataset 1'!$E$7:$E$2506,'Dataset 1'!$B$7:$B$2506,"&lt;="&amp;$A43,'Dataset 1'!$J$7:$J$2506,BY$5)</f>
        <v>100</v>
      </c>
      <c r="BZ43" s="83">
        <f>SUMIFS('Dataset 1'!$E$7:$E$2506,'Dataset 1'!$B$7:$B$2506,"&lt;="&amp;$A43,'Dataset 1'!$J$7:$J$2506,BZ$5)</f>
        <v>190</v>
      </c>
      <c r="CA43" s="83">
        <f>SUMIFS('Dataset 1'!$E$7:$E$2506,'Dataset 1'!$B$7:$B$2506,"&lt;="&amp;$A43,'Dataset 1'!$J$7:$J$2506,CA$5)</f>
        <v>4820</v>
      </c>
      <c r="CB43" s="83">
        <f>SUMIFS('Dataset 1'!$E$7:$E$2506,'Dataset 1'!$B$7:$B$2506,"&lt;="&amp;$A43,'Dataset 1'!$J$7:$J$2506,CB$5)</f>
        <v>5730</v>
      </c>
      <c r="CC43" s="83">
        <f>SUMIFS('Dataset 1'!$E$7:$E$2506,'Dataset 1'!$B$7:$B$2506,"&lt;="&amp;$A43,'Dataset 1'!$J$7:$J$2506,CC$5)</f>
        <v>2690</v>
      </c>
      <c r="CD43" s="83">
        <f>SUMIFS('Dataset 1'!$E$7:$E$2506,'Dataset 1'!$B$7:$B$2506,"&lt;="&amp;$A43,'Dataset 1'!$J$7:$J$2506,CD$5)</f>
        <v>890</v>
      </c>
      <c r="CE43" s="83">
        <f>SUMIFS('Dataset 1'!$E$7:$E$2506,'Dataset 1'!$B$7:$B$2506,"&lt;="&amp;$A43,'Dataset 1'!$J$7:$J$2506,CE$5)</f>
        <v>16300</v>
      </c>
      <c r="CF43" s="83">
        <f>SUMIFS('Dataset 1'!$E$7:$E$2506,'Dataset 1'!$B$7:$B$2506,"&lt;="&amp;$A43,'Dataset 1'!$J$7:$J$2506,CF$5)</f>
        <v>3690</v>
      </c>
      <c r="CG43" s="83">
        <f>SUMIFS('Dataset 1'!$E$7:$E$2506,'Dataset 1'!$B$7:$B$2506,"&lt;="&amp;$A43,'Dataset 1'!$J$7:$J$2506,CG$5)</f>
        <v>300</v>
      </c>
      <c r="CH43" s="83">
        <f>SUMIFS('Dataset 1'!$E$7:$E$2506,'Dataset 1'!$B$7:$B$2506,"&lt;="&amp;$A43,'Dataset 1'!$J$7:$J$2506,CH$5)</f>
        <v>4870</v>
      </c>
      <c r="CI43" s="83">
        <f>SUMIFS('Dataset 1'!$E$7:$E$2506,'Dataset 1'!$B$7:$B$2506,"&lt;="&amp;$A43,'Dataset 1'!$J$7:$J$2506,CI$5)</f>
        <v>6730</v>
      </c>
      <c r="CJ43" s="83">
        <f>SUMIFS('Dataset 1'!$E$7:$E$2506,'Dataset 1'!$B$7:$B$2506,"&lt;="&amp;$A43,'Dataset 1'!$J$7:$J$2506,CJ$5)</f>
        <v>2000</v>
      </c>
      <c r="CK43" s="83">
        <f>SUMIFS('Dataset 1'!$E$7:$E$2506,'Dataset 1'!$B$7:$B$2506,"&lt;="&amp;$A43,'Dataset 1'!$J$7:$J$2506,CK$5)</f>
        <v>6950</v>
      </c>
      <c r="CL43" s="83">
        <f>SUMIFS('Dataset 1'!$E$7:$E$2506,'Dataset 1'!$B$7:$B$2506,"&lt;="&amp;$A43,'Dataset 1'!$J$7:$J$2506,CL$5)</f>
        <v>2010</v>
      </c>
      <c r="CM43" s="83">
        <f>SUMIFS('Dataset 1'!$E$7:$E$2506,'Dataset 1'!$B$7:$B$2506,"&lt;="&amp;$A43,'Dataset 1'!$J$7:$J$2506,CM$5)</f>
        <v>14090</v>
      </c>
      <c r="CN43" s="83">
        <f>SUMIFS('Dataset 1'!$E$7:$E$2506,'Dataset 1'!$B$7:$B$2506,"&lt;="&amp;$A43,'Dataset 1'!$J$7:$J$2506,CN$5)</f>
        <v>310</v>
      </c>
      <c r="CO43" s="83">
        <f>SUMIFS('Dataset 1'!$E$7:$E$2506,'Dataset 1'!$B$7:$B$2506,"&lt;="&amp;$A43,'Dataset 1'!$J$7:$J$2506,CO$5)</f>
        <v>2060</v>
      </c>
      <c r="CP43" s="83">
        <f>SUMIFS('Dataset 1'!$E$7:$E$2506,'Dataset 1'!$B$7:$B$2506,"&lt;="&amp;$A43,'Dataset 1'!$J$7:$J$2506,CP$5)</f>
        <v>21860</v>
      </c>
      <c r="CQ43" s="83">
        <f>SUMIFS('Dataset 1'!$E$7:$E$2506,'Dataset 1'!$B$7:$B$2506,"&lt;="&amp;$A43,'Dataset 1'!$J$7:$J$2506,CQ$5)</f>
        <v>3330</v>
      </c>
      <c r="CR43" s="83">
        <f>SUMIFS('Dataset 1'!$E$7:$E$2506,'Dataset 1'!$B$7:$B$2506,"&lt;="&amp;$A43,'Dataset 1'!$J$7:$J$2506,CR$5)</f>
        <v>1090</v>
      </c>
      <c r="CS43" s="83">
        <f>SUMIFS('Dataset 1'!$E$7:$E$2506,'Dataset 1'!$B$7:$B$2506,"&lt;="&amp;$A43,'Dataset 1'!$J$7:$J$2506,CS$5)</f>
        <v>9120</v>
      </c>
      <c r="CT43" s="83">
        <f>SUMIFS('Dataset 1'!$E$7:$E$2506,'Dataset 1'!$B$7:$B$2506,"&lt;="&amp;$A43,'Dataset 1'!$J$7:$J$2506,CT$5)</f>
        <v>100</v>
      </c>
      <c r="CU43" s="83">
        <f>SUMIFS('Dataset 1'!$E$7:$E$2506,'Dataset 1'!$B$7:$B$2506,"&lt;="&amp;$A43,'Dataset 1'!$J$7:$J$2506,CU$5)</f>
        <v>33350</v>
      </c>
      <c r="CV43" s="83">
        <f>SUMIFS('Dataset 1'!$E$7:$E$2506,'Dataset 1'!$B$7:$B$2506,"&lt;="&amp;$A43,'Dataset 1'!$J$7:$J$2506,CV$5)</f>
        <v>120</v>
      </c>
      <c r="CW43" s="83">
        <f>SUMIFS('Dataset 1'!$E$7:$E$2506,'Dataset 1'!$B$7:$B$2506,"&lt;="&amp;$A43,'Dataset 1'!$J$7:$J$2506,CW$5)</f>
        <v>110</v>
      </c>
      <c r="CX43" s="83">
        <f>SUMIFS('Dataset 1'!$E$7:$E$2506,'Dataset 1'!$B$7:$B$2506,"&lt;="&amp;$A43,'Dataset 1'!$J$7:$J$2506,CX$5)</f>
        <v>270</v>
      </c>
      <c r="CY43" s="83">
        <f>SUMIFS('Dataset 1'!$E$7:$E$2506,'Dataset 1'!$B$7:$B$2506,"&lt;="&amp;$A43,'Dataset 1'!$J$7:$J$2506,CY$5)</f>
        <v>5870</v>
      </c>
      <c r="CZ43" s="83">
        <f>SUMIFS('Dataset 1'!$E$7:$E$2506,'Dataset 1'!$B$7:$B$2506,"&lt;="&amp;$A43,'Dataset 1'!$J$7:$J$2506,CZ$5)</f>
        <v>3640</v>
      </c>
      <c r="DA43" s="83">
        <f>SUMIFS('Dataset 1'!$E$7:$E$2506,'Dataset 1'!$B$7:$B$2506,"&lt;="&amp;$A43,'Dataset 1'!$J$7:$J$2506,DA$5)</f>
        <v>3330</v>
      </c>
      <c r="DB43" s="83">
        <f>SUMIFS('Dataset 1'!$E$7:$E$2506,'Dataset 1'!$B$7:$B$2506,"&lt;="&amp;$A43,'Dataset 1'!$J$7:$J$2506,DB$5)</f>
        <v>37470</v>
      </c>
      <c r="DC43" s="83">
        <f>SUMIFS('Dataset 1'!$E$7:$E$2506,'Dataset 1'!$B$7:$B$2506,"&lt;="&amp;$A43,'Dataset 1'!$J$7:$J$2506,DC$5)</f>
        <v>0</v>
      </c>
      <c r="DD43" s="83">
        <f>SUMIFS('Dataset 1'!$E$7:$E$2506,'Dataset 1'!$B$7:$B$2506,"&lt;="&amp;$A43,'Dataset 1'!$J$7:$J$2506,DD$5)</f>
        <v>1390</v>
      </c>
      <c r="DE43" s="83">
        <f>SUMIFS('Dataset 1'!$E$7:$E$2506,'Dataset 1'!$B$7:$B$2506,"&lt;="&amp;$A43,'Dataset 1'!$J$7:$J$2506,DE$5)</f>
        <v>200</v>
      </c>
      <c r="DF43" s="83">
        <f>SUMIFS('Dataset 1'!$E$7:$E$2506,'Dataset 1'!$B$7:$B$2506,"&lt;="&amp;$A43,'Dataset 1'!$J$7:$J$2506,DF$5)</f>
        <v>10890</v>
      </c>
      <c r="DG43" s="83">
        <f>SUMIFS('Dataset 1'!$E$7:$E$2506,'Dataset 1'!$B$7:$B$2506,"&lt;="&amp;$A43,'Dataset 1'!$J$7:$J$2506,DG$5)</f>
        <v>9820</v>
      </c>
      <c r="DH43" s="83">
        <f>SUMIFS('Dataset 1'!$E$7:$E$2506,'Dataset 1'!$B$7:$B$2506,"&lt;="&amp;$A43,'Dataset 1'!$J$7:$J$2506,DH$5)</f>
        <v>7410</v>
      </c>
      <c r="DI43" s="83">
        <f>SUMIFS('Dataset 1'!$E$7:$E$2506,'Dataset 1'!$B$7:$B$2506,"&lt;="&amp;$A43,'Dataset 1'!$J$7:$J$2506,DI$5)</f>
        <v>2200</v>
      </c>
      <c r="DJ43" s="83">
        <f>SUMIFS('Dataset 1'!$E$7:$E$2506,'Dataset 1'!$B$7:$B$2506,"&lt;="&amp;$A43,'Dataset 1'!$J$7:$J$2506,DJ$5)</f>
        <v>260</v>
      </c>
      <c r="DK43" s="83">
        <f>SUMIFS('Dataset 1'!$E$7:$E$2506,'Dataset 1'!$B$7:$B$2506,"&lt;="&amp;$A43,'Dataset 1'!$J$7:$J$2506,DK$5)</f>
        <v>0</v>
      </c>
      <c r="DL43" s="83">
        <f>SUMIFS('Dataset 1'!$E$7:$E$2506,'Dataset 1'!$B$7:$B$2506,"&lt;="&amp;$A43,'Dataset 1'!$J$7:$J$2506,DL$5)</f>
        <v>15150</v>
      </c>
      <c r="DM43" s="83">
        <f>SUMIFS('Dataset 1'!$E$7:$E$2506,'Dataset 1'!$B$7:$B$2506,"&lt;="&amp;$A43,'Dataset 1'!$J$7:$J$2506,DM$5)</f>
        <v>61060</v>
      </c>
      <c r="DN43" s="83">
        <f>SUMIFS('Dataset 1'!$E$7:$E$2506,'Dataset 1'!$B$7:$B$2506,"&lt;="&amp;$A43,'Dataset 1'!$J$7:$J$2506,DN$5)</f>
        <v>3760</v>
      </c>
      <c r="DO43" s="83">
        <f>SUMIFS('Dataset 1'!$E$7:$E$2506,'Dataset 1'!$B$7:$B$2506,"&lt;="&amp;$A43,'Dataset 1'!$J$7:$J$2506,DO$5)</f>
        <v>1220</v>
      </c>
      <c r="DP43" s="83">
        <f>SUMIFS('Dataset 1'!$E$7:$E$2506,'Dataset 1'!$B$7:$B$2506,"&lt;="&amp;$A43,'Dataset 1'!$J$7:$J$2506,DP$5)</f>
        <v>520</v>
      </c>
      <c r="DQ43" s="83">
        <f>SUMIFS('Dataset 1'!$E$7:$E$2506,'Dataset 1'!$B$7:$B$2506,"&lt;="&amp;$A43,'Dataset 1'!$J$7:$J$2506,DQ$5)</f>
        <v>1140</v>
      </c>
      <c r="DR43" s="83">
        <f>SUMIFS('Dataset 1'!$E$7:$E$2506,'Dataset 1'!$B$7:$B$2506,"&lt;="&amp;$A43,'Dataset 1'!$J$7:$J$2506,DR$5)</f>
        <v>4800</v>
      </c>
      <c r="DS43" s="83">
        <f>SUMIFS('Dataset 1'!$E$7:$E$2506,'Dataset 1'!$B$7:$B$2506,"&lt;="&amp;$A43,'Dataset 1'!$J$7:$J$2506,DS$5)</f>
        <v>190</v>
      </c>
      <c r="DT43" s="83">
        <f>SUMIFS('Dataset 1'!$E$7:$E$2506,'Dataset 1'!$B$7:$B$2506,"&lt;="&amp;$A43,'Dataset 1'!$J$7:$J$2506,DT$5)</f>
        <v>1170</v>
      </c>
      <c r="DU43" s="83">
        <f>SUMIFS('Dataset 1'!$E$7:$E$2506,'Dataset 1'!$B$7:$B$2506,"&lt;="&amp;$A43,'Dataset 1'!$J$7:$J$2506,DU$5)</f>
        <v>0</v>
      </c>
      <c r="DV43" s="83">
        <f>SUMIFS('Dataset 1'!$E$7:$E$2506,'Dataset 1'!$B$7:$B$2506,"&lt;="&amp;$A43,'Dataset 1'!$J$7:$J$2506,DV$5)</f>
        <v>5840</v>
      </c>
      <c r="DW43" s="83">
        <f>SUMIFS('Dataset 1'!$E$7:$E$2506,'Dataset 1'!$B$7:$B$2506,"&lt;="&amp;$A43,'Dataset 1'!$J$7:$J$2506,DW$5)</f>
        <v>1790</v>
      </c>
      <c r="DX43" s="83">
        <f>SUMIFS('Dataset 1'!$E$7:$E$2506,'Dataset 1'!$B$7:$B$2506,"&lt;="&amp;$A43,'Dataset 1'!$J$7:$J$2506,DX$5)</f>
        <v>7840</v>
      </c>
      <c r="DY43" s="83">
        <f>SUMIFS('Dataset 1'!$E$7:$E$2506,'Dataset 1'!$B$7:$B$2506,"&lt;="&amp;$A43,'Dataset 1'!$J$7:$J$2506,DY$5)</f>
        <v>187580</v>
      </c>
      <c r="DZ43" s="83">
        <f>SUMIFS('Dataset 1'!$E$7:$E$2506,'Dataset 1'!$B$7:$B$2506,"&lt;="&amp;$A43,'Dataset 1'!$J$7:$J$2506,DZ$5)</f>
        <v>3020</v>
      </c>
      <c r="EA43" s="83">
        <f>SUMIFS('Dataset 1'!$E$7:$E$2506,'Dataset 1'!$B$7:$B$2506,"&lt;="&amp;$A43,'Dataset 1'!$J$7:$J$2506,EA$5)</f>
        <v>180</v>
      </c>
      <c r="EB43" s="83">
        <f>SUMIFS('Dataset 1'!$E$7:$E$2506,'Dataset 1'!$B$7:$B$2506,"&lt;="&amp;$A43,'Dataset 1'!$J$7:$J$2506,EB$5)</f>
        <v>1050</v>
      </c>
      <c r="EC43" s="83">
        <f>SUMIFS('Dataset 1'!$E$7:$E$2506,'Dataset 1'!$B$7:$B$2506,"&lt;="&amp;$A43,'Dataset 1'!$J$7:$J$2506,EC$5)</f>
        <v>4570</v>
      </c>
      <c r="ED43" s="83">
        <f>SUMIFS('Dataset 1'!$E$7:$E$2506,'Dataset 1'!$B$7:$B$2506,"&lt;="&amp;$A43,'Dataset 1'!$J$7:$J$2506,ED$5)</f>
        <v>6030</v>
      </c>
      <c r="EE43" s="83">
        <f>SUMIFS('Dataset 1'!$E$7:$E$2506,'Dataset 1'!$B$7:$B$2506,"&lt;="&amp;$A43,'Dataset 1'!$J$7:$J$2506,EE$5)</f>
        <v>470</v>
      </c>
      <c r="EF43" s="83">
        <f>SUMIFS('Dataset 1'!$E$7:$E$2506,'Dataset 1'!$B$7:$B$2506,"&lt;="&amp;$A43,'Dataset 1'!$J$7:$J$2506,EF$5)</f>
        <v>3070</v>
      </c>
      <c r="EG43" s="83">
        <f>SUMIFS('Dataset 1'!$E$7:$E$2506,'Dataset 1'!$B$7:$B$2506,"&lt;="&amp;$A43,'Dataset 1'!$J$7:$J$2506,EG$5)</f>
        <v>1950</v>
      </c>
    </row>
    <row r="44" spans="1:137" x14ac:dyDescent="0.2">
      <c r="A44">
        <v>2020</v>
      </c>
      <c r="B44" s="83">
        <f>SUMIFS('Dataset 1'!$E$7:$E$2506,'Dataset 1'!$B$7:$B$2506,"&lt;="&amp;$A44,'Dataset 1'!$J$7:$J$2506,B$5)</f>
        <v>2920</v>
      </c>
      <c r="C44" s="83">
        <f>SUMIFS('Dataset 1'!$E$7:$E$2506,'Dataset 1'!$B$7:$B$2506,"&lt;="&amp;$A44,'Dataset 1'!$J$7:$J$2506,C$5)</f>
        <v>0</v>
      </c>
      <c r="D44" s="83">
        <f>SUMIFS('Dataset 1'!$E$7:$E$2506,'Dataset 1'!$B$7:$B$2506,"&lt;="&amp;$A44,'Dataset 1'!$J$7:$J$2506,D$5)</f>
        <v>5150</v>
      </c>
      <c r="E44" s="83">
        <f>SUMIFS('Dataset 1'!$E$7:$E$2506,'Dataset 1'!$B$7:$B$2506,"&lt;="&amp;$A44,'Dataset 1'!$J$7:$J$2506,E$5)</f>
        <v>740</v>
      </c>
      <c r="F44" s="83">
        <f>SUMIFS('Dataset 1'!$E$7:$E$2506,'Dataset 1'!$B$7:$B$2506,"&lt;="&amp;$A44,'Dataset 1'!$J$7:$J$2506,F$5)</f>
        <v>9890</v>
      </c>
      <c r="G44" s="83">
        <f>SUMIFS('Dataset 1'!$E$7:$E$2506,'Dataset 1'!$B$7:$B$2506,"&lt;="&amp;$A44,'Dataset 1'!$J$7:$J$2506,G$5)</f>
        <v>105520</v>
      </c>
      <c r="H44" s="83">
        <f>SUMIFS('Dataset 1'!$E$7:$E$2506,'Dataset 1'!$B$7:$B$2506,"&lt;="&amp;$A44,'Dataset 1'!$J$7:$J$2506,H$5)</f>
        <v>510</v>
      </c>
      <c r="I44" s="83">
        <f>SUMIFS('Dataset 1'!$E$7:$E$2506,'Dataset 1'!$B$7:$B$2506,"&lt;="&amp;$A44,'Dataset 1'!$J$7:$J$2506,I$5)</f>
        <v>270</v>
      </c>
      <c r="J44" s="83">
        <f>SUMIFS('Dataset 1'!$E$7:$E$2506,'Dataset 1'!$B$7:$B$2506,"&lt;="&amp;$A44,'Dataset 1'!$J$7:$J$2506,J$5)</f>
        <v>350</v>
      </c>
      <c r="K44" s="83">
        <f>SUMIFS('Dataset 1'!$E$7:$E$2506,'Dataset 1'!$B$7:$B$2506,"&lt;="&amp;$A44,'Dataset 1'!$J$7:$J$2506,K$5)</f>
        <v>6630</v>
      </c>
      <c r="L44" s="83">
        <f>SUMIFS('Dataset 1'!$E$7:$E$2506,'Dataset 1'!$B$7:$B$2506,"&lt;="&amp;$A44,'Dataset 1'!$J$7:$J$2506,L$5)</f>
        <v>400</v>
      </c>
      <c r="M44" s="83">
        <f>SUMIFS('Dataset 1'!$E$7:$E$2506,'Dataset 1'!$B$7:$B$2506,"&lt;="&amp;$A44,'Dataset 1'!$J$7:$J$2506,M$5)</f>
        <v>5070</v>
      </c>
      <c r="N44" s="83">
        <f>SUMIFS('Dataset 1'!$E$7:$E$2506,'Dataset 1'!$B$7:$B$2506,"&lt;="&amp;$A44,'Dataset 1'!$J$7:$J$2506,N$5)</f>
        <v>0</v>
      </c>
      <c r="O44" s="83">
        <f>SUMIFS('Dataset 1'!$E$7:$E$2506,'Dataset 1'!$B$7:$B$2506,"&lt;="&amp;$A44,'Dataset 1'!$J$7:$J$2506,O$5)</f>
        <v>110</v>
      </c>
      <c r="P44" s="83">
        <f>SUMIFS('Dataset 1'!$E$7:$E$2506,'Dataset 1'!$B$7:$B$2506,"&lt;="&amp;$A44,'Dataset 1'!$J$7:$J$2506,P$5)</f>
        <v>0</v>
      </c>
      <c r="Q44" s="83">
        <f>SUMIFS('Dataset 1'!$E$7:$E$2506,'Dataset 1'!$B$7:$B$2506,"&lt;="&amp;$A44,'Dataset 1'!$J$7:$J$2506,Q$5)</f>
        <v>59230</v>
      </c>
      <c r="R44" s="83">
        <f>SUMIFS('Dataset 1'!$E$7:$E$2506,'Dataset 1'!$B$7:$B$2506,"&lt;="&amp;$A44,'Dataset 1'!$J$7:$J$2506,R$5)</f>
        <v>96580</v>
      </c>
      <c r="S44" s="83">
        <f>SUMIFS('Dataset 1'!$E$7:$E$2506,'Dataset 1'!$B$7:$B$2506,"&lt;="&amp;$A44,'Dataset 1'!$J$7:$J$2506,S$5)</f>
        <v>3440</v>
      </c>
      <c r="T44" s="83">
        <f>SUMIFS('Dataset 1'!$E$7:$E$2506,'Dataset 1'!$B$7:$B$2506,"&lt;="&amp;$A44,'Dataset 1'!$J$7:$J$2506,T$5)</f>
        <v>120</v>
      </c>
      <c r="U44" s="83">
        <f>SUMIFS('Dataset 1'!$E$7:$E$2506,'Dataset 1'!$B$7:$B$2506,"&lt;="&amp;$A44,'Dataset 1'!$J$7:$J$2506,U$5)</f>
        <v>10570</v>
      </c>
      <c r="V44" s="83">
        <f>SUMIFS('Dataset 1'!$E$7:$E$2506,'Dataset 1'!$B$7:$B$2506,"&lt;="&amp;$A44,'Dataset 1'!$J$7:$J$2506,V$5)</f>
        <v>1900</v>
      </c>
      <c r="W44" s="83">
        <f>SUMIFS('Dataset 1'!$E$7:$E$2506,'Dataset 1'!$B$7:$B$2506,"&lt;="&amp;$A44,'Dataset 1'!$J$7:$J$2506,W$5)</f>
        <v>56130</v>
      </c>
      <c r="X44" s="83">
        <f>SUMIFS('Dataset 1'!$E$7:$E$2506,'Dataset 1'!$B$7:$B$2506,"&lt;="&amp;$A44,'Dataset 1'!$J$7:$J$2506,X$5)</f>
        <v>1630</v>
      </c>
      <c r="Y44" s="83">
        <f>SUMIFS('Dataset 1'!$E$7:$E$2506,'Dataset 1'!$B$7:$B$2506,"&lt;="&amp;$A44,'Dataset 1'!$J$7:$J$2506,Y$5)</f>
        <v>14250</v>
      </c>
      <c r="Z44" s="83">
        <f>SUMIFS('Dataset 1'!$E$7:$E$2506,'Dataset 1'!$B$7:$B$2506,"&lt;="&amp;$A44,'Dataset 1'!$J$7:$J$2506,Z$5)</f>
        <v>3220</v>
      </c>
      <c r="AA44" s="83">
        <f>SUMIFS('Dataset 1'!$E$7:$E$2506,'Dataset 1'!$B$7:$B$2506,"&lt;="&amp;$A44,'Dataset 1'!$J$7:$J$2506,AA$5)</f>
        <v>2510</v>
      </c>
      <c r="AB44" s="83">
        <f>SUMIFS('Dataset 1'!$E$7:$E$2506,'Dataset 1'!$B$7:$B$2506,"&lt;="&amp;$A44,'Dataset 1'!$J$7:$J$2506,AB$5)</f>
        <v>220</v>
      </c>
      <c r="AC44" s="83">
        <f>SUMIFS('Dataset 1'!$E$7:$E$2506,'Dataset 1'!$B$7:$B$2506,"&lt;="&amp;$A44,'Dataset 1'!$J$7:$J$2506,AC$5)</f>
        <v>500</v>
      </c>
      <c r="AD44" s="83">
        <f>SUMIFS('Dataset 1'!$E$7:$E$2506,'Dataset 1'!$B$7:$B$2506,"&lt;="&amp;$A44,'Dataset 1'!$J$7:$J$2506,AD$5)</f>
        <v>0</v>
      </c>
      <c r="AE44" s="83">
        <f>SUMIFS('Dataset 1'!$E$7:$E$2506,'Dataset 1'!$B$7:$B$2506,"&lt;="&amp;$A44,'Dataset 1'!$J$7:$J$2506,AE$5)</f>
        <v>860</v>
      </c>
      <c r="AF44" s="83">
        <f>SUMIFS('Dataset 1'!$E$7:$E$2506,'Dataset 1'!$B$7:$B$2506,"&lt;="&amp;$A44,'Dataset 1'!$J$7:$J$2506,AF$5)</f>
        <v>12050</v>
      </c>
      <c r="AG44" s="83">
        <f>SUMIFS('Dataset 1'!$E$7:$E$2506,'Dataset 1'!$B$7:$B$2506,"&lt;="&amp;$A44,'Dataset 1'!$J$7:$J$2506,AG$5)</f>
        <v>730</v>
      </c>
      <c r="AH44" s="83">
        <f>SUMIFS('Dataset 1'!$E$7:$E$2506,'Dataset 1'!$B$7:$B$2506,"&lt;="&amp;$A44,'Dataset 1'!$J$7:$J$2506,AH$5)</f>
        <v>700</v>
      </c>
      <c r="AI44" s="83">
        <f>SUMIFS('Dataset 1'!$E$7:$E$2506,'Dataset 1'!$B$7:$B$2506,"&lt;="&amp;$A44,'Dataset 1'!$J$7:$J$2506,AI$5)</f>
        <v>6170</v>
      </c>
      <c r="AJ44" s="83">
        <f>SUMIFS('Dataset 1'!$E$7:$E$2506,'Dataset 1'!$B$7:$B$2506,"&lt;="&amp;$A44,'Dataset 1'!$J$7:$J$2506,AJ$5)</f>
        <v>5340</v>
      </c>
      <c r="AK44" s="83">
        <f>SUMIFS('Dataset 1'!$E$7:$E$2506,'Dataset 1'!$B$7:$B$2506,"&lt;="&amp;$A44,'Dataset 1'!$J$7:$J$2506,AK$5)</f>
        <v>0</v>
      </c>
      <c r="AL44" s="83">
        <f>SUMIFS('Dataset 1'!$E$7:$E$2506,'Dataset 1'!$B$7:$B$2506,"&lt;="&amp;$A44,'Dataset 1'!$J$7:$J$2506,AL$5)</f>
        <v>1470</v>
      </c>
      <c r="AM44" s="83">
        <f>SUMIFS('Dataset 1'!$E$7:$E$2506,'Dataset 1'!$B$7:$B$2506,"&lt;="&amp;$A44,'Dataset 1'!$J$7:$J$2506,AM$5)</f>
        <v>14920</v>
      </c>
      <c r="AN44" s="83">
        <f>SUMIFS('Dataset 1'!$E$7:$E$2506,'Dataset 1'!$B$7:$B$2506,"&lt;="&amp;$A44,'Dataset 1'!$J$7:$J$2506,AN$5)</f>
        <v>32880</v>
      </c>
      <c r="AO44" s="83">
        <f>SUMIFS('Dataset 1'!$E$7:$E$2506,'Dataset 1'!$B$7:$B$2506,"&lt;="&amp;$A44,'Dataset 1'!$J$7:$J$2506,AO$5)</f>
        <v>400</v>
      </c>
      <c r="AP44" s="83">
        <f>SUMIFS('Dataset 1'!$E$7:$E$2506,'Dataset 1'!$B$7:$B$2506,"&lt;="&amp;$A44,'Dataset 1'!$J$7:$J$2506,AP$5)</f>
        <v>370</v>
      </c>
      <c r="AQ44" s="83">
        <f>SUMIFS('Dataset 1'!$E$7:$E$2506,'Dataset 1'!$B$7:$B$2506,"&lt;="&amp;$A44,'Dataset 1'!$J$7:$J$2506,AQ$5)</f>
        <v>48510</v>
      </c>
      <c r="AR44" s="83">
        <f>SUMIFS('Dataset 1'!$E$7:$E$2506,'Dataset 1'!$B$7:$B$2506,"&lt;="&amp;$A44,'Dataset 1'!$J$7:$J$2506,AR$5)</f>
        <v>2530</v>
      </c>
      <c r="AS44" s="83">
        <f>SUMIFS('Dataset 1'!$E$7:$E$2506,'Dataset 1'!$B$7:$B$2506,"&lt;="&amp;$A44,'Dataset 1'!$J$7:$J$2506,AS$5)</f>
        <v>9350</v>
      </c>
      <c r="AT44" s="83">
        <f>SUMIFS('Dataset 1'!$E$7:$E$2506,'Dataset 1'!$B$7:$B$2506,"&lt;="&amp;$A44,'Dataset 1'!$J$7:$J$2506,AT$5)</f>
        <v>5280</v>
      </c>
      <c r="AU44" s="83">
        <f>SUMIFS('Dataset 1'!$E$7:$E$2506,'Dataset 1'!$B$7:$B$2506,"&lt;="&amp;$A44,'Dataset 1'!$J$7:$J$2506,AU$5)</f>
        <v>170</v>
      </c>
      <c r="AV44" s="83">
        <f>SUMIFS('Dataset 1'!$E$7:$E$2506,'Dataset 1'!$B$7:$B$2506,"&lt;="&amp;$A44,'Dataset 1'!$J$7:$J$2506,AV$5)</f>
        <v>5250</v>
      </c>
      <c r="AW44" s="83">
        <f>SUMIFS('Dataset 1'!$E$7:$E$2506,'Dataset 1'!$B$7:$B$2506,"&lt;="&amp;$A44,'Dataset 1'!$J$7:$J$2506,AW$5)</f>
        <v>3630</v>
      </c>
      <c r="AX44" s="83">
        <f>SUMIFS('Dataset 1'!$E$7:$E$2506,'Dataset 1'!$B$7:$B$2506,"&lt;="&amp;$A44,'Dataset 1'!$J$7:$J$2506,AX$5)</f>
        <v>16670</v>
      </c>
      <c r="AY44" s="83">
        <f>SUMIFS('Dataset 1'!$E$7:$E$2506,'Dataset 1'!$B$7:$B$2506,"&lt;="&amp;$A44,'Dataset 1'!$J$7:$J$2506,AY$5)</f>
        <v>29800</v>
      </c>
      <c r="AZ44" s="83">
        <f>SUMIFS('Dataset 1'!$E$7:$E$2506,'Dataset 1'!$B$7:$B$2506,"&lt;="&amp;$A44,'Dataset 1'!$J$7:$J$2506,AZ$5)</f>
        <v>4720</v>
      </c>
      <c r="BA44" s="83">
        <f>SUMIFS('Dataset 1'!$E$7:$E$2506,'Dataset 1'!$B$7:$B$2506,"&lt;="&amp;$A44,'Dataset 1'!$J$7:$J$2506,BA$5)</f>
        <v>13100</v>
      </c>
      <c r="BB44" s="83">
        <f>SUMIFS('Dataset 1'!$E$7:$E$2506,'Dataset 1'!$B$7:$B$2506,"&lt;="&amp;$A44,'Dataset 1'!$J$7:$J$2506,BB$5)</f>
        <v>7430</v>
      </c>
      <c r="BC44" s="83">
        <f>SUMIFS('Dataset 1'!$E$7:$E$2506,'Dataset 1'!$B$7:$B$2506,"&lt;="&amp;$A44,'Dataset 1'!$J$7:$J$2506,BC$5)</f>
        <v>10030</v>
      </c>
      <c r="BD44" s="83">
        <f>SUMIFS('Dataset 1'!$E$7:$E$2506,'Dataset 1'!$B$7:$B$2506,"&lt;="&amp;$A44,'Dataset 1'!$J$7:$J$2506,BD$5)</f>
        <v>24050</v>
      </c>
      <c r="BE44" s="83">
        <f>SUMIFS('Dataset 1'!$E$7:$E$2506,'Dataset 1'!$B$7:$B$2506,"&lt;="&amp;$A44,'Dataset 1'!$J$7:$J$2506,BE$5)</f>
        <v>0</v>
      </c>
      <c r="BF44" s="83">
        <f>SUMIFS('Dataset 1'!$E$7:$E$2506,'Dataset 1'!$B$7:$B$2506,"&lt;="&amp;$A44,'Dataset 1'!$J$7:$J$2506,BF$5)</f>
        <v>1170</v>
      </c>
      <c r="BG44" s="83">
        <f>SUMIFS('Dataset 1'!$E$7:$E$2506,'Dataset 1'!$B$7:$B$2506,"&lt;="&amp;$A44,'Dataset 1'!$J$7:$J$2506,BG$5)</f>
        <v>10950</v>
      </c>
      <c r="BH44" s="83">
        <f>SUMIFS('Dataset 1'!$E$7:$E$2506,'Dataset 1'!$B$7:$B$2506,"&lt;="&amp;$A44,'Dataset 1'!$J$7:$J$2506,BH$5)</f>
        <v>1800</v>
      </c>
      <c r="BI44" s="83">
        <f>SUMIFS('Dataset 1'!$E$7:$E$2506,'Dataset 1'!$B$7:$B$2506,"&lt;="&amp;$A44,'Dataset 1'!$J$7:$J$2506,BI$5)</f>
        <v>19660</v>
      </c>
      <c r="BJ44" s="83">
        <f>SUMIFS('Dataset 1'!$E$7:$E$2506,'Dataset 1'!$B$7:$B$2506,"&lt;="&amp;$A44,'Dataset 1'!$J$7:$J$2506,BJ$5)</f>
        <v>1520</v>
      </c>
      <c r="BK44" s="83">
        <f>SUMIFS('Dataset 1'!$E$7:$E$2506,'Dataset 1'!$B$7:$B$2506,"&lt;="&amp;$A44,'Dataset 1'!$J$7:$J$2506,BK$5)</f>
        <v>650</v>
      </c>
      <c r="BL44" s="83">
        <f>SUMIFS('Dataset 1'!$E$7:$E$2506,'Dataset 1'!$B$7:$B$2506,"&lt;="&amp;$A44,'Dataset 1'!$J$7:$J$2506,BL$5)</f>
        <v>670</v>
      </c>
      <c r="BM44" s="83">
        <f>SUMIFS('Dataset 1'!$E$7:$E$2506,'Dataset 1'!$B$7:$B$2506,"&lt;="&amp;$A44,'Dataset 1'!$J$7:$J$2506,BM$5)</f>
        <v>14580</v>
      </c>
      <c r="BN44" s="83">
        <f>SUMIFS('Dataset 1'!$E$7:$E$2506,'Dataset 1'!$B$7:$B$2506,"&lt;="&amp;$A44,'Dataset 1'!$J$7:$J$2506,BN$5)</f>
        <v>520</v>
      </c>
      <c r="BO44" s="83">
        <f>SUMIFS('Dataset 1'!$E$7:$E$2506,'Dataset 1'!$B$7:$B$2506,"&lt;="&amp;$A44,'Dataset 1'!$J$7:$J$2506,BO$5)</f>
        <v>2790</v>
      </c>
      <c r="BP44" s="83">
        <f>SUMIFS('Dataset 1'!$E$7:$E$2506,'Dataset 1'!$B$7:$B$2506,"&lt;="&amp;$A44,'Dataset 1'!$J$7:$J$2506,BP$5)</f>
        <v>150</v>
      </c>
      <c r="BQ44" s="83">
        <f>SUMIFS('Dataset 1'!$E$7:$E$2506,'Dataset 1'!$B$7:$B$2506,"&lt;="&amp;$A44,'Dataset 1'!$J$7:$J$2506,BQ$5)</f>
        <v>100</v>
      </c>
      <c r="BR44" s="83">
        <f>SUMIFS('Dataset 1'!$E$7:$E$2506,'Dataset 1'!$B$7:$B$2506,"&lt;="&amp;$A44,'Dataset 1'!$J$7:$J$2506,BR$5)</f>
        <v>19770</v>
      </c>
      <c r="BS44" s="83">
        <f>SUMIFS('Dataset 1'!$E$7:$E$2506,'Dataset 1'!$B$7:$B$2506,"&lt;="&amp;$A44,'Dataset 1'!$J$7:$J$2506,BS$5)</f>
        <v>110</v>
      </c>
      <c r="BT44" s="83">
        <f>SUMIFS('Dataset 1'!$E$7:$E$2506,'Dataset 1'!$B$7:$B$2506,"&lt;="&amp;$A44,'Dataset 1'!$J$7:$J$2506,BT$5)</f>
        <v>0</v>
      </c>
      <c r="BU44" s="83">
        <f>SUMIFS('Dataset 1'!$E$7:$E$2506,'Dataset 1'!$B$7:$B$2506,"&lt;="&amp;$A44,'Dataset 1'!$J$7:$J$2506,BU$5)</f>
        <v>440</v>
      </c>
      <c r="BV44" s="83">
        <f>SUMIFS('Dataset 1'!$E$7:$E$2506,'Dataset 1'!$B$7:$B$2506,"&lt;="&amp;$A44,'Dataset 1'!$J$7:$J$2506,BV$5)</f>
        <v>740</v>
      </c>
      <c r="BW44" s="83">
        <f>SUMIFS('Dataset 1'!$E$7:$E$2506,'Dataset 1'!$B$7:$B$2506,"&lt;="&amp;$A44,'Dataset 1'!$J$7:$J$2506,BW$5)</f>
        <v>3730</v>
      </c>
      <c r="BX44" s="83">
        <f>SUMIFS('Dataset 1'!$E$7:$E$2506,'Dataset 1'!$B$7:$B$2506,"&lt;="&amp;$A44,'Dataset 1'!$J$7:$J$2506,BX$5)</f>
        <v>4660</v>
      </c>
      <c r="BY44" s="83">
        <f>SUMIFS('Dataset 1'!$E$7:$E$2506,'Dataset 1'!$B$7:$B$2506,"&lt;="&amp;$A44,'Dataset 1'!$J$7:$J$2506,BY$5)</f>
        <v>100</v>
      </c>
      <c r="BZ44" s="83">
        <f>SUMIFS('Dataset 1'!$E$7:$E$2506,'Dataset 1'!$B$7:$B$2506,"&lt;="&amp;$A44,'Dataset 1'!$J$7:$J$2506,BZ$5)</f>
        <v>190</v>
      </c>
      <c r="CA44" s="83">
        <f>SUMIFS('Dataset 1'!$E$7:$E$2506,'Dataset 1'!$B$7:$B$2506,"&lt;="&amp;$A44,'Dataset 1'!$J$7:$J$2506,CA$5)</f>
        <v>4820</v>
      </c>
      <c r="CB44" s="83">
        <f>SUMIFS('Dataset 1'!$E$7:$E$2506,'Dataset 1'!$B$7:$B$2506,"&lt;="&amp;$A44,'Dataset 1'!$J$7:$J$2506,CB$5)</f>
        <v>6920</v>
      </c>
      <c r="CC44" s="83">
        <f>SUMIFS('Dataset 1'!$E$7:$E$2506,'Dataset 1'!$B$7:$B$2506,"&lt;="&amp;$A44,'Dataset 1'!$J$7:$J$2506,CC$5)</f>
        <v>2790</v>
      </c>
      <c r="CD44" s="83">
        <f>SUMIFS('Dataset 1'!$E$7:$E$2506,'Dataset 1'!$B$7:$B$2506,"&lt;="&amp;$A44,'Dataset 1'!$J$7:$J$2506,CD$5)</f>
        <v>890</v>
      </c>
      <c r="CE44" s="83">
        <f>SUMIFS('Dataset 1'!$E$7:$E$2506,'Dataset 1'!$B$7:$B$2506,"&lt;="&amp;$A44,'Dataset 1'!$J$7:$J$2506,CE$5)</f>
        <v>17190</v>
      </c>
      <c r="CF44" s="83">
        <f>SUMIFS('Dataset 1'!$E$7:$E$2506,'Dataset 1'!$B$7:$B$2506,"&lt;="&amp;$A44,'Dataset 1'!$J$7:$J$2506,CF$5)</f>
        <v>3690</v>
      </c>
      <c r="CG44" s="83">
        <f>SUMIFS('Dataset 1'!$E$7:$E$2506,'Dataset 1'!$B$7:$B$2506,"&lt;="&amp;$A44,'Dataset 1'!$J$7:$J$2506,CG$5)</f>
        <v>300</v>
      </c>
      <c r="CH44" s="83">
        <f>SUMIFS('Dataset 1'!$E$7:$E$2506,'Dataset 1'!$B$7:$B$2506,"&lt;="&amp;$A44,'Dataset 1'!$J$7:$J$2506,CH$5)</f>
        <v>4870</v>
      </c>
      <c r="CI44" s="83">
        <f>SUMIFS('Dataset 1'!$E$7:$E$2506,'Dataset 1'!$B$7:$B$2506,"&lt;="&amp;$A44,'Dataset 1'!$J$7:$J$2506,CI$5)</f>
        <v>7270</v>
      </c>
      <c r="CJ44" s="83">
        <f>SUMIFS('Dataset 1'!$E$7:$E$2506,'Dataset 1'!$B$7:$B$2506,"&lt;="&amp;$A44,'Dataset 1'!$J$7:$J$2506,CJ$5)</f>
        <v>2000</v>
      </c>
      <c r="CK44" s="83">
        <f>SUMIFS('Dataset 1'!$E$7:$E$2506,'Dataset 1'!$B$7:$B$2506,"&lt;="&amp;$A44,'Dataset 1'!$J$7:$J$2506,CK$5)</f>
        <v>7240</v>
      </c>
      <c r="CL44" s="83">
        <f>SUMIFS('Dataset 1'!$E$7:$E$2506,'Dataset 1'!$B$7:$B$2506,"&lt;="&amp;$A44,'Dataset 1'!$J$7:$J$2506,CL$5)</f>
        <v>2010</v>
      </c>
      <c r="CM44" s="83">
        <f>SUMIFS('Dataset 1'!$E$7:$E$2506,'Dataset 1'!$B$7:$B$2506,"&lt;="&amp;$A44,'Dataset 1'!$J$7:$J$2506,CM$5)</f>
        <v>15430</v>
      </c>
      <c r="CN44" s="83">
        <f>SUMIFS('Dataset 1'!$E$7:$E$2506,'Dataset 1'!$B$7:$B$2506,"&lt;="&amp;$A44,'Dataset 1'!$J$7:$J$2506,CN$5)</f>
        <v>310</v>
      </c>
      <c r="CO44" s="83">
        <f>SUMIFS('Dataset 1'!$E$7:$E$2506,'Dataset 1'!$B$7:$B$2506,"&lt;="&amp;$A44,'Dataset 1'!$J$7:$J$2506,CO$5)</f>
        <v>2060</v>
      </c>
      <c r="CP44" s="83">
        <f>SUMIFS('Dataset 1'!$E$7:$E$2506,'Dataset 1'!$B$7:$B$2506,"&lt;="&amp;$A44,'Dataset 1'!$J$7:$J$2506,CP$5)</f>
        <v>22640</v>
      </c>
      <c r="CQ44" s="83">
        <f>SUMIFS('Dataset 1'!$E$7:$E$2506,'Dataset 1'!$B$7:$B$2506,"&lt;="&amp;$A44,'Dataset 1'!$J$7:$J$2506,CQ$5)</f>
        <v>3330</v>
      </c>
      <c r="CR44" s="83">
        <f>SUMIFS('Dataset 1'!$E$7:$E$2506,'Dataset 1'!$B$7:$B$2506,"&lt;="&amp;$A44,'Dataset 1'!$J$7:$J$2506,CR$5)</f>
        <v>1090</v>
      </c>
      <c r="CS44" s="83">
        <f>SUMIFS('Dataset 1'!$E$7:$E$2506,'Dataset 1'!$B$7:$B$2506,"&lt;="&amp;$A44,'Dataset 1'!$J$7:$J$2506,CS$5)</f>
        <v>9580</v>
      </c>
      <c r="CT44" s="83">
        <f>SUMIFS('Dataset 1'!$E$7:$E$2506,'Dataset 1'!$B$7:$B$2506,"&lt;="&amp;$A44,'Dataset 1'!$J$7:$J$2506,CT$5)</f>
        <v>100</v>
      </c>
      <c r="CU44" s="83">
        <f>SUMIFS('Dataset 1'!$E$7:$E$2506,'Dataset 1'!$B$7:$B$2506,"&lt;="&amp;$A44,'Dataset 1'!$J$7:$J$2506,CU$5)</f>
        <v>33890</v>
      </c>
      <c r="CV44" s="83">
        <f>SUMIFS('Dataset 1'!$E$7:$E$2506,'Dataset 1'!$B$7:$B$2506,"&lt;="&amp;$A44,'Dataset 1'!$J$7:$J$2506,CV$5)</f>
        <v>120</v>
      </c>
      <c r="CW44" s="83">
        <f>SUMIFS('Dataset 1'!$E$7:$E$2506,'Dataset 1'!$B$7:$B$2506,"&lt;="&amp;$A44,'Dataset 1'!$J$7:$J$2506,CW$5)</f>
        <v>110</v>
      </c>
      <c r="CX44" s="83">
        <f>SUMIFS('Dataset 1'!$E$7:$E$2506,'Dataset 1'!$B$7:$B$2506,"&lt;="&amp;$A44,'Dataset 1'!$J$7:$J$2506,CX$5)</f>
        <v>270</v>
      </c>
      <c r="CY44" s="83">
        <f>SUMIFS('Dataset 1'!$E$7:$E$2506,'Dataset 1'!$B$7:$B$2506,"&lt;="&amp;$A44,'Dataset 1'!$J$7:$J$2506,CY$5)</f>
        <v>5870</v>
      </c>
      <c r="CZ44" s="83">
        <f>SUMIFS('Dataset 1'!$E$7:$E$2506,'Dataset 1'!$B$7:$B$2506,"&lt;="&amp;$A44,'Dataset 1'!$J$7:$J$2506,CZ$5)</f>
        <v>4000</v>
      </c>
      <c r="DA44" s="83">
        <f>SUMIFS('Dataset 1'!$E$7:$E$2506,'Dataset 1'!$B$7:$B$2506,"&lt;="&amp;$A44,'Dataset 1'!$J$7:$J$2506,DA$5)</f>
        <v>3330</v>
      </c>
      <c r="DB44" s="83">
        <f>SUMIFS('Dataset 1'!$E$7:$E$2506,'Dataset 1'!$B$7:$B$2506,"&lt;="&amp;$A44,'Dataset 1'!$J$7:$J$2506,DB$5)</f>
        <v>38830</v>
      </c>
      <c r="DC44" s="83">
        <f>SUMIFS('Dataset 1'!$E$7:$E$2506,'Dataset 1'!$B$7:$B$2506,"&lt;="&amp;$A44,'Dataset 1'!$J$7:$J$2506,DC$5)</f>
        <v>0</v>
      </c>
      <c r="DD44" s="83">
        <f>SUMIFS('Dataset 1'!$E$7:$E$2506,'Dataset 1'!$B$7:$B$2506,"&lt;="&amp;$A44,'Dataset 1'!$J$7:$J$2506,DD$5)</f>
        <v>1390</v>
      </c>
      <c r="DE44" s="83">
        <f>SUMIFS('Dataset 1'!$E$7:$E$2506,'Dataset 1'!$B$7:$B$2506,"&lt;="&amp;$A44,'Dataset 1'!$J$7:$J$2506,DE$5)</f>
        <v>200</v>
      </c>
      <c r="DF44" s="83">
        <f>SUMIFS('Dataset 1'!$E$7:$E$2506,'Dataset 1'!$B$7:$B$2506,"&lt;="&amp;$A44,'Dataset 1'!$J$7:$J$2506,DF$5)</f>
        <v>10890</v>
      </c>
      <c r="DG44" s="83">
        <f>SUMIFS('Dataset 1'!$E$7:$E$2506,'Dataset 1'!$B$7:$B$2506,"&lt;="&amp;$A44,'Dataset 1'!$J$7:$J$2506,DG$5)</f>
        <v>10760</v>
      </c>
      <c r="DH44" s="83">
        <f>SUMIFS('Dataset 1'!$E$7:$E$2506,'Dataset 1'!$B$7:$B$2506,"&lt;="&amp;$A44,'Dataset 1'!$J$7:$J$2506,DH$5)</f>
        <v>8020</v>
      </c>
      <c r="DI44" s="83">
        <f>SUMIFS('Dataset 1'!$E$7:$E$2506,'Dataset 1'!$B$7:$B$2506,"&lt;="&amp;$A44,'Dataset 1'!$J$7:$J$2506,DI$5)</f>
        <v>3930</v>
      </c>
      <c r="DJ44" s="83">
        <f>SUMIFS('Dataset 1'!$E$7:$E$2506,'Dataset 1'!$B$7:$B$2506,"&lt;="&amp;$A44,'Dataset 1'!$J$7:$J$2506,DJ$5)</f>
        <v>260</v>
      </c>
      <c r="DK44" s="83">
        <f>SUMIFS('Dataset 1'!$E$7:$E$2506,'Dataset 1'!$B$7:$B$2506,"&lt;="&amp;$A44,'Dataset 1'!$J$7:$J$2506,DK$5)</f>
        <v>0</v>
      </c>
      <c r="DL44" s="83">
        <f>SUMIFS('Dataset 1'!$E$7:$E$2506,'Dataset 1'!$B$7:$B$2506,"&lt;="&amp;$A44,'Dataset 1'!$J$7:$J$2506,DL$5)</f>
        <v>15530</v>
      </c>
      <c r="DM44" s="83">
        <f>SUMIFS('Dataset 1'!$E$7:$E$2506,'Dataset 1'!$B$7:$B$2506,"&lt;="&amp;$A44,'Dataset 1'!$J$7:$J$2506,DM$5)</f>
        <v>61370</v>
      </c>
      <c r="DN44" s="83">
        <f>SUMIFS('Dataset 1'!$E$7:$E$2506,'Dataset 1'!$B$7:$B$2506,"&lt;="&amp;$A44,'Dataset 1'!$J$7:$J$2506,DN$5)</f>
        <v>3760</v>
      </c>
      <c r="DO44" s="83">
        <f>SUMIFS('Dataset 1'!$E$7:$E$2506,'Dataset 1'!$B$7:$B$2506,"&lt;="&amp;$A44,'Dataset 1'!$J$7:$J$2506,DO$5)</f>
        <v>1220</v>
      </c>
      <c r="DP44" s="83">
        <f>SUMIFS('Dataset 1'!$E$7:$E$2506,'Dataset 1'!$B$7:$B$2506,"&lt;="&amp;$A44,'Dataset 1'!$J$7:$J$2506,DP$5)</f>
        <v>520</v>
      </c>
      <c r="DQ44" s="83">
        <f>SUMIFS('Dataset 1'!$E$7:$E$2506,'Dataset 1'!$B$7:$B$2506,"&lt;="&amp;$A44,'Dataset 1'!$J$7:$J$2506,DQ$5)</f>
        <v>1140</v>
      </c>
      <c r="DR44" s="83">
        <f>SUMIFS('Dataset 1'!$E$7:$E$2506,'Dataset 1'!$B$7:$B$2506,"&lt;="&amp;$A44,'Dataset 1'!$J$7:$J$2506,DR$5)</f>
        <v>5740</v>
      </c>
      <c r="DS44" s="83">
        <f>SUMIFS('Dataset 1'!$E$7:$E$2506,'Dataset 1'!$B$7:$B$2506,"&lt;="&amp;$A44,'Dataset 1'!$J$7:$J$2506,DS$5)</f>
        <v>190</v>
      </c>
      <c r="DT44" s="83">
        <f>SUMIFS('Dataset 1'!$E$7:$E$2506,'Dataset 1'!$B$7:$B$2506,"&lt;="&amp;$A44,'Dataset 1'!$J$7:$J$2506,DT$5)</f>
        <v>1170</v>
      </c>
      <c r="DU44" s="83">
        <f>SUMIFS('Dataset 1'!$E$7:$E$2506,'Dataset 1'!$B$7:$B$2506,"&lt;="&amp;$A44,'Dataset 1'!$J$7:$J$2506,DU$5)</f>
        <v>0</v>
      </c>
      <c r="DV44" s="83">
        <f>SUMIFS('Dataset 1'!$E$7:$E$2506,'Dataset 1'!$B$7:$B$2506,"&lt;="&amp;$A44,'Dataset 1'!$J$7:$J$2506,DV$5)</f>
        <v>6010</v>
      </c>
      <c r="DW44" s="83">
        <f>SUMIFS('Dataset 1'!$E$7:$E$2506,'Dataset 1'!$B$7:$B$2506,"&lt;="&amp;$A44,'Dataset 1'!$J$7:$J$2506,DW$5)</f>
        <v>1790</v>
      </c>
      <c r="DX44" s="83">
        <f>SUMIFS('Dataset 1'!$E$7:$E$2506,'Dataset 1'!$B$7:$B$2506,"&lt;="&amp;$A44,'Dataset 1'!$J$7:$J$2506,DX$5)</f>
        <v>8020</v>
      </c>
      <c r="DY44" s="83">
        <f>SUMIFS('Dataset 1'!$E$7:$E$2506,'Dataset 1'!$B$7:$B$2506,"&lt;="&amp;$A44,'Dataset 1'!$J$7:$J$2506,DY$5)</f>
        <v>189500</v>
      </c>
      <c r="DZ44" s="83">
        <f>SUMIFS('Dataset 1'!$E$7:$E$2506,'Dataset 1'!$B$7:$B$2506,"&lt;="&amp;$A44,'Dataset 1'!$J$7:$J$2506,DZ$5)</f>
        <v>3020</v>
      </c>
      <c r="EA44" s="83">
        <f>SUMIFS('Dataset 1'!$E$7:$E$2506,'Dataset 1'!$B$7:$B$2506,"&lt;="&amp;$A44,'Dataset 1'!$J$7:$J$2506,EA$5)</f>
        <v>180</v>
      </c>
      <c r="EB44" s="83">
        <f>SUMIFS('Dataset 1'!$E$7:$E$2506,'Dataset 1'!$B$7:$B$2506,"&lt;="&amp;$A44,'Dataset 1'!$J$7:$J$2506,EB$5)</f>
        <v>1050</v>
      </c>
      <c r="EC44" s="83">
        <f>SUMIFS('Dataset 1'!$E$7:$E$2506,'Dataset 1'!$B$7:$B$2506,"&lt;="&amp;$A44,'Dataset 1'!$J$7:$J$2506,EC$5)</f>
        <v>4570</v>
      </c>
      <c r="ED44" s="83">
        <f>SUMIFS('Dataset 1'!$E$7:$E$2506,'Dataset 1'!$B$7:$B$2506,"&lt;="&amp;$A44,'Dataset 1'!$J$7:$J$2506,ED$5)</f>
        <v>7470</v>
      </c>
      <c r="EE44" s="83">
        <f>SUMIFS('Dataset 1'!$E$7:$E$2506,'Dataset 1'!$B$7:$B$2506,"&lt;="&amp;$A44,'Dataset 1'!$J$7:$J$2506,EE$5)</f>
        <v>470</v>
      </c>
      <c r="EF44" s="83">
        <f>SUMIFS('Dataset 1'!$E$7:$E$2506,'Dataset 1'!$B$7:$B$2506,"&lt;="&amp;$A44,'Dataset 1'!$J$7:$J$2506,EF$5)</f>
        <v>3210</v>
      </c>
      <c r="EG44" s="83">
        <f>SUMIFS('Dataset 1'!$E$7:$E$2506,'Dataset 1'!$B$7:$B$2506,"&lt;="&amp;$A44,'Dataset 1'!$J$7:$J$2506,EG$5)</f>
        <v>1950</v>
      </c>
    </row>
    <row r="45" spans="1:137" x14ac:dyDescent="0.2">
      <c r="A45">
        <v>2021</v>
      </c>
      <c r="B45" s="83">
        <f>SUMIFS('Dataset 1'!$E$7:$E$2506,'Dataset 1'!$B$7:$B$2506,"&lt;="&amp;$A45,'Dataset 1'!$J$7:$J$2506,B$5)</f>
        <v>2920</v>
      </c>
      <c r="C45" s="83">
        <f>SUMIFS('Dataset 1'!$E$7:$E$2506,'Dataset 1'!$B$7:$B$2506,"&lt;="&amp;$A45,'Dataset 1'!$J$7:$J$2506,C$5)</f>
        <v>0</v>
      </c>
      <c r="D45" s="83">
        <f>SUMIFS('Dataset 1'!$E$7:$E$2506,'Dataset 1'!$B$7:$B$2506,"&lt;="&amp;$A45,'Dataset 1'!$J$7:$J$2506,D$5)</f>
        <v>5150</v>
      </c>
      <c r="E45" s="83">
        <f>SUMIFS('Dataset 1'!$E$7:$E$2506,'Dataset 1'!$B$7:$B$2506,"&lt;="&amp;$A45,'Dataset 1'!$J$7:$J$2506,E$5)</f>
        <v>740</v>
      </c>
      <c r="F45" s="83">
        <f>SUMIFS('Dataset 1'!$E$7:$E$2506,'Dataset 1'!$B$7:$B$2506,"&lt;="&amp;$A45,'Dataset 1'!$J$7:$J$2506,F$5)</f>
        <v>11140</v>
      </c>
      <c r="G45" s="83">
        <f>SUMIFS('Dataset 1'!$E$7:$E$2506,'Dataset 1'!$B$7:$B$2506,"&lt;="&amp;$A45,'Dataset 1'!$J$7:$J$2506,G$5)</f>
        <v>105660</v>
      </c>
      <c r="H45" s="83">
        <f>SUMIFS('Dataset 1'!$E$7:$E$2506,'Dataset 1'!$B$7:$B$2506,"&lt;="&amp;$A45,'Dataset 1'!$J$7:$J$2506,H$5)</f>
        <v>510</v>
      </c>
      <c r="I45" s="83">
        <f>SUMIFS('Dataset 1'!$E$7:$E$2506,'Dataset 1'!$B$7:$B$2506,"&lt;="&amp;$A45,'Dataset 1'!$J$7:$J$2506,I$5)</f>
        <v>270</v>
      </c>
      <c r="J45" s="83">
        <f>SUMIFS('Dataset 1'!$E$7:$E$2506,'Dataset 1'!$B$7:$B$2506,"&lt;="&amp;$A45,'Dataset 1'!$J$7:$J$2506,J$5)</f>
        <v>350</v>
      </c>
      <c r="K45" s="83">
        <f>SUMIFS('Dataset 1'!$E$7:$E$2506,'Dataset 1'!$B$7:$B$2506,"&lt;="&amp;$A45,'Dataset 1'!$J$7:$J$2506,K$5)</f>
        <v>7110</v>
      </c>
      <c r="L45" s="83">
        <f>SUMIFS('Dataset 1'!$E$7:$E$2506,'Dataset 1'!$B$7:$B$2506,"&lt;="&amp;$A45,'Dataset 1'!$J$7:$J$2506,L$5)</f>
        <v>400</v>
      </c>
      <c r="M45" s="83">
        <f>SUMIFS('Dataset 1'!$E$7:$E$2506,'Dataset 1'!$B$7:$B$2506,"&lt;="&amp;$A45,'Dataset 1'!$J$7:$J$2506,M$5)</f>
        <v>5510</v>
      </c>
      <c r="N45" s="83">
        <f>SUMIFS('Dataset 1'!$E$7:$E$2506,'Dataset 1'!$B$7:$B$2506,"&lt;="&amp;$A45,'Dataset 1'!$J$7:$J$2506,N$5)</f>
        <v>0</v>
      </c>
      <c r="O45" s="83">
        <f>SUMIFS('Dataset 1'!$E$7:$E$2506,'Dataset 1'!$B$7:$B$2506,"&lt;="&amp;$A45,'Dataset 1'!$J$7:$J$2506,O$5)</f>
        <v>260</v>
      </c>
      <c r="P45" s="83">
        <f>SUMIFS('Dataset 1'!$E$7:$E$2506,'Dataset 1'!$B$7:$B$2506,"&lt;="&amp;$A45,'Dataset 1'!$J$7:$J$2506,P$5)</f>
        <v>0</v>
      </c>
      <c r="Q45" s="83">
        <f>SUMIFS('Dataset 1'!$E$7:$E$2506,'Dataset 1'!$B$7:$B$2506,"&lt;="&amp;$A45,'Dataset 1'!$J$7:$J$2506,Q$5)</f>
        <v>64910</v>
      </c>
      <c r="R45" s="83">
        <f>SUMIFS('Dataset 1'!$E$7:$E$2506,'Dataset 1'!$B$7:$B$2506,"&lt;="&amp;$A45,'Dataset 1'!$J$7:$J$2506,R$5)</f>
        <v>99150</v>
      </c>
      <c r="S45" s="83">
        <f>SUMIFS('Dataset 1'!$E$7:$E$2506,'Dataset 1'!$B$7:$B$2506,"&lt;="&amp;$A45,'Dataset 1'!$J$7:$J$2506,S$5)</f>
        <v>3440</v>
      </c>
      <c r="T45" s="83">
        <f>SUMIFS('Dataset 1'!$E$7:$E$2506,'Dataset 1'!$B$7:$B$2506,"&lt;="&amp;$A45,'Dataset 1'!$J$7:$J$2506,T$5)</f>
        <v>120</v>
      </c>
      <c r="U45" s="83">
        <f>SUMIFS('Dataset 1'!$E$7:$E$2506,'Dataset 1'!$B$7:$B$2506,"&lt;="&amp;$A45,'Dataset 1'!$J$7:$J$2506,U$5)</f>
        <v>10790</v>
      </c>
      <c r="V45" s="83">
        <f>SUMIFS('Dataset 1'!$E$7:$E$2506,'Dataset 1'!$B$7:$B$2506,"&lt;="&amp;$A45,'Dataset 1'!$J$7:$J$2506,V$5)</f>
        <v>1900</v>
      </c>
      <c r="W45" s="83">
        <f>SUMIFS('Dataset 1'!$E$7:$E$2506,'Dataset 1'!$B$7:$B$2506,"&lt;="&amp;$A45,'Dataset 1'!$J$7:$J$2506,W$5)</f>
        <v>56430</v>
      </c>
      <c r="X45" s="83">
        <f>SUMIFS('Dataset 1'!$E$7:$E$2506,'Dataset 1'!$B$7:$B$2506,"&lt;="&amp;$A45,'Dataset 1'!$J$7:$J$2506,X$5)</f>
        <v>1630</v>
      </c>
      <c r="Y45" s="83">
        <f>SUMIFS('Dataset 1'!$E$7:$E$2506,'Dataset 1'!$B$7:$B$2506,"&lt;="&amp;$A45,'Dataset 1'!$J$7:$J$2506,Y$5)</f>
        <v>15350</v>
      </c>
      <c r="Z45" s="83">
        <f>SUMIFS('Dataset 1'!$E$7:$E$2506,'Dataset 1'!$B$7:$B$2506,"&lt;="&amp;$A45,'Dataset 1'!$J$7:$J$2506,Z$5)</f>
        <v>7260</v>
      </c>
      <c r="AA45" s="83">
        <f>SUMIFS('Dataset 1'!$E$7:$E$2506,'Dataset 1'!$B$7:$B$2506,"&lt;="&amp;$A45,'Dataset 1'!$J$7:$J$2506,AA$5)</f>
        <v>2510</v>
      </c>
      <c r="AB45" s="83">
        <f>SUMIFS('Dataset 1'!$E$7:$E$2506,'Dataset 1'!$B$7:$B$2506,"&lt;="&amp;$A45,'Dataset 1'!$J$7:$J$2506,AB$5)</f>
        <v>220</v>
      </c>
      <c r="AC45" s="83">
        <f>SUMIFS('Dataset 1'!$E$7:$E$2506,'Dataset 1'!$B$7:$B$2506,"&lt;="&amp;$A45,'Dataset 1'!$J$7:$J$2506,AC$5)</f>
        <v>500</v>
      </c>
      <c r="AD45" s="83">
        <f>SUMIFS('Dataset 1'!$E$7:$E$2506,'Dataset 1'!$B$7:$B$2506,"&lt;="&amp;$A45,'Dataset 1'!$J$7:$J$2506,AD$5)</f>
        <v>0</v>
      </c>
      <c r="AE45" s="83">
        <f>SUMIFS('Dataset 1'!$E$7:$E$2506,'Dataset 1'!$B$7:$B$2506,"&lt;="&amp;$A45,'Dataset 1'!$J$7:$J$2506,AE$5)</f>
        <v>860</v>
      </c>
      <c r="AF45" s="83">
        <f>SUMIFS('Dataset 1'!$E$7:$E$2506,'Dataset 1'!$B$7:$B$2506,"&lt;="&amp;$A45,'Dataset 1'!$J$7:$J$2506,AF$5)</f>
        <v>13410</v>
      </c>
      <c r="AG45" s="83">
        <f>SUMIFS('Dataset 1'!$E$7:$E$2506,'Dataset 1'!$B$7:$B$2506,"&lt;="&amp;$A45,'Dataset 1'!$J$7:$J$2506,AG$5)</f>
        <v>730</v>
      </c>
      <c r="AH45" s="83">
        <f>SUMIFS('Dataset 1'!$E$7:$E$2506,'Dataset 1'!$B$7:$B$2506,"&lt;="&amp;$A45,'Dataset 1'!$J$7:$J$2506,AH$5)</f>
        <v>700</v>
      </c>
      <c r="AI45" s="83">
        <f>SUMIFS('Dataset 1'!$E$7:$E$2506,'Dataset 1'!$B$7:$B$2506,"&lt;="&amp;$A45,'Dataset 1'!$J$7:$J$2506,AI$5)</f>
        <v>6370</v>
      </c>
      <c r="AJ45" s="83">
        <f>SUMIFS('Dataset 1'!$E$7:$E$2506,'Dataset 1'!$B$7:$B$2506,"&lt;="&amp;$A45,'Dataset 1'!$J$7:$J$2506,AJ$5)</f>
        <v>6030</v>
      </c>
      <c r="AK45" s="83">
        <f>SUMIFS('Dataset 1'!$E$7:$E$2506,'Dataset 1'!$B$7:$B$2506,"&lt;="&amp;$A45,'Dataset 1'!$J$7:$J$2506,AK$5)</f>
        <v>120</v>
      </c>
      <c r="AL45" s="83">
        <f>SUMIFS('Dataset 1'!$E$7:$E$2506,'Dataset 1'!$B$7:$B$2506,"&lt;="&amp;$A45,'Dataset 1'!$J$7:$J$2506,AL$5)</f>
        <v>1770</v>
      </c>
      <c r="AM45" s="83">
        <f>SUMIFS('Dataset 1'!$E$7:$E$2506,'Dataset 1'!$B$7:$B$2506,"&lt;="&amp;$A45,'Dataset 1'!$J$7:$J$2506,AM$5)</f>
        <v>15980</v>
      </c>
      <c r="AN45" s="83">
        <f>SUMIFS('Dataset 1'!$E$7:$E$2506,'Dataset 1'!$B$7:$B$2506,"&lt;="&amp;$A45,'Dataset 1'!$J$7:$J$2506,AN$5)</f>
        <v>33070</v>
      </c>
      <c r="AO45" s="83">
        <f>SUMIFS('Dataset 1'!$E$7:$E$2506,'Dataset 1'!$B$7:$B$2506,"&lt;="&amp;$A45,'Dataset 1'!$J$7:$J$2506,AO$5)</f>
        <v>400</v>
      </c>
      <c r="AP45" s="83">
        <f>SUMIFS('Dataset 1'!$E$7:$E$2506,'Dataset 1'!$B$7:$B$2506,"&lt;="&amp;$A45,'Dataset 1'!$J$7:$J$2506,AP$5)</f>
        <v>370</v>
      </c>
      <c r="AQ45" s="83">
        <f>SUMIFS('Dataset 1'!$E$7:$E$2506,'Dataset 1'!$B$7:$B$2506,"&lt;="&amp;$A45,'Dataset 1'!$J$7:$J$2506,AQ$5)</f>
        <v>51070</v>
      </c>
      <c r="AR45" s="83">
        <f>SUMIFS('Dataset 1'!$E$7:$E$2506,'Dataset 1'!$B$7:$B$2506,"&lt;="&amp;$A45,'Dataset 1'!$J$7:$J$2506,AR$5)</f>
        <v>3750</v>
      </c>
      <c r="AS45" s="83">
        <f>SUMIFS('Dataset 1'!$E$7:$E$2506,'Dataset 1'!$B$7:$B$2506,"&lt;="&amp;$A45,'Dataset 1'!$J$7:$J$2506,AS$5)</f>
        <v>9460</v>
      </c>
      <c r="AT45" s="83">
        <f>SUMIFS('Dataset 1'!$E$7:$E$2506,'Dataset 1'!$B$7:$B$2506,"&lt;="&amp;$A45,'Dataset 1'!$J$7:$J$2506,AT$5)</f>
        <v>7490</v>
      </c>
      <c r="AU45" s="83">
        <f>SUMIFS('Dataset 1'!$E$7:$E$2506,'Dataset 1'!$B$7:$B$2506,"&lt;="&amp;$A45,'Dataset 1'!$J$7:$J$2506,AU$5)</f>
        <v>170</v>
      </c>
      <c r="AV45" s="83">
        <f>SUMIFS('Dataset 1'!$E$7:$E$2506,'Dataset 1'!$B$7:$B$2506,"&lt;="&amp;$A45,'Dataset 1'!$J$7:$J$2506,AV$5)</f>
        <v>5250</v>
      </c>
      <c r="AW45" s="83">
        <f>SUMIFS('Dataset 1'!$E$7:$E$2506,'Dataset 1'!$B$7:$B$2506,"&lt;="&amp;$A45,'Dataset 1'!$J$7:$J$2506,AW$5)</f>
        <v>4110</v>
      </c>
      <c r="AX45" s="83">
        <f>SUMIFS('Dataset 1'!$E$7:$E$2506,'Dataset 1'!$B$7:$B$2506,"&lt;="&amp;$A45,'Dataset 1'!$J$7:$J$2506,AX$5)</f>
        <v>16670</v>
      </c>
      <c r="AY45" s="83">
        <f>SUMIFS('Dataset 1'!$E$7:$E$2506,'Dataset 1'!$B$7:$B$2506,"&lt;="&amp;$A45,'Dataset 1'!$J$7:$J$2506,AY$5)</f>
        <v>32820</v>
      </c>
      <c r="AZ45" s="83">
        <f>SUMIFS('Dataset 1'!$E$7:$E$2506,'Dataset 1'!$B$7:$B$2506,"&lt;="&amp;$A45,'Dataset 1'!$J$7:$J$2506,AZ$5)</f>
        <v>4720</v>
      </c>
      <c r="BA45" s="83">
        <f>SUMIFS('Dataset 1'!$E$7:$E$2506,'Dataset 1'!$B$7:$B$2506,"&lt;="&amp;$A45,'Dataset 1'!$J$7:$J$2506,BA$5)</f>
        <v>13100</v>
      </c>
      <c r="BB45" s="83">
        <f>SUMIFS('Dataset 1'!$E$7:$E$2506,'Dataset 1'!$B$7:$B$2506,"&lt;="&amp;$A45,'Dataset 1'!$J$7:$J$2506,BB$5)</f>
        <v>7970</v>
      </c>
      <c r="BC45" s="83">
        <f>SUMIFS('Dataset 1'!$E$7:$E$2506,'Dataset 1'!$B$7:$B$2506,"&lt;="&amp;$A45,'Dataset 1'!$J$7:$J$2506,BC$5)</f>
        <v>12030</v>
      </c>
      <c r="BD45" s="83">
        <f>SUMIFS('Dataset 1'!$E$7:$E$2506,'Dataset 1'!$B$7:$B$2506,"&lt;="&amp;$A45,'Dataset 1'!$J$7:$J$2506,BD$5)</f>
        <v>24050</v>
      </c>
      <c r="BE45" s="83">
        <f>SUMIFS('Dataset 1'!$E$7:$E$2506,'Dataset 1'!$B$7:$B$2506,"&lt;="&amp;$A45,'Dataset 1'!$J$7:$J$2506,BE$5)</f>
        <v>0</v>
      </c>
      <c r="BF45" s="83">
        <f>SUMIFS('Dataset 1'!$E$7:$E$2506,'Dataset 1'!$B$7:$B$2506,"&lt;="&amp;$A45,'Dataset 1'!$J$7:$J$2506,BF$5)</f>
        <v>1170</v>
      </c>
      <c r="BG45" s="83">
        <f>SUMIFS('Dataset 1'!$E$7:$E$2506,'Dataset 1'!$B$7:$B$2506,"&lt;="&amp;$A45,'Dataset 1'!$J$7:$J$2506,BG$5)</f>
        <v>12520</v>
      </c>
      <c r="BH45" s="83">
        <f>SUMIFS('Dataset 1'!$E$7:$E$2506,'Dataset 1'!$B$7:$B$2506,"&lt;="&amp;$A45,'Dataset 1'!$J$7:$J$2506,BH$5)</f>
        <v>1960</v>
      </c>
      <c r="BI45" s="83">
        <f>SUMIFS('Dataset 1'!$E$7:$E$2506,'Dataset 1'!$B$7:$B$2506,"&lt;="&amp;$A45,'Dataset 1'!$J$7:$J$2506,BI$5)</f>
        <v>20100</v>
      </c>
      <c r="BJ45" s="83">
        <f>SUMIFS('Dataset 1'!$E$7:$E$2506,'Dataset 1'!$B$7:$B$2506,"&lt;="&amp;$A45,'Dataset 1'!$J$7:$J$2506,BJ$5)</f>
        <v>1520</v>
      </c>
      <c r="BK45" s="83">
        <f>SUMIFS('Dataset 1'!$E$7:$E$2506,'Dataset 1'!$B$7:$B$2506,"&lt;="&amp;$A45,'Dataset 1'!$J$7:$J$2506,BK$5)</f>
        <v>650</v>
      </c>
      <c r="BL45" s="83">
        <f>SUMIFS('Dataset 1'!$E$7:$E$2506,'Dataset 1'!$B$7:$B$2506,"&lt;="&amp;$A45,'Dataset 1'!$J$7:$J$2506,BL$5)</f>
        <v>670</v>
      </c>
      <c r="BM45" s="83">
        <f>SUMIFS('Dataset 1'!$E$7:$E$2506,'Dataset 1'!$B$7:$B$2506,"&lt;="&amp;$A45,'Dataset 1'!$J$7:$J$2506,BM$5)</f>
        <v>14990</v>
      </c>
      <c r="BN45" s="83">
        <f>SUMIFS('Dataset 1'!$E$7:$E$2506,'Dataset 1'!$B$7:$B$2506,"&lt;="&amp;$A45,'Dataset 1'!$J$7:$J$2506,BN$5)</f>
        <v>520</v>
      </c>
      <c r="BO45" s="83">
        <f>SUMIFS('Dataset 1'!$E$7:$E$2506,'Dataset 1'!$B$7:$B$2506,"&lt;="&amp;$A45,'Dataset 1'!$J$7:$J$2506,BO$5)</f>
        <v>2790</v>
      </c>
      <c r="BP45" s="83">
        <f>SUMIFS('Dataset 1'!$E$7:$E$2506,'Dataset 1'!$B$7:$B$2506,"&lt;="&amp;$A45,'Dataset 1'!$J$7:$J$2506,BP$5)</f>
        <v>150</v>
      </c>
      <c r="BQ45" s="83">
        <f>SUMIFS('Dataset 1'!$E$7:$E$2506,'Dataset 1'!$B$7:$B$2506,"&lt;="&amp;$A45,'Dataset 1'!$J$7:$J$2506,BQ$5)</f>
        <v>100</v>
      </c>
      <c r="BR45" s="83">
        <f>SUMIFS('Dataset 1'!$E$7:$E$2506,'Dataset 1'!$B$7:$B$2506,"&lt;="&amp;$A45,'Dataset 1'!$J$7:$J$2506,BR$5)</f>
        <v>20070</v>
      </c>
      <c r="BS45" s="83">
        <f>SUMIFS('Dataset 1'!$E$7:$E$2506,'Dataset 1'!$B$7:$B$2506,"&lt;="&amp;$A45,'Dataset 1'!$J$7:$J$2506,BS$5)</f>
        <v>110</v>
      </c>
      <c r="BT45" s="83">
        <f>SUMIFS('Dataset 1'!$E$7:$E$2506,'Dataset 1'!$B$7:$B$2506,"&lt;="&amp;$A45,'Dataset 1'!$J$7:$J$2506,BT$5)</f>
        <v>0</v>
      </c>
      <c r="BU45" s="83">
        <f>SUMIFS('Dataset 1'!$E$7:$E$2506,'Dataset 1'!$B$7:$B$2506,"&lt;="&amp;$A45,'Dataset 1'!$J$7:$J$2506,BU$5)</f>
        <v>440</v>
      </c>
      <c r="BV45" s="83">
        <f>SUMIFS('Dataset 1'!$E$7:$E$2506,'Dataset 1'!$B$7:$B$2506,"&lt;="&amp;$A45,'Dataset 1'!$J$7:$J$2506,BV$5)</f>
        <v>740</v>
      </c>
      <c r="BW45" s="83">
        <f>SUMIFS('Dataset 1'!$E$7:$E$2506,'Dataset 1'!$B$7:$B$2506,"&lt;="&amp;$A45,'Dataset 1'!$J$7:$J$2506,BW$5)</f>
        <v>4200</v>
      </c>
      <c r="BX45" s="83">
        <f>SUMIFS('Dataset 1'!$E$7:$E$2506,'Dataset 1'!$B$7:$B$2506,"&lt;="&amp;$A45,'Dataset 1'!$J$7:$J$2506,BX$5)</f>
        <v>4660</v>
      </c>
      <c r="BY45" s="83">
        <f>SUMIFS('Dataset 1'!$E$7:$E$2506,'Dataset 1'!$B$7:$B$2506,"&lt;="&amp;$A45,'Dataset 1'!$J$7:$J$2506,BY$5)</f>
        <v>100</v>
      </c>
      <c r="BZ45" s="83">
        <f>SUMIFS('Dataset 1'!$E$7:$E$2506,'Dataset 1'!$B$7:$B$2506,"&lt;="&amp;$A45,'Dataset 1'!$J$7:$J$2506,BZ$5)</f>
        <v>190</v>
      </c>
      <c r="CA45" s="83">
        <f>SUMIFS('Dataset 1'!$E$7:$E$2506,'Dataset 1'!$B$7:$B$2506,"&lt;="&amp;$A45,'Dataset 1'!$J$7:$J$2506,CA$5)</f>
        <v>4820</v>
      </c>
      <c r="CB45" s="83">
        <f>SUMIFS('Dataset 1'!$E$7:$E$2506,'Dataset 1'!$B$7:$B$2506,"&lt;="&amp;$A45,'Dataset 1'!$J$7:$J$2506,CB$5)</f>
        <v>7090</v>
      </c>
      <c r="CC45" s="83">
        <f>SUMIFS('Dataset 1'!$E$7:$E$2506,'Dataset 1'!$B$7:$B$2506,"&lt;="&amp;$A45,'Dataset 1'!$J$7:$J$2506,CC$5)</f>
        <v>2790</v>
      </c>
      <c r="CD45" s="83">
        <f>SUMIFS('Dataset 1'!$E$7:$E$2506,'Dataset 1'!$B$7:$B$2506,"&lt;="&amp;$A45,'Dataset 1'!$J$7:$J$2506,CD$5)</f>
        <v>890</v>
      </c>
      <c r="CE45" s="83">
        <f>SUMIFS('Dataset 1'!$E$7:$E$2506,'Dataset 1'!$B$7:$B$2506,"&lt;="&amp;$A45,'Dataset 1'!$J$7:$J$2506,CE$5)</f>
        <v>21570</v>
      </c>
      <c r="CF45" s="83">
        <f>SUMIFS('Dataset 1'!$E$7:$E$2506,'Dataset 1'!$B$7:$B$2506,"&lt;="&amp;$A45,'Dataset 1'!$J$7:$J$2506,CF$5)</f>
        <v>3690</v>
      </c>
      <c r="CG45" s="83">
        <f>SUMIFS('Dataset 1'!$E$7:$E$2506,'Dataset 1'!$B$7:$B$2506,"&lt;="&amp;$A45,'Dataset 1'!$J$7:$J$2506,CG$5)</f>
        <v>300</v>
      </c>
      <c r="CH45" s="83">
        <f>SUMIFS('Dataset 1'!$E$7:$E$2506,'Dataset 1'!$B$7:$B$2506,"&lt;="&amp;$A45,'Dataset 1'!$J$7:$J$2506,CH$5)</f>
        <v>5570</v>
      </c>
      <c r="CI45" s="83">
        <f>SUMIFS('Dataset 1'!$E$7:$E$2506,'Dataset 1'!$B$7:$B$2506,"&lt;="&amp;$A45,'Dataset 1'!$J$7:$J$2506,CI$5)</f>
        <v>7270</v>
      </c>
      <c r="CJ45" s="83">
        <f>SUMIFS('Dataset 1'!$E$7:$E$2506,'Dataset 1'!$B$7:$B$2506,"&lt;="&amp;$A45,'Dataset 1'!$J$7:$J$2506,CJ$5)</f>
        <v>2000</v>
      </c>
      <c r="CK45" s="83">
        <f>SUMIFS('Dataset 1'!$E$7:$E$2506,'Dataset 1'!$B$7:$B$2506,"&lt;="&amp;$A45,'Dataset 1'!$J$7:$J$2506,CK$5)</f>
        <v>7240</v>
      </c>
      <c r="CL45" s="83">
        <f>SUMIFS('Dataset 1'!$E$7:$E$2506,'Dataset 1'!$B$7:$B$2506,"&lt;="&amp;$A45,'Dataset 1'!$J$7:$J$2506,CL$5)</f>
        <v>2010</v>
      </c>
      <c r="CM45" s="83">
        <f>SUMIFS('Dataset 1'!$E$7:$E$2506,'Dataset 1'!$B$7:$B$2506,"&lt;="&amp;$A45,'Dataset 1'!$J$7:$J$2506,CM$5)</f>
        <v>15430</v>
      </c>
      <c r="CN45" s="83">
        <f>SUMIFS('Dataset 1'!$E$7:$E$2506,'Dataset 1'!$B$7:$B$2506,"&lt;="&amp;$A45,'Dataset 1'!$J$7:$J$2506,CN$5)</f>
        <v>310</v>
      </c>
      <c r="CO45" s="83">
        <f>SUMIFS('Dataset 1'!$E$7:$E$2506,'Dataset 1'!$B$7:$B$2506,"&lt;="&amp;$A45,'Dataset 1'!$J$7:$J$2506,CO$5)</f>
        <v>2060</v>
      </c>
      <c r="CP45" s="83">
        <f>SUMIFS('Dataset 1'!$E$7:$E$2506,'Dataset 1'!$B$7:$B$2506,"&lt;="&amp;$A45,'Dataset 1'!$J$7:$J$2506,CP$5)</f>
        <v>23200</v>
      </c>
      <c r="CQ45" s="83">
        <f>SUMIFS('Dataset 1'!$E$7:$E$2506,'Dataset 1'!$B$7:$B$2506,"&lt;="&amp;$A45,'Dataset 1'!$J$7:$J$2506,CQ$5)</f>
        <v>3330</v>
      </c>
      <c r="CR45" s="83">
        <f>SUMIFS('Dataset 1'!$E$7:$E$2506,'Dataset 1'!$B$7:$B$2506,"&lt;="&amp;$A45,'Dataset 1'!$J$7:$J$2506,CR$5)</f>
        <v>1090</v>
      </c>
      <c r="CS45" s="83">
        <f>SUMIFS('Dataset 1'!$E$7:$E$2506,'Dataset 1'!$B$7:$B$2506,"&lt;="&amp;$A45,'Dataset 1'!$J$7:$J$2506,CS$5)</f>
        <v>9580</v>
      </c>
      <c r="CT45" s="83">
        <f>SUMIFS('Dataset 1'!$E$7:$E$2506,'Dataset 1'!$B$7:$B$2506,"&lt;="&amp;$A45,'Dataset 1'!$J$7:$J$2506,CT$5)</f>
        <v>100</v>
      </c>
      <c r="CU45" s="83">
        <f>SUMIFS('Dataset 1'!$E$7:$E$2506,'Dataset 1'!$B$7:$B$2506,"&lt;="&amp;$A45,'Dataset 1'!$J$7:$J$2506,CU$5)</f>
        <v>34250</v>
      </c>
      <c r="CV45" s="83">
        <f>SUMIFS('Dataset 1'!$E$7:$E$2506,'Dataset 1'!$B$7:$B$2506,"&lt;="&amp;$A45,'Dataset 1'!$J$7:$J$2506,CV$5)</f>
        <v>120</v>
      </c>
      <c r="CW45" s="83">
        <f>SUMIFS('Dataset 1'!$E$7:$E$2506,'Dataset 1'!$B$7:$B$2506,"&lt;="&amp;$A45,'Dataset 1'!$J$7:$J$2506,CW$5)</f>
        <v>110</v>
      </c>
      <c r="CX45" s="83">
        <f>SUMIFS('Dataset 1'!$E$7:$E$2506,'Dataset 1'!$B$7:$B$2506,"&lt;="&amp;$A45,'Dataset 1'!$J$7:$J$2506,CX$5)</f>
        <v>270</v>
      </c>
      <c r="CY45" s="83">
        <f>SUMIFS('Dataset 1'!$E$7:$E$2506,'Dataset 1'!$B$7:$B$2506,"&lt;="&amp;$A45,'Dataset 1'!$J$7:$J$2506,CY$5)</f>
        <v>7230</v>
      </c>
      <c r="CZ45" s="83">
        <f>SUMIFS('Dataset 1'!$E$7:$E$2506,'Dataset 1'!$B$7:$B$2506,"&lt;="&amp;$A45,'Dataset 1'!$J$7:$J$2506,CZ$5)</f>
        <v>4410</v>
      </c>
      <c r="DA45" s="83">
        <f>SUMIFS('Dataset 1'!$E$7:$E$2506,'Dataset 1'!$B$7:$B$2506,"&lt;="&amp;$A45,'Dataset 1'!$J$7:$J$2506,DA$5)</f>
        <v>3330</v>
      </c>
      <c r="DB45" s="83">
        <f>SUMIFS('Dataset 1'!$E$7:$E$2506,'Dataset 1'!$B$7:$B$2506,"&lt;="&amp;$A45,'Dataset 1'!$J$7:$J$2506,DB$5)</f>
        <v>39170</v>
      </c>
      <c r="DC45" s="83">
        <f>SUMIFS('Dataset 1'!$E$7:$E$2506,'Dataset 1'!$B$7:$B$2506,"&lt;="&amp;$A45,'Dataset 1'!$J$7:$J$2506,DC$5)</f>
        <v>130</v>
      </c>
      <c r="DD45" s="83">
        <f>SUMIFS('Dataset 1'!$E$7:$E$2506,'Dataset 1'!$B$7:$B$2506,"&lt;="&amp;$A45,'Dataset 1'!$J$7:$J$2506,DD$5)</f>
        <v>1390</v>
      </c>
      <c r="DE45" s="83">
        <f>SUMIFS('Dataset 1'!$E$7:$E$2506,'Dataset 1'!$B$7:$B$2506,"&lt;="&amp;$A45,'Dataset 1'!$J$7:$J$2506,DE$5)</f>
        <v>200</v>
      </c>
      <c r="DF45" s="83">
        <f>SUMIFS('Dataset 1'!$E$7:$E$2506,'Dataset 1'!$B$7:$B$2506,"&lt;="&amp;$A45,'Dataset 1'!$J$7:$J$2506,DF$5)</f>
        <v>11590</v>
      </c>
      <c r="DG45" s="83">
        <f>SUMIFS('Dataset 1'!$E$7:$E$2506,'Dataset 1'!$B$7:$B$2506,"&lt;="&amp;$A45,'Dataset 1'!$J$7:$J$2506,DG$5)</f>
        <v>10760</v>
      </c>
      <c r="DH45" s="83">
        <f>SUMIFS('Dataset 1'!$E$7:$E$2506,'Dataset 1'!$B$7:$B$2506,"&lt;="&amp;$A45,'Dataset 1'!$J$7:$J$2506,DH$5)</f>
        <v>8960</v>
      </c>
      <c r="DI45" s="83">
        <f>SUMIFS('Dataset 1'!$E$7:$E$2506,'Dataset 1'!$B$7:$B$2506,"&lt;="&amp;$A45,'Dataset 1'!$J$7:$J$2506,DI$5)</f>
        <v>3930</v>
      </c>
      <c r="DJ45" s="83">
        <f>SUMIFS('Dataset 1'!$E$7:$E$2506,'Dataset 1'!$B$7:$B$2506,"&lt;="&amp;$A45,'Dataset 1'!$J$7:$J$2506,DJ$5)</f>
        <v>260</v>
      </c>
      <c r="DK45" s="83">
        <f>SUMIFS('Dataset 1'!$E$7:$E$2506,'Dataset 1'!$B$7:$B$2506,"&lt;="&amp;$A45,'Dataset 1'!$J$7:$J$2506,DK$5)</f>
        <v>0</v>
      </c>
      <c r="DL45" s="83">
        <f>SUMIFS('Dataset 1'!$E$7:$E$2506,'Dataset 1'!$B$7:$B$2506,"&lt;="&amp;$A45,'Dataset 1'!$J$7:$J$2506,DL$5)</f>
        <v>15930</v>
      </c>
      <c r="DM45" s="83">
        <f>SUMIFS('Dataset 1'!$E$7:$E$2506,'Dataset 1'!$B$7:$B$2506,"&lt;="&amp;$A45,'Dataset 1'!$J$7:$J$2506,DM$5)</f>
        <v>61370</v>
      </c>
      <c r="DN45" s="83">
        <f>SUMIFS('Dataset 1'!$E$7:$E$2506,'Dataset 1'!$B$7:$B$2506,"&lt;="&amp;$A45,'Dataset 1'!$J$7:$J$2506,DN$5)</f>
        <v>3760</v>
      </c>
      <c r="DO45" s="83">
        <f>SUMIFS('Dataset 1'!$E$7:$E$2506,'Dataset 1'!$B$7:$B$2506,"&lt;="&amp;$A45,'Dataset 1'!$J$7:$J$2506,DO$5)</f>
        <v>1220</v>
      </c>
      <c r="DP45" s="83">
        <f>SUMIFS('Dataset 1'!$E$7:$E$2506,'Dataset 1'!$B$7:$B$2506,"&lt;="&amp;$A45,'Dataset 1'!$J$7:$J$2506,DP$5)</f>
        <v>520</v>
      </c>
      <c r="DQ45" s="83">
        <f>SUMIFS('Dataset 1'!$E$7:$E$2506,'Dataset 1'!$B$7:$B$2506,"&lt;="&amp;$A45,'Dataset 1'!$J$7:$J$2506,DQ$5)</f>
        <v>1140</v>
      </c>
      <c r="DR45" s="83">
        <f>SUMIFS('Dataset 1'!$E$7:$E$2506,'Dataset 1'!$B$7:$B$2506,"&lt;="&amp;$A45,'Dataset 1'!$J$7:$J$2506,DR$5)</f>
        <v>6020</v>
      </c>
      <c r="DS45" s="83">
        <f>SUMIFS('Dataset 1'!$E$7:$E$2506,'Dataset 1'!$B$7:$B$2506,"&lt;="&amp;$A45,'Dataset 1'!$J$7:$J$2506,DS$5)</f>
        <v>190</v>
      </c>
      <c r="DT45" s="83">
        <f>SUMIFS('Dataset 1'!$E$7:$E$2506,'Dataset 1'!$B$7:$B$2506,"&lt;="&amp;$A45,'Dataset 1'!$J$7:$J$2506,DT$5)</f>
        <v>1170</v>
      </c>
      <c r="DU45" s="83">
        <f>SUMIFS('Dataset 1'!$E$7:$E$2506,'Dataset 1'!$B$7:$B$2506,"&lt;="&amp;$A45,'Dataset 1'!$J$7:$J$2506,DU$5)</f>
        <v>0</v>
      </c>
      <c r="DV45" s="83">
        <f>SUMIFS('Dataset 1'!$E$7:$E$2506,'Dataset 1'!$B$7:$B$2506,"&lt;="&amp;$A45,'Dataset 1'!$J$7:$J$2506,DV$5)</f>
        <v>6360</v>
      </c>
      <c r="DW45" s="83">
        <f>SUMIFS('Dataset 1'!$E$7:$E$2506,'Dataset 1'!$B$7:$B$2506,"&lt;="&amp;$A45,'Dataset 1'!$J$7:$J$2506,DW$5)</f>
        <v>1790</v>
      </c>
      <c r="DX45" s="83">
        <f>SUMIFS('Dataset 1'!$E$7:$E$2506,'Dataset 1'!$B$7:$B$2506,"&lt;="&amp;$A45,'Dataset 1'!$J$7:$J$2506,DX$5)</f>
        <v>8020</v>
      </c>
      <c r="DY45" s="83">
        <f>SUMIFS('Dataset 1'!$E$7:$E$2506,'Dataset 1'!$B$7:$B$2506,"&lt;="&amp;$A45,'Dataset 1'!$J$7:$J$2506,DY$5)</f>
        <v>193900</v>
      </c>
      <c r="DZ45" s="83">
        <f>SUMIFS('Dataset 1'!$E$7:$E$2506,'Dataset 1'!$B$7:$B$2506,"&lt;="&amp;$A45,'Dataset 1'!$J$7:$J$2506,DZ$5)</f>
        <v>3020</v>
      </c>
      <c r="EA45" s="83">
        <f>SUMIFS('Dataset 1'!$E$7:$E$2506,'Dataset 1'!$B$7:$B$2506,"&lt;="&amp;$A45,'Dataset 1'!$J$7:$J$2506,EA$5)</f>
        <v>180</v>
      </c>
      <c r="EB45" s="83">
        <f>SUMIFS('Dataset 1'!$E$7:$E$2506,'Dataset 1'!$B$7:$B$2506,"&lt;="&amp;$A45,'Dataset 1'!$J$7:$J$2506,EB$5)</f>
        <v>1660</v>
      </c>
      <c r="EC45" s="83">
        <f>SUMIFS('Dataset 1'!$E$7:$E$2506,'Dataset 1'!$B$7:$B$2506,"&lt;="&amp;$A45,'Dataset 1'!$J$7:$J$2506,EC$5)</f>
        <v>4570</v>
      </c>
      <c r="ED45" s="83">
        <f>SUMIFS('Dataset 1'!$E$7:$E$2506,'Dataset 1'!$B$7:$B$2506,"&lt;="&amp;$A45,'Dataset 1'!$J$7:$J$2506,ED$5)</f>
        <v>8930</v>
      </c>
      <c r="EE45" s="83">
        <f>SUMIFS('Dataset 1'!$E$7:$E$2506,'Dataset 1'!$B$7:$B$2506,"&lt;="&amp;$A45,'Dataset 1'!$J$7:$J$2506,EE$5)</f>
        <v>470</v>
      </c>
      <c r="EF45" s="83">
        <f>SUMIFS('Dataset 1'!$E$7:$E$2506,'Dataset 1'!$B$7:$B$2506,"&lt;="&amp;$A45,'Dataset 1'!$J$7:$J$2506,EF$5)</f>
        <v>3360</v>
      </c>
      <c r="EG45" s="83">
        <f>SUMIFS('Dataset 1'!$E$7:$E$2506,'Dataset 1'!$B$7:$B$2506,"&lt;="&amp;$A45,'Dataset 1'!$J$7:$J$2506,EG$5)</f>
        <v>2500</v>
      </c>
    </row>
    <row r="46" spans="1:137" x14ac:dyDescent="0.2">
      <c r="A46">
        <v>2022</v>
      </c>
      <c r="B46" s="83">
        <f>SUMIFS('Dataset 1'!$E$7:$E$2506,'Dataset 1'!$B$7:$B$2506,"&lt;="&amp;$A46,'Dataset 1'!$J$7:$J$2506,B$5)</f>
        <v>2920</v>
      </c>
      <c r="C46" s="83">
        <f>SUMIFS('Dataset 1'!$E$7:$E$2506,'Dataset 1'!$B$7:$B$2506,"&lt;="&amp;$A46,'Dataset 1'!$J$7:$J$2506,C$5)</f>
        <v>430</v>
      </c>
      <c r="D46" s="83">
        <f>SUMIFS('Dataset 1'!$E$7:$E$2506,'Dataset 1'!$B$7:$B$2506,"&lt;="&amp;$A46,'Dataset 1'!$J$7:$J$2506,D$5)</f>
        <v>5150</v>
      </c>
      <c r="E46" s="83">
        <f>SUMIFS('Dataset 1'!$E$7:$E$2506,'Dataset 1'!$B$7:$B$2506,"&lt;="&amp;$A46,'Dataset 1'!$J$7:$J$2506,E$5)</f>
        <v>740</v>
      </c>
      <c r="F46" s="83">
        <f>SUMIFS('Dataset 1'!$E$7:$E$2506,'Dataset 1'!$B$7:$B$2506,"&lt;="&amp;$A46,'Dataset 1'!$J$7:$J$2506,F$5)</f>
        <v>12480</v>
      </c>
      <c r="G46" s="83">
        <f>SUMIFS('Dataset 1'!$E$7:$E$2506,'Dataset 1'!$B$7:$B$2506,"&lt;="&amp;$A46,'Dataset 1'!$J$7:$J$2506,G$5)</f>
        <v>106920</v>
      </c>
      <c r="H46" s="83">
        <f>SUMIFS('Dataset 1'!$E$7:$E$2506,'Dataset 1'!$B$7:$B$2506,"&lt;="&amp;$A46,'Dataset 1'!$J$7:$J$2506,H$5)</f>
        <v>510</v>
      </c>
      <c r="I46" s="83">
        <f>SUMIFS('Dataset 1'!$E$7:$E$2506,'Dataset 1'!$B$7:$B$2506,"&lt;="&amp;$A46,'Dataset 1'!$J$7:$J$2506,I$5)</f>
        <v>270</v>
      </c>
      <c r="J46" s="83">
        <f>SUMIFS('Dataset 1'!$E$7:$E$2506,'Dataset 1'!$B$7:$B$2506,"&lt;="&amp;$A46,'Dataset 1'!$J$7:$J$2506,J$5)</f>
        <v>350</v>
      </c>
      <c r="K46" s="83">
        <f>SUMIFS('Dataset 1'!$E$7:$E$2506,'Dataset 1'!$B$7:$B$2506,"&lt;="&amp;$A46,'Dataset 1'!$J$7:$J$2506,K$5)</f>
        <v>7640</v>
      </c>
      <c r="L46" s="83">
        <f>SUMIFS('Dataset 1'!$E$7:$E$2506,'Dataset 1'!$B$7:$B$2506,"&lt;="&amp;$A46,'Dataset 1'!$J$7:$J$2506,L$5)</f>
        <v>400</v>
      </c>
      <c r="M46" s="83">
        <f>SUMIFS('Dataset 1'!$E$7:$E$2506,'Dataset 1'!$B$7:$B$2506,"&lt;="&amp;$A46,'Dataset 1'!$J$7:$J$2506,M$5)</f>
        <v>5510</v>
      </c>
      <c r="N46" s="83">
        <f>SUMIFS('Dataset 1'!$E$7:$E$2506,'Dataset 1'!$B$7:$B$2506,"&lt;="&amp;$A46,'Dataset 1'!$J$7:$J$2506,N$5)</f>
        <v>0</v>
      </c>
      <c r="O46" s="83">
        <f>SUMIFS('Dataset 1'!$E$7:$E$2506,'Dataset 1'!$B$7:$B$2506,"&lt;="&amp;$A46,'Dataset 1'!$J$7:$J$2506,O$5)</f>
        <v>260</v>
      </c>
      <c r="P46" s="83">
        <f>SUMIFS('Dataset 1'!$E$7:$E$2506,'Dataset 1'!$B$7:$B$2506,"&lt;="&amp;$A46,'Dataset 1'!$J$7:$J$2506,P$5)</f>
        <v>0</v>
      </c>
      <c r="Q46" s="83">
        <f>SUMIFS('Dataset 1'!$E$7:$E$2506,'Dataset 1'!$B$7:$B$2506,"&lt;="&amp;$A46,'Dataset 1'!$J$7:$J$2506,Q$5)</f>
        <v>67480</v>
      </c>
      <c r="R46" s="83">
        <f>SUMIFS('Dataset 1'!$E$7:$E$2506,'Dataset 1'!$B$7:$B$2506,"&lt;="&amp;$A46,'Dataset 1'!$J$7:$J$2506,R$5)</f>
        <v>100560</v>
      </c>
      <c r="S46" s="83">
        <f>SUMIFS('Dataset 1'!$E$7:$E$2506,'Dataset 1'!$B$7:$B$2506,"&lt;="&amp;$A46,'Dataset 1'!$J$7:$J$2506,S$5)</f>
        <v>3440</v>
      </c>
      <c r="T46" s="83">
        <f>SUMIFS('Dataset 1'!$E$7:$E$2506,'Dataset 1'!$B$7:$B$2506,"&lt;="&amp;$A46,'Dataset 1'!$J$7:$J$2506,T$5)</f>
        <v>120</v>
      </c>
      <c r="U46" s="83">
        <f>SUMIFS('Dataset 1'!$E$7:$E$2506,'Dataset 1'!$B$7:$B$2506,"&lt;="&amp;$A46,'Dataset 1'!$J$7:$J$2506,U$5)</f>
        <v>11810</v>
      </c>
      <c r="V46" s="83">
        <f>SUMIFS('Dataset 1'!$E$7:$E$2506,'Dataset 1'!$B$7:$B$2506,"&lt;="&amp;$A46,'Dataset 1'!$J$7:$J$2506,V$5)</f>
        <v>2580</v>
      </c>
      <c r="W46" s="83">
        <f>SUMIFS('Dataset 1'!$E$7:$E$2506,'Dataset 1'!$B$7:$B$2506,"&lt;="&amp;$A46,'Dataset 1'!$J$7:$J$2506,W$5)</f>
        <v>56750</v>
      </c>
      <c r="X46" s="83">
        <f>SUMIFS('Dataset 1'!$E$7:$E$2506,'Dataset 1'!$B$7:$B$2506,"&lt;="&amp;$A46,'Dataset 1'!$J$7:$J$2506,X$5)</f>
        <v>1630</v>
      </c>
      <c r="Y46" s="83">
        <f>SUMIFS('Dataset 1'!$E$7:$E$2506,'Dataset 1'!$B$7:$B$2506,"&lt;="&amp;$A46,'Dataset 1'!$J$7:$J$2506,Y$5)</f>
        <v>16320</v>
      </c>
      <c r="Z46" s="83">
        <f>SUMIFS('Dataset 1'!$E$7:$E$2506,'Dataset 1'!$B$7:$B$2506,"&lt;="&amp;$A46,'Dataset 1'!$J$7:$J$2506,Z$5)</f>
        <v>7360</v>
      </c>
      <c r="AA46" s="83">
        <f>SUMIFS('Dataset 1'!$E$7:$E$2506,'Dataset 1'!$B$7:$B$2506,"&lt;="&amp;$A46,'Dataset 1'!$J$7:$J$2506,AA$5)</f>
        <v>2510</v>
      </c>
      <c r="AB46" s="83">
        <f>SUMIFS('Dataset 1'!$E$7:$E$2506,'Dataset 1'!$B$7:$B$2506,"&lt;="&amp;$A46,'Dataset 1'!$J$7:$J$2506,AB$5)</f>
        <v>220</v>
      </c>
      <c r="AC46" s="83">
        <f>SUMIFS('Dataset 1'!$E$7:$E$2506,'Dataset 1'!$B$7:$B$2506,"&lt;="&amp;$A46,'Dataset 1'!$J$7:$J$2506,AC$5)</f>
        <v>500</v>
      </c>
      <c r="AD46" s="83">
        <f>SUMIFS('Dataset 1'!$E$7:$E$2506,'Dataset 1'!$B$7:$B$2506,"&lt;="&amp;$A46,'Dataset 1'!$J$7:$J$2506,AD$5)</f>
        <v>0</v>
      </c>
      <c r="AE46" s="83">
        <f>SUMIFS('Dataset 1'!$E$7:$E$2506,'Dataset 1'!$B$7:$B$2506,"&lt;="&amp;$A46,'Dataset 1'!$J$7:$J$2506,AE$5)</f>
        <v>860</v>
      </c>
      <c r="AF46" s="83">
        <f>SUMIFS('Dataset 1'!$E$7:$E$2506,'Dataset 1'!$B$7:$B$2506,"&lt;="&amp;$A46,'Dataset 1'!$J$7:$J$2506,AF$5)</f>
        <v>13960</v>
      </c>
      <c r="AG46" s="83">
        <f>SUMIFS('Dataset 1'!$E$7:$E$2506,'Dataset 1'!$B$7:$B$2506,"&lt;="&amp;$A46,'Dataset 1'!$J$7:$J$2506,AG$5)</f>
        <v>730</v>
      </c>
      <c r="AH46" s="83">
        <f>SUMIFS('Dataset 1'!$E$7:$E$2506,'Dataset 1'!$B$7:$B$2506,"&lt;="&amp;$A46,'Dataset 1'!$J$7:$J$2506,AH$5)</f>
        <v>700</v>
      </c>
      <c r="AI46" s="83">
        <f>SUMIFS('Dataset 1'!$E$7:$E$2506,'Dataset 1'!$B$7:$B$2506,"&lt;="&amp;$A46,'Dataset 1'!$J$7:$J$2506,AI$5)</f>
        <v>6370</v>
      </c>
      <c r="AJ46" s="83">
        <f>SUMIFS('Dataset 1'!$E$7:$E$2506,'Dataset 1'!$B$7:$B$2506,"&lt;="&amp;$A46,'Dataset 1'!$J$7:$J$2506,AJ$5)</f>
        <v>6030</v>
      </c>
      <c r="AK46" s="83">
        <f>SUMIFS('Dataset 1'!$E$7:$E$2506,'Dataset 1'!$B$7:$B$2506,"&lt;="&amp;$A46,'Dataset 1'!$J$7:$J$2506,AK$5)</f>
        <v>290</v>
      </c>
      <c r="AL46" s="83">
        <f>SUMIFS('Dataset 1'!$E$7:$E$2506,'Dataset 1'!$B$7:$B$2506,"&lt;="&amp;$A46,'Dataset 1'!$J$7:$J$2506,AL$5)</f>
        <v>1770</v>
      </c>
      <c r="AM46" s="83">
        <f>SUMIFS('Dataset 1'!$E$7:$E$2506,'Dataset 1'!$B$7:$B$2506,"&lt;="&amp;$A46,'Dataset 1'!$J$7:$J$2506,AM$5)</f>
        <v>16540</v>
      </c>
      <c r="AN46" s="83">
        <f>SUMIFS('Dataset 1'!$E$7:$E$2506,'Dataset 1'!$B$7:$B$2506,"&lt;="&amp;$A46,'Dataset 1'!$J$7:$J$2506,AN$5)</f>
        <v>35070</v>
      </c>
      <c r="AO46" s="83">
        <f>SUMIFS('Dataset 1'!$E$7:$E$2506,'Dataset 1'!$B$7:$B$2506,"&lt;="&amp;$A46,'Dataset 1'!$J$7:$J$2506,AO$5)</f>
        <v>400</v>
      </c>
      <c r="AP46" s="83">
        <f>SUMIFS('Dataset 1'!$E$7:$E$2506,'Dataset 1'!$B$7:$B$2506,"&lt;="&amp;$A46,'Dataset 1'!$J$7:$J$2506,AP$5)</f>
        <v>370</v>
      </c>
      <c r="AQ46" s="83">
        <f>SUMIFS('Dataset 1'!$E$7:$E$2506,'Dataset 1'!$B$7:$B$2506,"&lt;="&amp;$A46,'Dataset 1'!$J$7:$J$2506,AQ$5)</f>
        <v>52200</v>
      </c>
      <c r="AR46" s="83">
        <f>SUMIFS('Dataset 1'!$E$7:$E$2506,'Dataset 1'!$B$7:$B$2506,"&lt;="&amp;$A46,'Dataset 1'!$J$7:$J$2506,AR$5)</f>
        <v>3750</v>
      </c>
      <c r="AS46" s="83">
        <f>SUMIFS('Dataset 1'!$E$7:$E$2506,'Dataset 1'!$B$7:$B$2506,"&lt;="&amp;$A46,'Dataset 1'!$J$7:$J$2506,AS$5)</f>
        <v>9460</v>
      </c>
      <c r="AT46" s="83">
        <f>SUMIFS('Dataset 1'!$E$7:$E$2506,'Dataset 1'!$B$7:$B$2506,"&lt;="&amp;$A46,'Dataset 1'!$J$7:$J$2506,AT$5)</f>
        <v>7650</v>
      </c>
      <c r="AU46" s="83">
        <f>SUMIFS('Dataset 1'!$E$7:$E$2506,'Dataset 1'!$B$7:$B$2506,"&lt;="&amp;$A46,'Dataset 1'!$J$7:$J$2506,AU$5)</f>
        <v>170</v>
      </c>
      <c r="AV46" s="83">
        <f>SUMIFS('Dataset 1'!$E$7:$E$2506,'Dataset 1'!$B$7:$B$2506,"&lt;="&amp;$A46,'Dataset 1'!$J$7:$J$2506,AV$5)</f>
        <v>7680</v>
      </c>
      <c r="AW46" s="83">
        <f>SUMIFS('Dataset 1'!$E$7:$E$2506,'Dataset 1'!$B$7:$B$2506,"&lt;="&amp;$A46,'Dataset 1'!$J$7:$J$2506,AW$5)</f>
        <v>4110</v>
      </c>
      <c r="AX46" s="83">
        <f>SUMIFS('Dataset 1'!$E$7:$E$2506,'Dataset 1'!$B$7:$B$2506,"&lt;="&amp;$A46,'Dataset 1'!$J$7:$J$2506,AX$5)</f>
        <v>16930</v>
      </c>
      <c r="AY46" s="83">
        <f>SUMIFS('Dataset 1'!$E$7:$E$2506,'Dataset 1'!$B$7:$B$2506,"&lt;="&amp;$A46,'Dataset 1'!$J$7:$J$2506,AY$5)</f>
        <v>36960</v>
      </c>
      <c r="AZ46" s="83">
        <f>SUMIFS('Dataset 1'!$E$7:$E$2506,'Dataset 1'!$B$7:$B$2506,"&lt;="&amp;$A46,'Dataset 1'!$J$7:$J$2506,AZ$5)</f>
        <v>4720</v>
      </c>
      <c r="BA46" s="83">
        <f>SUMIFS('Dataset 1'!$E$7:$E$2506,'Dataset 1'!$B$7:$B$2506,"&lt;="&amp;$A46,'Dataset 1'!$J$7:$J$2506,BA$5)</f>
        <v>14130</v>
      </c>
      <c r="BB46" s="83">
        <f>SUMIFS('Dataset 1'!$E$7:$E$2506,'Dataset 1'!$B$7:$B$2506,"&lt;="&amp;$A46,'Dataset 1'!$J$7:$J$2506,BB$5)</f>
        <v>8120</v>
      </c>
      <c r="BC46" s="83">
        <f>SUMIFS('Dataset 1'!$E$7:$E$2506,'Dataset 1'!$B$7:$B$2506,"&lt;="&amp;$A46,'Dataset 1'!$J$7:$J$2506,BC$5)</f>
        <v>12030</v>
      </c>
      <c r="BD46" s="83">
        <f>SUMIFS('Dataset 1'!$E$7:$E$2506,'Dataset 1'!$B$7:$B$2506,"&lt;="&amp;$A46,'Dataset 1'!$J$7:$J$2506,BD$5)</f>
        <v>24050</v>
      </c>
      <c r="BE46" s="83">
        <f>SUMIFS('Dataset 1'!$E$7:$E$2506,'Dataset 1'!$B$7:$B$2506,"&lt;="&amp;$A46,'Dataset 1'!$J$7:$J$2506,BE$5)</f>
        <v>0</v>
      </c>
      <c r="BF46" s="83">
        <f>SUMIFS('Dataset 1'!$E$7:$E$2506,'Dataset 1'!$B$7:$B$2506,"&lt;="&amp;$A46,'Dataset 1'!$J$7:$J$2506,BF$5)</f>
        <v>1170</v>
      </c>
      <c r="BG46" s="83">
        <f>SUMIFS('Dataset 1'!$E$7:$E$2506,'Dataset 1'!$B$7:$B$2506,"&lt;="&amp;$A46,'Dataset 1'!$J$7:$J$2506,BG$5)</f>
        <v>12660</v>
      </c>
      <c r="BH46" s="83">
        <f>SUMIFS('Dataset 1'!$E$7:$E$2506,'Dataset 1'!$B$7:$B$2506,"&lt;="&amp;$A46,'Dataset 1'!$J$7:$J$2506,BH$5)</f>
        <v>1960</v>
      </c>
      <c r="BI46" s="83">
        <f>SUMIFS('Dataset 1'!$E$7:$E$2506,'Dataset 1'!$B$7:$B$2506,"&lt;="&amp;$A46,'Dataset 1'!$J$7:$J$2506,BI$5)</f>
        <v>20220</v>
      </c>
      <c r="BJ46" s="83">
        <f>SUMIFS('Dataset 1'!$E$7:$E$2506,'Dataset 1'!$B$7:$B$2506,"&lt;="&amp;$A46,'Dataset 1'!$J$7:$J$2506,BJ$5)</f>
        <v>1520</v>
      </c>
      <c r="BK46" s="83">
        <f>SUMIFS('Dataset 1'!$E$7:$E$2506,'Dataset 1'!$B$7:$B$2506,"&lt;="&amp;$A46,'Dataset 1'!$J$7:$J$2506,BK$5)</f>
        <v>650</v>
      </c>
      <c r="BL46" s="83">
        <f>SUMIFS('Dataset 1'!$E$7:$E$2506,'Dataset 1'!$B$7:$B$2506,"&lt;="&amp;$A46,'Dataset 1'!$J$7:$J$2506,BL$5)</f>
        <v>670</v>
      </c>
      <c r="BM46" s="83">
        <f>SUMIFS('Dataset 1'!$E$7:$E$2506,'Dataset 1'!$B$7:$B$2506,"&lt;="&amp;$A46,'Dataset 1'!$J$7:$J$2506,BM$5)</f>
        <v>15740</v>
      </c>
      <c r="BN46" s="83">
        <f>SUMIFS('Dataset 1'!$E$7:$E$2506,'Dataset 1'!$B$7:$B$2506,"&lt;="&amp;$A46,'Dataset 1'!$J$7:$J$2506,BN$5)</f>
        <v>520</v>
      </c>
      <c r="BO46" s="83">
        <f>SUMIFS('Dataset 1'!$E$7:$E$2506,'Dataset 1'!$B$7:$B$2506,"&lt;="&amp;$A46,'Dataset 1'!$J$7:$J$2506,BO$5)</f>
        <v>2790</v>
      </c>
      <c r="BP46" s="83">
        <f>SUMIFS('Dataset 1'!$E$7:$E$2506,'Dataset 1'!$B$7:$B$2506,"&lt;="&amp;$A46,'Dataset 1'!$J$7:$J$2506,BP$5)</f>
        <v>150</v>
      </c>
      <c r="BQ46" s="83">
        <f>SUMIFS('Dataset 1'!$E$7:$E$2506,'Dataset 1'!$B$7:$B$2506,"&lt;="&amp;$A46,'Dataset 1'!$J$7:$J$2506,BQ$5)</f>
        <v>100</v>
      </c>
      <c r="BR46" s="83">
        <f>SUMIFS('Dataset 1'!$E$7:$E$2506,'Dataset 1'!$B$7:$B$2506,"&lt;="&amp;$A46,'Dataset 1'!$J$7:$J$2506,BR$5)</f>
        <v>21320</v>
      </c>
      <c r="BS46" s="83">
        <f>SUMIFS('Dataset 1'!$E$7:$E$2506,'Dataset 1'!$B$7:$B$2506,"&lt;="&amp;$A46,'Dataset 1'!$J$7:$J$2506,BS$5)</f>
        <v>110</v>
      </c>
      <c r="BT46" s="83">
        <f>SUMIFS('Dataset 1'!$E$7:$E$2506,'Dataset 1'!$B$7:$B$2506,"&lt;="&amp;$A46,'Dataset 1'!$J$7:$J$2506,BT$5)</f>
        <v>0</v>
      </c>
      <c r="BU46" s="83">
        <f>SUMIFS('Dataset 1'!$E$7:$E$2506,'Dataset 1'!$B$7:$B$2506,"&lt;="&amp;$A46,'Dataset 1'!$J$7:$J$2506,BU$5)</f>
        <v>440</v>
      </c>
      <c r="BV46" s="83">
        <f>SUMIFS('Dataset 1'!$E$7:$E$2506,'Dataset 1'!$B$7:$B$2506,"&lt;="&amp;$A46,'Dataset 1'!$J$7:$J$2506,BV$5)</f>
        <v>740</v>
      </c>
      <c r="BW46" s="83">
        <f>SUMIFS('Dataset 1'!$E$7:$E$2506,'Dataset 1'!$B$7:$B$2506,"&lt;="&amp;$A46,'Dataset 1'!$J$7:$J$2506,BW$5)</f>
        <v>5090</v>
      </c>
      <c r="BX46" s="83">
        <f>SUMIFS('Dataset 1'!$E$7:$E$2506,'Dataset 1'!$B$7:$B$2506,"&lt;="&amp;$A46,'Dataset 1'!$J$7:$J$2506,BX$5)</f>
        <v>4660</v>
      </c>
      <c r="BY46" s="83">
        <f>SUMIFS('Dataset 1'!$E$7:$E$2506,'Dataset 1'!$B$7:$B$2506,"&lt;="&amp;$A46,'Dataset 1'!$J$7:$J$2506,BY$5)</f>
        <v>100</v>
      </c>
      <c r="BZ46" s="83">
        <f>SUMIFS('Dataset 1'!$E$7:$E$2506,'Dataset 1'!$B$7:$B$2506,"&lt;="&amp;$A46,'Dataset 1'!$J$7:$J$2506,BZ$5)</f>
        <v>390</v>
      </c>
      <c r="CA46" s="83">
        <f>SUMIFS('Dataset 1'!$E$7:$E$2506,'Dataset 1'!$B$7:$B$2506,"&lt;="&amp;$A46,'Dataset 1'!$J$7:$J$2506,CA$5)</f>
        <v>4820</v>
      </c>
      <c r="CB46" s="83">
        <f>SUMIFS('Dataset 1'!$E$7:$E$2506,'Dataset 1'!$B$7:$B$2506,"&lt;="&amp;$A46,'Dataset 1'!$J$7:$J$2506,CB$5)</f>
        <v>7090</v>
      </c>
      <c r="CC46" s="83">
        <f>SUMIFS('Dataset 1'!$E$7:$E$2506,'Dataset 1'!$B$7:$B$2506,"&lt;="&amp;$A46,'Dataset 1'!$J$7:$J$2506,CC$5)</f>
        <v>2930</v>
      </c>
      <c r="CD46" s="83">
        <f>SUMIFS('Dataset 1'!$E$7:$E$2506,'Dataset 1'!$B$7:$B$2506,"&lt;="&amp;$A46,'Dataset 1'!$J$7:$J$2506,CD$5)</f>
        <v>1120</v>
      </c>
      <c r="CE46" s="83">
        <f>SUMIFS('Dataset 1'!$E$7:$E$2506,'Dataset 1'!$B$7:$B$2506,"&lt;="&amp;$A46,'Dataset 1'!$J$7:$J$2506,CE$5)</f>
        <v>21570</v>
      </c>
      <c r="CF46" s="83">
        <f>SUMIFS('Dataset 1'!$E$7:$E$2506,'Dataset 1'!$B$7:$B$2506,"&lt;="&amp;$A46,'Dataset 1'!$J$7:$J$2506,CF$5)</f>
        <v>3690</v>
      </c>
      <c r="CG46" s="83">
        <f>SUMIFS('Dataset 1'!$E$7:$E$2506,'Dataset 1'!$B$7:$B$2506,"&lt;="&amp;$A46,'Dataset 1'!$J$7:$J$2506,CG$5)</f>
        <v>300</v>
      </c>
      <c r="CH46" s="83">
        <f>SUMIFS('Dataset 1'!$E$7:$E$2506,'Dataset 1'!$B$7:$B$2506,"&lt;="&amp;$A46,'Dataset 1'!$J$7:$J$2506,CH$5)</f>
        <v>5570</v>
      </c>
      <c r="CI46" s="83">
        <f>SUMIFS('Dataset 1'!$E$7:$E$2506,'Dataset 1'!$B$7:$B$2506,"&lt;="&amp;$A46,'Dataset 1'!$J$7:$J$2506,CI$5)</f>
        <v>7270</v>
      </c>
      <c r="CJ46" s="83">
        <f>SUMIFS('Dataset 1'!$E$7:$E$2506,'Dataset 1'!$B$7:$B$2506,"&lt;="&amp;$A46,'Dataset 1'!$J$7:$J$2506,CJ$5)</f>
        <v>2000</v>
      </c>
      <c r="CK46" s="83">
        <f>SUMIFS('Dataset 1'!$E$7:$E$2506,'Dataset 1'!$B$7:$B$2506,"&lt;="&amp;$A46,'Dataset 1'!$J$7:$J$2506,CK$5)</f>
        <v>7240</v>
      </c>
      <c r="CL46" s="83">
        <f>SUMIFS('Dataset 1'!$E$7:$E$2506,'Dataset 1'!$B$7:$B$2506,"&lt;="&amp;$A46,'Dataset 1'!$J$7:$J$2506,CL$5)</f>
        <v>2010</v>
      </c>
      <c r="CM46" s="83">
        <f>SUMIFS('Dataset 1'!$E$7:$E$2506,'Dataset 1'!$B$7:$B$2506,"&lt;="&amp;$A46,'Dataset 1'!$J$7:$J$2506,CM$5)</f>
        <v>16560</v>
      </c>
      <c r="CN46" s="83">
        <f>SUMIFS('Dataset 1'!$E$7:$E$2506,'Dataset 1'!$B$7:$B$2506,"&lt;="&amp;$A46,'Dataset 1'!$J$7:$J$2506,CN$5)</f>
        <v>310</v>
      </c>
      <c r="CO46" s="83">
        <f>SUMIFS('Dataset 1'!$E$7:$E$2506,'Dataset 1'!$B$7:$B$2506,"&lt;="&amp;$A46,'Dataset 1'!$J$7:$J$2506,CO$5)</f>
        <v>2060</v>
      </c>
      <c r="CP46" s="83">
        <f>SUMIFS('Dataset 1'!$E$7:$E$2506,'Dataset 1'!$B$7:$B$2506,"&lt;="&amp;$A46,'Dataset 1'!$J$7:$J$2506,CP$5)</f>
        <v>23200</v>
      </c>
      <c r="CQ46" s="83">
        <f>SUMIFS('Dataset 1'!$E$7:$E$2506,'Dataset 1'!$B$7:$B$2506,"&lt;="&amp;$A46,'Dataset 1'!$J$7:$J$2506,CQ$5)</f>
        <v>3330</v>
      </c>
      <c r="CR46" s="83">
        <f>SUMIFS('Dataset 1'!$E$7:$E$2506,'Dataset 1'!$B$7:$B$2506,"&lt;="&amp;$A46,'Dataset 1'!$J$7:$J$2506,CR$5)</f>
        <v>1090</v>
      </c>
      <c r="CS46" s="83">
        <f>SUMIFS('Dataset 1'!$E$7:$E$2506,'Dataset 1'!$B$7:$B$2506,"&lt;="&amp;$A46,'Dataset 1'!$J$7:$J$2506,CS$5)</f>
        <v>9580</v>
      </c>
      <c r="CT46" s="83">
        <f>SUMIFS('Dataset 1'!$E$7:$E$2506,'Dataset 1'!$B$7:$B$2506,"&lt;="&amp;$A46,'Dataset 1'!$J$7:$J$2506,CT$5)</f>
        <v>100</v>
      </c>
      <c r="CU46" s="83">
        <f>SUMIFS('Dataset 1'!$E$7:$E$2506,'Dataset 1'!$B$7:$B$2506,"&lt;="&amp;$A46,'Dataset 1'!$J$7:$J$2506,CU$5)</f>
        <v>34250</v>
      </c>
      <c r="CV46" s="83">
        <f>SUMIFS('Dataset 1'!$E$7:$E$2506,'Dataset 1'!$B$7:$B$2506,"&lt;="&amp;$A46,'Dataset 1'!$J$7:$J$2506,CV$5)</f>
        <v>120</v>
      </c>
      <c r="CW46" s="83">
        <f>SUMIFS('Dataset 1'!$E$7:$E$2506,'Dataset 1'!$B$7:$B$2506,"&lt;="&amp;$A46,'Dataset 1'!$J$7:$J$2506,CW$5)</f>
        <v>110</v>
      </c>
      <c r="CX46" s="83">
        <f>SUMIFS('Dataset 1'!$E$7:$E$2506,'Dataset 1'!$B$7:$B$2506,"&lt;="&amp;$A46,'Dataset 1'!$J$7:$J$2506,CX$5)</f>
        <v>270</v>
      </c>
      <c r="CY46" s="83">
        <f>SUMIFS('Dataset 1'!$E$7:$E$2506,'Dataset 1'!$B$7:$B$2506,"&lt;="&amp;$A46,'Dataset 1'!$J$7:$J$2506,CY$5)</f>
        <v>12780</v>
      </c>
      <c r="CZ46" s="83">
        <f>SUMIFS('Dataset 1'!$E$7:$E$2506,'Dataset 1'!$B$7:$B$2506,"&lt;="&amp;$A46,'Dataset 1'!$J$7:$J$2506,CZ$5)</f>
        <v>4410</v>
      </c>
      <c r="DA46" s="83">
        <f>SUMIFS('Dataset 1'!$E$7:$E$2506,'Dataset 1'!$B$7:$B$2506,"&lt;="&amp;$A46,'Dataset 1'!$J$7:$J$2506,DA$5)</f>
        <v>3330</v>
      </c>
      <c r="DB46" s="83">
        <f>SUMIFS('Dataset 1'!$E$7:$E$2506,'Dataset 1'!$B$7:$B$2506,"&lt;="&amp;$A46,'Dataset 1'!$J$7:$J$2506,DB$5)</f>
        <v>41760</v>
      </c>
      <c r="DC46" s="83">
        <f>SUMIFS('Dataset 1'!$E$7:$E$2506,'Dataset 1'!$B$7:$B$2506,"&lt;="&amp;$A46,'Dataset 1'!$J$7:$J$2506,DC$5)</f>
        <v>130</v>
      </c>
      <c r="DD46" s="83">
        <f>SUMIFS('Dataset 1'!$E$7:$E$2506,'Dataset 1'!$B$7:$B$2506,"&lt;="&amp;$A46,'Dataset 1'!$J$7:$J$2506,DD$5)</f>
        <v>1390</v>
      </c>
      <c r="DE46" s="83">
        <f>SUMIFS('Dataset 1'!$E$7:$E$2506,'Dataset 1'!$B$7:$B$2506,"&lt;="&amp;$A46,'Dataset 1'!$J$7:$J$2506,DE$5)</f>
        <v>200</v>
      </c>
      <c r="DF46" s="83">
        <f>SUMIFS('Dataset 1'!$E$7:$E$2506,'Dataset 1'!$B$7:$B$2506,"&lt;="&amp;$A46,'Dataset 1'!$J$7:$J$2506,DF$5)</f>
        <v>11590</v>
      </c>
      <c r="DG46" s="83">
        <f>SUMIFS('Dataset 1'!$E$7:$E$2506,'Dataset 1'!$B$7:$B$2506,"&lt;="&amp;$A46,'Dataset 1'!$J$7:$J$2506,DG$5)</f>
        <v>10960</v>
      </c>
      <c r="DH46" s="83">
        <f>SUMIFS('Dataset 1'!$E$7:$E$2506,'Dataset 1'!$B$7:$B$2506,"&lt;="&amp;$A46,'Dataset 1'!$J$7:$J$2506,DH$5)</f>
        <v>9180</v>
      </c>
      <c r="DI46" s="83">
        <f>SUMIFS('Dataset 1'!$E$7:$E$2506,'Dataset 1'!$B$7:$B$2506,"&lt;="&amp;$A46,'Dataset 1'!$J$7:$J$2506,DI$5)</f>
        <v>3930</v>
      </c>
      <c r="DJ46" s="83">
        <f>SUMIFS('Dataset 1'!$E$7:$E$2506,'Dataset 1'!$B$7:$B$2506,"&lt;="&amp;$A46,'Dataset 1'!$J$7:$J$2506,DJ$5)</f>
        <v>260</v>
      </c>
      <c r="DK46" s="83">
        <f>SUMIFS('Dataset 1'!$E$7:$E$2506,'Dataset 1'!$B$7:$B$2506,"&lt;="&amp;$A46,'Dataset 1'!$J$7:$J$2506,DK$5)</f>
        <v>360</v>
      </c>
      <c r="DL46" s="83">
        <f>SUMIFS('Dataset 1'!$E$7:$E$2506,'Dataset 1'!$B$7:$B$2506,"&lt;="&amp;$A46,'Dataset 1'!$J$7:$J$2506,DL$5)</f>
        <v>16140</v>
      </c>
      <c r="DM46" s="83">
        <f>SUMIFS('Dataset 1'!$E$7:$E$2506,'Dataset 1'!$B$7:$B$2506,"&lt;="&amp;$A46,'Dataset 1'!$J$7:$J$2506,DM$5)</f>
        <v>61960</v>
      </c>
      <c r="DN46" s="83">
        <f>SUMIFS('Dataset 1'!$E$7:$E$2506,'Dataset 1'!$B$7:$B$2506,"&lt;="&amp;$A46,'Dataset 1'!$J$7:$J$2506,DN$5)</f>
        <v>3760</v>
      </c>
      <c r="DO46" s="83">
        <f>SUMIFS('Dataset 1'!$E$7:$E$2506,'Dataset 1'!$B$7:$B$2506,"&lt;="&amp;$A46,'Dataset 1'!$J$7:$J$2506,DO$5)</f>
        <v>1220</v>
      </c>
      <c r="DP46" s="83">
        <f>SUMIFS('Dataset 1'!$E$7:$E$2506,'Dataset 1'!$B$7:$B$2506,"&lt;="&amp;$A46,'Dataset 1'!$J$7:$J$2506,DP$5)</f>
        <v>1000</v>
      </c>
      <c r="DQ46" s="83">
        <f>SUMIFS('Dataset 1'!$E$7:$E$2506,'Dataset 1'!$B$7:$B$2506,"&lt;="&amp;$A46,'Dataset 1'!$J$7:$J$2506,DQ$5)</f>
        <v>1360</v>
      </c>
      <c r="DR46" s="83">
        <f>SUMIFS('Dataset 1'!$E$7:$E$2506,'Dataset 1'!$B$7:$B$2506,"&lt;="&amp;$A46,'Dataset 1'!$J$7:$J$2506,DR$5)</f>
        <v>6770</v>
      </c>
      <c r="DS46" s="83">
        <f>SUMIFS('Dataset 1'!$E$7:$E$2506,'Dataset 1'!$B$7:$B$2506,"&lt;="&amp;$A46,'Dataset 1'!$J$7:$J$2506,DS$5)</f>
        <v>190</v>
      </c>
      <c r="DT46" s="83">
        <f>SUMIFS('Dataset 1'!$E$7:$E$2506,'Dataset 1'!$B$7:$B$2506,"&lt;="&amp;$A46,'Dataset 1'!$J$7:$J$2506,DT$5)</f>
        <v>1170</v>
      </c>
      <c r="DU46" s="83">
        <f>SUMIFS('Dataset 1'!$E$7:$E$2506,'Dataset 1'!$B$7:$B$2506,"&lt;="&amp;$A46,'Dataset 1'!$J$7:$J$2506,DU$5)</f>
        <v>0</v>
      </c>
      <c r="DV46" s="83">
        <f>SUMIFS('Dataset 1'!$E$7:$E$2506,'Dataset 1'!$B$7:$B$2506,"&lt;="&amp;$A46,'Dataset 1'!$J$7:$J$2506,DV$5)</f>
        <v>6360</v>
      </c>
      <c r="DW46" s="83">
        <f>SUMIFS('Dataset 1'!$E$7:$E$2506,'Dataset 1'!$B$7:$B$2506,"&lt;="&amp;$A46,'Dataset 1'!$J$7:$J$2506,DW$5)</f>
        <v>1790</v>
      </c>
      <c r="DX46" s="83">
        <f>SUMIFS('Dataset 1'!$E$7:$E$2506,'Dataset 1'!$B$7:$B$2506,"&lt;="&amp;$A46,'Dataset 1'!$J$7:$J$2506,DX$5)</f>
        <v>8160</v>
      </c>
      <c r="DY46" s="83">
        <f>SUMIFS('Dataset 1'!$E$7:$E$2506,'Dataset 1'!$B$7:$B$2506,"&lt;="&amp;$A46,'Dataset 1'!$J$7:$J$2506,DY$5)</f>
        <v>196490</v>
      </c>
      <c r="DZ46" s="83">
        <f>SUMIFS('Dataset 1'!$E$7:$E$2506,'Dataset 1'!$B$7:$B$2506,"&lt;="&amp;$A46,'Dataset 1'!$J$7:$J$2506,DZ$5)</f>
        <v>3020</v>
      </c>
      <c r="EA46" s="83">
        <f>SUMIFS('Dataset 1'!$E$7:$E$2506,'Dataset 1'!$B$7:$B$2506,"&lt;="&amp;$A46,'Dataset 1'!$J$7:$J$2506,EA$5)</f>
        <v>180</v>
      </c>
      <c r="EB46" s="83">
        <f>SUMIFS('Dataset 1'!$E$7:$E$2506,'Dataset 1'!$B$7:$B$2506,"&lt;="&amp;$A46,'Dataset 1'!$J$7:$J$2506,EB$5)</f>
        <v>1790</v>
      </c>
      <c r="EC46" s="83">
        <f>SUMIFS('Dataset 1'!$E$7:$E$2506,'Dataset 1'!$B$7:$B$2506,"&lt;="&amp;$A46,'Dataset 1'!$J$7:$J$2506,EC$5)</f>
        <v>4570</v>
      </c>
      <c r="ED46" s="83">
        <f>SUMIFS('Dataset 1'!$E$7:$E$2506,'Dataset 1'!$B$7:$B$2506,"&lt;="&amp;$A46,'Dataset 1'!$J$7:$J$2506,ED$5)</f>
        <v>9490</v>
      </c>
      <c r="EE46" s="83">
        <f>SUMIFS('Dataset 1'!$E$7:$E$2506,'Dataset 1'!$B$7:$B$2506,"&lt;="&amp;$A46,'Dataset 1'!$J$7:$J$2506,EE$5)</f>
        <v>470</v>
      </c>
      <c r="EF46" s="83">
        <f>SUMIFS('Dataset 1'!$E$7:$E$2506,'Dataset 1'!$B$7:$B$2506,"&lt;="&amp;$A46,'Dataset 1'!$J$7:$J$2506,EF$5)</f>
        <v>3360</v>
      </c>
      <c r="EG46" s="83">
        <f>SUMIFS('Dataset 1'!$E$7:$E$2506,'Dataset 1'!$B$7:$B$2506,"&lt;="&amp;$A46,'Dataset 1'!$J$7:$J$2506,EG$5)</f>
        <v>4170</v>
      </c>
    </row>
    <row r="47" spans="1:137" x14ac:dyDescent="0.2">
      <c r="A47">
        <v>2023</v>
      </c>
      <c r="B47" s="83">
        <f>SUMIFS('Dataset 1'!$E$7:$E$2506,'Dataset 1'!$B$7:$B$2506,"&lt;="&amp;$A47,'Dataset 1'!$J$7:$J$2506,B$5)</f>
        <v>3070</v>
      </c>
      <c r="C47" s="83">
        <f>SUMIFS('Dataset 1'!$E$7:$E$2506,'Dataset 1'!$B$7:$B$2506,"&lt;="&amp;$A47,'Dataset 1'!$J$7:$J$2506,C$5)</f>
        <v>430</v>
      </c>
      <c r="D47" s="83">
        <f>SUMIFS('Dataset 1'!$E$7:$E$2506,'Dataset 1'!$B$7:$B$2506,"&lt;="&amp;$A47,'Dataset 1'!$J$7:$J$2506,D$5)</f>
        <v>5270</v>
      </c>
      <c r="E47" s="83">
        <f>SUMIFS('Dataset 1'!$E$7:$E$2506,'Dataset 1'!$B$7:$B$2506,"&lt;="&amp;$A47,'Dataset 1'!$J$7:$J$2506,E$5)</f>
        <v>740</v>
      </c>
      <c r="F47" s="83">
        <f>SUMIFS('Dataset 1'!$E$7:$E$2506,'Dataset 1'!$B$7:$B$2506,"&lt;="&amp;$A47,'Dataset 1'!$J$7:$J$2506,F$5)</f>
        <v>12930</v>
      </c>
      <c r="G47" s="83">
        <f>SUMIFS('Dataset 1'!$E$7:$E$2506,'Dataset 1'!$B$7:$B$2506,"&lt;="&amp;$A47,'Dataset 1'!$J$7:$J$2506,G$5)</f>
        <v>107390</v>
      </c>
      <c r="H47" s="83">
        <f>SUMIFS('Dataset 1'!$E$7:$E$2506,'Dataset 1'!$B$7:$B$2506,"&lt;="&amp;$A47,'Dataset 1'!$J$7:$J$2506,H$5)</f>
        <v>1110</v>
      </c>
      <c r="I47" s="83">
        <f>SUMIFS('Dataset 1'!$E$7:$E$2506,'Dataset 1'!$B$7:$B$2506,"&lt;="&amp;$A47,'Dataset 1'!$J$7:$J$2506,I$5)</f>
        <v>270</v>
      </c>
      <c r="J47" s="83">
        <f>SUMIFS('Dataset 1'!$E$7:$E$2506,'Dataset 1'!$B$7:$B$2506,"&lt;="&amp;$A47,'Dataset 1'!$J$7:$J$2506,J$5)</f>
        <v>350</v>
      </c>
      <c r="K47" s="83">
        <f>SUMIFS('Dataset 1'!$E$7:$E$2506,'Dataset 1'!$B$7:$B$2506,"&lt;="&amp;$A47,'Dataset 1'!$J$7:$J$2506,K$5)</f>
        <v>7740</v>
      </c>
      <c r="L47" s="83">
        <f>SUMIFS('Dataset 1'!$E$7:$E$2506,'Dataset 1'!$B$7:$B$2506,"&lt;="&amp;$A47,'Dataset 1'!$J$7:$J$2506,L$5)</f>
        <v>400</v>
      </c>
      <c r="M47" s="83">
        <f>SUMIFS('Dataset 1'!$E$7:$E$2506,'Dataset 1'!$B$7:$B$2506,"&lt;="&amp;$A47,'Dataset 1'!$J$7:$J$2506,M$5)</f>
        <v>5830</v>
      </c>
      <c r="N47" s="83">
        <f>SUMIFS('Dataset 1'!$E$7:$E$2506,'Dataset 1'!$B$7:$B$2506,"&lt;="&amp;$A47,'Dataset 1'!$J$7:$J$2506,N$5)</f>
        <v>400</v>
      </c>
      <c r="O47" s="83">
        <f>SUMIFS('Dataset 1'!$E$7:$E$2506,'Dataset 1'!$B$7:$B$2506,"&lt;="&amp;$A47,'Dataset 1'!$J$7:$J$2506,O$5)</f>
        <v>260</v>
      </c>
      <c r="P47" s="83">
        <f>SUMIFS('Dataset 1'!$E$7:$E$2506,'Dataset 1'!$B$7:$B$2506,"&lt;="&amp;$A47,'Dataset 1'!$J$7:$J$2506,P$5)</f>
        <v>2040</v>
      </c>
      <c r="Q47" s="83">
        <f>SUMIFS('Dataset 1'!$E$7:$E$2506,'Dataset 1'!$B$7:$B$2506,"&lt;="&amp;$A47,'Dataset 1'!$J$7:$J$2506,Q$5)</f>
        <v>70240</v>
      </c>
      <c r="R47" s="83">
        <f>SUMIFS('Dataset 1'!$E$7:$E$2506,'Dataset 1'!$B$7:$B$2506,"&lt;="&amp;$A47,'Dataset 1'!$J$7:$J$2506,R$5)</f>
        <v>101710</v>
      </c>
      <c r="S47" s="83">
        <f>SUMIFS('Dataset 1'!$E$7:$E$2506,'Dataset 1'!$B$7:$B$2506,"&lt;="&amp;$A47,'Dataset 1'!$J$7:$J$2506,S$5)</f>
        <v>3440</v>
      </c>
      <c r="T47" s="83">
        <f>SUMIFS('Dataset 1'!$E$7:$E$2506,'Dataset 1'!$B$7:$B$2506,"&lt;="&amp;$A47,'Dataset 1'!$J$7:$J$2506,T$5)</f>
        <v>120</v>
      </c>
      <c r="U47" s="83">
        <f>SUMIFS('Dataset 1'!$E$7:$E$2506,'Dataset 1'!$B$7:$B$2506,"&lt;="&amp;$A47,'Dataset 1'!$J$7:$J$2506,U$5)</f>
        <v>13290</v>
      </c>
      <c r="V47" s="83">
        <f>SUMIFS('Dataset 1'!$E$7:$E$2506,'Dataset 1'!$B$7:$B$2506,"&lt;="&amp;$A47,'Dataset 1'!$J$7:$J$2506,V$5)</f>
        <v>2580</v>
      </c>
      <c r="W47" s="83">
        <f>SUMIFS('Dataset 1'!$E$7:$E$2506,'Dataset 1'!$B$7:$B$2506,"&lt;="&amp;$A47,'Dataset 1'!$J$7:$J$2506,W$5)</f>
        <v>56880</v>
      </c>
      <c r="X47" s="83">
        <f>SUMIFS('Dataset 1'!$E$7:$E$2506,'Dataset 1'!$B$7:$B$2506,"&lt;="&amp;$A47,'Dataset 1'!$J$7:$J$2506,X$5)</f>
        <v>1630</v>
      </c>
      <c r="Y47" s="83">
        <f>SUMIFS('Dataset 1'!$E$7:$E$2506,'Dataset 1'!$B$7:$B$2506,"&lt;="&amp;$A47,'Dataset 1'!$J$7:$J$2506,Y$5)</f>
        <v>17430</v>
      </c>
      <c r="Z47" s="83">
        <f>SUMIFS('Dataset 1'!$E$7:$E$2506,'Dataset 1'!$B$7:$B$2506,"&lt;="&amp;$A47,'Dataset 1'!$J$7:$J$2506,Z$5)</f>
        <v>8110</v>
      </c>
      <c r="AA47" s="83">
        <f>SUMIFS('Dataset 1'!$E$7:$E$2506,'Dataset 1'!$B$7:$B$2506,"&lt;="&amp;$A47,'Dataset 1'!$J$7:$J$2506,AA$5)</f>
        <v>2610</v>
      </c>
      <c r="AB47" s="83">
        <f>SUMIFS('Dataset 1'!$E$7:$E$2506,'Dataset 1'!$B$7:$B$2506,"&lt;="&amp;$A47,'Dataset 1'!$J$7:$J$2506,AB$5)</f>
        <v>220</v>
      </c>
      <c r="AC47" s="83">
        <f>SUMIFS('Dataset 1'!$E$7:$E$2506,'Dataset 1'!$B$7:$B$2506,"&lt;="&amp;$A47,'Dataset 1'!$J$7:$J$2506,AC$5)</f>
        <v>500</v>
      </c>
      <c r="AD47" s="83">
        <f>SUMIFS('Dataset 1'!$E$7:$E$2506,'Dataset 1'!$B$7:$B$2506,"&lt;="&amp;$A47,'Dataset 1'!$J$7:$J$2506,AD$5)</f>
        <v>0</v>
      </c>
      <c r="AE47" s="83">
        <f>SUMIFS('Dataset 1'!$E$7:$E$2506,'Dataset 1'!$B$7:$B$2506,"&lt;="&amp;$A47,'Dataset 1'!$J$7:$J$2506,AE$5)</f>
        <v>860</v>
      </c>
      <c r="AF47" s="83">
        <f>SUMIFS('Dataset 1'!$E$7:$E$2506,'Dataset 1'!$B$7:$B$2506,"&lt;="&amp;$A47,'Dataset 1'!$J$7:$J$2506,AF$5)</f>
        <v>17820</v>
      </c>
      <c r="AG47" s="83">
        <f>SUMIFS('Dataset 1'!$E$7:$E$2506,'Dataset 1'!$B$7:$B$2506,"&lt;="&amp;$A47,'Dataset 1'!$J$7:$J$2506,AG$5)</f>
        <v>730</v>
      </c>
      <c r="AH47" s="83">
        <f>SUMIFS('Dataset 1'!$E$7:$E$2506,'Dataset 1'!$B$7:$B$2506,"&lt;="&amp;$A47,'Dataset 1'!$J$7:$J$2506,AH$5)</f>
        <v>700</v>
      </c>
      <c r="AI47" s="83">
        <f>SUMIFS('Dataset 1'!$E$7:$E$2506,'Dataset 1'!$B$7:$B$2506,"&lt;="&amp;$A47,'Dataset 1'!$J$7:$J$2506,AI$5)</f>
        <v>6370</v>
      </c>
      <c r="AJ47" s="83">
        <f>SUMIFS('Dataset 1'!$E$7:$E$2506,'Dataset 1'!$B$7:$B$2506,"&lt;="&amp;$A47,'Dataset 1'!$J$7:$J$2506,AJ$5)</f>
        <v>6290</v>
      </c>
      <c r="AK47" s="83">
        <f>SUMIFS('Dataset 1'!$E$7:$E$2506,'Dataset 1'!$B$7:$B$2506,"&lt;="&amp;$A47,'Dataset 1'!$J$7:$J$2506,AK$5)</f>
        <v>1070</v>
      </c>
      <c r="AL47" s="83">
        <f>SUMIFS('Dataset 1'!$E$7:$E$2506,'Dataset 1'!$B$7:$B$2506,"&lt;="&amp;$A47,'Dataset 1'!$J$7:$J$2506,AL$5)</f>
        <v>2140</v>
      </c>
      <c r="AM47" s="83">
        <f>SUMIFS('Dataset 1'!$E$7:$E$2506,'Dataset 1'!$B$7:$B$2506,"&lt;="&amp;$A47,'Dataset 1'!$J$7:$J$2506,AM$5)</f>
        <v>17130</v>
      </c>
      <c r="AN47" s="83">
        <f>SUMIFS('Dataset 1'!$E$7:$E$2506,'Dataset 1'!$B$7:$B$2506,"&lt;="&amp;$A47,'Dataset 1'!$J$7:$J$2506,AN$5)</f>
        <v>35070</v>
      </c>
      <c r="AO47" s="83">
        <f>SUMIFS('Dataset 1'!$E$7:$E$2506,'Dataset 1'!$B$7:$B$2506,"&lt;="&amp;$A47,'Dataset 1'!$J$7:$J$2506,AO$5)</f>
        <v>400</v>
      </c>
      <c r="AP47" s="83">
        <f>SUMIFS('Dataset 1'!$E$7:$E$2506,'Dataset 1'!$B$7:$B$2506,"&lt;="&amp;$A47,'Dataset 1'!$J$7:$J$2506,AP$5)</f>
        <v>370</v>
      </c>
      <c r="AQ47" s="83">
        <f>SUMIFS('Dataset 1'!$E$7:$E$2506,'Dataset 1'!$B$7:$B$2506,"&lt;="&amp;$A47,'Dataset 1'!$J$7:$J$2506,AQ$5)</f>
        <v>52350</v>
      </c>
      <c r="AR47" s="83">
        <f>SUMIFS('Dataset 1'!$E$7:$E$2506,'Dataset 1'!$B$7:$B$2506,"&lt;="&amp;$A47,'Dataset 1'!$J$7:$J$2506,AR$5)</f>
        <v>3750</v>
      </c>
      <c r="AS47" s="83">
        <f>SUMIFS('Dataset 1'!$E$7:$E$2506,'Dataset 1'!$B$7:$B$2506,"&lt;="&amp;$A47,'Dataset 1'!$J$7:$J$2506,AS$5)</f>
        <v>9460</v>
      </c>
      <c r="AT47" s="83">
        <f>SUMIFS('Dataset 1'!$E$7:$E$2506,'Dataset 1'!$B$7:$B$2506,"&lt;="&amp;$A47,'Dataset 1'!$J$7:$J$2506,AT$5)</f>
        <v>7650</v>
      </c>
      <c r="AU47" s="83">
        <f>SUMIFS('Dataset 1'!$E$7:$E$2506,'Dataset 1'!$B$7:$B$2506,"&lt;="&amp;$A47,'Dataset 1'!$J$7:$J$2506,AU$5)</f>
        <v>170</v>
      </c>
      <c r="AV47" s="83">
        <f>SUMIFS('Dataset 1'!$E$7:$E$2506,'Dataset 1'!$B$7:$B$2506,"&lt;="&amp;$A47,'Dataset 1'!$J$7:$J$2506,AV$5)</f>
        <v>7680</v>
      </c>
      <c r="AW47" s="83">
        <f>SUMIFS('Dataset 1'!$E$7:$E$2506,'Dataset 1'!$B$7:$B$2506,"&lt;="&amp;$A47,'Dataset 1'!$J$7:$J$2506,AW$5)</f>
        <v>8540</v>
      </c>
      <c r="AX47" s="83">
        <f>SUMIFS('Dataset 1'!$E$7:$E$2506,'Dataset 1'!$B$7:$B$2506,"&lt;="&amp;$A47,'Dataset 1'!$J$7:$J$2506,AX$5)</f>
        <v>16930</v>
      </c>
      <c r="AY47" s="83">
        <f>SUMIFS('Dataset 1'!$E$7:$E$2506,'Dataset 1'!$B$7:$B$2506,"&lt;="&amp;$A47,'Dataset 1'!$J$7:$J$2506,AY$5)</f>
        <v>43190</v>
      </c>
      <c r="AZ47" s="83">
        <f>SUMIFS('Dataset 1'!$E$7:$E$2506,'Dataset 1'!$B$7:$B$2506,"&lt;="&amp;$A47,'Dataset 1'!$J$7:$J$2506,AZ$5)</f>
        <v>4720</v>
      </c>
      <c r="BA47" s="83">
        <f>SUMIFS('Dataset 1'!$E$7:$E$2506,'Dataset 1'!$B$7:$B$2506,"&lt;="&amp;$A47,'Dataset 1'!$J$7:$J$2506,BA$5)</f>
        <v>14230</v>
      </c>
      <c r="BB47" s="83">
        <f>SUMIFS('Dataset 1'!$E$7:$E$2506,'Dataset 1'!$B$7:$B$2506,"&lt;="&amp;$A47,'Dataset 1'!$J$7:$J$2506,BB$5)</f>
        <v>8120</v>
      </c>
      <c r="BC47" s="83">
        <f>SUMIFS('Dataset 1'!$E$7:$E$2506,'Dataset 1'!$B$7:$B$2506,"&lt;="&amp;$A47,'Dataset 1'!$J$7:$J$2506,BC$5)</f>
        <v>12030</v>
      </c>
      <c r="BD47" s="83">
        <f>SUMIFS('Dataset 1'!$E$7:$E$2506,'Dataset 1'!$B$7:$B$2506,"&lt;="&amp;$A47,'Dataset 1'!$J$7:$J$2506,BD$5)</f>
        <v>24190</v>
      </c>
      <c r="BE47" s="83">
        <f>SUMIFS('Dataset 1'!$E$7:$E$2506,'Dataset 1'!$B$7:$B$2506,"&lt;="&amp;$A47,'Dataset 1'!$J$7:$J$2506,BE$5)</f>
        <v>310</v>
      </c>
      <c r="BF47" s="83">
        <f>SUMIFS('Dataset 1'!$E$7:$E$2506,'Dataset 1'!$B$7:$B$2506,"&lt;="&amp;$A47,'Dataset 1'!$J$7:$J$2506,BF$5)</f>
        <v>1170</v>
      </c>
      <c r="BG47" s="83">
        <f>SUMIFS('Dataset 1'!$E$7:$E$2506,'Dataset 1'!$B$7:$B$2506,"&lt;="&amp;$A47,'Dataset 1'!$J$7:$J$2506,BG$5)</f>
        <v>12780</v>
      </c>
      <c r="BH47" s="83">
        <f>SUMIFS('Dataset 1'!$E$7:$E$2506,'Dataset 1'!$B$7:$B$2506,"&lt;="&amp;$A47,'Dataset 1'!$J$7:$J$2506,BH$5)</f>
        <v>1960</v>
      </c>
      <c r="BI47" s="83">
        <f>SUMIFS('Dataset 1'!$E$7:$E$2506,'Dataset 1'!$B$7:$B$2506,"&lt;="&amp;$A47,'Dataset 1'!$J$7:$J$2506,BI$5)</f>
        <v>20340</v>
      </c>
      <c r="BJ47" s="83">
        <f>SUMIFS('Dataset 1'!$E$7:$E$2506,'Dataset 1'!$B$7:$B$2506,"&lt;="&amp;$A47,'Dataset 1'!$J$7:$J$2506,BJ$5)</f>
        <v>1520</v>
      </c>
      <c r="BK47" s="83">
        <f>SUMIFS('Dataset 1'!$E$7:$E$2506,'Dataset 1'!$B$7:$B$2506,"&lt;="&amp;$A47,'Dataset 1'!$J$7:$J$2506,BK$5)</f>
        <v>650</v>
      </c>
      <c r="BL47" s="83">
        <f>SUMIFS('Dataset 1'!$E$7:$E$2506,'Dataset 1'!$B$7:$B$2506,"&lt;="&amp;$A47,'Dataset 1'!$J$7:$J$2506,BL$5)</f>
        <v>670</v>
      </c>
      <c r="BM47" s="83">
        <f>SUMIFS('Dataset 1'!$E$7:$E$2506,'Dataset 1'!$B$7:$B$2506,"&lt;="&amp;$A47,'Dataset 1'!$J$7:$J$2506,BM$5)</f>
        <v>17160</v>
      </c>
      <c r="BN47" s="83">
        <f>SUMIFS('Dataset 1'!$E$7:$E$2506,'Dataset 1'!$B$7:$B$2506,"&lt;="&amp;$A47,'Dataset 1'!$J$7:$J$2506,BN$5)</f>
        <v>520</v>
      </c>
      <c r="BO47" s="83">
        <f>SUMIFS('Dataset 1'!$E$7:$E$2506,'Dataset 1'!$B$7:$B$2506,"&lt;="&amp;$A47,'Dataset 1'!$J$7:$J$2506,BO$5)</f>
        <v>2790</v>
      </c>
      <c r="BP47" s="83">
        <f>SUMIFS('Dataset 1'!$E$7:$E$2506,'Dataset 1'!$B$7:$B$2506,"&lt;="&amp;$A47,'Dataset 1'!$J$7:$J$2506,BP$5)</f>
        <v>150</v>
      </c>
      <c r="BQ47" s="83">
        <f>SUMIFS('Dataset 1'!$E$7:$E$2506,'Dataset 1'!$B$7:$B$2506,"&lt;="&amp;$A47,'Dataset 1'!$J$7:$J$2506,BQ$5)</f>
        <v>100</v>
      </c>
      <c r="BR47" s="83">
        <f>SUMIFS('Dataset 1'!$E$7:$E$2506,'Dataset 1'!$B$7:$B$2506,"&lt;="&amp;$A47,'Dataset 1'!$J$7:$J$2506,BR$5)</f>
        <v>24470</v>
      </c>
      <c r="BS47" s="83">
        <f>SUMIFS('Dataset 1'!$E$7:$E$2506,'Dataset 1'!$B$7:$B$2506,"&lt;="&amp;$A47,'Dataset 1'!$J$7:$J$2506,BS$5)</f>
        <v>110</v>
      </c>
      <c r="BT47" s="83">
        <f>SUMIFS('Dataset 1'!$E$7:$E$2506,'Dataset 1'!$B$7:$B$2506,"&lt;="&amp;$A47,'Dataset 1'!$J$7:$J$2506,BT$5)</f>
        <v>260</v>
      </c>
      <c r="BU47" s="83">
        <f>SUMIFS('Dataset 1'!$E$7:$E$2506,'Dataset 1'!$B$7:$B$2506,"&lt;="&amp;$A47,'Dataset 1'!$J$7:$J$2506,BU$5)</f>
        <v>440</v>
      </c>
      <c r="BV47" s="83">
        <f>SUMIFS('Dataset 1'!$E$7:$E$2506,'Dataset 1'!$B$7:$B$2506,"&lt;="&amp;$A47,'Dataset 1'!$J$7:$J$2506,BV$5)</f>
        <v>740</v>
      </c>
      <c r="BW47" s="83">
        <f>SUMIFS('Dataset 1'!$E$7:$E$2506,'Dataset 1'!$B$7:$B$2506,"&lt;="&amp;$A47,'Dataset 1'!$J$7:$J$2506,BW$5)</f>
        <v>5740</v>
      </c>
      <c r="BX47" s="83">
        <f>SUMIFS('Dataset 1'!$E$7:$E$2506,'Dataset 1'!$B$7:$B$2506,"&lt;="&amp;$A47,'Dataset 1'!$J$7:$J$2506,BX$5)</f>
        <v>4660</v>
      </c>
      <c r="BY47" s="83">
        <f>SUMIFS('Dataset 1'!$E$7:$E$2506,'Dataset 1'!$B$7:$B$2506,"&lt;="&amp;$A47,'Dataset 1'!$J$7:$J$2506,BY$5)</f>
        <v>100</v>
      </c>
      <c r="BZ47" s="83">
        <f>SUMIFS('Dataset 1'!$E$7:$E$2506,'Dataset 1'!$B$7:$B$2506,"&lt;="&amp;$A47,'Dataset 1'!$J$7:$J$2506,BZ$5)</f>
        <v>690</v>
      </c>
      <c r="CA47" s="83">
        <f>SUMIFS('Dataset 1'!$E$7:$E$2506,'Dataset 1'!$B$7:$B$2506,"&lt;="&amp;$A47,'Dataset 1'!$J$7:$J$2506,CA$5)</f>
        <v>4920</v>
      </c>
      <c r="CB47" s="83">
        <f>SUMIFS('Dataset 1'!$E$7:$E$2506,'Dataset 1'!$B$7:$B$2506,"&lt;="&amp;$A47,'Dataset 1'!$J$7:$J$2506,CB$5)</f>
        <v>7090</v>
      </c>
      <c r="CC47" s="83">
        <f>SUMIFS('Dataset 1'!$E$7:$E$2506,'Dataset 1'!$B$7:$B$2506,"&lt;="&amp;$A47,'Dataset 1'!$J$7:$J$2506,CC$5)</f>
        <v>3710</v>
      </c>
      <c r="CD47" s="83">
        <f>SUMIFS('Dataset 1'!$E$7:$E$2506,'Dataset 1'!$B$7:$B$2506,"&lt;="&amp;$A47,'Dataset 1'!$J$7:$J$2506,CD$5)</f>
        <v>1120</v>
      </c>
      <c r="CE47" s="83">
        <f>SUMIFS('Dataset 1'!$E$7:$E$2506,'Dataset 1'!$B$7:$B$2506,"&lt;="&amp;$A47,'Dataset 1'!$J$7:$J$2506,CE$5)</f>
        <v>21570</v>
      </c>
      <c r="CF47" s="83">
        <f>SUMIFS('Dataset 1'!$E$7:$E$2506,'Dataset 1'!$B$7:$B$2506,"&lt;="&amp;$A47,'Dataset 1'!$J$7:$J$2506,CF$5)</f>
        <v>3690</v>
      </c>
      <c r="CG47" s="83">
        <f>SUMIFS('Dataset 1'!$E$7:$E$2506,'Dataset 1'!$B$7:$B$2506,"&lt;="&amp;$A47,'Dataset 1'!$J$7:$J$2506,CG$5)</f>
        <v>300</v>
      </c>
      <c r="CH47" s="83">
        <f>SUMIFS('Dataset 1'!$E$7:$E$2506,'Dataset 1'!$B$7:$B$2506,"&lt;="&amp;$A47,'Dataset 1'!$J$7:$J$2506,CH$5)</f>
        <v>5570</v>
      </c>
      <c r="CI47" s="83">
        <f>SUMIFS('Dataset 1'!$E$7:$E$2506,'Dataset 1'!$B$7:$B$2506,"&lt;="&amp;$A47,'Dataset 1'!$J$7:$J$2506,CI$5)</f>
        <v>7270</v>
      </c>
      <c r="CJ47" s="83">
        <f>SUMIFS('Dataset 1'!$E$7:$E$2506,'Dataset 1'!$B$7:$B$2506,"&lt;="&amp;$A47,'Dataset 1'!$J$7:$J$2506,CJ$5)</f>
        <v>2000</v>
      </c>
      <c r="CK47" s="83">
        <f>SUMIFS('Dataset 1'!$E$7:$E$2506,'Dataset 1'!$B$7:$B$2506,"&lt;="&amp;$A47,'Dataset 1'!$J$7:$J$2506,CK$5)</f>
        <v>8050</v>
      </c>
      <c r="CL47" s="83">
        <f>SUMIFS('Dataset 1'!$E$7:$E$2506,'Dataset 1'!$B$7:$B$2506,"&lt;="&amp;$A47,'Dataset 1'!$J$7:$J$2506,CL$5)</f>
        <v>2200</v>
      </c>
      <c r="CM47" s="83">
        <f>SUMIFS('Dataset 1'!$E$7:$E$2506,'Dataset 1'!$B$7:$B$2506,"&lt;="&amp;$A47,'Dataset 1'!$J$7:$J$2506,CM$5)</f>
        <v>16560</v>
      </c>
      <c r="CN47" s="83">
        <f>SUMIFS('Dataset 1'!$E$7:$E$2506,'Dataset 1'!$B$7:$B$2506,"&lt;="&amp;$A47,'Dataset 1'!$J$7:$J$2506,CN$5)</f>
        <v>310</v>
      </c>
      <c r="CO47" s="83">
        <f>SUMIFS('Dataset 1'!$E$7:$E$2506,'Dataset 1'!$B$7:$B$2506,"&lt;="&amp;$A47,'Dataset 1'!$J$7:$J$2506,CO$5)</f>
        <v>2060</v>
      </c>
      <c r="CP47" s="83">
        <f>SUMIFS('Dataset 1'!$E$7:$E$2506,'Dataset 1'!$B$7:$B$2506,"&lt;="&amp;$A47,'Dataset 1'!$J$7:$J$2506,CP$5)</f>
        <v>27980</v>
      </c>
      <c r="CQ47" s="83">
        <f>SUMIFS('Dataset 1'!$E$7:$E$2506,'Dataset 1'!$B$7:$B$2506,"&lt;="&amp;$A47,'Dataset 1'!$J$7:$J$2506,CQ$5)</f>
        <v>3330</v>
      </c>
      <c r="CR47" s="83">
        <f>SUMIFS('Dataset 1'!$E$7:$E$2506,'Dataset 1'!$B$7:$B$2506,"&lt;="&amp;$A47,'Dataset 1'!$J$7:$J$2506,CR$5)</f>
        <v>2610</v>
      </c>
      <c r="CS47" s="83">
        <f>SUMIFS('Dataset 1'!$E$7:$E$2506,'Dataset 1'!$B$7:$B$2506,"&lt;="&amp;$A47,'Dataset 1'!$J$7:$J$2506,CS$5)</f>
        <v>9580</v>
      </c>
      <c r="CT47" s="83">
        <f>SUMIFS('Dataset 1'!$E$7:$E$2506,'Dataset 1'!$B$7:$B$2506,"&lt;="&amp;$A47,'Dataset 1'!$J$7:$J$2506,CT$5)</f>
        <v>1050</v>
      </c>
      <c r="CU47" s="83">
        <f>SUMIFS('Dataset 1'!$E$7:$E$2506,'Dataset 1'!$B$7:$B$2506,"&lt;="&amp;$A47,'Dataset 1'!$J$7:$J$2506,CU$5)</f>
        <v>34250</v>
      </c>
      <c r="CV47" s="83">
        <f>SUMIFS('Dataset 1'!$E$7:$E$2506,'Dataset 1'!$B$7:$B$2506,"&lt;="&amp;$A47,'Dataset 1'!$J$7:$J$2506,CV$5)</f>
        <v>120</v>
      </c>
      <c r="CW47" s="83">
        <f>SUMIFS('Dataset 1'!$E$7:$E$2506,'Dataset 1'!$B$7:$B$2506,"&lt;="&amp;$A47,'Dataset 1'!$J$7:$J$2506,CW$5)</f>
        <v>110</v>
      </c>
      <c r="CX47" s="83">
        <f>SUMIFS('Dataset 1'!$E$7:$E$2506,'Dataset 1'!$B$7:$B$2506,"&lt;="&amp;$A47,'Dataset 1'!$J$7:$J$2506,CX$5)</f>
        <v>270</v>
      </c>
      <c r="CY47" s="83">
        <f>SUMIFS('Dataset 1'!$E$7:$E$2506,'Dataset 1'!$B$7:$B$2506,"&lt;="&amp;$A47,'Dataset 1'!$J$7:$J$2506,CY$5)</f>
        <v>13930</v>
      </c>
      <c r="CZ47" s="83">
        <f>SUMIFS('Dataset 1'!$E$7:$E$2506,'Dataset 1'!$B$7:$B$2506,"&lt;="&amp;$A47,'Dataset 1'!$J$7:$J$2506,CZ$5)</f>
        <v>5510</v>
      </c>
      <c r="DA47" s="83">
        <f>SUMIFS('Dataset 1'!$E$7:$E$2506,'Dataset 1'!$B$7:$B$2506,"&lt;="&amp;$A47,'Dataset 1'!$J$7:$J$2506,DA$5)</f>
        <v>3850</v>
      </c>
      <c r="DB47" s="83">
        <f>SUMIFS('Dataset 1'!$E$7:$E$2506,'Dataset 1'!$B$7:$B$2506,"&lt;="&amp;$A47,'Dataset 1'!$J$7:$J$2506,DB$5)</f>
        <v>44310</v>
      </c>
      <c r="DC47" s="83">
        <f>SUMIFS('Dataset 1'!$E$7:$E$2506,'Dataset 1'!$B$7:$B$2506,"&lt;="&amp;$A47,'Dataset 1'!$J$7:$J$2506,DC$5)</f>
        <v>130</v>
      </c>
      <c r="DD47" s="83">
        <f>SUMIFS('Dataset 1'!$E$7:$E$2506,'Dataset 1'!$B$7:$B$2506,"&lt;="&amp;$A47,'Dataset 1'!$J$7:$J$2506,DD$5)</f>
        <v>1390</v>
      </c>
      <c r="DE47" s="83">
        <f>SUMIFS('Dataset 1'!$E$7:$E$2506,'Dataset 1'!$B$7:$B$2506,"&lt;="&amp;$A47,'Dataset 1'!$J$7:$J$2506,DE$5)</f>
        <v>200</v>
      </c>
      <c r="DF47" s="83">
        <f>SUMIFS('Dataset 1'!$E$7:$E$2506,'Dataset 1'!$B$7:$B$2506,"&lt;="&amp;$A47,'Dataset 1'!$J$7:$J$2506,DF$5)</f>
        <v>11590</v>
      </c>
      <c r="DG47" s="83">
        <f>SUMIFS('Dataset 1'!$E$7:$E$2506,'Dataset 1'!$B$7:$B$2506,"&lt;="&amp;$A47,'Dataset 1'!$J$7:$J$2506,DG$5)</f>
        <v>14090</v>
      </c>
      <c r="DH47" s="83">
        <f>SUMIFS('Dataset 1'!$E$7:$E$2506,'Dataset 1'!$B$7:$B$2506,"&lt;="&amp;$A47,'Dataset 1'!$J$7:$J$2506,DH$5)</f>
        <v>10540</v>
      </c>
      <c r="DI47" s="83">
        <f>SUMIFS('Dataset 1'!$E$7:$E$2506,'Dataset 1'!$B$7:$B$2506,"&lt;="&amp;$A47,'Dataset 1'!$J$7:$J$2506,DI$5)</f>
        <v>4300</v>
      </c>
      <c r="DJ47" s="83">
        <f>SUMIFS('Dataset 1'!$E$7:$E$2506,'Dataset 1'!$B$7:$B$2506,"&lt;="&amp;$A47,'Dataset 1'!$J$7:$J$2506,DJ$5)</f>
        <v>260</v>
      </c>
      <c r="DK47" s="83">
        <f>SUMIFS('Dataset 1'!$E$7:$E$2506,'Dataset 1'!$B$7:$B$2506,"&lt;="&amp;$A47,'Dataset 1'!$J$7:$J$2506,DK$5)</f>
        <v>360</v>
      </c>
      <c r="DL47" s="83">
        <f>SUMIFS('Dataset 1'!$E$7:$E$2506,'Dataset 1'!$B$7:$B$2506,"&lt;="&amp;$A47,'Dataset 1'!$J$7:$J$2506,DL$5)</f>
        <v>16140</v>
      </c>
      <c r="DM47" s="83">
        <f>SUMIFS('Dataset 1'!$E$7:$E$2506,'Dataset 1'!$B$7:$B$2506,"&lt;="&amp;$A47,'Dataset 1'!$J$7:$J$2506,DM$5)</f>
        <v>62060</v>
      </c>
      <c r="DN47" s="83">
        <f>SUMIFS('Dataset 1'!$E$7:$E$2506,'Dataset 1'!$B$7:$B$2506,"&lt;="&amp;$A47,'Dataset 1'!$J$7:$J$2506,DN$5)</f>
        <v>3760</v>
      </c>
      <c r="DO47" s="83">
        <f>SUMIFS('Dataset 1'!$E$7:$E$2506,'Dataset 1'!$B$7:$B$2506,"&lt;="&amp;$A47,'Dataset 1'!$J$7:$J$2506,DO$5)</f>
        <v>1220</v>
      </c>
      <c r="DP47" s="83">
        <f>SUMIFS('Dataset 1'!$E$7:$E$2506,'Dataset 1'!$B$7:$B$2506,"&lt;="&amp;$A47,'Dataset 1'!$J$7:$J$2506,DP$5)</f>
        <v>1000</v>
      </c>
      <c r="DQ47" s="83">
        <f>SUMIFS('Dataset 1'!$E$7:$E$2506,'Dataset 1'!$B$7:$B$2506,"&lt;="&amp;$A47,'Dataset 1'!$J$7:$J$2506,DQ$5)</f>
        <v>1470</v>
      </c>
      <c r="DR47" s="83">
        <f>SUMIFS('Dataset 1'!$E$7:$E$2506,'Dataset 1'!$B$7:$B$2506,"&lt;="&amp;$A47,'Dataset 1'!$J$7:$J$2506,DR$5)</f>
        <v>8090</v>
      </c>
      <c r="DS47" s="83">
        <f>SUMIFS('Dataset 1'!$E$7:$E$2506,'Dataset 1'!$B$7:$B$2506,"&lt;="&amp;$A47,'Dataset 1'!$J$7:$J$2506,DS$5)</f>
        <v>190</v>
      </c>
      <c r="DT47" s="83">
        <f>SUMIFS('Dataset 1'!$E$7:$E$2506,'Dataset 1'!$B$7:$B$2506,"&lt;="&amp;$A47,'Dataset 1'!$J$7:$J$2506,DT$5)</f>
        <v>1170</v>
      </c>
      <c r="DU47" s="83">
        <f>SUMIFS('Dataset 1'!$E$7:$E$2506,'Dataset 1'!$B$7:$B$2506,"&lt;="&amp;$A47,'Dataset 1'!$J$7:$J$2506,DU$5)</f>
        <v>0</v>
      </c>
      <c r="DV47" s="83">
        <f>SUMIFS('Dataset 1'!$E$7:$E$2506,'Dataset 1'!$B$7:$B$2506,"&lt;="&amp;$A47,'Dataset 1'!$J$7:$J$2506,DV$5)</f>
        <v>6360</v>
      </c>
      <c r="DW47" s="83">
        <f>SUMIFS('Dataset 1'!$E$7:$E$2506,'Dataset 1'!$B$7:$B$2506,"&lt;="&amp;$A47,'Dataset 1'!$J$7:$J$2506,DW$5)</f>
        <v>1790</v>
      </c>
      <c r="DX47" s="83">
        <f>SUMIFS('Dataset 1'!$E$7:$E$2506,'Dataset 1'!$B$7:$B$2506,"&lt;="&amp;$A47,'Dataset 1'!$J$7:$J$2506,DX$5)</f>
        <v>8160</v>
      </c>
      <c r="DY47" s="83">
        <f>SUMIFS('Dataset 1'!$E$7:$E$2506,'Dataset 1'!$B$7:$B$2506,"&lt;="&amp;$A47,'Dataset 1'!$J$7:$J$2506,DY$5)</f>
        <v>199170</v>
      </c>
      <c r="DZ47" s="83">
        <f>SUMIFS('Dataset 1'!$E$7:$E$2506,'Dataset 1'!$B$7:$B$2506,"&lt;="&amp;$A47,'Dataset 1'!$J$7:$J$2506,DZ$5)</f>
        <v>3320</v>
      </c>
      <c r="EA47" s="83">
        <f>SUMIFS('Dataset 1'!$E$7:$E$2506,'Dataset 1'!$B$7:$B$2506,"&lt;="&amp;$A47,'Dataset 1'!$J$7:$J$2506,EA$5)</f>
        <v>180</v>
      </c>
      <c r="EB47" s="83">
        <f>SUMIFS('Dataset 1'!$E$7:$E$2506,'Dataset 1'!$B$7:$B$2506,"&lt;="&amp;$A47,'Dataset 1'!$J$7:$J$2506,EB$5)</f>
        <v>2460</v>
      </c>
      <c r="EC47" s="83">
        <f>SUMIFS('Dataset 1'!$E$7:$E$2506,'Dataset 1'!$B$7:$B$2506,"&lt;="&amp;$A47,'Dataset 1'!$J$7:$J$2506,EC$5)</f>
        <v>4570</v>
      </c>
      <c r="ED47" s="83">
        <f>SUMIFS('Dataset 1'!$E$7:$E$2506,'Dataset 1'!$B$7:$B$2506,"&lt;="&amp;$A47,'Dataset 1'!$J$7:$J$2506,ED$5)</f>
        <v>12260</v>
      </c>
      <c r="EE47" s="83">
        <f>SUMIFS('Dataset 1'!$E$7:$E$2506,'Dataset 1'!$B$7:$B$2506,"&lt;="&amp;$A47,'Dataset 1'!$J$7:$J$2506,EE$5)</f>
        <v>470</v>
      </c>
      <c r="EF47" s="83">
        <f>SUMIFS('Dataset 1'!$E$7:$E$2506,'Dataset 1'!$B$7:$B$2506,"&lt;="&amp;$A47,'Dataset 1'!$J$7:$J$2506,EF$5)</f>
        <v>4110</v>
      </c>
      <c r="EG47" s="83">
        <f>SUMIFS('Dataset 1'!$E$7:$E$2506,'Dataset 1'!$B$7:$B$2506,"&lt;="&amp;$A47,'Dataset 1'!$J$7:$J$2506,EG$5)</f>
        <v>4350</v>
      </c>
    </row>
    <row r="48" spans="1:137" x14ac:dyDescent="0.2">
      <c r="A48">
        <v>2024</v>
      </c>
      <c r="B48" s="83">
        <f>SUMIFS('Dataset 1'!$E$7:$E$2506,'Dataset 1'!$B$7:$B$2506,"&lt;="&amp;$A48,'Dataset 1'!$J$7:$J$2506,B$5)</f>
        <v>3070</v>
      </c>
      <c r="C48" s="83">
        <f>SUMIFS('Dataset 1'!$E$7:$E$2506,'Dataset 1'!$B$7:$B$2506,"&lt;="&amp;$A48,'Dataset 1'!$J$7:$J$2506,C$5)</f>
        <v>430</v>
      </c>
      <c r="D48" s="83">
        <f>SUMIFS('Dataset 1'!$E$7:$E$2506,'Dataset 1'!$B$7:$B$2506,"&lt;="&amp;$A48,'Dataset 1'!$J$7:$J$2506,D$5)</f>
        <v>5520</v>
      </c>
      <c r="E48" s="83">
        <f>SUMIFS('Dataset 1'!$E$7:$E$2506,'Dataset 1'!$B$7:$B$2506,"&lt;="&amp;$A48,'Dataset 1'!$J$7:$J$2506,E$5)</f>
        <v>740</v>
      </c>
      <c r="F48" s="83">
        <f>SUMIFS('Dataset 1'!$E$7:$E$2506,'Dataset 1'!$B$7:$B$2506,"&lt;="&amp;$A48,'Dataset 1'!$J$7:$J$2506,F$5)</f>
        <v>13150</v>
      </c>
      <c r="G48" s="83">
        <f>SUMIFS('Dataset 1'!$E$7:$E$2506,'Dataset 1'!$B$7:$B$2506,"&lt;="&amp;$A48,'Dataset 1'!$J$7:$J$2506,G$5)</f>
        <v>107500</v>
      </c>
      <c r="H48" s="83">
        <f>SUMIFS('Dataset 1'!$E$7:$E$2506,'Dataset 1'!$B$7:$B$2506,"&lt;="&amp;$A48,'Dataset 1'!$J$7:$J$2506,H$5)</f>
        <v>1110</v>
      </c>
      <c r="I48" s="83">
        <f>SUMIFS('Dataset 1'!$E$7:$E$2506,'Dataset 1'!$B$7:$B$2506,"&lt;="&amp;$A48,'Dataset 1'!$J$7:$J$2506,I$5)</f>
        <v>270</v>
      </c>
      <c r="J48" s="83">
        <f>SUMIFS('Dataset 1'!$E$7:$E$2506,'Dataset 1'!$B$7:$B$2506,"&lt;="&amp;$A48,'Dataset 1'!$J$7:$J$2506,J$5)</f>
        <v>350</v>
      </c>
      <c r="K48" s="83">
        <f>SUMIFS('Dataset 1'!$E$7:$E$2506,'Dataset 1'!$B$7:$B$2506,"&lt;="&amp;$A48,'Dataset 1'!$J$7:$J$2506,K$5)</f>
        <v>7740</v>
      </c>
      <c r="L48" s="83">
        <f>SUMIFS('Dataset 1'!$E$7:$E$2506,'Dataset 1'!$B$7:$B$2506,"&lt;="&amp;$A48,'Dataset 1'!$J$7:$J$2506,L$5)</f>
        <v>400</v>
      </c>
      <c r="M48" s="83">
        <f>SUMIFS('Dataset 1'!$E$7:$E$2506,'Dataset 1'!$B$7:$B$2506,"&lt;="&amp;$A48,'Dataset 1'!$J$7:$J$2506,M$5)</f>
        <v>5830</v>
      </c>
      <c r="N48" s="83">
        <f>SUMIFS('Dataset 1'!$E$7:$E$2506,'Dataset 1'!$B$7:$B$2506,"&lt;="&amp;$A48,'Dataset 1'!$J$7:$J$2506,N$5)</f>
        <v>400</v>
      </c>
      <c r="O48" s="83">
        <f>SUMIFS('Dataset 1'!$E$7:$E$2506,'Dataset 1'!$B$7:$B$2506,"&lt;="&amp;$A48,'Dataset 1'!$J$7:$J$2506,O$5)</f>
        <v>610</v>
      </c>
      <c r="P48" s="83">
        <f>SUMIFS('Dataset 1'!$E$7:$E$2506,'Dataset 1'!$B$7:$B$2506,"&lt;="&amp;$A48,'Dataset 1'!$J$7:$J$2506,P$5)</f>
        <v>2040</v>
      </c>
      <c r="Q48" s="83">
        <f>SUMIFS('Dataset 1'!$E$7:$E$2506,'Dataset 1'!$B$7:$B$2506,"&lt;="&amp;$A48,'Dataset 1'!$J$7:$J$2506,Q$5)</f>
        <v>71850</v>
      </c>
      <c r="R48" s="83">
        <f>SUMIFS('Dataset 1'!$E$7:$E$2506,'Dataset 1'!$B$7:$B$2506,"&lt;="&amp;$A48,'Dataset 1'!$J$7:$J$2506,R$5)</f>
        <v>106950</v>
      </c>
      <c r="S48" s="83">
        <f>SUMIFS('Dataset 1'!$E$7:$E$2506,'Dataset 1'!$B$7:$B$2506,"&lt;="&amp;$A48,'Dataset 1'!$J$7:$J$2506,S$5)</f>
        <v>3590</v>
      </c>
      <c r="T48" s="83">
        <f>SUMIFS('Dataset 1'!$E$7:$E$2506,'Dataset 1'!$B$7:$B$2506,"&lt;="&amp;$A48,'Dataset 1'!$J$7:$J$2506,T$5)</f>
        <v>440</v>
      </c>
      <c r="U48" s="83">
        <f>SUMIFS('Dataset 1'!$E$7:$E$2506,'Dataset 1'!$B$7:$B$2506,"&lt;="&amp;$A48,'Dataset 1'!$J$7:$J$2506,U$5)</f>
        <v>13780</v>
      </c>
      <c r="V48" s="83">
        <f>SUMIFS('Dataset 1'!$E$7:$E$2506,'Dataset 1'!$B$7:$B$2506,"&lt;="&amp;$A48,'Dataset 1'!$J$7:$J$2506,V$5)</f>
        <v>2580</v>
      </c>
      <c r="W48" s="83">
        <f>SUMIFS('Dataset 1'!$E$7:$E$2506,'Dataset 1'!$B$7:$B$2506,"&lt;="&amp;$A48,'Dataset 1'!$J$7:$J$2506,W$5)</f>
        <v>57090</v>
      </c>
      <c r="X48" s="83">
        <f>SUMIFS('Dataset 1'!$E$7:$E$2506,'Dataset 1'!$B$7:$B$2506,"&lt;="&amp;$A48,'Dataset 1'!$J$7:$J$2506,X$5)</f>
        <v>1630</v>
      </c>
      <c r="Y48" s="83">
        <f>SUMIFS('Dataset 1'!$E$7:$E$2506,'Dataset 1'!$B$7:$B$2506,"&lt;="&amp;$A48,'Dataset 1'!$J$7:$J$2506,Y$5)</f>
        <v>17430</v>
      </c>
      <c r="Z48" s="83">
        <f>SUMIFS('Dataset 1'!$E$7:$E$2506,'Dataset 1'!$B$7:$B$2506,"&lt;="&amp;$A48,'Dataset 1'!$J$7:$J$2506,Z$5)</f>
        <v>8210</v>
      </c>
      <c r="AA48" s="83">
        <f>SUMIFS('Dataset 1'!$E$7:$E$2506,'Dataset 1'!$B$7:$B$2506,"&lt;="&amp;$A48,'Dataset 1'!$J$7:$J$2506,AA$5)</f>
        <v>2610</v>
      </c>
      <c r="AB48" s="83">
        <f>SUMIFS('Dataset 1'!$E$7:$E$2506,'Dataset 1'!$B$7:$B$2506,"&lt;="&amp;$A48,'Dataset 1'!$J$7:$J$2506,AB$5)</f>
        <v>220</v>
      </c>
      <c r="AC48" s="83">
        <f>SUMIFS('Dataset 1'!$E$7:$E$2506,'Dataset 1'!$B$7:$B$2506,"&lt;="&amp;$A48,'Dataset 1'!$J$7:$J$2506,AC$5)</f>
        <v>500</v>
      </c>
      <c r="AD48" s="83">
        <f>SUMIFS('Dataset 1'!$E$7:$E$2506,'Dataset 1'!$B$7:$B$2506,"&lt;="&amp;$A48,'Dataset 1'!$J$7:$J$2506,AD$5)</f>
        <v>1200</v>
      </c>
      <c r="AE48" s="83">
        <f>SUMIFS('Dataset 1'!$E$7:$E$2506,'Dataset 1'!$B$7:$B$2506,"&lt;="&amp;$A48,'Dataset 1'!$J$7:$J$2506,AE$5)</f>
        <v>860</v>
      </c>
      <c r="AF48" s="83">
        <f>SUMIFS('Dataset 1'!$E$7:$E$2506,'Dataset 1'!$B$7:$B$2506,"&lt;="&amp;$A48,'Dataset 1'!$J$7:$J$2506,AF$5)</f>
        <v>18210</v>
      </c>
      <c r="AG48" s="83">
        <f>SUMIFS('Dataset 1'!$E$7:$E$2506,'Dataset 1'!$B$7:$B$2506,"&lt;="&amp;$A48,'Dataset 1'!$J$7:$J$2506,AG$5)</f>
        <v>840</v>
      </c>
      <c r="AH48" s="83">
        <f>SUMIFS('Dataset 1'!$E$7:$E$2506,'Dataset 1'!$B$7:$B$2506,"&lt;="&amp;$A48,'Dataset 1'!$J$7:$J$2506,AH$5)</f>
        <v>700</v>
      </c>
      <c r="AI48" s="83">
        <f>SUMIFS('Dataset 1'!$E$7:$E$2506,'Dataset 1'!$B$7:$B$2506,"&lt;="&amp;$A48,'Dataset 1'!$J$7:$J$2506,AI$5)</f>
        <v>6370</v>
      </c>
      <c r="AJ48" s="83">
        <f>SUMIFS('Dataset 1'!$E$7:$E$2506,'Dataset 1'!$B$7:$B$2506,"&lt;="&amp;$A48,'Dataset 1'!$J$7:$J$2506,AJ$5)</f>
        <v>6820</v>
      </c>
      <c r="AK48" s="83">
        <f>SUMIFS('Dataset 1'!$E$7:$E$2506,'Dataset 1'!$B$7:$B$2506,"&lt;="&amp;$A48,'Dataset 1'!$J$7:$J$2506,AK$5)</f>
        <v>1070</v>
      </c>
      <c r="AL48" s="83">
        <f>SUMIFS('Dataset 1'!$E$7:$E$2506,'Dataset 1'!$B$7:$B$2506,"&lt;="&amp;$A48,'Dataset 1'!$J$7:$J$2506,AL$5)</f>
        <v>2140</v>
      </c>
      <c r="AM48" s="83">
        <f>SUMIFS('Dataset 1'!$E$7:$E$2506,'Dataset 1'!$B$7:$B$2506,"&lt;="&amp;$A48,'Dataset 1'!$J$7:$J$2506,AM$5)</f>
        <v>17350</v>
      </c>
      <c r="AN48" s="83">
        <f>SUMIFS('Dataset 1'!$E$7:$E$2506,'Dataset 1'!$B$7:$B$2506,"&lt;="&amp;$A48,'Dataset 1'!$J$7:$J$2506,AN$5)</f>
        <v>35070</v>
      </c>
      <c r="AO48" s="83">
        <f>SUMIFS('Dataset 1'!$E$7:$E$2506,'Dataset 1'!$B$7:$B$2506,"&lt;="&amp;$A48,'Dataset 1'!$J$7:$J$2506,AO$5)</f>
        <v>400</v>
      </c>
      <c r="AP48" s="83">
        <f>SUMIFS('Dataset 1'!$E$7:$E$2506,'Dataset 1'!$B$7:$B$2506,"&lt;="&amp;$A48,'Dataset 1'!$J$7:$J$2506,AP$5)</f>
        <v>370</v>
      </c>
      <c r="AQ48" s="83">
        <f>SUMIFS('Dataset 1'!$E$7:$E$2506,'Dataset 1'!$B$7:$B$2506,"&lt;="&amp;$A48,'Dataset 1'!$J$7:$J$2506,AQ$5)</f>
        <v>54160</v>
      </c>
      <c r="AR48" s="83">
        <f>SUMIFS('Dataset 1'!$E$7:$E$2506,'Dataset 1'!$B$7:$B$2506,"&lt;="&amp;$A48,'Dataset 1'!$J$7:$J$2506,AR$5)</f>
        <v>4650</v>
      </c>
      <c r="AS48" s="83">
        <f>SUMIFS('Dataset 1'!$E$7:$E$2506,'Dataset 1'!$B$7:$B$2506,"&lt;="&amp;$A48,'Dataset 1'!$J$7:$J$2506,AS$5)</f>
        <v>9660</v>
      </c>
      <c r="AT48" s="83">
        <f>SUMIFS('Dataset 1'!$E$7:$E$2506,'Dataset 1'!$B$7:$B$2506,"&lt;="&amp;$A48,'Dataset 1'!$J$7:$J$2506,AT$5)</f>
        <v>10790</v>
      </c>
      <c r="AU48" s="83">
        <f>SUMIFS('Dataset 1'!$E$7:$E$2506,'Dataset 1'!$B$7:$B$2506,"&lt;="&amp;$A48,'Dataset 1'!$J$7:$J$2506,AU$5)</f>
        <v>170</v>
      </c>
      <c r="AV48" s="83">
        <f>SUMIFS('Dataset 1'!$E$7:$E$2506,'Dataset 1'!$B$7:$B$2506,"&lt;="&amp;$A48,'Dataset 1'!$J$7:$J$2506,AV$5)</f>
        <v>10860</v>
      </c>
      <c r="AW48" s="83">
        <f>SUMIFS('Dataset 1'!$E$7:$E$2506,'Dataset 1'!$B$7:$B$2506,"&lt;="&amp;$A48,'Dataset 1'!$J$7:$J$2506,AW$5)</f>
        <v>13130</v>
      </c>
      <c r="AX48" s="83">
        <f>SUMIFS('Dataset 1'!$E$7:$E$2506,'Dataset 1'!$B$7:$B$2506,"&lt;="&amp;$A48,'Dataset 1'!$J$7:$J$2506,AX$5)</f>
        <v>16930</v>
      </c>
      <c r="AY48" s="83">
        <f>SUMIFS('Dataset 1'!$E$7:$E$2506,'Dataset 1'!$B$7:$B$2506,"&lt;="&amp;$A48,'Dataset 1'!$J$7:$J$2506,AY$5)</f>
        <v>46370</v>
      </c>
      <c r="AZ48" s="83">
        <f>SUMIFS('Dataset 1'!$E$7:$E$2506,'Dataset 1'!$B$7:$B$2506,"&lt;="&amp;$A48,'Dataset 1'!$J$7:$J$2506,AZ$5)</f>
        <v>4720</v>
      </c>
      <c r="BA48" s="83">
        <f>SUMIFS('Dataset 1'!$E$7:$E$2506,'Dataset 1'!$B$7:$B$2506,"&lt;="&amp;$A48,'Dataset 1'!$J$7:$J$2506,BA$5)</f>
        <v>14230</v>
      </c>
      <c r="BB48" s="83">
        <f>SUMIFS('Dataset 1'!$E$7:$E$2506,'Dataset 1'!$B$7:$B$2506,"&lt;="&amp;$A48,'Dataset 1'!$J$7:$J$2506,BB$5)</f>
        <v>8120</v>
      </c>
      <c r="BC48" s="83">
        <f>SUMIFS('Dataset 1'!$E$7:$E$2506,'Dataset 1'!$B$7:$B$2506,"&lt;="&amp;$A48,'Dataset 1'!$J$7:$J$2506,BC$5)</f>
        <v>12730</v>
      </c>
      <c r="BD48" s="83">
        <f>SUMIFS('Dataset 1'!$E$7:$E$2506,'Dataset 1'!$B$7:$B$2506,"&lt;="&amp;$A48,'Dataset 1'!$J$7:$J$2506,BD$5)</f>
        <v>24190</v>
      </c>
      <c r="BE48" s="83">
        <f>SUMIFS('Dataset 1'!$E$7:$E$2506,'Dataset 1'!$B$7:$B$2506,"&lt;="&amp;$A48,'Dataset 1'!$J$7:$J$2506,BE$5)</f>
        <v>790</v>
      </c>
      <c r="BF48" s="83">
        <f>SUMIFS('Dataset 1'!$E$7:$E$2506,'Dataset 1'!$B$7:$B$2506,"&lt;="&amp;$A48,'Dataset 1'!$J$7:$J$2506,BF$5)</f>
        <v>1170</v>
      </c>
      <c r="BG48" s="83">
        <f>SUMIFS('Dataset 1'!$E$7:$E$2506,'Dataset 1'!$B$7:$B$2506,"&lt;="&amp;$A48,'Dataset 1'!$J$7:$J$2506,BG$5)</f>
        <v>13840</v>
      </c>
      <c r="BH48" s="83">
        <f>SUMIFS('Dataset 1'!$E$7:$E$2506,'Dataset 1'!$B$7:$B$2506,"&lt;="&amp;$A48,'Dataset 1'!$J$7:$J$2506,BH$5)</f>
        <v>1960</v>
      </c>
      <c r="BI48" s="83">
        <f>SUMIFS('Dataset 1'!$E$7:$E$2506,'Dataset 1'!$B$7:$B$2506,"&lt;="&amp;$A48,'Dataset 1'!$J$7:$J$2506,BI$5)</f>
        <v>22750</v>
      </c>
      <c r="BJ48" s="83">
        <f>SUMIFS('Dataset 1'!$E$7:$E$2506,'Dataset 1'!$B$7:$B$2506,"&lt;="&amp;$A48,'Dataset 1'!$J$7:$J$2506,BJ$5)</f>
        <v>1520</v>
      </c>
      <c r="BK48" s="83">
        <f>SUMIFS('Dataset 1'!$E$7:$E$2506,'Dataset 1'!$B$7:$B$2506,"&lt;="&amp;$A48,'Dataset 1'!$J$7:$J$2506,BK$5)</f>
        <v>650</v>
      </c>
      <c r="BL48" s="83">
        <f>SUMIFS('Dataset 1'!$E$7:$E$2506,'Dataset 1'!$B$7:$B$2506,"&lt;="&amp;$A48,'Dataset 1'!$J$7:$J$2506,BL$5)</f>
        <v>1330</v>
      </c>
      <c r="BM48" s="83">
        <f>SUMIFS('Dataset 1'!$E$7:$E$2506,'Dataset 1'!$B$7:$B$2506,"&lt;="&amp;$A48,'Dataset 1'!$J$7:$J$2506,BM$5)</f>
        <v>17780</v>
      </c>
      <c r="BN48" s="83">
        <f>SUMIFS('Dataset 1'!$E$7:$E$2506,'Dataset 1'!$B$7:$B$2506,"&lt;="&amp;$A48,'Dataset 1'!$J$7:$J$2506,BN$5)</f>
        <v>520</v>
      </c>
      <c r="BO48" s="83">
        <f>SUMIFS('Dataset 1'!$E$7:$E$2506,'Dataset 1'!$B$7:$B$2506,"&lt;="&amp;$A48,'Dataset 1'!$J$7:$J$2506,BO$5)</f>
        <v>2790</v>
      </c>
      <c r="BP48" s="83">
        <f>SUMIFS('Dataset 1'!$E$7:$E$2506,'Dataset 1'!$B$7:$B$2506,"&lt;="&amp;$A48,'Dataset 1'!$J$7:$J$2506,BP$5)</f>
        <v>150</v>
      </c>
      <c r="BQ48" s="83">
        <f>SUMIFS('Dataset 1'!$E$7:$E$2506,'Dataset 1'!$B$7:$B$2506,"&lt;="&amp;$A48,'Dataset 1'!$J$7:$J$2506,BQ$5)</f>
        <v>100</v>
      </c>
      <c r="BR48" s="83">
        <f>SUMIFS('Dataset 1'!$E$7:$E$2506,'Dataset 1'!$B$7:$B$2506,"&lt;="&amp;$A48,'Dataset 1'!$J$7:$J$2506,BR$5)</f>
        <v>27060</v>
      </c>
      <c r="BS48" s="83">
        <f>SUMIFS('Dataset 1'!$E$7:$E$2506,'Dataset 1'!$B$7:$B$2506,"&lt;="&amp;$A48,'Dataset 1'!$J$7:$J$2506,BS$5)</f>
        <v>110</v>
      </c>
      <c r="BT48" s="83">
        <f>SUMIFS('Dataset 1'!$E$7:$E$2506,'Dataset 1'!$B$7:$B$2506,"&lt;="&amp;$A48,'Dataset 1'!$J$7:$J$2506,BT$5)</f>
        <v>600</v>
      </c>
      <c r="BU48" s="83">
        <f>SUMIFS('Dataset 1'!$E$7:$E$2506,'Dataset 1'!$B$7:$B$2506,"&lt;="&amp;$A48,'Dataset 1'!$J$7:$J$2506,BU$5)</f>
        <v>440</v>
      </c>
      <c r="BV48" s="83">
        <f>SUMIFS('Dataset 1'!$E$7:$E$2506,'Dataset 1'!$B$7:$B$2506,"&lt;="&amp;$A48,'Dataset 1'!$J$7:$J$2506,BV$5)</f>
        <v>740</v>
      </c>
      <c r="BW48" s="83">
        <f>SUMIFS('Dataset 1'!$E$7:$E$2506,'Dataset 1'!$B$7:$B$2506,"&lt;="&amp;$A48,'Dataset 1'!$J$7:$J$2506,BW$5)</f>
        <v>6500</v>
      </c>
      <c r="BX48" s="83">
        <f>SUMIFS('Dataset 1'!$E$7:$E$2506,'Dataset 1'!$B$7:$B$2506,"&lt;="&amp;$A48,'Dataset 1'!$J$7:$J$2506,BX$5)</f>
        <v>4660</v>
      </c>
      <c r="BY48" s="83">
        <f>SUMIFS('Dataset 1'!$E$7:$E$2506,'Dataset 1'!$B$7:$B$2506,"&lt;="&amp;$A48,'Dataset 1'!$J$7:$J$2506,BY$5)</f>
        <v>100</v>
      </c>
      <c r="BZ48" s="83">
        <f>SUMIFS('Dataset 1'!$E$7:$E$2506,'Dataset 1'!$B$7:$B$2506,"&lt;="&amp;$A48,'Dataset 1'!$J$7:$J$2506,BZ$5)</f>
        <v>2800</v>
      </c>
      <c r="CA48" s="83">
        <f>SUMIFS('Dataset 1'!$E$7:$E$2506,'Dataset 1'!$B$7:$B$2506,"&lt;="&amp;$A48,'Dataset 1'!$J$7:$J$2506,CA$5)</f>
        <v>4920</v>
      </c>
      <c r="CB48" s="83">
        <f>SUMIFS('Dataset 1'!$E$7:$E$2506,'Dataset 1'!$B$7:$B$2506,"&lt;="&amp;$A48,'Dataset 1'!$J$7:$J$2506,CB$5)</f>
        <v>7090</v>
      </c>
      <c r="CC48" s="83">
        <f>SUMIFS('Dataset 1'!$E$7:$E$2506,'Dataset 1'!$B$7:$B$2506,"&lt;="&amp;$A48,'Dataset 1'!$J$7:$J$2506,CC$5)</f>
        <v>3990</v>
      </c>
      <c r="CD48" s="83">
        <f>SUMIFS('Dataset 1'!$E$7:$E$2506,'Dataset 1'!$B$7:$B$2506,"&lt;="&amp;$A48,'Dataset 1'!$J$7:$J$2506,CD$5)</f>
        <v>1120</v>
      </c>
      <c r="CE48" s="83">
        <f>SUMIFS('Dataset 1'!$E$7:$E$2506,'Dataset 1'!$B$7:$B$2506,"&lt;="&amp;$A48,'Dataset 1'!$J$7:$J$2506,CE$5)</f>
        <v>21770</v>
      </c>
      <c r="CF48" s="83">
        <f>SUMIFS('Dataset 1'!$E$7:$E$2506,'Dataset 1'!$B$7:$B$2506,"&lt;="&amp;$A48,'Dataset 1'!$J$7:$J$2506,CF$5)</f>
        <v>3800</v>
      </c>
      <c r="CG48" s="83">
        <f>SUMIFS('Dataset 1'!$E$7:$E$2506,'Dataset 1'!$B$7:$B$2506,"&lt;="&amp;$A48,'Dataset 1'!$J$7:$J$2506,CG$5)</f>
        <v>300</v>
      </c>
      <c r="CH48" s="83">
        <f>SUMIFS('Dataset 1'!$E$7:$E$2506,'Dataset 1'!$B$7:$B$2506,"&lt;="&amp;$A48,'Dataset 1'!$J$7:$J$2506,CH$5)</f>
        <v>5570</v>
      </c>
      <c r="CI48" s="83">
        <f>SUMIFS('Dataset 1'!$E$7:$E$2506,'Dataset 1'!$B$7:$B$2506,"&lt;="&amp;$A48,'Dataset 1'!$J$7:$J$2506,CI$5)</f>
        <v>8110</v>
      </c>
      <c r="CJ48" s="83">
        <f>SUMIFS('Dataset 1'!$E$7:$E$2506,'Dataset 1'!$B$7:$B$2506,"&lt;="&amp;$A48,'Dataset 1'!$J$7:$J$2506,CJ$5)</f>
        <v>2000</v>
      </c>
      <c r="CK48" s="83">
        <f>SUMIFS('Dataset 1'!$E$7:$E$2506,'Dataset 1'!$B$7:$B$2506,"&lt;="&amp;$A48,'Dataset 1'!$J$7:$J$2506,CK$5)</f>
        <v>8050</v>
      </c>
      <c r="CL48" s="83">
        <f>SUMIFS('Dataset 1'!$E$7:$E$2506,'Dataset 1'!$B$7:$B$2506,"&lt;="&amp;$A48,'Dataset 1'!$J$7:$J$2506,CL$5)</f>
        <v>3160</v>
      </c>
      <c r="CM48" s="83">
        <f>SUMIFS('Dataset 1'!$E$7:$E$2506,'Dataset 1'!$B$7:$B$2506,"&lt;="&amp;$A48,'Dataset 1'!$J$7:$J$2506,CM$5)</f>
        <v>16560</v>
      </c>
      <c r="CN48" s="83">
        <f>SUMIFS('Dataset 1'!$E$7:$E$2506,'Dataset 1'!$B$7:$B$2506,"&lt;="&amp;$A48,'Dataset 1'!$J$7:$J$2506,CN$5)</f>
        <v>310</v>
      </c>
      <c r="CO48" s="83">
        <f>SUMIFS('Dataset 1'!$E$7:$E$2506,'Dataset 1'!$B$7:$B$2506,"&lt;="&amp;$A48,'Dataset 1'!$J$7:$J$2506,CO$5)</f>
        <v>2060</v>
      </c>
      <c r="CP48" s="83">
        <f>SUMIFS('Dataset 1'!$E$7:$E$2506,'Dataset 1'!$B$7:$B$2506,"&lt;="&amp;$A48,'Dataset 1'!$J$7:$J$2506,CP$5)</f>
        <v>28490</v>
      </c>
      <c r="CQ48" s="83">
        <f>SUMIFS('Dataset 1'!$E$7:$E$2506,'Dataset 1'!$B$7:$B$2506,"&lt;="&amp;$A48,'Dataset 1'!$J$7:$J$2506,CQ$5)</f>
        <v>4380</v>
      </c>
      <c r="CR48" s="83">
        <f>SUMIFS('Dataset 1'!$E$7:$E$2506,'Dataset 1'!$B$7:$B$2506,"&lt;="&amp;$A48,'Dataset 1'!$J$7:$J$2506,CR$5)</f>
        <v>2610</v>
      </c>
      <c r="CS48" s="83">
        <f>SUMIFS('Dataset 1'!$E$7:$E$2506,'Dataset 1'!$B$7:$B$2506,"&lt;="&amp;$A48,'Dataset 1'!$J$7:$J$2506,CS$5)</f>
        <v>9580</v>
      </c>
      <c r="CT48" s="83">
        <f>SUMIFS('Dataset 1'!$E$7:$E$2506,'Dataset 1'!$B$7:$B$2506,"&lt;="&amp;$A48,'Dataset 1'!$J$7:$J$2506,CT$5)</f>
        <v>1050</v>
      </c>
      <c r="CU48" s="83">
        <f>SUMIFS('Dataset 1'!$E$7:$E$2506,'Dataset 1'!$B$7:$B$2506,"&lt;="&amp;$A48,'Dataset 1'!$J$7:$J$2506,CU$5)</f>
        <v>34250</v>
      </c>
      <c r="CV48" s="83">
        <f>SUMIFS('Dataset 1'!$E$7:$E$2506,'Dataset 1'!$B$7:$B$2506,"&lt;="&amp;$A48,'Dataset 1'!$J$7:$J$2506,CV$5)</f>
        <v>120</v>
      </c>
      <c r="CW48" s="83">
        <f>SUMIFS('Dataset 1'!$E$7:$E$2506,'Dataset 1'!$B$7:$B$2506,"&lt;="&amp;$A48,'Dataset 1'!$J$7:$J$2506,CW$5)</f>
        <v>110</v>
      </c>
      <c r="CX48" s="83">
        <f>SUMIFS('Dataset 1'!$E$7:$E$2506,'Dataset 1'!$B$7:$B$2506,"&lt;="&amp;$A48,'Dataset 1'!$J$7:$J$2506,CX$5)</f>
        <v>270</v>
      </c>
      <c r="CY48" s="83">
        <f>SUMIFS('Dataset 1'!$E$7:$E$2506,'Dataset 1'!$B$7:$B$2506,"&lt;="&amp;$A48,'Dataset 1'!$J$7:$J$2506,CY$5)</f>
        <v>14840</v>
      </c>
      <c r="CZ48" s="83">
        <f>SUMIFS('Dataset 1'!$E$7:$E$2506,'Dataset 1'!$B$7:$B$2506,"&lt;="&amp;$A48,'Dataset 1'!$J$7:$J$2506,CZ$5)</f>
        <v>5820</v>
      </c>
      <c r="DA48" s="83">
        <f>SUMIFS('Dataset 1'!$E$7:$E$2506,'Dataset 1'!$B$7:$B$2506,"&lt;="&amp;$A48,'Dataset 1'!$J$7:$J$2506,DA$5)</f>
        <v>3850</v>
      </c>
      <c r="DB48" s="83">
        <f>SUMIFS('Dataset 1'!$E$7:$E$2506,'Dataset 1'!$B$7:$B$2506,"&lt;="&amp;$A48,'Dataset 1'!$J$7:$J$2506,DB$5)</f>
        <v>45450</v>
      </c>
      <c r="DC48" s="83">
        <f>SUMIFS('Dataset 1'!$E$7:$E$2506,'Dataset 1'!$B$7:$B$2506,"&lt;="&amp;$A48,'Dataset 1'!$J$7:$J$2506,DC$5)</f>
        <v>1860</v>
      </c>
      <c r="DD48" s="83">
        <f>SUMIFS('Dataset 1'!$E$7:$E$2506,'Dataset 1'!$B$7:$B$2506,"&lt;="&amp;$A48,'Dataset 1'!$J$7:$J$2506,DD$5)</f>
        <v>1390</v>
      </c>
      <c r="DE48" s="83">
        <f>SUMIFS('Dataset 1'!$E$7:$E$2506,'Dataset 1'!$B$7:$B$2506,"&lt;="&amp;$A48,'Dataset 1'!$J$7:$J$2506,DE$5)</f>
        <v>200</v>
      </c>
      <c r="DF48" s="83">
        <f>SUMIFS('Dataset 1'!$E$7:$E$2506,'Dataset 1'!$B$7:$B$2506,"&lt;="&amp;$A48,'Dataset 1'!$J$7:$J$2506,DF$5)</f>
        <v>11730</v>
      </c>
      <c r="DG48" s="83">
        <f>SUMIFS('Dataset 1'!$E$7:$E$2506,'Dataset 1'!$B$7:$B$2506,"&lt;="&amp;$A48,'Dataset 1'!$J$7:$J$2506,DG$5)</f>
        <v>14710</v>
      </c>
      <c r="DH48" s="83">
        <f>SUMIFS('Dataset 1'!$E$7:$E$2506,'Dataset 1'!$B$7:$B$2506,"&lt;="&amp;$A48,'Dataset 1'!$J$7:$J$2506,DH$5)</f>
        <v>11500</v>
      </c>
      <c r="DI48" s="83">
        <f>SUMIFS('Dataset 1'!$E$7:$E$2506,'Dataset 1'!$B$7:$B$2506,"&lt;="&amp;$A48,'Dataset 1'!$J$7:$J$2506,DI$5)</f>
        <v>4300</v>
      </c>
      <c r="DJ48" s="83">
        <f>SUMIFS('Dataset 1'!$E$7:$E$2506,'Dataset 1'!$B$7:$B$2506,"&lt;="&amp;$A48,'Dataset 1'!$J$7:$J$2506,DJ$5)</f>
        <v>260</v>
      </c>
      <c r="DK48" s="83">
        <f>SUMIFS('Dataset 1'!$E$7:$E$2506,'Dataset 1'!$B$7:$B$2506,"&lt;="&amp;$A48,'Dataset 1'!$J$7:$J$2506,DK$5)</f>
        <v>360</v>
      </c>
      <c r="DL48" s="83">
        <f>SUMIFS('Dataset 1'!$E$7:$E$2506,'Dataset 1'!$B$7:$B$2506,"&lt;="&amp;$A48,'Dataset 1'!$J$7:$J$2506,DL$5)</f>
        <v>16140</v>
      </c>
      <c r="DM48" s="83">
        <f>SUMIFS('Dataset 1'!$E$7:$E$2506,'Dataset 1'!$B$7:$B$2506,"&lt;="&amp;$A48,'Dataset 1'!$J$7:$J$2506,DM$5)</f>
        <v>62870</v>
      </c>
      <c r="DN48" s="83">
        <f>SUMIFS('Dataset 1'!$E$7:$E$2506,'Dataset 1'!$B$7:$B$2506,"&lt;="&amp;$A48,'Dataset 1'!$J$7:$J$2506,DN$5)</f>
        <v>3760</v>
      </c>
      <c r="DO48" s="83">
        <f>SUMIFS('Dataset 1'!$E$7:$E$2506,'Dataset 1'!$B$7:$B$2506,"&lt;="&amp;$A48,'Dataset 1'!$J$7:$J$2506,DO$5)</f>
        <v>1220</v>
      </c>
      <c r="DP48" s="83">
        <f>SUMIFS('Dataset 1'!$E$7:$E$2506,'Dataset 1'!$B$7:$B$2506,"&lt;="&amp;$A48,'Dataset 1'!$J$7:$J$2506,DP$5)</f>
        <v>1000</v>
      </c>
      <c r="DQ48" s="83">
        <f>SUMIFS('Dataset 1'!$E$7:$E$2506,'Dataset 1'!$B$7:$B$2506,"&lt;="&amp;$A48,'Dataset 1'!$J$7:$J$2506,DQ$5)</f>
        <v>1470</v>
      </c>
      <c r="DR48" s="83">
        <f>SUMIFS('Dataset 1'!$E$7:$E$2506,'Dataset 1'!$B$7:$B$2506,"&lt;="&amp;$A48,'Dataset 1'!$J$7:$J$2506,DR$5)</f>
        <v>10210</v>
      </c>
      <c r="DS48" s="83">
        <f>SUMIFS('Dataset 1'!$E$7:$E$2506,'Dataset 1'!$B$7:$B$2506,"&lt;="&amp;$A48,'Dataset 1'!$J$7:$J$2506,DS$5)</f>
        <v>190</v>
      </c>
      <c r="DT48" s="83">
        <f>SUMIFS('Dataset 1'!$E$7:$E$2506,'Dataset 1'!$B$7:$B$2506,"&lt;="&amp;$A48,'Dataset 1'!$J$7:$J$2506,DT$5)</f>
        <v>1170</v>
      </c>
      <c r="DU48" s="83">
        <f>SUMIFS('Dataset 1'!$E$7:$E$2506,'Dataset 1'!$B$7:$B$2506,"&lt;="&amp;$A48,'Dataset 1'!$J$7:$J$2506,DU$5)</f>
        <v>130</v>
      </c>
      <c r="DV48" s="83">
        <f>SUMIFS('Dataset 1'!$E$7:$E$2506,'Dataset 1'!$B$7:$B$2506,"&lt;="&amp;$A48,'Dataset 1'!$J$7:$J$2506,DV$5)</f>
        <v>6610</v>
      </c>
      <c r="DW48" s="83">
        <f>SUMIFS('Dataset 1'!$E$7:$E$2506,'Dataset 1'!$B$7:$B$2506,"&lt;="&amp;$A48,'Dataset 1'!$J$7:$J$2506,DW$5)</f>
        <v>1790</v>
      </c>
      <c r="DX48" s="83">
        <f>SUMIFS('Dataset 1'!$E$7:$E$2506,'Dataset 1'!$B$7:$B$2506,"&lt;="&amp;$A48,'Dataset 1'!$J$7:$J$2506,DX$5)</f>
        <v>8160</v>
      </c>
      <c r="DY48" s="83">
        <f>SUMIFS('Dataset 1'!$E$7:$E$2506,'Dataset 1'!$B$7:$B$2506,"&lt;="&amp;$A48,'Dataset 1'!$J$7:$J$2506,DY$5)</f>
        <v>200800</v>
      </c>
      <c r="DZ48" s="83">
        <f>SUMIFS('Dataset 1'!$E$7:$E$2506,'Dataset 1'!$B$7:$B$2506,"&lt;="&amp;$A48,'Dataset 1'!$J$7:$J$2506,DZ$5)</f>
        <v>3320</v>
      </c>
      <c r="EA48" s="83">
        <f>SUMIFS('Dataset 1'!$E$7:$E$2506,'Dataset 1'!$B$7:$B$2506,"&lt;="&amp;$A48,'Dataset 1'!$J$7:$J$2506,EA$5)</f>
        <v>180</v>
      </c>
      <c r="EB48" s="83">
        <f>SUMIFS('Dataset 1'!$E$7:$E$2506,'Dataset 1'!$B$7:$B$2506,"&lt;="&amp;$A48,'Dataset 1'!$J$7:$J$2506,EB$5)</f>
        <v>3720</v>
      </c>
      <c r="EC48" s="83">
        <f>SUMIFS('Dataset 1'!$E$7:$E$2506,'Dataset 1'!$B$7:$B$2506,"&lt;="&amp;$A48,'Dataset 1'!$J$7:$J$2506,EC$5)</f>
        <v>4570</v>
      </c>
      <c r="ED48" s="83">
        <f>SUMIFS('Dataset 1'!$E$7:$E$2506,'Dataset 1'!$B$7:$B$2506,"&lt;="&amp;$A48,'Dataset 1'!$J$7:$J$2506,ED$5)</f>
        <v>14200</v>
      </c>
      <c r="EE48" s="83">
        <f>SUMIFS('Dataset 1'!$E$7:$E$2506,'Dataset 1'!$B$7:$B$2506,"&lt;="&amp;$A48,'Dataset 1'!$J$7:$J$2506,EE$5)</f>
        <v>470</v>
      </c>
      <c r="EF48" s="83">
        <f>SUMIFS('Dataset 1'!$E$7:$E$2506,'Dataset 1'!$B$7:$B$2506,"&lt;="&amp;$A48,'Dataset 1'!$J$7:$J$2506,EF$5)</f>
        <v>5390</v>
      </c>
      <c r="EG48" s="83">
        <f>SUMIFS('Dataset 1'!$E$7:$E$2506,'Dataset 1'!$B$7:$B$2506,"&lt;="&amp;$A48,'Dataset 1'!$J$7:$J$2506,EG$5)</f>
        <v>4350</v>
      </c>
    </row>
    <row r="49" spans="1:137" x14ac:dyDescent="0.2">
      <c r="A49">
        <v>2025</v>
      </c>
      <c r="B49" s="83">
        <f>SUMIFS('Dataset 1'!$E$7:$E$2506,'Dataset 1'!$B$7:$B$2506,"&lt;="&amp;$A49,'Dataset 1'!$J$7:$J$2506,B$5)</f>
        <v>3070</v>
      </c>
      <c r="C49" s="83">
        <f>SUMIFS('Dataset 1'!$E$7:$E$2506,'Dataset 1'!$B$7:$B$2506,"&lt;="&amp;$A49,'Dataset 1'!$J$7:$J$2506,C$5)</f>
        <v>960</v>
      </c>
      <c r="D49" s="83">
        <f>SUMIFS('Dataset 1'!$E$7:$E$2506,'Dataset 1'!$B$7:$B$2506,"&lt;="&amp;$A49,'Dataset 1'!$J$7:$J$2506,D$5)</f>
        <v>5520</v>
      </c>
      <c r="E49" s="83">
        <f>SUMIFS('Dataset 1'!$E$7:$E$2506,'Dataset 1'!$B$7:$B$2506,"&lt;="&amp;$A49,'Dataset 1'!$J$7:$J$2506,E$5)</f>
        <v>740</v>
      </c>
      <c r="F49" s="83">
        <f>SUMIFS('Dataset 1'!$E$7:$E$2506,'Dataset 1'!$B$7:$B$2506,"&lt;="&amp;$A49,'Dataset 1'!$J$7:$J$2506,F$5)</f>
        <v>13530</v>
      </c>
      <c r="G49" s="83">
        <f>SUMIFS('Dataset 1'!$E$7:$E$2506,'Dataset 1'!$B$7:$B$2506,"&lt;="&amp;$A49,'Dataset 1'!$J$7:$J$2506,G$5)</f>
        <v>108180</v>
      </c>
      <c r="H49" s="83">
        <f>SUMIFS('Dataset 1'!$E$7:$E$2506,'Dataset 1'!$B$7:$B$2506,"&lt;="&amp;$A49,'Dataset 1'!$J$7:$J$2506,H$5)</f>
        <v>1110</v>
      </c>
      <c r="I49" s="83">
        <f>SUMIFS('Dataset 1'!$E$7:$E$2506,'Dataset 1'!$B$7:$B$2506,"&lt;="&amp;$A49,'Dataset 1'!$J$7:$J$2506,I$5)</f>
        <v>270</v>
      </c>
      <c r="J49" s="83">
        <f>SUMIFS('Dataset 1'!$E$7:$E$2506,'Dataset 1'!$B$7:$B$2506,"&lt;="&amp;$A49,'Dataset 1'!$J$7:$J$2506,J$5)</f>
        <v>350</v>
      </c>
      <c r="K49" s="83">
        <f>SUMIFS('Dataset 1'!$E$7:$E$2506,'Dataset 1'!$B$7:$B$2506,"&lt;="&amp;$A49,'Dataset 1'!$J$7:$J$2506,K$5)</f>
        <v>7740</v>
      </c>
      <c r="L49" s="83">
        <f>SUMIFS('Dataset 1'!$E$7:$E$2506,'Dataset 1'!$B$7:$B$2506,"&lt;="&amp;$A49,'Dataset 1'!$J$7:$J$2506,L$5)</f>
        <v>400</v>
      </c>
      <c r="M49" s="83">
        <f>SUMIFS('Dataset 1'!$E$7:$E$2506,'Dataset 1'!$B$7:$B$2506,"&lt;="&amp;$A49,'Dataset 1'!$J$7:$J$2506,M$5)</f>
        <v>5830</v>
      </c>
      <c r="N49" s="83">
        <f>SUMIFS('Dataset 1'!$E$7:$E$2506,'Dataset 1'!$B$7:$B$2506,"&lt;="&amp;$A49,'Dataset 1'!$J$7:$J$2506,N$5)</f>
        <v>400</v>
      </c>
      <c r="O49" s="83">
        <f>SUMIFS('Dataset 1'!$E$7:$E$2506,'Dataset 1'!$B$7:$B$2506,"&lt;="&amp;$A49,'Dataset 1'!$J$7:$J$2506,O$5)</f>
        <v>730</v>
      </c>
      <c r="P49" s="83">
        <f>SUMIFS('Dataset 1'!$E$7:$E$2506,'Dataset 1'!$B$7:$B$2506,"&lt;="&amp;$A49,'Dataset 1'!$J$7:$J$2506,P$5)</f>
        <v>2850</v>
      </c>
      <c r="Q49" s="83">
        <f>SUMIFS('Dataset 1'!$E$7:$E$2506,'Dataset 1'!$B$7:$B$2506,"&lt;="&amp;$A49,'Dataset 1'!$J$7:$J$2506,Q$5)</f>
        <v>80550</v>
      </c>
      <c r="R49" s="83">
        <f>SUMIFS('Dataset 1'!$E$7:$E$2506,'Dataset 1'!$B$7:$B$2506,"&lt;="&amp;$A49,'Dataset 1'!$J$7:$J$2506,R$5)</f>
        <v>107050</v>
      </c>
      <c r="S49" s="83">
        <f>SUMIFS('Dataset 1'!$E$7:$E$2506,'Dataset 1'!$B$7:$B$2506,"&lt;="&amp;$A49,'Dataset 1'!$J$7:$J$2506,S$5)</f>
        <v>3590</v>
      </c>
      <c r="T49" s="83">
        <f>SUMIFS('Dataset 1'!$E$7:$E$2506,'Dataset 1'!$B$7:$B$2506,"&lt;="&amp;$A49,'Dataset 1'!$J$7:$J$2506,T$5)</f>
        <v>440</v>
      </c>
      <c r="U49" s="83">
        <f>SUMIFS('Dataset 1'!$E$7:$E$2506,'Dataset 1'!$B$7:$B$2506,"&lt;="&amp;$A49,'Dataset 1'!$J$7:$J$2506,U$5)</f>
        <v>14590</v>
      </c>
      <c r="V49" s="83">
        <f>SUMIFS('Dataset 1'!$E$7:$E$2506,'Dataset 1'!$B$7:$B$2506,"&lt;="&amp;$A49,'Dataset 1'!$J$7:$J$2506,V$5)</f>
        <v>2580</v>
      </c>
      <c r="W49" s="83">
        <f>SUMIFS('Dataset 1'!$E$7:$E$2506,'Dataset 1'!$B$7:$B$2506,"&lt;="&amp;$A49,'Dataset 1'!$J$7:$J$2506,W$5)</f>
        <v>57280</v>
      </c>
      <c r="X49" s="83">
        <f>SUMIFS('Dataset 1'!$E$7:$E$2506,'Dataset 1'!$B$7:$B$2506,"&lt;="&amp;$A49,'Dataset 1'!$J$7:$J$2506,X$5)</f>
        <v>1630</v>
      </c>
      <c r="Y49" s="83">
        <f>SUMIFS('Dataset 1'!$E$7:$E$2506,'Dataset 1'!$B$7:$B$2506,"&lt;="&amp;$A49,'Dataset 1'!$J$7:$J$2506,Y$5)</f>
        <v>17550</v>
      </c>
      <c r="Z49" s="83">
        <f>SUMIFS('Dataset 1'!$E$7:$E$2506,'Dataset 1'!$B$7:$B$2506,"&lt;="&amp;$A49,'Dataset 1'!$J$7:$J$2506,Z$5)</f>
        <v>8340</v>
      </c>
      <c r="AA49" s="83">
        <f>SUMIFS('Dataset 1'!$E$7:$E$2506,'Dataset 1'!$B$7:$B$2506,"&lt;="&amp;$A49,'Dataset 1'!$J$7:$J$2506,AA$5)</f>
        <v>2610</v>
      </c>
      <c r="AB49" s="83">
        <f>SUMIFS('Dataset 1'!$E$7:$E$2506,'Dataset 1'!$B$7:$B$2506,"&lt;="&amp;$A49,'Dataset 1'!$J$7:$J$2506,AB$5)</f>
        <v>220</v>
      </c>
      <c r="AC49" s="83">
        <f>SUMIFS('Dataset 1'!$E$7:$E$2506,'Dataset 1'!$B$7:$B$2506,"&lt;="&amp;$A49,'Dataset 1'!$J$7:$J$2506,AC$5)</f>
        <v>500</v>
      </c>
      <c r="AD49" s="83">
        <f>SUMIFS('Dataset 1'!$E$7:$E$2506,'Dataset 1'!$B$7:$B$2506,"&lt;="&amp;$A49,'Dataset 1'!$J$7:$J$2506,AD$5)</f>
        <v>1200</v>
      </c>
      <c r="AE49" s="83">
        <f>SUMIFS('Dataset 1'!$E$7:$E$2506,'Dataset 1'!$B$7:$B$2506,"&lt;="&amp;$A49,'Dataset 1'!$J$7:$J$2506,AE$5)</f>
        <v>860</v>
      </c>
      <c r="AF49" s="83">
        <f>SUMIFS('Dataset 1'!$E$7:$E$2506,'Dataset 1'!$B$7:$B$2506,"&lt;="&amp;$A49,'Dataset 1'!$J$7:$J$2506,AF$5)</f>
        <v>20150</v>
      </c>
      <c r="AG49" s="83">
        <f>SUMIFS('Dataset 1'!$E$7:$E$2506,'Dataset 1'!$B$7:$B$2506,"&lt;="&amp;$A49,'Dataset 1'!$J$7:$J$2506,AG$5)</f>
        <v>840</v>
      </c>
      <c r="AH49" s="83">
        <f>SUMIFS('Dataset 1'!$E$7:$E$2506,'Dataset 1'!$B$7:$B$2506,"&lt;="&amp;$A49,'Dataset 1'!$J$7:$J$2506,AH$5)</f>
        <v>700</v>
      </c>
      <c r="AI49" s="83">
        <f>SUMIFS('Dataset 1'!$E$7:$E$2506,'Dataset 1'!$B$7:$B$2506,"&lt;="&amp;$A49,'Dataset 1'!$J$7:$J$2506,AI$5)</f>
        <v>6790</v>
      </c>
      <c r="AJ49" s="83">
        <f>SUMIFS('Dataset 1'!$E$7:$E$2506,'Dataset 1'!$B$7:$B$2506,"&lt;="&amp;$A49,'Dataset 1'!$J$7:$J$2506,AJ$5)</f>
        <v>8750</v>
      </c>
      <c r="AK49" s="83">
        <f>SUMIFS('Dataset 1'!$E$7:$E$2506,'Dataset 1'!$B$7:$B$2506,"&lt;="&amp;$A49,'Dataset 1'!$J$7:$J$2506,AK$5)</f>
        <v>1070</v>
      </c>
      <c r="AL49" s="83">
        <f>SUMIFS('Dataset 1'!$E$7:$E$2506,'Dataset 1'!$B$7:$B$2506,"&lt;="&amp;$A49,'Dataset 1'!$J$7:$J$2506,AL$5)</f>
        <v>2770</v>
      </c>
      <c r="AM49" s="83">
        <f>SUMIFS('Dataset 1'!$E$7:$E$2506,'Dataset 1'!$B$7:$B$2506,"&lt;="&amp;$A49,'Dataset 1'!$J$7:$J$2506,AM$5)</f>
        <v>18480</v>
      </c>
      <c r="AN49" s="83">
        <f>SUMIFS('Dataset 1'!$E$7:$E$2506,'Dataset 1'!$B$7:$B$2506,"&lt;="&amp;$A49,'Dataset 1'!$J$7:$J$2506,AN$5)</f>
        <v>37130</v>
      </c>
      <c r="AO49" s="83">
        <f>SUMIFS('Dataset 1'!$E$7:$E$2506,'Dataset 1'!$B$7:$B$2506,"&lt;="&amp;$A49,'Dataset 1'!$J$7:$J$2506,AO$5)</f>
        <v>400</v>
      </c>
      <c r="AP49" s="83">
        <f>SUMIFS('Dataset 1'!$E$7:$E$2506,'Dataset 1'!$B$7:$B$2506,"&lt;="&amp;$A49,'Dataset 1'!$J$7:$J$2506,AP$5)</f>
        <v>370</v>
      </c>
      <c r="AQ49" s="83">
        <f>SUMIFS('Dataset 1'!$E$7:$E$2506,'Dataset 1'!$B$7:$B$2506,"&lt;="&amp;$A49,'Dataset 1'!$J$7:$J$2506,AQ$5)</f>
        <v>56340</v>
      </c>
      <c r="AR49" s="83">
        <f>SUMIFS('Dataset 1'!$E$7:$E$2506,'Dataset 1'!$B$7:$B$2506,"&lt;="&amp;$A49,'Dataset 1'!$J$7:$J$2506,AR$5)</f>
        <v>4650</v>
      </c>
      <c r="AS49" s="83">
        <f>SUMIFS('Dataset 1'!$E$7:$E$2506,'Dataset 1'!$B$7:$B$2506,"&lt;="&amp;$A49,'Dataset 1'!$J$7:$J$2506,AS$5)</f>
        <v>9660</v>
      </c>
      <c r="AT49" s="83">
        <f>SUMIFS('Dataset 1'!$E$7:$E$2506,'Dataset 1'!$B$7:$B$2506,"&lt;="&amp;$A49,'Dataset 1'!$J$7:$J$2506,AT$5)</f>
        <v>13410</v>
      </c>
      <c r="AU49" s="83">
        <f>SUMIFS('Dataset 1'!$E$7:$E$2506,'Dataset 1'!$B$7:$B$2506,"&lt;="&amp;$A49,'Dataset 1'!$J$7:$J$2506,AU$5)</f>
        <v>170</v>
      </c>
      <c r="AV49" s="83">
        <f>SUMIFS('Dataset 1'!$E$7:$E$2506,'Dataset 1'!$B$7:$B$2506,"&lt;="&amp;$A49,'Dataset 1'!$J$7:$J$2506,AV$5)</f>
        <v>14320</v>
      </c>
      <c r="AW49" s="83">
        <f>SUMIFS('Dataset 1'!$E$7:$E$2506,'Dataset 1'!$B$7:$B$2506,"&lt;="&amp;$A49,'Dataset 1'!$J$7:$J$2506,AW$5)</f>
        <v>13800</v>
      </c>
      <c r="AX49" s="83">
        <f>SUMIFS('Dataset 1'!$E$7:$E$2506,'Dataset 1'!$B$7:$B$2506,"&lt;="&amp;$A49,'Dataset 1'!$J$7:$J$2506,AX$5)</f>
        <v>17280</v>
      </c>
      <c r="AY49" s="83">
        <f>SUMIFS('Dataset 1'!$E$7:$E$2506,'Dataset 1'!$B$7:$B$2506,"&lt;="&amp;$A49,'Dataset 1'!$J$7:$J$2506,AY$5)</f>
        <v>49350</v>
      </c>
      <c r="AZ49" s="83">
        <f>SUMIFS('Dataset 1'!$E$7:$E$2506,'Dataset 1'!$B$7:$B$2506,"&lt;="&amp;$A49,'Dataset 1'!$J$7:$J$2506,AZ$5)</f>
        <v>4720</v>
      </c>
      <c r="BA49" s="83">
        <f>SUMIFS('Dataset 1'!$E$7:$E$2506,'Dataset 1'!$B$7:$B$2506,"&lt;="&amp;$A49,'Dataset 1'!$J$7:$J$2506,BA$5)</f>
        <v>15560</v>
      </c>
      <c r="BB49" s="83">
        <f>SUMIFS('Dataset 1'!$E$7:$E$2506,'Dataset 1'!$B$7:$B$2506,"&lt;="&amp;$A49,'Dataset 1'!$J$7:$J$2506,BB$5)</f>
        <v>11450</v>
      </c>
      <c r="BC49" s="83">
        <f>SUMIFS('Dataset 1'!$E$7:$E$2506,'Dataset 1'!$B$7:$B$2506,"&lt;="&amp;$A49,'Dataset 1'!$J$7:$J$2506,BC$5)</f>
        <v>12730</v>
      </c>
      <c r="BD49" s="83">
        <f>SUMIFS('Dataset 1'!$E$7:$E$2506,'Dataset 1'!$B$7:$B$2506,"&lt;="&amp;$A49,'Dataset 1'!$J$7:$J$2506,BD$5)</f>
        <v>25750</v>
      </c>
      <c r="BE49" s="83">
        <f>SUMIFS('Dataset 1'!$E$7:$E$2506,'Dataset 1'!$B$7:$B$2506,"&lt;="&amp;$A49,'Dataset 1'!$J$7:$J$2506,BE$5)</f>
        <v>790</v>
      </c>
      <c r="BF49" s="83">
        <f>SUMIFS('Dataset 1'!$E$7:$E$2506,'Dataset 1'!$B$7:$B$2506,"&lt;="&amp;$A49,'Dataset 1'!$J$7:$J$2506,BF$5)</f>
        <v>1170</v>
      </c>
      <c r="BG49" s="83">
        <f>SUMIFS('Dataset 1'!$E$7:$E$2506,'Dataset 1'!$B$7:$B$2506,"&lt;="&amp;$A49,'Dataset 1'!$J$7:$J$2506,BG$5)</f>
        <v>13840</v>
      </c>
      <c r="BH49" s="83">
        <f>SUMIFS('Dataset 1'!$E$7:$E$2506,'Dataset 1'!$B$7:$B$2506,"&lt;="&amp;$A49,'Dataset 1'!$J$7:$J$2506,BH$5)</f>
        <v>1960</v>
      </c>
      <c r="BI49" s="83">
        <f>SUMIFS('Dataset 1'!$E$7:$E$2506,'Dataset 1'!$B$7:$B$2506,"&lt;="&amp;$A49,'Dataset 1'!$J$7:$J$2506,BI$5)</f>
        <v>24560</v>
      </c>
      <c r="BJ49" s="83">
        <f>SUMIFS('Dataset 1'!$E$7:$E$2506,'Dataset 1'!$B$7:$B$2506,"&lt;="&amp;$A49,'Dataset 1'!$J$7:$J$2506,BJ$5)</f>
        <v>2320</v>
      </c>
      <c r="BK49" s="83">
        <f>SUMIFS('Dataset 1'!$E$7:$E$2506,'Dataset 1'!$B$7:$B$2506,"&lt;="&amp;$A49,'Dataset 1'!$J$7:$J$2506,BK$5)</f>
        <v>650</v>
      </c>
      <c r="BL49" s="83">
        <f>SUMIFS('Dataset 1'!$E$7:$E$2506,'Dataset 1'!$B$7:$B$2506,"&lt;="&amp;$A49,'Dataset 1'!$J$7:$J$2506,BL$5)</f>
        <v>1430</v>
      </c>
      <c r="BM49" s="83">
        <f>SUMIFS('Dataset 1'!$E$7:$E$2506,'Dataset 1'!$B$7:$B$2506,"&lt;="&amp;$A49,'Dataset 1'!$J$7:$J$2506,BM$5)</f>
        <v>17780</v>
      </c>
      <c r="BN49" s="83">
        <f>SUMIFS('Dataset 1'!$E$7:$E$2506,'Dataset 1'!$B$7:$B$2506,"&lt;="&amp;$A49,'Dataset 1'!$J$7:$J$2506,BN$5)</f>
        <v>520</v>
      </c>
      <c r="BO49" s="83">
        <f>SUMIFS('Dataset 1'!$E$7:$E$2506,'Dataset 1'!$B$7:$B$2506,"&lt;="&amp;$A49,'Dataset 1'!$J$7:$J$2506,BO$5)</f>
        <v>2790</v>
      </c>
      <c r="BP49" s="83">
        <f>SUMIFS('Dataset 1'!$E$7:$E$2506,'Dataset 1'!$B$7:$B$2506,"&lt;="&amp;$A49,'Dataset 1'!$J$7:$J$2506,BP$5)</f>
        <v>150</v>
      </c>
      <c r="BQ49" s="83">
        <f>SUMIFS('Dataset 1'!$E$7:$E$2506,'Dataset 1'!$B$7:$B$2506,"&lt;="&amp;$A49,'Dataset 1'!$J$7:$J$2506,BQ$5)</f>
        <v>200</v>
      </c>
      <c r="BR49" s="83">
        <f>SUMIFS('Dataset 1'!$E$7:$E$2506,'Dataset 1'!$B$7:$B$2506,"&lt;="&amp;$A49,'Dataset 1'!$J$7:$J$2506,BR$5)</f>
        <v>30030</v>
      </c>
      <c r="BS49" s="83">
        <f>SUMIFS('Dataset 1'!$E$7:$E$2506,'Dataset 1'!$B$7:$B$2506,"&lt;="&amp;$A49,'Dataset 1'!$J$7:$J$2506,BS$5)</f>
        <v>110</v>
      </c>
      <c r="BT49" s="83">
        <f>SUMIFS('Dataset 1'!$E$7:$E$2506,'Dataset 1'!$B$7:$B$2506,"&lt;="&amp;$A49,'Dataset 1'!$J$7:$J$2506,BT$5)</f>
        <v>600</v>
      </c>
      <c r="BU49" s="83">
        <f>SUMIFS('Dataset 1'!$E$7:$E$2506,'Dataset 1'!$B$7:$B$2506,"&lt;="&amp;$A49,'Dataset 1'!$J$7:$J$2506,BU$5)</f>
        <v>440</v>
      </c>
      <c r="BV49" s="83">
        <f>SUMIFS('Dataset 1'!$E$7:$E$2506,'Dataset 1'!$B$7:$B$2506,"&lt;="&amp;$A49,'Dataset 1'!$J$7:$J$2506,BV$5)</f>
        <v>740</v>
      </c>
      <c r="BW49" s="83">
        <f>SUMIFS('Dataset 1'!$E$7:$E$2506,'Dataset 1'!$B$7:$B$2506,"&lt;="&amp;$A49,'Dataset 1'!$J$7:$J$2506,BW$5)</f>
        <v>6500</v>
      </c>
      <c r="BX49" s="83">
        <f>SUMIFS('Dataset 1'!$E$7:$E$2506,'Dataset 1'!$B$7:$B$2506,"&lt;="&amp;$A49,'Dataset 1'!$J$7:$J$2506,BX$5)</f>
        <v>4660</v>
      </c>
      <c r="BY49" s="83">
        <f>SUMIFS('Dataset 1'!$E$7:$E$2506,'Dataset 1'!$B$7:$B$2506,"&lt;="&amp;$A49,'Dataset 1'!$J$7:$J$2506,BY$5)</f>
        <v>100</v>
      </c>
      <c r="BZ49" s="83">
        <f>SUMIFS('Dataset 1'!$E$7:$E$2506,'Dataset 1'!$B$7:$B$2506,"&lt;="&amp;$A49,'Dataset 1'!$J$7:$J$2506,BZ$5)</f>
        <v>3970</v>
      </c>
      <c r="CA49" s="83">
        <f>SUMIFS('Dataset 1'!$E$7:$E$2506,'Dataset 1'!$B$7:$B$2506,"&lt;="&amp;$A49,'Dataset 1'!$J$7:$J$2506,CA$5)</f>
        <v>4920</v>
      </c>
      <c r="CB49" s="83">
        <f>SUMIFS('Dataset 1'!$E$7:$E$2506,'Dataset 1'!$B$7:$B$2506,"&lt;="&amp;$A49,'Dataset 1'!$J$7:$J$2506,CB$5)</f>
        <v>7090</v>
      </c>
      <c r="CC49" s="83">
        <f>SUMIFS('Dataset 1'!$E$7:$E$2506,'Dataset 1'!$B$7:$B$2506,"&lt;="&amp;$A49,'Dataset 1'!$J$7:$J$2506,CC$5)</f>
        <v>4210</v>
      </c>
      <c r="CD49" s="83">
        <f>SUMIFS('Dataset 1'!$E$7:$E$2506,'Dataset 1'!$B$7:$B$2506,"&lt;="&amp;$A49,'Dataset 1'!$J$7:$J$2506,CD$5)</f>
        <v>1120</v>
      </c>
      <c r="CE49" s="83">
        <f>SUMIFS('Dataset 1'!$E$7:$E$2506,'Dataset 1'!$B$7:$B$2506,"&lt;="&amp;$A49,'Dataset 1'!$J$7:$J$2506,CE$5)</f>
        <v>21770</v>
      </c>
      <c r="CF49" s="83">
        <f>SUMIFS('Dataset 1'!$E$7:$E$2506,'Dataset 1'!$B$7:$B$2506,"&lt;="&amp;$A49,'Dataset 1'!$J$7:$J$2506,CF$5)</f>
        <v>3800</v>
      </c>
      <c r="CG49" s="83">
        <f>SUMIFS('Dataset 1'!$E$7:$E$2506,'Dataset 1'!$B$7:$B$2506,"&lt;="&amp;$A49,'Dataset 1'!$J$7:$J$2506,CG$5)</f>
        <v>300</v>
      </c>
      <c r="CH49" s="83">
        <f>SUMIFS('Dataset 1'!$E$7:$E$2506,'Dataset 1'!$B$7:$B$2506,"&lt;="&amp;$A49,'Dataset 1'!$J$7:$J$2506,CH$5)</f>
        <v>5570</v>
      </c>
      <c r="CI49" s="83">
        <f>SUMIFS('Dataset 1'!$E$7:$E$2506,'Dataset 1'!$B$7:$B$2506,"&lt;="&amp;$A49,'Dataset 1'!$J$7:$J$2506,CI$5)</f>
        <v>8280</v>
      </c>
      <c r="CJ49" s="83">
        <f>SUMIFS('Dataset 1'!$E$7:$E$2506,'Dataset 1'!$B$7:$B$2506,"&lt;="&amp;$A49,'Dataset 1'!$J$7:$J$2506,CJ$5)</f>
        <v>2000</v>
      </c>
      <c r="CK49" s="83">
        <f>SUMIFS('Dataset 1'!$E$7:$E$2506,'Dataset 1'!$B$7:$B$2506,"&lt;="&amp;$A49,'Dataset 1'!$J$7:$J$2506,CK$5)</f>
        <v>8050</v>
      </c>
      <c r="CL49" s="83">
        <f>SUMIFS('Dataset 1'!$E$7:$E$2506,'Dataset 1'!$B$7:$B$2506,"&lt;="&amp;$A49,'Dataset 1'!$J$7:$J$2506,CL$5)</f>
        <v>3730</v>
      </c>
      <c r="CM49" s="83">
        <f>SUMIFS('Dataset 1'!$E$7:$E$2506,'Dataset 1'!$B$7:$B$2506,"&lt;="&amp;$A49,'Dataset 1'!$J$7:$J$2506,CM$5)</f>
        <v>16560</v>
      </c>
      <c r="CN49" s="83">
        <f>SUMIFS('Dataset 1'!$E$7:$E$2506,'Dataset 1'!$B$7:$B$2506,"&lt;="&amp;$A49,'Dataset 1'!$J$7:$J$2506,CN$5)</f>
        <v>310</v>
      </c>
      <c r="CO49" s="83">
        <f>SUMIFS('Dataset 1'!$E$7:$E$2506,'Dataset 1'!$B$7:$B$2506,"&lt;="&amp;$A49,'Dataset 1'!$J$7:$J$2506,CO$5)</f>
        <v>2300</v>
      </c>
      <c r="CP49" s="83">
        <f>SUMIFS('Dataset 1'!$E$7:$E$2506,'Dataset 1'!$B$7:$B$2506,"&lt;="&amp;$A49,'Dataset 1'!$J$7:$J$2506,CP$5)</f>
        <v>29100</v>
      </c>
      <c r="CQ49" s="83">
        <f>SUMIFS('Dataset 1'!$E$7:$E$2506,'Dataset 1'!$B$7:$B$2506,"&lt;="&amp;$A49,'Dataset 1'!$J$7:$J$2506,CQ$5)</f>
        <v>4380</v>
      </c>
      <c r="CR49" s="83">
        <f>SUMIFS('Dataset 1'!$E$7:$E$2506,'Dataset 1'!$B$7:$B$2506,"&lt;="&amp;$A49,'Dataset 1'!$J$7:$J$2506,CR$5)</f>
        <v>2610</v>
      </c>
      <c r="CS49" s="83">
        <f>SUMIFS('Dataset 1'!$E$7:$E$2506,'Dataset 1'!$B$7:$B$2506,"&lt;="&amp;$A49,'Dataset 1'!$J$7:$J$2506,CS$5)</f>
        <v>11800</v>
      </c>
      <c r="CT49" s="83">
        <f>SUMIFS('Dataset 1'!$E$7:$E$2506,'Dataset 1'!$B$7:$B$2506,"&lt;="&amp;$A49,'Dataset 1'!$J$7:$J$2506,CT$5)</f>
        <v>1050</v>
      </c>
      <c r="CU49" s="83">
        <f>SUMIFS('Dataset 1'!$E$7:$E$2506,'Dataset 1'!$B$7:$B$2506,"&lt;="&amp;$A49,'Dataset 1'!$J$7:$J$2506,CU$5)</f>
        <v>34250</v>
      </c>
      <c r="CV49" s="83">
        <f>SUMIFS('Dataset 1'!$E$7:$E$2506,'Dataset 1'!$B$7:$B$2506,"&lt;="&amp;$A49,'Dataset 1'!$J$7:$J$2506,CV$5)</f>
        <v>120</v>
      </c>
      <c r="CW49" s="83">
        <f>SUMIFS('Dataset 1'!$E$7:$E$2506,'Dataset 1'!$B$7:$B$2506,"&lt;="&amp;$A49,'Dataset 1'!$J$7:$J$2506,CW$5)</f>
        <v>110</v>
      </c>
      <c r="CX49" s="83">
        <f>SUMIFS('Dataset 1'!$E$7:$E$2506,'Dataset 1'!$B$7:$B$2506,"&lt;="&amp;$A49,'Dataset 1'!$J$7:$J$2506,CX$5)</f>
        <v>270</v>
      </c>
      <c r="CY49" s="83">
        <f>SUMIFS('Dataset 1'!$E$7:$E$2506,'Dataset 1'!$B$7:$B$2506,"&lt;="&amp;$A49,'Dataset 1'!$J$7:$J$2506,CY$5)</f>
        <v>15700</v>
      </c>
      <c r="CZ49" s="83">
        <f>SUMIFS('Dataset 1'!$E$7:$E$2506,'Dataset 1'!$B$7:$B$2506,"&lt;="&amp;$A49,'Dataset 1'!$J$7:$J$2506,CZ$5)</f>
        <v>5820</v>
      </c>
      <c r="DA49" s="83">
        <f>SUMIFS('Dataset 1'!$E$7:$E$2506,'Dataset 1'!$B$7:$B$2506,"&lt;="&amp;$A49,'Dataset 1'!$J$7:$J$2506,DA$5)</f>
        <v>3850</v>
      </c>
      <c r="DB49" s="83">
        <f>SUMIFS('Dataset 1'!$E$7:$E$2506,'Dataset 1'!$B$7:$B$2506,"&lt;="&amp;$A49,'Dataset 1'!$J$7:$J$2506,DB$5)</f>
        <v>46830</v>
      </c>
      <c r="DC49" s="83">
        <f>SUMIFS('Dataset 1'!$E$7:$E$2506,'Dataset 1'!$B$7:$B$2506,"&lt;="&amp;$A49,'Dataset 1'!$J$7:$J$2506,DC$5)</f>
        <v>1860</v>
      </c>
      <c r="DD49" s="83">
        <f>SUMIFS('Dataset 1'!$E$7:$E$2506,'Dataset 1'!$B$7:$B$2506,"&lt;="&amp;$A49,'Dataset 1'!$J$7:$J$2506,DD$5)</f>
        <v>1390</v>
      </c>
      <c r="DE49" s="83">
        <f>SUMIFS('Dataset 1'!$E$7:$E$2506,'Dataset 1'!$B$7:$B$2506,"&lt;="&amp;$A49,'Dataset 1'!$J$7:$J$2506,DE$5)</f>
        <v>200</v>
      </c>
      <c r="DF49" s="83">
        <f>SUMIFS('Dataset 1'!$E$7:$E$2506,'Dataset 1'!$B$7:$B$2506,"&lt;="&amp;$A49,'Dataset 1'!$J$7:$J$2506,DF$5)</f>
        <v>11730</v>
      </c>
      <c r="DG49" s="83">
        <f>SUMIFS('Dataset 1'!$E$7:$E$2506,'Dataset 1'!$B$7:$B$2506,"&lt;="&amp;$A49,'Dataset 1'!$J$7:$J$2506,DG$5)</f>
        <v>14890</v>
      </c>
      <c r="DH49" s="83">
        <f>SUMIFS('Dataset 1'!$E$7:$E$2506,'Dataset 1'!$B$7:$B$2506,"&lt;="&amp;$A49,'Dataset 1'!$J$7:$J$2506,DH$5)</f>
        <v>13540</v>
      </c>
      <c r="DI49" s="83">
        <f>SUMIFS('Dataset 1'!$E$7:$E$2506,'Dataset 1'!$B$7:$B$2506,"&lt;="&amp;$A49,'Dataset 1'!$J$7:$J$2506,DI$5)</f>
        <v>4300</v>
      </c>
      <c r="DJ49" s="83">
        <f>SUMIFS('Dataset 1'!$E$7:$E$2506,'Dataset 1'!$B$7:$B$2506,"&lt;="&amp;$A49,'Dataset 1'!$J$7:$J$2506,DJ$5)</f>
        <v>260</v>
      </c>
      <c r="DK49" s="83">
        <f>SUMIFS('Dataset 1'!$E$7:$E$2506,'Dataset 1'!$B$7:$B$2506,"&lt;="&amp;$A49,'Dataset 1'!$J$7:$J$2506,DK$5)</f>
        <v>710</v>
      </c>
      <c r="DL49" s="83">
        <f>SUMIFS('Dataset 1'!$E$7:$E$2506,'Dataset 1'!$B$7:$B$2506,"&lt;="&amp;$A49,'Dataset 1'!$J$7:$J$2506,DL$5)</f>
        <v>17250</v>
      </c>
      <c r="DM49" s="83">
        <f>SUMIFS('Dataset 1'!$E$7:$E$2506,'Dataset 1'!$B$7:$B$2506,"&lt;="&amp;$A49,'Dataset 1'!$J$7:$J$2506,DM$5)</f>
        <v>62870</v>
      </c>
      <c r="DN49" s="83">
        <f>SUMIFS('Dataset 1'!$E$7:$E$2506,'Dataset 1'!$B$7:$B$2506,"&lt;="&amp;$A49,'Dataset 1'!$J$7:$J$2506,DN$5)</f>
        <v>3760</v>
      </c>
      <c r="DO49" s="83">
        <f>SUMIFS('Dataset 1'!$E$7:$E$2506,'Dataset 1'!$B$7:$B$2506,"&lt;="&amp;$A49,'Dataset 1'!$J$7:$J$2506,DO$5)</f>
        <v>1220</v>
      </c>
      <c r="DP49" s="83">
        <f>SUMIFS('Dataset 1'!$E$7:$E$2506,'Dataset 1'!$B$7:$B$2506,"&lt;="&amp;$A49,'Dataset 1'!$J$7:$J$2506,DP$5)</f>
        <v>1000</v>
      </c>
      <c r="DQ49" s="83">
        <f>SUMIFS('Dataset 1'!$E$7:$E$2506,'Dataset 1'!$B$7:$B$2506,"&lt;="&amp;$A49,'Dataset 1'!$J$7:$J$2506,DQ$5)</f>
        <v>2840</v>
      </c>
      <c r="DR49" s="83">
        <f>SUMIFS('Dataset 1'!$E$7:$E$2506,'Dataset 1'!$B$7:$B$2506,"&lt;="&amp;$A49,'Dataset 1'!$J$7:$J$2506,DR$5)</f>
        <v>12150</v>
      </c>
      <c r="DS49" s="83">
        <f>SUMIFS('Dataset 1'!$E$7:$E$2506,'Dataset 1'!$B$7:$B$2506,"&lt;="&amp;$A49,'Dataset 1'!$J$7:$J$2506,DS$5)</f>
        <v>190</v>
      </c>
      <c r="DT49" s="83">
        <f>SUMIFS('Dataset 1'!$E$7:$E$2506,'Dataset 1'!$B$7:$B$2506,"&lt;="&amp;$A49,'Dataset 1'!$J$7:$J$2506,DT$5)</f>
        <v>1170</v>
      </c>
      <c r="DU49" s="83">
        <f>SUMIFS('Dataset 1'!$E$7:$E$2506,'Dataset 1'!$B$7:$B$2506,"&lt;="&amp;$A49,'Dataset 1'!$J$7:$J$2506,DU$5)</f>
        <v>130</v>
      </c>
      <c r="DV49" s="83">
        <f>SUMIFS('Dataset 1'!$E$7:$E$2506,'Dataset 1'!$B$7:$B$2506,"&lt;="&amp;$A49,'Dataset 1'!$J$7:$J$2506,DV$5)</f>
        <v>6830</v>
      </c>
      <c r="DW49" s="83">
        <f>SUMIFS('Dataset 1'!$E$7:$E$2506,'Dataset 1'!$B$7:$B$2506,"&lt;="&amp;$A49,'Dataset 1'!$J$7:$J$2506,DW$5)</f>
        <v>1790</v>
      </c>
      <c r="DX49" s="83">
        <f>SUMIFS('Dataset 1'!$E$7:$E$2506,'Dataset 1'!$B$7:$B$2506,"&lt;="&amp;$A49,'Dataset 1'!$J$7:$J$2506,DX$5)</f>
        <v>8160</v>
      </c>
      <c r="DY49" s="83">
        <f>SUMIFS('Dataset 1'!$E$7:$E$2506,'Dataset 1'!$B$7:$B$2506,"&lt;="&amp;$A49,'Dataset 1'!$J$7:$J$2506,DY$5)</f>
        <v>204880</v>
      </c>
      <c r="DZ49" s="83">
        <f>SUMIFS('Dataset 1'!$E$7:$E$2506,'Dataset 1'!$B$7:$B$2506,"&lt;="&amp;$A49,'Dataset 1'!$J$7:$J$2506,DZ$5)</f>
        <v>3320</v>
      </c>
      <c r="EA49" s="83">
        <f>SUMIFS('Dataset 1'!$E$7:$E$2506,'Dataset 1'!$B$7:$B$2506,"&lt;="&amp;$A49,'Dataset 1'!$J$7:$J$2506,EA$5)</f>
        <v>180</v>
      </c>
      <c r="EB49" s="83">
        <f>SUMIFS('Dataset 1'!$E$7:$E$2506,'Dataset 1'!$B$7:$B$2506,"&lt;="&amp;$A49,'Dataset 1'!$J$7:$J$2506,EB$5)</f>
        <v>5240</v>
      </c>
      <c r="EC49" s="83">
        <f>SUMIFS('Dataset 1'!$E$7:$E$2506,'Dataset 1'!$B$7:$B$2506,"&lt;="&amp;$A49,'Dataset 1'!$J$7:$J$2506,EC$5)</f>
        <v>4570</v>
      </c>
      <c r="ED49" s="83">
        <f>SUMIFS('Dataset 1'!$E$7:$E$2506,'Dataset 1'!$B$7:$B$2506,"&lt;="&amp;$A49,'Dataset 1'!$J$7:$J$2506,ED$5)</f>
        <v>14520</v>
      </c>
      <c r="EE49" s="83">
        <f>SUMIFS('Dataset 1'!$E$7:$E$2506,'Dataset 1'!$B$7:$B$2506,"&lt;="&amp;$A49,'Dataset 1'!$J$7:$J$2506,EE$5)</f>
        <v>470</v>
      </c>
      <c r="EF49" s="83">
        <f>SUMIFS('Dataset 1'!$E$7:$E$2506,'Dataset 1'!$B$7:$B$2506,"&lt;="&amp;$A49,'Dataset 1'!$J$7:$J$2506,EF$5)</f>
        <v>6780</v>
      </c>
      <c r="EG49" s="83">
        <f>SUMIFS('Dataset 1'!$E$7:$E$2506,'Dataset 1'!$B$7:$B$2506,"&lt;="&amp;$A49,'Dataset 1'!$J$7:$J$2506,EG$5)</f>
        <v>4710</v>
      </c>
    </row>
    <row r="51" spans="1:137" ht="16" x14ac:dyDescent="0.2">
      <c r="A51" s="85" t="s">
        <v>141</v>
      </c>
    </row>
    <row r="52" spans="1:137" x14ac:dyDescent="0.2">
      <c r="A52" s="86" t="s">
        <v>3</v>
      </c>
      <c r="B52" s="87" t="s">
        <v>142</v>
      </c>
      <c r="C52" s="87" t="s">
        <v>143</v>
      </c>
      <c r="D52" s="87" t="s">
        <v>144</v>
      </c>
      <c r="E52" s="87" t="s">
        <v>145</v>
      </c>
      <c r="F52" s="87" t="s">
        <v>146</v>
      </c>
      <c r="G52" s="87" t="s">
        <v>147</v>
      </c>
      <c r="H52" s="87" t="s">
        <v>148</v>
      </c>
      <c r="I52" s="87" t="s">
        <v>149</v>
      </c>
      <c r="J52" s="87" t="s">
        <v>150</v>
      </c>
      <c r="K52" s="87" t="s">
        <v>151</v>
      </c>
      <c r="L52" s="87" t="s">
        <v>152</v>
      </c>
      <c r="M52" s="87" t="s">
        <v>153</v>
      </c>
      <c r="N52" s="87" t="s">
        <v>154</v>
      </c>
      <c r="O52" s="87" t="s">
        <v>155</v>
      </c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</row>
    <row r="53" spans="1:137" x14ac:dyDescent="0.2">
      <c r="A53">
        <v>2005</v>
      </c>
      <c r="B53" s="83">
        <f>SUMIFS('Dataset 1'!$E$7:$E$2506,'Dataset 1'!$B$7:$B$2506,$A53,'Dataset 1'!$H$7:$H$2506,B$52)</f>
        <v>0</v>
      </c>
      <c r="C53" s="83">
        <f>SUMIFS('Dataset 1'!$E$7:$E$2506,'Dataset 1'!$B$7:$B$2506,$A53,'Dataset 1'!$H$7:$H$2506,C$52)</f>
        <v>180</v>
      </c>
      <c r="D53" s="83">
        <f>SUMIFS('Dataset 1'!$E$7:$E$2506,'Dataset 1'!$B$7:$B$2506,$A53,'Dataset 1'!$H$7:$H$2506,D$52)</f>
        <v>6640</v>
      </c>
      <c r="E53" s="83">
        <f>SUMIFS('Dataset 1'!$E$7:$E$2506,'Dataset 1'!$B$7:$B$2506,$A53,'Dataset 1'!$H$7:$H$2506,E$52)</f>
        <v>0</v>
      </c>
      <c r="F53" s="83">
        <f>SUMIFS('Dataset 1'!$E$7:$E$2506,'Dataset 1'!$B$7:$B$2506,$A53,'Dataset 1'!$H$7:$H$2506,F$52)</f>
        <v>0</v>
      </c>
      <c r="G53" s="83">
        <f>SUMIFS('Dataset 1'!$E$7:$E$2506,'Dataset 1'!$B$7:$B$2506,$A53,'Dataset 1'!$H$7:$H$2506,G$52)</f>
        <v>0</v>
      </c>
      <c r="H53" s="83">
        <f>SUMIFS('Dataset 1'!$E$7:$E$2506,'Dataset 1'!$B$7:$B$2506,$A53,'Dataset 1'!$H$7:$H$2506,H$52)</f>
        <v>0</v>
      </c>
      <c r="I53" s="83">
        <f>SUMIFS('Dataset 1'!$E$7:$E$2506,'Dataset 1'!$B$7:$B$2506,$A53,'Dataset 1'!$H$7:$H$2506,I$52)</f>
        <v>1310</v>
      </c>
      <c r="J53" s="83">
        <f>SUMIFS('Dataset 1'!$E$7:$E$2506,'Dataset 1'!$B$7:$B$2506,$A53,'Dataset 1'!$H$7:$H$2506,J$52)</f>
        <v>150</v>
      </c>
      <c r="K53" s="83">
        <f>SUMIFS('Dataset 1'!$E$7:$E$2506,'Dataset 1'!$B$7:$B$2506,$A53,'Dataset 1'!$H$7:$H$2506,K$52)</f>
        <v>0</v>
      </c>
      <c r="L53" s="83">
        <f>SUMIFS('Dataset 1'!$E$7:$E$2506,'Dataset 1'!$B$7:$B$2506,$A53,'Dataset 1'!$H$7:$H$2506,L$52)</f>
        <v>1740</v>
      </c>
      <c r="M53" s="83">
        <f>SUMIFS('Dataset 1'!$E$7:$E$2506,'Dataset 1'!$B$7:$B$2506,$A53,'Dataset 1'!$H$7:$H$2506,M$52)</f>
        <v>0</v>
      </c>
      <c r="N53" s="83">
        <f>SUMIFS('Dataset 1'!$E$7:$E$2506,'Dataset 1'!$B$7:$B$2506,$A53,'Dataset 1'!$H$7:$H$2506,N$52)</f>
        <v>100</v>
      </c>
      <c r="O53" s="83">
        <f>SUMIFS('Dataset 1'!$E$7:$E$2506,'Dataset 1'!$B$7:$B$2506,$A53,'Dataset 1'!$H$7:$H$2506,O$52)</f>
        <v>0</v>
      </c>
    </row>
    <row r="54" spans="1:137" x14ac:dyDescent="0.2">
      <c r="A54">
        <v>2006</v>
      </c>
      <c r="B54" s="83">
        <f>SUMIFS('Dataset 1'!$E$7:$E$2506,'Dataset 1'!$B$7:$B$2506,$A54,'Dataset 1'!$H$7:$H$2506,B$52)</f>
        <v>480</v>
      </c>
      <c r="C54" s="83">
        <f>SUMIFS('Dataset 1'!$E$7:$E$2506,'Dataset 1'!$B$7:$B$2506,$A54,'Dataset 1'!$H$7:$H$2506,C$52)</f>
        <v>0</v>
      </c>
      <c r="D54" s="83">
        <f>SUMIFS('Dataset 1'!$E$7:$E$2506,'Dataset 1'!$B$7:$B$2506,$A54,'Dataset 1'!$H$7:$H$2506,D$52)</f>
        <v>10170</v>
      </c>
      <c r="E54" s="83">
        <f>SUMIFS('Dataset 1'!$E$7:$E$2506,'Dataset 1'!$B$7:$B$2506,$A54,'Dataset 1'!$H$7:$H$2506,E$52)</f>
        <v>0</v>
      </c>
      <c r="F54" s="83">
        <f>SUMIFS('Dataset 1'!$E$7:$E$2506,'Dataset 1'!$B$7:$B$2506,$A54,'Dataset 1'!$H$7:$H$2506,F$52)</f>
        <v>100</v>
      </c>
      <c r="G54" s="83">
        <f>SUMIFS('Dataset 1'!$E$7:$E$2506,'Dataset 1'!$B$7:$B$2506,$A54,'Dataset 1'!$H$7:$H$2506,G$52)</f>
        <v>0</v>
      </c>
      <c r="H54" s="83">
        <f>SUMIFS('Dataset 1'!$E$7:$E$2506,'Dataset 1'!$B$7:$B$2506,$A54,'Dataset 1'!$H$7:$H$2506,H$52)</f>
        <v>0</v>
      </c>
      <c r="I54" s="83">
        <f>SUMIFS('Dataset 1'!$E$7:$E$2506,'Dataset 1'!$B$7:$B$2506,$A54,'Dataset 1'!$H$7:$H$2506,I$52)</f>
        <v>6470</v>
      </c>
      <c r="J54" s="83">
        <f>SUMIFS('Dataset 1'!$E$7:$E$2506,'Dataset 1'!$B$7:$B$2506,$A54,'Dataset 1'!$H$7:$H$2506,J$52)</f>
        <v>120</v>
      </c>
      <c r="K54" s="83">
        <f>SUMIFS('Dataset 1'!$E$7:$E$2506,'Dataset 1'!$B$7:$B$2506,$A54,'Dataset 1'!$H$7:$H$2506,K$52)</f>
        <v>1300</v>
      </c>
      <c r="L54" s="83">
        <f>SUMIFS('Dataset 1'!$E$7:$E$2506,'Dataset 1'!$B$7:$B$2506,$A54,'Dataset 1'!$H$7:$H$2506,L$52)</f>
        <v>0</v>
      </c>
      <c r="M54" s="83">
        <f>SUMIFS('Dataset 1'!$E$7:$E$2506,'Dataset 1'!$B$7:$B$2506,$A54,'Dataset 1'!$H$7:$H$2506,M$52)</f>
        <v>0</v>
      </c>
      <c r="N54" s="83">
        <f>SUMIFS('Dataset 1'!$E$7:$E$2506,'Dataset 1'!$B$7:$B$2506,$A54,'Dataset 1'!$H$7:$H$2506,N$52)</f>
        <v>970</v>
      </c>
      <c r="O54" s="83">
        <f>SUMIFS('Dataset 1'!$E$7:$E$2506,'Dataset 1'!$B$7:$B$2506,$A54,'Dataset 1'!$H$7:$H$2506,O$52)</f>
        <v>0</v>
      </c>
    </row>
    <row r="55" spans="1:137" x14ac:dyDescent="0.2">
      <c r="A55">
        <v>2007</v>
      </c>
      <c r="B55" s="83">
        <f>SUMIFS('Dataset 1'!$E$7:$E$2506,'Dataset 1'!$B$7:$B$2506,$A55,'Dataset 1'!$H$7:$H$2506,B$52)</f>
        <v>0</v>
      </c>
      <c r="C55" s="83">
        <f>SUMIFS('Dataset 1'!$E$7:$E$2506,'Dataset 1'!$B$7:$B$2506,$A55,'Dataset 1'!$H$7:$H$2506,C$52)</f>
        <v>700</v>
      </c>
      <c r="D55" s="83">
        <f>SUMIFS('Dataset 1'!$E$7:$E$2506,'Dataset 1'!$B$7:$B$2506,$A55,'Dataset 1'!$H$7:$H$2506,D$52)</f>
        <v>3200</v>
      </c>
      <c r="E55" s="83">
        <f>SUMIFS('Dataset 1'!$E$7:$E$2506,'Dataset 1'!$B$7:$B$2506,$A55,'Dataset 1'!$H$7:$H$2506,E$52)</f>
        <v>0</v>
      </c>
      <c r="F55" s="83">
        <f>SUMIFS('Dataset 1'!$E$7:$E$2506,'Dataset 1'!$B$7:$B$2506,$A55,'Dataset 1'!$H$7:$H$2506,F$52)</f>
        <v>19460</v>
      </c>
      <c r="G55" s="83">
        <f>SUMIFS('Dataset 1'!$E$7:$E$2506,'Dataset 1'!$B$7:$B$2506,$A55,'Dataset 1'!$H$7:$H$2506,G$52)</f>
        <v>0</v>
      </c>
      <c r="H55" s="83">
        <f>SUMIFS('Dataset 1'!$E$7:$E$2506,'Dataset 1'!$B$7:$B$2506,$A55,'Dataset 1'!$H$7:$H$2506,H$52)</f>
        <v>150</v>
      </c>
      <c r="I55" s="83">
        <f>SUMIFS('Dataset 1'!$E$7:$E$2506,'Dataset 1'!$B$7:$B$2506,$A55,'Dataset 1'!$H$7:$H$2506,I$52)</f>
        <v>5930</v>
      </c>
      <c r="J55" s="83">
        <f>SUMIFS('Dataset 1'!$E$7:$E$2506,'Dataset 1'!$B$7:$B$2506,$A55,'Dataset 1'!$H$7:$H$2506,J$52)</f>
        <v>120</v>
      </c>
      <c r="K55" s="83">
        <f>SUMIFS('Dataset 1'!$E$7:$E$2506,'Dataset 1'!$B$7:$B$2506,$A55,'Dataset 1'!$H$7:$H$2506,K$52)</f>
        <v>150</v>
      </c>
      <c r="L55" s="83">
        <f>SUMIFS('Dataset 1'!$E$7:$E$2506,'Dataset 1'!$B$7:$B$2506,$A55,'Dataset 1'!$H$7:$H$2506,L$52)</f>
        <v>460</v>
      </c>
      <c r="M55" s="83">
        <f>SUMIFS('Dataset 1'!$E$7:$E$2506,'Dataset 1'!$B$7:$B$2506,$A55,'Dataset 1'!$H$7:$H$2506,M$52)</f>
        <v>0</v>
      </c>
      <c r="N55" s="83">
        <f>SUMIFS('Dataset 1'!$E$7:$E$2506,'Dataset 1'!$B$7:$B$2506,$A55,'Dataset 1'!$H$7:$H$2506,N$52)</f>
        <v>270</v>
      </c>
      <c r="O55" s="83">
        <f>SUMIFS('Dataset 1'!$E$7:$E$2506,'Dataset 1'!$B$7:$B$2506,$A55,'Dataset 1'!$H$7:$H$2506,O$52)</f>
        <v>0</v>
      </c>
    </row>
    <row r="56" spans="1:137" x14ac:dyDescent="0.2">
      <c r="A56">
        <v>2008</v>
      </c>
      <c r="B56" s="83">
        <f>SUMIFS('Dataset 1'!$E$7:$E$2506,'Dataset 1'!$B$7:$B$2506,$A56,'Dataset 1'!$H$7:$H$2506,B$52)</f>
        <v>340</v>
      </c>
      <c r="C56" s="83">
        <f>SUMIFS('Dataset 1'!$E$7:$E$2506,'Dataset 1'!$B$7:$B$2506,$A56,'Dataset 1'!$H$7:$H$2506,C$52)</f>
        <v>0</v>
      </c>
      <c r="D56" s="83">
        <f>SUMIFS('Dataset 1'!$E$7:$E$2506,'Dataset 1'!$B$7:$B$2506,$A56,'Dataset 1'!$H$7:$H$2506,D$52)</f>
        <v>15530</v>
      </c>
      <c r="E56" s="83">
        <f>SUMIFS('Dataset 1'!$E$7:$E$2506,'Dataset 1'!$B$7:$B$2506,$A56,'Dataset 1'!$H$7:$H$2506,E$52)</f>
        <v>0</v>
      </c>
      <c r="F56" s="83">
        <f>SUMIFS('Dataset 1'!$E$7:$E$2506,'Dataset 1'!$B$7:$B$2506,$A56,'Dataset 1'!$H$7:$H$2506,F$52)</f>
        <v>4650</v>
      </c>
      <c r="G56" s="83">
        <f>SUMIFS('Dataset 1'!$E$7:$E$2506,'Dataset 1'!$B$7:$B$2506,$A56,'Dataset 1'!$H$7:$H$2506,G$52)</f>
        <v>360</v>
      </c>
      <c r="H56" s="83">
        <f>SUMIFS('Dataset 1'!$E$7:$E$2506,'Dataset 1'!$B$7:$B$2506,$A56,'Dataset 1'!$H$7:$H$2506,H$52)</f>
        <v>0</v>
      </c>
      <c r="I56" s="83">
        <f>SUMIFS('Dataset 1'!$E$7:$E$2506,'Dataset 1'!$B$7:$B$2506,$A56,'Dataset 1'!$H$7:$H$2506,I$52)</f>
        <v>22800</v>
      </c>
      <c r="J56" s="83">
        <f>SUMIFS('Dataset 1'!$E$7:$E$2506,'Dataset 1'!$B$7:$B$2506,$A56,'Dataset 1'!$H$7:$H$2506,J$52)</f>
        <v>0</v>
      </c>
      <c r="K56" s="83">
        <f>SUMIFS('Dataset 1'!$E$7:$E$2506,'Dataset 1'!$B$7:$B$2506,$A56,'Dataset 1'!$H$7:$H$2506,K$52)</f>
        <v>390</v>
      </c>
      <c r="L56" s="83">
        <f>SUMIFS('Dataset 1'!$E$7:$E$2506,'Dataset 1'!$B$7:$B$2506,$A56,'Dataset 1'!$H$7:$H$2506,L$52)</f>
        <v>0</v>
      </c>
      <c r="M56" s="83">
        <f>SUMIFS('Dataset 1'!$E$7:$E$2506,'Dataset 1'!$B$7:$B$2506,$A56,'Dataset 1'!$H$7:$H$2506,M$52)</f>
        <v>1550</v>
      </c>
      <c r="N56" s="83">
        <f>SUMIFS('Dataset 1'!$E$7:$E$2506,'Dataset 1'!$B$7:$B$2506,$A56,'Dataset 1'!$H$7:$H$2506,N$52)</f>
        <v>6120</v>
      </c>
      <c r="O56" s="83">
        <f>SUMIFS('Dataset 1'!$E$7:$E$2506,'Dataset 1'!$B$7:$B$2506,$A56,'Dataset 1'!$H$7:$H$2506,O$52)</f>
        <v>3040</v>
      </c>
    </row>
    <row r="57" spans="1:137" x14ac:dyDescent="0.2">
      <c r="A57">
        <v>2009</v>
      </c>
      <c r="B57" s="83">
        <f>SUMIFS('Dataset 1'!$E$7:$E$2506,'Dataset 1'!$B$7:$B$2506,$A57,'Dataset 1'!$H$7:$H$2506,B$52)</f>
        <v>370</v>
      </c>
      <c r="C57" s="83">
        <f>SUMIFS('Dataset 1'!$E$7:$E$2506,'Dataset 1'!$B$7:$B$2506,$A57,'Dataset 1'!$H$7:$H$2506,C$52)</f>
        <v>0</v>
      </c>
      <c r="D57" s="83">
        <f>SUMIFS('Dataset 1'!$E$7:$E$2506,'Dataset 1'!$B$7:$B$2506,$A57,'Dataset 1'!$H$7:$H$2506,D$52)</f>
        <v>35670</v>
      </c>
      <c r="E57" s="83">
        <f>SUMIFS('Dataset 1'!$E$7:$E$2506,'Dataset 1'!$B$7:$B$2506,$A57,'Dataset 1'!$H$7:$H$2506,E$52)</f>
        <v>0</v>
      </c>
      <c r="F57" s="83">
        <f>SUMIFS('Dataset 1'!$E$7:$E$2506,'Dataset 1'!$B$7:$B$2506,$A57,'Dataset 1'!$H$7:$H$2506,F$52)</f>
        <v>3100</v>
      </c>
      <c r="G57" s="83">
        <f>SUMIFS('Dataset 1'!$E$7:$E$2506,'Dataset 1'!$B$7:$B$2506,$A57,'Dataset 1'!$H$7:$H$2506,G$52)</f>
        <v>0</v>
      </c>
      <c r="H57" s="83">
        <f>SUMIFS('Dataset 1'!$E$7:$E$2506,'Dataset 1'!$B$7:$B$2506,$A57,'Dataset 1'!$H$7:$H$2506,H$52)</f>
        <v>0</v>
      </c>
      <c r="I57" s="83">
        <f>SUMIFS('Dataset 1'!$E$7:$E$2506,'Dataset 1'!$B$7:$B$2506,$A57,'Dataset 1'!$H$7:$H$2506,I$52)</f>
        <v>10300</v>
      </c>
      <c r="J57" s="83">
        <f>SUMIFS('Dataset 1'!$E$7:$E$2506,'Dataset 1'!$B$7:$B$2506,$A57,'Dataset 1'!$H$7:$H$2506,J$52)</f>
        <v>900</v>
      </c>
      <c r="K57" s="83">
        <f>SUMIFS('Dataset 1'!$E$7:$E$2506,'Dataset 1'!$B$7:$B$2506,$A57,'Dataset 1'!$H$7:$H$2506,K$52)</f>
        <v>4600</v>
      </c>
      <c r="L57" s="83">
        <f>SUMIFS('Dataset 1'!$E$7:$E$2506,'Dataset 1'!$B$7:$B$2506,$A57,'Dataset 1'!$H$7:$H$2506,L$52)</f>
        <v>1500</v>
      </c>
      <c r="M57" s="83">
        <f>SUMIFS('Dataset 1'!$E$7:$E$2506,'Dataset 1'!$B$7:$B$2506,$A57,'Dataset 1'!$H$7:$H$2506,M$52)</f>
        <v>250</v>
      </c>
      <c r="N57" s="83">
        <f>SUMIFS('Dataset 1'!$E$7:$E$2506,'Dataset 1'!$B$7:$B$2506,$A57,'Dataset 1'!$H$7:$H$2506,N$52)</f>
        <v>910</v>
      </c>
      <c r="O57" s="83">
        <f>SUMIFS('Dataset 1'!$E$7:$E$2506,'Dataset 1'!$B$7:$B$2506,$A57,'Dataset 1'!$H$7:$H$2506,O$52)</f>
        <v>0</v>
      </c>
    </row>
    <row r="58" spans="1:137" x14ac:dyDescent="0.2">
      <c r="A58">
        <v>2010</v>
      </c>
      <c r="B58" s="83">
        <f>SUMIFS('Dataset 1'!$E$7:$E$2506,'Dataset 1'!$B$7:$B$2506,$A58,'Dataset 1'!$H$7:$H$2506,B$52)</f>
        <v>1580</v>
      </c>
      <c r="C58" s="83">
        <f>SUMIFS('Dataset 1'!$E$7:$E$2506,'Dataset 1'!$B$7:$B$2506,$A58,'Dataset 1'!$H$7:$H$2506,C$52)</f>
        <v>300</v>
      </c>
      <c r="D58" s="83">
        <f>SUMIFS('Dataset 1'!$E$7:$E$2506,'Dataset 1'!$B$7:$B$2506,$A58,'Dataset 1'!$H$7:$H$2506,D$52)</f>
        <v>41190</v>
      </c>
      <c r="E58" s="83">
        <f>SUMIFS('Dataset 1'!$E$7:$E$2506,'Dataset 1'!$B$7:$B$2506,$A58,'Dataset 1'!$H$7:$H$2506,E$52)</f>
        <v>100</v>
      </c>
      <c r="F58" s="83">
        <f>SUMIFS('Dataset 1'!$E$7:$E$2506,'Dataset 1'!$B$7:$B$2506,$A58,'Dataset 1'!$H$7:$H$2506,F$52)</f>
        <v>3030</v>
      </c>
      <c r="G58" s="83">
        <f>SUMIFS('Dataset 1'!$E$7:$E$2506,'Dataset 1'!$B$7:$B$2506,$A58,'Dataset 1'!$H$7:$H$2506,G$52)</f>
        <v>270</v>
      </c>
      <c r="H58" s="83">
        <f>SUMIFS('Dataset 1'!$E$7:$E$2506,'Dataset 1'!$B$7:$B$2506,$A58,'Dataset 1'!$H$7:$H$2506,H$52)</f>
        <v>250</v>
      </c>
      <c r="I58" s="83">
        <f>SUMIFS('Dataset 1'!$E$7:$E$2506,'Dataset 1'!$B$7:$B$2506,$A58,'Dataset 1'!$H$7:$H$2506,I$52)</f>
        <v>8910</v>
      </c>
      <c r="J58" s="83">
        <f>SUMIFS('Dataset 1'!$E$7:$E$2506,'Dataset 1'!$B$7:$B$2506,$A58,'Dataset 1'!$H$7:$H$2506,J$52)</f>
        <v>1560</v>
      </c>
      <c r="K58" s="83">
        <f>SUMIFS('Dataset 1'!$E$7:$E$2506,'Dataset 1'!$B$7:$B$2506,$A58,'Dataset 1'!$H$7:$H$2506,K$52)</f>
        <v>3340</v>
      </c>
      <c r="L58" s="83">
        <f>SUMIFS('Dataset 1'!$E$7:$E$2506,'Dataset 1'!$B$7:$B$2506,$A58,'Dataset 1'!$H$7:$H$2506,L$52)</f>
        <v>300</v>
      </c>
      <c r="M58" s="83">
        <f>SUMIFS('Dataset 1'!$E$7:$E$2506,'Dataset 1'!$B$7:$B$2506,$A58,'Dataset 1'!$H$7:$H$2506,M$52)</f>
        <v>0</v>
      </c>
      <c r="N58" s="83">
        <f>SUMIFS('Dataset 1'!$E$7:$E$2506,'Dataset 1'!$B$7:$B$2506,$A58,'Dataset 1'!$H$7:$H$2506,N$52)</f>
        <v>5510</v>
      </c>
      <c r="O58" s="83">
        <f>SUMIFS('Dataset 1'!$E$7:$E$2506,'Dataset 1'!$B$7:$B$2506,$A58,'Dataset 1'!$H$7:$H$2506,O$52)</f>
        <v>0</v>
      </c>
    </row>
    <row r="59" spans="1:137" x14ac:dyDescent="0.2">
      <c r="A59">
        <v>2011</v>
      </c>
      <c r="B59" s="83">
        <f>SUMIFS('Dataset 1'!$E$7:$E$2506,'Dataset 1'!$B$7:$B$2506,$A59,'Dataset 1'!$H$7:$H$2506,B$52)</f>
        <v>1610</v>
      </c>
      <c r="C59" s="83">
        <f>SUMIFS('Dataset 1'!$E$7:$E$2506,'Dataset 1'!$B$7:$B$2506,$A59,'Dataset 1'!$H$7:$H$2506,C$52)</f>
        <v>4010</v>
      </c>
      <c r="D59" s="83">
        <f>SUMIFS('Dataset 1'!$E$7:$E$2506,'Dataset 1'!$B$7:$B$2506,$A59,'Dataset 1'!$H$7:$H$2506,D$52)</f>
        <v>37660</v>
      </c>
      <c r="E59" s="83">
        <f>SUMIFS('Dataset 1'!$E$7:$E$2506,'Dataset 1'!$B$7:$B$2506,$A59,'Dataset 1'!$H$7:$H$2506,E$52)</f>
        <v>400</v>
      </c>
      <c r="F59" s="83">
        <f>SUMIFS('Dataset 1'!$E$7:$E$2506,'Dataset 1'!$B$7:$B$2506,$A59,'Dataset 1'!$H$7:$H$2506,F$52)</f>
        <v>2280</v>
      </c>
      <c r="G59" s="83">
        <f>SUMIFS('Dataset 1'!$E$7:$E$2506,'Dataset 1'!$B$7:$B$2506,$A59,'Dataset 1'!$H$7:$H$2506,G$52)</f>
        <v>0</v>
      </c>
      <c r="H59" s="83">
        <f>SUMIFS('Dataset 1'!$E$7:$E$2506,'Dataset 1'!$B$7:$B$2506,$A59,'Dataset 1'!$H$7:$H$2506,H$52)</f>
        <v>2340</v>
      </c>
      <c r="I59" s="83">
        <f>SUMIFS('Dataset 1'!$E$7:$E$2506,'Dataset 1'!$B$7:$B$2506,$A59,'Dataset 1'!$H$7:$H$2506,I$52)</f>
        <v>11000</v>
      </c>
      <c r="J59" s="83">
        <f>SUMIFS('Dataset 1'!$E$7:$E$2506,'Dataset 1'!$B$7:$B$2506,$A59,'Dataset 1'!$H$7:$H$2506,J$52)</f>
        <v>970</v>
      </c>
      <c r="K59" s="83">
        <f>SUMIFS('Dataset 1'!$E$7:$E$2506,'Dataset 1'!$B$7:$B$2506,$A59,'Dataset 1'!$H$7:$H$2506,K$52)</f>
        <v>3720</v>
      </c>
      <c r="L59" s="83">
        <f>SUMIFS('Dataset 1'!$E$7:$E$2506,'Dataset 1'!$B$7:$B$2506,$A59,'Dataset 1'!$H$7:$H$2506,L$52)</f>
        <v>1780</v>
      </c>
      <c r="M59" s="83">
        <f>SUMIFS('Dataset 1'!$E$7:$E$2506,'Dataset 1'!$B$7:$B$2506,$A59,'Dataset 1'!$H$7:$H$2506,M$52)</f>
        <v>0</v>
      </c>
      <c r="N59" s="83">
        <f>SUMIFS('Dataset 1'!$E$7:$E$2506,'Dataset 1'!$B$7:$B$2506,$A59,'Dataset 1'!$H$7:$H$2506,N$52)</f>
        <v>4740</v>
      </c>
      <c r="O59" s="83">
        <f>SUMIFS('Dataset 1'!$E$7:$E$2506,'Dataset 1'!$B$7:$B$2506,$A59,'Dataset 1'!$H$7:$H$2506,O$52)</f>
        <v>0</v>
      </c>
    </row>
    <row r="60" spans="1:137" x14ac:dyDescent="0.2">
      <c r="A60">
        <v>2012</v>
      </c>
      <c r="B60" s="83">
        <f>SUMIFS('Dataset 1'!$E$7:$E$2506,'Dataset 1'!$B$7:$B$2506,$A60,'Dataset 1'!$H$7:$H$2506,B$52)</f>
        <v>3750</v>
      </c>
      <c r="C60" s="83">
        <f>SUMIFS('Dataset 1'!$E$7:$E$2506,'Dataset 1'!$B$7:$B$2506,$A60,'Dataset 1'!$H$7:$H$2506,C$52)</f>
        <v>0</v>
      </c>
      <c r="D60" s="83">
        <f>SUMIFS('Dataset 1'!$E$7:$E$2506,'Dataset 1'!$B$7:$B$2506,$A60,'Dataset 1'!$H$7:$H$2506,D$52)</f>
        <v>40390</v>
      </c>
      <c r="E60" s="83">
        <f>SUMIFS('Dataset 1'!$E$7:$E$2506,'Dataset 1'!$B$7:$B$2506,$A60,'Dataset 1'!$H$7:$H$2506,E$52)</f>
        <v>3170</v>
      </c>
      <c r="F60" s="83">
        <f>SUMIFS('Dataset 1'!$E$7:$E$2506,'Dataset 1'!$B$7:$B$2506,$A60,'Dataset 1'!$H$7:$H$2506,F$52)</f>
        <v>2900</v>
      </c>
      <c r="G60" s="83">
        <f>SUMIFS('Dataset 1'!$E$7:$E$2506,'Dataset 1'!$B$7:$B$2506,$A60,'Dataset 1'!$H$7:$H$2506,G$52)</f>
        <v>1020</v>
      </c>
      <c r="H60" s="83">
        <f>SUMIFS('Dataset 1'!$E$7:$E$2506,'Dataset 1'!$B$7:$B$2506,$A60,'Dataset 1'!$H$7:$H$2506,H$52)</f>
        <v>940</v>
      </c>
      <c r="I60" s="83">
        <f>SUMIFS('Dataset 1'!$E$7:$E$2506,'Dataset 1'!$B$7:$B$2506,$A60,'Dataset 1'!$H$7:$H$2506,I$52)</f>
        <v>12670</v>
      </c>
      <c r="J60" s="83">
        <f>SUMIFS('Dataset 1'!$E$7:$E$2506,'Dataset 1'!$B$7:$B$2506,$A60,'Dataset 1'!$H$7:$H$2506,J$52)</f>
        <v>1720</v>
      </c>
      <c r="K60" s="83">
        <f>SUMIFS('Dataset 1'!$E$7:$E$2506,'Dataset 1'!$B$7:$B$2506,$A60,'Dataset 1'!$H$7:$H$2506,K$52)</f>
        <v>5100</v>
      </c>
      <c r="L60" s="83">
        <f>SUMIFS('Dataset 1'!$E$7:$E$2506,'Dataset 1'!$B$7:$B$2506,$A60,'Dataset 1'!$H$7:$H$2506,L$52)</f>
        <v>2140</v>
      </c>
      <c r="M60" s="83">
        <f>SUMIFS('Dataset 1'!$E$7:$E$2506,'Dataset 1'!$B$7:$B$2506,$A60,'Dataset 1'!$H$7:$H$2506,M$52)</f>
        <v>130</v>
      </c>
      <c r="N60" s="83">
        <f>SUMIFS('Dataset 1'!$E$7:$E$2506,'Dataset 1'!$B$7:$B$2506,$A60,'Dataset 1'!$H$7:$H$2506,N$52)</f>
        <v>2470</v>
      </c>
      <c r="O60" s="83">
        <f>SUMIFS('Dataset 1'!$E$7:$E$2506,'Dataset 1'!$B$7:$B$2506,$A60,'Dataset 1'!$H$7:$H$2506,O$52)</f>
        <v>1120</v>
      </c>
    </row>
    <row r="61" spans="1:137" x14ac:dyDescent="0.2">
      <c r="A61">
        <v>2013</v>
      </c>
      <c r="B61" s="83">
        <f>SUMIFS('Dataset 1'!$E$7:$E$2506,'Dataset 1'!$B$7:$B$2506,$A61,'Dataset 1'!$H$7:$H$2506,B$52)</f>
        <v>9640</v>
      </c>
      <c r="C61" s="83">
        <f>SUMIFS('Dataset 1'!$E$7:$E$2506,'Dataset 1'!$B$7:$B$2506,$A61,'Dataset 1'!$H$7:$H$2506,C$52)</f>
        <v>460</v>
      </c>
      <c r="D61" s="83">
        <f>SUMIFS('Dataset 1'!$E$7:$E$2506,'Dataset 1'!$B$7:$B$2506,$A61,'Dataset 1'!$H$7:$H$2506,D$52)</f>
        <v>35760</v>
      </c>
      <c r="E61" s="83">
        <f>SUMIFS('Dataset 1'!$E$7:$E$2506,'Dataset 1'!$B$7:$B$2506,$A61,'Dataset 1'!$H$7:$H$2506,E$52)</f>
        <v>350</v>
      </c>
      <c r="F61" s="83">
        <f>SUMIFS('Dataset 1'!$E$7:$E$2506,'Dataset 1'!$B$7:$B$2506,$A61,'Dataset 1'!$H$7:$H$2506,F$52)</f>
        <v>1020</v>
      </c>
      <c r="G61" s="83">
        <f>SUMIFS('Dataset 1'!$E$7:$E$2506,'Dataset 1'!$B$7:$B$2506,$A61,'Dataset 1'!$H$7:$H$2506,G$52)</f>
        <v>980</v>
      </c>
      <c r="H61" s="83">
        <f>SUMIFS('Dataset 1'!$E$7:$E$2506,'Dataset 1'!$B$7:$B$2506,$A61,'Dataset 1'!$H$7:$H$2506,H$52)</f>
        <v>470</v>
      </c>
      <c r="I61" s="83">
        <f>SUMIFS('Dataset 1'!$E$7:$E$2506,'Dataset 1'!$B$7:$B$2506,$A61,'Dataset 1'!$H$7:$H$2506,I$52)</f>
        <v>6180</v>
      </c>
      <c r="J61" s="83">
        <f>SUMIFS('Dataset 1'!$E$7:$E$2506,'Dataset 1'!$B$7:$B$2506,$A61,'Dataset 1'!$H$7:$H$2506,J$52)</f>
        <v>1150</v>
      </c>
      <c r="K61" s="83">
        <f>SUMIFS('Dataset 1'!$E$7:$E$2506,'Dataset 1'!$B$7:$B$2506,$A61,'Dataset 1'!$H$7:$H$2506,K$52)</f>
        <v>13250</v>
      </c>
      <c r="L61" s="83">
        <f>SUMIFS('Dataset 1'!$E$7:$E$2506,'Dataset 1'!$B$7:$B$2506,$A61,'Dataset 1'!$H$7:$H$2506,L$52)</f>
        <v>310</v>
      </c>
      <c r="M61" s="83">
        <f>SUMIFS('Dataset 1'!$E$7:$E$2506,'Dataset 1'!$B$7:$B$2506,$A61,'Dataset 1'!$H$7:$H$2506,M$52)</f>
        <v>3530</v>
      </c>
      <c r="N61" s="83">
        <f>SUMIFS('Dataset 1'!$E$7:$E$2506,'Dataset 1'!$B$7:$B$2506,$A61,'Dataset 1'!$H$7:$H$2506,N$52)</f>
        <v>2780</v>
      </c>
      <c r="O61" s="83">
        <f>SUMIFS('Dataset 1'!$E$7:$E$2506,'Dataset 1'!$B$7:$B$2506,$A61,'Dataset 1'!$H$7:$H$2506,O$52)</f>
        <v>100</v>
      </c>
    </row>
    <row r="62" spans="1:137" x14ac:dyDescent="0.2">
      <c r="A62">
        <v>2014</v>
      </c>
      <c r="B62" s="83">
        <f>SUMIFS('Dataset 1'!$E$7:$E$2506,'Dataset 1'!$B$7:$B$2506,$A62,'Dataset 1'!$H$7:$H$2506,B$52)</f>
        <v>7650</v>
      </c>
      <c r="C62" s="83">
        <f>SUMIFS('Dataset 1'!$E$7:$E$2506,'Dataset 1'!$B$7:$B$2506,$A62,'Dataset 1'!$H$7:$H$2506,C$52)</f>
        <v>0</v>
      </c>
      <c r="D62" s="83">
        <f>SUMIFS('Dataset 1'!$E$7:$E$2506,'Dataset 1'!$B$7:$B$2506,$A62,'Dataset 1'!$H$7:$H$2506,D$52)</f>
        <v>29270</v>
      </c>
      <c r="E62" s="83">
        <f>SUMIFS('Dataset 1'!$E$7:$E$2506,'Dataset 1'!$B$7:$B$2506,$A62,'Dataset 1'!$H$7:$H$2506,E$52)</f>
        <v>2110</v>
      </c>
      <c r="F62" s="83">
        <f>SUMIFS('Dataset 1'!$E$7:$E$2506,'Dataset 1'!$B$7:$B$2506,$A62,'Dataset 1'!$H$7:$H$2506,F$52)</f>
        <v>5970</v>
      </c>
      <c r="G62" s="83">
        <f>SUMIFS('Dataset 1'!$E$7:$E$2506,'Dataset 1'!$B$7:$B$2506,$A62,'Dataset 1'!$H$7:$H$2506,G$52)</f>
        <v>590</v>
      </c>
      <c r="H62" s="83">
        <f>SUMIFS('Dataset 1'!$E$7:$E$2506,'Dataset 1'!$B$7:$B$2506,$A62,'Dataset 1'!$H$7:$H$2506,H$52)</f>
        <v>1370</v>
      </c>
      <c r="I62" s="83">
        <f>SUMIFS('Dataset 1'!$E$7:$E$2506,'Dataset 1'!$B$7:$B$2506,$A62,'Dataset 1'!$H$7:$H$2506,I$52)</f>
        <v>14490</v>
      </c>
      <c r="J62" s="83">
        <f>SUMIFS('Dataset 1'!$E$7:$E$2506,'Dataset 1'!$B$7:$B$2506,$A62,'Dataset 1'!$H$7:$H$2506,J$52)</f>
        <v>1990</v>
      </c>
      <c r="K62" s="83">
        <f>SUMIFS('Dataset 1'!$E$7:$E$2506,'Dataset 1'!$B$7:$B$2506,$A62,'Dataset 1'!$H$7:$H$2506,K$52)</f>
        <v>15500</v>
      </c>
      <c r="L62" s="83">
        <f>SUMIFS('Dataset 1'!$E$7:$E$2506,'Dataset 1'!$B$7:$B$2506,$A62,'Dataset 1'!$H$7:$H$2506,L$52)</f>
        <v>8090</v>
      </c>
      <c r="M62" s="83">
        <f>SUMIFS('Dataset 1'!$E$7:$E$2506,'Dataset 1'!$B$7:$B$2506,$A62,'Dataset 1'!$H$7:$H$2506,M$52)</f>
        <v>6610</v>
      </c>
      <c r="N62" s="83">
        <f>SUMIFS('Dataset 1'!$E$7:$E$2506,'Dataset 1'!$B$7:$B$2506,$A62,'Dataset 1'!$H$7:$H$2506,N$52)</f>
        <v>6300</v>
      </c>
      <c r="O62" s="83">
        <f>SUMIFS('Dataset 1'!$E$7:$E$2506,'Dataset 1'!$B$7:$B$2506,$A62,'Dataset 1'!$H$7:$H$2506,O$52)</f>
        <v>800</v>
      </c>
    </row>
    <row r="63" spans="1:137" x14ac:dyDescent="0.2">
      <c r="A63">
        <v>2015</v>
      </c>
      <c r="B63" s="83">
        <f>SUMIFS('Dataset 1'!$E$7:$E$2506,'Dataset 1'!$B$7:$B$2506,$A63,'Dataset 1'!$H$7:$H$2506,B$52)</f>
        <v>1190</v>
      </c>
      <c r="C63" s="83">
        <f>SUMIFS('Dataset 1'!$E$7:$E$2506,'Dataset 1'!$B$7:$B$2506,$A63,'Dataset 1'!$H$7:$H$2506,C$52)</f>
        <v>0</v>
      </c>
      <c r="D63" s="83">
        <f>SUMIFS('Dataset 1'!$E$7:$E$2506,'Dataset 1'!$B$7:$B$2506,$A63,'Dataset 1'!$H$7:$H$2506,D$52)</f>
        <v>31400</v>
      </c>
      <c r="E63" s="83">
        <f>SUMIFS('Dataset 1'!$E$7:$E$2506,'Dataset 1'!$B$7:$B$2506,$A63,'Dataset 1'!$H$7:$H$2506,E$52)</f>
        <v>3740</v>
      </c>
      <c r="F63" s="83">
        <f>SUMIFS('Dataset 1'!$E$7:$E$2506,'Dataset 1'!$B$7:$B$2506,$A63,'Dataset 1'!$H$7:$H$2506,F$52)</f>
        <v>14040</v>
      </c>
      <c r="G63" s="83">
        <f>SUMIFS('Dataset 1'!$E$7:$E$2506,'Dataset 1'!$B$7:$B$2506,$A63,'Dataset 1'!$H$7:$H$2506,G$52)</f>
        <v>2410</v>
      </c>
      <c r="H63" s="83">
        <f>SUMIFS('Dataset 1'!$E$7:$E$2506,'Dataset 1'!$B$7:$B$2506,$A63,'Dataset 1'!$H$7:$H$2506,H$52)</f>
        <v>5430</v>
      </c>
      <c r="I63" s="83">
        <f>SUMIFS('Dataset 1'!$E$7:$E$2506,'Dataset 1'!$B$7:$B$2506,$A63,'Dataset 1'!$H$7:$H$2506,I$52)</f>
        <v>5330</v>
      </c>
      <c r="J63" s="83">
        <f>SUMIFS('Dataset 1'!$E$7:$E$2506,'Dataset 1'!$B$7:$B$2506,$A63,'Dataset 1'!$H$7:$H$2506,J$52)</f>
        <v>1480</v>
      </c>
      <c r="K63" s="83">
        <f>SUMIFS('Dataset 1'!$E$7:$E$2506,'Dataset 1'!$B$7:$B$2506,$A63,'Dataset 1'!$H$7:$H$2506,K$52)</f>
        <v>15570</v>
      </c>
      <c r="L63" s="83">
        <f>SUMIFS('Dataset 1'!$E$7:$E$2506,'Dataset 1'!$B$7:$B$2506,$A63,'Dataset 1'!$H$7:$H$2506,L$52)</f>
        <v>8690</v>
      </c>
      <c r="M63" s="83">
        <f>SUMIFS('Dataset 1'!$E$7:$E$2506,'Dataset 1'!$B$7:$B$2506,$A63,'Dataset 1'!$H$7:$H$2506,M$52)</f>
        <v>4000</v>
      </c>
      <c r="N63" s="83">
        <f>SUMIFS('Dataset 1'!$E$7:$E$2506,'Dataset 1'!$B$7:$B$2506,$A63,'Dataset 1'!$H$7:$H$2506,N$52)</f>
        <v>21300</v>
      </c>
      <c r="O63" s="83">
        <f>SUMIFS('Dataset 1'!$E$7:$E$2506,'Dataset 1'!$B$7:$B$2506,$A63,'Dataset 1'!$H$7:$H$2506,O$52)</f>
        <v>730</v>
      </c>
    </row>
    <row r="64" spans="1:137" x14ac:dyDescent="0.2">
      <c r="A64">
        <v>2016</v>
      </c>
      <c r="B64" s="83">
        <f>SUMIFS('Dataset 1'!$E$7:$E$2506,'Dataset 1'!$B$7:$B$2506,$A64,'Dataset 1'!$H$7:$H$2506,B$52)</f>
        <v>6090</v>
      </c>
      <c r="C64" s="83">
        <f>SUMIFS('Dataset 1'!$E$7:$E$2506,'Dataset 1'!$B$7:$B$2506,$A64,'Dataset 1'!$H$7:$H$2506,C$52)</f>
        <v>1650</v>
      </c>
      <c r="D64" s="83">
        <f>SUMIFS('Dataset 1'!$E$7:$E$2506,'Dataset 1'!$B$7:$B$2506,$A64,'Dataset 1'!$H$7:$H$2506,D$52)</f>
        <v>37280</v>
      </c>
      <c r="E64" s="83">
        <f>SUMIFS('Dataset 1'!$E$7:$E$2506,'Dataset 1'!$B$7:$B$2506,$A64,'Dataset 1'!$H$7:$H$2506,E$52)</f>
        <v>22030</v>
      </c>
      <c r="F64" s="83">
        <f>SUMIFS('Dataset 1'!$E$7:$E$2506,'Dataset 1'!$B$7:$B$2506,$A64,'Dataset 1'!$H$7:$H$2506,F$52)</f>
        <v>3080</v>
      </c>
      <c r="G64" s="83">
        <f>SUMIFS('Dataset 1'!$E$7:$E$2506,'Dataset 1'!$B$7:$B$2506,$A64,'Dataset 1'!$H$7:$H$2506,G$52)</f>
        <v>2820</v>
      </c>
      <c r="H64" s="83">
        <f>SUMIFS('Dataset 1'!$E$7:$E$2506,'Dataset 1'!$B$7:$B$2506,$A64,'Dataset 1'!$H$7:$H$2506,H$52)</f>
        <v>3060</v>
      </c>
      <c r="I64" s="83">
        <f>SUMIFS('Dataset 1'!$E$7:$E$2506,'Dataset 1'!$B$7:$B$2506,$A64,'Dataset 1'!$H$7:$H$2506,I$52)</f>
        <v>4600</v>
      </c>
      <c r="J64" s="83">
        <f>SUMIFS('Dataset 1'!$E$7:$E$2506,'Dataset 1'!$B$7:$B$2506,$A64,'Dataset 1'!$H$7:$H$2506,J$52)</f>
        <v>12470</v>
      </c>
      <c r="K64" s="83">
        <f>SUMIFS('Dataset 1'!$E$7:$E$2506,'Dataset 1'!$B$7:$B$2506,$A64,'Dataset 1'!$H$7:$H$2506,K$52)</f>
        <v>16860</v>
      </c>
      <c r="L64" s="83">
        <f>SUMIFS('Dataset 1'!$E$7:$E$2506,'Dataset 1'!$B$7:$B$2506,$A64,'Dataset 1'!$H$7:$H$2506,L$52)</f>
        <v>23650</v>
      </c>
      <c r="M64" s="83">
        <f>SUMIFS('Dataset 1'!$E$7:$E$2506,'Dataset 1'!$B$7:$B$2506,$A64,'Dataset 1'!$H$7:$H$2506,M$52)</f>
        <v>22370</v>
      </c>
      <c r="N64" s="83">
        <f>SUMIFS('Dataset 1'!$E$7:$E$2506,'Dataset 1'!$B$7:$B$2506,$A64,'Dataset 1'!$H$7:$H$2506,N$52)</f>
        <v>11240</v>
      </c>
      <c r="O64" s="83">
        <f>SUMIFS('Dataset 1'!$E$7:$E$2506,'Dataset 1'!$B$7:$B$2506,$A64,'Dataset 1'!$H$7:$H$2506,O$52)</f>
        <v>1930</v>
      </c>
    </row>
    <row r="65" spans="1:15" x14ac:dyDescent="0.2">
      <c r="A65">
        <v>2017</v>
      </c>
      <c r="B65" s="83">
        <f>SUMIFS('Dataset 1'!$E$7:$E$2506,'Dataset 1'!$B$7:$B$2506,$A65,'Dataset 1'!$H$7:$H$2506,B$52)</f>
        <v>45870</v>
      </c>
      <c r="C65" s="83">
        <f>SUMIFS('Dataset 1'!$E$7:$E$2506,'Dataset 1'!$B$7:$B$2506,$A65,'Dataset 1'!$H$7:$H$2506,C$52)</f>
        <v>130</v>
      </c>
      <c r="D65" s="83">
        <f>SUMIFS('Dataset 1'!$E$7:$E$2506,'Dataset 1'!$B$7:$B$2506,$A65,'Dataset 1'!$H$7:$H$2506,D$52)</f>
        <v>20980</v>
      </c>
      <c r="E65" s="83">
        <f>SUMIFS('Dataset 1'!$E$7:$E$2506,'Dataset 1'!$B$7:$B$2506,$A65,'Dataset 1'!$H$7:$H$2506,E$52)</f>
        <v>6560</v>
      </c>
      <c r="F65" s="83">
        <f>SUMIFS('Dataset 1'!$E$7:$E$2506,'Dataset 1'!$B$7:$B$2506,$A65,'Dataset 1'!$H$7:$H$2506,F$52)</f>
        <v>16620</v>
      </c>
      <c r="G65" s="83">
        <f>SUMIFS('Dataset 1'!$E$7:$E$2506,'Dataset 1'!$B$7:$B$2506,$A65,'Dataset 1'!$H$7:$H$2506,G$52)</f>
        <v>5830</v>
      </c>
      <c r="H65" s="83">
        <f>SUMIFS('Dataset 1'!$E$7:$E$2506,'Dataset 1'!$B$7:$B$2506,$A65,'Dataset 1'!$H$7:$H$2506,H$52)</f>
        <v>23880</v>
      </c>
      <c r="I65" s="83">
        <f>SUMIFS('Dataset 1'!$E$7:$E$2506,'Dataset 1'!$B$7:$B$2506,$A65,'Dataset 1'!$H$7:$H$2506,I$52)</f>
        <v>4210</v>
      </c>
      <c r="J65" s="83">
        <f>SUMIFS('Dataset 1'!$E$7:$E$2506,'Dataset 1'!$B$7:$B$2506,$A65,'Dataset 1'!$H$7:$H$2506,J$52)</f>
        <v>6110</v>
      </c>
      <c r="K65" s="83">
        <f>SUMIFS('Dataset 1'!$E$7:$E$2506,'Dataset 1'!$B$7:$B$2506,$A65,'Dataset 1'!$H$7:$H$2506,K$52)</f>
        <v>15610</v>
      </c>
      <c r="L65" s="83">
        <f>SUMIFS('Dataset 1'!$E$7:$E$2506,'Dataset 1'!$B$7:$B$2506,$A65,'Dataset 1'!$H$7:$H$2506,L$52)</f>
        <v>3590</v>
      </c>
      <c r="M65" s="83">
        <f>SUMIFS('Dataset 1'!$E$7:$E$2506,'Dataset 1'!$B$7:$B$2506,$A65,'Dataset 1'!$H$7:$H$2506,M$52)</f>
        <v>4800</v>
      </c>
      <c r="N65" s="83">
        <f>SUMIFS('Dataset 1'!$E$7:$E$2506,'Dataset 1'!$B$7:$B$2506,$A65,'Dataset 1'!$H$7:$H$2506,N$52)</f>
        <v>20790</v>
      </c>
      <c r="O65" s="83">
        <f>SUMIFS('Dataset 1'!$E$7:$E$2506,'Dataset 1'!$B$7:$B$2506,$A65,'Dataset 1'!$H$7:$H$2506,O$52)</f>
        <v>110</v>
      </c>
    </row>
    <row r="66" spans="1:15" x14ac:dyDescent="0.2">
      <c r="A66">
        <v>2018</v>
      </c>
      <c r="B66" s="83">
        <f>SUMIFS('Dataset 1'!$E$7:$E$2506,'Dataset 1'!$B$7:$B$2506,$A66,'Dataset 1'!$H$7:$H$2506,B$52)</f>
        <v>2940</v>
      </c>
      <c r="C66" s="83">
        <f>SUMIFS('Dataset 1'!$E$7:$E$2506,'Dataset 1'!$B$7:$B$2506,$A66,'Dataset 1'!$H$7:$H$2506,C$52)</f>
        <v>1080</v>
      </c>
      <c r="D66" s="83">
        <f>SUMIFS('Dataset 1'!$E$7:$E$2506,'Dataset 1'!$B$7:$B$2506,$A66,'Dataset 1'!$H$7:$H$2506,D$52)</f>
        <v>23070</v>
      </c>
      <c r="E66" s="83">
        <f>SUMIFS('Dataset 1'!$E$7:$E$2506,'Dataset 1'!$B$7:$B$2506,$A66,'Dataset 1'!$H$7:$H$2506,E$52)</f>
        <v>4710</v>
      </c>
      <c r="F66" s="83">
        <f>SUMIFS('Dataset 1'!$E$7:$E$2506,'Dataset 1'!$B$7:$B$2506,$A66,'Dataset 1'!$H$7:$H$2506,F$52)</f>
        <v>4810</v>
      </c>
      <c r="G66" s="83">
        <f>SUMIFS('Dataset 1'!$E$7:$E$2506,'Dataset 1'!$B$7:$B$2506,$A66,'Dataset 1'!$H$7:$H$2506,G$52)</f>
        <v>6030</v>
      </c>
      <c r="H66" s="83">
        <f>SUMIFS('Dataset 1'!$E$7:$E$2506,'Dataset 1'!$B$7:$B$2506,$A66,'Dataset 1'!$H$7:$H$2506,H$52)</f>
        <v>470</v>
      </c>
      <c r="I66" s="83">
        <f>SUMIFS('Dataset 1'!$E$7:$E$2506,'Dataset 1'!$B$7:$B$2506,$A66,'Dataset 1'!$H$7:$H$2506,I$52)</f>
        <v>15280</v>
      </c>
      <c r="J66" s="83">
        <f>SUMIFS('Dataset 1'!$E$7:$E$2506,'Dataset 1'!$B$7:$B$2506,$A66,'Dataset 1'!$H$7:$H$2506,J$52)</f>
        <v>13900</v>
      </c>
      <c r="K66" s="83">
        <f>SUMIFS('Dataset 1'!$E$7:$E$2506,'Dataset 1'!$B$7:$B$2506,$A66,'Dataset 1'!$H$7:$H$2506,K$52)</f>
        <v>5160</v>
      </c>
      <c r="L66" s="83">
        <f>SUMIFS('Dataset 1'!$E$7:$E$2506,'Dataset 1'!$B$7:$B$2506,$A66,'Dataset 1'!$H$7:$H$2506,L$52)</f>
        <v>8640</v>
      </c>
      <c r="M66" s="83">
        <f>SUMIFS('Dataset 1'!$E$7:$E$2506,'Dataset 1'!$B$7:$B$2506,$A66,'Dataset 1'!$H$7:$H$2506,M$52)</f>
        <v>560</v>
      </c>
      <c r="N66" s="83">
        <f>SUMIFS('Dataset 1'!$E$7:$E$2506,'Dataset 1'!$B$7:$B$2506,$A66,'Dataset 1'!$H$7:$H$2506,N$52)</f>
        <v>29770</v>
      </c>
      <c r="O66" s="83">
        <f>SUMIFS('Dataset 1'!$E$7:$E$2506,'Dataset 1'!$B$7:$B$2506,$A66,'Dataset 1'!$H$7:$H$2506,O$52)</f>
        <v>1590</v>
      </c>
    </row>
    <row r="67" spans="1:15" x14ac:dyDescent="0.2">
      <c r="A67">
        <v>2019</v>
      </c>
      <c r="B67" s="83">
        <f>SUMIFS('Dataset 1'!$E$7:$E$2506,'Dataset 1'!$B$7:$B$2506,$A67,'Dataset 1'!$H$7:$H$2506,B$52)</f>
        <v>2000</v>
      </c>
      <c r="C67" s="83">
        <f>SUMIFS('Dataset 1'!$E$7:$E$2506,'Dataset 1'!$B$7:$B$2506,$A67,'Dataset 1'!$H$7:$H$2506,C$52)</f>
        <v>270</v>
      </c>
      <c r="D67" s="83">
        <f>SUMIFS('Dataset 1'!$E$7:$E$2506,'Dataset 1'!$B$7:$B$2506,$A67,'Dataset 1'!$H$7:$H$2506,D$52)</f>
        <v>29950</v>
      </c>
      <c r="E67" s="83">
        <f>SUMIFS('Dataset 1'!$E$7:$E$2506,'Dataset 1'!$B$7:$B$2506,$A67,'Dataset 1'!$H$7:$H$2506,E$52)</f>
        <v>9940</v>
      </c>
      <c r="F67" s="83">
        <f>SUMIFS('Dataset 1'!$E$7:$E$2506,'Dataset 1'!$B$7:$B$2506,$A67,'Dataset 1'!$H$7:$H$2506,F$52)</f>
        <v>2360</v>
      </c>
      <c r="G67" s="83">
        <f>SUMIFS('Dataset 1'!$E$7:$E$2506,'Dataset 1'!$B$7:$B$2506,$A67,'Dataset 1'!$H$7:$H$2506,G$52)</f>
        <v>2900</v>
      </c>
      <c r="H67" s="83">
        <f>SUMIFS('Dataset 1'!$E$7:$E$2506,'Dataset 1'!$B$7:$B$2506,$A67,'Dataset 1'!$H$7:$H$2506,H$52)</f>
        <v>1210</v>
      </c>
      <c r="I67" s="83">
        <f>SUMIFS('Dataset 1'!$E$7:$E$2506,'Dataset 1'!$B$7:$B$2506,$A67,'Dataset 1'!$H$7:$H$2506,I$52)</f>
        <v>11720</v>
      </c>
      <c r="J67" s="83">
        <f>SUMIFS('Dataset 1'!$E$7:$E$2506,'Dataset 1'!$B$7:$B$2506,$A67,'Dataset 1'!$H$7:$H$2506,J$52)</f>
        <v>5970</v>
      </c>
      <c r="K67" s="83">
        <f>SUMIFS('Dataset 1'!$E$7:$E$2506,'Dataset 1'!$B$7:$B$2506,$A67,'Dataset 1'!$H$7:$H$2506,K$52)</f>
        <v>4740</v>
      </c>
      <c r="L67" s="83">
        <f>SUMIFS('Dataset 1'!$E$7:$E$2506,'Dataset 1'!$B$7:$B$2506,$A67,'Dataset 1'!$H$7:$H$2506,L$52)</f>
        <v>5390</v>
      </c>
      <c r="M67" s="83">
        <f>SUMIFS('Dataset 1'!$E$7:$E$2506,'Dataset 1'!$B$7:$B$2506,$A67,'Dataset 1'!$H$7:$H$2506,M$52)</f>
        <v>1970</v>
      </c>
      <c r="N67" s="83">
        <f>SUMIFS('Dataset 1'!$E$7:$E$2506,'Dataset 1'!$B$7:$B$2506,$A67,'Dataset 1'!$H$7:$H$2506,N$52)</f>
        <v>17880</v>
      </c>
      <c r="O67" s="83">
        <f>SUMIFS('Dataset 1'!$E$7:$E$2506,'Dataset 1'!$B$7:$B$2506,$A67,'Dataset 1'!$H$7:$H$2506,O$52)</f>
        <v>0</v>
      </c>
    </row>
    <row r="68" spans="1:15" x14ac:dyDescent="0.2">
      <c r="A68">
        <v>2020</v>
      </c>
      <c r="B68" s="83">
        <f>SUMIFS('Dataset 1'!$E$7:$E$2506,'Dataset 1'!$B$7:$B$2506,$A68,'Dataset 1'!$H$7:$H$2506,B$52)</f>
        <v>720</v>
      </c>
      <c r="C68" s="83">
        <f>SUMIFS('Dataset 1'!$E$7:$E$2506,'Dataset 1'!$B$7:$B$2506,$A68,'Dataset 1'!$H$7:$H$2506,C$52)</f>
        <v>180</v>
      </c>
      <c r="D68" s="83">
        <f>SUMIFS('Dataset 1'!$E$7:$E$2506,'Dataset 1'!$B$7:$B$2506,$A68,'Dataset 1'!$H$7:$H$2506,D$52)</f>
        <v>15300</v>
      </c>
      <c r="E68" s="83">
        <f>SUMIFS('Dataset 1'!$E$7:$E$2506,'Dataset 1'!$B$7:$B$2506,$A68,'Dataset 1'!$H$7:$H$2506,E$52)</f>
        <v>4060</v>
      </c>
      <c r="F68" s="83">
        <f>SUMIFS('Dataset 1'!$E$7:$E$2506,'Dataset 1'!$B$7:$B$2506,$A68,'Dataset 1'!$H$7:$H$2506,F$52)</f>
        <v>1400</v>
      </c>
      <c r="G68" s="83">
        <f>SUMIFS('Dataset 1'!$E$7:$E$2506,'Dataset 1'!$B$7:$B$2506,$A68,'Dataset 1'!$H$7:$H$2506,G$52)</f>
        <v>1330</v>
      </c>
      <c r="H68" s="83">
        <f>SUMIFS('Dataset 1'!$E$7:$E$2506,'Dataset 1'!$B$7:$B$2506,$A68,'Dataset 1'!$H$7:$H$2506,H$52)</f>
        <v>1990</v>
      </c>
      <c r="I68" s="83">
        <f>SUMIFS('Dataset 1'!$E$7:$E$2506,'Dataset 1'!$B$7:$B$2506,$A68,'Dataset 1'!$H$7:$H$2506,I$52)</f>
        <v>4110</v>
      </c>
      <c r="J68" s="83">
        <f>SUMIFS('Dataset 1'!$E$7:$E$2506,'Dataset 1'!$B$7:$B$2506,$A68,'Dataset 1'!$H$7:$H$2506,J$52)</f>
        <v>2170</v>
      </c>
      <c r="K68" s="83">
        <f>SUMIFS('Dataset 1'!$E$7:$E$2506,'Dataset 1'!$B$7:$B$2506,$A68,'Dataset 1'!$H$7:$H$2506,K$52)</f>
        <v>4580</v>
      </c>
      <c r="L68" s="83">
        <f>SUMIFS('Dataset 1'!$E$7:$E$2506,'Dataset 1'!$B$7:$B$2506,$A68,'Dataset 1'!$H$7:$H$2506,L$52)</f>
        <v>2620</v>
      </c>
      <c r="M68" s="83">
        <f>SUMIFS('Dataset 1'!$E$7:$E$2506,'Dataset 1'!$B$7:$B$2506,$A68,'Dataset 1'!$H$7:$H$2506,M$52)</f>
        <v>180</v>
      </c>
      <c r="N68" s="83">
        <f>SUMIFS('Dataset 1'!$E$7:$E$2506,'Dataset 1'!$B$7:$B$2506,$A68,'Dataset 1'!$H$7:$H$2506,N$52)</f>
        <v>6730</v>
      </c>
      <c r="O68" s="83">
        <f>SUMIFS('Dataset 1'!$E$7:$E$2506,'Dataset 1'!$B$7:$B$2506,$A68,'Dataset 1'!$H$7:$H$2506,O$52)</f>
        <v>0</v>
      </c>
    </row>
    <row r="69" spans="1:15" x14ac:dyDescent="0.2">
      <c r="A69">
        <v>2021</v>
      </c>
      <c r="B69" s="83">
        <f>SUMIFS('Dataset 1'!$E$7:$E$2506,'Dataset 1'!$B$7:$B$2506,$A69,'Dataset 1'!$H$7:$H$2506,B$52)</f>
        <v>540</v>
      </c>
      <c r="C69" s="83">
        <f>SUMIFS('Dataset 1'!$E$7:$E$2506,'Dataset 1'!$B$7:$B$2506,$A69,'Dataset 1'!$H$7:$H$2506,C$52)</f>
        <v>520</v>
      </c>
      <c r="D69" s="83">
        <f>SUMIFS('Dataset 1'!$E$7:$E$2506,'Dataset 1'!$B$7:$B$2506,$A69,'Dataset 1'!$H$7:$H$2506,D$52)</f>
        <v>15150</v>
      </c>
      <c r="E69" s="83">
        <f>SUMIFS('Dataset 1'!$E$7:$E$2506,'Dataset 1'!$B$7:$B$2506,$A69,'Dataset 1'!$H$7:$H$2506,E$52)</f>
        <v>1810</v>
      </c>
      <c r="F69" s="83">
        <f>SUMIFS('Dataset 1'!$E$7:$E$2506,'Dataset 1'!$B$7:$B$2506,$A69,'Dataset 1'!$H$7:$H$2506,F$52)</f>
        <v>920</v>
      </c>
      <c r="G69" s="83">
        <f>SUMIFS('Dataset 1'!$E$7:$E$2506,'Dataset 1'!$B$7:$B$2506,$A69,'Dataset 1'!$H$7:$H$2506,G$52)</f>
        <v>3950</v>
      </c>
      <c r="H69" s="83">
        <f>SUMIFS('Dataset 1'!$E$7:$E$2506,'Dataset 1'!$B$7:$B$2506,$A69,'Dataset 1'!$H$7:$H$2506,H$52)</f>
        <v>2150</v>
      </c>
      <c r="I69" s="83">
        <f>SUMIFS('Dataset 1'!$E$7:$E$2506,'Dataset 1'!$B$7:$B$2506,$A69,'Dataset 1'!$H$7:$H$2506,I$52)</f>
        <v>7180</v>
      </c>
      <c r="J69" s="83">
        <f>SUMIFS('Dataset 1'!$E$7:$E$2506,'Dataset 1'!$B$7:$B$2506,$A69,'Dataset 1'!$H$7:$H$2506,J$52)</f>
        <v>8400</v>
      </c>
      <c r="K69" s="83">
        <f>SUMIFS('Dataset 1'!$E$7:$E$2506,'Dataset 1'!$B$7:$B$2506,$A69,'Dataset 1'!$H$7:$H$2506,K$52)</f>
        <v>960</v>
      </c>
      <c r="L69" s="83">
        <f>SUMIFS('Dataset 1'!$E$7:$E$2506,'Dataset 1'!$B$7:$B$2506,$A69,'Dataset 1'!$H$7:$H$2506,L$52)</f>
        <v>2030</v>
      </c>
      <c r="M69" s="83">
        <f>SUMIFS('Dataset 1'!$E$7:$E$2506,'Dataset 1'!$B$7:$B$2506,$A69,'Dataset 1'!$H$7:$H$2506,M$52)</f>
        <v>0</v>
      </c>
      <c r="N69" s="83">
        <f>SUMIFS('Dataset 1'!$E$7:$E$2506,'Dataset 1'!$B$7:$B$2506,$A69,'Dataset 1'!$H$7:$H$2506,N$52)</f>
        <v>10320</v>
      </c>
      <c r="O69" s="83">
        <f>SUMIFS('Dataset 1'!$E$7:$E$2506,'Dataset 1'!$B$7:$B$2506,$A69,'Dataset 1'!$H$7:$H$2506,O$52)</f>
        <v>100</v>
      </c>
    </row>
    <row r="70" spans="1:15" x14ac:dyDescent="0.2">
      <c r="A70">
        <v>2022</v>
      </c>
      <c r="B70" s="83">
        <f>SUMIFS('Dataset 1'!$E$7:$E$2506,'Dataset 1'!$B$7:$B$2506,$A70,'Dataset 1'!$H$7:$H$2506,B$52)</f>
        <v>170</v>
      </c>
      <c r="C70" s="83">
        <f>SUMIFS('Dataset 1'!$E$7:$E$2506,'Dataset 1'!$B$7:$B$2506,$A70,'Dataset 1'!$H$7:$H$2506,C$52)</f>
        <v>0</v>
      </c>
      <c r="D70" s="83">
        <f>SUMIFS('Dataset 1'!$E$7:$E$2506,'Dataset 1'!$B$7:$B$2506,$A70,'Dataset 1'!$H$7:$H$2506,D$52)</f>
        <v>15960</v>
      </c>
      <c r="E70" s="83">
        <f>SUMIFS('Dataset 1'!$E$7:$E$2506,'Dataset 1'!$B$7:$B$2506,$A70,'Dataset 1'!$H$7:$H$2506,E$52)</f>
        <v>550</v>
      </c>
      <c r="F70" s="83">
        <f>SUMIFS('Dataset 1'!$E$7:$E$2506,'Dataset 1'!$B$7:$B$2506,$A70,'Dataset 1'!$H$7:$H$2506,F$52)</f>
        <v>3160</v>
      </c>
      <c r="G70" s="83">
        <f>SUMIFS('Dataset 1'!$E$7:$E$2506,'Dataset 1'!$B$7:$B$2506,$A70,'Dataset 1'!$H$7:$H$2506,G$52)</f>
        <v>2210</v>
      </c>
      <c r="H70" s="83">
        <f>SUMIFS('Dataset 1'!$E$7:$E$2506,'Dataset 1'!$B$7:$B$2506,$A70,'Dataset 1'!$H$7:$H$2506,H$52)</f>
        <v>140</v>
      </c>
      <c r="I70" s="83">
        <f>SUMIFS('Dataset 1'!$E$7:$E$2506,'Dataset 1'!$B$7:$B$2506,$A70,'Dataset 1'!$H$7:$H$2506,I$52)</f>
        <v>8920</v>
      </c>
      <c r="J70" s="83">
        <f>SUMIFS('Dataset 1'!$E$7:$E$2506,'Dataset 1'!$B$7:$B$2506,$A70,'Dataset 1'!$H$7:$H$2506,J$52)</f>
        <v>4630</v>
      </c>
      <c r="K70" s="83">
        <f>SUMIFS('Dataset 1'!$E$7:$E$2506,'Dataset 1'!$B$7:$B$2506,$A70,'Dataset 1'!$H$7:$H$2506,K$52)</f>
        <v>1940</v>
      </c>
      <c r="L70" s="83">
        <f>SUMIFS('Dataset 1'!$E$7:$E$2506,'Dataset 1'!$B$7:$B$2506,$A70,'Dataset 1'!$H$7:$H$2506,L$52)</f>
        <v>1780</v>
      </c>
      <c r="M70" s="83">
        <f>SUMIFS('Dataset 1'!$E$7:$E$2506,'Dataset 1'!$B$7:$B$2506,$A70,'Dataset 1'!$H$7:$H$2506,M$52)</f>
        <v>0</v>
      </c>
      <c r="N70" s="83">
        <f>SUMIFS('Dataset 1'!$E$7:$E$2506,'Dataset 1'!$B$7:$B$2506,$A70,'Dataset 1'!$H$7:$H$2506,N$52)</f>
        <v>4860</v>
      </c>
      <c r="O70" s="83">
        <f>SUMIFS('Dataset 1'!$E$7:$E$2506,'Dataset 1'!$B$7:$B$2506,$A70,'Dataset 1'!$H$7:$H$2506,O$52)</f>
        <v>0</v>
      </c>
    </row>
    <row r="71" spans="1:15" x14ac:dyDescent="0.2">
      <c r="A71">
        <v>2023</v>
      </c>
      <c r="B71" s="83">
        <f>SUMIFS('Dataset 1'!$E$7:$E$2506,'Dataset 1'!$B$7:$B$2506,$A71,'Dataset 1'!$H$7:$H$2506,B$52)</f>
        <v>1200</v>
      </c>
      <c r="C71" s="83">
        <f>SUMIFS('Dataset 1'!$E$7:$E$2506,'Dataset 1'!$B$7:$B$2506,$A71,'Dataset 1'!$H$7:$H$2506,C$52)</f>
        <v>1560</v>
      </c>
      <c r="D71" s="83">
        <f>SUMIFS('Dataset 1'!$E$7:$E$2506,'Dataset 1'!$B$7:$B$2506,$A71,'Dataset 1'!$H$7:$H$2506,D$52)</f>
        <v>13110</v>
      </c>
      <c r="E71" s="83">
        <f>SUMIFS('Dataset 1'!$E$7:$E$2506,'Dataset 1'!$B$7:$B$2506,$A71,'Dataset 1'!$H$7:$H$2506,E$52)</f>
        <v>1520</v>
      </c>
      <c r="F71" s="83">
        <f>SUMIFS('Dataset 1'!$E$7:$E$2506,'Dataset 1'!$B$7:$B$2506,$A71,'Dataset 1'!$H$7:$H$2506,F$52)</f>
        <v>540</v>
      </c>
      <c r="G71" s="83">
        <f>SUMIFS('Dataset 1'!$E$7:$E$2506,'Dataset 1'!$B$7:$B$2506,$A71,'Dataset 1'!$H$7:$H$2506,G$52)</f>
        <v>1060</v>
      </c>
      <c r="H71" s="83">
        <f>SUMIFS('Dataset 1'!$E$7:$E$2506,'Dataset 1'!$B$7:$B$2506,$A71,'Dataset 1'!$H$7:$H$2506,H$52)</f>
        <v>1630</v>
      </c>
      <c r="I71" s="83">
        <f>SUMIFS('Dataset 1'!$E$7:$E$2506,'Dataset 1'!$B$7:$B$2506,$A71,'Dataset 1'!$H$7:$H$2506,I$52)</f>
        <v>15330</v>
      </c>
      <c r="J71" s="83">
        <f>SUMIFS('Dataset 1'!$E$7:$E$2506,'Dataset 1'!$B$7:$B$2506,$A71,'Dataset 1'!$H$7:$H$2506,J$52)</f>
        <v>5620</v>
      </c>
      <c r="K71" s="83">
        <f>SUMIFS('Dataset 1'!$E$7:$E$2506,'Dataset 1'!$B$7:$B$2506,$A71,'Dataset 1'!$H$7:$H$2506,K$52)</f>
        <v>1710</v>
      </c>
      <c r="L71" s="83">
        <f>SUMIFS('Dataset 1'!$E$7:$E$2506,'Dataset 1'!$B$7:$B$2506,$A71,'Dataset 1'!$H$7:$H$2506,L$52)</f>
        <v>4290</v>
      </c>
      <c r="M71" s="83">
        <f>SUMIFS('Dataset 1'!$E$7:$E$2506,'Dataset 1'!$B$7:$B$2506,$A71,'Dataset 1'!$H$7:$H$2506,M$52)</f>
        <v>120</v>
      </c>
      <c r="N71" s="83">
        <f>SUMIFS('Dataset 1'!$E$7:$E$2506,'Dataset 1'!$B$7:$B$2506,$A71,'Dataset 1'!$H$7:$H$2506,N$52)</f>
        <v>15540</v>
      </c>
      <c r="O71" s="83">
        <f>SUMIFS('Dataset 1'!$E$7:$E$2506,'Dataset 1'!$B$7:$B$2506,$A71,'Dataset 1'!$H$7:$H$2506,O$52)</f>
        <v>330</v>
      </c>
    </row>
    <row r="72" spans="1:15" x14ac:dyDescent="0.2">
      <c r="A72">
        <v>2024</v>
      </c>
      <c r="B72" s="83">
        <f>SUMIFS('Dataset 1'!$E$7:$E$2506,'Dataset 1'!$B$7:$B$2506,$A72,'Dataset 1'!$H$7:$H$2506,B$52)</f>
        <v>910</v>
      </c>
      <c r="C72" s="83">
        <f>SUMIFS('Dataset 1'!$E$7:$E$2506,'Dataset 1'!$B$7:$B$2506,$A72,'Dataset 1'!$H$7:$H$2506,C$52)</f>
        <v>3320</v>
      </c>
      <c r="D72" s="83">
        <f>SUMIFS('Dataset 1'!$E$7:$E$2506,'Dataset 1'!$B$7:$B$2506,$A72,'Dataset 1'!$H$7:$H$2506,D$52)</f>
        <v>12130</v>
      </c>
      <c r="E72" s="83">
        <f>SUMIFS('Dataset 1'!$E$7:$E$2506,'Dataset 1'!$B$7:$B$2506,$A72,'Dataset 1'!$H$7:$H$2506,E$52)</f>
        <v>2220</v>
      </c>
      <c r="F72" s="83">
        <f>SUMIFS('Dataset 1'!$E$7:$E$2506,'Dataset 1'!$B$7:$B$2506,$A72,'Dataset 1'!$H$7:$H$2506,F$52)</f>
        <v>200</v>
      </c>
      <c r="G72" s="83">
        <f>SUMIFS('Dataset 1'!$E$7:$E$2506,'Dataset 1'!$B$7:$B$2506,$A72,'Dataset 1'!$H$7:$H$2506,G$52)</f>
        <v>100</v>
      </c>
      <c r="H72" s="83">
        <f>SUMIFS('Dataset 1'!$E$7:$E$2506,'Dataset 1'!$B$7:$B$2506,$A72,'Dataset 1'!$H$7:$H$2506,H$52)</f>
        <v>560</v>
      </c>
      <c r="I72" s="83">
        <f>SUMIFS('Dataset 1'!$E$7:$E$2506,'Dataset 1'!$B$7:$B$2506,$A72,'Dataset 1'!$H$7:$H$2506,I$52)</f>
        <v>13230</v>
      </c>
      <c r="J72" s="83">
        <f>SUMIFS('Dataset 1'!$E$7:$E$2506,'Dataset 1'!$B$7:$B$2506,$A72,'Dataset 1'!$H$7:$H$2506,J$52)</f>
        <v>2350</v>
      </c>
      <c r="K72" s="83">
        <f>SUMIFS('Dataset 1'!$E$7:$E$2506,'Dataset 1'!$B$7:$B$2506,$A72,'Dataset 1'!$H$7:$H$2506,K$52)</f>
        <v>4420</v>
      </c>
      <c r="L72" s="83">
        <f>SUMIFS('Dataset 1'!$E$7:$E$2506,'Dataset 1'!$B$7:$B$2506,$A72,'Dataset 1'!$H$7:$H$2506,L$52)</f>
        <v>2640</v>
      </c>
      <c r="M72" s="83">
        <f>SUMIFS('Dataset 1'!$E$7:$E$2506,'Dataset 1'!$B$7:$B$2506,$A72,'Dataset 1'!$H$7:$H$2506,M$52)</f>
        <v>0</v>
      </c>
      <c r="N72" s="83">
        <f>SUMIFS('Dataset 1'!$E$7:$E$2506,'Dataset 1'!$B$7:$B$2506,$A72,'Dataset 1'!$H$7:$H$2506,N$52)</f>
        <v>17190</v>
      </c>
      <c r="O72" s="83">
        <f>SUMIFS('Dataset 1'!$E$7:$E$2506,'Dataset 1'!$B$7:$B$2506,$A72,'Dataset 1'!$H$7:$H$2506,O$52)</f>
        <v>140</v>
      </c>
    </row>
    <row r="73" spans="1:15" x14ac:dyDescent="0.2">
      <c r="A73">
        <v>2025</v>
      </c>
      <c r="B73" s="83">
        <f>SUMIFS('Dataset 1'!$E$7:$E$2506,'Dataset 1'!$B$7:$B$2506,$A73,'Dataset 1'!$H$7:$H$2506,B$52)</f>
        <v>1070</v>
      </c>
      <c r="C73" s="83">
        <f>SUMIFS('Dataset 1'!$E$7:$E$2506,'Dataset 1'!$B$7:$B$2506,$A73,'Dataset 1'!$H$7:$H$2506,C$52)</f>
        <v>1450</v>
      </c>
      <c r="D73" s="83">
        <f>SUMIFS('Dataset 1'!$E$7:$E$2506,'Dataset 1'!$B$7:$B$2506,$A73,'Dataset 1'!$H$7:$H$2506,D$52)</f>
        <v>15890</v>
      </c>
      <c r="E73" s="83">
        <f>SUMIFS('Dataset 1'!$E$7:$E$2506,'Dataset 1'!$B$7:$B$2506,$A73,'Dataset 1'!$H$7:$H$2506,E$52)</f>
        <v>2330</v>
      </c>
      <c r="F73" s="83">
        <f>SUMIFS('Dataset 1'!$E$7:$E$2506,'Dataset 1'!$B$7:$B$2506,$A73,'Dataset 1'!$H$7:$H$2506,F$52)</f>
        <v>0</v>
      </c>
      <c r="G73" s="83">
        <f>SUMIFS('Dataset 1'!$E$7:$E$2506,'Dataset 1'!$B$7:$B$2506,$A73,'Dataset 1'!$H$7:$H$2506,G$52)</f>
        <v>220</v>
      </c>
      <c r="H73" s="83">
        <f>SUMIFS('Dataset 1'!$E$7:$E$2506,'Dataset 1'!$B$7:$B$2506,$A73,'Dataset 1'!$H$7:$H$2506,H$52)</f>
        <v>610</v>
      </c>
      <c r="I73" s="83">
        <f>SUMIFS('Dataset 1'!$E$7:$E$2506,'Dataset 1'!$B$7:$B$2506,$A73,'Dataset 1'!$H$7:$H$2506,I$52)</f>
        <v>12810</v>
      </c>
      <c r="J73" s="83">
        <f>SUMIFS('Dataset 1'!$E$7:$E$2506,'Dataset 1'!$B$7:$B$2506,$A73,'Dataset 1'!$H$7:$H$2506,J$52)</f>
        <v>6530</v>
      </c>
      <c r="K73" s="83">
        <f>SUMIFS('Dataset 1'!$E$7:$E$2506,'Dataset 1'!$B$7:$B$2506,$A73,'Dataset 1'!$H$7:$H$2506,K$52)</f>
        <v>1540</v>
      </c>
      <c r="L73" s="83">
        <f>SUMIFS('Dataset 1'!$E$7:$E$2506,'Dataset 1'!$B$7:$B$2506,$A73,'Dataset 1'!$H$7:$H$2506,L$52)</f>
        <v>4820</v>
      </c>
      <c r="M73" s="83">
        <f>SUMIFS('Dataset 1'!$E$7:$E$2506,'Dataset 1'!$B$7:$B$2506,$A73,'Dataset 1'!$H$7:$H$2506,M$52)</f>
        <v>2070</v>
      </c>
      <c r="N73" s="83">
        <f>SUMIFS('Dataset 1'!$E$7:$E$2506,'Dataset 1'!$B$7:$B$2506,$A73,'Dataset 1'!$H$7:$H$2506,N$52)</f>
        <v>17610</v>
      </c>
      <c r="O73" s="83">
        <f>SUMIFS('Dataset 1'!$E$7:$E$2506,'Dataset 1'!$B$7:$B$2506,$A73,'Dataset 1'!$H$7:$H$2506,O$52)</f>
        <v>310</v>
      </c>
    </row>
    <row r="74" spans="1:15" x14ac:dyDescent="0.2"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</row>
    <row r="75" spans="1:15" x14ac:dyDescent="0.2">
      <c r="A75" s="86" t="s">
        <v>140</v>
      </c>
      <c r="B75" s="83" t="s">
        <v>142</v>
      </c>
      <c r="C75" s="83" t="s">
        <v>143</v>
      </c>
      <c r="D75" s="83" t="s">
        <v>144</v>
      </c>
      <c r="E75" s="83" t="s">
        <v>145</v>
      </c>
      <c r="F75" s="83" t="s">
        <v>146</v>
      </c>
      <c r="G75" s="83" t="s">
        <v>147</v>
      </c>
      <c r="H75" s="83" t="s">
        <v>148</v>
      </c>
      <c r="I75" s="83" t="s">
        <v>149</v>
      </c>
      <c r="J75" s="83" t="s">
        <v>150</v>
      </c>
      <c r="K75" s="83" t="s">
        <v>151</v>
      </c>
      <c r="L75" s="83" t="s">
        <v>152</v>
      </c>
      <c r="M75" s="83" t="s">
        <v>153</v>
      </c>
      <c r="N75" s="83" t="s">
        <v>154</v>
      </c>
      <c r="O75" s="83" t="s">
        <v>155</v>
      </c>
    </row>
    <row r="76" spans="1:15" x14ac:dyDescent="0.2">
      <c r="A76">
        <v>2005</v>
      </c>
      <c r="B76" s="83">
        <f>SUMIFS('Dataset 1'!$E$7:$E$2506,'Dataset 1'!$B$7:$B$2506,"&lt;="&amp;$A76,'Dataset 1'!$H$7:$H$2506,B$52)</f>
        <v>0</v>
      </c>
      <c r="C76" s="83">
        <f>SUMIFS('Dataset 1'!$E$7:$E$2506,'Dataset 1'!$B$7:$B$2506,"&lt;="&amp;$A76,'Dataset 1'!$H$7:$H$2506,C$52)</f>
        <v>180</v>
      </c>
      <c r="D76" s="83">
        <f>SUMIFS('Dataset 1'!$E$7:$E$2506,'Dataset 1'!$B$7:$B$2506,"&lt;="&amp;$A76,'Dataset 1'!$H$7:$H$2506,D$52)</f>
        <v>6640</v>
      </c>
      <c r="E76" s="83">
        <f>SUMIFS('Dataset 1'!$E$7:$E$2506,'Dataset 1'!$B$7:$B$2506,"&lt;="&amp;$A76,'Dataset 1'!$H$7:$H$2506,E$52)</f>
        <v>0</v>
      </c>
      <c r="F76" s="83">
        <f>SUMIFS('Dataset 1'!$E$7:$E$2506,'Dataset 1'!$B$7:$B$2506,"&lt;="&amp;$A76,'Dataset 1'!$H$7:$H$2506,F$52)</f>
        <v>0</v>
      </c>
      <c r="G76" s="83">
        <f>SUMIFS('Dataset 1'!$E$7:$E$2506,'Dataset 1'!$B$7:$B$2506,"&lt;="&amp;$A76,'Dataset 1'!$H$7:$H$2506,G$52)</f>
        <v>0</v>
      </c>
      <c r="H76" s="83">
        <f>SUMIFS('Dataset 1'!$E$7:$E$2506,'Dataset 1'!$B$7:$B$2506,"&lt;="&amp;$A76,'Dataset 1'!$H$7:$H$2506,H$52)</f>
        <v>0</v>
      </c>
      <c r="I76" s="83">
        <f>SUMIFS('Dataset 1'!$E$7:$E$2506,'Dataset 1'!$B$7:$B$2506,"&lt;="&amp;$A76,'Dataset 1'!$H$7:$H$2506,I$52)</f>
        <v>1310</v>
      </c>
      <c r="J76" s="83">
        <f>SUMIFS('Dataset 1'!$E$7:$E$2506,'Dataset 1'!$B$7:$B$2506,"&lt;="&amp;$A76,'Dataset 1'!$H$7:$H$2506,J$52)</f>
        <v>150</v>
      </c>
      <c r="K76" s="83">
        <f>SUMIFS('Dataset 1'!$E$7:$E$2506,'Dataset 1'!$B$7:$B$2506,"&lt;="&amp;$A76,'Dataset 1'!$H$7:$H$2506,K$52)</f>
        <v>0</v>
      </c>
      <c r="L76" s="83">
        <f>SUMIFS('Dataset 1'!$E$7:$E$2506,'Dataset 1'!$B$7:$B$2506,"&lt;="&amp;$A76,'Dataset 1'!$H$7:$H$2506,L$52)</f>
        <v>1740</v>
      </c>
      <c r="M76" s="83">
        <f>SUMIFS('Dataset 1'!$E$7:$E$2506,'Dataset 1'!$B$7:$B$2506,"&lt;="&amp;$A76,'Dataset 1'!$H$7:$H$2506,M$52)</f>
        <v>0</v>
      </c>
      <c r="N76" s="83">
        <f>SUMIFS('Dataset 1'!$E$7:$E$2506,'Dataset 1'!$B$7:$B$2506,"&lt;="&amp;$A76,'Dataset 1'!$H$7:$H$2506,N$52)</f>
        <v>100</v>
      </c>
      <c r="O76" s="83">
        <f>SUMIFS('Dataset 1'!$E$7:$E$2506,'Dataset 1'!$B$7:$B$2506,"&lt;="&amp;$A76,'Dataset 1'!$H$7:$H$2506,O$52)</f>
        <v>0</v>
      </c>
    </row>
    <row r="77" spans="1:15" x14ac:dyDescent="0.2">
      <c r="A77">
        <v>2006</v>
      </c>
      <c r="B77" s="83">
        <f>SUMIFS('Dataset 1'!$E$7:$E$2506,'Dataset 1'!$B$7:$B$2506,"&lt;="&amp;$A77,'Dataset 1'!$H$7:$H$2506,B$52)</f>
        <v>480</v>
      </c>
      <c r="C77" s="83">
        <f>SUMIFS('Dataset 1'!$E$7:$E$2506,'Dataset 1'!$B$7:$B$2506,"&lt;="&amp;$A77,'Dataset 1'!$H$7:$H$2506,C$52)</f>
        <v>180</v>
      </c>
      <c r="D77" s="83">
        <f>SUMIFS('Dataset 1'!$E$7:$E$2506,'Dataset 1'!$B$7:$B$2506,"&lt;="&amp;$A77,'Dataset 1'!$H$7:$H$2506,D$52)</f>
        <v>16810</v>
      </c>
      <c r="E77" s="83">
        <f>SUMIFS('Dataset 1'!$E$7:$E$2506,'Dataset 1'!$B$7:$B$2506,"&lt;="&amp;$A77,'Dataset 1'!$H$7:$H$2506,E$52)</f>
        <v>0</v>
      </c>
      <c r="F77" s="83">
        <f>SUMIFS('Dataset 1'!$E$7:$E$2506,'Dataset 1'!$B$7:$B$2506,"&lt;="&amp;$A77,'Dataset 1'!$H$7:$H$2506,F$52)</f>
        <v>100</v>
      </c>
      <c r="G77" s="83">
        <f>SUMIFS('Dataset 1'!$E$7:$E$2506,'Dataset 1'!$B$7:$B$2506,"&lt;="&amp;$A77,'Dataset 1'!$H$7:$H$2506,G$52)</f>
        <v>0</v>
      </c>
      <c r="H77" s="83">
        <f>SUMIFS('Dataset 1'!$E$7:$E$2506,'Dataset 1'!$B$7:$B$2506,"&lt;="&amp;$A77,'Dataset 1'!$H$7:$H$2506,H$52)</f>
        <v>0</v>
      </c>
      <c r="I77" s="83">
        <f>SUMIFS('Dataset 1'!$E$7:$E$2506,'Dataset 1'!$B$7:$B$2506,"&lt;="&amp;$A77,'Dataset 1'!$H$7:$H$2506,I$52)</f>
        <v>7780</v>
      </c>
      <c r="J77" s="83">
        <f>SUMIFS('Dataset 1'!$E$7:$E$2506,'Dataset 1'!$B$7:$B$2506,"&lt;="&amp;$A77,'Dataset 1'!$H$7:$H$2506,J$52)</f>
        <v>270</v>
      </c>
      <c r="K77" s="83">
        <f>SUMIFS('Dataset 1'!$E$7:$E$2506,'Dataset 1'!$B$7:$B$2506,"&lt;="&amp;$A77,'Dataset 1'!$H$7:$H$2506,K$52)</f>
        <v>1300</v>
      </c>
      <c r="L77" s="83">
        <f>SUMIFS('Dataset 1'!$E$7:$E$2506,'Dataset 1'!$B$7:$B$2506,"&lt;="&amp;$A77,'Dataset 1'!$H$7:$H$2506,L$52)</f>
        <v>1740</v>
      </c>
      <c r="M77" s="83">
        <f>SUMIFS('Dataset 1'!$E$7:$E$2506,'Dataset 1'!$B$7:$B$2506,"&lt;="&amp;$A77,'Dataset 1'!$H$7:$H$2506,M$52)</f>
        <v>0</v>
      </c>
      <c r="N77" s="83">
        <f>SUMIFS('Dataset 1'!$E$7:$E$2506,'Dataset 1'!$B$7:$B$2506,"&lt;="&amp;$A77,'Dataset 1'!$H$7:$H$2506,N$52)</f>
        <v>1070</v>
      </c>
      <c r="O77" s="83">
        <f>SUMIFS('Dataset 1'!$E$7:$E$2506,'Dataset 1'!$B$7:$B$2506,"&lt;="&amp;$A77,'Dataset 1'!$H$7:$H$2506,O$52)</f>
        <v>0</v>
      </c>
    </row>
    <row r="78" spans="1:15" x14ac:dyDescent="0.2">
      <c r="A78">
        <v>2007</v>
      </c>
      <c r="B78" s="83">
        <f>SUMIFS('Dataset 1'!$E$7:$E$2506,'Dataset 1'!$B$7:$B$2506,"&lt;="&amp;$A78,'Dataset 1'!$H$7:$H$2506,B$52)</f>
        <v>480</v>
      </c>
      <c r="C78" s="83">
        <f>SUMIFS('Dataset 1'!$E$7:$E$2506,'Dataset 1'!$B$7:$B$2506,"&lt;="&amp;$A78,'Dataset 1'!$H$7:$H$2506,C$52)</f>
        <v>880</v>
      </c>
      <c r="D78" s="83">
        <f>SUMIFS('Dataset 1'!$E$7:$E$2506,'Dataset 1'!$B$7:$B$2506,"&lt;="&amp;$A78,'Dataset 1'!$H$7:$H$2506,D$52)</f>
        <v>20010</v>
      </c>
      <c r="E78" s="83">
        <f>SUMIFS('Dataset 1'!$E$7:$E$2506,'Dataset 1'!$B$7:$B$2506,"&lt;="&amp;$A78,'Dataset 1'!$H$7:$H$2506,E$52)</f>
        <v>0</v>
      </c>
      <c r="F78" s="83">
        <f>SUMIFS('Dataset 1'!$E$7:$E$2506,'Dataset 1'!$B$7:$B$2506,"&lt;="&amp;$A78,'Dataset 1'!$H$7:$H$2506,F$52)</f>
        <v>19560</v>
      </c>
      <c r="G78" s="83">
        <f>SUMIFS('Dataset 1'!$E$7:$E$2506,'Dataset 1'!$B$7:$B$2506,"&lt;="&amp;$A78,'Dataset 1'!$H$7:$H$2506,G$52)</f>
        <v>0</v>
      </c>
      <c r="H78" s="83">
        <f>SUMIFS('Dataset 1'!$E$7:$E$2506,'Dataset 1'!$B$7:$B$2506,"&lt;="&amp;$A78,'Dataset 1'!$H$7:$H$2506,H$52)</f>
        <v>150</v>
      </c>
      <c r="I78" s="83">
        <f>SUMIFS('Dataset 1'!$E$7:$E$2506,'Dataset 1'!$B$7:$B$2506,"&lt;="&amp;$A78,'Dataset 1'!$H$7:$H$2506,I$52)</f>
        <v>13710</v>
      </c>
      <c r="J78" s="83">
        <f>SUMIFS('Dataset 1'!$E$7:$E$2506,'Dataset 1'!$B$7:$B$2506,"&lt;="&amp;$A78,'Dataset 1'!$H$7:$H$2506,J$52)</f>
        <v>390</v>
      </c>
      <c r="K78" s="83">
        <f>SUMIFS('Dataset 1'!$E$7:$E$2506,'Dataset 1'!$B$7:$B$2506,"&lt;="&amp;$A78,'Dataset 1'!$H$7:$H$2506,K$52)</f>
        <v>1450</v>
      </c>
      <c r="L78" s="83">
        <f>SUMIFS('Dataset 1'!$E$7:$E$2506,'Dataset 1'!$B$7:$B$2506,"&lt;="&amp;$A78,'Dataset 1'!$H$7:$H$2506,L$52)</f>
        <v>2200</v>
      </c>
      <c r="M78" s="83">
        <f>SUMIFS('Dataset 1'!$E$7:$E$2506,'Dataset 1'!$B$7:$B$2506,"&lt;="&amp;$A78,'Dataset 1'!$H$7:$H$2506,M$52)</f>
        <v>0</v>
      </c>
      <c r="N78" s="83">
        <f>SUMIFS('Dataset 1'!$E$7:$E$2506,'Dataset 1'!$B$7:$B$2506,"&lt;="&amp;$A78,'Dataset 1'!$H$7:$H$2506,N$52)</f>
        <v>1340</v>
      </c>
      <c r="O78" s="83">
        <f>SUMIFS('Dataset 1'!$E$7:$E$2506,'Dataset 1'!$B$7:$B$2506,"&lt;="&amp;$A78,'Dataset 1'!$H$7:$H$2506,O$52)</f>
        <v>0</v>
      </c>
    </row>
    <row r="79" spans="1:15" x14ac:dyDescent="0.2">
      <c r="A79">
        <v>2008</v>
      </c>
      <c r="B79" s="83">
        <f>SUMIFS('Dataset 1'!$E$7:$E$2506,'Dataset 1'!$B$7:$B$2506,"&lt;="&amp;$A79,'Dataset 1'!$H$7:$H$2506,B$52)</f>
        <v>820</v>
      </c>
      <c r="C79" s="83">
        <f>SUMIFS('Dataset 1'!$E$7:$E$2506,'Dataset 1'!$B$7:$B$2506,"&lt;="&amp;$A79,'Dataset 1'!$H$7:$H$2506,C$52)</f>
        <v>880</v>
      </c>
      <c r="D79" s="83">
        <f>SUMIFS('Dataset 1'!$E$7:$E$2506,'Dataset 1'!$B$7:$B$2506,"&lt;="&amp;$A79,'Dataset 1'!$H$7:$H$2506,D$52)</f>
        <v>35540</v>
      </c>
      <c r="E79" s="83">
        <f>SUMIFS('Dataset 1'!$E$7:$E$2506,'Dataset 1'!$B$7:$B$2506,"&lt;="&amp;$A79,'Dataset 1'!$H$7:$H$2506,E$52)</f>
        <v>0</v>
      </c>
      <c r="F79" s="83">
        <f>SUMIFS('Dataset 1'!$E$7:$E$2506,'Dataset 1'!$B$7:$B$2506,"&lt;="&amp;$A79,'Dataset 1'!$H$7:$H$2506,F$52)</f>
        <v>24210</v>
      </c>
      <c r="G79" s="83">
        <f>SUMIFS('Dataset 1'!$E$7:$E$2506,'Dataset 1'!$B$7:$B$2506,"&lt;="&amp;$A79,'Dataset 1'!$H$7:$H$2506,G$52)</f>
        <v>360</v>
      </c>
      <c r="H79" s="83">
        <f>SUMIFS('Dataset 1'!$E$7:$E$2506,'Dataset 1'!$B$7:$B$2506,"&lt;="&amp;$A79,'Dataset 1'!$H$7:$H$2506,H$52)</f>
        <v>150</v>
      </c>
      <c r="I79" s="83">
        <f>SUMIFS('Dataset 1'!$E$7:$E$2506,'Dataset 1'!$B$7:$B$2506,"&lt;="&amp;$A79,'Dataset 1'!$H$7:$H$2506,I$52)</f>
        <v>36510</v>
      </c>
      <c r="J79" s="83">
        <f>SUMIFS('Dataset 1'!$E$7:$E$2506,'Dataset 1'!$B$7:$B$2506,"&lt;="&amp;$A79,'Dataset 1'!$H$7:$H$2506,J$52)</f>
        <v>390</v>
      </c>
      <c r="K79" s="83">
        <f>SUMIFS('Dataset 1'!$E$7:$E$2506,'Dataset 1'!$B$7:$B$2506,"&lt;="&amp;$A79,'Dataset 1'!$H$7:$H$2506,K$52)</f>
        <v>1840</v>
      </c>
      <c r="L79" s="83">
        <f>SUMIFS('Dataset 1'!$E$7:$E$2506,'Dataset 1'!$B$7:$B$2506,"&lt;="&amp;$A79,'Dataset 1'!$H$7:$H$2506,L$52)</f>
        <v>2200</v>
      </c>
      <c r="M79" s="83">
        <f>SUMIFS('Dataset 1'!$E$7:$E$2506,'Dataset 1'!$B$7:$B$2506,"&lt;="&amp;$A79,'Dataset 1'!$H$7:$H$2506,M$52)</f>
        <v>1550</v>
      </c>
      <c r="N79" s="83">
        <f>SUMIFS('Dataset 1'!$E$7:$E$2506,'Dataset 1'!$B$7:$B$2506,"&lt;="&amp;$A79,'Dataset 1'!$H$7:$H$2506,N$52)</f>
        <v>7460</v>
      </c>
      <c r="O79" s="83">
        <f>SUMIFS('Dataset 1'!$E$7:$E$2506,'Dataset 1'!$B$7:$B$2506,"&lt;="&amp;$A79,'Dataset 1'!$H$7:$H$2506,O$52)</f>
        <v>3040</v>
      </c>
    </row>
    <row r="80" spans="1:15" x14ac:dyDescent="0.2">
      <c r="A80">
        <v>2009</v>
      </c>
      <c r="B80" s="83">
        <f>SUMIFS('Dataset 1'!$E$7:$E$2506,'Dataset 1'!$B$7:$B$2506,"&lt;="&amp;$A80,'Dataset 1'!$H$7:$H$2506,B$52)</f>
        <v>1190</v>
      </c>
      <c r="C80" s="83">
        <f>SUMIFS('Dataset 1'!$E$7:$E$2506,'Dataset 1'!$B$7:$B$2506,"&lt;="&amp;$A80,'Dataset 1'!$H$7:$H$2506,C$52)</f>
        <v>880</v>
      </c>
      <c r="D80" s="83">
        <f>SUMIFS('Dataset 1'!$E$7:$E$2506,'Dataset 1'!$B$7:$B$2506,"&lt;="&amp;$A80,'Dataset 1'!$H$7:$H$2506,D$52)</f>
        <v>71210</v>
      </c>
      <c r="E80" s="83">
        <f>SUMIFS('Dataset 1'!$E$7:$E$2506,'Dataset 1'!$B$7:$B$2506,"&lt;="&amp;$A80,'Dataset 1'!$H$7:$H$2506,E$52)</f>
        <v>0</v>
      </c>
      <c r="F80" s="83">
        <f>SUMIFS('Dataset 1'!$E$7:$E$2506,'Dataset 1'!$B$7:$B$2506,"&lt;="&amp;$A80,'Dataset 1'!$H$7:$H$2506,F$52)</f>
        <v>27310</v>
      </c>
      <c r="G80" s="83">
        <f>SUMIFS('Dataset 1'!$E$7:$E$2506,'Dataset 1'!$B$7:$B$2506,"&lt;="&amp;$A80,'Dataset 1'!$H$7:$H$2506,G$52)</f>
        <v>360</v>
      </c>
      <c r="H80" s="83">
        <f>SUMIFS('Dataset 1'!$E$7:$E$2506,'Dataset 1'!$B$7:$B$2506,"&lt;="&amp;$A80,'Dataset 1'!$H$7:$H$2506,H$52)</f>
        <v>150</v>
      </c>
      <c r="I80" s="83">
        <f>SUMIFS('Dataset 1'!$E$7:$E$2506,'Dataset 1'!$B$7:$B$2506,"&lt;="&amp;$A80,'Dataset 1'!$H$7:$H$2506,I$52)</f>
        <v>46810</v>
      </c>
      <c r="J80" s="83">
        <f>SUMIFS('Dataset 1'!$E$7:$E$2506,'Dataset 1'!$B$7:$B$2506,"&lt;="&amp;$A80,'Dataset 1'!$H$7:$H$2506,J$52)</f>
        <v>1290</v>
      </c>
      <c r="K80" s="83">
        <f>SUMIFS('Dataset 1'!$E$7:$E$2506,'Dataset 1'!$B$7:$B$2506,"&lt;="&amp;$A80,'Dataset 1'!$H$7:$H$2506,K$52)</f>
        <v>6440</v>
      </c>
      <c r="L80" s="83">
        <f>SUMIFS('Dataset 1'!$E$7:$E$2506,'Dataset 1'!$B$7:$B$2506,"&lt;="&amp;$A80,'Dataset 1'!$H$7:$H$2506,L$52)</f>
        <v>3700</v>
      </c>
      <c r="M80" s="83">
        <f>SUMIFS('Dataset 1'!$E$7:$E$2506,'Dataset 1'!$B$7:$B$2506,"&lt;="&amp;$A80,'Dataset 1'!$H$7:$H$2506,M$52)</f>
        <v>1800</v>
      </c>
      <c r="N80" s="83">
        <f>SUMIFS('Dataset 1'!$E$7:$E$2506,'Dataset 1'!$B$7:$B$2506,"&lt;="&amp;$A80,'Dataset 1'!$H$7:$H$2506,N$52)</f>
        <v>8370</v>
      </c>
      <c r="O80" s="83">
        <f>SUMIFS('Dataset 1'!$E$7:$E$2506,'Dataset 1'!$B$7:$B$2506,"&lt;="&amp;$A80,'Dataset 1'!$H$7:$H$2506,O$52)</f>
        <v>3040</v>
      </c>
    </row>
    <row r="81" spans="1:15" x14ac:dyDescent="0.2">
      <c r="A81">
        <v>2010</v>
      </c>
      <c r="B81" s="83">
        <f>SUMIFS('Dataset 1'!$E$7:$E$2506,'Dataset 1'!$B$7:$B$2506,"&lt;="&amp;$A81,'Dataset 1'!$H$7:$H$2506,B$52)</f>
        <v>2770</v>
      </c>
      <c r="C81" s="83">
        <f>SUMIFS('Dataset 1'!$E$7:$E$2506,'Dataset 1'!$B$7:$B$2506,"&lt;="&amp;$A81,'Dataset 1'!$H$7:$H$2506,C$52)</f>
        <v>1180</v>
      </c>
      <c r="D81" s="83">
        <f>SUMIFS('Dataset 1'!$E$7:$E$2506,'Dataset 1'!$B$7:$B$2506,"&lt;="&amp;$A81,'Dataset 1'!$H$7:$H$2506,D$52)</f>
        <v>112400</v>
      </c>
      <c r="E81" s="83">
        <f>SUMIFS('Dataset 1'!$E$7:$E$2506,'Dataset 1'!$B$7:$B$2506,"&lt;="&amp;$A81,'Dataset 1'!$H$7:$H$2506,E$52)</f>
        <v>100</v>
      </c>
      <c r="F81" s="83">
        <f>SUMIFS('Dataset 1'!$E$7:$E$2506,'Dataset 1'!$B$7:$B$2506,"&lt;="&amp;$A81,'Dataset 1'!$H$7:$H$2506,F$52)</f>
        <v>30340</v>
      </c>
      <c r="G81" s="83">
        <f>SUMIFS('Dataset 1'!$E$7:$E$2506,'Dataset 1'!$B$7:$B$2506,"&lt;="&amp;$A81,'Dataset 1'!$H$7:$H$2506,G$52)</f>
        <v>630</v>
      </c>
      <c r="H81" s="83">
        <f>SUMIFS('Dataset 1'!$E$7:$E$2506,'Dataset 1'!$B$7:$B$2506,"&lt;="&amp;$A81,'Dataset 1'!$H$7:$H$2506,H$52)</f>
        <v>400</v>
      </c>
      <c r="I81" s="83">
        <f>SUMIFS('Dataset 1'!$E$7:$E$2506,'Dataset 1'!$B$7:$B$2506,"&lt;="&amp;$A81,'Dataset 1'!$H$7:$H$2506,I$52)</f>
        <v>55720</v>
      </c>
      <c r="J81" s="83">
        <f>SUMIFS('Dataset 1'!$E$7:$E$2506,'Dataset 1'!$B$7:$B$2506,"&lt;="&amp;$A81,'Dataset 1'!$H$7:$H$2506,J$52)</f>
        <v>2850</v>
      </c>
      <c r="K81" s="83">
        <f>SUMIFS('Dataset 1'!$E$7:$E$2506,'Dataset 1'!$B$7:$B$2506,"&lt;="&amp;$A81,'Dataset 1'!$H$7:$H$2506,K$52)</f>
        <v>9780</v>
      </c>
      <c r="L81" s="83">
        <f>SUMIFS('Dataset 1'!$E$7:$E$2506,'Dataset 1'!$B$7:$B$2506,"&lt;="&amp;$A81,'Dataset 1'!$H$7:$H$2506,L$52)</f>
        <v>4000</v>
      </c>
      <c r="M81" s="83">
        <f>SUMIFS('Dataset 1'!$E$7:$E$2506,'Dataset 1'!$B$7:$B$2506,"&lt;="&amp;$A81,'Dataset 1'!$H$7:$H$2506,M$52)</f>
        <v>1800</v>
      </c>
      <c r="N81" s="83">
        <f>SUMIFS('Dataset 1'!$E$7:$E$2506,'Dataset 1'!$B$7:$B$2506,"&lt;="&amp;$A81,'Dataset 1'!$H$7:$H$2506,N$52)</f>
        <v>13880</v>
      </c>
      <c r="O81" s="83">
        <f>SUMIFS('Dataset 1'!$E$7:$E$2506,'Dataset 1'!$B$7:$B$2506,"&lt;="&amp;$A81,'Dataset 1'!$H$7:$H$2506,O$52)</f>
        <v>3040</v>
      </c>
    </row>
    <row r="82" spans="1:15" x14ac:dyDescent="0.2">
      <c r="A82">
        <v>2011</v>
      </c>
      <c r="B82" s="83">
        <f>SUMIFS('Dataset 1'!$E$7:$E$2506,'Dataset 1'!$B$7:$B$2506,"&lt;="&amp;$A82,'Dataset 1'!$H$7:$H$2506,B$52)</f>
        <v>4380</v>
      </c>
      <c r="C82" s="83">
        <f>SUMIFS('Dataset 1'!$E$7:$E$2506,'Dataset 1'!$B$7:$B$2506,"&lt;="&amp;$A82,'Dataset 1'!$H$7:$H$2506,C$52)</f>
        <v>5190</v>
      </c>
      <c r="D82" s="83">
        <f>SUMIFS('Dataset 1'!$E$7:$E$2506,'Dataset 1'!$B$7:$B$2506,"&lt;="&amp;$A82,'Dataset 1'!$H$7:$H$2506,D$52)</f>
        <v>150060</v>
      </c>
      <c r="E82" s="83">
        <f>SUMIFS('Dataset 1'!$E$7:$E$2506,'Dataset 1'!$B$7:$B$2506,"&lt;="&amp;$A82,'Dataset 1'!$H$7:$H$2506,E$52)</f>
        <v>500</v>
      </c>
      <c r="F82" s="83">
        <f>SUMIFS('Dataset 1'!$E$7:$E$2506,'Dataset 1'!$B$7:$B$2506,"&lt;="&amp;$A82,'Dataset 1'!$H$7:$H$2506,F$52)</f>
        <v>32620</v>
      </c>
      <c r="G82" s="83">
        <f>SUMIFS('Dataset 1'!$E$7:$E$2506,'Dataset 1'!$B$7:$B$2506,"&lt;="&amp;$A82,'Dataset 1'!$H$7:$H$2506,G$52)</f>
        <v>630</v>
      </c>
      <c r="H82" s="83">
        <f>SUMIFS('Dataset 1'!$E$7:$E$2506,'Dataset 1'!$B$7:$B$2506,"&lt;="&amp;$A82,'Dataset 1'!$H$7:$H$2506,H$52)</f>
        <v>2740</v>
      </c>
      <c r="I82" s="83">
        <f>SUMIFS('Dataset 1'!$E$7:$E$2506,'Dataset 1'!$B$7:$B$2506,"&lt;="&amp;$A82,'Dataset 1'!$H$7:$H$2506,I$52)</f>
        <v>66720</v>
      </c>
      <c r="J82" s="83">
        <f>SUMIFS('Dataset 1'!$E$7:$E$2506,'Dataset 1'!$B$7:$B$2506,"&lt;="&amp;$A82,'Dataset 1'!$H$7:$H$2506,J$52)</f>
        <v>3820</v>
      </c>
      <c r="K82" s="83">
        <f>SUMIFS('Dataset 1'!$E$7:$E$2506,'Dataset 1'!$B$7:$B$2506,"&lt;="&amp;$A82,'Dataset 1'!$H$7:$H$2506,K$52)</f>
        <v>13500</v>
      </c>
      <c r="L82" s="83">
        <f>SUMIFS('Dataset 1'!$E$7:$E$2506,'Dataset 1'!$B$7:$B$2506,"&lt;="&amp;$A82,'Dataset 1'!$H$7:$H$2506,L$52)</f>
        <v>5780</v>
      </c>
      <c r="M82" s="83">
        <f>SUMIFS('Dataset 1'!$E$7:$E$2506,'Dataset 1'!$B$7:$B$2506,"&lt;="&amp;$A82,'Dataset 1'!$H$7:$H$2506,M$52)</f>
        <v>1800</v>
      </c>
      <c r="N82" s="83">
        <f>SUMIFS('Dataset 1'!$E$7:$E$2506,'Dataset 1'!$B$7:$B$2506,"&lt;="&amp;$A82,'Dataset 1'!$H$7:$H$2506,N$52)</f>
        <v>18620</v>
      </c>
      <c r="O82" s="83">
        <f>SUMIFS('Dataset 1'!$E$7:$E$2506,'Dataset 1'!$B$7:$B$2506,"&lt;="&amp;$A82,'Dataset 1'!$H$7:$H$2506,O$52)</f>
        <v>3040</v>
      </c>
    </row>
    <row r="83" spans="1:15" x14ac:dyDescent="0.2">
      <c r="A83">
        <v>2012</v>
      </c>
      <c r="B83" s="83">
        <f>SUMIFS('Dataset 1'!$E$7:$E$2506,'Dataset 1'!$B$7:$B$2506,"&lt;="&amp;$A83,'Dataset 1'!$H$7:$H$2506,B$52)</f>
        <v>8130</v>
      </c>
      <c r="C83" s="83">
        <f>SUMIFS('Dataset 1'!$E$7:$E$2506,'Dataset 1'!$B$7:$B$2506,"&lt;="&amp;$A83,'Dataset 1'!$H$7:$H$2506,C$52)</f>
        <v>5190</v>
      </c>
      <c r="D83" s="83">
        <f>SUMIFS('Dataset 1'!$E$7:$E$2506,'Dataset 1'!$B$7:$B$2506,"&lt;="&amp;$A83,'Dataset 1'!$H$7:$H$2506,D$52)</f>
        <v>190450</v>
      </c>
      <c r="E83" s="83">
        <f>SUMIFS('Dataset 1'!$E$7:$E$2506,'Dataset 1'!$B$7:$B$2506,"&lt;="&amp;$A83,'Dataset 1'!$H$7:$H$2506,E$52)</f>
        <v>3670</v>
      </c>
      <c r="F83" s="83">
        <f>SUMIFS('Dataset 1'!$E$7:$E$2506,'Dataset 1'!$B$7:$B$2506,"&lt;="&amp;$A83,'Dataset 1'!$H$7:$H$2506,F$52)</f>
        <v>35520</v>
      </c>
      <c r="G83" s="83">
        <f>SUMIFS('Dataset 1'!$E$7:$E$2506,'Dataset 1'!$B$7:$B$2506,"&lt;="&amp;$A83,'Dataset 1'!$H$7:$H$2506,G$52)</f>
        <v>1650</v>
      </c>
      <c r="H83" s="83">
        <f>SUMIFS('Dataset 1'!$E$7:$E$2506,'Dataset 1'!$B$7:$B$2506,"&lt;="&amp;$A83,'Dataset 1'!$H$7:$H$2506,H$52)</f>
        <v>3680</v>
      </c>
      <c r="I83" s="83">
        <f>SUMIFS('Dataset 1'!$E$7:$E$2506,'Dataset 1'!$B$7:$B$2506,"&lt;="&amp;$A83,'Dataset 1'!$H$7:$H$2506,I$52)</f>
        <v>79390</v>
      </c>
      <c r="J83" s="83">
        <f>SUMIFS('Dataset 1'!$E$7:$E$2506,'Dataset 1'!$B$7:$B$2506,"&lt;="&amp;$A83,'Dataset 1'!$H$7:$H$2506,J$52)</f>
        <v>5540</v>
      </c>
      <c r="K83" s="83">
        <f>SUMIFS('Dataset 1'!$E$7:$E$2506,'Dataset 1'!$B$7:$B$2506,"&lt;="&amp;$A83,'Dataset 1'!$H$7:$H$2506,K$52)</f>
        <v>18600</v>
      </c>
      <c r="L83" s="83">
        <f>SUMIFS('Dataset 1'!$E$7:$E$2506,'Dataset 1'!$B$7:$B$2506,"&lt;="&amp;$A83,'Dataset 1'!$H$7:$H$2506,L$52)</f>
        <v>7920</v>
      </c>
      <c r="M83" s="83">
        <f>SUMIFS('Dataset 1'!$E$7:$E$2506,'Dataset 1'!$B$7:$B$2506,"&lt;="&amp;$A83,'Dataset 1'!$H$7:$H$2506,M$52)</f>
        <v>1930</v>
      </c>
      <c r="N83" s="83">
        <f>SUMIFS('Dataset 1'!$E$7:$E$2506,'Dataset 1'!$B$7:$B$2506,"&lt;="&amp;$A83,'Dataset 1'!$H$7:$H$2506,N$52)</f>
        <v>21090</v>
      </c>
      <c r="O83" s="83">
        <f>SUMIFS('Dataset 1'!$E$7:$E$2506,'Dataset 1'!$B$7:$B$2506,"&lt;="&amp;$A83,'Dataset 1'!$H$7:$H$2506,O$52)</f>
        <v>4160</v>
      </c>
    </row>
    <row r="84" spans="1:15" x14ac:dyDescent="0.2">
      <c r="A84">
        <v>2013</v>
      </c>
      <c r="B84" s="83">
        <f>SUMIFS('Dataset 1'!$E$7:$E$2506,'Dataset 1'!$B$7:$B$2506,"&lt;="&amp;$A84,'Dataset 1'!$H$7:$H$2506,B$52)</f>
        <v>17770</v>
      </c>
      <c r="C84" s="83">
        <f>SUMIFS('Dataset 1'!$E$7:$E$2506,'Dataset 1'!$B$7:$B$2506,"&lt;="&amp;$A84,'Dataset 1'!$H$7:$H$2506,C$52)</f>
        <v>5650</v>
      </c>
      <c r="D84" s="83">
        <f>SUMIFS('Dataset 1'!$E$7:$E$2506,'Dataset 1'!$B$7:$B$2506,"&lt;="&amp;$A84,'Dataset 1'!$H$7:$H$2506,D$52)</f>
        <v>226210</v>
      </c>
      <c r="E84" s="83">
        <f>SUMIFS('Dataset 1'!$E$7:$E$2506,'Dataset 1'!$B$7:$B$2506,"&lt;="&amp;$A84,'Dataset 1'!$H$7:$H$2506,E$52)</f>
        <v>4020</v>
      </c>
      <c r="F84" s="83">
        <f>SUMIFS('Dataset 1'!$E$7:$E$2506,'Dataset 1'!$B$7:$B$2506,"&lt;="&amp;$A84,'Dataset 1'!$H$7:$H$2506,F$52)</f>
        <v>36540</v>
      </c>
      <c r="G84" s="83">
        <f>SUMIFS('Dataset 1'!$E$7:$E$2506,'Dataset 1'!$B$7:$B$2506,"&lt;="&amp;$A84,'Dataset 1'!$H$7:$H$2506,G$52)</f>
        <v>2630</v>
      </c>
      <c r="H84" s="83">
        <f>SUMIFS('Dataset 1'!$E$7:$E$2506,'Dataset 1'!$B$7:$B$2506,"&lt;="&amp;$A84,'Dataset 1'!$H$7:$H$2506,H$52)</f>
        <v>4150</v>
      </c>
      <c r="I84" s="83">
        <f>SUMIFS('Dataset 1'!$E$7:$E$2506,'Dataset 1'!$B$7:$B$2506,"&lt;="&amp;$A84,'Dataset 1'!$H$7:$H$2506,I$52)</f>
        <v>85570</v>
      </c>
      <c r="J84" s="83">
        <f>SUMIFS('Dataset 1'!$E$7:$E$2506,'Dataset 1'!$B$7:$B$2506,"&lt;="&amp;$A84,'Dataset 1'!$H$7:$H$2506,J$52)</f>
        <v>6690</v>
      </c>
      <c r="K84" s="83">
        <f>SUMIFS('Dataset 1'!$E$7:$E$2506,'Dataset 1'!$B$7:$B$2506,"&lt;="&amp;$A84,'Dataset 1'!$H$7:$H$2506,K$52)</f>
        <v>31850</v>
      </c>
      <c r="L84" s="83">
        <f>SUMIFS('Dataset 1'!$E$7:$E$2506,'Dataset 1'!$B$7:$B$2506,"&lt;="&amp;$A84,'Dataset 1'!$H$7:$H$2506,L$52)</f>
        <v>8230</v>
      </c>
      <c r="M84" s="83">
        <f>SUMIFS('Dataset 1'!$E$7:$E$2506,'Dataset 1'!$B$7:$B$2506,"&lt;="&amp;$A84,'Dataset 1'!$H$7:$H$2506,M$52)</f>
        <v>5460</v>
      </c>
      <c r="N84" s="83">
        <f>SUMIFS('Dataset 1'!$E$7:$E$2506,'Dataset 1'!$B$7:$B$2506,"&lt;="&amp;$A84,'Dataset 1'!$H$7:$H$2506,N$52)</f>
        <v>23870</v>
      </c>
      <c r="O84" s="83">
        <f>SUMIFS('Dataset 1'!$E$7:$E$2506,'Dataset 1'!$B$7:$B$2506,"&lt;="&amp;$A84,'Dataset 1'!$H$7:$H$2506,O$52)</f>
        <v>4260</v>
      </c>
    </row>
    <row r="85" spans="1:15" x14ac:dyDescent="0.2">
      <c r="A85">
        <v>2014</v>
      </c>
      <c r="B85" s="83">
        <f>SUMIFS('Dataset 1'!$E$7:$E$2506,'Dataset 1'!$B$7:$B$2506,"&lt;="&amp;$A85,'Dataset 1'!$H$7:$H$2506,B$52)</f>
        <v>25420</v>
      </c>
      <c r="C85" s="83">
        <f>SUMIFS('Dataset 1'!$E$7:$E$2506,'Dataset 1'!$B$7:$B$2506,"&lt;="&amp;$A85,'Dataset 1'!$H$7:$H$2506,C$52)</f>
        <v>5650</v>
      </c>
      <c r="D85" s="83">
        <f>SUMIFS('Dataset 1'!$E$7:$E$2506,'Dataset 1'!$B$7:$B$2506,"&lt;="&amp;$A85,'Dataset 1'!$H$7:$H$2506,D$52)</f>
        <v>255480</v>
      </c>
      <c r="E85" s="83">
        <f>SUMIFS('Dataset 1'!$E$7:$E$2506,'Dataset 1'!$B$7:$B$2506,"&lt;="&amp;$A85,'Dataset 1'!$H$7:$H$2506,E$52)</f>
        <v>6130</v>
      </c>
      <c r="F85" s="83">
        <f>SUMIFS('Dataset 1'!$E$7:$E$2506,'Dataset 1'!$B$7:$B$2506,"&lt;="&amp;$A85,'Dataset 1'!$H$7:$H$2506,F$52)</f>
        <v>42510</v>
      </c>
      <c r="G85" s="83">
        <f>SUMIFS('Dataset 1'!$E$7:$E$2506,'Dataset 1'!$B$7:$B$2506,"&lt;="&amp;$A85,'Dataset 1'!$H$7:$H$2506,G$52)</f>
        <v>3220</v>
      </c>
      <c r="H85" s="83">
        <f>SUMIFS('Dataset 1'!$E$7:$E$2506,'Dataset 1'!$B$7:$B$2506,"&lt;="&amp;$A85,'Dataset 1'!$H$7:$H$2506,H$52)</f>
        <v>5520</v>
      </c>
      <c r="I85" s="83">
        <f>SUMIFS('Dataset 1'!$E$7:$E$2506,'Dataset 1'!$B$7:$B$2506,"&lt;="&amp;$A85,'Dataset 1'!$H$7:$H$2506,I$52)</f>
        <v>100060</v>
      </c>
      <c r="J85" s="83">
        <f>SUMIFS('Dataset 1'!$E$7:$E$2506,'Dataset 1'!$B$7:$B$2506,"&lt;="&amp;$A85,'Dataset 1'!$H$7:$H$2506,J$52)</f>
        <v>8680</v>
      </c>
      <c r="K85" s="83">
        <f>SUMIFS('Dataset 1'!$E$7:$E$2506,'Dataset 1'!$B$7:$B$2506,"&lt;="&amp;$A85,'Dataset 1'!$H$7:$H$2506,K$52)</f>
        <v>47350</v>
      </c>
      <c r="L85" s="83">
        <f>SUMIFS('Dataset 1'!$E$7:$E$2506,'Dataset 1'!$B$7:$B$2506,"&lt;="&amp;$A85,'Dataset 1'!$H$7:$H$2506,L$52)</f>
        <v>16320</v>
      </c>
      <c r="M85" s="83">
        <f>SUMIFS('Dataset 1'!$E$7:$E$2506,'Dataset 1'!$B$7:$B$2506,"&lt;="&amp;$A85,'Dataset 1'!$H$7:$H$2506,M$52)</f>
        <v>12070</v>
      </c>
      <c r="N85" s="83">
        <f>SUMIFS('Dataset 1'!$E$7:$E$2506,'Dataset 1'!$B$7:$B$2506,"&lt;="&amp;$A85,'Dataset 1'!$H$7:$H$2506,N$52)</f>
        <v>30170</v>
      </c>
      <c r="O85" s="83">
        <f>SUMIFS('Dataset 1'!$E$7:$E$2506,'Dataset 1'!$B$7:$B$2506,"&lt;="&amp;$A85,'Dataset 1'!$H$7:$H$2506,O$52)</f>
        <v>5060</v>
      </c>
    </row>
    <row r="86" spans="1:15" x14ac:dyDescent="0.2">
      <c r="A86">
        <v>2015</v>
      </c>
      <c r="B86" s="83">
        <f>SUMIFS('Dataset 1'!$E$7:$E$2506,'Dataset 1'!$B$7:$B$2506,"&lt;="&amp;$A86,'Dataset 1'!$H$7:$H$2506,B$52)</f>
        <v>26610</v>
      </c>
      <c r="C86" s="83">
        <f>SUMIFS('Dataset 1'!$E$7:$E$2506,'Dataset 1'!$B$7:$B$2506,"&lt;="&amp;$A86,'Dataset 1'!$H$7:$H$2506,C$52)</f>
        <v>5650</v>
      </c>
      <c r="D86" s="83">
        <f>SUMIFS('Dataset 1'!$E$7:$E$2506,'Dataset 1'!$B$7:$B$2506,"&lt;="&amp;$A86,'Dataset 1'!$H$7:$H$2506,D$52)</f>
        <v>286880</v>
      </c>
      <c r="E86" s="83">
        <f>SUMIFS('Dataset 1'!$E$7:$E$2506,'Dataset 1'!$B$7:$B$2506,"&lt;="&amp;$A86,'Dataset 1'!$H$7:$H$2506,E$52)</f>
        <v>9870</v>
      </c>
      <c r="F86" s="83">
        <f>SUMIFS('Dataset 1'!$E$7:$E$2506,'Dataset 1'!$B$7:$B$2506,"&lt;="&amp;$A86,'Dataset 1'!$H$7:$H$2506,F$52)</f>
        <v>56550</v>
      </c>
      <c r="G86" s="83">
        <f>SUMIFS('Dataset 1'!$E$7:$E$2506,'Dataset 1'!$B$7:$B$2506,"&lt;="&amp;$A86,'Dataset 1'!$H$7:$H$2506,G$52)</f>
        <v>5630</v>
      </c>
      <c r="H86" s="83">
        <f>SUMIFS('Dataset 1'!$E$7:$E$2506,'Dataset 1'!$B$7:$B$2506,"&lt;="&amp;$A86,'Dataset 1'!$H$7:$H$2506,H$52)</f>
        <v>10950</v>
      </c>
      <c r="I86" s="83">
        <f>SUMIFS('Dataset 1'!$E$7:$E$2506,'Dataset 1'!$B$7:$B$2506,"&lt;="&amp;$A86,'Dataset 1'!$H$7:$H$2506,I$52)</f>
        <v>105390</v>
      </c>
      <c r="J86" s="83">
        <f>SUMIFS('Dataset 1'!$E$7:$E$2506,'Dataset 1'!$B$7:$B$2506,"&lt;="&amp;$A86,'Dataset 1'!$H$7:$H$2506,J$52)</f>
        <v>10160</v>
      </c>
      <c r="K86" s="83">
        <f>SUMIFS('Dataset 1'!$E$7:$E$2506,'Dataset 1'!$B$7:$B$2506,"&lt;="&amp;$A86,'Dataset 1'!$H$7:$H$2506,K$52)</f>
        <v>62920</v>
      </c>
      <c r="L86" s="83">
        <f>SUMIFS('Dataset 1'!$E$7:$E$2506,'Dataset 1'!$B$7:$B$2506,"&lt;="&amp;$A86,'Dataset 1'!$H$7:$H$2506,L$52)</f>
        <v>25010</v>
      </c>
      <c r="M86" s="83">
        <f>SUMIFS('Dataset 1'!$E$7:$E$2506,'Dataset 1'!$B$7:$B$2506,"&lt;="&amp;$A86,'Dataset 1'!$H$7:$H$2506,M$52)</f>
        <v>16070</v>
      </c>
      <c r="N86" s="83">
        <f>SUMIFS('Dataset 1'!$E$7:$E$2506,'Dataset 1'!$B$7:$B$2506,"&lt;="&amp;$A86,'Dataset 1'!$H$7:$H$2506,N$52)</f>
        <v>51470</v>
      </c>
      <c r="O86" s="83">
        <f>SUMIFS('Dataset 1'!$E$7:$E$2506,'Dataset 1'!$B$7:$B$2506,"&lt;="&amp;$A86,'Dataset 1'!$H$7:$H$2506,O$52)</f>
        <v>5790</v>
      </c>
    </row>
    <row r="87" spans="1:15" x14ac:dyDescent="0.2">
      <c r="A87">
        <v>2016</v>
      </c>
      <c r="B87" s="83">
        <f>SUMIFS('Dataset 1'!$E$7:$E$2506,'Dataset 1'!$B$7:$B$2506,"&lt;="&amp;$A87,'Dataset 1'!$H$7:$H$2506,B$52)</f>
        <v>32700</v>
      </c>
      <c r="C87" s="83">
        <f>SUMIFS('Dataset 1'!$E$7:$E$2506,'Dataset 1'!$B$7:$B$2506,"&lt;="&amp;$A87,'Dataset 1'!$H$7:$H$2506,C$52)</f>
        <v>7300</v>
      </c>
      <c r="D87" s="83">
        <f>SUMIFS('Dataset 1'!$E$7:$E$2506,'Dataset 1'!$B$7:$B$2506,"&lt;="&amp;$A87,'Dataset 1'!$H$7:$H$2506,D$52)</f>
        <v>324160</v>
      </c>
      <c r="E87" s="83">
        <f>SUMIFS('Dataset 1'!$E$7:$E$2506,'Dataset 1'!$B$7:$B$2506,"&lt;="&amp;$A87,'Dataset 1'!$H$7:$H$2506,E$52)</f>
        <v>31900</v>
      </c>
      <c r="F87" s="83">
        <f>SUMIFS('Dataset 1'!$E$7:$E$2506,'Dataset 1'!$B$7:$B$2506,"&lt;="&amp;$A87,'Dataset 1'!$H$7:$H$2506,F$52)</f>
        <v>59630</v>
      </c>
      <c r="G87" s="83">
        <f>SUMIFS('Dataset 1'!$E$7:$E$2506,'Dataset 1'!$B$7:$B$2506,"&lt;="&amp;$A87,'Dataset 1'!$H$7:$H$2506,G$52)</f>
        <v>8450</v>
      </c>
      <c r="H87" s="83">
        <f>SUMIFS('Dataset 1'!$E$7:$E$2506,'Dataset 1'!$B$7:$B$2506,"&lt;="&amp;$A87,'Dataset 1'!$H$7:$H$2506,H$52)</f>
        <v>14010</v>
      </c>
      <c r="I87" s="83">
        <f>SUMIFS('Dataset 1'!$E$7:$E$2506,'Dataset 1'!$B$7:$B$2506,"&lt;="&amp;$A87,'Dataset 1'!$H$7:$H$2506,I$52)</f>
        <v>109990</v>
      </c>
      <c r="J87" s="83">
        <f>SUMIFS('Dataset 1'!$E$7:$E$2506,'Dataset 1'!$B$7:$B$2506,"&lt;="&amp;$A87,'Dataset 1'!$H$7:$H$2506,J$52)</f>
        <v>22630</v>
      </c>
      <c r="K87" s="83">
        <f>SUMIFS('Dataset 1'!$E$7:$E$2506,'Dataset 1'!$B$7:$B$2506,"&lt;="&amp;$A87,'Dataset 1'!$H$7:$H$2506,K$52)</f>
        <v>79780</v>
      </c>
      <c r="L87" s="83">
        <f>SUMIFS('Dataset 1'!$E$7:$E$2506,'Dataset 1'!$B$7:$B$2506,"&lt;="&amp;$A87,'Dataset 1'!$H$7:$H$2506,L$52)</f>
        <v>48660</v>
      </c>
      <c r="M87" s="83">
        <f>SUMIFS('Dataset 1'!$E$7:$E$2506,'Dataset 1'!$B$7:$B$2506,"&lt;="&amp;$A87,'Dataset 1'!$H$7:$H$2506,M$52)</f>
        <v>38440</v>
      </c>
      <c r="N87" s="83">
        <f>SUMIFS('Dataset 1'!$E$7:$E$2506,'Dataset 1'!$B$7:$B$2506,"&lt;="&amp;$A87,'Dataset 1'!$H$7:$H$2506,N$52)</f>
        <v>62710</v>
      </c>
      <c r="O87" s="83">
        <f>SUMIFS('Dataset 1'!$E$7:$E$2506,'Dataset 1'!$B$7:$B$2506,"&lt;="&amp;$A87,'Dataset 1'!$H$7:$H$2506,O$52)</f>
        <v>7720</v>
      </c>
    </row>
    <row r="88" spans="1:15" x14ac:dyDescent="0.2">
      <c r="A88">
        <v>2017</v>
      </c>
      <c r="B88" s="83">
        <f>SUMIFS('Dataset 1'!$E$7:$E$2506,'Dataset 1'!$B$7:$B$2506,"&lt;="&amp;$A88,'Dataset 1'!$H$7:$H$2506,B$52)</f>
        <v>78570</v>
      </c>
      <c r="C88" s="83">
        <f>SUMIFS('Dataset 1'!$E$7:$E$2506,'Dataset 1'!$B$7:$B$2506,"&lt;="&amp;$A88,'Dataset 1'!$H$7:$H$2506,C$52)</f>
        <v>7430</v>
      </c>
      <c r="D88" s="83">
        <f>SUMIFS('Dataset 1'!$E$7:$E$2506,'Dataset 1'!$B$7:$B$2506,"&lt;="&amp;$A88,'Dataset 1'!$H$7:$H$2506,D$52)</f>
        <v>345140</v>
      </c>
      <c r="E88" s="83">
        <f>SUMIFS('Dataset 1'!$E$7:$E$2506,'Dataset 1'!$B$7:$B$2506,"&lt;="&amp;$A88,'Dataset 1'!$H$7:$H$2506,E$52)</f>
        <v>38460</v>
      </c>
      <c r="F88" s="83">
        <f>SUMIFS('Dataset 1'!$E$7:$E$2506,'Dataset 1'!$B$7:$B$2506,"&lt;="&amp;$A88,'Dataset 1'!$H$7:$H$2506,F$52)</f>
        <v>76250</v>
      </c>
      <c r="G88" s="83">
        <f>SUMIFS('Dataset 1'!$E$7:$E$2506,'Dataset 1'!$B$7:$B$2506,"&lt;="&amp;$A88,'Dataset 1'!$H$7:$H$2506,G$52)</f>
        <v>14280</v>
      </c>
      <c r="H88" s="83">
        <f>SUMIFS('Dataset 1'!$E$7:$E$2506,'Dataset 1'!$B$7:$B$2506,"&lt;="&amp;$A88,'Dataset 1'!$H$7:$H$2506,H$52)</f>
        <v>37890</v>
      </c>
      <c r="I88" s="83">
        <f>SUMIFS('Dataset 1'!$E$7:$E$2506,'Dataset 1'!$B$7:$B$2506,"&lt;="&amp;$A88,'Dataset 1'!$H$7:$H$2506,I$52)</f>
        <v>114200</v>
      </c>
      <c r="J88" s="83">
        <f>SUMIFS('Dataset 1'!$E$7:$E$2506,'Dataset 1'!$B$7:$B$2506,"&lt;="&amp;$A88,'Dataset 1'!$H$7:$H$2506,J$52)</f>
        <v>28740</v>
      </c>
      <c r="K88" s="83">
        <f>SUMIFS('Dataset 1'!$E$7:$E$2506,'Dataset 1'!$B$7:$B$2506,"&lt;="&amp;$A88,'Dataset 1'!$H$7:$H$2506,K$52)</f>
        <v>95390</v>
      </c>
      <c r="L88" s="83">
        <f>SUMIFS('Dataset 1'!$E$7:$E$2506,'Dataset 1'!$B$7:$B$2506,"&lt;="&amp;$A88,'Dataset 1'!$H$7:$H$2506,L$52)</f>
        <v>52250</v>
      </c>
      <c r="M88" s="83">
        <f>SUMIFS('Dataset 1'!$E$7:$E$2506,'Dataset 1'!$B$7:$B$2506,"&lt;="&amp;$A88,'Dataset 1'!$H$7:$H$2506,M$52)</f>
        <v>43240</v>
      </c>
      <c r="N88" s="83">
        <f>SUMIFS('Dataset 1'!$E$7:$E$2506,'Dataset 1'!$B$7:$B$2506,"&lt;="&amp;$A88,'Dataset 1'!$H$7:$H$2506,N$52)</f>
        <v>83500</v>
      </c>
      <c r="O88" s="83">
        <f>SUMIFS('Dataset 1'!$E$7:$E$2506,'Dataset 1'!$B$7:$B$2506,"&lt;="&amp;$A88,'Dataset 1'!$H$7:$H$2506,O$52)</f>
        <v>7830</v>
      </c>
    </row>
    <row r="89" spans="1:15" x14ac:dyDescent="0.2">
      <c r="A89">
        <v>2018</v>
      </c>
      <c r="B89" s="83">
        <f>SUMIFS('Dataset 1'!$E$7:$E$2506,'Dataset 1'!$B$7:$B$2506,"&lt;="&amp;$A89,'Dataset 1'!$H$7:$H$2506,B$52)</f>
        <v>81510</v>
      </c>
      <c r="C89" s="83">
        <f>SUMIFS('Dataset 1'!$E$7:$E$2506,'Dataset 1'!$B$7:$B$2506,"&lt;="&amp;$A89,'Dataset 1'!$H$7:$H$2506,C$52)</f>
        <v>8510</v>
      </c>
      <c r="D89" s="83">
        <f>SUMIFS('Dataset 1'!$E$7:$E$2506,'Dataset 1'!$B$7:$B$2506,"&lt;="&amp;$A89,'Dataset 1'!$H$7:$H$2506,D$52)</f>
        <v>368210</v>
      </c>
      <c r="E89" s="83">
        <f>SUMIFS('Dataset 1'!$E$7:$E$2506,'Dataset 1'!$B$7:$B$2506,"&lt;="&amp;$A89,'Dataset 1'!$H$7:$H$2506,E$52)</f>
        <v>43170</v>
      </c>
      <c r="F89" s="83">
        <f>SUMIFS('Dataset 1'!$E$7:$E$2506,'Dataset 1'!$B$7:$B$2506,"&lt;="&amp;$A89,'Dataset 1'!$H$7:$H$2506,F$52)</f>
        <v>81060</v>
      </c>
      <c r="G89" s="83">
        <f>SUMIFS('Dataset 1'!$E$7:$E$2506,'Dataset 1'!$B$7:$B$2506,"&lt;="&amp;$A89,'Dataset 1'!$H$7:$H$2506,G$52)</f>
        <v>20310</v>
      </c>
      <c r="H89" s="83">
        <f>SUMIFS('Dataset 1'!$E$7:$E$2506,'Dataset 1'!$B$7:$B$2506,"&lt;="&amp;$A89,'Dataset 1'!$H$7:$H$2506,H$52)</f>
        <v>38360</v>
      </c>
      <c r="I89" s="83">
        <f>SUMIFS('Dataset 1'!$E$7:$E$2506,'Dataset 1'!$B$7:$B$2506,"&lt;="&amp;$A89,'Dataset 1'!$H$7:$H$2506,I$52)</f>
        <v>129480</v>
      </c>
      <c r="J89" s="83">
        <f>SUMIFS('Dataset 1'!$E$7:$E$2506,'Dataset 1'!$B$7:$B$2506,"&lt;="&amp;$A89,'Dataset 1'!$H$7:$H$2506,J$52)</f>
        <v>42640</v>
      </c>
      <c r="K89" s="83">
        <f>SUMIFS('Dataset 1'!$E$7:$E$2506,'Dataset 1'!$B$7:$B$2506,"&lt;="&amp;$A89,'Dataset 1'!$H$7:$H$2506,K$52)</f>
        <v>100550</v>
      </c>
      <c r="L89" s="83">
        <f>SUMIFS('Dataset 1'!$E$7:$E$2506,'Dataset 1'!$B$7:$B$2506,"&lt;="&amp;$A89,'Dataset 1'!$H$7:$H$2506,L$52)</f>
        <v>60890</v>
      </c>
      <c r="M89" s="83">
        <f>SUMIFS('Dataset 1'!$E$7:$E$2506,'Dataset 1'!$B$7:$B$2506,"&lt;="&amp;$A89,'Dataset 1'!$H$7:$H$2506,M$52)</f>
        <v>43800</v>
      </c>
      <c r="N89" s="83">
        <f>SUMIFS('Dataset 1'!$E$7:$E$2506,'Dataset 1'!$B$7:$B$2506,"&lt;="&amp;$A89,'Dataset 1'!$H$7:$H$2506,N$52)</f>
        <v>113270</v>
      </c>
      <c r="O89" s="83">
        <f>SUMIFS('Dataset 1'!$E$7:$E$2506,'Dataset 1'!$B$7:$B$2506,"&lt;="&amp;$A89,'Dataset 1'!$H$7:$H$2506,O$52)</f>
        <v>9420</v>
      </c>
    </row>
    <row r="90" spans="1:15" x14ac:dyDescent="0.2">
      <c r="A90">
        <v>2019</v>
      </c>
      <c r="B90" s="83">
        <f>SUMIFS('Dataset 1'!$E$7:$E$2506,'Dataset 1'!$B$7:$B$2506,"&lt;="&amp;$A90,'Dataset 1'!$H$7:$H$2506,B$52)</f>
        <v>83510</v>
      </c>
      <c r="C90" s="83">
        <f>SUMIFS('Dataset 1'!$E$7:$E$2506,'Dataset 1'!$B$7:$B$2506,"&lt;="&amp;$A90,'Dataset 1'!$H$7:$H$2506,C$52)</f>
        <v>8780</v>
      </c>
      <c r="D90" s="83">
        <f>SUMIFS('Dataset 1'!$E$7:$E$2506,'Dataset 1'!$B$7:$B$2506,"&lt;="&amp;$A90,'Dataset 1'!$H$7:$H$2506,D$52)</f>
        <v>398160</v>
      </c>
      <c r="E90" s="83">
        <f>SUMIFS('Dataset 1'!$E$7:$E$2506,'Dataset 1'!$B$7:$B$2506,"&lt;="&amp;$A90,'Dataset 1'!$H$7:$H$2506,E$52)</f>
        <v>53110</v>
      </c>
      <c r="F90" s="83">
        <f>SUMIFS('Dataset 1'!$E$7:$E$2506,'Dataset 1'!$B$7:$B$2506,"&lt;="&amp;$A90,'Dataset 1'!$H$7:$H$2506,F$52)</f>
        <v>83420</v>
      </c>
      <c r="G90" s="83">
        <f>SUMIFS('Dataset 1'!$E$7:$E$2506,'Dataset 1'!$B$7:$B$2506,"&lt;="&amp;$A90,'Dataset 1'!$H$7:$H$2506,G$52)</f>
        <v>23210</v>
      </c>
      <c r="H90" s="83">
        <f>SUMIFS('Dataset 1'!$E$7:$E$2506,'Dataset 1'!$B$7:$B$2506,"&lt;="&amp;$A90,'Dataset 1'!$H$7:$H$2506,H$52)</f>
        <v>39570</v>
      </c>
      <c r="I90" s="83">
        <f>SUMIFS('Dataset 1'!$E$7:$E$2506,'Dataset 1'!$B$7:$B$2506,"&lt;="&amp;$A90,'Dataset 1'!$H$7:$H$2506,I$52)</f>
        <v>141200</v>
      </c>
      <c r="J90" s="83">
        <f>SUMIFS('Dataset 1'!$E$7:$E$2506,'Dataset 1'!$B$7:$B$2506,"&lt;="&amp;$A90,'Dataset 1'!$H$7:$H$2506,J$52)</f>
        <v>48610</v>
      </c>
      <c r="K90" s="83">
        <f>SUMIFS('Dataset 1'!$E$7:$E$2506,'Dataset 1'!$B$7:$B$2506,"&lt;="&amp;$A90,'Dataset 1'!$H$7:$H$2506,K$52)</f>
        <v>105290</v>
      </c>
      <c r="L90" s="83">
        <f>SUMIFS('Dataset 1'!$E$7:$E$2506,'Dataset 1'!$B$7:$B$2506,"&lt;="&amp;$A90,'Dataset 1'!$H$7:$H$2506,L$52)</f>
        <v>66280</v>
      </c>
      <c r="M90" s="83">
        <f>SUMIFS('Dataset 1'!$E$7:$E$2506,'Dataset 1'!$B$7:$B$2506,"&lt;="&amp;$A90,'Dataset 1'!$H$7:$H$2506,M$52)</f>
        <v>45770</v>
      </c>
      <c r="N90" s="83">
        <f>SUMIFS('Dataset 1'!$E$7:$E$2506,'Dataset 1'!$B$7:$B$2506,"&lt;="&amp;$A90,'Dataset 1'!$H$7:$H$2506,N$52)</f>
        <v>131150</v>
      </c>
      <c r="O90" s="83">
        <f>SUMIFS('Dataset 1'!$E$7:$E$2506,'Dataset 1'!$B$7:$B$2506,"&lt;="&amp;$A90,'Dataset 1'!$H$7:$H$2506,O$52)</f>
        <v>9420</v>
      </c>
    </row>
    <row r="91" spans="1:15" x14ac:dyDescent="0.2">
      <c r="A91">
        <v>2020</v>
      </c>
      <c r="B91" s="83">
        <f>SUMIFS('Dataset 1'!$E$7:$E$2506,'Dataset 1'!$B$7:$B$2506,"&lt;="&amp;$A91,'Dataset 1'!$H$7:$H$2506,B$52)</f>
        <v>84230</v>
      </c>
      <c r="C91" s="83">
        <f>SUMIFS('Dataset 1'!$E$7:$E$2506,'Dataset 1'!$B$7:$B$2506,"&lt;="&amp;$A91,'Dataset 1'!$H$7:$H$2506,C$52)</f>
        <v>8960</v>
      </c>
      <c r="D91" s="83">
        <f>SUMIFS('Dataset 1'!$E$7:$E$2506,'Dataset 1'!$B$7:$B$2506,"&lt;="&amp;$A91,'Dataset 1'!$H$7:$H$2506,D$52)</f>
        <v>413460</v>
      </c>
      <c r="E91" s="83">
        <f>SUMIFS('Dataset 1'!$E$7:$E$2506,'Dataset 1'!$B$7:$B$2506,"&lt;="&amp;$A91,'Dataset 1'!$H$7:$H$2506,E$52)</f>
        <v>57170</v>
      </c>
      <c r="F91" s="83">
        <f>SUMIFS('Dataset 1'!$E$7:$E$2506,'Dataset 1'!$B$7:$B$2506,"&lt;="&amp;$A91,'Dataset 1'!$H$7:$H$2506,F$52)</f>
        <v>84820</v>
      </c>
      <c r="G91" s="83">
        <f>SUMIFS('Dataset 1'!$E$7:$E$2506,'Dataset 1'!$B$7:$B$2506,"&lt;="&amp;$A91,'Dataset 1'!$H$7:$H$2506,G$52)</f>
        <v>24540</v>
      </c>
      <c r="H91" s="83">
        <f>SUMIFS('Dataset 1'!$E$7:$E$2506,'Dataset 1'!$B$7:$B$2506,"&lt;="&amp;$A91,'Dataset 1'!$H$7:$H$2506,H$52)</f>
        <v>41560</v>
      </c>
      <c r="I91" s="83">
        <f>SUMIFS('Dataset 1'!$E$7:$E$2506,'Dataset 1'!$B$7:$B$2506,"&lt;="&amp;$A91,'Dataset 1'!$H$7:$H$2506,I$52)</f>
        <v>145310</v>
      </c>
      <c r="J91" s="83">
        <f>SUMIFS('Dataset 1'!$E$7:$E$2506,'Dataset 1'!$B$7:$B$2506,"&lt;="&amp;$A91,'Dataset 1'!$H$7:$H$2506,J$52)</f>
        <v>50780</v>
      </c>
      <c r="K91" s="83">
        <f>SUMIFS('Dataset 1'!$E$7:$E$2506,'Dataset 1'!$B$7:$B$2506,"&lt;="&amp;$A91,'Dataset 1'!$H$7:$H$2506,K$52)</f>
        <v>109870</v>
      </c>
      <c r="L91" s="83">
        <f>SUMIFS('Dataset 1'!$E$7:$E$2506,'Dataset 1'!$B$7:$B$2506,"&lt;="&amp;$A91,'Dataset 1'!$H$7:$H$2506,L$52)</f>
        <v>68900</v>
      </c>
      <c r="M91" s="83">
        <f>SUMIFS('Dataset 1'!$E$7:$E$2506,'Dataset 1'!$B$7:$B$2506,"&lt;="&amp;$A91,'Dataset 1'!$H$7:$H$2506,M$52)</f>
        <v>45950</v>
      </c>
      <c r="N91" s="83">
        <f>SUMIFS('Dataset 1'!$E$7:$E$2506,'Dataset 1'!$B$7:$B$2506,"&lt;="&amp;$A91,'Dataset 1'!$H$7:$H$2506,N$52)</f>
        <v>137880</v>
      </c>
      <c r="O91" s="83">
        <f>SUMIFS('Dataset 1'!$E$7:$E$2506,'Dataset 1'!$B$7:$B$2506,"&lt;="&amp;$A91,'Dataset 1'!$H$7:$H$2506,O$52)</f>
        <v>9420</v>
      </c>
    </row>
    <row r="92" spans="1:15" x14ac:dyDescent="0.2">
      <c r="A92">
        <v>2021</v>
      </c>
      <c r="B92" s="83">
        <f>SUMIFS('Dataset 1'!$E$7:$E$2506,'Dataset 1'!$B$7:$B$2506,"&lt;="&amp;$A92,'Dataset 1'!$H$7:$H$2506,B$52)</f>
        <v>84770</v>
      </c>
      <c r="C92" s="83">
        <f>SUMIFS('Dataset 1'!$E$7:$E$2506,'Dataset 1'!$B$7:$B$2506,"&lt;="&amp;$A92,'Dataset 1'!$H$7:$H$2506,C$52)</f>
        <v>9480</v>
      </c>
      <c r="D92" s="83">
        <f>SUMIFS('Dataset 1'!$E$7:$E$2506,'Dataset 1'!$B$7:$B$2506,"&lt;="&amp;$A92,'Dataset 1'!$H$7:$H$2506,D$52)</f>
        <v>428610</v>
      </c>
      <c r="E92" s="83">
        <f>SUMIFS('Dataset 1'!$E$7:$E$2506,'Dataset 1'!$B$7:$B$2506,"&lt;="&amp;$A92,'Dataset 1'!$H$7:$H$2506,E$52)</f>
        <v>58980</v>
      </c>
      <c r="F92" s="83">
        <f>SUMIFS('Dataset 1'!$E$7:$E$2506,'Dataset 1'!$B$7:$B$2506,"&lt;="&amp;$A92,'Dataset 1'!$H$7:$H$2506,F$52)</f>
        <v>85740</v>
      </c>
      <c r="G92" s="83">
        <f>SUMIFS('Dataset 1'!$E$7:$E$2506,'Dataset 1'!$B$7:$B$2506,"&lt;="&amp;$A92,'Dataset 1'!$H$7:$H$2506,G$52)</f>
        <v>28490</v>
      </c>
      <c r="H92" s="83">
        <f>SUMIFS('Dataset 1'!$E$7:$E$2506,'Dataset 1'!$B$7:$B$2506,"&lt;="&amp;$A92,'Dataset 1'!$H$7:$H$2506,H$52)</f>
        <v>43710</v>
      </c>
      <c r="I92" s="83">
        <f>SUMIFS('Dataset 1'!$E$7:$E$2506,'Dataset 1'!$B$7:$B$2506,"&lt;="&amp;$A92,'Dataset 1'!$H$7:$H$2506,I$52)</f>
        <v>152490</v>
      </c>
      <c r="J92" s="83">
        <f>SUMIFS('Dataset 1'!$E$7:$E$2506,'Dataset 1'!$B$7:$B$2506,"&lt;="&amp;$A92,'Dataset 1'!$H$7:$H$2506,J$52)</f>
        <v>59180</v>
      </c>
      <c r="K92" s="83">
        <f>SUMIFS('Dataset 1'!$E$7:$E$2506,'Dataset 1'!$B$7:$B$2506,"&lt;="&amp;$A92,'Dataset 1'!$H$7:$H$2506,K$52)</f>
        <v>110830</v>
      </c>
      <c r="L92" s="83">
        <f>SUMIFS('Dataset 1'!$E$7:$E$2506,'Dataset 1'!$B$7:$B$2506,"&lt;="&amp;$A92,'Dataset 1'!$H$7:$H$2506,L$52)</f>
        <v>70930</v>
      </c>
      <c r="M92" s="83">
        <f>SUMIFS('Dataset 1'!$E$7:$E$2506,'Dataset 1'!$B$7:$B$2506,"&lt;="&amp;$A92,'Dataset 1'!$H$7:$H$2506,M$52)</f>
        <v>45950</v>
      </c>
      <c r="N92" s="83">
        <f>SUMIFS('Dataset 1'!$E$7:$E$2506,'Dataset 1'!$B$7:$B$2506,"&lt;="&amp;$A92,'Dataset 1'!$H$7:$H$2506,N$52)</f>
        <v>148200</v>
      </c>
      <c r="O92" s="83">
        <f>SUMIFS('Dataset 1'!$E$7:$E$2506,'Dataset 1'!$B$7:$B$2506,"&lt;="&amp;$A92,'Dataset 1'!$H$7:$H$2506,O$52)</f>
        <v>9520</v>
      </c>
    </row>
    <row r="93" spans="1:15" x14ac:dyDescent="0.2">
      <c r="A93">
        <v>2022</v>
      </c>
      <c r="B93" s="83">
        <f>SUMIFS('Dataset 1'!$E$7:$E$2506,'Dataset 1'!$B$7:$B$2506,"&lt;="&amp;$A93,'Dataset 1'!$H$7:$H$2506,B$52)</f>
        <v>84940</v>
      </c>
      <c r="C93" s="83">
        <f>SUMIFS('Dataset 1'!$E$7:$E$2506,'Dataset 1'!$B$7:$B$2506,"&lt;="&amp;$A93,'Dataset 1'!$H$7:$H$2506,C$52)</f>
        <v>9480</v>
      </c>
      <c r="D93" s="83">
        <f>SUMIFS('Dataset 1'!$E$7:$E$2506,'Dataset 1'!$B$7:$B$2506,"&lt;="&amp;$A93,'Dataset 1'!$H$7:$H$2506,D$52)</f>
        <v>444570</v>
      </c>
      <c r="E93" s="83">
        <f>SUMIFS('Dataset 1'!$E$7:$E$2506,'Dataset 1'!$B$7:$B$2506,"&lt;="&amp;$A93,'Dataset 1'!$H$7:$H$2506,E$52)</f>
        <v>59530</v>
      </c>
      <c r="F93" s="83">
        <f>SUMIFS('Dataset 1'!$E$7:$E$2506,'Dataset 1'!$B$7:$B$2506,"&lt;="&amp;$A93,'Dataset 1'!$H$7:$H$2506,F$52)</f>
        <v>88900</v>
      </c>
      <c r="G93" s="83">
        <f>SUMIFS('Dataset 1'!$E$7:$E$2506,'Dataset 1'!$B$7:$B$2506,"&lt;="&amp;$A93,'Dataset 1'!$H$7:$H$2506,G$52)</f>
        <v>30700</v>
      </c>
      <c r="H93" s="83">
        <f>SUMIFS('Dataset 1'!$E$7:$E$2506,'Dataset 1'!$B$7:$B$2506,"&lt;="&amp;$A93,'Dataset 1'!$H$7:$H$2506,H$52)</f>
        <v>43850</v>
      </c>
      <c r="I93" s="83">
        <f>SUMIFS('Dataset 1'!$E$7:$E$2506,'Dataset 1'!$B$7:$B$2506,"&lt;="&amp;$A93,'Dataset 1'!$H$7:$H$2506,I$52)</f>
        <v>161410</v>
      </c>
      <c r="J93" s="83">
        <f>SUMIFS('Dataset 1'!$E$7:$E$2506,'Dataset 1'!$B$7:$B$2506,"&lt;="&amp;$A93,'Dataset 1'!$H$7:$H$2506,J$52)</f>
        <v>63810</v>
      </c>
      <c r="K93" s="83">
        <f>SUMIFS('Dataset 1'!$E$7:$E$2506,'Dataset 1'!$B$7:$B$2506,"&lt;="&amp;$A93,'Dataset 1'!$H$7:$H$2506,K$52)</f>
        <v>112770</v>
      </c>
      <c r="L93" s="83">
        <f>SUMIFS('Dataset 1'!$E$7:$E$2506,'Dataset 1'!$B$7:$B$2506,"&lt;="&amp;$A93,'Dataset 1'!$H$7:$H$2506,L$52)</f>
        <v>72710</v>
      </c>
      <c r="M93" s="83">
        <f>SUMIFS('Dataset 1'!$E$7:$E$2506,'Dataset 1'!$B$7:$B$2506,"&lt;="&amp;$A93,'Dataset 1'!$H$7:$H$2506,M$52)</f>
        <v>45950</v>
      </c>
      <c r="N93" s="83">
        <f>SUMIFS('Dataset 1'!$E$7:$E$2506,'Dataset 1'!$B$7:$B$2506,"&lt;="&amp;$A93,'Dataset 1'!$H$7:$H$2506,N$52)</f>
        <v>153060</v>
      </c>
      <c r="O93" s="83">
        <f>SUMIFS('Dataset 1'!$E$7:$E$2506,'Dataset 1'!$B$7:$B$2506,"&lt;="&amp;$A93,'Dataset 1'!$H$7:$H$2506,O$52)</f>
        <v>9520</v>
      </c>
    </row>
    <row r="94" spans="1:15" x14ac:dyDescent="0.2">
      <c r="A94">
        <v>2023</v>
      </c>
      <c r="B94" s="83">
        <f>SUMIFS('Dataset 1'!$E$7:$E$2506,'Dataset 1'!$B$7:$B$2506,"&lt;="&amp;$A94,'Dataset 1'!$H$7:$H$2506,B$52)</f>
        <v>86140</v>
      </c>
      <c r="C94" s="83">
        <f>SUMIFS('Dataset 1'!$E$7:$E$2506,'Dataset 1'!$B$7:$B$2506,"&lt;="&amp;$A94,'Dataset 1'!$H$7:$H$2506,C$52)</f>
        <v>11040</v>
      </c>
      <c r="D94" s="83">
        <f>SUMIFS('Dataset 1'!$E$7:$E$2506,'Dataset 1'!$B$7:$B$2506,"&lt;="&amp;$A94,'Dataset 1'!$H$7:$H$2506,D$52)</f>
        <v>457680</v>
      </c>
      <c r="E94" s="83">
        <f>SUMIFS('Dataset 1'!$E$7:$E$2506,'Dataset 1'!$B$7:$B$2506,"&lt;="&amp;$A94,'Dataset 1'!$H$7:$H$2506,E$52)</f>
        <v>61050</v>
      </c>
      <c r="F94" s="83">
        <f>SUMIFS('Dataset 1'!$E$7:$E$2506,'Dataset 1'!$B$7:$B$2506,"&lt;="&amp;$A94,'Dataset 1'!$H$7:$H$2506,F$52)</f>
        <v>89440</v>
      </c>
      <c r="G94" s="83">
        <f>SUMIFS('Dataset 1'!$E$7:$E$2506,'Dataset 1'!$B$7:$B$2506,"&lt;="&amp;$A94,'Dataset 1'!$H$7:$H$2506,G$52)</f>
        <v>31760</v>
      </c>
      <c r="H94" s="83">
        <f>SUMIFS('Dataset 1'!$E$7:$E$2506,'Dataset 1'!$B$7:$B$2506,"&lt;="&amp;$A94,'Dataset 1'!$H$7:$H$2506,H$52)</f>
        <v>45480</v>
      </c>
      <c r="I94" s="83">
        <f>SUMIFS('Dataset 1'!$E$7:$E$2506,'Dataset 1'!$B$7:$B$2506,"&lt;="&amp;$A94,'Dataset 1'!$H$7:$H$2506,I$52)</f>
        <v>176740</v>
      </c>
      <c r="J94" s="83">
        <f>SUMIFS('Dataset 1'!$E$7:$E$2506,'Dataset 1'!$B$7:$B$2506,"&lt;="&amp;$A94,'Dataset 1'!$H$7:$H$2506,J$52)</f>
        <v>69430</v>
      </c>
      <c r="K94" s="83">
        <f>SUMIFS('Dataset 1'!$E$7:$E$2506,'Dataset 1'!$B$7:$B$2506,"&lt;="&amp;$A94,'Dataset 1'!$H$7:$H$2506,K$52)</f>
        <v>114480</v>
      </c>
      <c r="L94" s="83">
        <f>SUMIFS('Dataset 1'!$E$7:$E$2506,'Dataset 1'!$B$7:$B$2506,"&lt;="&amp;$A94,'Dataset 1'!$H$7:$H$2506,L$52)</f>
        <v>77000</v>
      </c>
      <c r="M94" s="83">
        <f>SUMIFS('Dataset 1'!$E$7:$E$2506,'Dataset 1'!$B$7:$B$2506,"&lt;="&amp;$A94,'Dataset 1'!$H$7:$H$2506,M$52)</f>
        <v>46070</v>
      </c>
      <c r="N94" s="83">
        <f>SUMIFS('Dataset 1'!$E$7:$E$2506,'Dataset 1'!$B$7:$B$2506,"&lt;="&amp;$A94,'Dataset 1'!$H$7:$H$2506,N$52)</f>
        <v>168600</v>
      </c>
      <c r="O94" s="83">
        <f>SUMIFS('Dataset 1'!$E$7:$E$2506,'Dataset 1'!$B$7:$B$2506,"&lt;="&amp;$A94,'Dataset 1'!$H$7:$H$2506,O$52)</f>
        <v>9850</v>
      </c>
    </row>
    <row r="95" spans="1:15" x14ac:dyDescent="0.2">
      <c r="A95">
        <v>2024</v>
      </c>
      <c r="B95" s="83">
        <f>SUMIFS('Dataset 1'!$E$7:$E$2506,'Dataset 1'!$B$7:$B$2506,"&lt;="&amp;$A95,'Dataset 1'!$H$7:$H$2506,B$52)</f>
        <v>87050</v>
      </c>
      <c r="C95" s="83">
        <f>SUMIFS('Dataset 1'!$E$7:$E$2506,'Dataset 1'!$B$7:$B$2506,"&lt;="&amp;$A95,'Dataset 1'!$H$7:$H$2506,C$52)</f>
        <v>14360</v>
      </c>
      <c r="D95" s="83">
        <f>SUMIFS('Dataset 1'!$E$7:$E$2506,'Dataset 1'!$B$7:$B$2506,"&lt;="&amp;$A95,'Dataset 1'!$H$7:$H$2506,D$52)</f>
        <v>469810</v>
      </c>
      <c r="E95" s="83">
        <f>SUMIFS('Dataset 1'!$E$7:$E$2506,'Dataset 1'!$B$7:$B$2506,"&lt;="&amp;$A95,'Dataset 1'!$H$7:$H$2506,E$52)</f>
        <v>63270</v>
      </c>
      <c r="F95" s="83">
        <f>SUMIFS('Dataset 1'!$E$7:$E$2506,'Dataset 1'!$B$7:$B$2506,"&lt;="&amp;$A95,'Dataset 1'!$H$7:$H$2506,F$52)</f>
        <v>89640</v>
      </c>
      <c r="G95" s="83">
        <f>SUMIFS('Dataset 1'!$E$7:$E$2506,'Dataset 1'!$B$7:$B$2506,"&lt;="&amp;$A95,'Dataset 1'!$H$7:$H$2506,G$52)</f>
        <v>31860</v>
      </c>
      <c r="H95" s="83">
        <f>SUMIFS('Dataset 1'!$E$7:$E$2506,'Dataset 1'!$B$7:$B$2506,"&lt;="&amp;$A95,'Dataset 1'!$H$7:$H$2506,H$52)</f>
        <v>46040</v>
      </c>
      <c r="I95" s="83">
        <f>SUMIFS('Dataset 1'!$E$7:$E$2506,'Dataset 1'!$B$7:$B$2506,"&lt;="&amp;$A95,'Dataset 1'!$H$7:$H$2506,I$52)</f>
        <v>189970</v>
      </c>
      <c r="J95" s="83">
        <f>SUMIFS('Dataset 1'!$E$7:$E$2506,'Dataset 1'!$B$7:$B$2506,"&lt;="&amp;$A95,'Dataset 1'!$H$7:$H$2506,J$52)</f>
        <v>71780</v>
      </c>
      <c r="K95" s="83">
        <f>SUMIFS('Dataset 1'!$E$7:$E$2506,'Dataset 1'!$B$7:$B$2506,"&lt;="&amp;$A95,'Dataset 1'!$H$7:$H$2506,K$52)</f>
        <v>118900</v>
      </c>
      <c r="L95" s="83">
        <f>SUMIFS('Dataset 1'!$E$7:$E$2506,'Dataset 1'!$B$7:$B$2506,"&lt;="&amp;$A95,'Dataset 1'!$H$7:$H$2506,L$52)</f>
        <v>79640</v>
      </c>
      <c r="M95" s="83">
        <f>SUMIFS('Dataset 1'!$E$7:$E$2506,'Dataset 1'!$B$7:$B$2506,"&lt;="&amp;$A95,'Dataset 1'!$H$7:$H$2506,M$52)</f>
        <v>46070</v>
      </c>
      <c r="N95" s="83">
        <f>SUMIFS('Dataset 1'!$E$7:$E$2506,'Dataset 1'!$B$7:$B$2506,"&lt;="&amp;$A95,'Dataset 1'!$H$7:$H$2506,N$52)</f>
        <v>185790</v>
      </c>
      <c r="O95" s="83">
        <f>SUMIFS('Dataset 1'!$E$7:$E$2506,'Dataset 1'!$B$7:$B$2506,"&lt;="&amp;$A95,'Dataset 1'!$H$7:$H$2506,O$52)</f>
        <v>9990</v>
      </c>
    </row>
    <row r="96" spans="1:15" x14ac:dyDescent="0.2">
      <c r="A96">
        <v>2025</v>
      </c>
      <c r="B96" s="83">
        <f>SUMIFS('Dataset 1'!$E$7:$E$2506,'Dataset 1'!$B$7:$B$2506,"&lt;="&amp;$A96,'Dataset 1'!$H$7:$H$2506,B$52)</f>
        <v>88120</v>
      </c>
      <c r="C96" s="83">
        <f>SUMIFS('Dataset 1'!$E$7:$E$2506,'Dataset 1'!$B$7:$B$2506,"&lt;="&amp;$A96,'Dataset 1'!$H$7:$H$2506,C$52)</f>
        <v>15810</v>
      </c>
      <c r="D96" s="83">
        <f>SUMIFS('Dataset 1'!$E$7:$E$2506,'Dataset 1'!$B$7:$B$2506,"&lt;="&amp;$A96,'Dataset 1'!$H$7:$H$2506,D$52)</f>
        <v>485700</v>
      </c>
      <c r="E96" s="83">
        <f>SUMIFS('Dataset 1'!$E$7:$E$2506,'Dataset 1'!$B$7:$B$2506,"&lt;="&amp;$A96,'Dataset 1'!$H$7:$H$2506,E$52)</f>
        <v>65600</v>
      </c>
      <c r="F96" s="83">
        <f>SUMIFS('Dataset 1'!$E$7:$E$2506,'Dataset 1'!$B$7:$B$2506,"&lt;="&amp;$A96,'Dataset 1'!$H$7:$H$2506,F$52)</f>
        <v>89640</v>
      </c>
      <c r="G96" s="83">
        <f>SUMIFS('Dataset 1'!$E$7:$E$2506,'Dataset 1'!$B$7:$B$2506,"&lt;="&amp;$A96,'Dataset 1'!$H$7:$H$2506,G$52)</f>
        <v>32080</v>
      </c>
      <c r="H96" s="83">
        <f>SUMIFS('Dataset 1'!$E$7:$E$2506,'Dataset 1'!$B$7:$B$2506,"&lt;="&amp;$A96,'Dataset 1'!$H$7:$H$2506,H$52)</f>
        <v>46650</v>
      </c>
      <c r="I96" s="83">
        <f>SUMIFS('Dataset 1'!$E$7:$E$2506,'Dataset 1'!$B$7:$B$2506,"&lt;="&amp;$A96,'Dataset 1'!$H$7:$H$2506,I$52)</f>
        <v>202780</v>
      </c>
      <c r="J96" s="83">
        <f>SUMIFS('Dataset 1'!$E$7:$E$2506,'Dataset 1'!$B$7:$B$2506,"&lt;="&amp;$A96,'Dataset 1'!$H$7:$H$2506,J$52)</f>
        <v>78310</v>
      </c>
      <c r="K96" s="83">
        <f>SUMIFS('Dataset 1'!$E$7:$E$2506,'Dataset 1'!$B$7:$B$2506,"&lt;="&amp;$A96,'Dataset 1'!$H$7:$H$2506,K$52)</f>
        <v>120440</v>
      </c>
      <c r="L96" s="83">
        <f>SUMIFS('Dataset 1'!$E$7:$E$2506,'Dataset 1'!$B$7:$B$2506,"&lt;="&amp;$A96,'Dataset 1'!$H$7:$H$2506,L$52)</f>
        <v>84460</v>
      </c>
      <c r="M96" s="83">
        <f>SUMIFS('Dataset 1'!$E$7:$E$2506,'Dataset 1'!$B$7:$B$2506,"&lt;="&amp;$A96,'Dataset 1'!$H$7:$H$2506,M$52)</f>
        <v>48140</v>
      </c>
      <c r="N96" s="83">
        <f>SUMIFS('Dataset 1'!$E$7:$E$2506,'Dataset 1'!$B$7:$B$2506,"&lt;="&amp;$A96,'Dataset 1'!$H$7:$H$2506,N$52)</f>
        <v>203400</v>
      </c>
      <c r="O96" s="83">
        <f>SUMIFS('Dataset 1'!$E$7:$E$2506,'Dataset 1'!$B$7:$B$2506,"&lt;="&amp;$A96,'Dataset 1'!$H$7:$H$2506,O$52)</f>
        <v>10300</v>
      </c>
    </row>
    <row r="130" spans="1:26" ht="16" x14ac:dyDescent="0.2">
      <c r="B130" s="85" t="s">
        <v>156</v>
      </c>
      <c r="P130" s="85" t="s">
        <v>156</v>
      </c>
    </row>
    <row r="131" spans="1:26" x14ac:dyDescent="0.2">
      <c r="B131" t="s">
        <v>131</v>
      </c>
      <c r="C131" t="s">
        <v>9</v>
      </c>
      <c r="D131" t="s">
        <v>20</v>
      </c>
      <c r="E131" t="s">
        <v>19</v>
      </c>
      <c r="F131" t="s">
        <v>119</v>
      </c>
      <c r="G131" t="s">
        <v>25</v>
      </c>
      <c r="H131" t="s">
        <v>45</v>
      </c>
      <c r="I131" t="s">
        <v>53</v>
      </c>
      <c r="J131" t="s">
        <v>108</v>
      </c>
      <c r="K131" t="s">
        <v>42</v>
      </c>
      <c r="L131" t="s">
        <v>150</v>
      </c>
      <c r="P131" t="s">
        <v>144</v>
      </c>
      <c r="Q131" t="s">
        <v>154</v>
      </c>
      <c r="R131" t="s">
        <v>149</v>
      </c>
      <c r="S131" t="s">
        <v>151</v>
      </c>
      <c r="T131" t="s">
        <v>146</v>
      </c>
      <c r="U131" t="s">
        <v>142</v>
      </c>
      <c r="V131" t="s">
        <v>152</v>
      </c>
      <c r="W131" t="s">
        <v>150</v>
      </c>
      <c r="X131" t="s">
        <v>145</v>
      </c>
      <c r="Y131" t="s">
        <v>153</v>
      </c>
      <c r="Z131" t="s">
        <v>150</v>
      </c>
    </row>
    <row r="132" spans="1:26" x14ac:dyDescent="0.2">
      <c r="A132">
        <v>2005</v>
      </c>
      <c r="B132">
        <f t="shared" ref="B132:B152" si="0">DY29</f>
        <v>1740</v>
      </c>
      <c r="C132">
        <f t="shared" ref="C132:C152" si="1">G29</f>
        <v>320</v>
      </c>
      <c r="D132">
        <f t="shared" ref="D132:D152" si="2">R29</f>
        <v>100</v>
      </c>
      <c r="E132">
        <f t="shared" ref="E132:E152" si="3">Q29</f>
        <v>0</v>
      </c>
      <c r="F132">
        <f t="shared" ref="F132:F152" si="4">DM29</f>
        <v>0</v>
      </c>
      <c r="G132">
        <f t="shared" ref="G132:G152" si="5">W29</f>
        <v>250</v>
      </c>
      <c r="H132">
        <f t="shared" ref="H132:H152" si="6">AQ29</f>
        <v>0</v>
      </c>
      <c r="I132">
        <f t="shared" ref="I132:I152" si="7">AY29</f>
        <v>0</v>
      </c>
      <c r="J132">
        <f t="shared" ref="J132:J152" si="8">DB29</f>
        <v>0</v>
      </c>
      <c r="K132">
        <f t="shared" ref="K132:K152" si="9">AN29</f>
        <v>0</v>
      </c>
      <c r="L132">
        <f t="shared" ref="L132:L152" si="10">SUM($B29:$EG29)-SUM(B132:K132)</f>
        <v>7710</v>
      </c>
      <c r="O132">
        <v>2005</v>
      </c>
      <c r="P132">
        <f t="shared" ref="P132:P152" si="11">D76</f>
        <v>6640</v>
      </c>
      <c r="Q132">
        <f t="shared" ref="Q132:Q152" si="12">N76</f>
        <v>100</v>
      </c>
      <c r="R132">
        <f t="shared" ref="R132:R152" si="13">I76</f>
        <v>1310</v>
      </c>
      <c r="S132">
        <f t="shared" ref="S132:S152" si="14">K76</f>
        <v>0</v>
      </c>
      <c r="T132">
        <f t="shared" ref="T132:T152" si="15">F76</f>
        <v>0</v>
      </c>
      <c r="U132">
        <f t="shared" ref="U132:U152" si="16">B76</f>
        <v>0</v>
      </c>
      <c r="V132">
        <f t="shared" ref="V132:V152" si="17">L76</f>
        <v>1740</v>
      </c>
      <c r="W132">
        <f t="shared" ref="W132:W152" si="18">J76</f>
        <v>150</v>
      </c>
      <c r="X132">
        <f t="shared" ref="X132:X152" si="19">E76</f>
        <v>0</v>
      </c>
      <c r="Y132">
        <f t="shared" ref="Y132:Y152" si="20">M76</f>
        <v>0</v>
      </c>
      <c r="Z132">
        <f t="shared" ref="Z132:Z152" si="21">SUM($B76:$O76)-SUM(P132:Y132)</f>
        <v>180</v>
      </c>
    </row>
    <row r="133" spans="1:26" x14ac:dyDescent="0.2">
      <c r="A133">
        <v>2006</v>
      </c>
      <c r="B133">
        <f t="shared" si="0"/>
        <v>1740</v>
      </c>
      <c r="C133">
        <f t="shared" si="1"/>
        <v>3240</v>
      </c>
      <c r="D133">
        <f t="shared" si="2"/>
        <v>900</v>
      </c>
      <c r="E133">
        <f t="shared" si="3"/>
        <v>0</v>
      </c>
      <c r="F133">
        <f t="shared" si="4"/>
        <v>0</v>
      </c>
      <c r="G133">
        <f t="shared" si="5"/>
        <v>360</v>
      </c>
      <c r="H133">
        <f t="shared" si="6"/>
        <v>0</v>
      </c>
      <c r="I133">
        <f t="shared" si="7"/>
        <v>100</v>
      </c>
      <c r="J133">
        <f t="shared" si="8"/>
        <v>970</v>
      </c>
      <c r="K133">
        <f t="shared" si="9"/>
        <v>480</v>
      </c>
      <c r="L133">
        <f t="shared" si="10"/>
        <v>21940</v>
      </c>
      <c r="O133">
        <v>2006</v>
      </c>
      <c r="P133">
        <f t="shared" si="11"/>
        <v>16810</v>
      </c>
      <c r="Q133">
        <f t="shared" si="12"/>
        <v>1070</v>
      </c>
      <c r="R133">
        <f t="shared" si="13"/>
        <v>7780</v>
      </c>
      <c r="S133">
        <f t="shared" si="14"/>
        <v>1300</v>
      </c>
      <c r="T133">
        <f t="shared" si="15"/>
        <v>100</v>
      </c>
      <c r="U133">
        <f t="shared" si="16"/>
        <v>480</v>
      </c>
      <c r="V133">
        <f t="shared" si="17"/>
        <v>1740</v>
      </c>
      <c r="W133">
        <f t="shared" si="18"/>
        <v>270</v>
      </c>
      <c r="X133">
        <f t="shared" si="19"/>
        <v>0</v>
      </c>
      <c r="Y133">
        <f t="shared" si="20"/>
        <v>0</v>
      </c>
      <c r="Z133">
        <f t="shared" si="21"/>
        <v>180</v>
      </c>
    </row>
    <row r="134" spans="1:26" x14ac:dyDescent="0.2">
      <c r="A134">
        <v>2007</v>
      </c>
      <c r="B134">
        <f t="shared" si="0"/>
        <v>10140</v>
      </c>
      <c r="C134">
        <f t="shared" si="1"/>
        <v>3670</v>
      </c>
      <c r="D134">
        <f t="shared" si="2"/>
        <v>3940</v>
      </c>
      <c r="E134">
        <f t="shared" si="3"/>
        <v>0</v>
      </c>
      <c r="F134">
        <f t="shared" si="4"/>
        <v>0</v>
      </c>
      <c r="G134">
        <f t="shared" si="5"/>
        <v>360</v>
      </c>
      <c r="H134">
        <f t="shared" si="6"/>
        <v>130</v>
      </c>
      <c r="I134">
        <f t="shared" si="7"/>
        <v>100</v>
      </c>
      <c r="J134">
        <f t="shared" si="8"/>
        <v>970</v>
      </c>
      <c r="K134">
        <f t="shared" si="9"/>
        <v>1180</v>
      </c>
      <c r="L134">
        <f t="shared" si="10"/>
        <v>39680</v>
      </c>
      <c r="O134">
        <v>2007</v>
      </c>
      <c r="P134">
        <f t="shared" si="11"/>
        <v>20010</v>
      </c>
      <c r="Q134">
        <f t="shared" si="12"/>
        <v>1340</v>
      </c>
      <c r="R134">
        <f t="shared" si="13"/>
        <v>13710</v>
      </c>
      <c r="S134">
        <f t="shared" si="14"/>
        <v>1450</v>
      </c>
      <c r="T134">
        <f t="shared" si="15"/>
        <v>19560</v>
      </c>
      <c r="U134">
        <f t="shared" si="16"/>
        <v>480</v>
      </c>
      <c r="V134">
        <f t="shared" si="17"/>
        <v>2200</v>
      </c>
      <c r="W134">
        <f t="shared" si="18"/>
        <v>390</v>
      </c>
      <c r="X134">
        <f t="shared" si="19"/>
        <v>0</v>
      </c>
      <c r="Y134">
        <f t="shared" si="20"/>
        <v>0</v>
      </c>
      <c r="Z134">
        <f t="shared" si="21"/>
        <v>1030</v>
      </c>
    </row>
    <row r="135" spans="1:26" x14ac:dyDescent="0.2">
      <c r="A135">
        <v>2008</v>
      </c>
      <c r="B135">
        <f t="shared" si="0"/>
        <v>15110</v>
      </c>
      <c r="C135">
        <f t="shared" si="1"/>
        <v>19920</v>
      </c>
      <c r="D135">
        <f t="shared" si="2"/>
        <v>5950</v>
      </c>
      <c r="E135">
        <f t="shared" si="3"/>
        <v>110</v>
      </c>
      <c r="F135">
        <f t="shared" si="4"/>
        <v>0</v>
      </c>
      <c r="G135">
        <f t="shared" si="5"/>
        <v>360</v>
      </c>
      <c r="H135">
        <f t="shared" si="6"/>
        <v>270</v>
      </c>
      <c r="I135">
        <f t="shared" si="7"/>
        <v>230</v>
      </c>
      <c r="J135">
        <f t="shared" si="8"/>
        <v>4540</v>
      </c>
      <c r="K135">
        <f t="shared" si="9"/>
        <v>3980</v>
      </c>
      <c r="L135">
        <f t="shared" si="10"/>
        <v>64480</v>
      </c>
      <c r="O135">
        <v>2008</v>
      </c>
      <c r="P135">
        <f t="shared" si="11"/>
        <v>35540</v>
      </c>
      <c r="Q135">
        <f t="shared" si="12"/>
        <v>7460</v>
      </c>
      <c r="R135">
        <f t="shared" si="13"/>
        <v>36510</v>
      </c>
      <c r="S135">
        <f t="shared" si="14"/>
        <v>1840</v>
      </c>
      <c r="T135">
        <f t="shared" si="15"/>
        <v>24210</v>
      </c>
      <c r="U135">
        <f t="shared" si="16"/>
        <v>820</v>
      </c>
      <c r="V135">
        <f t="shared" si="17"/>
        <v>2200</v>
      </c>
      <c r="W135">
        <f t="shared" si="18"/>
        <v>390</v>
      </c>
      <c r="X135">
        <f t="shared" si="19"/>
        <v>0</v>
      </c>
      <c r="Y135">
        <f t="shared" si="20"/>
        <v>1550</v>
      </c>
      <c r="Z135">
        <f t="shared" si="21"/>
        <v>4430</v>
      </c>
    </row>
    <row r="136" spans="1:26" x14ac:dyDescent="0.2">
      <c r="A136">
        <v>2009</v>
      </c>
      <c r="B136">
        <f t="shared" si="0"/>
        <v>23310</v>
      </c>
      <c r="C136">
        <f t="shared" si="1"/>
        <v>29050</v>
      </c>
      <c r="D136">
        <f t="shared" si="2"/>
        <v>7650</v>
      </c>
      <c r="E136">
        <f t="shared" si="3"/>
        <v>1010</v>
      </c>
      <c r="F136">
        <f t="shared" si="4"/>
        <v>7200</v>
      </c>
      <c r="G136">
        <f t="shared" si="5"/>
        <v>3840</v>
      </c>
      <c r="H136">
        <f t="shared" si="6"/>
        <v>270</v>
      </c>
      <c r="I136">
        <f t="shared" si="7"/>
        <v>460</v>
      </c>
      <c r="J136">
        <f t="shared" si="8"/>
        <v>6720</v>
      </c>
      <c r="K136">
        <f t="shared" si="9"/>
        <v>3980</v>
      </c>
      <c r="L136">
        <f t="shared" si="10"/>
        <v>89060</v>
      </c>
      <c r="O136">
        <v>2009</v>
      </c>
      <c r="P136">
        <f t="shared" si="11"/>
        <v>71210</v>
      </c>
      <c r="Q136">
        <f t="shared" si="12"/>
        <v>8370</v>
      </c>
      <c r="R136">
        <f t="shared" si="13"/>
        <v>46810</v>
      </c>
      <c r="S136">
        <f t="shared" si="14"/>
        <v>6440</v>
      </c>
      <c r="T136">
        <f t="shared" si="15"/>
        <v>27310</v>
      </c>
      <c r="U136">
        <f t="shared" si="16"/>
        <v>1190</v>
      </c>
      <c r="V136">
        <f t="shared" si="17"/>
        <v>3700</v>
      </c>
      <c r="W136">
        <f t="shared" si="18"/>
        <v>1290</v>
      </c>
      <c r="X136">
        <f t="shared" si="19"/>
        <v>0</v>
      </c>
      <c r="Y136">
        <f t="shared" si="20"/>
        <v>1800</v>
      </c>
      <c r="Z136">
        <f t="shared" si="21"/>
        <v>4430</v>
      </c>
    </row>
    <row r="137" spans="1:26" x14ac:dyDescent="0.2">
      <c r="A137">
        <v>2010</v>
      </c>
      <c r="B137">
        <f t="shared" si="0"/>
        <v>32130</v>
      </c>
      <c r="C137">
        <f t="shared" si="1"/>
        <v>32390</v>
      </c>
      <c r="D137">
        <f t="shared" si="2"/>
        <v>8780</v>
      </c>
      <c r="E137">
        <f t="shared" si="3"/>
        <v>14890</v>
      </c>
      <c r="F137">
        <f t="shared" si="4"/>
        <v>7200</v>
      </c>
      <c r="G137">
        <f t="shared" si="5"/>
        <v>10920</v>
      </c>
      <c r="H137">
        <f t="shared" si="6"/>
        <v>270</v>
      </c>
      <c r="I137">
        <f t="shared" si="7"/>
        <v>1290</v>
      </c>
      <c r="J137">
        <f t="shared" si="8"/>
        <v>6720</v>
      </c>
      <c r="K137">
        <f t="shared" si="9"/>
        <v>3980</v>
      </c>
      <c r="L137">
        <f t="shared" si="10"/>
        <v>120320</v>
      </c>
      <c r="O137">
        <v>2010</v>
      </c>
      <c r="P137">
        <f t="shared" si="11"/>
        <v>112400</v>
      </c>
      <c r="Q137">
        <f t="shared" si="12"/>
        <v>13880</v>
      </c>
      <c r="R137">
        <f t="shared" si="13"/>
        <v>55720</v>
      </c>
      <c r="S137">
        <f t="shared" si="14"/>
        <v>9780</v>
      </c>
      <c r="T137">
        <f t="shared" si="15"/>
        <v>30340</v>
      </c>
      <c r="U137">
        <f t="shared" si="16"/>
        <v>2770</v>
      </c>
      <c r="V137">
        <f t="shared" si="17"/>
        <v>4000</v>
      </c>
      <c r="W137">
        <f t="shared" si="18"/>
        <v>2850</v>
      </c>
      <c r="X137">
        <f t="shared" si="19"/>
        <v>100</v>
      </c>
      <c r="Y137">
        <f t="shared" si="20"/>
        <v>1800</v>
      </c>
      <c r="Z137">
        <f t="shared" si="21"/>
        <v>5250</v>
      </c>
    </row>
    <row r="138" spans="1:26" x14ac:dyDescent="0.2">
      <c r="A138">
        <v>2011</v>
      </c>
      <c r="B138">
        <f t="shared" si="0"/>
        <v>34300</v>
      </c>
      <c r="C138">
        <f t="shared" si="1"/>
        <v>42270</v>
      </c>
      <c r="D138">
        <f t="shared" si="2"/>
        <v>9290</v>
      </c>
      <c r="E138">
        <f t="shared" si="3"/>
        <v>23110</v>
      </c>
      <c r="F138">
        <f t="shared" si="4"/>
        <v>7300</v>
      </c>
      <c r="G138">
        <f t="shared" si="5"/>
        <v>16380</v>
      </c>
      <c r="H138">
        <f t="shared" si="6"/>
        <v>2310</v>
      </c>
      <c r="I138">
        <f t="shared" si="7"/>
        <v>3160</v>
      </c>
      <c r="J138">
        <f t="shared" si="8"/>
        <v>7980</v>
      </c>
      <c r="K138">
        <f t="shared" si="9"/>
        <v>7730</v>
      </c>
      <c r="L138">
        <f t="shared" si="10"/>
        <v>155570</v>
      </c>
      <c r="O138">
        <v>2011</v>
      </c>
      <c r="P138">
        <f t="shared" si="11"/>
        <v>150060</v>
      </c>
      <c r="Q138">
        <f t="shared" si="12"/>
        <v>18620</v>
      </c>
      <c r="R138">
        <f t="shared" si="13"/>
        <v>66720</v>
      </c>
      <c r="S138">
        <f t="shared" si="14"/>
        <v>13500</v>
      </c>
      <c r="T138">
        <f t="shared" si="15"/>
        <v>32620</v>
      </c>
      <c r="U138">
        <f t="shared" si="16"/>
        <v>4380</v>
      </c>
      <c r="V138">
        <f t="shared" si="17"/>
        <v>5780</v>
      </c>
      <c r="W138">
        <f t="shared" si="18"/>
        <v>3820</v>
      </c>
      <c r="X138">
        <f t="shared" si="19"/>
        <v>500</v>
      </c>
      <c r="Y138">
        <f t="shared" si="20"/>
        <v>1800</v>
      </c>
      <c r="Z138">
        <f t="shared" si="21"/>
        <v>11600</v>
      </c>
    </row>
    <row r="139" spans="1:26" x14ac:dyDescent="0.2">
      <c r="A139">
        <v>2012</v>
      </c>
      <c r="B139">
        <f t="shared" si="0"/>
        <v>43280</v>
      </c>
      <c r="C139">
        <f t="shared" si="1"/>
        <v>51350</v>
      </c>
      <c r="D139">
        <f t="shared" si="2"/>
        <v>16410</v>
      </c>
      <c r="E139">
        <f t="shared" si="3"/>
        <v>24860</v>
      </c>
      <c r="F139">
        <f t="shared" si="4"/>
        <v>8170</v>
      </c>
      <c r="G139">
        <f t="shared" si="5"/>
        <v>37950</v>
      </c>
      <c r="H139">
        <f t="shared" si="6"/>
        <v>5010</v>
      </c>
      <c r="I139">
        <f t="shared" si="7"/>
        <v>5260</v>
      </c>
      <c r="J139">
        <f t="shared" si="8"/>
        <v>8130</v>
      </c>
      <c r="K139">
        <f t="shared" si="9"/>
        <v>8340</v>
      </c>
      <c r="L139">
        <f t="shared" si="10"/>
        <v>178160</v>
      </c>
      <c r="O139">
        <v>2012</v>
      </c>
      <c r="P139">
        <f t="shared" si="11"/>
        <v>190450</v>
      </c>
      <c r="Q139">
        <f t="shared" si="12"/>
        <v>21090</v>
      </c>
      <c r="R139">
        <f t="shared" si="13"/>
        <v>79390</v>
      </c>
      <c r="S139">
        <f t="shared" si="14"/>
        <v>18600</v>
      </c>
      <c r="T139">
        <f t="shared" si="15"/>
        <v>35520</v>
      </c>
      <c r="U139">
        <f t="shared" si="16"/>
        <v>8130</v>
      </c>
      <c r="V139">
        <f t="shared" si="17"/>
        <v>7920</v>
      </c>
      <c r="W139">
        <f t="shared" si="18"/>
        <v>5540</v>
      </c>
      <c r="X139">
        <f t="shared" si="19"/>
        <v>3670</v>
      </c>
      <c r="Y139">
        <f t="shared" si="20"/>
        <v>1930</v>
      </c>
      <c r="Z139">
        <f t="shared" si="21"/>
        <v>14680</v>
      </c>
    </row>
    <row r="140" spans="1:26" x14ac:dyDescent="0.2">
      <c r="A140">
        <v>2013</v>
      </c>
      <c r="B140">
        <f t="shared" si="0"/>
        <v>59400</v>
      </c>
      <c r="C140">
        <f t="shared" si="1"/>
        <v>60410</v>
      </c>
      <c r="D140">
        <f t="shared" si="2"/>
        <v>22740</v>
      </c>
      <c r="E140">
        <f t="shared" si="3"/>
        <v>27880</v>
      </c>
      <c r="F140">
        <f t="shared" si="4"/>
        <v>8170</v>
      </c>
      <c r="G140">
        <f t="shared" si="5"/>
        <v>38420</v>
      </c>
      <c r="H140">
        <f t="shared" si="6"/>
        <v>5810</v>
      </c>
      <c r="I140">
        <f t="shared" si="7"/>
        <v>5780</v>
      </c>
      <c r="J140">
        <f t="shared" si="8"/>
        <v>9500</v>
      </c>
      <c r="K140">
        <f t="shared" si="9"/>
        <v>9230</v>
      </c>
      <c r="L140">
        <f t="shared" si="10"/>
        <v>215560</v>
      </c>
      <c r="O140">
        <v>2013</v>
      </c>
      <c r="P140">
        <f t="shared" si="11"/>
        <v>226210</v>
      </c>
      <c r="Q140">
        <f t="shared" si="12"/>
        <v>23870</v>
      </c>
      <c r="R140">
        <f t="shared" si="13"/>
        <v>85570</v>
      </c>
      <c r="S140">
        <f t="shared" si="14"/>
        <v>31850</v>
      </c>
      <c r="T140">
        <f t="shared" si="15"/>
        <v>36540</v>
      </c>
      <c r="U140">
        <f t="shared" si="16"/>
        <v>17770</v>
      </c>
      <c r="V140">
        <f t="shared" si="17"/>
        <v>8230</v>
      </c>
      <c r="W140">
        <f t="shared" si="18"/>
        <v>6690</v>
      </c>
      <c r="X140">
        <f t="shared" si="19"/>
        <v>4020</v>
      </c>
      <c r="Y140">
        <f t="shared" si="20"/>
        <v>5460</v>
      </c>
      <c r="Z140">
        <f t="shared" si="21"/>
        <v>16690</v>
      </c>
    </row>
    <row r="141" spans="1:26" x14ac:dyDescent="0.2">
      <c r="A141">
        <v>2014</v>
      </c>
      <c r="B141">
        <f t="shared" si="0"/>
        <v>77020</v>
      </c>
      <c r="C141">
        <f t="shared" si="1"/>
        <v>70470</v>
      </c>
      <c r="D141">
        <f t="shared" si="2"/>
        <v>29660</v>
      </c>
      <c r="E141">
        <f t="shared" si="3"/>
        <v>29460</v>
      </c>
      <c r="F141">
        <f t="shared" si="4"/>
        <v>8570</v>
      </c>
      <c r="G141">
        <f t="shared" si="5"/>
        <v>42020</v>
      </c>
      <c r="H141">
        <f t="shared" si="6"/>
        <v>7430</v>
      </c>
      <c r="I141">
        <f t="shared" si="7"/>
        <v>8370</v>
      </c>
      <c r="J141">
        <f t="shared" si="8"/>
        <v>10250</v>
      </c>
      <c r="K141">
        <f t="shared" si="9"/>
        <v>12320</v>
      </c>
      <c r="L141">
        <f t="shared" si="10"/>
        <v>268070</v>
      </c>
      <c r="O141">
        <v>2014</v>
      </c>
      <c r="P141">
        <f t="shared" si="11"/>
        <v>255480</v>
      </c>
      <c r="Q141">
        <f t="shared" si="12"/>
        <v>30170</v>
      </c>
      <c r="R141">
        <f t="shared" si="13"/>
        <v>100060</v>
      </c>
      <c r="S141">
        <f t="shared" si="14"/>
        <v>47350</v>
      </c>
      <c r="T141">
        <f t="shared" si="15"/>
        <v>42510</v>
      </c>
      <c r="U141">
        <f t="shared" si="16"/>
        <v>25420</v>
      </c>
      <c r="V141">
        <f t="shared" si="17"/>
        <v>16320</v>
      </c>
      <c r="W141">
        <f t="shared" si="18"/>
        <v>8680</v>
      </c>
      <c r="X141">
        <f t="shared" si="19"/>
        <v>6130</v>
      </c>
      <c r="Y141">
        <f t="shared" si="20"/>
        <v>12070</v>
      </c>
      <c r="Z141">
        <f t="shared" si="21"/>
        <v>19450</v>
      </c>
    </row>
    <row r="142" spans="1:26" x14ac:dyDescent="0.2">
      <c r="A142">
        <v>2015</v>
      </c>
      <c r="B142">
        <f t="shared" si="0"/>
        <v>96050</v>
      </c>
      <c r="C142">
        <f t="shared" si="1"/>
        <v>81460</v>
      </c>
      <c r="D142">
        <f t="shared" si="2"/>
        <v>33490</v>
      </c>
      <c r="E142">
        <f t="shared" si="3"/>
        <v>32680</v>
      </c>
      <c r="F142">
        <f t="shared" si="4"/>
        <v>12930</v>
      </c>
      <c r="G142">
        <f t="shared" si="5"/>
        <v>43360</v>
      </c>
      <c r="H142">
        <f t="shared" si="6"/>
        <v>9120</v>
      </c>
      <c r="I142">
        <f t="shared" si="7"/>
        <v>11560</v>
      </c>
      <c r="J142">
        <f t="shared" si="8"/>
        <v>14720</v>
      </c>
      <c r="K142">
        <f t="shared" si="9"/>
        <v>15310</v>
      </c>
      <c r="L142">
        <f t="shared" si="10"/>
        <v>328270</v>
      </c>
      <c r="O142">
        <v>2015</v>
      </c>
      <c r="P142">
        <f t="shared" si="11"/>
        <v>286880</v>
      </c>
      <c r="Q142">
        <f t="shared" si="12"/>
        <v>51470</v>
      </c>
      <c r="R142">
        <f t="shared" si="13"/>
        <v>105390</v>
      </c>
      <c r="S142">
        <f t="shared" si="14"/>
        <v>62920</v>
      </c>
      <c r="T142">
        <f t="shared" si="15"/>
        <v>56550</v>
      </c>
      <c r="U142">
        <f t="shared" si="16"/>
        <v>26610</v>
      </c>
      <c r="V142">
        <f t="shared" si="17"/>
        <v>25010</v>
      </c>
      <c r="W142">
        <f t="shared" si="18"/>
        <v>10160</v>
      </c>
      <c r="X142">
        <f t="shared" si="19"/>
        <v>9870</v>
      </c>
      <c r="Y142">
        <f t="shared" si="20"/>
        <v>16070</v>
      </c>
      <c r="Z142">
        <f t="shared" si="21"/>
        <v>28020</v>
      </c>
    </row>
    <row r="143" spans="1:26" x14ac:dyDescent="0.2">
      <c r="A143">
        <v>2016</v>
      </c>
      <c r="B143">
        <f t="shared" si="0"/>
        <v>151620</v>
      </c>
      <c r="C143">
        <f t="shared" si="1"/>
        <v>88300</v>
      </c>
      <c r="D143">
        <f t="shared" si="2"/>
        <v>44790</v>
      </c>
      <c r="E143">
        <f t="shared" si="3"/>
        <v>46090</v>
      </c>
      <c r="F143">
        <f t="shared" si="4"/>
        <v>15340</v>
      </c>
      <c r="G143">
        <f t="shared" si="5"/>
        <v>46110</v>
      </c>
      <c r="H143">
        <f t="shared" si="6"/>
        <v>21700</v>
      </c>
      <c r="I143">
        <f t="shared" si="7"/>
        <v>13980</v>
      </c>
      <c r="J143">
        <f t="shared" si="8"/>
        <v>17760</v>
      </c>
      <c r="K143">
        <f t="shared" si="9"/>
        <v>18010</v>
      </c>
      <c r="L143">
        <f t="shared" si="10"/>
        <v>384380</v>
      </c>
      <c r="O143">
        <v>2016</v>
      </c>
      <c r="P143">
        <f t="shared" si="11"/>
        <v>324160</v>
      </c>
      <c r="Q143">
        <f t="shared" si="12"/>
        <v>62710</v>
      </c>
      <c r="R143">
        <f t="shared" si="13"/>
        <v>109990</v>
      </c>
      <c r="S143">
        <f t="shared" si="14"/>
        <v>79780</v>
      </c>
      <c r="T143">
        <f t="shared" si="15"/>
        <v>59630</v>
      </c>
      <c r="U143">
        <f t="shared" si="16"/>
        <v>32700</v>
      </c>
      <c r="V143">
        <f t="shared" si="17"/>
        <v>48660</v>
      </c>
      <c r="W143">
        <f t="shared" si="18"/>
        <v>22630</v>
      </c>
      <c r="X143">
        <f t="shared" si="19"/>
        <v>31900</v>
      </c>
      <c r="Y143">
        <f t="shared" si="20"/>
        <v>38440</v>
      </c>
      <c r="Z143">
        <f t="shared" si="21"/>
        <v>37480</v>
      </c>
    </row>
    <row r="144" spans="1:26" x14ac:dyDescent="0.2">
      <c r="A144">
        <v>2017</v>
      </c>
      <c r="B144">
        <f t="shared" si="0"/>
        <v>175020</v>
      </c>
      <c r="C144">
        <f t="shared" si="1"/>
        <v>93340</v>
      </c>
      <c r="D144">
        <f t="shared" si="2"/>
        <v>74270</v>
      </c>
      <c r="E144">
        <f t="shared" si="3"/>
        <v>54660</v>
      </c>
      <c r="F144">
        <f t="shared" si="4"/>
        <v>60710</v>
      </c>
      <c r="G144">
        <f t="shared" si="5"/>
        <v>48720</v>
      </c>
      <c r="H144">
        <f t="shared" si="6"/>
        <v>28930</v>
      </c>
      <c r="I144">
        <f t="shared" si="7"/>
        <v>16380</v>
      </c>
      <c r="J144">
        <f t="shared" si="8"/>
        <v>32000</v>
      </c>
      <c r="K144">
        <f t="shared" si="9"/>
        <v>19360</v>
      </c>
      <c r="L144">
        <f t="shared" si="10"/>
        <v>419780</v>
      </c>
      <c r="O144">
        <v>2017</v>
      </c>
      <c r="P144">
        <f t="shared" si="11"/>
        <v>345140</v>
      </c>
      <c r="Q144">
        <f t="shared" si="12"/>
        <v>83500</v>
      </c>
      <c r="R144">
        <f t="shared" si="13"/>
        <v>114200</v>
      </c>
      <c r="S144">
        <f t="shared" si="14"/>
        <v>95390</v>
      </c>
      <c r="T144">
        <f t="shared" si="15"/>
        <v>76250</v>
      </c>
      <c r="U144">
        <f t="shared" si="16"/>
        <v>78570</v>
      </c>
      <c r="V144">
        <f t="shared" si="17"/>
        <v>52250</v>
      </c>
      <c r="W144">
        <f t="shared" si="18"/>
        <v>28740</v>
      </c>
      <c r="X144">
        <f t="shared" si="19"/>
        <v>38460</v>
      </c>
      <c r="Y144">
        <f t="shared" si="20"/>
        <v>43240</v>
      </c>
      <c r="Z144">
        <f t="shared" si="21"/>
        <v>67430</v>
      </c>
    </row>
    <row r="145" spans="1:26" x14ac:dyDescent="0.2">
      <c r="A145">
        <v>2018</v>
      </c>
      <c r="B145">
        <f t="shared" si="0"/>
        <v>183940</v>
      </c>
      <c r="C145">
        <f t="shared" si="1"/>
        <v>99080</v>
      </c>
      <c r="D145">
        <f t="shared" si="2"/>
        <v>83290</v>
      </c>
      <c r="E145">
        <f t="shared" si="3"/>
        <v>56940</v>
      </c>
      <c r="F145">
        <f t="shared" si="4"/>
        <v>60900</v>
      </c>
      <c r="G145">
        <f t="shared" si="5"/>
        <v>54120</v>
      </c>
      <c r="H145">
        <f t="shared" si="6"/>
        <v>41580</v>
      </c>
      <c r="I145">
        <f t="shared" si="7"/>
        <v>21370</v>
      </c>
      <c r="J145">
        <f t="shared" si="8"/>
        <v>35220</v>
      </c>
      <c r="K145">
        <f t="shared" si="9"/>
        <v>24230</v>
      </c>
      <c r="L145">
        <f t="shared" si="10"/>
        <v>480510</v>
      </c>
      <c r="O145">
        <v>2018</v>
      </c>
      <c r="P145">
        <f t="shared" si="11"/>
        <v>368210</v>
      </c>
      <c r="Q145">
        <f t="shared" si="12"/>
        <v>113270</v>
      </c>
      <c r="R145">
        <f t="shared" si="13"/>
        <v>129480</v>
      </c>
      <c r="S145">
        <f t="shared" si="14"/>
        <v>100550</v>
      </c>
      <c r="T145">
        <f t="shared" si="15"/>
        <v>81060</v>
      </c>
      <c r="U145">
        <f t="shared" si="16"/>
        <v>81510</v>
      </c>
      <c r="V145">
        <f t="shared" si="17"/>
        <v>60890</v>
      </c>
      <c r="W145">
        <f t="shared" si="18"/>
        <v>42640</v>
      </c>
      <c r="X145">
        <f t="shared" si="19"/>
        <v>43170</v>
      </c>
      <c r="Y145">
        <f t="shared" si="20"/>
        <v>43800</v>
      </c>
      <c r="Z145">
        <f t="shared" si="21"/>
        <v>76600</v>
      </c>
    </row>
    <row r="146" spans="1:26" x14ac:dyDescent="0.2">
      <c r="A146">
        <v>2019</v>
      </c>
      <c r="B146">
        <f t="shared" si="0"/>
        <v>187580</v>
      </c>
      <c r="C146">
        <f t="shared" si="1"/>
        <v>102630</v>
      </c>
      <c r="D146">
        <f t="shared" si="2"/>
        <v>94810</v>
      </c>
      <c r="E146">
        <f t="shared" si="3"/>
        <v>58970</v>
      </c>
      <c r="F146">
        <f t="shared" si="4"/>
        <v>61060</v>
      </c>
      <c r="G146">
        <f t="shared" si="5"/>
        <v>55980</v>
      </c>
      <c r="H146">
        <f t="shared" si="6"/>
        <v>48090</v>
      </c>
      <c r="I146">
        <f t="shared" si="7"/>
        <v>27330</v>
      </c>
      <c r="J146">
        <f t="shared" si="8"/>
        <v>37470</v>
      </c>
      <c r="K146">
        <f t="shared" si="9"/>
        <v>28680</v>
      </c>
      <c r="L146">
        <f t="shared" si="10"/>
        <v>534880</v>
      </c>
      <c r="O146">
        <v>2019</v>
      </c>
      <c r="P146">
        <f t="shared" si="11"/>
        <v>398160</v>
      </c>
      <c r="Q146">
        <f t="shared" si="12"/>
        <v>131150</v>
      </c>
      <c r="R146">
        <f t="shared" si="13"/>
        <v>141200</v>
      </c>
      <c r="S146">
        <f t="shared" si="14"/>
        <v>105290</v>
      </c>
      <c r="T146">
        <f t="shared" si="15"/>
        <v>83420</v>
      </c>
      <c r="U146">
        <f t="shared" si="16"/>
        <v>83510</v>
      </c>
      <c r="V146">
        <f t="shared" si="17"/>
        <v>66280</v>
      </c>
      <c r="W146">
        <f t="shared" si="18"/>
        <v>48610</v>
      </c>
      <c r="X146">
        <f t="shared" si="19"/>
        <v>53110</v>
      </c>
      <c r="Y146">
        <f t="shared" si="20"/>
        <v>45770</v>
      </c>
      <c r="Z146">
        <f t="shared" si="21"/>
        <v>80980</v>
      </c>
    </row>
    <row r="147" spans="1:26" x14ac:dyDescent="0.2">
      <c r="A147">
        <v>2020</v>
      </c>
      <c r="B147">
        <f t="shared" si="0"/>
        <v>189500</v>
      </c>
      <c r="C147">
        <f t="shared" si="1"/>
        <v>105520</v>
      </c>
      <c r="D147">
        <f t="shared" si="2"/>
        <v>96580</v>
      </c>
      <c r="E147">
        <f t="shared" si="3"/>
        <v>59230</v>
      </c>
      <c r="F147">
        <f t="shared" si="4"/>
        <v>61370</v>
      </c>
      <c r="G147">
        <f t="shared" si="5"/>
        <v>56130</v>
      </c>
      <c r="H147">
        <f t="shared" si="6"/>
        <v>48510</v>
      </c>
      <c r="I147">
        <f t="shared" si="7"/>
        <v>29800</v>
      </c>
      <c r="J147">
        <f t="shared" si="8"/>
        <v>38830</v>
      </c>
      <c r="K147">
        <f t="shared" si="9"/>
        <v>32880</v>
      </c>
      <c r="L147">
        <f t="shared" si="10"/>
        <v>564500</v>
      </c>
      <c r="O147">
        <v>2020</v>
      </c>
      <c r="P147">
        <f t="shared" si="11"/>
        <v>413460</v>
      </c>
      <c r="Q147">
        <f t="shared" si="12"/>
        <v>137880</v>
      </c>
      <c r="R147">
        <f t="shared" si="13"/>
        <v>145310</v>
      </c>
      <c r="S147">
        <f t="shared" si="14"/>
        <v>109870</v>
      </c>
      <c r="T147">
        <f t="shared" si="15"/>
        <v>84820</v>
      </c>
      <c r="U147">
        <f t="shared" si="16"/>
        <v>84230</v>
      </c>
      <c r="V147">
        <f t="shared" si="17"/>
        <v>68900</v>
      </c>
      <c r="W147">
        <f t="shared" si="18"/>
        <v>50780</v>
      </c>
      <c r="X147">
        <f t="shared" si="19"/>
        <v>57170</v>
      </c>
      <c r="Y147">
        <f t="shared" si="20"/>
        <v>45950</v>
      </c>
      <c r="Z147">
        <f t="shared" si="21"/>
        <v>84480</v>
      </c>
    </row>
    <row r="148" spans="1:26" x14ac:dyDescent="0.2">
      <c r="A148">
        <v>2021</v>
      </c>
      <c r="B148">
        <f t="shared" si="0"/>
        <v>193900</v>
      </c>
      <c r="C148">
        <f t="shared" si="1"/>
        <v>105660</v>
      </c>
      <c r="D148">
        <f t="shared" si="2"/>
        <v>99150</v>
      </c>
      <c r="E148">
        <f t="shared" si="3"/>
        <v>64910</v>
      </c>
      <c r="F148">
        <f t="shared" si="4"/>
        <v>61370</v>
      </c>
      <c r="G148">
        <f t="shared" si="5"/>
        <v>56430</v>
      </c>
      <c r="H148">
        <f t="shared" si="6"/>
        <v>51070</v>
      </c>
      <c r="I148">
        <f t="shared" si="7"/>
        <v>32820</v>
      </c>
      <c r="J148">
        <f t="shared" si="8"/>
        <v>39170</v>
      </c>
      <c r="K148">
        <f t="shared" si="9"/>
        <v>33070</v>
      </c>
      <c r="L148">
        <f t="shared" si="10"/>
        <v>599330</v>
      </c>
      <c r="O148">
        <v>2021</v>
      </c>
      <c r="P148">
        <f t="shared" si="11"/>
        <v>428610</v>
      </c>
      <c r="Q148">
        <f t="shared" si="12"/>
        <v>148200</v>
      </c>
      <c r="R148">
        <f t="shared" si="13"/>
        <v>152490</v>
      </c>
      <c r="S148">
        <f t="shared" si="14"/>
        <v>110830</v>
      </c>
      <c r="T148">
        <f t="shared" si="15"/>
        <v>85740</v>
      </c>
      <c r="U148">
        <f t="shared" si="16"/>
        <v>84770</v>
      </c>
      <c r="V148">
        <f t="shared" si="17"/>
        <v>70930</v>
      </c>
      <c r="W148">
        <f t="shared" si="18"/>
        <v>59180</v>
      </c>
      <c r="X148">
        <f t="shared" si="19"/>
        <v>58980</v>
      </c>
      <c r="Y148">
        <f t="shared" si="20"/>
        <v>45950</v>
      </c>
      <c r="Z148">
        <f t="shared" si="21"/>
        <v>91200</v>
      </c>
    </row>
    <row r="149" spans="1:26" x14ac:dyDescent="0.2">
      <c r="A149">
        <v>2022</v>
      </c>
      <c r="B149">
        <f t="shared" si="0"/>
        <v>196490</v>
      </c>
      <c r="C149">
        <f t="shared" si="1"/>
        <v>106920</v>
      </c>
      <c r="D149">
        <f t="shared" si="2"/>
        <v>100560</v>
      </c>
      <c r="E149">
        <f t="shared" si="3"/>
        <v>67480</v>
      </c>
      <c r="F149">
        <f t="shared" si="4"/>
        <v>61960</v>
      </c>
      <c r="G149">
        <f t="shared" si="5"/>
        <v>56750</v>
      </c>
      <c r="H149">
        <f t="shared" si="6"/>
        <v>52200</v>
      </c>
      <c r="I149">
        <f t="shared" si="7"/>
        <v>36960</v>
      </c>
      <c r="J149">
        <f t="shared" si="8"/>
        <v>41760</v>
      </c>
      <c r="K149">
        <f t="shared" si="9"/>
        <v>35070</v>
      </c>
      <c r="L149">
        <f t="shared" si="10"/>
        <v>625050</v>
      </c>
      <c r="O149">
        <v>2022</v>
      </c>
      <c r="P149">
        <f t="shared" si="11"/>
        <v>444570</v>
      </c>
      <c r="Q149">
        <f t="shared" si="12"/>
        <v>153060</v>
      </c>
      <c r="R149">
        <f t="shared" si="13"/>
        <v>161410</v>
      </c>
      <c r="S149">
        <f t="shared" si="14"/>
        <v>112770</v>
      </c>
      <c r="T149">
        <f t="shared" si="15"/>
        <v>88900</v>
      </c>
      <c r="U149">
        <f t="shared" si="16"/>
        <v>84940</v>
      </c>
      <c r="V149">
        <f t="shared" si="17"/>
        <v>72710</v>
      </c>
      <c r="W149">
        <f t="shared" si="18"/>
        <v>63810</v>
      </c>
      <c r="X149">
        <f t="shared" si="19"/>
        <v>59530</v>
      </c>
      <c r="Y149">
        <f t="shared" si="20"/>
        <v>45950</v>
      </c>
      <c r="Z149">
        <f t="shared" si="21"/>
        <v>93550</v>
      </c>
    </row>
    <row r="150" spans="1:26" x14ac:dyDescent="0.2">
      <c r="A150">
        <v>2023</v>
      </c>
      <c r="B150">
        <f t="shared" si="0"/>
        <v>199170</v>
      </c>
      <c r="C150">
        <f t="shared" si="1"/>
        <v>107390</v>
      </c>
      <c r="D150">
        <f t="shared" si="2"/>
        <v>101710</v>
      </c>
      <c r="E150">
        <f t="shared" si="3"/>
        <v>70240</v>
      </c>
      <c r="F150">
        <f t="shared" si="4"/>
        <v>62060</v>
      </c>
      <c r="G150">
        <f t="shared" si="5"/>
        <v>56880</v>
      </c>
      <c r="H150">
        <f t="shared" si="6"/>
        <v>52350</v>
      </c>
      <c r="I150">
        <f t="shared" si="7"/>
        <v>43190</v>
      </c>
      <c r="J150">
        <f t="shared" si="8"/>
        <v>44310</v>
      </c>
      <c r="K150">
        <f t="shared" si="9"/>
        <v>35070</v>
      </c>
      <c r="L150">
        <f t="shared" si="10"/>
        <v>672390</v>
      </c>
      <c r="O150">
        <v>2023</v>
      </c>
      <c r="P150">
        <f t="shared" si="11"/>
        <v>457680</v>
      </c>
      <c r="Q150">
        <f t="shared" si="12"/>
        <v>168600</v>
      </c>
      <c r="R150">
        <f t="shared" si="13"/>
        <v>176740</v>
      </c>
      <c r="S150">
        <f t="shared" si="14"/>
        <v>114480</v>
      </c>
      <c r="T150">
        <f t="shared" si="15"/>
        <v>89440</v>
      </c>
      <c r="U150">
        <f t="shared" si="16"/>
        <v>86140</v>
      </c>
      <c r="V150">
        <f t="shared" si="17"/>
        <v>77000</v>
      </c>
      <c r="W150">
        <f t="shared" si="18"/>
        <v>69430</v>
      </c>
      <c r="X150">
        <f t="shared" si="19"/>
        <v>61050</v>
      </c>
      <c r="Y150">
        <f t="shared" si="20"/>
        <v>46070</v>
      </c>
      <c r="Z150">
        <f t="shared" si="21"/>
        <v>98130</v>
      </c>
    </row>
    <row r="151" spans="1:26" x14ac:dyDescent="0.2">
      <c r="A151">
        <v>2024</v>
      </c>
      <c r="B151">
        <f t="shared" si="0"/>
        <v>200800</v>
      </c>
      <c r="C151">
        <f t="shared" si="1"/>
        <v>107500</v>
      </c>
      <c r="D151">
        <f t="shared" si="2"/>
        <v>106950</v>
      </c>
      <c r="E151">
        <f t="shared" si="3"/>
        <v>71850</v>
      </c>
      <c r="F151">
        <f t="shared" si="4"/>
        <v>62870</v>
      </c>
      <c r="G151">
        <f t="shared" si="5"/>
        <v>57090</v>
      </c>
      <c r="H151">
        <f t="shared" si="6"/>
        <v>54160</v>
      </c>
      <c r="I151">
        <f t="shared" si="7"/>
        <v>46370</v>
      </c>
      <c r="J151">
        <f t="shared" si="8"/>
        <v>45450</v>
      </c>
      <c r="K151">
        <f t="shared" si="9"/>
        <v>35070</v>
      </c>
      <c r="L151">
        <f t="shared" si="10"/>
        <v>716060</v>
      </c>
      <c r="O151">
        <v>2024</v>
      </c>
      <c r="P151">
        <f t="shared" si="11"/>
        <v>469810</v>
      </c>
      <c r="Q151">
        <f t="shared" si="12"/>
        <v>185790</v>
      </c>
      <c r="R151">
        <f t="shared" si="13"/>
        <v>189970</v>
      </c>
      <c r="S151">
        <f t="shared" si="14"/>
        <v>118900</v>
      </c>
      <c r="T151">
        <f t="shared" si="15"/>
        <v>89640</v>
      </c>
      <c r="U151">
        <f t="shared" si="16"/>
        <v>87050</v>
      </c>
      <c r="V151">
        <f t="shared" si="17"/>
        <v>79640</v>
      </c>
      <c r="W151">
        <f t="shared" si="18"/>
        <v>71780</v>
      </c>
      <c r="X151">
        <f t="shared" si="19"/>
        <v>63270</v>
      </c>
      <c r="Y151">
        <f t="shared" si="20"/>
        <v>46070</v>
      </c>
      <c r="Z151">
        <f t="shared" si="21"/>
        <v>102250</v>
      </c>
    </row>
    <row r="152" spans="1:26" x14ac:dyDescent="0.2">
      <c r="A152">
        <v>2025</v>
      </c>
      <c r="B152">
        <f t="shared" si="0"/>
        <v>204880</v>
      </c>
      <c r="C152">
        <f t="shared" si="1"/>
        <v>108180</v>
      </c>
      <c r="D152">
        <f t="shared" si="2"/>
        <v>107050</v>
      </c>
      <c r="E152">
        <f t="shared" si="3"/>
        <v>80550</v>
      </c>
      <c r="F152">
        <f t="shared" si="4"/>
        <v>62870</v>
      </c>
      <c r="G152">
        <f t="shared" si="5"/>
        <v>57280</v>
      </c>
      <c r="H152">
        <f t="shared" si="6"/>
        <v>56340</v>
      </c>
      <c r="I152">
        <f t="shared" si="7"/>
        <v>49350</v>
      </c>
      <c r="J152">
        <f t="shared" si="8"/>
        <v>46830</v>
      </c>
      <c r="K152">
        <f t="shared" si="9"/>
        <v>37130</v>
      </c>
      <c r="L152">
        <f t="shared" si="10"/>
        <v>760970</v>
      </c>
      <c r="O152">
        <v>2025</v>
      </c>
      <c r="P152">
        <f t="shared" si="11"/>
        <v>485700</v>
      </c>
      <c r="Q152">
        <f t="shared" si="12"/>
        <v>203400</v>
      </c>
      <c r="R152">
        <f t="shared" si="13"/>
        <v>202780</v>
      </c>
      <c r="S152">
        <f t="shared" si="14"/>
        <v>120440</v>
      </c>
      <c r="T152">
        <f t="shared" si="15"/>
        <v>89640</v>
      </c>
      <c r="U152">
        <f t="shared" si="16"/>
        <v>88120</v>
      </c>
      <c r="V152">
        <f t="shared" si="17"/>
        <v>84460</v>
      </c>
      <c r="W152">
        <f t="shared" si="18"/>
        <v>78310</v>
      </c>
      <c r="X152">
        <f t="shared" si="19"/>
        <v>65600</v>
      </c>
      <c r="Y152">
        <f t="shared" si="20"/>
        <v>48140</v>
      </c>
      <c r="Z152">
        <f t="shared" si="21"/>
        <v>104840</v>
      </c>
    </row>
  </sheetData>
  <mergeCells count="1">
    <mergeCell ref="A2:EG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1</vt:lpstr>
      <vt:lpstr>Dataset 2</vt:lpstr>
      <vt:lpstr>Dataset 3</vt:lpstr>
      <vt:lpstr>Dataset 1+2</vt:lpstr>
      <vt:lpstr>FDI Stock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Zhang (Intern - Office of Derek Scissors)</dc:creator>
  <cp:lastModifiedBy>Hansen Shu</cp:lastModifiedBy>
  <cp:lastPrinted>2021-07-12T15:16:34Z</cp:lastPrinted>
  <dcterms:created xsi:type="dcterms:W3CDTF">2016-07-05T17:26:19Z</dcterms:created>
  <dcterms:modified xsi:type="dcterms:W3CDTF">2026-09-08T19:07:29Z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0x01010078F8A6204D99BF4797A86EB7339D1039</vt:lpwstr>
  </property>
</Properties>
</file>